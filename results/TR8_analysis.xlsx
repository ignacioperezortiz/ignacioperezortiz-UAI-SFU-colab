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hc22\projects\UAI-SFU-colab\results\TR8_analysis\"/>
    </mc:Choice>
  </mc:AlternateContent>
  <xr:revisionPtr revIDLastSave="0" documentId="8_{243E74EF-77EE-4456-8A14-0F0B4F946144}" xr6:coauthVersionLast="47" xr6:coauthVersionMax="47" xr10:uidLastSave="{00000000-0000-0000-0000-000000000000}"/>
  <bookViews>
    <workbookView xWindow="-120" yWindow="-120" windowWidth="38640" windowHeight="21120" firstSheet="13" activeTab="15" xr2:uid="{00000000-000D-0000-FFFF-FFFF00000000}"/>
  </bookViews>
  <sheets>
    <sheet name="ReadMe" sheetId="1" r:id="rId1"/>
    <sheet name="Summary" sheetId="2" r:id="rId2"/>
    <sheet name="FleetAverage" sheetId="3" r:id="rId3"/>
    <sheet name="SOC_pct" sheetId="4" r:id="rId4"/>
    <sheet name="Demand_kW" sheetId="5" r:id="rId5"/>
    <sheet name="PV_kW" sheetId="6" r:id="rId6"/>
    <sheet name="Charge_kW" sheetId="7" r:id="rId7"/>
    <sheet name="Discharge_kW" sheetId="8" r:id="rId8"/>
    <sheet name="Net_kW" sheetId="9" r:id="rId9"/>
    <sheet name="ProsumerMetrics" sheetId="10" r:id="rId10"/>
    <sheet name="Dashboard" sheetId="11" r:id="rId11"/>
    <sheet name="ChartData" sheetId="12" r:id="rId12"/>
    <sheet name="Fleet Avg Figure" sheetId="13" r:id="rId13"/>
    <sheet name="Self Consumption Figure" sheetId="14" r:id="rId14"/>
    <sheet name="Net Per Prosumer Figure" sheetId="15" r:id="rId15"/>
    <sheet name="Demand PV Dispatch Figure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2" i="16" l="1"/>
  <c r="B82" i="16"/>
  <c r="C81" i="16"/>
  <c r="B81" i="16"/>
  <c r="D75" i="16"/>
  <c r="E68" i="16"/>
  <c r="D67" i="16"/>
  <c r="C67" i="16"/>
  <c r="B67" i="16"/>
  <c r="C61" i="16"/>
  <c r="B61" i="16"/>
  <c r="A61" i="16"/>
  <c r="E60" i="16"/>
  <c r="A56" i="16"/>
  <c r="E55" i="16"/>
  <c r="D55" i="16"/>
  <c r="C55" i="16"/>
  <c r="B55" i="16"/>
  <c r="A55" i="16"/>
  <c r="C50" i="16"/>
  <c r="C49" i="16"/>
  <c r="B49" i="16"/>
  <c r="C44" i="16"/>
  <c r="E43" i="16"/>
  <c r="D43" i="16"/>
  <c r="C43" i="16"/>
  <c r="E41" i="16"/>
  <c r="D41" i="16"/>
  <c r="A38" i="16"/>
  <c r="B73" i="15"/>
  <c r="A73" i="15"/>
  <c r="B72" i="15"/>
  <c r="B71" i="15"/>
  <c r="C70" i="15"/>
  <c r="B70" i="15"/>
  <c r="B68" i="15"/>
  <c r="B67" i="15"/>
  <c r="B64" i="15"/>
  <c r="B63" i="15"/>
  <c r="B62" i="15"/>
  <c r="A62" i="15"/>
  <c r="B61" i="15"/>
  <c r="B60" i="15"/>
  <c r="B59" i="15"/>
  <c r="A59" i="15"/>
  <c r="B52" i="15"/>
  <c r="B51" i="15"/>
  <c r="B49" i="15"/>
  <c r="B48" i="15"/>
  <c r="B47" i="15"/>
  <c r="B43" i="15"/>
  <c r="A42" i="15"/>
  <c r="B41" i="15"/>
  <c r="A41" i="15"/>
  <c r="B40" i="15"/>
  <c r="B39" i="15"/>
  <c r="C38" i="15"/>
  <c r="B38" i="15"/>
  <c r="B36" i="15"/>
  <c r="B31" i="15"/>
  <c r="B30" i="15"/>
  <c r="B29" i="15"/>
  <c r="B28" i="15"/>
  <c r="F82" i="14"/>
  <c r="B82" i="14"/>
  <c r="B81" i="14"/>
  <c r="G80" i="14"/>
  <c r="F80" i="14"/>
  <c r="B78" i="14"/>
  <c r="B77" i="14"/>
  <c r="B76" i="14"/>
  <c r="B73" i="14"/>
  <c r="G72" i="14"/>
  <c r="F72" i="14"/>
  <c r="G71" i="14"/>
  <c r="F71" i="14"/>
  <c r="F70" i="14"/>
  <c r="B69" i="14"/>
  <c r="A69" i="14"/>
  <c r="B68" i="14"/>
  <c r="A68" i="14"/>
  <c r="F67" i="14"/>
  <c r="B67" i="14"/>
  <c r="G66" i="14"/>
  <c r="F66" i="14"/>
  <c r="B66" i="14"/>
  <c r="B65" i="14"/>
  <c r="F63" i="14"/>
  <c r="E63" i="14"/>
  <c r="D63" i="14"/>
  <c r="C63" i="14"/>
  <c r="B63" i="14"/>
  <c r="F62" i="14"/>
  <c r="B62" i="14"/>
  <c r="B61" i="14"/>
  <c r="B59" i="14"/>
  <c r="G58" i="14"/>
  <c r="F58" i="14"/>
  <c r="B58" i="14"/>
  <c r="A58" i="14"/>
  <c r="G57" i="14"/>
  <c r="B57" i="14"/>
  <c r="F54" i="14"/>
  <c r="B54" i="14"/>
  <c r="B53" i="14"/>
  <c r="F50" i="14"/>
  <c r="B50" i="14"/>
  <c r="B49" i="14"/>
  <c r="G48" i="14"/>
  <c r="B46" i="14"/>
  <c r="G45" i="14"/>
  <c r="F45" i="14"/>
  <c r="B45" i="14"/>
  <c r="B44" i="14"/>
  <c r="F41" i="14"/>
  <c r="B41" i="14"/>
  <c r="F40" i="14"/>
  <c r="B40" i="14"/>
  <c r="G39" i="14"/>
  <c r="F39" i="14"/>
  <c r="B38" i="14"/>
  <c r="C74" i="13"/>
  <c r="B74" i="13"/>
  <c r="E73" i="13"/>
  <c r="A73" i="13"/>
  <c r="C71" i="13"/>
  <c r="D68" i="13"/>
  <c r="C68" i="13"/>
  <c r="B68" i="13"/>
  <c r="A68" i="13"/>
  <c r="D67" i="13"/>
  <c r="C67" i="13"/>
  <c r="C63" i="13"/>
  <c r="B63" i="13"/>
  <c r="C62" i="13"/>
  <c r="B62" i="13"/>
  <c r="A62" i="13"/>
  <c r="A58" i="13"/>
  <c r="E57" i="13"/>
  <c r="E56" i="13"/>
  <c r="A53" i="13"/>
  <c r="C52" i="13"/>
  <c r="E47" i="13"/>
  <c r="B47" i="13"/>
  <c r="C42" i="13"/>
  <c r="B42" i="13"/>
  <c r="E41" i="13"/>
  <c r="A41" i="13"/>
  <c r="E40" i="13"/>
  <c r="C39" i="13"/>
  <c r="E36" i="13"/>
  <c r="D36" i="13"/>
  <c r="C36" i="13"/>
  <c r="B36" i="13"/>
  <c r="E35" i="13"/>
  <c r="D35" i="13"/>
  <c r="C35" i="13"/>
  <c r="C31" i="13"/>
  <c r="B31" i="13"/>
  <c r="D30" i="13"/>
  <c r="C30" i="13"/>
  <c r="B30" i="13"/>
  <c r="A30" i="13"/>
  <c r="E29" i="13"/>
  <c r="A27" i="13"/>
  <c r="M125" i="12"/>
  <c r="L125" i="12"/>
  <c r="K125" i="12"/>
  <c r="M124" i="12"/>
  <c r="L124" i="12"/>
  <c r="K124" i="12"/>
  <c r="M123" i="12"/>
  <c r="L123" i="12"/>
  <c r="K123" i="12"/>
  <c r="M122" i="12"/>
  <c r="L122" i="12"/>
  <c r="K122" i="12"/>
  <c r="M121" i="12"/>
  <c r="L121" i="12"/>
  <c r="K121" i="12"/>
  <c r="M120" i="12"/>
  <c r="L120" i="12"/>
  <c r="K120" i="12"/>
  <c r="M119" i="12"/>
  <c r="L119" i="12"/>
  <c r="K119" i="12"/>
  <c r="M118" i="12"/>
  <c r="L118" i="12"/>
  <c r="K118" i="12"/>
  <c r="M117" i="12"/>
  <c r="L117" i="12"/>
  <c r="K117" i="12"/>
  <c r="M116" i="12"/>
  <c r="L116" i="12"/>
  <c r="K116" i="12"/>
  <c r="M115" i="12"/>
  <c r="L115" i="12"/>
  <c r="K115" i="12"/>
  <c r="M114" i="12"/>
  <c r="L114" i="12"/>
  <c r="K114" i="12"/>
  <c r="M113" i="12"/>
  <c r="L113" i="12"/>
  <c r="K113" i="12"/>
  <c r="M112" i="12"/>
  <c r="L112" i="12"/>
  <c r="K112" i="12"/>
  <c r="M111" i="12"/>
  <c r="L111" i="12"/>
  <c r="K111" i="12"/>
  <c r="M110" i="12"/>
  <c r="L110" i="12"/>
  <c r="K110" i="12"/>
  <c r="M109" i="12"/>
  <c r="L109" i="12"/>
  <c r="K109" i="12"/>
  <c r="M108" i="12"/>
  <c r="L108" i="12"/>
  <c r="K108" i="12"/>
  <c r="M107" i="12"/>
  <c r="L107" i="12"/>
  <c r="K107" i="12"/>
  <c r="M106" i="12"/>
  <c r="L106" i="12"/>
  <c r="K106" i="12"/>
  <c r="M105" i="12"/>
  <c r="L105" i="12"/>
  <c r="K105" i="12"/>
  <c r="M104" i="12"/>
  <c r="L104" i="12"/>
  <c r="K104" i="12"/>
  <c r="M103" i="12"/>
  <c r="L103" i="12"/>
  <c r="K103" i="12"/>
  <c r="M102" i="12"/>
  <c r="L102" i="12"/>
  <c r="K102" i="12"/>
  <c r="M101" i="12"/>
  <c r="L101" i="12"/>
  <c r="K101" i="12"/>
  <c r="M100" i="12"/>
  <c r="L100" i="12"/>
  <c r="K100" i="12"/>
  <c r="M99" i="12"/>
  <c r="L99" i="12"/>
  <c r="K99" i="12"/>
  <c r="M98" i="12"/>
  <c r="L98" i="12"/>
  <c r="K98" i="12"/>
  <c r="M97" i="12"/>
  <c r="L97" i="12"/>
  <c r="K97" i="12"/>
  <c r="M96" i="12"/>
  <c r="L96" i="12"/>
  <c r="K96" i="12"/>
  <c r="M95" i="12"/>
  <c r="L95" i="12"/>
  <c r="K95" i="12"/>
  <c r="M94" i="12"/>
  <c r="L94" i="12"/>
  <c r="K94" i="12"/>
  <c r="M93" i="12"/>
  <c r="L93" i="12"/>
  <c r="K93" i="12"/>
  <c r="M92" i="12"/>
  <c r="L92" i="12"/>
  <c r="K92" i="12"/>
  <c r="M91" i="12"/>
  <c r="L91" i="12"/>
  <c r="K91" i="12"/>
  <c r="M90" i="12"/>
  <c r="L90" i="12"/>
  <c r="K90" i="12"/>
  <c r="M89" i="12"/>
  <c r="L89" i="12"/>
  <c r="K89" i="12"/>
  <c r="M88" i="12"/>
  <c r="L88" i="12"/>
  <c r="K88" i="12"/>
  <c r="M87" i="12"/>
  <c r="L87" i="12"/>
  <c r="K87" i="12"/>
  <c r="M86" i="12"/>
  <c r="L86" i="12"/>
  <c r="K86" i="12"/>
  <c r="M85" i="12"/>
  <c r="L85" i="12"/>
  <c r="K85" i="12"/>
  <c r="M84" i="12"/>
  <c r="L84" i="12"/>
  <c r="K84" i="12"/>
  <c r="M83" i="12"/>
  <c r="L83" i="12"/>
  <c r="K83" i="12"/>
  <c r="M82" i="12"/>
  <c r="L82" i="12"/>
  <c r="K82" i="12"/>
  <c r="M81" i="12"/>
  <c r="L81" i="12"/>
  <c r="K81" i="12"/>
  <c r="M80" i="12"/>
  <c r="L80" i="12"/>
  <c r="K80" i="12"/>
  <c r="M79" i="12"/>
  <c r="L79" i="12"/>
  <c r="K79" i="12"/>
  <c r="M78" i="12"/>
  <c r="L78" i="12"/>
  <c r="K78" i="12"/>
  <c r="M77" i="12"/>
  <c r="L77" i="12"/>
  <c r="K77" i="12"/>
  <c r="M76" i="12"/>
  <c r="L76" i="12"/>
  <c r="K76" i="12"/>
  <c r="M75" i="12"/>
  <c r="L75" i="12"/>
  <c r="K75" i="12"/>
  <c r="M74" i="12"/>
  <c r="L74" i="12"/>
  <c r="K74" i="12"/>
  <c r="M73" i="12"/>
  <c r="L73" i="12"/>
  <c r="K73" i="12"/>
  <c r="M72" i="12"/>
  <c r="L72" i="12"/>
  <c r="K72" i="12"/>
  <c r="M71" i="12"/>
  <c r="L71" i="12"/>
  <c r="K71" i="12"/>
  <c r="M70" i="12"/>
  <c r="L70" i="12"/>
  <c r="K70" i="12"/>
  <c r="M69" i="12"/>
  <c r="L69" i="12"/>
  <c r="K69" i="12"/>
  <c r="M68" i="12"/>
  <c r="L68" i="12"/>
  <c r="K68" i="12"/>
  <c r="M67" i="12"/>
  <c r="L67" i="12"/>
  <c r="K67" i="12"/>
  <c r="M66" i="12"/>
  <c r="L66" i="12"/>
  <c r="K66" i="12"/>
  <c r="M65" i="12"/>
  <c r="L65" i="12"/>
  <c r="K65" i="12"/>
  <c r="M64" i="12"/>
  <c r="L64" i="12"/>
  <c r="K64" i="12"/>
  <c r="M63" i="12"/>
  <c r="L63" i="12"/>
  <c r="K63" i="12"/>
  <c r="M62" i="12"/>
  <c r="L62" i="12"/>
  <c r="K62" i="12"/>
  <c r="M61" i="12"/>
  <c r="L61" i="12"/>
  <c r="K61" i="12"/>
  <c r="M60" i="12"/>
  <c r="L60" i="12"/>
  <c r="K60" i="12"/>
  <c r="M59" i="12"/>
  <c r="L59" i="12"/>
  <c r="K59" i="12"/>
  <c r="M58" i="12"/>
  <c r="L58" i="12"/>
  <c r="K58" i="12"/>
  <c r="M57" i="12"/>
  <c r="L57" i="12"/>
  <c r="K57" i="12"/>
  <c r="M56" i="12"/>
  <c r="L56" i="12"/>
  <c r="K56" i="12"/>
  <c r="M55" i="12"/>
  <c r="L55" i="12"/>
  <c r="K55" i="12"/>
  <c r="M54" i="12"/>
  <c r="L54" i="12"/>
  <c r="K54" i="12"/>
  <c r="M53" i="12"/>
  <c r="L53" i="12"/>
  <c r="K53" i="12"/>
  <c r="M52" i="12"/>
  <c r="L52" i="12"/>
  <c r="K52" i="12"/>
  <c r="M51" i="12"/>
  <c r="L51" i="12"/>
  <c r="K51" i="12"/>
  <c r="M50" i="12"/>
  <c r="L50" i="12"/>
  <c r="K50" i="12"/>
  <c r="AF49" i="12"/>
  <c r="F84" i="14" s="1"/>
  <c r="AB49" i="12"/>
  <c r="B84" i="14" s="1"/>
  <c r="AA49" i="12"/>
  <c r="A74" i="15" s="1"/>
  <c r="V49" i="12"/>
  <c r="C85" i="16" s="1"/>
  <c r="U49" i="12"/>
  <c r="B85" i="16" s="1"/>
  <c r="M49" i="12"/>
  <c r="L49" i="12"/>
  <c r="K49" i="12"/>
  <c r="F49" i="12"/>
  <c r="AF48" i="12"/>
  <c r="F83" i="14" s="1"/>
  <c r="AB48" i="12"/>
  <c r="B83" i="14" s="1"/>
  <c r="AA48" i="12"/>
  <c r="A83" i="14" s="1"/>
  <c r="X48" i="12"/>
  <c r="E84" i="16" s="1"/>
  <c r="W48" i="12"/>
  <c r="V48" i="12"/>
  <c r="U48" i="12"/>
  <c r="T48" i="12"/>
  <c r="A84" i="16" s="1"/>
  <c r="M48" i="12"/>
  <c r="L48" i="12"/>
  <c r="K48" i="12"/>
  <c r="I48" i="12"/>
  <c r="H48" i="12"/>
  <c r="G48" i="12"/>
  <c r="F48" i="12"/>
  <c r="A48" i="12"/>
  <c r="AF47" i="12"/>
  <c r="AB47" i="12"/>
  <c r="M47" i="12"/>
  <c r="L47" i="12"/>
  <c r="K47" i="12"/>
  <c r="I47" i="12"/>
  <c r="H47" i="12"/>
  <c r="G47" i="12"/>
  <c r="B47" i="12"/>
  <c r="A47" i="12"/>
  <c r="AG46" i="12"/>
  <c r="G81" i="14" s="1"/>
  <c r="AF46" i="12"/>
  <c r="F81" i="14" s="1"/>
  <c r="AB46" i="12"/>
  <c r="V46" i="12"/>
  <c r="U46" i="12"/>
  <c r="B71" i="13" s="1"/>
  <c r="M46" i="12"/>
  <c r="L46" i="12"/>
  <c r="K46" i="12"/>
  <c r="G46" i="12"/>
  <c r="F46" i="12"/>
  <c r="A46" i="12"/>
  <c r="AG45" i="12"/>
  <c r="AF45" i="12"/>
  <c r="AE45" i="12"/>
  <c r="E80" i="14" s="1"/>
  <c r="AD45" i="12"/>
  <c r="D80" i="14" s="1"/>
  <c r="AC45" i="12"/>
  <c r="C80" i="14" s="1"/>
  <c r="AB45" i="12"/>
  <c r="B80" i="14" s="1"/>
  <c r="AA45" i="12"/>
  <c r="A80" i="14" s="1"/>
  <c r="Y45" i="12"/>
  <c r="F70" i="13" s="1"/>
  <c r="X45" i="12"/>
  <c r="E70" i="13" s="1"/>
  <c r="W45" i="12"/>
  <c r="D70" i="13" s="1"/>
  <c r="V45" i="12"/>
  <c r="C70" i="13" s="1"/>
  <c r="U45" i="12"/>
  <c r="B70" i="13" s="1"/>
  <c r="M45" i="12"/>
  <c r="L45" i="12"/>
  <c r="K45" i="12"/>
  <c r="I45" i="12"/>
  <c r="AF44" i="12"/>
  <c r="F79" i="14" s="1"/>
  <c r="AB44" i="12"/>
  <c r="B69" i="15" s="1"/>
  <c r="AA44" i="12"/>
  <c r="A69" i="15" s="1"/>
  <c r="W44" i="12"/>
  <c r="V44" i="12"/>
  <c r="U44" i="12"/>
  <c r="B69" i="13" s="1"/>
  <c r="M44" i="12"/>
  <c r="L44" i="12"/>
  <c r="K44" i="12"/>
  <c r="I44" i="12"/>
  <c r="H44" i="12"/>
  <c r="AF43" i="12"/>
  <c r="F78" i="14" s="1"/>
  <c r="AB43" i="12"/>
  <c r="W43" i="12"/>
  <c r="D79" i="16" s="1"/>
  <c r="V43" i="12"/>
  <c r="C79" i="16" s="1"/>
  <c r="U43" i="12"/>
  <c r="B79" i="16" s="1"/>
  <c r="T43" i="12"/>
  <c r="A79" i="16" s="1"/>
  <c r="M43" i="12"/>
  <c r="L43" i="12"/>
  <c r="K43" i="12"/>
  <c r="H43" i="12"/>
  <c r="G43" i="12"/>
  <c r="F43" i="12"/>
  <c r="A43" i="12"/>
  <c r="AG42" i="12"/>
  <c r="G77" i="14" s="1"/>
  <c r="AF42" i="12"/>
  <c r="F77" i="14" s="1"/>
  <c r="AB42" i="12"/>
  <c r="W42" i="12"/>
  <c r="D78" i="16" s="1"/>
  <c r="V42" i="12"/>
  <c r="C78" i="16" s="1"/>
  <c r="M42" i="12"/>
  <c r="L42" i="12"/>
  <c r="K42" i="12"/>
  <c r="H42" i="12"/>
  <c r="G42" i="12"/>
  <c r="D42" i="12"/>
  <c r="C42" i="12"/>
  <c r="B42" i="12"/>
  <c r="A42" i="12"/>
  <c r="AG41" i="12"/>
  <c r="G76" i="14" s="1"/>
  <c r="AF41" i="12"/>
  <c r="F76" i="14" s="1"/>
  <c r="AB41" i="12"/>
  <c r="B66" i="15" s="1"/>
  <c r="AA41" i="12"/>
  <c r="A66" i="15" s="1"/>
  <c r="X41" i="12"/>
  <c r="W41" i="12"/>
  <c r="M41" i="12"/>
  <c r="L41" i="12"/>
  <c r="K41" i="12"/>
  <c r="AF40" i="12"/>
  <c r="F75" i="14" s="1"/>
  <c r="AE40" i="12"/>
  <c r="E75" i="14" s="1"/>
  <c r="AD40" i="12"/>
  <c r="D75" i="14" s="1"/>
  <c r="AC40" i="12"/>
  <c r="C75" i="14" s="1"/>
  <c r="AB40" i="12"/>
  <c r="B75" i="14" s="1"/>
  <c r="AA40" i="12"/>
  <c r="A75" i="14" s="1"/>
  <c r="Y40" i="12"/>
  <c r="F65" i="13" s="1"/>
  <c r="X40" i="12"/>
  <c r="E65" i="13" s="1"/>
  <c r="W40" i="12"/>
  <c r="V40" i="12"/>
  <c r="U40" i="12"/>
  <c r="T40" i="12"/>
  <c r="A65" i="13" s="1"/>
  <c r="M40" i="12"/>
  <c r="L40" i="12"/>
  <c r="K40" i="12"/>
  <c r="H40" i="12"/>
  <c r="G40" i="12"/>
  <c r="F40" i="12"/>
  <c r="AG39" i="12"/>
  <c r="G74" i="14" s="1"/>
  <c r="AF39" i="12"/>
  <c r="F74" i="14" s="1"/>
  <c r="AB39" i="12"/>
  <c r="B74" i="14" s="1"/>
  <c r="W39" i="12"/>
  <c r="D64" i="13" s="1"/>
  <c r="M39" i="12"/>
  <c r="L39" i="12"/>
  <c r="K39" i="12"/>
  <c r="I39" i="12"/>
  <c r="H39" i="12"/>
  <c r="G39" i="12"/>
  <c r="F39" i="12"/>
  <c r="C39" i="12"/>
  <c r="B39" i="12"/>
  <c r="A39" i="12"/>
  <c r="AF38" i="12"/>
  <c r="F73" i="14" s="1"/>
  <c r="AB38" i="12"/>
  <c r="M38" i="12"/>
  <c r="L38" i="12"/>
  <c r="K38" i="12"/>
  <c r="A38" i="12"/>
  <c r="AG37" i="12"/>
  <c r="AF37" i="12"/>
  <c r="AB37" i="12"/>
  <c r="B72" i="14" s="1"/>
  <c r="AA37" i="12"/>
  <c r="A72" i="14" s="1"/>
  <c r="X37" i="12"/>
  <c r="E62" i="13" s="1"/>
  <c r="W37" i="12"/>
  <c r="D62" i="13" s="1"/>
  <c r="V37" i="12"/>
  <c r="C73" i="16" s="1"/>
  <c r="U37" i="12"/>
  <c r="B73" i="16" s="1"/>
  <c r="M37" i="12"/>
  <c r="L37" i="12"/>
  <c r="K37" i="12"/>
  <c r="H37" i="12"/>
  <c r="AF36" i="12"/>
  <c r="AB36" i="12"/>
  <c r="B71" i="14" s="1"/>
  <c r="AA36" i="12"/>
  <c r="A71" i="14" s="1"/>
  <c r="X36" i="12"/>
  <c r="E72" i="16" s="1"/>
  <c r="W36" i="12"/>
  <c r="V36" i="12"/>
  <c r="U36" i="12"/>
  <c r="T36" i="12"/>
  <c r="A61" i="13" s="1"/>
  <c r="M36" i="12"/>
  <c r="L36" i="12"/>
  <c r="K36" i="12"/>
  <c r="I36" i="12"/>
  <c r="H36" i="12"/>
  <c r="B36" i="12"/>
  <c r="AF35" i="12"/>
  <c r="AB35" i="12"/>
  <c r="B70" i="14" s="1"/>
  <c r="M35" i="12"/>
  <c r="L35" i="12"/>
  <c r="K35" i="12"/>
  <c r="G35" i="12"/>
  <c r="F35" i="12"/>
  <c r="A35" i="12"/>
  <c r="AG34" i="12"/>
  <c r="G69" i="14" s="1"/>
  <c r="AF34" i="12"/>
  <c r="F69" i="14" s="1"/>
  <c r="AB34" i="12"/>
  <c r="AA34" i="12"/>
  <c r="M34" i="12"/>
  <c r="L34" i="12"/>
  <c r="K34" i="12"/>
  <c r="H34" i="12"/>
  <c r="G34" i="12"/>
  <c r="F34" i="12"/>
  <c r="B34" i="12"/>
  <c r="A34" i="12"/>
  <c r="AG33" i="12"/>
  <c r="G68" i="14" s="1"/>
  <c r="AF33" i="12"/>
  <c r="F68" i="14" s="1"/>
  <c r="AE33" i="12"/>
  <c r="E68" i="14" s="1"/>
  <c r="AD33" i="12"/>
  <c r="D68" i="14" s="1"/>
  <c r="AB33" i="12"/>
  <c r="B58" i="15" s="1"/>
  <c r="AA33" i="12"/>
  <c r="A58" i="15" s="1"/>
  <c r="X33" i="12"/>
  <c r="W33" i="12"/>
  <c r="M33" i="12"/>
  <c r="L33" i="12"/>
  <c r="K33" i="12"/>
  <c r="I33" i="12"/>
  <c r="AF32" i="12"/>
  <c r="AB32" i="12"/>
  <c r="B57" i="15" s="1"/>
  <c r="X32" i="12"/>
  <c r="W32" i="12"/>
  <c r="D57" i="13" s="1"/>
  <c r="V32" i="12"/>
  <c r="C57" i="13" s="1"/>
  <c r="M32" i="12"/>
  <c r="L32" i="12"/>
  <c r="K32" i="12"/>
  <c r="H32" i="12"/>
  <c r="AG31" i="12"/>
  <c r="AF31" i="12"/>
  <c r="AB31" i="12"/>
  <c r="B56" i="15" s="1"/>
  <c r="W31" i="12"/>
  <c r="D56" i="13" s="1"/>
  <c r="V31" i="12"/>
  <c r="C56" i="13" s="1"/>
  <c r="U31" i="12"/>
  <c r="B56" i="13" s="1"/>
  <c r="T31" i="12"/>
  <c r="A56" i="13" s="1"/>
  <c r="M31" i="12"/>
  <c r="L31" i="12"/>
  <c r="K31" i="12"/>
  <c r="I31" i="12"/>
  <c r="H31" i="12"/>
  <c r="G31" i="12"/>
  <c r="F31" i="12"/>
  <c r="C31" i="12"/>
  <c r="B31" i="12"/>
  <c r="A31" i="12"/>
  <c r="AG30" i="12"/>
  <c r="G65" i="14" s="1"/>
  <c r="AF30" i="12"/>
  <c r="F65" i="14" s="1"/>
  <c r="AB30" i="12"/>
  <c r="B55" i="15" s="1"/>
  <c r="M30" i="12"/>
  <c r="L30" i="12"/>
  <c r="K30" i="12"/>
  <c r="C30" i="12"/>
  <c r="B30" i="12"/>
  <c r="A30" i="12"/>
  <c r="AF29" i="12"/>
  <c r="F64" i="14" s="1"/>
  <c r="AB29" i="12"/>
  <c r="B54" i="15" s="1"/>
  <c r="X29" i="12"/>
  <c r="W29" i="12"/>
  <c r="M29" i="12"/>
  <c r="L29" i="12"/>
  <c r="K29" i="12"/>
  <c r="AF28" i="12"/>
  <c r="AE28" i="12"/>
  <c r="AD28" i="12"/>
  <c r="AC28" i="12"/>
  <c r="C53" i="15" s="1"/>
  <c r="AB28" i="12"/>
  <c r="B53" i="15" s="1"/>
  <c r="AA28" i="12"/>
  <c r="A53" i="15" s="1"/>
  <c r="Y28" i="12"/>
  <c r="F53" i="13" s="1"/>
  <c r="X28" i="12"/>
  <c r="E64" i="16" s="1"/>
  <c r="W28" i="12"/>
  <c r="V28" i="12"/>
  <c r="U28" i="12"/>
  <c r="T28" i="12"/>
  <c r="A64" i="16" s="1"/>
  <c r="M28" i="12"/>
  <c r="L28" i="12"/>
  <c r="K28" i="12"/>
  <c r="I28" i="12"/>
  <c r="H28" i="12"/>
  <c r="G28" i="12"/>
  <c r="F28" i="12"/>
  <c r="B28" i="12"/>
  <c r="AF27" i="12"/>
  <c r="AB27" i="12"/>
  <c r="V27" i="12"/>
  <c r="C63" i="16" s="1"/>
  <c r="M27" i="12"/>
  <c r="L27" i="12"/>
  <c r="K27" i="12"/>
  <c r="I27" i="12"/>
  <c r="H27" i="12"/>
  <c r="G27" i="12"/>
  <c r="F27" i="12"/>
  <c r="D27" i="12"/>
  <c r="C27" i="12"/>
  <c r="B27" i="12"/>
  <c r="A27" i="12"/>
  <c r="AG26" i="12"/>
  <c r="G61" i="14" s="1"/>
  <c r="AF26" i="12"/>
  <c r="F61" i="14" s="1"/>
  <c r="AB26" i="12"/>
  <c r="M26" i="12"/>
  <c r="L26" i="12"/>
  <c r="K26" i="12"/>
  <c r="AG25" i="12"/>
  <c r="G60" i="14" s="1"/>
  <c r="AF25" i="12"/>
  <c r="F60" i="14" s="1"/>
  <c r="AE25" i="12"/>
  <c r="E60" i="14" s="1"/>
  <c r="AD25" i="12"/>
  <c r="D60" i="14" s="1"/>
  <c r="AC25" i="12"/>
  <c r="C60" i="14" s="1"/>
  <c r="AB25" i="12"/>
  <c r="B60" i="14" s="1"/>
  <c r="AA25" i="12"/>
  <c r="A60" i="14" s="1"/>
  <c r="Y25" i="12"/>
  <c r="F50" i="13" s="1"/>
  <c r="X25" i="12"/>
  <c r="W25" i="12"/>
  <c r="V25" i="12"/>
  <c r="C50" i="13" s="1"/>
  <c r="U25" i="12"/>
  <c r="B50" i="13" s="1"/>
  <c r="M25" i="12"/>
  <c r="L25" i="12"/>
  <c r="K25" i="12"/>
  <c r="C25" i="12"/>
  <c r="AF24" i="12"/>
  <c r="F59" i="14" s="1"/>
  <c r="AB24" i="12"/>
  <c r="X24" i="12"/>
  <c r="E49" i="13" s="1"/>
  <c r="W24" i="12"/>
  <c r="V24" i="12"/>
  <c r="U24" i="12"/>
  <c r="M24" i="12"/>
  <c r="L24" i="12"/>
  <c r="K24" i="12"/>
  <c r="I24" i="12"/>
  <c r="H24" i="12"/>
  <c r="G24" i="12"/>
  <c r="AF23" i="12"/>
  <c r="AB23" i="12"/>
  <c r="T23" i="12"/>
  <c r="A59" i="16" s="1"/>
  <c r="M23" i="12"/>
  <c r="L23" i="12"/>
  <c r="K23" i="12"/>
  <c r="I23" i="12"/>
  <c r="F23" i="12"/>
  <c r="B23" i="12"/>
  <c r="A23" i="12"/>
  <c r="AG22" i="12"/>
  <c r="AF22" i="12"/>
  <c r="F57" i="14" s="1"/>
  <c r="AB22" i="12"/>
  <c r="X22" i="12"/>
  <c r="E58" i="16" s="1"/>
  <c r="M22" i="12"/>
  <c r="L22" i="12"/>
  <c r="K22" i="12"/>
  <c r="H22" i="12"/>
  <c r="G22" i="12"/>
  <c r="F22" i="12"/>
  <c r="C22" i="12"/>
  <c r="B22" i="12"/>
  <c r="A22" i="12"/>
  <c r="AG21" i="12"/>
  <c r="G56" i="14" s="1"/>
  <c r="AF21" i="12"/>
  <c r="F56" i="14" s="1"/>
  <c r="AB21" i="12"/>
  <c r="B46" i="15" s="1"/>
  <c r="X21" i="12"/>
  <c r="W21" i="12"/>
  <c r="M21" i="12"/>
  <c r="L21" i="12"/>
  <c r="K21" i="12"/>
  <c r="AF20" i="12"/>
  <c r="F55" i="14" s="1"/>
  <c r="AB20" i="12"/>
  <c r="B45" i="15" s="1"/>
  <c r="AA20" i="12"/>
  <c r="A45" i="15" s="1"/>
  <c r="U20" i="12"/>
  <c r="T20" i="12"/>
  <c r="A45" i="13" s="1"/>
  <c r="M20" i="12"/>
  <c r="L20" i="12"/>
  <c r="K20" i="12"/>
  <c r="I20" i="12"/>
  <c r="F20" i="12"/>
  <c r="A20" i="12"/>
  <c r="AF19" i="12"/>
  <c r="AB19" i="12"/>
  <c r="B44" i="15" s="1"/>
  <c r="W19" i="12"/>
  <c r="D44" i="13" s="1"/>
  <c r="V19" i="12"/>
  <c r="C44" i="13" s="1"/>
  <c r="U19" i="12"/>
  <c r="B44" i="13" s="1"/>
  <c r="T19" i="12"/>
  <c r="A44" i="13" s="1"/>
  <c r="M19" i="12"/>
  <c r="L19" i="12"/>
  <c r="K19" i="12"/>
  <c r="I19" i="12"/>
  <c r="H19" i="12"/>
  <c r="G19" i="12"/>
  <c r="F19" i="12"/>
  <c r="C19" i="12"/>
  <c r="B19" i="12"/>
  <c r="A19" i="12"/>
  <c r="AG18" i="12"/>
  <c r="G53" i="14" s="1"/>
  <c r="AF18" i="12"/>
  <c r="F53" i="14" s="1"/>
  <c r="AB18" i="12"/>
  <c r="M18" i="12"/>
  <c r="L18" i="12"/>
  <c r="K18" i="12"/>
  <c r="B18" i="12"/>
  <c r="AF17" i="12"/>
  <c r="F52" i="14" s="1"/>
  <c r="AB17" i="12"/>
  <c r="B52" i="14" s="1"/>
  <c r="AA17" i="12"/>
  <c r="A52" i="14" s="1"/>
  <c r="V17" i="12"/>
  <c r="C53" i="16" s="1"/>
  <c r="U17" i="12"/>
  <c r="B53" i="16" s="1"/>
  <c r="M17" i="12"/>
  <c r="L17" i="12"/>
  <c r="K17" i="12"/>
  <c r="AF16" i="12"/>
  <c r="F51" i="14" s="1"/>
  <c r="AB16" i="12"/>
  <c r="B51" i="14" s="1"/>
  <c r="AA16" i="12"/>
  <c r="A51" i="14" s="1"/>
  <c r="X16" i="12"/>
  <c r="E52" i="16" s="1"/>
  <c r="W16" i="12"/>
  <c r="V16" i="12"/>
  <c r="U16" i="12"/>
  <c r="T16" i="12"/>
  <c r="A52" i="16" s="1"/>
  <c r="M16" i="12"/>
  <c r="L16" i="12"/>
  <c r="K16" i="12"/>
  <c r="I16" i="12"/>
  <c r="H16" i="12"/>
  <c r="G16" i="12"/>
  <c r="F16" i="12"/>
  <c r="A16" i="12"/>
  <c r="AF15" i="12"/>
  <c r="AB15" i="12"/>
  <c r="M15" i="12"/>
  <c r="L15" i="12"/>
  <c r="K15" i="12"/>
  <c r="I15" i="12"/>
  <c r="H15" i="12"/>
  <c r="G15" i="12"/>
  <c r="B15" i="12"/>
  <c r="AF14" i="12"/>
  <c r="F49" i="14" s="1"/>
  <c r="AB14" i="12"/>
  <c r="V14" i="12"/>
  <c r="M14" i="12"/>
  <c r="L14" i="12"/>
  <c r="K14" i="12"/>
  <c r="G14" i="12"/>
  <c r="F14" i="12"/>
  <c r="A14" i="12"/>
  <c r="AG13" i="12"/>
  <c r="AF13" i="12"/>
  <c r="F48" i="14" s="1"/>
  <c r="AE13" i="12"/>
  <c r="E48" i="14" s="1"/>
  <c r="AD13" i="12"/>
  <c r="D48" i="14" s="1"/>
  <c r="AC13" i="12"/>
  <c r="C48" i="14" s="1"/>
  <c r="AB13" i="12"/>
  <c r="B48" i="14" s="1"/>
  <c r="AA13" i="12"/>
  <c r="A48" i="14" s="1"/>
  <c r="Y13" i="12"/>
  <c r="F38" i="13" s="1"/>
  <c r="X13" i="12"/>
  <c r="W13" i="12"/>
  <c r="D38" i="13" s="1"/>
  <c r="V13" i="12"/>
  <c r="C38" i="13" s="1"/>
  <c r="U13" i="12"/>
  <c r="B38" i="13" s="1"/>
  <c r="M13" i="12"/>
  <c r="L13" i="12"/>
  <c r="K13" i="12"/>
  <c r="I13" i="12"/>
  <c r="AF12" i="12"/>
  <c r="F47" i="14" s="1"/>
  <c r="AB12" i="12"/>
  <c r="B37" i="15" s="1"/>
  <c r="AA12" i="12"/>
  <c r="A37" i="15" s="1"/>
  <c r="W12" i="12"/>
  <c r="V12" i="12"/>
  <c r="M12" i="12"/>
  <c r="L12" i="12"/>
  <c r="K12" i="12"/>
  <c r="I12" i="12"/>
  <c r="H12" i="12"/>
  <c r="AF11" i="12"/>
  <c r="F46" i="14" s="1"/>
  <c r="AB11" i="12"/>
  <c r="W11" i="12"/>
  <c r="D47" i="16" s="1"/>
  <c r="V11" i="12"/>
  <c r="C47" i="16" s="1"/>
  <c r="U11" i="12"/>
  <c r="B47" i="16" s="1"/>
  <c r="T11" i="12"/>
  <c r="A47" i="16" s="1"/>
  <c r="Q11" i="12"/>
  <c r="P11" i="12"/>
  <c r="R11" i="12" s="1"/>
  <c r="M11" i="12"/>
  <c r="L11" i="12"/>
  <c r="K11" i="12"/>
  <c r="I11" i="12"/>
  <c r="H11" i="12"/>
  <c r="G11" i="12"/>
  <c r="F11" i="12"/>
  <c r="A11" i="12"/>
  <c r="AG10" i="12"/>
  <c r="AF10" i="12"/>
  <c r="AB10" i="12"/>
  <c r="B35" i="15" s="1"/>
  <c r="W10" i="12"/>
  <c r="D46" i="16" s="1"/>
  <c r="V10" i="12"/>
  <c r="C46" i="16" s="1"/>
  <c r="Q10" i="12"/>
  <c r="P10" i="12" s="1"/>
  <c r="R10" i="12" s="1"/>
  <c r="M10" i="12"/>
  <c r="L10" i="12"/>
  <c r="K10" i="12"/>
  <c r="I10" i="12"/>
  <c r="H10" i="12"/>
  <c r="G10" i="12"/>
  <c r="F10" i="12"/>
  <c r="D10" i="12"/>
  <c r="C10" i="12"/>
  <c r="B10" i="12"/>
  <c r="AF9" i="12"/>
  <c r="F44" i="14" s="1"/>
  <c r="AB9" i="12"/>
  <c r="B34" i="15" s="1"/>
  <c r="Q9" i="12"/>
  <c r="P9" i="12" s="1"/>
  <c r="R9" i="12" s="1"/>
  <c r="M9" i="12"/>
  <c r="L9" i="12"/>
  <c r="K9" i="12"/>
  <c r="C9" i="12"/>
  <c r="B9" i="12"/>
  <c r="A9" i="12"/>
  <c r="AG8" i="12"/>
  <c r="G43" i="14" s="1"/>
  <c r="AF8" i="12"/>
  <c r="F43" i="14" s="1"/>
  <c r="AE8" i="12"/>
  <c r="E43" i="14" s="1"/>
  <c r="AD8" i="12"/>
  <c r="D43" i="14" s="1"/>
  <c r="AC8" i="12"/>
  <c r="C43" i="14" s="1"/>
  <c r="AB8" i="12"/>
  <c r="B43" i="14" s="1"/>
  <c r="AA8" i="12"/>
  <c r="Y8" i="12"/>
  <c r="F33" i="13" s="1"/>
  <c r="X8" i="12"/>
  <c r="W8" i="12"/>
  <c r="D33" i="13" s="1"/>
  <c r="V8" i="12"/>
  <c r="C33" i="13" s="1"/>
  <c r="Q8" i="12"/>
  <c r="P8" i="12" s="1"/>
  <c r="R8" i="12" s="1"/>
  <c r="M8" i="12"/>
  <c r="L8" i="12"/>
  <c r="K8" i="12"/>
  <c r="H8" i="12"/>
  <c r="A8" i="12"/>
  <c r="AG7" i="12"/>
  <c r="G42" i="14" s="1"/>
  <c r="AF7" i="12"/>
  <c r="F42" i="14" s="1"/>
  <c r="AB7" i="12"/>
  <c r="AA7" i="12"/>
  <c r="Y7" i="12"/>
  <c r="F32" i="13" s="1"/>
  <c r="X7" i="12"/>
  <c r="E32" i="13" s="1"/>
  <c r="W7" i="12"/>
  <c r="D32" i="13" s="1"/>
  <c r="V7" i="12"/>
  <c r="C32" i="13" s="1"/>
  <c r="U7" i="12"/>
  <c r="B32" i="13" s="1"/>
  <c r="T7" i="12"/>
  <c r="A32" i="13" s="1"/>
  <c r="Q7" i="12"/>
  <c r="P7" i="12" s="1"/>
  <c r="R7" i="12" s="1"/>
  <c r="M7" i="12"/>
  <c r="L7" i="12"/>
  <c r="K7" i="12"/>
  <c r="I7" i="12"/>
  <c r="H7" i="12"/>
  <c r="G7" i="12"/>
  <c r="C7" i="12"/>
  <c r="AF6" i="12"/>
  <c r="AB6" i="12"/>
  <c r="V6" i="12"/>
  <c r="C42" i="16" s="1"/>
  <c r="U6" i="12"/>
  <c r="B42" i="16" s="1"/>
  <c r="T6" i="12"/>
  <c r="A42" i="16" s="1"/>
  <c r="Q6" i="12"/>
  <c r="P6" i="12"/>
  <c r="R6" i="12" s="1"/>
  <c r="M6" i="12"/>
  <c r="L6" i="12"/>
  <c r="K6" i="12"/>
  <c r="AF5" i="12"/>
  <c r="AB5" i="12"/>
  <c r="X5" i="12"/>
  <c r="E30" i="13" s="1"/>
  <c r="W5" i="12"/>
  <c r="V5" i="12"/>
  <c r="C41" i="16" s="1"/>
  <c r="U5" i="12"/>
  <c r="B41" i="16" s="1"/>
  <c r="T5" i="12"/>
  <c r="A41" i="16" s="1"/>
  <c r="Q5" i="12"/>
  <c r="P5" i="12" s="1"/>
  <c r="R5" i="12" s="1"/>
  <c r="M5" i="12"/>
  <c r="L5" i="12"/>
  <c r="K5" i="12"/>
  <c r="I5" i="12"/>
  <c r="H5" i="12"/>
  <c r="G5" i="12"/>
  <c r="F5" i="12"/>
  <c r="C5" i="12"/>
  <c r="AF4" i="12"/>
  <c r="AB4" i="12"/>
  <c r="B39" i="14" s="1"/>
  <c r="X4" i="12"/>
  <c r="E40" i="16" s="1"/>
  <c r="Q4" i="12"/>
  <c r="P4" i="12" s="1"/>
  <c r="R4" i="12" s="1"/>
  <c r="M4" i="12"/>
  <c r="L4" i="12"/>
  <c r="K4" i="12"/>
  <c r="I4" i="12"/>
  <c r="H4" i="12"/>
  <c r="G4" i="12"/>
  <c r="F4" i="12"/>
  <c r="C4" i="12"/>
  <c r="B4" i="12"/>
  <c r="A4" i="12"/>
  <c r="AF3" i="12"/>
  <c r="F38" i="14" s="1"/>
  <c r="AB3" i="12"/>
  <c r="Q3" i="12"/>
  <c r="P3" i="12" s="1"/>
  <c r="R3" i="12" s="1"/>
  <c r="M3" i="12"/>
  <c r="L3" i="12"/>
  <c r="K3" i="12"/>
  <c r="C3" i="12"/>
  <c r="AG2" i="12"/>
  <c r="G37" i="14" s="1"/>
  <c r="AF2" i="12"/>
  <c r="F37" i="14" s="1"/>
  <c r="AC2" i="12"/>
  <c r="AB2" i="12"/>
  <c r="AA2" i="12"/>
  <c r="Y2" i="12"/>
  <c r="F27" i="13" s="1"/>
  <c r="X2" i="12"/>
  <c r="E38" i="16" s="1"/>
  <c r="T2" i="12"/>
  <c r="Q2" i="12"/>
  <c r="P2" i="12" s="1"/>
  <c r="R2" i="12" s="1"/>
  <c r="M2" i="12"/>
  <c r="L2" i="12"/>
  <c r="K2" i="12"/>
  <c r="I2" i="12"/>
  <c r="F2" i="12"/>
  <c r="B2" i="12"/>
  <c r="A2" i="12"/>
  <c r="P5" i="11"/>
  <c r="M5" i="11"/>
  <c r="J5" i="11"/>
  <c r="G5" i="11"/>
  <c r="D5" i="11"/>
  <c r="A5" i="11"/>
  <c r="J49" i="3"/>
  <c r="C49" i="12" s="1"/>
  <c r="I49" i="3"/>
  <c r="B49" i="12" s="1"/>
  <c r="H49" i="3"/>
  <c r="F49" i="3"/>
  <c r="H49" i="12" s="1"/>
  <c r="E49" i="3"/>
  <c r="G49" i="12" s="1"/>
  <c r="D49" i="3"/>
  <c r="C49" i="3"/>
  <c r="B49" i="3"/>
  <c r="T49" i="12" s="1"/>
  <c r="A85" i="16" s="1"/>
  <c r="A49" i="3"/>
  <c r="K48" i="3"/>
  <c r="D48" i="12" s="1"/>
  <c r="J48" i="3"/>
  <c r="C48" i="12" s="1"/>
  <c r="I48" i="3"/>
  <c r="B48" i="12" s="1"/>
  <c r="H48" i="3"/>
  <c r="AG48" i="12" s="1"/>
  <c r="G83" i="14" s="1"/>
  <c r="F48" i="3"/>
  <c r="E48" i="3"/>
  <c r="D48" i="3"/>
  <c r="G48" i="3" s="1"/>
  <c r="C48" i="3"/>
  <c r="B48" i="3"/>
  <c r="A48" i="3"/>
  <c r="J47" i="3"/>
  <c r="C47" i="12" s="1"/>
  <c r="I47" i="3"/>
  <c r="K47" i="3" s="1"/>
  <c r="D47" i="12" s="1"/>
  <c r="H47" i="3"/>
  <c r="AG47" i="12" s="1"/>
  <c r="G82" i="14" s="1"/>
  <c r="F47" i="3"/>
  <c r="X47" i="12" s="1"/>
  <c r="E83" i="16" s="1"/>
  <c r="E47" i="3"/>
  <c r="W47" i="12" s="1"/>
  <c r="D47" i="3"/>
  <c r="V47" i="12" s="1"/>
  <c r="C47" i="3"/>
  <c r="B47" i="3"/>
  <c r="F47" i="12" s="1"/>
  <c r="A47" i="3"/>
  <c r="J46" i="3"/>
  <c r="C46" i="12" s="1"/>
  <c r="I46" i="3"/>
  <c r="H46" i="3"/>
  <c r="I46" i="12" s="1"/>
  <c r="F46" i="3"/>
  <c r="E46" i="3"/>
  <c r="W46" i="12" s="1"/>
  <c r="D46" i="3"/>
  <c r="C46" i="3"/>
  <c r="B46" i="3"/>
  <c r="AA46" i="12" s="1"/>
  <c r="A71" i="15" s="1"/>
  <c r="A46" i="3"/>
  <c r="K45" i="3"/>
  <c r="D45" i="12" s="1"/>
  <c r="J45" i="3"/>
  <c r="C45" i="12" s="1"/>
  <c r="I45" i="3"/>
  <c r="B45" i="12" s="1"/>
  <c r="H45" i="3"/>
  <c r="G45" i="3"/>
  <c r="F45" i="3"/>
  <c r="H45" i="12" s="1"/>
  <c r="E45" i="3"/>
  <c r="G45" i="12" s="1"/>
  <c r="D45" i="3"/>
  <c r="C45" i="3"/>
  <c r="B45" i="3"/>
  <c r="T45" i="12" s="1"/>
  <c r="A45" i="3"/>
  <c r="K44" i="3"/>
  <c r="D44" i="12" s="1"/>
  <c r="J44" i="3"/>
  <c r="C44" i="12" s="1"/>
  <c r="I44" i="3"/>
  <c r="B44" i="12" s="1"/>
  <c r="H44" i="3"/>
  <c r="AG44" i="12" s="1"/>
  <c r="G79" i="14" s="1"/>
  <c r="F44" i="3"/>
  <c r="X44" i="12" s="1"/>
  <c r="E44" i="3"/>
  <c r="G44" i="12" s="1"/>
  <c r="D44" i="3"/>
  <c r="C44" i="3"/>
  <c r="G44" i="3" s="1"/>
  <c r="B44" i="3"/>
  <c r="A44" i="12" s="1"/>
  <c r="A44" i="3"/>
  <c r="J43" i="3"/>
  <c r="C43" i="12" s="1"/>
  <c r="I43" i="3"/>
  <c r="H43" i="3"/>
  <c r="G43" i="3"/>
  <c r="F43" i="3"/>
  <c r="X43" i="12" s="1"/>
  <c r="E79" i="16" s="1"/>
  <c r="E43" i="3"/>
  <c r="D43" i="3"/>
  <c r="C43" i="3"/>
  <c r="B43" i="3"/>
  <c r="AA43" i="12" s="1"/>
  <c r="A43" i="3"/>
  <c r="K42" i="3"/>
  <c r="J42" i="3"/>
  <c r="I42" i="3"/>
  <c r="H42" i="3"/>
  <c r="I42" i="12" s="1"/>
  <c r="F42" i="3"/>
  <c r="X42" i="12" s="1"/>
  <c r="E78" i="16" s="1"/>
  <c r="E42" i="3"/>
  <c r="D42" i="3"/>
  <c r="C42" i="3"/>
  <c r="U42" i="12" s="1"/>
  <c r="B42" i="3"/>
  <c r="AA42" i="12" s="1"/>
  <c r="A67" i="15" s="1"/>
  <c r="A42" i="3"/>
  <c r="J41" i="3"/>
  <c r="C41" i="12" s="1"/>
  <c r="I41" i="3"/>
  <c r="B41" i="12" s="1"/>
  <c r="H41" i="3"/>
  <c r="I41" i="12" s="1"/>
  <c r="F41" i="3"/>
  <c r="H41" i="12" s="1"/>
  <c r="E41" i="3"/>
  <c r="G41" i="12" s="1"/>
  <c r="D41" i="3"/>
  <c r="V41" i="12" s="1"/>
  <c r="C41" i="3"/>
  <c r="U41" i="12" s="1"/>
  <c r="B41" i="3"/>
  <c r="T41" i="12" s="1"/>
  <c r="A41" i="3"/>
  <c r="K40" i="3"/>
  <c r="D40" i="12" s="1"/>
  <c r="J40" i="3"/>
  <c r="C40" i="12" s="1"/>
  <c r="I40" i="3"/>
  <c r="B40" i="12" s="1"/>
  <c r="H40" i="3"/>
  <c r="AG40" i="12" s="1"/>
  <c r="G75" i="14" s="1"/>
  <c r="G40" i="3"/>
  <c r="F40" i="3"/>
  <c r="E40" i="3"/>
  <c r="D40" i="3"/>
  <c r="C40" i="3"/>
  <c r="B40" i="3"/>
  <c r="A40" i="12" s="1"/>
  <c r="A40" i="3"/>
  <c r="J39" i="3"/>
  <c r="I39" i="3"/>
  <c r="K39" i="3" s="1"/>
  <c r="D39" i="12" s="1"/>
  <c r="H39" i="3"/>
  <c r="F39" i="3"/>
  <c r="X39" i="12" s="1"/>
  <c r="E39" i="3"/>
  <c r="D39" i="3"/>
  <c r="V39" i="12" s="1"/>
  <c r="C39" i="3"/>
  <c r="G39" i="3" s="1"/>
  <c r="B39" i="3"/>
  <c r="AA39" i="12" s="1"/>
  <c r="A39" i="3"/>
  <c r="J38" i="3"/>
  <c r="C38" i="12" s="1"/>
  <c r="I38" i="3"/>
  <c r="K38" i="3" s="1"/>
  <c r="D38" i="12" s="1"/>
  <c r="H38" i="3"/>
  <c r="I38" i="12" s="1"/>
  <c r="F38" i="3"/>
  <c r="E38" i="3"/>
  <c r="D38" i="3"/>
  <c r="V38" i="12" s="1"/>
  <c r="C74" i="16" s="1"/>
  <c r="C38" i="3"/>
  <c r="U38" i="12" s="1"/>
  <c r="B74" i="16" s="1"/>
  <c r="B38" i="3"/>
  <c r="AA38" i="12" s="1"/>
  <c r="A38" i="3"/>
  <c r="J37" i="3"/>
  <c r="C37" i="12" s="1"/>
  <c r="I37" i="3"/>
  <c r="B37" i="12" s="1"/>
  <c r="H37" i="3"/>
  <c r="I37" i="12" s="1"/>
  <c r="F37" i="3"/>
  <c r="E37" i="3"/>
  <c r="G37" i="12" s="1"/>
  <c r="D37" i="3"/>
  <c r="C37" i="3"/>
  <c r="G37" i="3" s="1"/>
  <c r="AC37" i="12" s="1"/>
  <c r="C72" i="14" s="1"/>
  <c r="B37" i="3"/>
  <c r="T37" i="12" s="1"/>
  <c r="A73" i="16" s="1"/>
  <c r="A37" i="3"/>
  <c r="J36" i="3"/>
  <c r="C36" i="12" s="1"/>
  <c r="I36" i="3"/>
  <c r="K36" i="3" s="1"/>
  <c r="D36" i="12" s="1"/>
  <c r="H36" i="3"/>
  <c r="AG36" i="12" s="1"/>
  <c r="F36" i="3"/>
  <c r="E36" i="3"/>
  <c r="G36" i="12" s="1"/>
  <c r="D36" i="3"/>
  <c r="C36" i="3"/>
  <c r="G36" i="3" s="1"/>
  <c r="B36" i="3"/>
  <c r="A36" i="12" s="1"/>
  <c r="A36" i="3"/>
  <c r="J35" i="3"/>
  <c r="C35" i="12" s="1"/>
  <c r="I35" i="3"/>
  <c r="H35" i="3"/>
  <c r="F35" i="3"/>
  <c r="X35" i="12" s="1"/>
  <c r="E35" i="3"/>
  <c r="W35" i="12" s="1"/>
  <c r="D35" i="3"/>
  <c r="V35" i="12" s="1"/>
  <c r="C35" i="3"/>
  <c r="U35" i="12" s="1"/>
  <c r="B35" i="3"/>
  <c r="A35" i="3"/>
  <c r="K34" i="3"/>
  <c r="D34" i="12" s="1"/>
  <c r="J34" i="3"/>
  <c r="C34" i="12" s="1"/>
  <c r="I34" i="3"/>
  <c r="H34" i="3"/>
  <c r="I34" i="12" s="1"/>
  <c r="F34" i="3"/>
  <c r="X34" i="12" s="1"/>
  <c r="E34" i="3"/>
  <c r="W34" i="12" s="1"/>
  <c r="D34" i="3"/>
  <c r="V34" i="12" s="1"/>
  <c r="C34" i="3"/>
  <c r="G34" i="3" s="1"/>
  <c r="B34" i="3"/>
  <c r="T34" i="12" s="1"/>
  <c r="A34" i="3"/>
  <c r="K33" i="3"/>
  <c r="D33" i="12" s="1"/>
  <c r="J33" i="3"/>
  <c r="C33" i="12" s="1"/>
  <c r="I33" i="3"/>
  <c r="B33" i="12" s="1"/>
  <c r="H33" i="3"/>
  <c r="F33" i="3"/>
  <c r="H33" i="12" s="1"/>
  <c r="E33" i="3"/>
  <c r="G33" i="12" s="1"/>
  <c r="D33" i="3"/>
  <c r="V33" i="12" s="1"/>
  <c r="C33" i="3"/>
  <c r="G33" i="3" s="1"/>
  <c r="AC33" i="12" s="1"/>
  <c r="B33" i="3"/>
  <c r="T33" i="12" s="1"/>
  <c r="A69" i="16" s="1"/>
  <c r="A33" i="3"/>
  <c r="J32" i="3"/>
  <c r="C32" i="12" s="1"/>
  <c r="I32" i="3"/>
  <c r="H32" i="3"/>
  <c r="AG32" i="12" s="1"/>
  <c r="G67" i="14" s="1"/>
  <c r="F32" i="3"/>
  <c r="E32" i="3"/>
  <c r="G32" i="12" s="1"/>
  <c r="D32" i="3"/>
  <c r="C32" i="3"/>
  <c r="U32" i="12" s="1"/>
  <c r="B32" i="3"/>
  <c r="A32" i="3"/>
  <c r="K31" i="3"/>
  <c r="D31" i="12" s="1"/>
  <c r="J31" i="3"/>
  <c r="I31" i="3"/>
  <c r="H31" i="3"/>
  <c r="F31" i="3"/>
  <c r="X31" i="12" s="1"/>
  <c r="E67" i="16" s="1"/>
  <c r="E31" i="3"/>
  <c r="G31" i="3" s="1"/>
  <c r="D31" i="3"/>
  <c r="C31" i="3"/>
  <c r="B31" i="3"/>
  <c r="AA31" i="12" s="1"/>
  <c r="A31" i="3"/>
  <c r="J30" i="3"/>
  <c r="K30" i="3" s="1"/>
  <c r="D30" i="12" s="1"/>
  <c r="I30" i="3"/>
  <c r="H30" i="3"/>
  <c r="I30" i="12" s="1"/>
  <c r="G30" i="3"/>
  <c r="AC30" i="12" s="1"/>
  <c r="F30" i="3"/>
  <c r="X30" i="12" s="1"/>
  <c r="E30" i="3"/>
  <c r="W30" i="12" s="1"/>
  <c r="D30" i="3"/>
  <c r="V30" i="12" s="1"/>
  <c r="C30" i="3"/>
  <c r="U30" i="12" s="1"/>
  <c r="B30" i="3"/>
  <c r="AA30" i="12" s="1"/>
  <c r="A30" i="3"/>
  <c r="J29" i="3"/>
  <c r="C29" i="12" s="1"/>
  <c r="I29" i="3"/>
  <c r="B29" i="12" s="1"/>
  <c r="H29" i="3"/>
  <c r="F29" i="3"/>
  <c r="H29" i="12" s="1"/>
  <c r="E29" i="3"/>
  <c r="G29" i="12" s="1"/>
  <c r="D29" i="3"/>
  <c r="V29" i="12" s="1"/>
  <c r="C29" i="3"/>
  <c r="B29" i="3"/>
  <c r="A29" i="3"/>
  <c r="K28" i="3"/>
  <c r="D28" i="12" s="1"/>
  <c r="J28" i="3"/>
  <c r="C28" i="12" s="1"/>
  <c r="I28" i="3"/>
  <c r="H28" i="3"/>
  <c r="AG28" i="12" s="1"/>
  <c r="G63" i="14" s="1"/>
  <c r="G28" i="3"/>
  <c r="F28" i="3"/>
  <c r="E28" i="3"/>
  <c r="D28" i="3"/>
  <c r="C28" i="3"/>
  <c r="B28" i="3"/>
  <c r="A28" i="12" s="1"/>
  <c r="A28" i="3"/>
  <c r="K27" i="3"/>
  <c r="J27" i="3"/>
  <c r="I27" i="3"/>
  <c r="H27" i="3"/>
  <c r="AG27" i="12" s="1"/>
  <c r="G62" i="14" s="1"/>
  <c r="F27" i="3"/>
  <c r="X27" i="12" s="1"/>
  <c r="E63" i="16" s="1"/>
  <c r="E27" i="3"/>
  <c r="W27" i="12" s="1"/>
  <c r="D63" i="16" s="1"/>
  <c r="D27" i="3"/>
  <c r="C27" i="3"/>
  <c r="G27" i="3" s="1"/>
  <c r="B27" i="3"/>
  <c r="AA27" i="12" s="1"/>
  <c r="A62" i="14" s="1"/>
  <c r="A27" i="3"/>
  <c r="J26" i="3"/>
  <c r="C26" i="12" s="1"/>
  <c r="I26" i="3"/>
  <c r="B26" i="12" s="1"/>
  <c r="H26" i="3"/>
  <c r="I26" i="12" s="1"/>
  <c r="F26" i="3"/>
  <c r="X26" i="12" s="1"/>
  <c r="E62" i="16" s="1"/>
  <c r="E26" i="3"/>
  <c r="D26" i="3"/>
  <c r="V26" i="12" s="1"/>
  <c r="C51" i="13" s="1"/>
  <c r="C26" i="3"/>
  <c r="B26" i="3"/>
  <c r="A26" i="3"/>
  <c r="J25" i="3"/>
  <c r="I25" i="3"/>
  <c r="K25" i="3" s="1"/>
  <c r="D25" i="12" s="1"/>
  <c r="H25" i="3"/>
  <c r="I25" i="12" s="1"/>
  <c r="G25" i="3"/>
  <c r="F25" i="3"/>
  <c r="H25" i="12" s="1"/>
  <c r="E25" i="3"/>
  <c r="G25" i="12" s="1"/>
  <c r="D25" i="3"/>
  <c r="C25" i="3"/>
  <c r="B25" i="3"/>
  <c r="T25" i="12" s="1"/>
  <c r="A50" i="13" s="1"/>
  <c r="A25" i="3"/>
  <c r="J24" i="3"/>
  <c r="C24" i="12" s="1"/>
  <c r="I24" i="3"/>
  <c r="B24" i="12" s="1"/>
  <c r="H24" i="3"/>
  <c r="AG24" i="12" s="1"/>
  <c r="G59" i="14" s="1"/>
  <c r="F24" i="3"/>
  <c r="E24" i="3"/>
  <c r="D24" i="3"/>
  <c r="C24" i="3"/>
  <c r="G24" i="3" s="1"/>
  <c r="B24" i="3"/>
  <c r="A24" i="3"/>
  <c r="J23" i="3"/>
  <c r="C23" i="12" s="1"/>
  <c r="I23" i="3"/>
  <c r="H23" i="3"/>
  <c r="AG23" i="12" s="1"/>
  <c r="F23" i="3"/>
  <c r="X23" i="12" s="1"/>
  <c r="E23" i="3"/>
  <c r="W23" i="12" s="1"/>
  <c r="D23" i="3"/>
  <c r="V23" i="12" s="1"/>
  <c r="C23" i="3"/>
  <c r="B23" i="3"/>
  <c r="AA23" i="12" s="1"/>
  <c r="A48" i="15" s="1"/>
  <c r="A23" i="3"/>
  <c r="J22" i="3"/>
  <c r="I22" i="3"/>
  <c r="K22" i="3" s="1"/>
  <c r="D22" i="12" s="1"/>
  <c r="H22" i="3"/>
  <c r="I22" i="12" s="1"/>
  <c r="F22" i="3"/>
  <c r="E22" i="3"/>
  <c r="W22" i="12" s="1"/>
  <c r="D22" i="3"/>
  <c r="G22" i="3" s="1"/>
  <c r="C22" i="3"/>
  <c r="U22" i="12" s="1"/>
  <c r="B58" i="16" s="1"/>
  <c r="B22" i="3"/>
  <c r="AA22" i="12" s="1"/>
  <c r="A22" i="3"/>
  <c r="J21" i="3"/>
  <c r="C21" i="12" s="1"/>
  <c r="I21" i="3"/>
  <c r="B21" i="12" s="1"/>
  <c r="H21" i="3"/>
  <c r="I21" i="12" s="1"/>
  <c r="F21" i="3"/>
  <c r="H21" i="12" s="1"/>
  <c r="E21" i="3"/>
  <c r="G21" i="12" s="1"/>
  <c r="D21" i="3"/>
  <c r="V21" i="12" s="1"/>
  <c r="C57" i="16" s="1"/>
  <c r="C21" i="3"/>
  <c r="B21" i="3"/>
  <c r="A21" i="3"/>
  <c r="K20" i="3"/>
  <c r="D20" i="12" s="1"/>
  <c r="J20" i="3"/>
  <c r="C20" i="12" s="1"/>
  <c r="I20" i="3"/>
  <c r="B20" i="12" s="1"/>
  <c r="H20" i="3"/>
  <c r="AG20" i="12" s="1"/>
  <c r="G55" i="14" s="1"/>
  <c r="F20" i="3"/>
  <c r="X20" i="12" s="1"/>
  <c r="E20" i="3"/>
  <c r="G20" i="12" s="1"/>
  <c r="D20" i="3"/>
  <c r="V20" i="12" s="1"/>
  <c r="C20" i="3"/>
  <c r="B20" i="3"/>
  <c r="A20" i="3"/>
  <c r="J19" i="3"/>
  <c r="I19" i="3"/>
  <c r="K19" i="3" s="1"/>
  <c r="D19" i="12" s="1"/>
  <c r="H19" i="3"/>
  <c r="AG19" i="12" s="1"/>
  <c r="G54" i="14" s="1"/>
  <c r="F19" i="3"/>
  <c r="X19" i="12" s="1"/>
  <c r="E44" i="13" s="1"/>
  <c r="E19" i="3"/>
  <c r="D19" i="3"/>
  <c r="C19" i="3"/>
  <c r="G19" i="3" s="1"/>
  <c r="B19" i="3"/>
  <c r="AA19" i="12" s="1"/>
  <c r="A19" i="3"/>
  <c r="J18" i="3"/>
  <c r="C18" i="12" s="1"/>
  <c r="I18" i="3"/>
  <c r="K18" i="3" s="1"/>
  <c r="D18" i="12" s="1"/>
  <c r="H18" i="3"/>
  <c r="I18" i="12" s="1"/>
  <c r="F18" i="3"/>
  <c r="X18" i="12" s="1"/>
  <c r="E18" i="3"/>
  <c r="W18" i="12" s="1"/>
  <c r="D43" i="13" s="1"/>
  <c r="D18" i="3"/>
  <c r="V18" i="12" s="1"/>
  <c r="C43" i="13" s="1"/>
  <c r="C18" i="3"/>
  <c r="B18" i="3"/>
  <c r="A18" i="3"/>
  <c r="J17" i="3"/>
  <c r="C17" i="12" s="1"/>
  <c r="I17" i="3"/>
  <c r="B17" i="12" s="1"/>
  <c r="H17" i="3"/>
  <c r="G17" i="3"/>
  <c r="AC17" i="12" s="1"/>
  <c r="F17" i="3"/>
  <c r="H17" i="12" s="1"/>
  <c r="E17" i="3"/>
  <c r="G17" i="12" s="1"/>
  <c r="D17" i="3"/>
  <c r="C17" i="3"/>
  <c r="B17" i="3"/>
  <c r="T17" i="12" s="1"/>
  <c r="A53" i="16" s="1"/>
  <c r="A17" i="3"/>
  <c r="K16" i="3"/>
  <c r="D16" i="12" s="1"/>
  <c r="J16" i="3"/>
  <c r="C16" i="12" s="1"/>
  <c r="I16" i="3"/>
  <c r="B16" i="12" s="1"/>
  <c r="H16" i="3"/>
  <c r="AG16" i="12" s="1"/>
  <c r="G51" i="14" s="1"/>
  <c r="F16" i="3"/>
  <c r="E16" i="3"/>
  <c r="D16" i="3"/>
  <c r="G16" i="3" s="1"/>
  <c r="C16" i="3"/>
  <c r="B16" i="3"/>
  <c r="A16" i="3"/>
  <c r="J15" i="3"/>
  <c r="C15" i="12" s="1"/>
  <c r="I15" i="3"/>
  <c r="K15" i="3" s="1"/>
  <c r="D15" i="12" s="1"/>
  <c r="H15" i="3"/>
  <c r="AG15" i="12" s="1"/>
  <c r="G50" i="14" s="1"/>
  <c r="F15" i="3"/>
  <c r="X15" i="12" s="1"/>
  <c r="E51" i="16" s="1"/>
  <c r="E15" i="3"/>
  <c r="W15" i="12" s="1"/>
  <c r="D15" i="3"/>
  <c r="V15" i="12" s="1"/>
  <c r="C15" i="3"/>
  <c r="B15" i="3"/>
  <c r="F15" i="12" s="1"/>
  <c r="A15" i="3"/>
  <c r="J14" i="3"/>
  <c r="C14" i="12" s="1"/>
  <c r="I14" i="3"/>
  <c r="H14" i="3"/>
  <c r="I14" i="12" s="1"/>
  <c r="F14" i="3"/>
  <c r="E14" i="3"/>
  <c r="W14" i="12" s="1"/>
  <c r="D14" i="3"/>
  <c r="C14" i="3"/>
  <c r="U14" i="12" s="1"/>
  <c r="B14" i="3"/>
  <c r="AA14" i="12" s="1"/>
  <c r="A39" i="15" s="1"/>
  <c r="A14" i="3"/>
  <c r="K13" i="3"/>
  <c r="D13" i="12" s="1"/>
  <c r="J13" i="3"/>
  <c r="C13" i="12" s="1"/>
  <c r="I13" i="3"/>
  <c r="B13" i="12" s="1"/>
  <c r="H13" i="3"/>
  <c r="G13" i="3"/>
  <c r="F13" i="3"/>
  <c r="H13" i="12" s="1"/>
  <c r="E13" i="3"/>
  <c r="G13" i="12" s="1"/>
  <c r="D13" i="3"/>
  <c r="C13" i="3"/>
  <c r="B13" i="3"/>
  <c r="T13" i="12" s="1"/>
  <c r="A13" i="3"/>
  <c r="K12" i="3"/>
  <c r="D12" i="12" s="1"/>
  <c r="J12" i="3"/>
  <c r="C12" i="12" s="1"/>
  <c r="I12" i="3"/>
  <c r="B12" i="12" s="1"/>
  <c r="H12" i="3"/>
  <c r="AG12" i="12" s="1"/>
  <c r="G47" i="14" s="1"/>
  <c r="F12" i="3"/>
  <c r="X12" i="12" s="1"/>
  <c r="E12" i="3"/>
  <c r="G12" i="12" s="1"/>
  <c r="D12" i="3"/>
  <c r="C12" i="3"/>
  <c r="G12" i="3" s="1"/>
  <c r="B12" i="3"/>
  <c r="A12" i="12" s="1"/>
  <c r="A12" i="3"/>
  <c r="J11" i="3"/>
  <c r="C11" i="12" s="1"/>
  <c r="I11" i="3"/>
  <c r="K11" i="3" s="1"/>
  <c r="D11" i="12" s="1"/>
  <c r="H11" i="3"/>
  <c r="AG11" i="12" s="1"/>
  <c r="G46" i="14" s="1"/>
  <c r="G11" i="3"/>
  <c r="F11" i="3"/>
  <c r="X11" i="12" s="1"/>
  <c r="E47" i="16" s="1"/>
  <c r="E11" i="3"/>
  <c r="D11" i="3"/>
  <c r="C11" i="3"/>
  <c r="B11" i="3"/>
  <c r="AA11" i="12" s="1"/>
  <c r="A11" i="3"/>
  <c r="K10" i="3"/>
  <c r="J10" i="3"/>
  <c r="I10" i="3"/>
  <c r="H10" i="3"/>
  <c r="F10" i="3"/>
  <c r="X10" i="12" s="1"/>
  <c r="E46" i="16" s="1"/>
  <c r="E10" i="3"/>
  <c r="D10" i="3"/>
  <c r="C10" i="3"/>
  <c r="G10" i="3" s="1"/>
  <c r="B10" i="3"/>
  <c r="AA10" i="12" s="1"/>
  <c r="A35" i="15" s="1"/>
  <c r="A10" i="3"/>
  <c r="J9" i="3"/>
  <c r="I9" i="3"/>
  <c r="K9" i="3" s="1"/>
  <c r="D9" i="12" s="1"/>
  <c r="H9" i="3"/>
  <c r="I9" i="12" s="1"/>
  <c r="F9" i="3"/>
  <c r="E9" i="3"/>
  <c r="D9" i="3"/>
  <c r="V9" i="12" s="1"/>
  <c r="C9" i="3"/>
  <c r="U9" i="12" s="1"/>
  <c r="B9" i="3"/>
  <c r="AA9" i="12" s="1"/>
  <c r="A9" i="3"/>
  <c r="J8" i="3"/>
  <c r="C8" i="12" s="1"/>
  <c r="I8" i="3"/>
  <c r="B8" i="12" s="1"/>
  <c r="H8" i="3"/>
  <c r="I8" i="12" s="1"/>
  <c r="G8" i="3"/>
  <c r="F8" i="3"/>
  <c r="E8" i="3"/>
  <c r="G8" i="12" s="1"/>
  <c r="D8" i="3"/>
  <c r="C8" i="3"/>
  <c r="U8" i="12" s="1"/>
  <c r="B8" i="3"/>
  <c r="T8" i="12" s="1"/>
  <c r="A8" i="3"/>
  <c r="J7" i="3"/>
  <c r="I7" i="3"/>
  <c r="K7" i="3" s="1"/>
  <c r="D7" i="12" s="1"/>
  <c r="H7" i="3"/>
  <c r="F7" i="3"/>
  <c r="E7" i="3"/>
  <c r="D7" i="3"/>
  <c r="C7" i="3"/>
  <c r="G7" i="3" s="1"/>
  <c r="AC7" i="12" s="1"/>
  <c r="B7" i="3"/>
  <c r="F7" i="12" s="1"/>
  <c r="A7" i="3"/>
  <c r="J6" i="3"/>
  <c r="C6" i="12" s="1"/>
  <c r="I6" i="3"/>
  <c r="B6" i="12" s="1"/>
  <c r="H6" i="3"/>
  <c r="AG6" i="12" s="1"/>
  <c r="G41" i="14" s="1"/>
  <c r="F6" i="3"/>
  <c r="E6" i="3"/>
  <c r="D6" i="3"/>
  <c r="C6" i="3"/>
  <c r="B6" i="3"/>
  <c r="F6" i="12" s="1"/>
  <c r="A6" i="3"/>
  <c r="J5" i="3"/>
  <c r="I5" i="3"/>
  <c r="B5" i="12" s="1"/>
  <c r="H5" i="3"/>
  <c r="AG5" i="12" s="1"/>
  <c r="G40" i="14" s="1"/>
  <c r="F5" i="3"/>
  <c r="E5" i="3"/>
  <c r="D5" i="3"/>
  <c r="C5" i="3"/>
  <c r="G5" i="3" s="1"/>
  <c r="B5" i="3"/>
  <c r="A5" i="12" s="1"/>
  <c r="A5" i="3"/>
  <c r="J4" i="3"/>
  <c r="I4" i="3"/>
  <c r="K4" i="3" s="1"/>
  <c r="D4" i="12" s="1"/>
  <c r="H4" i="3"/>
  <c r="AG4" i="12" s="1"/>
  <c r="F4" i="3"/>
  <c r="E4" i="3"/>
  <c r="W4" i="12" s="1"/>
  <c r="D4" i="3"/>
  <c r="V4" i="12" s="1"/>
  <c r="C4" i="3"/>
  <c r="G4" i="3" s="1"/>
  <c r="B4" i="3"/>
  <c r="AA4" i="12" s="1"/>
  <c r="A4" i="3"/>
  <c r="J3" i="3"/>
  <c r="I3" i="3"/>
  <c r="K3" i="3" s="1"/>
  <c r="D3" i="12" s="1"/>
  <c r="H3" i="3"/>
  <c r="I3" i="12" s="1"/>
  <c r="F3" i="3"/>
  <c r="E3" i="3"/>
  <c r="W3" i="12" s="1"/>
  <c r="D3" i="3"/>
  <c r="V3" i="12" s="1"/>
  <c r="C3" i="3"/>
  <c r="U3" i="12" s="1"/>
  <c r="B3" i="3"/>
  <c r="A3" i="12" s="1"/>
  <c r="A3" i="3"/>
  <c r="J2" i="3"/>
  <c r="C2" i="12" s="1"/>
  <c r="I2" i="3"/>
  <c r="H2" i="3"/>
  <c r="F2" i="3"/>
  <c r="H2" i="12" s="1"/>
  <c r="E2" i="3"/>
  <c r="W2" i="12" s="1"/>
  <c r="D2" i="3"/>
  <c r="V2" i="12" s="1"/>
  <c r="C2" i="3"/>
  <c r="G2" i="3" s="1"/>
  <c r="B2" i="3"/>
  <c r="A2" i="3"/>
  <c r="C45" i="13" l="1"/>
  <c r="C56" i="16"/>
  <c r="B68" i="16"/>
  <c r="B57" i="13"/>
  <c r="C28" i="13"/>
  <c r="C39" i="16"/>
  <c r="D28" i="13"/>
  <c r="D39" i="16"/>
  <c r="Y16" i="12"/>
  <c r="F41" i="13" s="1"/>
  <c r="AC16" i="12"/>
  <c r="K35" i="3"/>
  <c r="D35" i="12" s="1"/>
  <c r="B35" i="12"/>
  <c r="A74" i="14"/>
  <c r="A64" i="15"/>
  <c r="C37" i="14"/>
  <c r="AE2" i="12"/>
  <c r="E37" i="14" s="1"/>
  <c r="AD2" i="12"/>
  <c r="D37" i="14" s="1"/>
  <c r="D57" i="16"/>
  <c r="D46" i="13"/>
  <c r="X3" i="12"/>
  <c r="H3" i="12"/>
  <c r="U23" i="12"/>
  <c r="G23" i="3"/>
  <c r="I29" i="12"/>
  <c r="AG29" i="12"/>
  <c r="G64" i="14" s="1"/>
  <c r="B32" i="12"/>
  <c r="K32" i="3"/>
  <c r="D32" i="12" s="1"/>
  <c r="C59" i="16"/>
  <c r="C48" i="13"/>
  <c r="D59" i="16"/>
  <c r="D48" i="13"/>
  <c r="Y36" i="12"/>
  <c r="F61" i="13" s="1"/>
  <c r="AC36" i="12"/>
  <c r="E75" i="16"/>
  <c r="E64" i="13"/>
  <c r="B3" i="12"/>
  <c r="B52" i="16"/>
  <c r="B41" i="13"/>
  <c r="E60" i="13"/>
  <c r="E71" i="16"/>
  <c r="E49" i="16"/>
  <c r="E38" i="13"/>
  <c r="B28" i="13"/>
  <c r="B39" i="16"/>
  <c r="G32" i="3"/>
  <c r="W26" i="12"/>
  <c r="G26" i="12"/>
  <c r="AC39" i="12"/>
  <c r="Y39" i="12"/>
  <c r="F64" i="13" s="1"/>
  <c r="E57" i="16"/>
  <c r="E46" i="13"/>
  <c r="G3" i="3"/>
  <c r="AD7" i="12"/>
  <c r="D42" i="14" s="1"/>
  <c r="C42" i="14"/>
  <c r="AE7" i="12"/>
  <c r="E42" i="14" s="1"/>
  <c r="C32" i="15"/>
  <c r="E59" i="16"/>
  <c r="E48" i="13"/>
  <c r="K29" i="3"/>
  <c r="D29" i="12" s="1"/>
  <c r="C52" i="16"/>
  <c r="C41" i="13"/>
  <c r="C62" i="16"/>
  <c r="Y48" i="12"/>
  <c r="F73" i="13" s="1"/>
  <c r="AC48" i="12"/>
  <c r="G6" i="12"/>
  <c r="W6" i="12"/>
  <c r="A38" i="13"/>
  <c r="A49" i="16"/>
  <c r="C75" i="16"/>
  <c r="C64" i="13"/>
  <c r="AC10" i="12"/>
  <c r="Y10" i="12"/>
  <c r="F35" i="13" s="1"/>
  <c r="K26" i="3"/>
  <c r="D26" i="12" s="1"/>
  <c r="C58" i="15"/>
  <c r="C68" i="14"/>
  <c r="D52" i="16"/>
  <c r="D41" i="13"/>
  <c r="A45" i="14"/>
  <c r="X9" i="12"/>
  <c r="H9" i="12"/>
  <c r="D60" i="13"/>
  <c r="D71" i="16"/>
  <c r="G6" i="3"/>
  <c r="A39" i="14"/>
  <c r="A29" i="15"/>
  <c r="A55" i="15"/>
  <c r="A65" i="14"/>
  <c r="C58" i="13"/>
  <c r="C69" i="16"/>
  <c r="B60" i="16"/>
  <c r="B49" i="13"/>
  <c r="AC4" i="12"/>
  <c r="Y4" i="12"/>
  <c r="F29" i="13" s="1"/>
  <c r="E56" i="16"/>
  <c r="E45" i="13"/>
  <c r="B66" i="16"/>
  <c r="B55" i="13"/>
  <c r="A68" i="15"/>
  <c r="A78" i="14"/>
  <c r="A42" i="14"/>
  <c r="A32" i="15"/>
  <c r="C49" i="13"/>
  <c r="C60" i="16"/>
  <c r="D65" i="16"/>
  <c r="D54" i="13"/>
  <c r="C29" i="13"/>
  <c r="C40" i="16"/>
  <c r="G20" i="3"/>
  <c r="K23" i="3"/>
  <c r="D23" i="12" s="1"/>
  <c r="AC27" i="12"/>
  <c r="Y27" i="12"/>
  <c r="F52" i="13" s="1"/>
  <c r="C66" i="16"/>
  <c r="C55" i="13"/>
  <c r="G49" i="3"/>
  <c r="B42" i="14"/>
  <c r="B32" i="15"/>
  <c r="D49" i="13"/>
  <c r="D60" i="16"/>
  <c r="E65" i="16"/>
  <c r="E54" i="13"/>
  <c r="D69" i="13"/>
  <c r="D80" i="16"/>
  <c r="W49" i="12"/>
  <c r="C68" i="16"/>
  <c r="D29" i="13"/>
  <c r="D40" i="16"/>
  <c r="D66" i="16"/>
  <c r="D55" i="13"/>
  <c r="D71" i="13"/>
  <c r="D82" i="16"/>
  <c r="I49" i="12"/>
  <c r="AG49" i="12"/>
  <c r="G84" i="14" s="1"/>
  <c r="I32" i="12"/>
  <c r="X49" i="12"/>
  <c r="E67" i="13"/>
  <c r="D68" i="16"/>
  <c r="A24" i="12"/>
  <c r="AA24" i="12"/>
  <c r="T24" i="12"/>
  <c r="F24" i="12"/>
  <c r="E55" i="13"/>
  <c r="E66" i="16"/>
  <c r="X46" i="12"/>
  <c r="H46" i="12"/>
  <c r="I40" i="12"/>
  <c r="A42" i="13"/>
  <c r="A43" i="16"/>
  <c r="A36" i="15"/>
  <c r="A46" i="14"/>
  <c r="B39" i="13"/>
  <c r="B50" i="16"/>
  <c r="Y24" i="12"/>
  <c r="F49" i="13" s="1"/>
  <c r="AC24" i="12"/>
  <c r="C55" i="15"/>
  <c r="C65" i="14"/>
  <c r="AE30" i="12"/>
  <c r="E65" i="14" s="1"/>
  <c r="AD30" i="12"/>
  <c r="D65" i="14" s="1"/>
  <c r="G46" i="3"/>
  <c r="Y37" i="12"/>
  <c r="F62" i="13" s="1"/>
  <c r="B43" i="16"/>
  <c r="A33" i="13"/>
  <c r="A44" i="16"/>
  <c r="C52" i="14"/>
  <c r="C42" i="15"/>
  <c r="AC43" i="12"/>
  <c r="Y43" i="12"/>
  <c r="F68" i="13" s="1"/>
  <c r="AG3" i="12"/>
  <c r="G38" i="14" s="1"/>
  <c r="D73" i="16"/>
  <c r="B33" i="13"/>
  <c r="B44" i="16"/>
  <c r="D39" i="13"/>
  <c r="D50" i="16"/>
  <c r="I17" i="12"/>
  <c r="AG17" i="12"/>
  <c r="G52" i="14" s="1"/>
  <c r="AG43" i="12"/>
  <c r="G78" i="14" s="1"/>
  <c r="I43" i="12"/>
  <c r="B46" i="12"/>
  <c r="K46" i="3"/>
  <c r="D46" i="12" s="1"/>
  <c r="I6" i="12"/>
  <c r="A49" i="14"/>
  <c r="A81" i="14"/>
  <c r="E73" i="16"/>
  <c r="X14" i="12"/>
  <c r="H14" i="12"/>
  <c r="T21" i="12"/>
  <c r="F21" i="12"/>
  <c r="A21" i="12"/>
  <c r="AA21" i="12"/>
  <c r="A70" i="16"/>
  <c r="A59" i="13"/>
  <c r="K43" i="3"/>
  <c r="D43" i="12" s="1"/>
  <c r="B43" i="12"/>
  <c r="AG14" i="12"/>
  <c r="G49" i="14" s="1"/>
  <c r="AD37" i="12"/>
  <c r="D72" i="14" s="1"/>
  <c r="E68" i="13"/>
  <c r="G14" i="3"/>
  <c r="G21" i="3"/>
  <c r="U21" i="12"/>
  <c r="AC34" i="12"/>
  <c r="Y34" i="12"/>
  <c r="F59" i="13" s="1"/>
  <c r="U12" i="12"/>
  <c r="A15" i="12"/>
  <c r="W17" i="12"/>
  <c r="H35" i="12"/>
  <c r="AE37" i="12"/>
  <c r="E72" i="14" s="1"/>
  <c r="B65" i="13"/>
  <c r="B76" i="16"/>
  <c r="C46" i="13"/>
  <c r="A52" i="15"/>
  <c r="B61" i="13"/>
  <c r="B72" i="16"/>
  <c r="E66" i="13"/>
  <c r="E77" i="16"/>
  <c r="AC5" i="12"/>
  <c r="Y5" i="12"/>
  <c r="F30" i="13" s="1"/>
  <c r="AC11" i="12"/>
  <c r="Y11" i="12"/>
  <c r="F36" i="13" s="1"/>
  <c r="A66" i="14"/>
  <c r="A56" i="15"/>
  <c r="C70" i="16"/>
  <c r="C59" i="13"/>
  <c r="AA47" i="12"/>
  <c r="T47" i="12"/>
  <c r="C37" i="13"/>
  <c r="C48" i="16"/>
  <c r="X17" i="12"/>
  <c r="H20" i="12"/>
  <c r="C65" i="13"/>
  <c r="C76" i="16"/>
  <c r="E72" i="13"/>
  <c r="B14" i="12"/>
  <c r="K14" i="3"/>
  <c r="D14" i="12" s="1"/>
  <c r="A18" i="12"/>
  <c r="AA18" i="12"/>
  <c r="T18" i="12"/>
  <c r="F18" i="12"/>
  <c r="D70" i="16"/>
  <c r="D59" i="13"/>
  <c r="G47" i="3"/>
  <c r="U47" i="12"/>
  <c r="D37" i="13"/>
  <c r="D48" i="16"/>
  <c r="Y17" i="12"/>
  <c r="F42" i="13" s="1"/>
  <c r="D65" i="13"/>
  <c r="D76" i="16"/>
  <c r="U18" i="12"/>
  <c r="G18" i="3"/>
  <c r="E70" i="16"/>
  <c r="E59" i="13"/>
  <c r="Y44" i="12"/>
  <c r="F69" i="13" s="1"/>
  <c r="AC44" i="12"/>
  <c r="C83" i="16"/>
  <c r="C72" i="13"/>
  <c r="D50" i="13"/>
  <c r="D61" i="16"/>
  <c r="AC31" i="12"/>
  <c r="Y31" i="12"/>
  <c r="F56" i="13" s="1"/>
  <c r="K37" i="3"/>
  <c r="D37" i="12" s="1"/>
  <c r="A66" i="13"/>
  <c r="A77" i="16"/>
  <c r="D83" i="16"/>
  <c r="D72" i="13"/>
  <c r="E33" i="13"/>
  <c r="E44" i="16"/>
  <c r="E50" i="13"/>
  <c r="E61" i="16"/>
  <c r="C69" i="13"/>
  <c r="C80" i="16"/>
  <c r="C38" i="16"/>
  <c r="C27" i="13"/>
  <c r="AA15" i="12"/>
  <c r="T15" i="12"/>
  <c r="B66" i="13"/>
  <c r="B77" i="16"/>
  <c r="AD17" i="12"/>
  <c r="D52" i="14" s="1"/>
  <c r="D49" i="16"/>
  <c r="B80" i="16"/>
  <c r="D38" i="16"/>
  <c r="D27" i="13"/>
  <c r="K8" i="3"/>
  <c r="D8" i="12" s="1"/>
  <c r="G15" i="3"/>
  <c r="U15" i="12"/>
  <c r="E43" i="13"/>
  <c r="E54" i="16"/>
  <c r="A63" i="15"/>
  <c r="A73" i="14"/>
  <c r="C66" i="13"/>
  <c r="C77" i="16"/>
  <c r="E69" i="13"/>
  <c r="E80" i="16"/>
  <c r="A43" i="14"/>
  <c r="A33" i="15"/>
  <c r="AE17" i="12"/>
  <c r="E52" i="14" s="1"/>
  <c r="A74" i="13"/>
  <c r="C27" i="15"/>
  <c r="C84" i="16"/>
  <c r="C73" i="13"/>
  <c r="Y12" i="12"/>
  <c r="F37" i="13" s="1"/>
  <c r="AC12" i="12"/>
  <c r="C51" i="16"/>
  <c r="C40" i="13"/>
  <c r="B56" i="16"/>
  <c r="B45" i="13"/>
  <c r="E51" i="13"/>
  <c r="C54" i="16"/>
  <c r="A70" i="13"/>
  <c r="A81" i="16"/>
  <c r="G9" i="3"/>
  <c r="T29" i="12"/>
  <c r="F29" i="12"/>
  <c r="A29" i="12"/>
  <c r="AA29" i="12"/>
  <c r="G29" i="3"/>
  <c r="U29" i="12"/>
  <c r="D66" i="13"/>
  <c r="D77" i="16"/>
  <c r="C65" i="16"/>
  <c r="C54" i="13"/>
  <c r="B78" i="16"/>
  <c r="B67" i="13"/>
  <c r="B37" i="14"/>
  <c r="B27" i="15"/>
  <c r="K5" i="3"/>
  <c r="D5" i="12" s="1"/>
  <c r="A34" i="15"/>
  <c r="A44" i="14"/>
  <c r="D51" i="16"/>
  <c r="D40" i="13"/>
  <c r="A47" i="15"/>
  <c r="A57" i="14"/>
  <c r="G23" i="12"/>
  <c r="D69" i="16"/>
  <c r="D58" i="13"/>
  <c r="D54" i="16"/>
  <c r="D81" i="16"/>
  <c r="D64" i="16"/>
  <c r="D53" i="13"/>
  <c r="AA3" i="12"/>
  <c r="F3" i="12"/>
  <c r="T3" i="12"/>
  <c r="G35" i="3"/>
  <c r="B34" i="13"/>
  <c r="B45" i="16"/>
  <c r="AA35" i="12"/>
  <c r="T35" i="12"/>
  <c r="W38" i="12"/>
  <c r="G38" i="12"/>
  <c r="G41" i="3"/>
  <c r="B11" i="12"/>
  <c r="W20" i="12"/>
  <c r="H23" i="12"/>
  <c r="E69" i="16"/>
  <c r="E58" i="13"/>
  <c r="AG38" i="12"/>
  <c r="G73" i="14" s="1"/>
  <c r="D52" i="13"/>
  <c r="E81" i="16"/>
  <c r="AC19" i="12"/>
  <c r="Y19" i="12"/>
  <c r="F44" i="13" s="1"/>
  <c r="X6" i="12"/>
  <c r="H6" i="12"/>
  <c r="AA26" i="12"/>
  <c r="T26" i="12"/>
  <c r="A26" i="12"/>
  <c r="F26" i="12"/>
  <c r="A37" i="14"/>
  <c r="A27" i="15"/>
  <c r="I35" i="12"/>
  <c r="AG35" i="12"/>
  <c r="G70" i="14" s="1"/>
  <c r="A77" i="14"/>
  <c r="C34" i="13"/>
  <c r="C45" i="16"/>
  <c r="E37" i="13"/>
  <c r="E48" i="16"/>
  <c r="AC22" i="12"/>
  <c r="Y22" i="12"/>
  <c r="F47" i="13" s="1"/>
  <c r="B60" i="13"/>
  <c r="B71" i="16"/>
  <c r="X38" i="12"/>
  <c r="H38" i="12"/>
  <c r="B53" i="13"/>
  <c r="B64" i="16"/>
  <c r="Y33" i="12"/>
  <c r="F58" i="13" s="1"/>
  <c r="E52" i="13"/>
  <c r="B84" i="16"/>
  <c r="B73" i="13"/>
  <c r="C61" i="13"/>
  <c r="C72" i="16"/>
  <c r="D84" i="16"/>
  <c r="D73" i="13"/>
  <c r="U26" i="12"/>
  <c r="G26" i="3"/>
  <c r="D61" i="13"/>
  <c r="D72" i="16"/>
  <c r="K2" i="3"/>
  <c r="D2" i="12" s="1"/>
  <c r="W9" i="12"/>
  <c r="G9" i="12"/>
  <c r="A44" i="15"/>
  <c r="A54" i="14"/>
  <c r="D58" i="16"/>
  <c r="D47" i="13"/>
  <c r="A32" i="12"/>
  <c r="AA32" i="12"/>
  <c r="T32" i="12"/>
  <c r="F32" i="12"/>
  <c r="C60" i="13"/>
  <c r="C71" i="16"/>
  <c r="G38" i="3"/>
  <c r="C64" i="16"/>
  <c r="C53" i="13"/>
  <c r="A31" i="13"/>
  <c r="C62" i="15"/>
  <c r="F12" i="12"/>
  <c r="U33" i="12"/>
  <c r="F36" i="12"/>
  <c r="F44" i="12"/>
  <c r="E61" i="13"/>
  <c r="A76" i="14"/>
  <c r="A38" i="15"/>
  <c r="A70" i="15"/>
  <c r="A67" i="16"/>
  <c r="AG9" i="12"/>
  <c r="G44" i="14" s="1"/>
  <c r="A50" i="15"/>
  <c r="A10" i="12"/>
  <c r="A36" i="13"/>
  <c r="A63" i="14"/>
  <c r="B50" i="15"/>
  <c r="A61" i="15"/>
  <c r="K17" i="3"/>
  <c r="D17" i="12" s="1"/>
  <c r="K49" i="3"/>
  <c r="D49" i="12" s="1"/>
  <c r="T12" i="12"/>
  <c r="T44" i="12"/>
  <c r="C50" i="15"/>
  <c r="B38" i="12"/>
  <c r="K6" i="3"/>
  <c r="D6" i="12" s="1"/>
  <c r="G3" i="12"/>
  <c r="AA6" i="12"/>
  <c r="A48" i="13"/>
  <c r="A55" i="14"/>
  <c r="B64" i="14"/>
  <c r="B42" i="15"/>
  <c r="B74" i="15"/>
  <c r="A76" i="16"/>
  <c r="K41" i="3"/>
  <c r="D41" i="12" s="1"/>
  <c r="F9" i="12"/>
  <c r="T27" i="12"/>
  <c r="T39" i="12"/>
  <c r="B55" i="14"/>
  <c r="U27" i="12"/>
  <c r="F30" i="12"/>
  <c r="F38" i="12"/>
  <c r="U39" i="12"/>
  <c r="F42" i="12"/>
  <c r="E53" i="13"/>
  <c r="G18" i="12"/>
  <c r="G30" i="12"/>
  <c r="D44" i="16"/>
  <c r="H26" i="12"/>
  <c r="H30" i="12"/>
  <c r="A65" i="15"/>
  <c r="E76" i="16"/>
  <c r="T4" i="12"/>
  <c r="K21" i="3"/>
  <c r="D21" i="12" s="1"/>
  <c r="G2" i="12"/>
  <c r="U4" i="12"/>
  <c r="AA5" i="12"/>
  <c r="B33" i="15"/>
  <c r="B65" i="15"/>
  <c r="H18" i="12"/>
  <c r="K24" i="3"/>
  <c r="D24" i="12" s="1"/>
  <c r="F8" i="12"/>
  <c r="T10" i="12"/>
  <c r="A13" i="12"/>
  <c r="A17" i="12"/>
  <c r="A25" i="12"/>
  <c r="A33" i="12"/>
  <c r="A37" i="12"/>
  <c r="A41" i="12"/>
  <c r="A45" i="12"/>
  <c r="A49" i="12"/>
  <c r="E27" i="13"/>
  <c r="C33" i="15"/>
  <c r="C65" i="15"/>
  <c r="A7" i="12"/>
  <c r="U10" i="12"/>
  <c r="B25" i="12"/>
  <c r="G42" i="3"/>
  <c r="B7" i="12"/>
  <c r="A47" i="14"/>
  <c r="B56" i="14"/>
  <c r="A79" i="14"/>
  <c r="T14" i="12"/>
  <c r="T22" i="12"/>
  <c r="T30" i="12"/>
  <c r="T38" i="12"/>
  <c r="T42" i="12"/>
  <c r="T46" i="12"/>
  <c r="B47" i="14"/>
  <c r="B79" i="14"/>
  <c r="F13" i="12"/>
  <c r="F17" i="12"/>
  <c r="F25" i="12"/>
  <c r="F33" i="12"/>
  <c r="U34" i="12"/>
  <c r="F37" i="12"/>
  <c r="F41" i="12"/>
  <c r="F45" i="12"/>
  <c r="T9" i="12"/>
  <c r="V22" i="12"/>
  <c r="A84" i="14"/>
  <c r="A6" i="12"/>
  <c r="A72" i="16"/>
  <c r="Y30" i="12"/>
  <c r="F55" i="13" s="1"/>
  <c r="U2" i="12"/>
  <c r="A72" i="13" l="1"/>
  <c r="A83" i="16"/>
  <c r="A46" i="15"/>
  <c r="A56" i="14"/>
  <c r="AC29" i="12"/>
  <c r="Y29" i="12"/>
  <c r="F54" i="13" s="1"/>
  <c r="AC15" i="12"/>
  <c r="Y15" i="12"/>
  <c r="F40" i="13" s="1"/>
  <c r="A60" i="13"/>
  <c r="A71" i="16"/>
  <c r="A54" i="15"/>
  <c r="A64" i="14"/>
  <c r="C36" i="15"/>
  <c r="AE11" i="12"/>
  <c r="E46" i="14" s="1"/>
  <c r="AD11" i="12"/>
  <c r="D46" i="14" s="1"/>
  <c r="C46" i="14"/>
  <c r="A70" i="14"/>
  <c r="A60" i="15"/>
  <c r="AC18" i="12"/>
  <c r="Y18" i="12"/>
  <c r="F43" i="13" s="1"/>
  <c r="E39" i="13"/>
  <c r="E50" i="16"/>
  <c r="AC23" i="12"/>
  <c r="Y23" i="12"/>
  <c r="F48" i="13" s="1"/>
  <c r="B70" i="16"/>
  <c r="B59" i="13"/>
  <c r="A46" i="16"/>
  <c r="A35" i="13"/>
  <c r="AC38" i="12"/>
  <c r="Y38" i="12"/>
  <c r="F63" i="13" s="1"/>
  <c r="B43" i="13"/>
  <c r="B54" i="16"/>
  <c r="AE5" i="12"/>
  <c r="E40" i="14" s="1"/>
  <c r="AD5" i="12"/>
  <c r="D40" i="14" s="1"/>
  <c r="C40" i="14"/>
  <c r="C30" i="15"/>
  <c r="B59" i="16"/>
  <c r="B48" i="13"/>
  <c r="B40" i="13"/>
  <c r="B51" i="16"/>
  <c r="D63" i="13"/>
  <c r="D74" i="16"/>
  <c r="AC35" i="12"/>
  <c r="Y35" i="12"/>
  <c r="F60" i="13" s="1"/>
  <c r="A31" i="15"/>
  <c r="A41" i="14"/>
  <c r="A28" i="13"/>
  <c r="A39" i="16"/>
  <c r="Y6" i="12"/>
  <c r="F31" i="13" s="1"/>
  <c r="AC6" i="12"/>
  <c r="B63" i="16"/>
  <c r="B52" i="13"/>
  <c r="A65" i="16"/>
  <c r="A54" i="13"/>
  <c r="A68" i="16"/>
  <c r="A57" i="13"/>
  <c r="AC49" i="12"/>
  <c r="Y49" i="12"/>
  <c r="F74" i="13" s="1"/>
  <c r="A57" i="15"/>
  <c r="A67" i="14"/>
  <c r="A38" i="14"/>
  <c r="A28" i="15"/>
  <c r="A40" i="14"/>
  <c r="A30" i="15"/>
  <c r="A40" i="13"/>
  <c r="A51" i="16"/>
  <c r="B72" i="13"/>
  <c r="B83" i="16"/>
  <c r="AE39" i="12"/>
  <c r="E74" i="14" s="1"/>
  <c r="AD39" i="12"/>
  <c r="D74" i="14" s="1"/>
  <c r="C74" i="14"/>
  <c r="C64" i="15"/>
  <c r="C47" i="15"/>
  <c r="C57" i="14"/>
  <c r="AE22" i="12"/>
  <c r="E57" i="14" s="1"/>
  <c r="AD22" i="12"/>
  <c r="D57" i="14" s="1"/>
  <c r="A82" i="16"/>
  <c r="A71" i="13"/>
  <c r="B29" i="13"/>
  <c r="B40" i="16"/>
  <c r="A50" i="14"/>
  <c r="A40" i="15"/>
  <c r="AC47" i="12"/>
  <c r="Y47" i="12"/>
  <c r="F72" i="13" s="1"/>
  <c r="E71" i="13"/>
  <c r="E82" i="16"/>
  <c r="E34" i="13"/>
  <c r="E45" i="16"/>
  <c r="A64" i="13"/>
  <c r="A75" i="16"/>
  <c r="A78" i="16"/>
  <c r="A67" i="13"/>
  <c r="A69" i="13"/>
  <c r="A80" i="16"/>
  <c r="C52" i="15"/>
  <c r="AE27" i="12"/>
  <c r="E62" i="14" s="1"/>
  <c r="AD27" i="12"/>
  <c r="D62" i="14" s="1"/>
  <c r="C62" i="14"/>
  <c r="D62" i="16"/>
  <c r="D51" i="13"/>
  <c r="A74" i="16"/>
  <c r="A63" i="13"/>
  <c r="A37" i="13"/>
  <c r="A48" i="16"/>
  <c r="AC32" i="12"/>
  <c r="Y32" i="12"/>
  <c r="F57" i="13" s="1"/>
  <c r="B65" i="16"/>
  <c r="B54" i="13"/>
  <c r="A66" i="16"/>
  <c r="A55" i="13"/>
  <c r="A29" i="13"/>
  <c r="A40" i="16"/>
  <c r="Y20" i="12"/>
  <c r="F45" i="13" s="1"/>
  <c r="AC20" i="12"/>
  <c r="B38" i="16"/>
  <c r="B27" i="13"/>
  <c r="A34" i="13"/>
  <c r="A45" i="16"/>
  <c r="A58" i="16"/>
  <c r="A47" i="13"/>
  <c r="C47" i="14"/>
  <c r="AE12" i="12"/>
  <c r="E47" i="14" s="1"/>
  <c r="AD12" i="12"/>
  <c r="D47" i="14" s="1"/>
  <c r="C37" i="15"/>
  <c r="A43" i="13"/>
  <c r="A54" i="16"/>
  <c r="D53" i="16"/>
  <c r="D42" i="13"/>
  <c r="A60" i="16"/>
  <c r="A49" i="13"/>
  <c r="A39" i="13"/>
  <c r="A50" i="16"/>
  <c r="D34" i="13"/>
  <c r="D45" i="16"/>
  <c r="A43" i="15"/>
  <c r="A53" i="14"/>
  <c r="A49" i="15"/>
  <c r="A59" i="14"/>
  <c r="C51" i="14"/>
  <c r="C41" i="15"/>
  <c r="AE16" i="12"/>
  <c r="E51" i="14" s="1"/>
  <c r="AD16" i="12"/>
  <c r="D51" i="14" s="1"/>
  <c r="AC41" i="12"/>
  <c r="Y41" i="12"/>
  <c r="F66" i="13" s="1"/>
  <c r="A51" i="13"/>
  <c r="A62" i="16"/>
  <c r="B37" i="13"/>
  <c r="B48" i="16"/>
  <c r="D45" i="13"/>
  <c r="D56" i="16"/>
  <c r="C79" i="14"/>
  <c r="AE44" i="12"/>
  <c r="E79" i="14" s="1"/>
  <c r="AD44" i="12"/>
  <c r="D79" i="14" s="1"/>
  <c r="C69" i="15"/>
  <c r="AC3" i="12"/>
  <c r="Y3" i="12"/>
  <c r="F28" i="13" s="1"/>
  <c r="A61" i="14"/>
  <c r="A51" i="15"/>
  <c r="Y9" i="12"/>
  <c r="F34" i="13" s="1"/>
  <c r="AC9" i="12"/>
  <c r="C69" i="14"/>
  <c r="AE34" i="12"/>
  <c r="E69" i="14" s="1"/>
  <c r="AD34" i="12"/>
  <c r="D69" i="14" s="1"/>
  <c r="C59" i="15"/>
  <c r="AE10" i="12"/>
  <c r="E45" i="14" s="1"/>
  <c r="AD10" i="12"/>
  <c r="D45" i="14" s="1"/>
  <c r="C35" i="15"/>
  <c r="C45" i="14"/>
  <c r="AC26" i="12"/>
  <c r="Y26" i="12"/>
  <c r="F51" i="13" s="1"/>
  <c r="E31" i="13"/>
  <c r="E42" i="16"/>
  <c r="B57" i="16"/>
  <c r="B46" i="13"/>
  <c r="E85" i="16"/>
  <c r="E74" i="13"/>
  <c r="AC46" i="12"/>
  <c r="Y46" i="12"/>
  <c r="F71" i="13" s="1"/>
  <c r="AC42" i="12"/>
  <c r="Y42" i="12"/>
  <c r="F67" i="13" s="1"/>
  <c r="B51" i="13"/>
  <c r="B62" i="16"/>
  <c r="AC21" i="12"/>
  <c r="Y21" i="12"/>
  <c r="F46" i="13" s="1"/>
  <c r="C68" i="15"/>
  <c r="AE43" i="12"/>
  <c r="E78" i="14" s="1"/>
  <c r="AD43" i="12"/>
  <c r="D78" i="14" s="1"/>
  <c r="C78" i="14"/>
  <c r="A57" i="16"/>
  <c r="A46" i="13"/>
  <c r="E28" i="13"/>
  <c r="E39" i="16"/>
  <c r="AE19" i="12"/>
  <c r="E54" i="14" s="1"/>
  <c r="AD19" i="12"/>
  <c r="D54" i="14" s="1"/>
  <c r="C44" i="15"/>
  <c r="C54" i="14"/>
  <c r="AC14" i="12"/>
  <c r="Y14" i="12"/>
  <c r="F39" i="13" s="1"/>
  <c r="C66" i="14"/>
  <c r="C56" i="15"/>
  <c r="AE31" i="12"/>
  <c r="E66" i="14" s="1"/>
  <c r="AD31" i="12"/>
  <c r="D66" i="14" s="1"/>
  <c r="A63" i="16"/>
  <c r="A52" i="13"/>
  <c r="AE4" i="12"/>
  <c r="E39" i="14" s="1"/>
  <c r="AD4" i="12"/>
  <c r="D39" i="14" s="1"/>
  <c r="C39" i="14"/>
  <c r="C29" i="15"/>
  <c r="B46" i="16"/>
  <c r="B35" i="13"/>
  <c r="C83" i="14"/>
  <c r="C73" i="15"/>
  <c r="AE48" i="12"/>
  <c r="E83" i="14" s="1"/>
  <c r="AD48" i="12"/>
  <c r="D83" i="14" s="1"/>
  <c r="A72" i="15"/>
  <c r="A82" i="14"/>
  <c r="B69" i="16"/>
  <c r="B58" i="13"/>
  <c r="B64" i="13"/>
  <c r="B75" i="16"/>
  <c r="E53" i="16"/>
  <c r="E42" i="13"/>
  <c r="D31" i="13"/>
  <c r="D42" i="16"/>
  <c r="C58" i="16"/>
  <c r="C47" i="13"/>
  <c r="D85" i="16"/>
  <c r="D74" i="13"/>
  <c r="E63" i="13"/>
  <c r="E74" i="16"/>
  <c r="C59" i="14"/>
  <c r="AE24" i="12"/>
  <c r="E59" i="14" s="1"/>
  <c r="AD24" i="12"/>
  <c r="D59" i="14" s="1"/>
  <c r="C49" i="15"/>
  <c r="AE36" i="12"/>
  <c r="E71" i="14" s="1"/>
  <c r="AD36" i="12"/>
  <c r="D71" i="14" s="1"/>
  <c r="C71" i="14"/>
  <c r="C61" i="15"/>
  <c r="C84" i="14" l="1"/>
  <c r="C74" i="15"/>
  <c r="AE49" i="12"/>
  <c r="E84" i="14" s="1"/>
  <c r="AD49" i="12"/>
  <c r="D84" i="14" s="1"/>
  <c r="C46" i="15"/>
  <c r="C56" i="14"/>
  <c r="AE21" i="12"/>
  <c r="E56" i="14" s="1"/>
  <c r="AD21" i="12"/>
  <c r="D56" i="14" s="1"/>
  <c r="AE23" i="12"/>
  <c r="E58" i="14" s="1"/>
  <c r="AD23" i="12"/>
  <c r="D58" i="14" s="1"/>
  <c r="C58" i="14"/>
  <c r="C48" i="15"/>
  <c r="C45" i="15"/>
  <c r="AE20" i="12"/>
  <c r="E55" i="14" s="1"/>
  <c r="C55" i="14"/>
  <c r="AD20" i="12"/>
  <c r="D55" i="14" s="1"/>
  <c r="AE6" i="12"/>
  <c r="E41" i="14" s="1"/>
  <c r="AD6" i="12"/>
  <c r="D41" i="14" s="1"/>
  <c r="C31" i="15"/>
  <c r="C41" i="14"/>
  <c r="C71" i="15"/>
  <c r="C81" i="14"/>
  <c r="AE46" i="12"/>
  <c r="E81" i="14" s="1"/>
  <c r="AD46" i="12"/>
  <c r="D81" i="14" s="1"/>
  <c r="C66" i="15"/>
  <c r="C76" i="14"/>
  <c r="AE41" i="12"/>
  <c r="E76" i="14" s="1"/>
  <c r="AD41" i="12"/>
  <c r="D76" i="14" s="1"/>
  <c r="C34" i="15"/>
  <c r="AE9" i="12"/>
  <c r="E44" i="14" s="1"/>
  <c r="AD9" i="12"/>
  <c r="D44" i="14" s="1"/>
  <c r="C44" i="14"/>
  <c r="C70" i="14"/>
  <c r="AE35" i="12"/>
  <c r="E70" i="14" s="1"/>
  <c r="AD35" i="12"/>
  <c r="D70" i="14" s="1"/>
  <c r="C60" i="15"/>
  <c r="C63" i="15"/>
  <c r="C73" i="14"/>
  <c r="AE38" i="12"/>
  <c r="E73" i="14" s="1"/>
  <c r="AD38" i="12"/>
  <c r="D73" i="14" s="1"/>
  <c r="C61" i="14"/>
  <c r="AE26" i="12"/>
  <c r="E61" i="14" s="1"/>
  <c r="AD26" i="12"/>
  <c r="D61" i="14" s="1"/>
  <c r="C51" i="15"/>
  <c r="C57" i="15"/>
  <c r="AE32" i="12"/>
  <c r="E67" i="14" s="1"/>
  <c r="AD32" i="12"/>
  <c r="D67" i="14" s="1"/>
  <c r="C67" i="14"/>
  <c r="AE15" i="12"/>
  <c r="E50" i="14" s="1"/>
  <c r="AD15" i="12"/>
  <c r="D50" i="14" s="1"/>
  <c r="C50" i="14"/>
  <c r="C40" i="15"/>
  <c r="C82" i="14"/>
  <c r="AE47" i="12"/>
  <c r="E82" i="14" s="1"/>
  <c r="AD47" i="12"/>
  <c r="D82" i="14" s="1"/>
  <c r="C72" i="15"/>
  <c r="C39" i="15"/>
  <c r="C49" i="14"/>
  <c r="AE14" i="12"/>
  <c r="E49" i="14" s="1"/>
  <c r="AD14" i="12"/>
  <c r="D49" i="14" s="1"/>
  <c r="C54" i="15"/>
  <c r="C64" i="14"/>
  <c r="AE29" i="12"/>
  <c r="E64" i="14" s="1"/>
  <c r="AD29" i="12"/>
  <c r="D64" i="14" s="1"/>
  <c r="C38" i="14"/>
  <c r="C28" i="15"/>
  <c r="AD3" i="12"/>
  <c r="D38" i="14" s="1"/>
  <c r="AE3" i="12"/>
  <c r="E38" i="14" s="1"/>
  <c r="C43" i="15"/>
  <c r="AE18" i="12"/>
  <c r="E53" i="14" s="1"/>
  <c r="AD18" i="12"/>
  <c r="D53" i="14" s="1"/>
  <c r="C53" i="14"/>
  <c r="C67" i="15"/>
  <c r="AE42" i="12"/>
  <c r="E77" i="14" s="1"/>
  <c r="AD42" i="12"/>
  <c r="D77" i="14" s="1"/>
  <c r="C77" i="14"/>
</calcChain>
</file>

<file path=xl/sharedStrings.xml><?xml version="1.0" encoding="utf-8"?>
<sst xmlns="http://schemas.openxmlformats.org/spreadsheetml/2006/main" count="1130" uniqueCount="338">
  <si>
    <t>README</t>
  </si>
  <si>
    <t>Data behind the TR8 rolling-dispatch figures (SOC, demand/PV/dispatch, net, self-consumption, metrics histogram).</t>
  </si>
  <si>
    <t>Each quantity sheet: rows = 48 half-hour periods (with hour of day), columns = prosumers, plus fleet_average / fleet_total.</t>
  </si>
  <si>
    <t>Dispatch is the committed slot-1 execution of the rolling horizon (self-consumption baseline, Term 2 + Term 3).</t>
  </si>
  <si>
    <t>SOC is the realised state at the START of each step (fraction of capacity).</t>
  </si>
  <si>
    <t>net_kW = (demand - PV) + (charge - discharge); positive = import, negative = export.</t>
  </si>
  <si>
    <t>Regenerate: python build_workbook.py --force   (see README.md for other transformers).</t>
  </si>
  <si>
    <t>quantity</t>
  </si>
  <si>
    <t>value</t>
  </si>
  <si>
    <t>run</t>
  </si>
  <si>
    <t>TR8 exact-QCP rolling (FOR_PolyS=0, FOR_LinearizeVmax=0), 48 steps, all Optimal</t>
  </si>
  <si>
    <t>source dispatch</t>
  </si>
  <si>
    <t>FOR_rolling_soc_TR8.csv</t>
  </si>
  <si>
    <t>source load/PV</t>
  </si>
  <si>
    <t>TR8_load_PV_48periods.xlsx</t>
  </si>
  <si>
    <t>prosumers</t>
  </si>
  <si>
    <t>PV generated kWh/day</t>
  </si>
  <si>
    <t>demand kWh/day</t>
  </si>
  <si>
    <t>exported kWh/day</t>
  </si>
  <si>
    <t>imported kWh/day</t>
  </si>
  <si>
    <t>SCR % (PV used locally)</t>
  </si>
  <si>
    <t>SSR % (demand met locally)</t>
  </si>
  <si>
    <t>prosumer-periods |net|&lt;50W %</t>
  </si>
  <si>
    <t>SOC min/max over day</t>
  </si>
  <si>
    <t>0.10 / 1.00</t>
  </si>
  <si>
    <t>simultaneous chg+dis rows</t>
  </si>
  <si>
    <t>period</t>
  </si>
  <si>
    <t>hour</t>
  </si>
  <si>
    <t>demand_avg_kW</t>
  </si>
  <si>
    <t>PV_avg_kW</t>
  </si>
  <si>
    <t>charge_avg_kW</t>
  </si>
  <si>
    <t>discharge_avg_kW</t>
  </si>
  <si>
    <t>net_avg_kW</t>
  </si>
  <si>
    <t>SOC_avg_pct</t>
  </si>
  <si>
    <t>demand_total_kW</t>
  </si>
  <si>
    <t>PV_total_kW</t>
  </si>
  <si>
    <t>net_total_kW</t>
  </si>
  <si>
    <t>BES_TR8_one223_B</t>
  </si>
  <si>
    <t>BES_TR8_one252_C</t>
  </si>
  <si>
    <t>BES_TR8_one280_A</t>
  </si>
  <si>
    <t>BES_TR8_one313_A</t>
  </si>
  <si>
    <t>BES_TR8_one321_C</t>
  </si>
  <si>
    <t>BES_TR8_one345_A</t>
  </si>
  <si>
    <t>BES_TR8_one375_C</t>
  </si>
  <si>
    <t>BES_TR8_one410_B</t>
  </si>
  <si>
    <t>BES_TR8_one416_C</t>
  </si>
  <si>
    <t>BES_TR8_one423_B</t>
  </si>
  <si>
    <t>BES_TR8_one446_B</t>
  </si>
  <si>
    <t>BES_TR8_one469_A</t>
  </si>
  <si>
    <t>BES_TR8_one477_A</t>
  </si>
  <si>
    <t>BES_TR8_one482_B</t>
  </si>
  <si>
    <t>BES_TR8_one61_A</t>
  </si>
  <si>
    <t>BES_TR8_one552_B</t>
  </si>
  <si>
    <t>BES_TR8_one560_C</t>
  </si>
  <si>
    <t>BES_TR8_one73_A</t>
  </si>
  <si>
    <t>BES_TR8_one137_A</t>
  </si>
  <si>
    <t>BES_TR8_four50_C</t>
  </si>
  <si>
    <t>BES_TR8_four171_A</t>
  </si>
  <si>
    <t>BES_TR8_four180_A</t>
  </si>
  <si>
    <t>BES_TR8_four200_A</t>
  </si>
  <si>
    <t>BES_TR8_four239_A</t>
  </si>
  <si>
    <t>BES_TR8_four259_B</t>
  </si>
  <si>
    <t>BES_TR8_four265_C</t>
  </si>
  <si>
    <t>BES_TR8_four54_C</t>
  </si>
  <si>
    <t>BES_TR8_four288_B</t>
  </si>
  <si>
    <t>BES_TR8_four289_B</t>
  </si>
  <si>
    <t>BES_TR8_four292_C</t>
  </si>
  <si>
    <t>BES_TR8_four301_C</t>
  </si>
  <si>
    <t>BES_TR8_four326_A</t>
  </si>
  <si>
    <t>BES_TR8_four352_A</t>
  </si>
  <si>
    <t>BES_TR8_four358_C</t>
  </si>
  <si>
    <t>BES_TR8_four368_C</t>
  </si>
  <si>
    <t>BES_TR8_four372_C</t>
  </si>
  <si>
    <t>BES_TR8_four381_A</t>
  </si>
  <si>
    <t>BES_TR8_four385_A</t>
  </si>
  <si>
    <t>BES_TR8_four423_C</t>
  </si>
  <si>
    <t>BES_TR8_four437_A</t>
  </si>
  <si>
    <t>BES_TR8_four446_B</t>
  </si>
  <si>
    <t>BES_TR8_four466_C</t>
  </si>
  <si>
    <t>BES_TR8_four467_C</t>
  </si>
  <si>
    <t>BES_TR8_four548_B</t>
  </si>
  <si>
    <t>BES_TR8_four558_C</t>
  </si>
  <si>
    <t>BES_TR8_four562_C</t>
  </si>
  <si>
    <t>BES_TR8_four590_A</t>
  </si>
  <si>
    <t>BES_TR8_four604_A</t>
  </si>
  <si>
    <t>BES_TR8_four78_B</t>
  </si>
  <si>
    <t>BES_TR8_four734_A</t>
  </si>
  <si>
    <t>BES_TR8_four797_C</t>
  </si>
  <si>
    <t>BES_TR8_four846_C</t>
  </si>
  <si>
    <t>BES_TR8_four854_A</t>
  </si>
  <si>
    <t>BES_TR8_four936_C</t>
  </si>
  <si>
    <t>BES_TR8_four950_B</t>
  </si>
  <si>
    <t>BES_TR8_four978_A</t>
  </si>
  <si>
    <t>BES_TR8_four104_A</t>
  </si>
  <si>
    <t>BES_TR8_four988_A</t>
  </si>
  <si>
    <t>BES_TR8_four1013_B</t>
  </si>
  <si>
    <t>BES_TR8_four1027_A</t>
  </si>
  <si>
    <t>BES_TR8_four1132_C</t>
  </si>
  <si>
    <t>BES_TR8_four126_A</t>
  </si>
  <si>
    <t>BES_TR8_four1187_A</t>
  </si>
  <si>
    <t>BES_TR8_four1207_B</t>
  </si>
  <si>
    <t>BES_TR8_five168_A</t>
  </si>
  <si>
    <t>BES_TR8_five186_C</t>
  </si>
  <si>
    <t>BES_TR8_five194_C</t>
  </si>
  <si>
    <t>BES_TR8_five223_A</t>
  </si>
  <si>
    <t>BES_TR8_five303_B</t>
  </si>
  <si>
    <t>BES_TR8_five324_B</t>
  </si>
  <si>
    <t>BES_TR8_five345_A</t>
  </si>
  <si>
    <t>BES_TR8_five421_A</t>
  </si>
  <si>
    <t>BES_TR8_five488_B</t>
  </si>
  <si>
    <t>BES_TR8_five513_B</t>
  </si>
  <si>
    <t>BES_TR8_five537_C</t>
  </si>
  <si>
    <t>BES_TR8_five540_A</t>
  </si>
  <si>
    <t>BES_TR8_five551_C</t>
  </si>
  <si>
    <t>BES_TR8_five631_B</t>
  </si>
  <si>
    <t>BES_TR8_five649_A</t>
  </si>
  <si>
    <t>BES_TR8_five663_C</t>
  </si>
  <si>
    <t>BES_TR8_five670_C</t>
  </si>
  <si>
    <t>BES_TR8_five704_A</t>
  </si>
  <si>
    <t>BES_TR8_five719_A</t>
  </si>
  <si>
    <t>BES_TR8_five750_B</t>
  </si>
  <si>
    <t>BES_TR8_five793_A</t>
  </si>
  <si>
    <t>BES_TR8_five801_C</t>
  </si>
  <si>
    <t>BES_TR8_five905_B</t>
  </si>
  <si>
    <t>BES_TR8_five118_B</t>
  </si>
  <si>
    <t>BES_TR8_five123_B</t>
  </si>
  <si>
    <t>BES_TR8_six64_A</t>
  </si>
  <si>
    <t>BES_TR8_six154_C</t>
  </si>
  <si>
    <t>BES_TR8_six173_C</t>
  </si>
  <si>
    <t>BES_TR8_six232_C</t>
  </si>
  <si>
    <t>BES_TR8_six238_A</t>
  </si>
  <si>
    <t>BES_TR8_six269_C</t>
  </si>
  <si>
    <t>BES_TR8_six289_C</t>
  </si>
  <si>
    <t>BES_TR8_six317_C</t>
  </si>
  <si>
    <t>BES_TR8_six326_A</t>
  </si>
  <si>
    <t>BES_TR8_six329_A</t>
  </si>
  <si>
    <t>BES_TR8_six342_A</t>
  </si>
  <si>
    <t>BES_TR8_six350_B</t>
  </si>
  <si>
    <t>BES_TR8_six365_C</t>
  </si>
  <si>
    <t>BES_TR8_six75_A</t>
  </si>
  <si>
    <t>BES_TR8_six385_B</t>
  </si>
  <si>
    <t>BES_TR8_six431_C</t>
  </si>
  <si>
    <t>BES_TR8_six571_C</t>
  </si>
  <si>
    <t>BES_TR8_six595_B</t>
  </si>
  <si>
    <t>BES_TR8_six643_A</t>
  </si>
  <si>
    <t>BES_TR8_six652_A</t>
  </si>
  <si>
    <t>BES_TR8_six667_A</t>
  </si>
  <si>
    <t>BES_TR8_six699_C</t>
  </si>
  <si>
    <t>BES_TR8_six723_B</t>
  </si>
  <si>
    <t>BES_TR8_six740_A</t>
  </si>
  <si>
    <t>BES_TR8_six90_B</t>
  </si>
  <si>
    <t>BES_TR8_six801_C</t>
  </si>
  <si>
    <t>BES_TR8_six807_A</t>
  </si>
  <si>
    <t>BES_TR8_six844_C</t>
  </si>
  <si>
    <t>BES_TR8_six860_C</t>
  </si>
  <si>
    <t>BES_TR8_six909_C</t>
  </si>
  <si>
    <t>BES_TR8_six914_A</t>
  </si>
  <si>
    <t>BES_TR8_six111_C</t>
  </si>
  <si>
    <t>BES_TR8_six1006_C</t>
  </si>
  <si>
    <t>BES_TR8_six1020_A</t>
  </si>
  <si>
    <t>BES_TR8_six1064_C</t>
  </si>
  <si>
    <t>fleet_average</t>
  </si>
  <si>
    <t>fleet_total</t>
  </si>
  <si>
    <t>battery</t>
  </si>
  <si>
    <t>bus</t>
  </si>
  <si>
    <t>phase</t>
  </si>
  <si>
    <t>BattMaxP_kW</t>
  </si>
  <si>
    <t>BattEcap_kWh</t>
  </si>
  <si>
    <t>PV_kWh</t>
  </si>
  <si>
    <t>demand_kWh</t>
  </si>
  <si>
    <t>export_kWh</t>
  </si>
  <si>
    <t>import_kWh</t>
  </si>
  <si>
    <t>SCR_pct</t>
  </si>
  <si>
    <t>SSR_pct</t>
  </si>
  <si>
    <t>TR8_one223</t>
  </si>
  <si>
    <t>TR8_one252</t>
  </si>
  <si>
    <t>TR8_one280</t>
  </si>
  <si>
    <t>TR8_one313</t>
  </si>
  <si>
    <t>TR8_one321</t>
  </si>
  <si>
    <t>TR8_one345</t>
  </si>
  <si>
    <t>TR8_one375</t>
  </si>
  <si>
    <t>TR8_one410</t>
  </si>
  <si>
    <t>TR8_one416</t>
  </si>
  <si>
    <t>TR8_one423</t>
  </si>
  <si>
    <t>TR8_one446</t>
  </si>
  <si>
    <t>TR8_one469</t>
  </si>
  <si>
    <t>TR8_one477</t>
  </si>
  <si>
    <t>TR8_one482</t>
  </si>
  <si>
    <t>TR8_one61</t>
  </si>
  <si>
    <t>TR8_one552</t>
  </si>
  <si>
    <t>TR8_one560</t>
  </si>
  <si>
    <t>TR8_one73</t>
  </si>
  <si>
    <t>TR8_one137</t>
  </si>
  <si>
    <t>TR8_four50</t>
  </si>
  <si>
    <t>TR8_four171</t>
  </si>
  <si>
    <t>TR8_four180</t>
  </si>
  <si>
    <t>TR8_four200</t>
  </si>
  <si>
    <t>TR8_four239</t>
  </si>
  <si>
    <t>TR8_four259</t>
  </si>
  <si>
    <t>TR8_four265</t>
  </si>
  <si>
    <t>TR8_four54</t>
  </si>
  <si>
    <t>TR8_four288</t>
  </si>
  <si>
    <t>TR8_four289</t>
  </si>
  <si>
    <t>TR8_four292</t>
  </si>
  <si>
    <t>TR8_four301</t>
  </si>
  <si>
    <t>TR8_four326</t>
  </si>
  <si>
    <t>TR8_four352</t>
  </si>
  <si>
    <t>TR8_four358</t>
  </si>
  <si>
    <t>TR8_four368</t>
  </si>
  <si>
    <t>TR8_four372</t>
  </si>
  <si>
    <t>TR8_four381</t>
  </si>
  <si>
    <t>TR8_four385</t>
  </si>
  <si>
    <t>TR8_four423</t>
  </si>
  <si>
    <t>TR8_four437</t>
  </si>
  <si>
    <t>TR8_four446</t>
  </si>
  <si>
    <t>TR8_four466</t>
  </si>
  <si>
    <t>TR8_four467</t>
  </si>
  <si>
    <t>TR8_four548</t>
  </si>
  <si>
    <t>TR8_four558</t>
  </si>
  <si>
    <t>TR8_four562</t>
  </si>
  <si>
    <t>TR8_four590</t>
  </si>
  <si>
    <t>TR8_four604</t>
  </si>
  <si>
    <t>TR8_four78</t>
  </si>
  <si>
    <t>TR8_four734</t>
  </si>
  <si>
    <t>TR8_four797</t>
  </si>
  <si>
    <t>TR8_four846</t>
  </si>
  <si>
    <t>TR8_four854</t>
  </si>
  <si>
    <t>TR8_four936</t>
  </si>
  <si>
    <t>TR8_four950</t>
  </si>
  <si>
    <t>TR8_four978</t>
  </si>
  <si>
    <t>TR8_four104</t>
  </si>
  <si>
    <t>TR8_four988</t>
  </si>
  <si>
    <t>TR8_four1013</t>
  </si>
  <si>
    <t>TR8_four1027</t>
  </si>
  <si>
    <t>TR8_four1132</t>
  </si>
  <si>
    <t>TR8_four126</t>
  </si>
  <si>
    <t>TR8_four1187</t>
  </si>
  <si>
    <t>TR8_four1207</t>
  </si>
  <si>
    <t>TR8_five168</t>
  </si>
  <si>
    <t>TR8_five186</t>
  </si>
  <si>
    <t>TR8_five194</t>
  </si>
  <si>
    <t>TR8_five223</t>
  </si>
  <si>
    <t>TR8_five303</t>
  </si>
  <si>
    <t>TR8_five324</t>
  </si>
  <si>
    <t>TR8_five345</t>
  </si>
  <si>
    <t>TR8_five421</t>
  </si>
  <si>
    <t>TR8_five488</t>
  </si>
  <si>
    <t>TR8_five513</t>
  </si>
  <si>
    <t>TR8_five537</t>
  </si>
  <si>
    <t>TR8_five540</t>
  </si>
  <si>
    <t>TR8_five551</t>
  </si>
  <si>
    <t>TR8_five631</t>
  </si>
  <si>
    <t>TR8_five649</t>
  </si>
  <si>
    <t>TR8_five663</t>
  </si>
  <si>
    <t>TR8_five670</t>
  </si>
  <si>
    <t>TR8_five704</t>
  </si>
  <si>
    <t>TR8_five719</t>
  </si>
  <si>
    <t>TR8_five750</t>
  </si>
  <si>
    <t>TR8_five793</t>
  </si>
  <si>
    <t>TR8_five801</t>
  </si>
  <si>
    <t>TR8_five905</t>
  </si>
  <si>
    <t>TR8_five118</t>
  </si>
  <si>
    <t>TR8_five123</t>
  </si>
  <si>
    <t>TR8_six64</t>
  </si>
  <si>
    <t>TR8_six154</t>
  </si>
  <si>
    <t>TR8_six173</t>
  </si>
  <si>
    <t>TR8_six232</t>
  </si>
  <si>
    <t>TR8_six238</t>
  </si>
  <si>
    <t>TR8_six269</t>
  </si>
  <si>
    <t>TR8_six289</t>
  </si>
  <si>
    <t>TR8_six317</t>
  </si>
  <si>
    <t>TR8_six326</t>
  </si>
  <si>
    <t>TR8_six329</t>
  </si>
  <si>
    <t>TR8_six342</t>
  </si>
  <si>
    <t>TR8_six350</t>
  </si>
  <si>
    <t>TR8_six365</t>
  </si>
  <si>
    <t>TR8_six75</t>
  </si>
  <si>
    <t>TR8_six385</t>
  </si>
  <si>
    <t>TR8_six431</t>
  </si>
  <si>
    <t>TR8_six571</t>
  </si>
  <si>
    <t>TR8_six595</t>
  </si>
  <si>
    <t>TR8_six643</t>
  </si>
  <si>
    <t>TR8_six652</t>
  </si>
  <si>
    <t>TR8_six667</t>
  </si>
  <si>
    <t>TR8_six699</t>
  </si>
  <si>
    <t>TR8_six723</t>
  </si>
  <si>
    <t>TR8_six740</t>
  </si>
  <si>
    <t>TR8_six90</t>
  </si>
  <si>
    <t>TR8_six801</t>
  </si>
  <si>
    <t>TR8_six807</t>
  </si>
  <si>
    <t>TR8_six844</t>
  </si>
  <si>
    <t>TR8_six860</t>
  </si>
  <si>
    <t>TR8_six909</t>
  </si>
  <si>
    <t>TR8_six914</t>
  </si>
  <si>
    <t>TR8_six111</t>
  </si>
  <si>
    <t>TR8_six1006</t>
  </si>
  <si>
    <t>TR8_six1020</t>
  </si>
  <si>
    <t>TR8_six1064</t>
  </si>
  <si>
    <t>TR8 Rolling Dispatch Analysis</t>
  </si>
  <si>
    <t>Data behind TR8 rolling-dispatch figures: SOC, demand/PV/dispatch, net power, self-consumption, and prosumer metrics.</t>
  </si>
  <si>
    <t>Prosumers</t>
  </si>
  <si>
    <t>PV Generated (kWh/day)</t>
  </si>
  <si>
    <t>Demand (kWh/day)</t>
  </si>
  <si>
    <t>Imported (kWh/day)</t>
  </si>
  <si>
    <t>SCR (%)</t>
  </si>
  <si>
    <t>SSR (%)</t>
  </si>
  <si>
    <t>Notes: positive net power indicates fleet import; negative net power indicates export. SCR and SSR values are stored on a 0-100 percentage scale in the source workbook.</t>
  </si>
  <si>
    <t>Hour</t>
  </si>
  <si>
    <t>Demand total kW</t>
  </si>
  <si>
    <t>PV total kW</t>
  </si>
  <si>
    <t>Net total kW</t>
  </si>
  <si>
    <t>Charge avg kW</t>
  </si>
  <si>
    <t>Discharge avg kW</t>
  </si>
  <si>
    <t>SOC avg %</t>
  </si>
  <si>
    <t>Battery</t>
  </si>
  <si>
    <t>SCR %</t>
  </si>
  <si>
    <t>SSR %</t>
  </si>
  <si>
    <t>Rank</t>
  </si>
  <si>
    <t>Export kWh/day</t>
  </si>
  <si>
    <t>Chart label</t>
  </si>
  <si>
    <t>demand</t>
  </si>
  <si>
    <t>PV generation</t>
  </si>
  <si>
    <t>charging</t>
  </si>
  <si>
    <t>discharging</t>
  </si>
  <si>
    <t>net exchange</t>
  </si>
  <si>
    <t>Net target kW</t>
  </si>
  <si>
    <t>Fleet avg net kW</t>
  </si>
  <si>
    <t>Import only kW</t>
  </si>
  <si>
    <t>Export only kW</t>
  </si>
  <si>
    <t>SOC max %</t>
  </si>
  <si>
    <t>Fleet avg SOC %</t>
  </si>
  <si>
    <t>Legend: very light thin lines = sampled individual prosumers; bold black = fleet-average net; bold muted green = fleet-average SOC; dashed gray targets show net = 0 and SOC max = 100%.</t>
  </si>
  <si>
    <t>Net zero target</t>
  </si>
  <si>
    <t>Fleet average net</t>
  </si>
  <si>
    <t>Demand, PV and battery dispatch -  TR8</t>
  </si>
  <si>
    <t>Demand avg kW</t>
  </si>
  <si>
    <t>PV avg kW</t>
  </si>
  <si>
    <t>Disch. avg 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</si>
</sst>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#,##0.000"/>
  </numFmts>
  <fonts count="6" x14ac:knownFonts="1">
    <font>
      <sz val="11"/>
      <color theme="1"/>
      <name val="Calibri"/>
    </font>
    <font>
      <b/>
      <sz val="11"/>
      <color rgb="FFFFFFFF"/>
      <name val="Calibri"/>
    </font>
    <font>
      <sz val="11"/>
      <color rgb="FF172033"/>
      <name val="Calibri"/>
    </font>
    <font>
      <b/>
      <sz val="11"/>
      <color rgb="FF172033"/>
      <name val="Calibri"/>
    </font>
    <font>
      <b/>
      <sz val="18"/>
      <color rgb="FFFFFFFF"/>
      <name val="Calibri"/>
    </font>
    <font>
      <b/>
      <sz val="15"/>
      <color rgb="FF172033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83B56"/>
      </patternFill>
    </fill>
    <fill>
      <patternFill patternType="solid">
        <fgColor rgb="FFF8FAFC"/>
      </patternFill>
    </fill>
    <fill>
      <patternFill patternType="solid">
        <fgColor rgb="FFEAF2FF"/>
      </patternFill>
    </fill>
    <fill>
      <patternFill patternType="solid">
        <fgColor rgb="FFEAF6EA"/>
      </patternFill>
    </fill>
    <fill>
      <patternFill patternType="solid">
        <fgColor rgb="FFFFF4E0"/>
      </patternFill>
    </fill>
    <fill>
      <patternFill patternType="solid">
        <fgColor rgb="FFFDECEC"/>
      </patternFill>
    </fill>
    <fill>
      <patternFill patternType="solid">
        <fgColor rgb="FFE6F4F3"/>
      </patternFill>
    </fill>
  </fills>
  <borders count="23">
    <border>
      <left/>
      <right/>
      <top/>
      <bottom/>
      <diagonal/>
    </border>
    <border>
      <left style="thin">
        <color rgb="FFC8D3DF"/>
      </left>
      <right style="thin">
        <color rgb="FFC8D3DF"/>
      </right>
      <top/>
      <bottom/>
      <diagonal/>
    </border>
    <border>
      <left style="thin">
        <color rgb="FFC8D3DF"/>
      </left>
      <right style="thin">
        <color rgb="FFC8D3DF"/>
      </right>
      <top/>
      <bottom style="thin">
        <color rgb="FFE5EAF0"/>
      </bottom>
      <diagonal/>
    </border>
    <border>
      <left style="thin">
        <color rgb="FFC8D3DF"/>
      </left>
      <right/>
      <top style="thin">
        <color rgb="FFC8D3DF"/>
      </top>
      <bottom style="thin">
        <color rgb="FFE5EAF0"/>
      </bottom>
      <diagonal/>
    </border>
    <border>
      <left/>
      <right style="thin">
        <color rgb="FFC8D3DF"/>
      </right>
      <top style="thin">
        <color rgb="FFC8D3DF"/>
      </top>
      <bottom style="thin">
        <color rgb="FFE5EAF0"/>
      </bottom>
      <diagonal/>
    </border>
    <border>
      <left style="thin">
        <color rgb="FFC8D3DF"/>
      </left>
      <right/>
      <top style="thin">
        <color rgb="FFE5EAF0"/>
      </top>
      <bottom style="thin">
        <color rgb="FFE5EAF0"/>
      </bottom>
      <diagonal/>
    </border>
    <border>
      <left/>
      <right style="thin">
        <color rgb="FFC8D3DF"/>
      </right>
      <top style="thin">
        <color rgb="FFE5EAF0"/>
      </top>
      <bottom style="thin">
        <color rgb="FFE5EAF0"/>
      </bottom>
      <diagonal/>
    </border>
    <border>
      <left style="thin">
        <color rgb="FFC8D3DF"/>
      </left>
      <right/>
      <top style="thin">
        <color rgb="FFE5EAF0"/>
      </top>
      <bottom style="thin">
        <color rgb="FFC8D3DF"/>
      </bottom>
      <diagonal/>
    </border>
    <border>
      <left/>
      <right style="thin">
        <color rgb="FFC8D3DF"/>
      </right>
      <top style="thin">
        <color rgb="FFE5EAF0"/>
      </top>
      <bottom style="thin">
        <color rgb="FFC8D3DF"/>
      </bottom>
      <diagonal/>
    </border>
    <border>
      <left/>
      <right/>
      <top style="thin">
        <color rgb="FFC8D3DF"/>
      </top>
      <bottom style="thin">
        <color rgb="FFE5EAF0"/>
      </bottom>
      <diagonal/>
    </border>
    <border>
      <left/>
      <right/>
      <top style="thin">
        <color rgb="FFE5EAF0"/>
      </top>
      <bottom style="thin">
        <color rgb="FFE5EAF0"/>
      </bottom>
      <diagonal/>
    </border>
    <border>
      <left/>
      <right/>
      <top style="thin">
        <color rgb="FFE5EAF0"/>
      </top>
      <bottom style="thin">
        <color rgb="FFC8D3DF"/>
      </bottom>
      <diagonal/>
    </border>
    <border>
      <left style="thin">
        <color rgb="FFC8D3DF"/>
      </left>
      <right/>
      <top style="thin">
        <color rgb="FFC8D3DF"/>
      </top>
      <bottom/>
      <diagonal/>
    </border>
    <border>
      <left/>
      <right style="thin">
        <color rgb="FFC8D3DF"/>
      </right>
      <top style="thin">
        <color rgb="FFC8D3DF"/>
      </top>
      <bottom/>
      <diagonal/>
    </border>
    <border>
      <left style="thin">
        <color rgb="FFC8D3DF"/>
      </left>
      <right/>
      <top/>
      <bottom style="thin">
        <color rgb="FFC8D3DF"/>
      </bottom>
      <diagonal/>
    </border>
    <border>
      <left/>
      <right style="thin">
        <color rgb="FFC8D3DF"/>
      </right>
      <top/>
      <bottom style="thin">
        <color rgb="FFC8D3DF"/>
      </bottom>
      <diagonal/>
    </border>
    <border>
      <left/>
      <right/>
      <top style="thin">
        <color rgb="FFC8D3DF"/>
      </top>
      <bottom/>
      <diagonal/>
    </border>
    <border>
      <left style="thin">
        <color rgb="FFC8D3DF"/>
      </left>
      <right/>
      <top/>
      <bottom/>
      <diagonal/>
    </border>
    <border>
      <left/>
      <right style="thin">
        <color rgb="FFC8D3DF"/>
      </right>
      <top/>
      <bottom/>
      <diagonal/>
    </border>
    <border>
      <left/>
      <right/>
      <top/>
      <bottom style="thin">
        <color rgb="FFC8D3DF"/>
      </bottom>
      <diagonal/>
    </border>
    <border>
      <left style="thin">
        <color rgb="FFC8D3DF"/>
      </left>
      <right/>
      <top style="thin">
        <color rgb="FFC8D3DF"/>
      </top>
      <bottom style="thin">
        <color rgb="FFC8D3DF"/>
      </bottom>
      <diagonal/>
    </border>
    <border>
      <left/>
      <right/>
      <top style="thin">
        <color rgb="FFC8D3DF"/>
      </top>
      <bottom style="thin">
        <color rgb="FFC8D3DF"/>
      </bottom>
      <diagonal/>
    </border>
    <border>
      <left/>
      <right style="thin">
        <color rgb="FFC8D3DF"/>
      </right>
      <top style="thin">
        <color rgb="FFC8D3DF"/>
      </top>
      <bottom style="thin">
        <color rgb="FFC8D3DF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0" xfId="0" applyNumberFormat="1" applyFont="1" applyFill="1" applyBorder="1" applyAlignment="1">
      <alignment horizontal="left"/>
    </xf>
    <xf numFmtId="0" fontId="2" fillId="3" borderId="1" xfId="0" applyNumberFormat="1" applyFont="1" applyFill="1" applyBorder="1" applyAlignment="1">
      <alignment vertical="top" wrapText="1"/>
    </xf>
    <xf numFmtId="0" fontId="2" fillId="3" borderId="2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/>
    <xf numFmtId="0" fontId="0" fillId="0" borderId="6" xfId="0" applyNumberFormat="1" applyFont="1" applyFill="1" applyBorder="1"/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vertical="center"/>
    </xf>
    <xf numFmtId="0" fontId="2" fillId="0" borderId="6" xfId="0" applyNumberFormat="1" applyFont="1" applyFill="1" applyBorder="1" applyAlignment="1">
      <alignment vertical="center"/>
    </xf>
    <xf numFmtId="0" fontId="2" fillId="0" borderId="7" xfId="0" applyNumberFormat="1" applyFont="1" applyFill="1" applyBorder="1" applyAlignment="1">
      <alignment vertical="center"/>
    </xf>
    <xf numFmtId="0" fontId="2" fillId="0" borderId="6" xfId="0" applyNumberFormat="1" applyFont="1" applyFill="1" applyBorder="1" applyAlignment="1">
      <alignment vertical="center" wrapText="1"/>
    </xf>
    <xf numFmtId="0" fontId="3" fillId="3" borderId="5" xfId="0" applyNumberFormat="1" applyFont="1" applyFill="1" applyBorder="1" applyAlignment="1">
      <alignment vertical="center"/>
    </xf>
    <xf numFmtId="0" fontId="3" fillId="3" borderId="7" xfId="0" applyNumberFormat="1" applyFont="1" applyFill="1" applyBorder="1" applyAlignment="1">
      <alignment vertical="center"/>
    </xf>
    <xf numFmtId="164" fontId="2" fillId="0" borderId="6" xfId="0" applyNumberFormat="1" applyFont="1" applyFill="1" applyBorder="1" applyAlignment="1">
      <alignment vertical="center"/>
    </xf>
    <xf numFmtId="165" fontId="2" fillId="0" borderId="6" xfId="0" applyNumberFormat="1" applyFont="1" applyFill="1" applyBorder="1" applyAlignment="1">
      <alignment vertical="center"/>
    </xf>
    <xf numFmtId="3" fontId="2" fillId="0" borderId="8" xfId="0" applyNumberFormat="1" applyFont="1" applyFill="1" applyBorder="1" applyAlignment="1">
      <alignment vertical="center"/>
    </xf>
    <xf numFmtId="0" fontId="0" fillId="0" borderId="10" xfId="0" applyNumberFormat="1" applyFont="1" applyFill="1" applyBorder="1"/>
    <xf numFmtId="0" fontId="0" fillId="0" borderId="11" xfId="0" applyNumberFormat="1" applyFont="1" applyFill="1" applyBorder="1"/>
    <xf numFmtId="0" fontId="1" fillId="2" borderId="9" xfId="0" applyNumberFormat="1" applyFont="1" applyFill="1" applyBorder="1" applyAlignment="1">
      <alignment horizontal="center" vertical="center" wrapText="1"/>
    </xf>
    <xf numFmtId="0" fontId="2" fillId="0" borderId="10" xfId="0" applyNumberFormat="1" applyFont="1" applyFill="1" applyBorder="1" applyAlignment="1">
      <alignment vertical="center"/>
    </xf>
    <xf numFmtId="0" fontId="2" fillId="0" borderId="11" xfId="0" applyNumberFormat="1" applyFont="1" applyFill="1" applyBorder="1" applyAlignment="1">
      <alignment vertical="center"/>
    </xf>
    <xf numFmtId="1" fontId="2" fillId="0" borderId="5" xfId="0" applyNumberFormat="1" applyFont="1" applyFill="1" applyBorder="1" applyAlignment="1">
      <alignment vertical="center"/>
    </xf>
    <xf numFmtId="1" fontId="2" fillId="0" borderId="7" xfId="0" applyNumberFormat="1" applyFont="1" applyFill="1" applyBorder="1" applyAlignment="1">
      <alignment vertical="center"/>
    </xf>
    <xf numFmtId="165" fontId="2" fillId="0" borderId="10" xfId="0" applyNumberFormat="1" applyFont="1" applyFill="1" applyBorder="1" applyAlignment="1">
      <alignment vertical="center"/>
    </xf>
    <xf numFmtId="165" fontId="2" fillId="0" borderId="11" xfId="0" applyNumberFormat="1" applyFont="1" applyFill="1" applyBorder="1" applyAlignment="1">
      <alignment vertical="center"/>
    </xf>
    <xf numFmtId="166" fontId="2" fillId="0" borderId="10" xfId="0" applyNumberFormat="1" applyFont="1" applyFill="1" applyBorder="1" applyAlignment="1">
      <alignment vertical="center"/>
    </xf>
    <xf numFmtId="166" fontId="2" fillId="0" borderId="11" xfId="0" applyNumberFormat="1" applyFont="1" applyFill="1" applyBorder="1" applyAlignment="1">
      <alignment vertical="center"/>
    </xf>
    <xf numFmtId="164" fontId="2" fillId="0" borderId="10" xfId="0" applyNumberFormat="1" applyFont="1" applyFill="1" applyBorder="1" applyAlignment="1">
      <alignment vertical="center"/>
    </xf>
    <xf numFmtId="164" fontId="2" fillId="0" borderId="11" xfId="0" applyNumberFormat="1" applyFont="1" applyFill="1" applyBorder="1" applyAlignment="1">
      <alignment vertical="center"/>
    </xf>
    <xf numFmtId="164" fontId="2" fillId="0" borderId="8" xfId="0" applyNumberFormat="1" applyFont="1" applyFill="1" applyBorder="1" applyAlignment="1">
      <alignment vertical="center"/>
    </xf>
    <xf numFmtId="165" fontId="2" fillId="0" borderId="8" xfId="0" applyNumberFormat="1" applyFont="1" applyFill="1" applyBorder="1" applyAlignment="1">
      <alignment vertical="center"/>
    </xf>
    <xf numFmtId="166" fontId="2" fillId="0" borderId="6" xfId="0" applyNumberFormat="1" applyFont="1" applyFill="1" applyBorder="1" applyAlignment="1">
      <alignment vertical="center"/>
    </xf>
    <xf numFmtId="166" fontId="2" fillId="0" borderId="8" xfId="0" applyNumberFormat="1" applyFont="1" applyFill="1" applyBorder="1" applyAlignment="1">
      <alignment vertical="center"/>
    </xf>
    <xf numFmtId="1" fontId="2" fillId="0" borderId="10" xfId="0" applyNumberFormat="1" applyFont="1" applyFill="1" applyBorder="1" applyAlignment="1">
      <alignment vertical="center"/>
    </xf>
    <xf numFmtId="1" fontId="2" fillId="0" borderId="11" xfId="0" applyNumberFormat="1" applyFont="1" applyFill="1" applyBorder="1" applyAlignment="1">
      <alignment vertical="center"/>
    </xf>
    <xf numFmtId="0" fontId="1" fillId="2" borderId="3" xfId="0" applyNumberFormat="1" applyFont="1" applyFill="1" applyBorder="1" applyAlignment="1">
      <alignment horizontal="center"/>
    </xf>
    <xf numFmtId="0" fontId="1" fillId="2" borderId="9" xfId="0" applyNumberFormat="1" applyFont="1" applyFill="1" applyBorder="1" applyAlignment="1">
      <alignment horizontal="center"/>
    </xf>
    <xf numFmtId="0" fontId="1" fillId="2" borderId="4" xfId="0" applyNumberFormat="1" applyFont="1" applyFill="1" applyBorder="1" applyAlignment="1">
      <alignment horizontal="center"/>
    </xf>
    <xf numFmtId="165" fontId="0" fillId="0" borderId="5" xfId="0" applyNumberFormat="1" applyFont="1" applyFill="1" applyBorder="1"/>
    <xf numFmtId="165" fontId="0" fillId="0" borderId="7" xfId="0" applyNumberFormat="1" applyFont="1" applyFill="1" applyBorder="1"/>
    <xf numFmtId="164" fontId="0" fillId="0" borderId="10" xfId="0" applyNumberFormat="1" applyFont="1" applyFill="1" applyBorder="1"/>
    <xf numFmtId="164" fontId="0" fillId="0" borderId="6" xfId="0" applyNumberFormat="1" applyFont="1" applyFill="1" applyBorder="1"/>
    <xf numFmtId="164" fontId="0" fillId="0" borderId="11" xfId="0" applyNumberFormat="1" applyFont="1" applyFill="1" applyBorder="1"/>
    <xf numFmtId="164" fontId="0" fillId="0" borderId="8" xfId="0" applyNumberFormat="1" applyFont="1" applyFill="1" applyBorder="1"/>
    <xf numFmtId="166" fontId="0" fillId="0" borderId="10" xfId="0" applyNumberFormat="1" applyFont="1" applyFill="1" applyBorder="1"/>
    <xf numFmtId="166" fontId="0" fillId="0" borderId="11" xfId="0" applyNumberFormat="1" applyFont="1" applyFill="1" applyBorder="1"/>
    <xf numFmtId="165" fontId="0" fillId="0" borderId="6" xfId="0" applyNumberFormat="1" applyFont="1" applyFill="1" applyBorder="1"/>
    <xf numFmtId="165" fontId="0" fillId="0" borderId="8" xfId="0" applyNumberFormat="1" applyFont="1" applyFill="1" applyBorder="1"/>
    <xf numFmtId="165" fontId="0" fillId="0" borderId="10" xfId="0" applyNumberFormat="1" applyFont="1" applyFill="1" applyBorder="1"/>
    <xf numFmtId="165" fontId="0" fillId="0" borderId="11" xfId="0" applyNumberFormat="1" applyFont="1" applyFill="1" applyBorder="1"/>
    <xf numFmtId="1" fontId="0" fillId="0" borderId="5" xfId="0" applyNumberFormat="1" applyFont="1" applyFill="1" applyBorder="1"/>
    <xf numFmtId="1" fontId="0" fillId="0" borderId="7" xfId="0" applyNumberFormat="1" applyFont="1" applyFill="1" applyBorder="1"/>
    <xf numFmtId="166" fontId="0" fillId="0" borderId="6" xfId="0" applyNumberFormat="1" applyFont="1" applyFill="1" applyBorder="1"/>
    <xf numFmtId="166" fontId="0" fillId="0" borderId="8" xfId="0" applyNumberFormat="1" applyFont="1" applyFill="1" applyBorder="1"/>
    <xf numFmtId="0" fontId="4" fillId="2" borderId="0" xfId="0" applyNumberFormat="1" applyFont="1" applyFill="1" applyBorder="1" applyAlignment="1">
      <alignment horizontal="left" vertical="center"/>
    </xf>
    <xf numFmtId="0" fontId="0" fillId="0" borderId="0" xfId="0"/>
    <xf numFmtId="0" fontId="2" fillId="3" borderId="0" xfId="0" applyNumberFormat="1" applyFont="1" applyFill="1" applyBorder="1" applyAlignment="1">
      <alignment horizontal="left"/>
    </xf>
    <xf numFmtId="0" fontId="3" fillId="4" borderId="12" xfId="0" applyNumberFormat="1" applyFont="1" applyFill="1" applyBorder="1" applyAlignment="1">
      <alignment horizontal="center" vertical="center"/>
    </xf>
    <xf numFmtId="0" fontId="3" fillId="4" borderId="13" xfId="0" applyNumberFormat="1" applyFont="1" applyFill="1" applyBorder="1" applyAlignment="1">
      <alignment horizontal="center" vertical="center"/>
    </xf>
    <xf numFmtId="3" fontId="5" fillId="4" borderId="14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vertical="center"/>
    </xf>
    <xf numFmtId="0" fontId="3" fillId="5" borderId="12" xfId="0" applyNumberFormat="1" applyFont="1" applyFill="1" applyBorder="1" applyAlignment="1">
      <alignment horizontal="center" vertical="center"/>
    </xf>
    <xf numFmtId="0" fontId="3" fillId="5" borderId="13" xfId="0" applyNumberFormat="1" applyFont="1" applyFill="1" applyBorder="1" applyAlignment="1">
      <alignment horizontal="center" vertical="center"/>
    </xf>
    <xf numFmtId="164" fontId="5" fillId="5" borderId="14" xfId="0" applyNumberFormat="1" applyFont="1" applyFill="1" applyBorder="1" applyAlignment="1">
      <alignment horizontal="center" vertical="center"/>
    </xf>
    <xf numFmtId="0" fontId="2" fillId="5" borderId="15" xfId="0" applyNumberFormat="1" applyFont="1" applyFill="1" applyBorder="1" applyAlignment="1">
      <alignment vertical="center"/>
    </xf>
    <xf numFmtId="0" fontId="3" fillId="6" borderId="12" xfId="0" applyNumberFormat="1" applyFont="1" applyFill="1" applyBorder="1" applyAlignment="1">
      <alignment horizontal="center" vertical="center"/>
    </xf>
    <xf numFmtId="0" fontId="3" fillId="6" borderId="13" xfId="0" applyNumberFormat="1" applyFont="1" applyFill="1" applyBorder="1" applyAlignment="1">
      <alignment horizontal="center" vertical="center"/>
    </xf>
    <xf numFmtId="164" fontId="5" fillId="6" borderId="14" xfId="0" applyNumberFormat="1" applyFont="1" applyFill="1" applyBorder="1" applyAlignment="1">
      <alignment horizontal="center" vertical="center"/>
    </xf>
    <xf numFmtId="0" fontId="2" fillId="6" borderId="15" xfId="0" applyNumberFormat="1" applyFont="1" applyFill="1" applyBorder="1" applyAlignment="1">
      <alignment vertical="center"/>
    </xf>
    <xf numFmtId="0" fontId="3" fillId="7" borderId="12" xfId="0" applyNumberFormat="1" applyFont="1" applyFill="1" applyBorder="1" applyAlignment="1">
      <alignment horizontal="center" vertical="center"/>
    </xf>
    <xf numFmtId="0" fontId="3" fillId="7" borderId="13" xfId="0" applyNumberFormat="1" applyFont="1" applyFill="1" applyBorder="1" applyAlignment="1">
      <alignment horizontal="center" vertical="center"/>
    </xf>
    <xf numFmtId="164" fontId="5" fillId="7" borderId="14" xfId="0" applyNumberFormat="1" applyFont="1" applyFill="1" applyBorder="1" applyAlignment="1">
      <alignment horizontal="center" vertical="center"/>
    </xf>
    <xf numFmtId="0" fontId="2" fillId="7" borderId="15" xfId="0" applyNumberFormat="1" applyFont="1" applyFill="1" applyBorder="1" applyAlignment="1">
      <alignment vertical="center"/>
    </xf>
    <xf numFmtId="0" fontId="3" fillId="8" borderId="12" xfId="0" applyNumberFormat="1" applyFont="1" applyFill="1" applyBorder="1" applyAlignment="1">
      <alignment horizontal="center" vertical="center"/>
    </xf>
    <xf numFmtId="0" fontId="3" fillId="8" borderId="13" xfId="0" applyNumberFormat="1" applyFont="1" applyFill="1" applyBorder="1" applyAlignment="1">
      <alignment horizontal="center" vertical="center"/>
    </xf>
    <xf numFmtId="165" fontId="5" fillId="8" borderId="14" xfId="0" applyNumberFormat="1" applyFont="1" applyFill="1" applyBorder="1" applyAlignment="1">
      <alignment horizontal="center" vertical="center"/>
    </xf>
    <xf numFmtId="0" fontId="2" fillId="8" borderId="15" xfId="0" applyNumberFormat="1" applyFont="1" applyFill="1" applyBorder="1" applyAlignment="1">
      <alignment vertical="center"/>
    </xf>
    <xf numFmtId="165" fontId="5" fillId="5" borderId="14" xfId="0" applyNumberFormat="1" applyFont="1" applyFill="1" applyBorder="1" applyAlignment="1">
      <alignment horizontal="center" vertical="center"/>
    </xf>
    <xf numFmtId="0" fontId="2" fillId="3" borderId="12" xfId="0" applyNumberFormat="1" applyFont="1" applyFill="1" applyBorder="1" applyAlignment="1">
      <alignment vertical="top" wrapText="1"/>
    </xf>
    <xf numFmtId="0" fontId="0" fillId="0" borderId="16" xfId="0" applyNumberFormat="1" applyFont="1" applyFill="1" applyBorder="1"/>
    <xf numFmtId="0" fontId="0" fillId="0" borderId="13" xfId="0" applyNumberFormat="1" applyFont="1" applyFill="1" applyBorder="1"/>
    <xf numFmtId="0" fontId="0" fillId="0" borderId="17" xfId="0" applyNumberFormat="1" applyFont="1" applyFill="1" applyBorder="1"/>
    <xf numFmtId="0" fontId="0" fillId="0" borderId="0" xfId="0" applyNumberFormat="1" applyFont="1" applyFill="1" applyBorder="1"/>
    <xf numFmtId="0" fontId="0" fillId="0" borderId="18" xfId="0" applyNumberFormat="1" applyFont="1" applyFill="1" applyBorder="1"/>
    <xf numFmtId="0" fontId="0" fillId="0" borderId="14" xfId="0" applyNumberFormat="1" applyFont="1" applyFill="1" applyBorder="1"/>
    <xf numFmtId="0" fontId="0" fillId="0" borderId="19" xfId="0" applyNumberFormat="1" applyFont="1" applyFill="1" applyBorder="1"/>
    <xf numFmtId="0" fontId="0" fillId="0" borderId="15" xfId="0" applyNumberFormat="1" applyFont="1" applyFill="1" applyBorder="1"/>
    <xf numFmtId="0" fontId="2" fillId="3" borderId="20" xfId="0" applyNumberFormat="1" applyFont="1" applyFill="1" applyBorder="1" applyAlignment="1">
      <alignment vertical="top" wrapText="1"/>
    </xf>
    <xf numFmtId="0" fontId="0" fillId="0" borderId="21" xfId="0" applyNumberFormat="1" applyFont="1" applyFill="1" applyBorder="1"/>
    <xf numFmtId="0" fontId="0" fillId="0" borderId="22" xfId="0" applyNumberFormat="1" applyFont="1" applyFill="1" applyBorder="1"/>
    <xf numFmtId="0" fontId="5" fillId="0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Fleet Power Profile by Half-Hour (kW)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Demand total</c:v>
          </c:tx>
          <c:marker>
            <c:symbol val="none"/>
          </c:marker>
          <c:cat>
            <c:numRef>
              <c:f>ChartData!$A$2:$A$49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ChartData!$B$2:$B$49</c:f>
              <c:numCache>
                <c:formatCode>#,##0.0</c:formatCode>
                <c:ptCount val="48"/>
                <c:pt idx="0">
                  <c:v>29.704946333333332</c:v>
                </c:pt>
                <c:pt idx="1">
                  <c:v>20.096057399999996</c:v>
                </c:pt>
                <c:pt idx="2">
                  <c:v>15.511822233333337</c:v>
                </c:pt>
                <c:pt idx="3">
                  <c:v>17.183640933333329</c:v>
                </c:pt>
                <c:pt idx="4">
                  <c:v>13.80826000000001</c:v>
                </c:pt>
                <c:pt idx="5">
                  <c:v>16.07697460000001</c:v>
                </c:pt>
                <c:pt idx="6">
                  <c:v>13.549641000000003</c:v>
                </c:pt>
                <c:pt idx="7">
                  <c:v>17.845084066666661</c:v>
                </c:pt>
                <c:pt idx="8">
                  <c:v>13.983020333333334</c:v>
                </c:pt>
                <c:pt idx="9">
                  <c:v>14.435499666666663</c:v>
                </c:pt>
                <c:pt idx="10">
                  <c:v>14.085673999999996</c:v>
                </c:pt>
                <c:pt idx="11">
                  <c:v>13.488794800000001</c:v>
                </c:pt>
                <c:pt idx="12">
                  <c:v>15.43113743333334</c:v>
                </c:pt>
                <c:pt idx="13">
                  <c:v>18.157529666666676</c:v>
                </c:pt>
                <c:pt idx="14">
                  <c:v>18.777768200000008</c:v>
                </c:pt>
                <c:pt idx="15">
                  <c:v>22.534144433333338</c:v>
                </c:pt>
                <c:pt idx="16">
                  <c:v>30.580284833333327</c:v>
                </c:pt>
                <c:pt idx="17">
                  <c:v>37.009505166666678</c:v>
                </c:pt>
                <c:pt idx="18">
                  <c:v>40.686142166666677</c:v>
                </c:pt>
                <c:pt idx="19">
                  <c:v>41.661213333333365</c:v>
                </c:pt>
                <c:pt idx="20">
                  <c:v>44.838113966666661</c:v>
                </c:pt>
                <c:pt idx="21">
                  <c:v>47.066098766666641</c:v>
                </c:pt>
                <c:pt idx="22">
                  <c:v>42.693619866666637</c:v>
                </c:pt>
                <c:pt idx="23">
                  <c:v>54.35274233333331</c:v>
                </c:pt>
                <c:pt idx="24">
                  <c:v>50.733500333333318</c:v>
                </c:pt>
                <c:pt idx="25">
                  <c:v>37.989170099999981</c:v>
                </c:pt>
                <c:pt idx="26">
                  <c:v>31.134782866666658</c:v>
                </c:pt>
                <c:pt idx="27">
                  <c:v>34.636476266666683</c:v>
                </c:pt>
                <c:pt idx="28">
                  <c:v>37.60095013333332</c:v>
                </c:pt>
                <c:pt idx="29">
                  <c:v>38.68536716666668</c:v>
                </c:pt>
                <c:pt idx="30">
                  <c:v>36.497482833333308</c:v>
                </c:pt>
                <c:pt idx="31">
                  <c:v>35.767746766666669</c:v>
                </c:pt>
                <c:pt idx="32">
                  <c:v>40.627656799999997</c:v>
                </c:pt>
                <c:pt idx="33">
                  <c:v>42.355652466666662</c:v>
                </c:pt>
                <c:pt idx="34">
                  <c:v>33.780741299999995</c:v>
                </c:pt>
                <c:pt idx="35">
                  <c:v>41.850102800000023</c:v>
                </c:pt>
                <c:pt idx="36">
                  <c:v>42.629411033333319</c:v>
                </c:pt>
                <c:pt idx="37">
                  <c:v>46.905293233333346</c:v>
                </c:pt>
                <c:pt idx="38">
                  <c:v>50.49349136666666</c:v>
                </c:pt>
                <c:pt idx="39">
                  <c:v>57.690245566666661</c:v>
                </c:pt>
                <c:pt idx="40">
                  <c:v>58.926951133333297</c:v>
                </c:pt>
                <c:pt idx="41">
                  <c:v>67.892713933333326</c:v>
                </c:pt>
                <c:pt idx="42">
                  <c:v>67.554234066666623</c:v>
                </c:pt>
                <c:pt idx="43">
                  <c:v>60.599059033333319</c:v>
                </c:pt>
                <c:pt idx="44">
                  <c:v>55.478494866666693</c:v>
                </c:pt>
                <c:pt idx="45">
                  <c:v>52.654557333333329</c:v>
                </c:pt>
                <c:pt idx="46">
                  <c:v>37.428887133333312</c:v>
                </c:pt>
                <c:pt idx="47">
                  <c:v>28.876278066666671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B5-4164-A0FD-F5C96BDAA770}"/>
            </c:ext>
          </c:extLst>
        </c:ser>
        <c:ser>
          <c:idx val="1"/>
          <c:order val="1"/>
          <c:tx>
            <c:v>PV total</c:v>
          </c:tx>
          <c:marker>
            <c:symbol val="none"/>
          </c:marker>
          <c:cat>
            <c:numRef>
              <c:f>ChartData!$A$2:$A$49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ChartData!$C$2:$C$49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0.32816663063333334</c:v>
                </c:pt>
                <c:pt idx="8">
                  <c:v>4.7434272253666592</c:v>
                </c:pt>
                <c:pt idx="9">
                  <c:v>22.181703017949971</c:v>
                </c:pt>
                <c:pt idx="10">
                  <c:v>44.000329993433468</c:v>
                </c:pt>
                <c:pt idx="11">
                  <c:v>70.754704511866592</c:v>
                </c:pt>
                <c:pt idx="12">
                  <c:v>99.945235775583384</c:v>
                </c:pt>
                <c:pt idx="13">
                  <c:v>129.49456387256663</c:v>
                </c:pt>
                <c:pt idx="14">
                  <c:v>158.89088300154998</c:v>
                </c:pt>
                <c:pt idx="15">
                  <c:v>188.32996333374984</c:v>
                </c:pt>
                <c:pt idx="16">
                  <c:v>215.96041635968402</c:v>
                </c:pt>
                <c:pt idx="17">
                  <c:v>241.93308279209978</c:v>
                </c:pt>
                <c:pt idx="18">
                  <c:v>264.05287521433348</c:v>
                </c:pt>
                <c:pt idx="19">
                  <c:v>282.91881735996617</c:v>
                </c:pt>
                <c:pt idx="20">
                  <c:v>299.47835294498344</c:v>
                </c:pt>
                <c:pt idx="21">
                  <c:v>313.14522593444968</c:v>
                </c:pt>
                <c:pt idx="22">
                  <c:v>322.84226956508331</c:v>
                </c:pt>
                <c:pt idx="23">
                  <c:v>327.09492485180016</c:v>
                </c:pt>
                <c:pt idx="24">
                  <c:v>328.32665675973357</c:v>
                </c:pt>
                <c:pt idx="25">
                  <c:v>326.02242946699999</c:v>
                </c:pt>
                <c:pt idx="26">
                  <c:v>318.28149022075013</c:v>
                </c:pt>
                <c:pt idx="27">
                  <c:v>306.47176148213322</c:v>
                </c:pt>
                <c:pt idx="28">
                  <c:v>292.37281531394962</c:v>
                </c:pt>
                <c:pt idx="29">
                  <c:v>274.50738775623347</c:v>
                </c:pt>
                <c:pt idx="30">
                  <c:v>255.5218801915502</c:v>
                </c:pt>
                <c:pt idx="31">
                  <c:v>232.67531006253392</c:v>
                </c:pt>
                <c:pt idx="32">
                  <c:v>206.94468046816655</c:v>
                </c:pt>
                <c:pt idx="33">
                  <c:v>175.87829765601651</c:v>
                </c:pt>
                <c:pt idx="34">
                  <c:v>146.80231849441665</c:v>
                </c:pt>
                <c:pt idx="35">
                  <c:v>116.92494512194999</c:v>
                </c:pt>
                <c:pt idx="36">
                  <c:v>88.023202643833457</c:v>
                </c:pt>
                <c:pt idx="37">
                  <c:v>60.157850492250027</c:v>
                </c:pt>
                <c:pt idx="38">
                  <c:v>35.128591315066657</c:v>
                </c:pt>
                <c:pt idx="39">
                  <c:v>10.220380078649992</c:v>
                </c:pt>
                <c:pt idx="40">
                  <c:v>1.8849701614333347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B5-4164-A0FD-F5C96BDAA770}"/>
            </c:ext>
          </c:extLst>
        </c:ser>
        <c:ser>
          <c:idx val="2"/>
          <c:order val="2"/>
          <c:tx>
            <c:v>Net total</c:v>
          </c:tx>
          <c:marker>
            <c:symbol val="none"/>
          </c:marker>
          <c:cat>
            <c:numRef>
              <c:f>ChartData!$A$2:$A$49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ChartData!$D$2:$D$49</c:f>
              <c:numCache>
                <c:formatCode>#,##0.0</c:formatCode>
                <c:ptCount val="48"/>
                <c:pt idx="0">
                  <c:v>4.8946333333329761E-2</c:v>
                </c:pt>
                <c:pt idx="1">
                  <c:v>0.25705739999999722</c:v>
                </c:pt>
                <c:pt idx="2">
                  <c:v>0.45082223333333538</c:v>
                </c:pt>
                <c:pt idx="3">
                  <c:v>1.0886409333333305</c:v>
                </c:pt>
                <c:pt idx="4">
                  <c:v>1.0342599999999997</c:v>
                </c:pt>
                <c:pt idx="5">
                  <c:v>0.86297460000000825</c:v>
                </c:pt>
                <c:pt idx="6">
                  <c:v>1.0206410000000066</c:v>
                </c:pt>
                <c:pt idx="7">
                  <c:v>2.1179174360333164</c:v>
                </c:pt>
                <c:pt idx="8">
                  <c:v>0.8570620819666761</c:v>
                </c:pt>
                <c:pt idx="9">
                  <c:v>3.1796648716691411E-2</c:v>
                </c:pt>
                <c:pt idx="10">
                  <c:v>-2.6559934334731139E-3</c:v>
                </c:pt>
                <c:pt idx="11">
                  <c:v>-1.9097118666002721E-3</c:v>
                </c:pt>
                <c:pt idx="12">
                  <c:v>0.93390165774992462</c:v>
                </c:pt>
                <c:pt idx="13">
                  <c:v>9.6579410005881439E-4</c:v>
                </c:pt>
                <c:pt idx="14">
                  <c:v>-6.9114801549978677E-2</c:v>
                </c:pt>
                <c:pt idx="15">
                  <c:v>-12.937818900416504</c:v>
                </c:pt>
                <c:pt idx="16">
                  <c:v>-97.190131526350683</c:v>
                </c:pt>
                <c:pt idx="17">
                  <c:v>-158.08557762543313</c:v>
                </c:pt>
                <c:pt idx="18">
                  <c:v>-192.99173304766677</c:v>
                </c:pt>
                <c:pt idx="19">
                  <c:v>-220.2276040266328</c:v>
                </c:pt>
                <c:pt idx="20">
                  <c:v>-241.6812389783168</c:v>
                </c:pt>
                <c:pt idx="21">
                  <c:v>-261.25512716778303</c:v>
                </c:pt>
                <c:pt idx="22">
                  <c:v>-271.47764969841666</c:v>
                </c:pt>
                <c:pt idx="23">
                  <c:v>-272.54218251846686</c:v>
                </c:pt>
                <c:pt idx="24">
                  <c:v>-273.23415642640026</c:v>
                </c:pt>
                <c:pt idx="25">
                  <c:v>-283.93725936700002</c:v>
                </c:pt>
                <c:pt idx="26">
                  <c:v>-282.91170735408349</c:v>
                </c:pt>
                <c:pt idx="27">
                  <c:v>-270.37728521546654</c:v>
                </c:pt>
                <c:pt idx="28">
                  <c:v>-254.3218651806163</c:v>
                </c:pt>
                <c:pt idx="29">
                  <c:v>-235.54502058956678</c:v>
                </c:pt>
                <c:pt idx="30">
                  <c:v>-219.69839735821691</c:v>
                </c:pt>
                <c:pt idx="31">
                  <c:v>-194.01156329586723</c:v>
                </c:pt>
                <c:pt idx="32">
                  <c:v>-168.98402366816654</c:v>
                </c:pt>
                <c:pt idx="33">
                  <c:v>-133.68264518934984</c:v>
                </c:pt>
                <c:pt idx="34">
                  <c:v>-114.62857719441666</c:v>
                </c:pt>
                <c:pt idx="35">
                  <c:v>-80.835842321949983</c:v>
                </c:pt>
                <c:pt idx="36">
                  <c:v>-53.933791610500137</c:v>
                </c:pt>
                <c:pt idx="37">
                  <c:v>-28.115557258916681</c:v>
                </c:pt>
                <c:pt idx="38">
                  <c:v>-9.8010999483999974</c:v>
                </c:pt>
                <c:pt idx="39">
                  <c:v>0.2658654880166722</c:v>
                </c:pt>
                <c:pt idx="40">
                  <c:v>2.1709809718999651</c:v>
                </c:pt>
                <c:pt idx="41">
                  <c:v>2.9687139333333334</c:v>
                </c:pt>
                <c:pt idx="42">
                  <c:v>5.1392340666666172</c:v>
                </c:pt>
                <c:pt idx="43">
                  <c:v>4.7220590333333377</c:v>
                </c:pt>
                <c:pt idx="44">
                  <c:v>6.9204948666667008</c:v>
                </c:pt>
                <c:pt idx="45">
                  <c:v>7.067557333333319</c:v>
                </c:pt>
                <c:pt idx="46">
                  <c:v>7.2468871333333063</c:v>
                </c:pt>
                <c:pt idx="47">
                  <c:v>5.3502780666666752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B5-4164-A0FD-F5C96BDAA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Average Battery Dispatch (kW)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Charge avg</c:v>
          </c:tx>
          <c:marker>
            <c:symbol val="none"/>
          </c:marker>
          <c:cat>
            <c:numRef>
              <c:f>ChartData!$F$2:$F$49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ChartData!$G$2:$G$49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3.1451612903225811E-4</c:v>
                </c:pt>
                <c:pt idx="9">
                  <c:v>8.3451612903225794E-2</c:v>
                </c:pt>
                <c:pt idx="10">
                  <c:v>0.24564516129032257</c:v>
                </c:pt>
                <c:pt idx="11">
                  <c:v>0.46278225806451606</c:v>
                </c:pt>
                <c:pt idx="12">
                  <c:v>0.69041129032258031</c:v>
                </c:pt>
                <c:pt idx="13">
                  <c:v>0.9039435483870969</c:v>
                </c:pt>
                <c:pt idx="14">
                  <c:v>1.1330241935483871</c:v>
                </c:pt>
                <c:pt idx="15">
                  <c:v>1.234475806451613</c:v>
                </c:pt>
                <c:pt idx="16">
                  <c:v>0.71991129032258061</c:v>
                </c:pt>
                <c:pt idx="17">
                  <c:v>0.38551612903225796</c:v>
                </c:pt>
                <c:pt idx="18">
                  <c:v>0.25962903225806455</c:v>
                </c:pt>
                <c:pt idx="19">
                  <c:v>0.19473387096774186</c:v>
                </c:pt>
                <c:pt idx="20">
                  <c:v>0.11648387096774195</c:v>
                </c:pt>
                <c:pt idx="21">
                  <c:v>6.9266129032258067E-2</c:v>
                </c:pt>
                <c:pt idx="22">
                  <c:v>7.8475806451612909E-2</c:v>
                </c:pt>
                <c:pt idx="23">
                  <c:v>4.4693548387096771E-2</c:v>
                </c:pt>
                <c:pt idx="24">
                  <c:v>5.3387096774193551E-2</c:v>
                </c:pt>
                <c:pt idx="25">
                  <c:v>3.7967741935483863E-2</c:v>
                </c:pt>
                <c:pt idx="26">
                  <c:v>3.6782258064516127E-2</c:v>
                </c:pt>
                <c:pt idx="27">
                  <c:v>1.4870967741935482E-2</c:v>
                </c:pt>
                <c:pt idx="28">
                  <c:v>1.5548387096774193E-2</c:v>
                </c:pt>
                <c:pt idx="29">
                  <c:v>3.1258064516129037E-2</c:v>
                </c:pt>
                <c:pt idx="30">
                  <c:v>1.7217741935483873E-2</c:v>
                </c:pt>
                <c:pt idx="31">
                  <c:v>3.558870967741936E-2</c:v>
                </c:pt>
                <c:pt idx="32">
                  <c:v>1.0951612903225808E-2</c:v>
                </c:pt>
                <c:pt idx="33">
                  <c:v>1.9548387096774193E-2</c:v>
                </c:pt>
                <c:pt idx="34">
                  <c:v>1.6459677419354841E-2</c:v>
                </c:pt>
                <c:pt idx="35">
                  <c:v>6.5887096774193557E-3</c:v>
                </c:pt>
                <c:pt idx="36">
                  <c:v>1.204032258064516E-2</c:v>
                </c:pt>
                <c:pt idx="37">
                  <c:v>1.0508064516129033E-2</c:v>
                </c:pt>
                <c:pt idx="38">
                  <c:v>5.1854838709677418E-3</c:v>
                </c:pt>
                <c:pt idx="39">
                  <c:v>4.1935483870967743E-4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8E-4CE9-B729-261E5E7B4C54}"/>
            </c:ext>
          </c:extLst>
        </c:ser>
        <c:ser>
          <c:idx val="1"/>
          <c:order val="1"/>
          <c:tx>
            <c:v>Discharge avg</c:v>
          </c:tx>
          <c:marker>
            <c:symbol val="none"/>
          </c:marker>
          <c:cat>
            <c:numRef>
              <c:f>ChartData!$F$2:$F$49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ChartData!$H$2:$H$49</c:f>
              <c:numCache>
                <c:formatCode>#,##0.000</c:formatCode>
                <c:ptCount val="48"/>
                <c:pt idx="0">
                  <c:v>0.23916129032258066</c:v>
                </c:pt>
                <c:pt idx="1">
                  <c:v>0.15999193548387095</c:v>
                </c:pt>
                <c:pt idx="2">
                  <c:v>0.12145967741935486</c:v>
                </c:pt>
                <c:pt idx="3">
                  <c:v>0.12979838709677419</c:v>
                </c:pt>
                <c:pt idx="4">
                  <c:v>0.10301612903225814</c:v>
                </c:pt>
                <c:pt idx="5">
                  <c:v>0.1226935483870968</c:v>
                </c:pt>
                <c:pt idx="6">
                  <c:v>0.10104032258064513</c:v>
                </c:pt>
                <c:pt idx="7">
                  <c:v>0.12418548387096784</c:v>
                </c:pt>
                <c:pt idx="8">
                  <c:v>6.7915572790322565E-2</c:v>
                </c:pt>
                <c:pt idx="9">
                  <c:v>2.0725806451612903E-2</c:v>
                </c:pt>
                <c:pt idx="10">
                  <c:v>4.4193548387096776E-3</c:v>
                </c:pt>
                <c:pt idx="11">
                  <c:v>9.7580645161290318E-4</c:v>
                </c:pt>
                <c:pt idx="12">
                  <c:v>1.3145161290322581E-3</c:v>
                </c:pt>
                <c:pt idx="13">
                  <c:v>6.0564516129032256E-3</c:v>
                </c:pt>
                <c:pt idx="14">
                  <c:v>3.6370967741935485E-3</c:v>
                </c:pt>
                <c:pt idx="15">
                  <c:v>1.75E-3</c:v>
                </c:pt>
                <c:pt idx="16">
                  <c:v>8.7016129032258058E-3</c:v>
                </c:pt>
                <c:pt idx="17">
                  <c:v>7.7903225806451601E-3</c:v>
                </c:pt>
                <c:pt idx="18">
                  <c:v>1.4669354838709677E-2</c:v>
                </c:pt>
                <c:pt idx="19">
                  <c:v>2.5137096774193547E-2</c:v>
                </c:pt>
                <c:pt idx="20">
                  <c:v>1.1975806451612904E-2</c:v>
                </c:pt>
                <c:pt idx="21">
                  <c:v>3.0362903225806454E-2</c:v>
                </c:pt>
                <c:pt idx="22">
                  <c:v>8.5483870967741939E-3</c:v>
                </c:pt>
                <c:pt idx="23">
                  <c:v>4.3080645161290329E-2</c:v>
                </c:pt>
                <c:pt idx="24">
                  <c:v>1.8233870967741938E-2</c:v>
                </c:pt>
                <c:pt idx="25">
                  <c:v>4.9354838709677416E-3</c:v>
                </c:pt>
                <c:pt idx="26">
                  <c:v>2.6290322580645163E-3</c:v>
                </c:pt>
                <c:pt idx="27">
                  <c:v>3.1129032258064519E-3</c:v>
                </c:pt>
                <c:pt idx="28">
                  <c:v>1.1919354838709676E-2</c:v>
                </c:pt>
                <c:pt idx="29">
                  <c:v>2.9024193548387096E-2</c:v>
                </c:pt>
                <c:pt idx="30">
                  <c:v>2.2653225806451613E-2</c:v>
                </c:pt>
                <c:pt idx="31">
                  <c:v>1.2233870967741934E-2</c:v>
                </c:pt>
                <c:pt idx="32">
                  <c:v>3.2459677419354842E-2</c:v>
                </c:pt>
                <c:pt idx="33">
                  <c:v>2.0838709677419357E-2</c:v>
                </c:pt>
                <c:pt idx="34">
                  <c:v>2.9419354838709676E-2</c:v>
                </c:pt>
                <c:pt idx="35">
                  <c:v>5.3048387096774195E-2</c:v>
                </c:pt>
                <c:pt idx="36">
                  <c:v>8.091129032258064E-2</c:v>
                </c:pt>
                <c:pt idx="37">
                  <c:v>0.13037096774193549</c:v>
                </c:pt>
                <c:pt idx="38">
                  <c:v>0.20813709677419356</c:v>
                </c:pt>
                <c:pt idx="39">
                  <c:v>0.38109677419354832</c:v>
                </c:pt>
                <c:pt idx="40">
                  <c:v>0.44250806451612901</c:v>
                </c:pt>
                <c:pt idx="41">
                  <c:v>0.52358064516129021</c:v>
                </c:pt>
                <c:pt idx="42">
                  <c:v>0.50334677419354845</c:v>
                </c:pt>
                <c:pt idx="43">
                  <c:v>0.45062096774193533</c:v>
                </c:pt>
                <c:pt idx="44">
                  <c:v>0.39159677419354832</c:v>
                </c:pt>
                <c:pt idx="45">
                  <c:v>0.36763709677419365</c:v>
                </c:pt>
                <c:pt idx="46">
                  <c:v>0.24340322580645166</c:v>
                </c:pt>
                <c:pt idx="47">
                  <c:v>0.18972580645161288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8E-4CE9-B729-261E5E7B4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Average State of Charge (%)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SOC avg</c:v>
          </c:tx>
          <c:marker>
            <c:symbol val="none"/>
          </c:marker>
          <c:cat>
            <c:numRef>
              <c:f>ChartData!$F$2:$F$49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ChartData!$I$2:$I$49</c:f>
              <c:numCache>
                <c:formatCode>0.0</c:formatCode>
                <c:ptCount val="48"/>
                <c:pt idx="0">
                  <c:v>40</c:v>
                </c:pt>
                <c:pt idx="1">
                  <c:v>36.998768548387091</c:v>
                </c:pt>
                <c:pt idx="2">
                  <c:v>34.991258064516146</c:v>
                </c:pt>
                <c:pt idx="3">
                  <c:v>33.467017741935486</c:v>
                </c:pt>
                <c:pt idx="4">
                  <c:v>31.8379241935484</c:v>
                </c:pt>
                <c:pt idx="5">
                  <c:v>30.54495080645161</c:v>
                </c:pt>
                <c:pt idx="6">
                  <c:v>29.005632258064516</c:v>
                </c:pt>
                <c:pt idx="7">
                  <c:v>27.73796370967743</c:v>
                </c:pt>
                <c:pt idx="8">
                  <c:v>26.179534677419372</c:v>
                </c:pt>
                <c:pt idx="9">
                  <c:v>25.330334677419341</c:v>
                </c:pt>
                <c:pt idx="10">
                  <c:v>26.012711290322596</c:v>
                </c:pt>
                <c:pt idx="11">
                  <c:v>28.731836290322583</c:v>
                </c:pt>
                <c:pt idx="12">
                  <c:v>33.946454838709684</c:v>
                </c:pt>
                <c:pt idx="13">
                  <c:v>41.726845161290314</c:v>
                </c:pt>
                <c:pt idx="14">
                  <c:v>51.859936290322551</c:v>
                </c:pt>
                <c:pt idx="15">
                  <c:v>64.610875806451659</c:v>
                </c:pt>
                <c:pt idx="16">
                  <c:v>78.530950000000018</c:v>
                </c:pt>
                <c:pt idx="17">
                  <c:v>86.552554838709696</c:v>
                </c:pt>
                <c:pt idx="18">
                  <c:v>90.809050000000013</c:v>
                </c:pt>
                <c:pt idx="19">
                  <c:v>93.557691129032236</c:v>
                </c:pt>
                <c:pt idx="20">
                  <c:v>95.441881451612915</c:v>
                </c:pt>
                <c:pt idx="21">
                  <c:v>96.607210483870972</c:v>
                </c:pt>
                <c:pt idx="22">
                  <c:v>97.008322580645171</c:v>
                </c:pt>
                <c:pt idx="23">
                  <c:v>97.787419354838718</c:v>
                </c:pt>
                <c:pt idx="24">
                  <c:v>97.751525806451639</c:v>
                </c:pt>
                <c:pt idx="25">
                  <c:v>98.125580645161293</c:v>
                </c:pt>
                <c:pt idx="26">
                  <c:v>98.492450806451629</c:v>
                </c:pt>
                <c:pt idx="27">
                  <c:v>98.874781451612904</c:v>
                </c:pt>
                <c:pt idx="28">
                  <c:v>99.00372741935486</c:v>
                </c:pt>
                <c:pt idx="29">
                  <c:v>99.029862903225819</c:v>
                </c:pt>
                <c:pt idx="30">
                  <c:v>99.018552419354862</c:v>
                </c:pt>
                <c:pt idx="31">
                  <c:v>98.928673387096779</c:v>
                </c:pt>
                <c:pt idx="32">
                  <c:v>99.177141129032265</c:v>
                </c:pt>
                <c:pt idx="33">
                  <c:v>98.893501612903222</c:v>
                </c:pt>
                <c:pt idx="34">
                  <c:v>98.852770161290323</c:v>
                </c:pt>
                <c:pt idx="35">
                  <c:v>98.669604032258079</c:v>
                </c:pt>
                <c:pt idx="36">
                  <c:v>98.078334677419349</c:v>
                </c:pt>
                <c:pt idx="37">
                  <c:v>97.199092741935502</c:v>
                </c:pt>
                <c:pt idx="38">
                  <c:v>95.681901612903232</c:v>
                </c:pt>
                <c:pt idx="39">
                  <c:v>93.128699193548371</c:v>
                </c:pt>
                <c:pt idx="40">
                  <c:v>88.351295967741919</c:v>
                </c:pt>
                <c:pt idx="41">
                  <c:v>82.798939516129053</c:v>
                </c:pt>
                <c:pt idx="42">
                  <c:v>76.228954032258059</c:v>
                </c:pt>
                <c:pt idx="43">
                  <c:v>69.912295967741969</c:v>
                </c:pt>
                <c:pt idx="44">
                  <c:v>64.257661290322574</c:v>
                </c:pt>
                <c:pt idx="45">
                  <c:v>59.343408064516112</c:v>
                </c:pt>
                <c:pt idx="46">
                  <c:v>54.730375000000024</c:v>
                </c:pt>
                <c:pt idx="47">
                  <c:v>51.675613709677421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9D-42AC-8D3F-0764E1D4C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Top 10 Prosumers by Exported Energy (kWh/day)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Export kWh/day</c:v>
          </c:tx>
          <c:spPr>
            <a:solidFill>
              <a:srgbClr val="2E7D32"/>
            </a:solidFill>
          </c:spPr>
          <c:invertIfNegative val="1"/>
          <c:cat>
            <c:strRef>
              <c:f>ChartData!$R$2:$R$11</c:f>
              <c:strCache>
                <c:ptCount val="10"/>
                <c:pt idx="0">
                  <c:v>six173_C</c:v>
                </c:pt>
                <c:pt idx="1">
                  <c:v>one321_C</c:v>
                </c:pt>
                <c:pt idx="2">
                  <c:v>five345_A</c:v>
                </c:pt>
                <c:pt idx="3">
                  <c:v>four239_A</c:v>
                </c:pt>
                <c:pt idx="4">
                  <c:v>four385_A</c:v>
                </c:pt>
                <c:pt idx="5">
                  <c:v>one446_B</c:v>
                </c:pt>
                <c:pt idx="6">
                  <c:v>four590_A</c:v>
                </c:pt>
                <c:pt idx="7">
                  <c:v>four854_A</c:v>
                </c:pt>
                <c:pt idx="8">
                  <c:v>five551_C</c:v>
                </c:pt>
                <c:pt idx="9">
                  <c:v>five750_B</c:v>
                </c:pt>
              </c:strCache>
            </c:strRef>
          </c:cat>
          <c:val>
            <c:numRef>
              <c:f>ChartData!$Q$2:$Q$11</c:f>
              <c:numCache>
                <c:formatCode>#,##0.0</c:formatCode>
                <c:ptCount val="10"/>
                <c:pt idx="0">
                  <c:v>27.84</c:v>
                </c:pt>
                <c:pt idx="1">
                  <c:v>27.78</c:v>
                </c:pt>
                <c:pt idx="2">
                  <c:v>27.73</c:v>
                </c:pt>
                <c:pt idx="3">
                  <c:v>27.48</c:v>
                </c:pt>
                <c:pt idx="4">
                  <c:v>27.46</c:v>
                </c:pt>
                <c:pt idx="5">
                  <c:v>27.45</c:v>
                </c:pt>
                <c:pt idx="6">
                  <c:v>27.38</c:v>
                </c:pt>
                <c:pt idx="7">
                  <c:v>27.2</c:v>
                </c:pt>
                <c:pt idx="8">
                  <c:v>26.84</c:v>
                </c:pt>
                <c:pt idx="9">
                  <c:v>26.6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794C-4945-A224-AB953B366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00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Self-Consumption vs Self-Sufficiency by Prosumer (%)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Prosumer</c:v>
          </c:tx>
          <c:xVal>
            <c:numLit>
              <c:ptCount val="0"/>
            </c:numLit>
          </c:xVal>
          <c:yVal>
            <c:numRef>
              <c:f>ChartData!$M$2:$M$125</c:f>
              <c:numCache>
                <c:formatCode>0.0</c:formatCode>
                <c:ptCount val="12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97.3</c:v>
                </c:pt>
                <c:pt idx="13">
                  <c:v>100</c:v>
                </c:pt>
                <c:pt idx="14">
                  <c:v>100</c:v>
                </c:pt>
                <c:pt idx="15">
                  <c:v>95.6</c:v>
                </c:pt>
                <c:pt idx="16">
                  <c:v>84</c:v>
                </c:pt>
                <c:pt idx="17">
                  <c:v>98.3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99.9</c:v>
                </c:pt>
                <c:pt idx="24">
                  <c:v>100</c:v>
                </c:pt>
                <c:pt idx="25">
                  <c:v>81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96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98.3</c:v>
                </c:pt>
                <c:pt idx="35">
                  <c:v>94.9</c:v>
                </c:pt>
                <c:pt idx="36">
                  <c:v>100</c:v>
                </c:pt>
                <c:pt idx="37">
                  <c:v>99.9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96.7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81.5</c:v>
                </c:pt>
                <c:pt idx="46">
                  <c:v>100</c:v>
                </c:pt>
                <c:pt idx="47">
                  <c:v>100</c:v>
                </c:pt>
                <c:pt idx="48">
                  <c:v>93.4</c:v>
                </c:pt>
                <c:pt idx="49">
                  <c:v>86.7</c:v>
                </c:pt>
                <c:pt idx="50">
                  <c:v>100</c:v>
                </c:pt>
                <c:pt idx="51">
                  <c:v>100</c:v>
                </c:pt>
                <c:pt idx="52">
                  <c:v>99.9</c:v>
                </c:pt>
                <c:pt idx="53">
                  <c:v>99.7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93.6</c:v>
                </c:pt>
                <c:pt idx="65">
                  <c:v>75.400000000000006</c:v>
                </c:pt>
                <c:pt idx="66">
                  <c:v>100</c:v>
                </c:pt>
                <c:pt idx="67">
                  <c:v>100</c:v>
                </c:pt>
                <c:pt idx="68">
                  <c:v>89.4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97.2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88</c:v>
                </c:pt>
                <c:pt idx="92">
                  <c:v>99.2</c:v>
                </c:pt>
                <c:pt idx="93">
                  <c:v>100</c:v>
                </c:pt>
                <c:pt idx="94">
                  <c:v>99.8</c:v>
                </c:pt>
                <c:pt idx="95">
                  <c:v>100</c:v>
                </c:pt>
                <c:pt idx="96">
                  <c:v>98.5</c:v>
                </c:pt>
                <c:pt idx="97">
                  <c:v>100</c:v>
                </c:pt>
                <c:pt idx="98">
                  <c:v>100</c:v>
                </c:pt>
                <c:pt idx="99">
                  <c:v>78.5</c:v>
                </c:pt>
                <c:pt idx="100">
                  <c:v>100</c:v>
                </c:pt>
                <c:pt idx="101">
                  <c:v>99.8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92.5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85.9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99.9</c:v>
                </c:pt>
                <c:pt idx="119">
                  <c:v>96.7</c:v>
                </c:pt>
                <c:pt idx="120">
                  <c:v>88.5</c:v>
                </c:pt>
                <c:pt idx="121">
                  <c:v>82.4</c:v>
                </c:pt>
                <c:pt idx="122">
                  <c:v>100</c:v>
                </c:pt>
                <c:pt idx="123">
                  <c:v>92.5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3F-4E01-A23A-CA57FDA86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1050"/>
              <a:t>Fleet-average prosumer profile -  TR8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demand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ChartData!$U$2:$U$49</c:f>
              <c:numCache>
                <c:formatCode>#,##0.000</c:formatCode>
                <c:ptCount val="48"/>
                <c:pt idx="0">
                  <c:v>0.23955601881720429</c:v>
                </c:pt>
                <c:pt idx="1">
                  <c:v>0.16206497903225803</c:v>
                </c:pt>
                <c:pt idx="2">
                  <c:v>0.12509534059139787</c:v>
                </c:pt>
                <c:pt idx="3">
                  <c:v>0.13857774946236556</c:v>
                </c:pt>
                <c:pt idx="4">
                  <c:v>0.11135693548387104</c:v>
                </c:pt>
                <c:pt idx="5">
                  <c:v>0.12965302096774203</c:v>
                </c:pt>
                <c:pt idx="6">
                  <c:v>0.1092712983870968</c:v>
                </c:pt>
                <c:pt idx="7">
                  <c:v>0.14391196827956984</c:v>
                </c:pt>
                <c:pt idx="8">
                  <c:v>0.11276629301075269</c:v>
                </c:pt>
                <c:pt idx="9">
                  <c:v>0.11641531989247308</c:v>
                </c:pt>
                <c:pt idx="10">
                  <c:v>0.11359414516129028</c:v>
                </c:pt>
                <c:pt idx="11">
                  <c:v>0.10878060322580646</c:v>
                </c:pt>
                <c:pt idx="12">
                  <c:v>0.12444465672043016</c:v>
                </c:pt>
                <c:pt idx="13">
                  <c:v>0.14643169086021512</c:v>
                </c:pt>
                <c:pt idx="14">
                  <c:v>0.15143361451612911</c:v>
                </c:pt>
                <c:pt idx="15">
                  <c:v>0.18172697123655918</c:v>
                </c:pt>
                <c:pt idx="16">
                  <c:v>0.24661520026881714</c:v>
                </c:pt>
                <c:pt idx="17">
                  <c:v>0.29846375134408609</c:v>
                </c:pt>
                <c:pt idx="18">
                  <c:v>0.32811404973118286</c:v>
                </c:pt>
                <c:pt idx="19">
                  <c:v>0.33597752688172067</c:v>
                </c:pt>
                <c:pt idx="20">
                  <c:v>0.36159769327956987</c:v>
                </c:pt>
                <c:pt idx="21">
                  <c:v>0.3795653126344084</c:v>
                </c:pt>
                <c:pt idx="22">
                  <c:v>0.34430338602150512</c:v>
                </c:pt>
                <c:pt idx="23">
                  <c:v>0.43832856720430091</c:v>
                </c:pt>
                <c:pt idx="24">
                  <c:v>0.40914113172042998</c:v>
                </c:pt>
                <c:pt idx="25">
                  <c:v>0.30636427499999985</c:v>
                </c:pt>
                <c:pt idx="26">
                  <c:v>0.25108695860215047</c:v>
                </c:pt>
                <c:pt idx="27">
                  <c:v>0.27932642150537645</c:v>
                </c:pt>
                <c:pt idx="28">
                  <c:v>0.3032334688172042</c:v>
                </c:pt>
                <c:pt idx="29">
                  <c:v>0.31197876747311837</c:v>
                </c:pt>
                <c:pt idx="30">
                  <c:v>0.29433453897849443</c:v>
                </c:pt>
                <c:pt idx="31">
                  <c:v>0.28844957069892474</c:v>
                </c:pt>
                <c:pt idx="32">
                  <c:v>0.32764239354838709</c:v>
                </c:pt>
                <c:pt idx="33">
                  <c:v>0.34157784247311823</c:v>
                </c:pt>
                <c:pt idx="34">
                  <c:v>0.27242533306451611</c:v>
                </c:pt>
                <c:pt idx="35">
                  <c:v>0.33750082903225825</c:v>
                </c:pt>
                <c:pt idx="36">
                  <c:v>0.34378557284946226</c:v>
                </c:pt>
                <c:pt idx="37">
                  <c:v>0.3782684938172044</c:v>
                </c:pt>
                <c:pt idx="38">
                  <c:v>0.40720557553763437</c:v>
                </c:pt>
                <c:pt idx="39">
                  <c:v>0.46524391586021502</c:v>
                </c:pt>
                <c:pt idx="40">
                  <c:v>0.47521734784946207</c:v>
                </c:pt>
                <c:pt idx="41">
                  <c:v>0.54752188655913969</c:v>
                </c:pt>
                <c:pt idx="42">
                  <c:v>0.54479221021505342</c:v>
                </c:pt>
                <c:pt idx="43">
                  <c:v>0.48870208897849449</c:v>
                </c:pt>
                <c:pt idx="44">
                  <c:v>0.44740721666666688</c:v>
                </c:pt>
                <c:pt idx="45">
                  <c:v>0.4246335268817204</c:v>
                </c:pt>
                <c:pt idx="46">
                  <c:v>0.30184586397849444</c:v>
                </c:pt>
                <c:pt idx="47">
                  <c:v>0.23287321021505381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50-4198-9544-17E38455A2EC}"/>
            </c:ext>
          </c:extLst>
        </c:ser>
        <c:ser>
          <c:idx val="1"/>
          <c:order val="1"/>
          <c:tx>
            <c:v>PV generation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ChartData!$V$2:$V$49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2.6465050857526883E-3</c:v>
                </c:pt>
                <c:pt idx="8">
                  <c:v>3.8253445365860152E-2</c:v>
                </c:pt>
                <c:pt idx="9">
                  <c:v>0.17888470175766105</c:v>
                </c:pt>
                <c:pt idx="10">
                  <c:v>0.35484137091478601</c:v>
                </c:pt>
                <c:pt idx="11">
                  <c:v>0.57060245574085966</c:v>
                </c:pt>
                <c:pt idx="12">
                  <c:v>0.80600996593212404</c:v>
                </c:pt>
                <c:pt idx="13">
                  <c:v>1.0443109989723116</c:v>
                </c:pt>
                <c:pt idx="14">
                  <c:v>1.2813780887221773</c:v>
                </c:pt>
                <c:pt idx="15">
                  <c:v>1.5187900268850794</c:v>
                </c:pt>
                <c:pt idx="16">
                  <c:v>1.7416162609651937</c:v>
                </c:pt>
                <c:pt idx="17">
                  <c:v>1.9510732483233852</c:v>
                </c:pt>
                <c:pt idx="18">
                  <c:v>2.1294586710833348</c:v>
                </c:pt>
                <c:pt idx="19">
                  <c:v>2.2816033658061787</c:v>
                </c:pt>
                <c:pt idx="20">
                  <c:v>2.415148007620834</c:v>
                </c:pt>
                <c:pt idx="21">
                  <c:v>2.5253647252778202</c:v>
                </c:pt>
                <c:pt idx="22">
                  <c:v>2.6035666900409944</c:v>
                </c:pt>
                <c:pt idx="23">
                  <c:v>2.6378622971919365</c:v>
                </c:pt>
                <c:pt idx="24">
                  <c:v>2.6477956190301093</c:v>
                </c:pt>
                <c:pt idx="25">
                  <c:v>2.6292131408629031</c:v>
                </c:pt>
                <c:pt idx="26">
                  <c:v>2.5667862114576625</c:v>
                </c:pt>
                <c:pt idx="27">
                  <c:v>2.4715464635655904</c:v>
                </c:pt>
                <c:pt idx="28">
                  <c:v>2.3578452847899163</c:v>
                </c:pt>
                <c:pt idx="29">
                  <c:v>2.213769256098657</c:v>
                </c:pt>
                <c:pt idx="30">
                  <c:v>2.0606603241254047</c:v>
                </c:pt>
                <c:pt idx="31">
                  <c:v>1.8764137908268865</c:v>
                </c:pt>
                <c:pt idx="32">
                  <c:v>1.6689087134529561</c:v>
                </c:pt>
                <c:pt idx="33">
                  <c:v>1.4183733681936816</c:v>
                </c:pt>
                <c:pt idx="34">
                  <c:v>1.1838896652775537</c:v>
                </c:pt>
                <c:pt idx="35">
                  <c:v>0.94294310582217733</c:v>
                </c:pt>
                <c:pt idx="36">
                  <c:v>0.70986453745026978</c:v>
                </c:pt>
                <c:pt idx="37">
                  <c:v>0.48514395558266149</c:v>
                </c:pt>
                <c:pt idx="38">
                  <c:v>0.28329509125053753</c:v>
                </c:pt>
                <c:pt idx="39">
                  <c:v>8.2422419989112844E-2</c:v>
                </c:pt>
                <c:pt idx="40">
                  <c:v>1.5201372269623667E-2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50-4198-9544-17E38455A2EC}"/>
            </c:ext>
          </c:extLst>
        </c:ser>
        <c:ser>
          <c:idx val="2"/>
          <c:order val="2"/>
          <c:tx>
            <c:v>charging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ChartData!$W$2:$W$49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3.1451612903225811E-4</c:v>
                </c:pt>
                <c:pt idx="9">
                  <c:v>8.3451612903225794E-2</c:v>
                </c:pt>
                <c:pt idx="10">
                  <c:v>0.24564516129032257</c:v>
                </c:pt>
                <c:pt idx="11">
                  <c:v>0.46278225806451606</c:v>
                </c:pt>
                <c:pt idx="12">
                  <c:v>0.69041129032258031</c:v>
                </c:pt>
                <c:pt idx="13">
                  <c:v>0.9039435483870969</c:v>
                </c:pt>
                <c:pt idx="14">
                  <c:v>1.1330241935483871</c:v>
                </c:pt>
                <c:pt idx="15">
                  <c:v>1.234475806451613</c:v>
                </c:pt>
                <c:pt idx="16">
                  <c:v>0.71991129032258061</c:v>
                </c:pt>
                <c:pt idx="17">
                  <c:v>0.38551612903225796</c:v>
                </c:pt>
                <c:pt idx="18">
                  <c:v>0.25962903225806455</c:v>
                </c:pt>
                <c:pt idx="19">
                  <c:v>0.19473387096774186</c:v>
                </c:pt>
                <c:pt idx="20">
                  <c:v>0.11648387096774195</c:v>
                </c:pt>
                <c:pt idx="21">
                  <c:v>6.9266129032258067E-2</c:v>
                </c:pt>
                <c:pt idx="22">
                  <c:v>7.8475806451612909E-2</c:v>
                </c:pt>
                <c:pt idx="23">
                  <c:v>4.4693548387096771E-2</c:v>
                </c:pt>
                <c:pt idx="24">
                  <c:v>5.3387096774193551E-2</c:v>
                </c:pt>
                <c:pt idx="25">
                  <c:v>3.7967741935483863E-2</c:v>
                </c:pt>
                <c:pt idx="26">
                  <c:v>3.6782258064516127E-2</c:v>
                </c:pt>
                <c:pt idx="27">
                  <c:v>1.4870967741935482E-2</c:v>
                </c:pt>
                <c:pt idx="28">
                  <c:v>1.5548387096774193E-2</c:v>
                </c:pt>
                <c:pt idx="29">
                  <c:v>3.1258064516129037E-2</c:v>
                </c:pt>
                <c:pt idx="30">
                  <c:v>1.7217741935483873E-2</c:v>
                </c:pt>
                <c:pt idx="31">
                  <c:v>3.558870967741936E-2</c:v>
                </c:pt>
                <c:pt idx="32">
                  <c:v>1.0951612903225808E-2</c:v>
                </c:pt>
                <c:pt idx="33">
                  <c:v>1.9548387096774193E-2</c:v>
                </c:pt>
                <c:pt idx="34">
                  <c:v>1.6459677419354841E-2</c:v>
                </c:pt>
                <c:pt idx="35">
                  <c:v>6.5887096774193557E-3</c:v>
                </c:pt>
                <c:pt idx="36">
                  <c:v>1.204032258064516E-2</c:v>
                </c:pt>
                <c:pt idx="37">
                  <c:v>1.0508064516129033E-2</c:v>
                </c:pt>
                <c:pt idx="38">
                  <c:v>5.1854838709677418E-3</c:v>
                </c:pt>
                <c:pt idx="39">
                  <c:v>4.1935483870967743E-4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50-4198-9544-17E38455A2EC}"/>
            </c:ext>
          </c:extLst>
        </c:ser>
        <c:ser>
          <c:idx val="3"/>
          <c:order val="3"/>
          <c:tx>
            <c:v>discharging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ChartData!$X$2:$X$49</c:f>
              <c:numCache>
                <c:formatCode>#,##0.000</c:formatCode>
                <c:ptCount val="48"/>
                <c:pt idx="0">
                  <c:v>0.23916129032258066</c:v>
                </c:pt>
                <c:pt idx="1">
                  <c:v>0.15999193548387095</c:v>
                </c:pt>
                <c:pt idx="2">
                  <c:v>0.12145967741935486</c:v>
                </c:pt>
                <c:pt idx="3">
                  <c:v>0.12979838709677419</c:v>
                </c:pt>
                <c:pt idx="4">
                  <c:v>0.10301612903225814</c:v>
                </c:pt>
                <c:pt idx="5">
                  <c:v>0.1226935483870968</c:v>
                </c:pt>
                <c:pt idx="6">
                  <c:v>0.10104032258064513</c:v>
                </c:pt>
                <c:pt idx="7">
                  <c:v>0.12418548387096784</c:v>
                </c:pt>
                <c:pt idx="8">
                  <c:v>6.7915572790322565E-2</c:v>
                </c:pt>
                <c:pt idx="9">
                  <c:v>2.0725806451612903E-2</c:v>
                </c:pt>
                <c:pt idx="10">
                  <c:v>4.4193548387096776E-3</c:v>
                </c:pt>
                <c:pt idx="11">
                  <c:v>9.7580645161290318E-4</c:v>
                </c:pt>
                <c:pt idx="12">
                  <c:v>1.3145161290322581E-3</c:v>
                </c:pt>
                <c:pt idx="13">
                  <c:v>6.0564516129032256E-3</c:v>
                </c:pt>
                <c:pt idx="14">
                  <c:v>3.6370967741935485E-3</c:v>
                </c:pt>
                <c:pt idx="15">
                  <c:v>1.75E-3</c:v>
                </c:pt>
                <c:pt idx="16">
                  <c:v>8.7016129032258058E-3</c:v>
                </c:pt>
                <c:pt idx="17">
                  <c:v>7.7903225806451601E-3</c:v>
                </c:pt>
                <c:pt idx="18">
                  <c:v>1.4669354838709677E-2</c:v>
                </c:pt>
                <c:pt idx="19">
                  <c:v>2.5137096774193547E-2</c:v>
                </c:pt>
                <c:pt idx="20">
                  <c:v>1.1975806451612904E-2</c:v>
                </c:pt>
                <c:pt idx="21">
                  <c:v>3.0362903225806454E-2</c:v>
                </c:pt>
                <c:pt idx="22">
                  <c:v>8.5483870967741939E-3</c:v>
                </c:pt>
                <c:pt idx="23">
                  <c:v>4.3080645161290329E-2</c:v>
                </c:pt>
                <c:pt idx="24">
                  <c:v>1.8233870967741938E-2</c:v>
                </c:pt>
                <c:pt idx="25">
                  <c:v>4.9354838709677416E-3</c:v>
                </c:pt>
                <c:pt idx="26">
                  <c:v>2.6290322580645163E-3</c:v>
                </c:pt>
                <c:pt idx="27">
                  <c:v>3.1129032258064519E-3</c:v>
                </c:pt>
                <c:pt idx="28">
                  <c:v>1.1919354838709676E-2</c:v>
                </c:pt>
                <c:pt idx="29">
                  <c:v>2.9024193548387096E-2</c:v>
                </c:pt>
                <c:pt idx="30">
                  <c:v>2.2653225806451613E-2</c:v>
                </c:pt>
                <c:pt idx="31">
                  <c:v>1.2233870967741934E-2</c:v>
                </c:pt>
                <c:pt idx="32">
                  <c:v>3.2459677419354842E-2</c:v>
                </c:pt>
                <c:pt idx="33">
                  <c:v>2.0838709677419357E-2</c:v>
                </c:pt>
                <c:pt idx="34">
                  <c:v>2.9419354838709676E-2</c:v>
                </c:pt>
                <c:pt idx="35">
                  <c:v>5.3048387096774195E-2</c:v>
                </c:pt>
                <c:pt idx="36">
                  <c:v>8.091129032258064E-2</c:v>
                </c:pt>
                <c:pt idx="37">
                  <c:v>0.13037096774193549</c:v>
                </c:pt>
                <c:pt idx="38">
                  <c:v>0.20813709677419356</c:v>
                </c:pt>
                <c:pt idx="39">
                  <c:v>0.38109677419354832</c:v>
                </c:pt>
                <c:pt idx="40">
                  <c:v>0.44250806451612901</c:v>
                </c:pt>
                <c:pt idx="41">
                  <c:v>0.52358064516129021</c:v>
                </c:pt>
                <c:pt idx="42">
                  <c:v>0.50334677419354845</c:v>
                </c:pt>
                <c:pt idx="43">
                  <c:v>0.45062096774193533</c:v>
                </c:pt>
                <c:pt idx="44">
                  <c:v>0.39159677419354832</c:v>
                </c:pt>
                <c:pt idx="45">
                  <c:v>0.36763709677419365</c:v>
                </c:pt>
                <c:pt idx="46">
                  <c:v>0.24340322580645166</c:v>
                </c:pt>
                <c:pt idx="47">
                  <c:v>0.18972580645161288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50-4198-9544-17E38455A2EC}"/>
            </c:ext>
          </c:extLst>
        </c:ser>
        <c:ser>
          <c:idx val="4"/>
          <c:order val="4"/>
          <c:tx>
            <c:v>net exchange</c:v>
          </c:tx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ChartData!$Y$2:$Y$49</c:f>
              <c:numCache>
                <c:formatCode>#,##0.000</c:formatCode>
                <c:ptCount val="48"/>
                <c:pt idx="0">
                  <c:v>3.9472849462363069E-4</c:v>
                </c:pt>
                <c:pt idx="1">
                  <c:v>2.0730435483870824E-3</c:v>
                </c:pt>
                <c:pt idx="2">
                  <c:v>3.635663172043016E-3</c:v>
                </c:pt>
                <c:pt idx="3">
                  <c:v>8.7793623655913755E-3</c:v>
                </c:pt>
                <c:pt idx="4">
                  <c:v>8.340806451612906E-3</c:v>
                </c:pt>
                <c:pt idx="5">
                  <c:v>6.9594725806452346E-3</c:v>
                </c:pt>
                <c:pt idx="6">
                  <c:v>8.2309758064516708E-3</c:v>
                </c:pt>
                <c:pt idx="7">
                  <c:v>1.7079979322849326E-2</c:v>
                </c:pt>
                <c:pt idx="8">
                  <c:v>6.9117909836022423E-3</c:v>
                </c:pt>
                <c:pt idx="9">
                  <c:v>2.5642458642492413E-4</c:v>
                </c:pt>
                <c:pt idx="10">
                  <c:v>-2.1419301882825113E-5</c:v>
                </c:pt>
                <c:pt idx="11">
                  <c:v>-1.5400902150041569E-5</c:v>
                </c:pt>
                <c:pt idx="12">
                  <c:v>7.531464981854156E-3</c:v>
                </c:pt>
                <c:pt idx="13">
                  <c:v>7.7886620971842624E-6</c:v>
                </c:pt>
                <c:pt idx="14">
                  <c:v>-5.5737743185468825E-4</c:v>
                </c:pt>
                <c:pt idx="15">
                  <c:v>-0.10433724919690709</c:v>
                </c:pt>
                <c:pt idx="16">
                  <c:v>-0.7837913832770218</c:v>
                </c:pt>
                <c:pt idx="17">
                  <c:v>-1.2748836905276864</c:v>
                </c:pt>
                <c:pt idx="18">
                  <c:v>-1.5563849439327968</c:v>
                </c:pt>
                <c:pt idx="19">
                  <c:v>-1.7760290647309098</c:v>
                </c:pt>
                <c:pt idx="20">
                  <c:v>-1.949042249825135</c:v>
                </c:pt>
                <c:pt idx="21">
                  <c:v>-2.10689618683696</c:v>
                </c:pt>
                <c:pt idx="22">
                  <c:v>-2.1893358846646507</c:v>
                </c:pt>
                <c:pt idx="23">
                  <c:v>-2.1979208267618291</c:v>
                </c:pt>
                <c:pt idx="24">
                  <c:v>-2.2035012615032277</c:v>
                </c:pt>
                <c:pt idx="25">
                  <c:v>-2.2898166077983872</c:v>
                </c:pt>
                <c:pt idx="26">
                  <c:v>-2.2815460270490604</c:v>
                </c:pt>
                <c:pt idx="27">
                  <c:v>-2.1804619775440846</c:v>
                </c:pt>
                <c:pt idx="28">
                  <c:v>-2.0509827837146477</c:v>
                </c:pt>
                <c:pt idx="29">
                  <c:v>-1.8995566176577967</c:v>
                </c:pt>
                <c:pt idx="30">
                  <c:v>-1.7717612690178779</c:v>
                </c:pt>
                <c:pt idx="31">
                  <c:v>-1.5646093814182842</c:v>
                </c:pt>
                <c:pt idx="32">
                  <c:v>-1.3627743844206981</c:v>
                </c:pt>
                <c:pt idx="33">
                  <c:v>-1.0780858483012088</c:v>
                </c:pt>
                <c:pt idx="34">
                  <c:v>-0.92442400963239246</c:v>
                </c:pt>
                <c:pt idx="35">
                  <c:v>-0.65190195420927388</c:v>
                </c:pt>
                <c:pt idx="36">
                  <c:v>-0.43494993234274304</c:v>
                </c:pt>
                <c:pt idx="37">
                  <c:v>-0.22673836499126354</c:v>
                </c:pt>
                <c:pt idx="38">
                  <c:v>-7.9041128616128997E-2</c:v>
                </c:pt>
                <c:pt idx="39">
                  <c:v>2.1440765162635267E-3</c:v>
                </c:pt>
                <c:pt idx="40">
                  <c:v>1.7507911063709414E-2</c:v>
                </c:pt>
                <c:pt idx="41">
                  <c:v>2.3941241397849478E-2</c:v>
                </c:pt>
                <c:pt idx="42">
                  <c:v>4.1445436021504967E-2</c:v>
                </c:pt>
                <c:pt idx="43">
                  <c:v>3.8081121236559157E-2</c:v>
                </c:pt>
                <c:pt idx="44">
                  <c:v>5.581044247311856E-2</c:v>
                </c:pt>
                <c:pt idx="45">
                  <c:v>5.6996430107526752E-2</c:v>
                </c:pt>
                <c:pt idx="46">
                  <c:v>5.8442638172042788E-2</c:v>
                </c:pt>
                <c:pt idx="47">
                  <c:v>4.3147403763440922E-2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50-4198-9544-17E38455A2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Hour of day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3.1"/>
          <c:min val="-2.7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Average per prosumer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75"/>
              <a:t>Self-consumption residual per prosumer -  TR8
net is driven to zero except when storage saturates  (SCR 30%, SSR 97%)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BES_TR8_one223_B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Net_kW!$C$2:$C$49</c:f>
              <c:numCache>
                <c:formatCode>#,##0.000</c:formatCode>
                <c:ptCount val="48"/>
                <c:pt idx="0">
                  <c:v>-7.1999999999905473E-5</c:v>
                </c:pt>
                <c:pt idx="1">
                  <c:v>-6.9388939039072284E-18</c:v>
                </c:pt>
                <c:pt idx="2">
                  <c:v>3.1999999999998702E-4</c:v>
                </c:pt>
                <c:pt idx="3">
                  <c:v>-6.9388939039072284E-18</c:v>
                </c:pt>
                <c:pt idx="4">
                  <c:v>-1.340000000000022E-4</c:v>
                </c:pt>
                <c:pt idx="5">
                  <c:v>4.539999999999822E-4</c:v>
                </c:pt>
                <c:pt idx="6">
                  <c:v>-6.9388939039072284E-18</c:v>
                </c:pt>
                <c:pt idx="7">
                  <c:v>-1.9440173333332139E-4</c:v>
                </c:pt>
                <c:pt idx="8">
                  <c:v>-7.3246266666604498E-5</c:v>
                </c:pt>
                <c:pt idx="9">
                  <c:v>-2.8677860000000938E-4</c:v>
                </c:pt>
                <c:pt idx="10">
                  <c:v>3.2985586666600669E-4</c:v>
                </c:pt>
                <c:pt idx="11">
                  <c:v>3.9101173333402911E-4</c:v>
                </c:pt>
                <c:pt idx="12">
                  <c:v>4.0703666665919958E-5</c:v>
                </c:pt>
                <c:pt idx="13">
                  <c:v>1.294161333340593E-4</c:v>
                </c:pt>
                <c:pt idx="14">
                  <c:v>2.02726000000375E-5</c:v>
                </c:pt>
                <c:pt idx="15">
                  <c:v>-3.1304499999995627E-4</c:v>
                </c:pt>
                <c:pt idx="16">
                  <c:v>-1.6469913333416741E-4</c:v>
                </c:pt>
                <c:pt idx="17">
                  <c:v>3.9653319999999331E-4</c:v>
                </c:pt>
                <c:pt idx="18">
                  <c:v>-0.57846201466666736</c:v>
                </c:pt>
                <c:pt idx="19">
                  <c:v>-1.3122420363999989</c:v>
                </c:pt>
                <c:pt idx="20">
                  <c:v>-1.5064064715333341</c:v>
                </c:pt>
                <c:pt idx="21">
                  <c:v>-1.5986525605999999</c:v>
                </c:pt>
                <c:pt idx="22">
                  <c:v>-1.573962962333334</c:v>
                </c:pt>
                <c:pt idx="23">
                  <c:v>-1.6099893543999999</c:v>
                </c:pt>
                <c:pt idx="24">
                  <c:v>-1.623312664533334</c:v>
                </c:pt>
                <c:pt idx="25">
                  <c:v>-1.583768836</c:v>
                </c:pt>
                <c:pt idx="26">
                  <c:v>-1.5981152409999999</c:v>
                </c:pt>
                <c:pt idx="27">
                  <c:v>-1.453811163733334</c:v>
                </c:pt>
                <c:pt idx="28">
                  <c:v>-1.4897539466</c:v>
                </c:pt>
                <c:pt idx="29">
                  <c:v>-1.3960950865333339</c:v>
                </c:pt>
                <c:pt idx="30">
                  <c:v>-1.2965642474000001</c:v>
                </c:pt>
                <c:pt idx="31">
                  <c:v>-1.176791926933334</c:v>
                </c:pt>
                <c:pt idx="32">
                  <c:v>-0.95264202866666592</c:v>
                </c:pt>
                <c:pt idx="33">
                  <c:v>-0.83097363646666589</c:v>
                </c:pt>
                <c:pt idx="34">
                  <c:v>-0.72660586366666591</c:v>
                </c:pt>
                <c:pt idx="35">
                  <c:v>-0.43265481059999999</c:v>
                </c:pt>
                <c:pt idx="36">
                  <c:v>-0.41845846733333403</c:v>
                </c:pt>
                <c:pt idx="37">
                  <c:v>-0.23804536300000001</c:v>
                </c:pt>
                <c:pt idx="38">
                  <c:v>-3.8170373866666579E-2</c:v>
                </c:pt>
                <c:pt idx="39">
                  <c:v>-1.05799742E-2</c:v>
                </c:pt>
                <c:pt idx="40">
                  <c:v>4.3811186666664609E-4</c:v>
                </c:pt>
                <c:pt idx="41">
                  <c:v>-6.9388939039072284E-18</c:v>
                </c:pt>
                <c:pt idx="42">
                  <c:v>-4.1199999999996789E-4</c:v>
                </c:pt>
                <c:pt idx="43">
                  <c:v>-2.6800000000000429E-4</c:v>
                </c:pt>
                <c:pt idx="44">
                  <c:v>4.0586666666703192E-4</c:v>
                </c:pt>
                <c:pt idx="45">
                  <c:v>-2.8999999999990139E-4</c:v>
                </c:pt>
                <c:pt idx="46">
                  <c:v>3.0733333333299312E-4</c:v>
                </c:pt>
                <c:pt idx="47">
                  <c:v>4.4666666666914878E-5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40-4105-A1F4-42489B9445C9}"/>
            </c:ext>
          </c:extLst>
        </c:ser>
        <c:ser>
          <c:idx val="1"/>
          <c:order val="1"/>
          <c:tx>
            <c:v>BES_TR8_one252_C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Net_kW!$D$2:$D$49</c:f>
              <c:numCache>
                <c:formatCode>#,##0.000</c:formatCode>
                <c:ptCount val="48"/>
                <c:pt idx="0">
                  <c:v>0</c:v>
                </c:pt>
                <c:pt idx="1">
                  <c:v>-4.0400000000001551E-4</c:v>
                </c:pt>
                <c:pt idx="2">
                  <c:v>0</c:v>
                </c:pt>
                <c:pt idx="3">
                  <c:v>1.2400000000001299E-4</c:v>
                </c:pt>
                <c:pt idx="4">
                  <c:v>4.720000000000002E-4</c:v>
                </c:pt>
                <c:pt idx="5">
                  <c:v>0</c:v>
                </c:pt>
                <c:pt idx="6">
                  <c:v>1.799999999999857E-4</c:v>
                </c:pt>
                <c:pt idx="7">
                  <c:v>2.6549783333332239E-4</c:v>
                </c:pt>
                <c:pt idx="8">
                  <c:v>-8.4057833333251591E-5</c:v>
                </c:pt>
                <c:pt idx="9">
                  <c:v>2.3752674999999451E-4</c:v>
                </c:pt>
                <c:pt idx="10">
                  <c:v>-3.3768016666749218E-4</c:v>
                </c:pt>
                <c:pt idx="11">
                  <c:v>-9.923533333244805E-5</c:v>
                </c:pt>
                <c:pt idx="12">
                  <c:v>8.4879583332475583E-5</c:v>
                </c:pt>
                <c:pt idx="13">
                  <c:v>4.1177016666760208E-4</c:v>
                </c:pt>
                <c:pt idx="14">
                  <c:v>-3.366592500000376E-4</c:v>
                </c:pt>
                <c:pt idx="15">
                  <c:v>-4.3330625000015388E-4</c:v>
                </c:pt>
                <c:pt idx="16">
                  <c:v>-2.6187391666798732E-4</c:v>
                </c:pt>
                <c:pt idx="17">
                  <c:v>-6.9754833500000002E-2</c:v>
                </c:pt>
                <c:pt idx="18">
                  <c:v>-1.6813596016666681</c:v>
                </c:pt>
                <c:pt idx="19">
                  <c:v>-1.770517628833332</c:v>
                </c:pt>
                <c:pt idx="20">
                  <c:v>-1.758381589416667</c:v>
                </c:pt>
                <c:pt idx="21">
                  <c:v>-2.0030657007500001</c:v>
                </c:pt>
                <c:pt idx="22">
                  <c:v>-1.8770152029166669</c:v>
                </c:pt>
                <c:pt idx="23">
                  <c:v>-2.0944791930000002</c:v>
                </c:pt>
                <c:pt idx="24">
                  <c:v>-2.0594608306666671</c:v>
                </c:pt>
                <c:pt idx="25">
                  <c:v>-1.9366853783333331</c:v>
                </c:pt>
                <c:pt idx="26">
                  <c:v>-1.6786442512499999</c:v>
                </c:pt>
                <c:pt idx="27">
                  <c:v>-1.277845621333334</c:v>
                </c:pt>
                <c:pt idx="28">
                  <c:v>-1.7366564332500001</c:v>
                </c:pt>
                <c:pt idx="29">
                  <c:v>-1.6970288581666679</c:v>
                </c:pt>
                <c:pt idx="30">
                  <c:v>-1.3538413092499999</c:v>
                </c:pt>
                <c:pt idx="31">
                  <c:v>-1.375739908666668</c:v>
                </c:pt>
                <c:pt idx="32">
                  <c:v>-0.70816636916666509</c:v>
                </c:pt>
                <c:pt idx="33">
                  <c:v>-1.086308545583333</c:v>
                </c:pt>
                <c:pt idx="34">
                  <c:v>-0.74952099624999946</c:v>
                </c:pt>
                <c:pt idx="35">
                  <c:v>-0.461802179916667</c:v>
                </c:pt>
                <c:pt idx="36">
                  <c:v>-0.51058708416666754</c:v>
                </c:pt>
                <c:pt idx="37">
                  <c:v>-0.17285920375</c:v>
                </c:pt>
                <c:pt idx="38">
                  <c:v>-0.1812004673333332</c:v>
                </c:pt>
                <c:pt idx="39">
                  <c:v>-9.3569677500000004E-3</c:v>
                </c:pt>
                <c:pt idx="40">
                  <c:v>-3.7436016666669852E-4</c:v>
                </c:pt>
                <c:pt idx="41">
                  <c:v>0</c:v>
                </c:pt>
                <c:pt idx="42">
                  <c:v>1.2400000000001299E-4</c:v>
                </c:pt>
                <c:pt idx="43">
                  <c:v>4.720000000000002E-4</c:v>
                </c:pt>
                <c:pt idx="44">
                  <c:v>0</c:v>
                </c:pt>
                <c:pt idx="45">
                  <c:v>0</c:v>
                </c:pt>
                <c:pt idx="46">
                  <c:v>-4.0400000000001551E-4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40-4105-A1F4-42489B9445C9}"/>
            </c:ext>
          </c:extLst>
        </c:ser>
        <c:ser>
          <c:idx val="2"/>
          <c:order val="2"/>
          <c:tx>
            <c:v>BES_TR8_one280_A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Net_kW!$E$2:$E$49</c:f>
              <c:numCache>
                <c:formatCode>#,##0.000</c:formatCode>
                <c:ptCount val="48"/>
                <c:pt idx="0">
                  <c:v>-3.7566666666660059E-4</c:v>
                </c:pt>
                <c:pt idx="1">
                  <c:v>3.0973333333300662E-4</c:v>
                </c:pt>
                <c:pt idx="2">
                  <c:v>1.786666666660219E-5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-1.505021666666703E-4</c:v>
                </c:pt>
                <c:pt idx="8">
                  <c:v>-8.4057833333255061E-5</c:v>
                </c:pt>
                <c:pt idx="9">
                  <c:v>-3.5847325000001867E-4</c:v>
                </c:pt>
                <c:pt idx="10">
                  <c:v>-3.3768016666751999E-4</c:v>
                </c:pt>
                <c:pt idx="11">
                  <c:v>3.387646666675459E-4</c:v>
                </c:pt>
                <c:pt idx="12">
                  <c:v>5.0879583332608107E-5</c:v>
                </c:pt>
                <c:pt idx="13">
                  <c:v>4.1177016666760208E-4</c:v>
                </c:pt>
                <c:pt idx="14">
                  <c:v>-2.2465925000003659E-4</c:v>
                </c:pt>
                <c:pt idx="15">
                  <c:v>-1.413062499999729E-4</c:v>
                </c:pt>
                <c:pt idx="16">
                  <c:v>-2.0587391666815341E-4</c:v>
                </c:pt>
                <c:pt idx="17">
                  <c:v>-1.3314068335</c:v>
                </c:pt>
                <c:pt idx="18">
                  <c:v>-1.666094601666668</c:v>
                </c:pt>
                <c:pt idx="19">
                  <c:v>-1.793389628833332</c:v>
                </c:pt>
                <c:pt idx="20">
                  <c:v>-1.9070055894166671</c:v>
                </c:pt>
                <c:pt idx="21">
                  <c:v>-1.98606570075</c:v>
                </c:pt>
                <c:pt idx="22">
                  <c:v>-2.0646112029166672</c:v>
                </c:pt>
                <c:pt idx="23">
                  <c:v>-2.092479193</c:v>
                </c:pt>
                <c:pt idx="24">
                  <c:v>-2.1005508306666671</c:v>
                </c:pt>
                <c:pt idx="25">
                  <c:v>-2.0854510450000001</c:v>
                </c:pt>
                <c:pt idx="26">
                  <c:v>-1.09331805125</c:v>
                </c:pt>
                <c:pt idx="27">
                  <c:v>-1.890831221333334</c:v>
                </c:pt>
                <c:pt idx="28">
                  <c:v>-1.86494243325</c:v>
                </c:pt>
                <c:pt idx="29">
                  <c:v>-1.7478688581666679</c:v>
                </c:pt>
                <c:pt idx="30">
                  <c:v>-1.6198309759166669</c:v>
                </c:pt>
                <c:pt idx="31">
                  <c:v>-1.470115575333335</c:v>
                </c:pt>
                <c:pt idx="32">
                  <c:v>-1.3051250358333319</c:v>
                </c:pt>
                <c:pt idx="33">
                  <c:v>-1.101544545583333</c:v>
                </c:pt>
                <c:pt idx="34">
                  <c:v>-0.91100732958333241</c:v>
                </c:pt>
                <c:pt idx="35">
                  <c:v>-0.71521851324999997</c:v>
                </c:pt>
                <c:pt idx="36">
                  <c:v>-0.52582308416666745</c:v>
                </c:pt>
                <c:pt idx="37">
                  <c:v>-0.34321920374999998</c:v>
                </c:pt>
                <c:pt idx="38">
                  <c:v>-0.1792004673333332</c:v>
                </c:pt>
                <c:pt idx="39">
                  <c:v>-1.597496775000001E-2</c:v>
                </c:pt>
                <c:pt idx="40">
                  <c:v>-3.5236016666666947E-4</c:v>
                </c:pt>
                <c:pt idx="41">
                  <c:v>0</c:v>
                </c:pt>
                <c:pt idx="42">
                  <c:v>0</c:v>
                </c:pt>
                <c:pt idx="43">
                  <c:v>1.702666666670016E-4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40-4105-A1F4-42489B9445C9}"/>
            </c:ext>
          </c:extLst>
        </c:ser>
        <c:ser>
          <c:idx val="3"/>
          <c:order val="3"/>
          <c:tx>
            <c:v>BES_TR8_one313_A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Net_kW!$F$2:$F$49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2.7959826666665988E-4</c:v>
                </c:pt>
                <c:pt idx="8">
                  <c:v>1.3275373333339341E-4</c:v>
                </c:pt>
                <c:pt idx="9">
                  <c:v>-2.8677860000000249E-4</c:v>
                </c:pt>
                <c:pt idx="10">
                  <c:v>3.2985586666600669E-4</c:v>
                </c:pt>
                <c:pt idx="11">
                  <c:v>7.1011733334014338E-5</c:v>
                </c:pt>
                <c:pt idx="12">
                  <c:v>4.0703666665975469E-5</c:v>
                </c:pt>
                <c:pt idx="13">
                  <c:v>1.294161333339483E-4</c:v>
                </c:pt>
                <c:pt idx="14">
                  <c:v>2.0272599999926481E-5</c:v>
                </c:pt>
                <c:pt idx="15">
                  <c:v>-3.1304499999984531E-4</c:v>
                </c:pt>
                <c:pt idx="16">
                  <c:v>4.936341999990379E-4</c:v>
                </c:pt>
                <c:pt idx="17">
                  <c:v>3.485332000001673E-4</c:v>
                </c:pt>
                <c:pt idx="18">
                  <c:v>4.603186666660708E-4</c:v>
                </c:pt>
                <c:pt idx="19">
                  <c:v>-1.880363999988699E-4</c:v>
                </c:pt>
                <c:pt idx="20">
                  <c:v>-2.484715333337939E-4</c:v>
                </c:pt>
                <c:pt idx="21">
                  <c:v>-1.4098289272666671</c:v>
                </c:pt>
                <c:pt idx="22">
                  <c:v>-4.26762333334052E-4</c:v>
                </c:pt>
                <c:pt idx="23">
                  <c:v>-4.4002106665974589E-4</c:v>
                </c:pt>
                <c:pt idx="24">
                  <c:v>3.9933546666603981E-4</c:v>
                </c:pt>
                <c:pt idx="25">
                  <c:v>-1.6083600000005299E-4</c:v>
                </c:pt>
                <c:pt idx="26">
                  <c:v>-0.75957924100000007</c:v>
                </c:pt>
                <c:pt idx="27">
                  <c:v>-1.5476671637333339</c:v>
                </c:pt>
                <c:pt idx="28">
                  <c:v>-1.4737539466</c:v>
                </c:pt>
                <c:pt idx="29">
                  <c:v>-1.3800950865333339</c:v>
                </c:pt>
                <c:pt idx="30">
                  <c:v>-1.2805642474000001</c:v>
                </c:pt>
                <c:pt idx="31">
                  <c:v>-1.160791926933334</c:v>
                </c:pt>
                <c:pt idx="32">
                  <c:v>-1.025900028666666</c:v>
                </c:pt>
                <c:pt idx="33">
                  <c:v>-0.86303563646666603</c:v>
                </c:pt>
                <c:pt idx="34">
                  <c:v>-0.71060586366666589</c:v>
                </c:pt>
                <c:pt idx="35">
                  <c:v>-0.55397481059999998</c:v>
                </c:pt>
                <c:pt idx="36">
                  <c:v>-0.40245846733333401</c:v>
                </c:pt>
                <c:pt idx="37">
                  <c:v>-0.25637536300000002</c:v>
                </c:pt>
                <c:pt idx="38">
                  <c:v>-0.1211603738666666</c:v>
                </c:pt>
                <c:pt idx="39">
                  <c:v>6.0692466666983913E-5</c:v>
                </c:pt>
                <c:pt idx="40">
                  <c:v>4.5445199999605279E-5</c:v>
                </c:pt>
                <c:pt idx="41">
                  <c:v>1.5266666666702289E-4</c:v>
                </c:pt>
                <c:pt idx="42">
                  <c:v>1.8300000000004421E-4</c:v>
                </c:pt>
                <c:pt idx="43">
                  <c:v>9.3333333340828162E-6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40-4105-A1F4-42489B9445C9}"/>
            </c:ext>
          </c:extLst>
        </c:ser>
        <c:ser>
          <c:idx val="4"/>
          <c:order val="4"/>
          <c:tx>
            <c:v>BES_TR8_one321_C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Net_kW!$G$2:$G$49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2.3986320000335401E-4</c:v>
                </c:pt>
                <c:pt idx="8">
                  <c:v>2.6550746666679798E-4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2.115234666680843E-4</c:v>
                </c:pt>
                <c:pt idx="12">
                  <c:v>-1.452593333349794E-4</c:v>
                </c:pt>
                <c:pt idx="13">
                  <c:v>2.5883226666811859E-4</c:v>
                </c:pt>
                <c:pt idx="14">
                  <c:v>4.0545199999852948E-5</c:v>
                </c:pt>
                <c:pt idx="15">
                  <c:v>3.7390999999997732E-4</c:v>
                </c:pt>
                <c:pt idx="16">
                  <c:v>-2.1493293982666679</c:v>
                </c:pt>
                <c:pt idx="17">
                  <c:v>-2.4896509336000001</c:v>
                </c:pt>
                <c:pt idx="18">
                  <c:v>-2.6781895293333351</c:v>
                </c:pt>
                <c:pt idx="19">
                  <c:v>-2.665784072799998</c:v>
                </c:pt>
                <c:pt idx="20">
                  <c:v>-3.0930089430666681</c:v>
                </c:pt>
                <c:pt idx="21">
                  <c:v>-3.2363051212</c:v>
                </c:pt>
                <c:pt idx="22">
                  <c:v>-3.3379779246666681</c:v>
                </c:pt>
                <c:pt idx="23">
                  <c:v>-3.377023375466667</c:v>
                </c:pt>
                <c:pt idx="24">
                  <c:v>-3.3954813290666679</c:v>
                </c:pt>
                <c:pt idx="25">
                  <c:v>-3.3713216720000001</c:v>
                </c:pt>
                <c:pt idx="26">
                  <c:v>-3.2901584819999998</c:v>
                </c:pt>
                <c:pt idx="27">
                  <c:v>-3.166334327466668</c:v>
                </c:pt>
                <c:pt idx="28">
                  <c:v>-3.0185078931999998</c:v>
                </c:pt>
                <c:pt idx="29">
                  <c:v>-2.831190173066668</c:v>
                </c:pt>
                <c:pt idx="30">
                  <c:v>-2.6321284947999999</c:v>
                </c:pt>
                <c:pt idx="31">
                  <c:v>-2.3925838538666682</c:v>
                </c:pt>
                <c:pt idx="32">
                  <c:v>-2.1228000573333321</c:v>
                </c:pt>
                <c:pt idx="33">
                  <c:v>-1.797071272933332</c:v>
                </c:pt>
                <c:pt idx="34">
                  <c:v>-1.492211727333332</c:v>
                </c:pt>
                <c:pt idx="35">
                  <c:v>-1.1789496211999999</c:v>
                </c:pt>
                <c:pt idx="36">
                  <c:v>-0.87591693466666798</c:v>
                </c:pt>
                <c:pt idx="37">
                  <c:v>-0.583750726</c:v>
                </c:pt>
                <c:pt idx="38">
                  <c:v>-0.32132074773333319</c:v>
                </c:pt>
                <c:pt idx="39">
                  <c:v>-6.0159948400000003E-2</c:v>
                </c:pt>
                <c:pt idx="40">
                  <c:v>-1.1810959999969389E-4</c:v>
                </c:pt>
                <c:pt idx="41">
                  <c:v>4.3666666666997138E-5</c:v>
                </c:pt>
                <c:pt idx="42">
                  <c:v>-1.133333333330211E-4</c:v>
                </c:pt>
                <c:pt idx="43">
                  <c:v>0</c:v>
                </c:pt>
                <c:pt idx="44">
                  <c:v>-4.7999999999992493E-5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40-4105-A1F4-42489B9445C9}"/>
            </c:ext>
          </c:extLst>
        </c:ser>
        <c:ser>
          <c:idx val="5"/>
          <c:order val="5"/>
          <c:tx>
            <c:v>BES_TR8_one345_A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Net_kW!$H$2:$H$49</c:f>
              <c:numCache>
                <c:formatCode>#,##0.000</c:formatCode>
                <c:ptCount val="48"/>
                <c:pt idx="0">
                  <c:v>3.7666666666699711E-4</c:v>
                </c:pt>
                <c:pt idx="1">
                  <c:v>-2.133333333329962E-4</c:v>
                </c:pt>
                <c:pt idx="2">
                  <c:v>-3.3800000000000502E-4</c:v>
                </c:pt>
                <c:pt idx="3">
                  <c:v>3.1333333332994602E-5</c:v>
                </c:pt>
                <c:pt idx="4">
                  <c:v>-4.389999999999949E-4</c:v>
                </c:pt>
                <c:pt idx="5">
                  <c:v>2.9266666666702412E-4</c:v>
                </c:pt>
                <c:pt idx="6">
                  <c:v>0</c:v>
                </c:pt>
                <c:pt idx="7">
                  <c:v>4.1052986666634261E-4</c:v>
                </c:pt>
                <c:pt idx="8">
                  <c:v>2.6550746666679451E-4</c:v>
                </c:pt>
                <c:pt idx="9">
                  <c:v>1.1977613333298549E-4</c:v>
                </c:pt>
                <c:pt idx="10">
                  <c:v>-2.419549333347315E-4</c:v>
                </c:pt>
                <c:pt idx="11">
                  <c:v>2.0702346666789939E-4</c:v>
                </c:pt>
                <c:pt idx="12">
                  <c:v>3.7407399999866969E-4</c:v>
                </c:pt>
                <c:pt idx="13">
                  <c:v>-4.7283439999801219E-4</c:v>
                </c:pt>
                <c:pt idx="14">
                  <c:v>-3.7178813333316191E-4</c:v>
                </c:pt>
                <c:pt idx="15">
                  <c:v>2.6624333333313821E-4</c:v>
                </c:pt>
                <c:pt idx="16">
                  <c:v>-1.924473064933335</c:v>
                </c:pt>
                <c:pt idx="17">
                  <c:v>-2.3871422669333331</c:v>
                </c:pt>
                <c:pt idx="18">
                  <c:v>-2.2688376960000012</c:v>
                </c:pt>
                <c:pt idx="19">
                  <c:v>-2.6125727394666649</c:v>
                </c:pt>
                <c:pt idx="20">
                  <c:v>-2.989632276400001</c:v>
                </c:pt>
                <c:pt idx="21">
                  <c:v>-3.1495951212</c:v>
                </c:pt>
                <c:pt idx="22">
                  <c:v>-3.2136179246666678</c:v>
                </c:pt>
                <c:pt idx="23">
                  <c:v>-3.2649933754666671</c:v>
                </c:pt>
                <c:pt idx="24">
                  <c:v>-3.2877879957333351</c:v>
                </c:pt>
                <c:pt idx="25">
                  <c:v>-3.2111583386666669</c:v>
                </c:pt>
                <c:pt idx="26">
                  <c:v>-3.270604482</c:v>
                </c:pt>
                <c:pt idx="27">
                  <c:v>-3.0741949941333351</c:v>
                </c:pt>
                <c:pt idx="28">
                  <c:v>-2.858344559866667</c:v>
                </c:pt>
                <c:pt idx="29">
                  <c:v>-2.7234968397333348</c:v>
                </c:pt>
                <c:pt idx="30">
                  <c:v>-2.6281284947999999</c:v>
                </c:pt>
                <c:pt idx="31">
                  <c:v>-2.2395188538666679</c:v>
                </c:pt>
                <c:pt idx="32">
                  <c:v>-2.0080087239999989</c:v>
                </c:pt>
                <c:pt idx="33">
                  <c:v>-1.736284606266665</c:v>
                </c:pt>
                <c:pt idx="34">
                  <c:v>-1.285145727333332</c:v>
                </c:pt>
                <c:pt idx="35">
                  <c:v>-1.1749496211999999</c:v>
                </c:pt>
                <c:pt idx="36">
                  <c:v>-0.64045960133333502</c:v>
                </c:pt>
                <c:pt idx="37">
                  <c:v>-0.47135739266666699</c:v>
                </c:pt>
                <c:pt idx="38">
                  <c:v>-0.10043674773333321</c:v>
                </c:pt>
                <c:pt idx="39">
                  <c:v>2.1338493333303291E-4</c:v>
                </c:pt>
                <c:pt idx="40">
                  <c:v>-2.2144293333270501E-4</c:v>
                </c:pt>
                <c:pt idx="41">
                  <c:v>-3.9900000000026031E-4</c:v>
                </c:pt>
                <c:pt idx="42">
                  <c:v>-1.1233333333299229E-4</c:v>
                </c:pt>
                <c:pt idx="43">
                  <c:v>-9.099999999995223E-5</c:v>
                </c:pt>
                <c:pt idx="44">
                  <c:v>4.916666666670011E-4</c:v>
                </c:pt>
                <c:pt idx="45">
                  <c:v>-2.5633333333299762E-4</c:v>
                </c:pt>
                <c:pt idx="46">
                  <c:v>3.1333333332994602E-5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940-4105-A1F4-42489B9445C9}"/>
            </c:ext>
          </c:extLst>
        </c:ser>
        <c:ser>
          <c:idx val="6"/>
          <c:order val="6"/>
          <c:tx>
            <c:v>BES_TR8_one375_C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Net_kW!$I$2:$I$49</c:f>
              <c:numCache>
                <c:formatCode>#,##0.000</c:formatCode>
                <c:ptCount val="48"/>
                <c:pt idx="0">
                  <c:v>-1.173333333329973E-4</c:v>
                </c:pt>
                <c:pt idx="1">
                  <c:v>-4.740000000000022E-4</c:v>
                </c:pt>
                <c:pt idx="2">
                  <c:v>0</c:v>
                </c:pt>
                <c:pt idx="3">
                  <c:v>2.6366666666696742E-4</c:v>
                </c:pt>
                <c:pt idx="4">
                  <c:v>1.4500000000000621E-4</c:v>
                </c:pt>
                <c:pt idx="5">
                  <c:v>-1.2166666666670051E-4</c:v>
                </c:pt>
                <c:pt idx="6">
                  <c:v>-6.8333333333003843E-5</c:v>
                </c:pt>
                <c:pt idx="7">
                  <c:v>1.578632000003855E-4</c:v>
                </c:pt>
                <c:pt idx="8">
                  <c:v>2.6550746666679619E-4</c:v>
                </c:pt>
                <c:pt idx="9">
                  <c:v>1.2109466666992971E-5</c:v>
                </c:pt>
                <c:pt idx="10">
                  <c:v>4.8271173333197531E-4</c:v>
                </c:pt>
                <c:pt idx="11">
                  <c:v>1.420234666681397E-4</c:v>
                </c:pt>
                <c:pt idx="12">
                  <c:v>8.1407333331950937E-5</c:v>
                </c:pt>
                <c:pt idx="13">
                  <c:v>-3.8116773333207732E-4</c:v>
                </c:pt>
                <c:pt idx="14">
                  <c:v>8.9211866666882855E-5</c:v>
                </c:pt>
                <c:pt idx="15">
                  <c:v>3.7391000000019941E-4</c:v>
                </c:pt>
                <c:pt idx="16">
                  <c:v>-2.0932567316000008</c:v>
                </c:pt>
                <c:pt idx="17">
                  <c:v>-2.2931249336000001</c:v>
                </c:pt>
                <c:pt idx="18">
                  <c:v>-2.7155753626666681</c:v>
                </c:pt>
                <c:pt idx="19">
                  <c:v>-2.7955780727999988</c:v>
                </c:pt>
                <c:pt idx="20">
                  <c:v>-2.9354056097333352</c:v>
                </c:pt>
                <c:pt idx="21">
                  <c:v>-3.1760084545333331</c:v>
                </c:pt>
                <c:pt idx="22">
                  <c:v>-3.1168659246666679</c:v>
                </c:pt>
                <c:pt idx="23">
                  <c:v>-3.3392333754666672</c:v>
                </c:pt>
                <c:pt idx="24">
                  <c:v>-3.163598662400001</c:v>
                </c:pt>
                <c:pt idx="25">
                  <c:v>-3.1835436719999999</c:v>
                </c:pt>
                <c:pt idx="26">
                  <c:v>-0.69512348200000007</c:v>
                </c:pt>
                <c:pt idx="27">
                  <c:v>-2.1897516607999981</c:v>
                </c:pt>
                <c:pt idx="28">
                  <c:v>-1.6180378931999999</c:v>
                </c:pt>
                <c:pt idx="29">
                  <c:v>-2.728022839733335</c:v>
                </c:pt>
                <c:pt idx="30">
                  <c:v>-2.5081838281333328</c:v>
                </c:pt>
                <c:pt idx="31">
                  <c:v>-2.1297938538666679</c:v>
                </c:pt>
                <c:pt idx="32">
                  <c:v>-1.9949387906666649</c:v>
                </c:pt>
                <c:pt idx="33">
                  <c:v>-1.5927040062666651</c:v>
                </c:pt>
                <c:pt idx="34">
                  <c:v>-1.252014727333332</c:v>
                </c:pt>
                <c:pt idx="35">
                  <c:v>-1.1289932878666671</c:v>
                </c:pt>
                <c:pt idx="36">
                  <c:v>-0.60704326800000108</c:v>
                </c:pt>
                <c:pt idx="37">
                  <c:v>-0.44855122600000008</c:v>
                </c:pt>
                <c:pt idx="38">
                  <c:v>-6.8016414400000169E-2</c:v>
                </c:pt>
                <c:pt idx="39">
                  <c:v>-1.8615066665950138E-5</c:v>
                </c:pt>
                <c:pt idx="40">
                  <c:v>1.1557066666334491E-5</c:v>
                </c:pt>
                <c:pt idx="41">
                  <c:v>-4.3166666666971659E-4</c:v>
                </c:pt>
                <c:pt idx="42">
                  <c:v>3.4166666666601841E-4</c:v>
                </c:pt>
                <c:pt idx="43">
                  <c:v>-8.933333333399629E-5</c:v>
                </c:pt>
                <c:pt idx="44">
                  <c:v>-1.4866666666701889E-4</c:v>
                </c:pt>
                <c:pt idx="45">
                  <c:v>2.6666666666702588E-4</c:v>
                </c:pt>
                <c:pt idx="46">
                  <c:v>-6.7999999999956984E-5</c:v>
                </c:pt>
                <c:pt idx="47">
                  <c:v>4.7666666666698609E-4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940-4105-A1F4-42489B9445C9}"/>
            </c:ext>
          </c:extLst>
        </c:ser>
        <c:ser>
          <c:idx val="7"/>
          <c:order val="7"/>
          <c:tx>
            <c:v>BES_TR8_one410_B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Net_kW!$J$2:$J$49</c:f>
              <c:numCache>
                <c:formatCode>#,##0.000</c:formatCode>
                <c:ptCount val="48"/>
                <c:pt idx="0">
                  <c:v>2.203333333329893E-4</c:v>
                </c:pt>
                <c:pt idx="1">
                  <c:v>0</c:v>
                </c:pt>
                <c:pt idx="2">
                  <c:v>0</c:v>
                </c:pt>
                <c:pt idx="3">
                  <c:v>-3.5066666666697111E-4</c:v>
                </c:pt>
                <c:pt idx="4">
                  <c:v>4.539999999999822E-4</c:v>
                </c:pt>
                <c:pt idx="5">
                  <c:v>-4.639999999999922E-4</c:v>
                </c:pt>
                <c:pt idx="6">
                  <c:v>-4.2666666666996138E-5</c:v>
                </c:pt>
                <c:pt idx="7">
                  <c:v>2.9397400000005791E-5</c:v>
                </c:pt>
                <c:pt idx="8">
                  <c:v>2.3513060000010519E-4</c:v>
                </c:pt>
                <c:pt idx="9">
                  <c:v>1.3716543333299949E-4</c:v>
                </c:pt>
                <c:pt idx="10">
                  <c:v>-5.2162000009903231E-6</c:v>
                </c:pt>
                <c:pt idx="11">
                  <c:v>2.5585093333402309E-4</c:v>
                </c:pt>
                <c:pt idx="12">
                  <c:v>-5.5944500001126052E-5</c:v>
                </c:pt>
                <c:pt idx="13">
                  <c:v>2.6479086666808538E-4</c:v>
                </c:pt>
                <c:pt idx="14">
                  <c:v>2.9400890000008673E-4</c:v>
                </c:pt>
                <c:pt idx="15">
                  <c:v>-9.3067500000154624E-5</c:v>
                </c:pt>
                <c:pt idx="16">
                  <c:v>-5.7715366670887953E-5</c:v>
                </c:pt>
                <c:pt idx="17">
                  <c:v>-4.8820019999995518E-4</c:v>
                </c:pt>
                <c:pt idx="18">
                  <c:v>-1.065536855333334</c:v>
                </c:pt>
                <c:pt idx="19">
                  <c:v>-1.970374887933332</c:v>
                </c:pt>
                <c:pt idx="20">
                  <c:v>-1.877146707300001</c:v>
                </c:pt>
                <c:pt idx="21">
                  <c:v>-0.5344355075666698</c:v>
                </c:pt>
                <c:pt idx="22">
                  <c:v>-2.2124987768333351</c:v>
                </c:pt>
                <c:pt idx="23">
                  <c:v>-2.4751343649333331</c:v>
                </c:pt>
                <c:pt idx="24">
                  <c:v>-2.281080663466668</c:v>
                </c:pt>
                <c:pt idx="25">
                  <c:v>-2.3898809206666671</c:v>
                </c:pt>
                <c:pt idx="26">
                  <c:v>-2.3732355281666671</c:v>
                </c:pt>
                <c:pt idx="27">
                  <c:v>-1.832447078933334</c:v>
                </c:pt>
                <c:pt idx="28">
                  <c:v>-2.2240235865666671</c:v>
                </c:pt>
                <c:pt idx="29">
                  <c:v>-2.1276426298000009</c:v>
                </c:pt>
                <c:pt idx="30">
                  <c:v>-1.9783463711</c:v>
                </c:pt>
                <c:pt idx="31">
                  <c:v>-1.687233890400001</c:v>
                </c:pt>
                <c:pt idx="32">
                  <c:v>-1.496968709666666</c:v>
                </c:pt>
                <c:pt idx="33">
                  <c:v>-1.273547854699999</c:v>
                </c:pt>
                <c:pt idx="34">
                  <c:v>-0.98701639549999909</c:v>
                </c:pt>
                <c:pt idx="35">
                  <c:v>-0.74932954923333317</c:v>
                </c:pt>
                <c:pt idx="36">
                  <c:v>-0.44336670100000108</c:v>
                </c:pt>
                <c:pt idx="37">
                  <c:v>-0.18450047783333301</c:v>
                </c:pt>
                <c:pt idx="38">
                  <c:v>-0.12587599413333289</c:v>
                </c:pt>
                <c:pt idx="39">
                  <c:v>-1.1862796666700651E-4</c:v>
                </c:pt>
                <c:pt idx="40">
                  <c:v>-6.8322000000287098E-6</c:v>
                </c:pt>
                <c:pt idx="41">
                  <c:v>-1.17000000000006E-4</c:v>
                </c:pt>
                <c:pt idx="42">
                  <c:v>-4.656666666670306E-4</c:v>
                </c:pt>
                <c:pt idx="43">
                  <c:v>-3.0399999999997101E-4</c:v>
                </c:pt>
                <c:pt idx="44">
                  <c:v>-2.7933333333302063E-4</c:v>
                </c:pt>
                <c:pt idx="45">
                  <c:v>-8.5999999999974985E-5</c:v>
                </c:pt>
                <c:pt idx="46">
                  <c:v>-3.7100000000001021E-4</c:v>
                </c:pt>
                <c:pt idx="47">
                  <c:v>-2.7299999999989832E-4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940-4105-A1F4-42489B9445C9}"/>
            </c:ext>
          </c:extLst>
        </c:ser>
        <c:ser>
          <c:idx val="8"/>
          <c:order val="8"/>
          <c:tx>
            <c:v>BES_TR8_one416_C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Net_kW!$K$2:$K$49</c:f>
              <c:numCache>
                <c:formatCode>#,##0.000</c:formatCode>
                <c:ptCount val="48"/>
                <c:pt idx="0">
                  <c:v>3.7333333333300361E-4</c:v>
                </c:pt>
                <c:pt idx="1">
                  <c:v>-1.739999999999797E-4</c:v>
                </c:pt>
                <c:pt idx="2">
                  <c:v>2.9466666666669311E-4</c:v>
                </c:pt>
                <c:pt idx="3">
                  <c:v>3.7333333333300361E-4</c:v>
                </c:pt>
                <c:pt idx="4">
                  <c:v>0</c:v>
                </c:pt>
                <c:pt idx="5">
                  <c:v>-4.2300000000006222E-4</c:v>
                </c:pt>
                <c:pt idx="6">
                  <c:v>-8.3000000000096885E-5</c:v>
                </c:pt>
                <c:pt idx="7">
                  <c:v>-4.3973506666630802E-4</c:v>
                </c:pt>
                <c:pt idx="8">
                  <c:v>3.4608706666741651E-4</c:v>
                </c:pt>
                <c:pt idx="9">
                  <c:v>-2.8677860000000249E-4</c:v>
                </c:pt>
                <c:pt idx="10">
                  <c:v>-1.761441333339997E-4</c:v>
                </c:pt>
                <c:pt idx="11">
                  <c:v>7.1011733334014338E-5</c:v>
                </c:pt>
                <c:pt idx="12">
                  <c:v>-4.2862966666734609E-4</c:v>
                </c:pt>
                <c:pt idx="13">
                  <c:v>9.2749466666985914E-5</c:v>
                </c:pt>
                <c:pt idx="14">
                  <c:v>4.5760593333332711E-4</c:v>
                </c:pt>
                <c:pt idx="15">
                  <c:v>-3.7704500000002028E-4</c:v>
                </c:pt>
                <c:pt idx="16">
                  <c:v>4.1730086666591498E-4</c:v>
                </c:pt>
                <c:pt idx="17">
                  <c:v>-3.9913346666686778E-4</c:v>
                </c:pt>
                <c:pt idx="18">
                  <c:v>-4.84348000001189E-4</c:v>
                </c:pt>
                <c:pt idx="19">
                  <c:v>-4.8436973333298988E-4</c:v>
                </c:pt>
                <c:pt idx="20">
                  <c:v>-1.194631138200001</c:v>
                </c:pt>
                <c:pt idx="21">
                  <c:v>-1.437531893933333</c:v>
                </c:pt>
                <c:pt idx="22">
                  <c:v>-1.5288336290000011</c:v>
                </c:pt>
                <c:pt idx="23">
                  <c:v>-1.351358687733333</c:v>
                </c:pt>
                <c:pt idx="24">
                  <c:v>-1.246054331200001</c:v>
                </c:pt>
                <c:pt idx="25">
                  <c:v>-1.366570169333333</c:v>
                </c:pt>
                <c:pt idx="26">
                  <c:v>-1.351735907666666</c:v>
                </c:pt>
                <c:pt idx="27">
                  <c:v>-1.401880163733334</c:v>
                </c:pt>
                <c:pt idx="28">
                  <c:v>-0.89114761326666603</c:v>
                </c:pt>
                <c:pt idx="29">
                  <c:v>-1.0749720865333341</c:v>
                </c:pt>
                <c:pt idx="30">
                  <c:v>-1.2855642474</c:v>
                </c:pt>
                <c:pt idx="31">
                  <c:v>-0.89812159360000088</c:v>
                </c:pt>
                <c:pt idx="32">
                  <c:v>-1.0240763619999991</c:v>
                </c:pt>
                <c:pt idx="33">
                  <c:v>-0.84756463646666602</c:v>
                </c:pt>
                <c:pt idx="34">
                  <c:v>-0.41411953033333287</c:v>
                </c:pt>
                <c:pt idx="35">
                  <c:v>-0.46248414393333298</c:v>
                </c:pt>
                <c:pt idx="36">
                  <c:v>-0.33065313400000101</c:v>
                </c:pt>
                <c:pt idx="37">
                  <c:v>-2.8414696333333041E-2</c:v>
                </c:pt>
                <c:pt idx="38">
                  <c:v>-8.7038373866666588E-2</c:v>
                </c:pt>
                <c:pt idx="39">
                  <c:v>-1.619742000000812E-4</c:v>
                </c:pt>
                <c:pt idx="40">
                  <c:v>-3.4255480000033872E-4</c:v>
                </c:pt>
                <c:pt idx="41">
                  <c:v>-1.16000000000005E-4</c:v>
                </c:pt>
                <c:pt idx="42">
                  <c:v>4.2066666666706892E-4</c:v>
                </c:pt>
                <c:pt idx="43">
                  <c:v>1.4066666666701089E-4</c:v>
                </c:pt>
                <c:pt idx="44">
                  <c:v>1.5033333333303031E-4</c:v>
                </c:pt>
                <c:pt idx="45">
                  <c:v>3.4999999999951743E-5</c:v>
                </c:pt>
                <c:pt idx="46">
                  <c:v>-1.3233333333301231E-4</c:v>
                </c:pt>
                <c:pt idx="47">
                  <c:v>-2.9400000000001652E-4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940-4105-A1F4-42489B9445C9}"/>
            </c:ext>
          </c:extLst>
        </c:ser>
        <c:ser>
          <c:idx val="9"/>
          <c:order val="9"/>
          <c:tx>
            <c:v>BES_TR8_one423_B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Net_kW!$L$2:$L$49</c:f>
              <c:numCache>
                <c:formatCode>#,##0.000</c:formatCode>
                <c:ptCount val="48"/>
                <c:pt idx="0">
                  <c:v>-4.4333333333007603E-5</c:v>
                </c:pt>
                <c:pt idx="1">
                  <c:v>0</c:v>
                </c:pt>
                <c:pt idx="2">
                  <c:v>6.6666666670156527E-6</c:v>
                </c:pt>
                <c:pt idx="3">
                  <c:v>0</c:v>
                </c:pt>
                <c:pt idx="4">
                  <c:v>4.0133333333329518E-4</c:v>
                </c:pt>
                <c:pt idx="5">
                  <c:v>-3.9466666666698741E-4</c:v>
                </c:pt>
                <c:pt idx="6">
                  <c:v>3.5033333333329969E-4</c:v>
                </c:pt>
                <c:pt idx="7">
                  <c:v>7.573073333300151E-5</c:v>
                </c:pt>
                <c:pt idx="8">
                  <c:v>-3.0086939999990521E-4</c:v>
                </c:pt>
                <c:pt idx="9">
                  <c:v>-4.2350123333298109E-4</c:v>
                </c:pt>
                <c:pt idx="10">
                  <c:v>-5.2162000009903231E-6</c:v>
                </c:pt>
                <c:pt idx="11">
                  <c:v>-3.9348239999892343E-4</c:v>
                </c:pt>
                <c:pt idx="12">
                  <c:v>6.7722166665840078E-5</c:v>
                </c:pt>
                <c:pt idx="13">
                  <c:v>-3.0587579999896702E-4</c:v>
                </c:pt>
                <c:pt idx="14">
                  <c:v>-4.629244333329563E-4</c:v>
                </c:pt>
                <c:pt idx="15">
                  <c:v>3.0432500000010521E-5</c:v>
                </c:pt>
                <c:pt idx="16">
                  <c:v>-7.859071536666784E-2</c:v>
                </c:pt>
                <c:pt idx="17">
                  <c:v>-1.8451378668666669</c:v>
                </c:pt>
                <c:pt idx="18">
                  <c:v>-1.798283855333334</c:v>
                </c:pt>
                <c:pt idx="19">
                  <c:v>-1.9591668879333319</c:v>
                </c:pt>
                <c:pt idx="20">
                  <c:v>-1.9373127073000009</c:v>
                </c:pt>
                <c:pt idx="21">
                  <c:v>-2.2377968409000002</c:v>
                </c:pt>
                <c:pt idx="22">
                  <c:v>-2.233672443500001</c:v>
                </c:pt>
                <c:pt idx="23">
                  <c:v>-2.0517310316000001</c:v>
                </c:pt>
                <c:pt idx="24">
                  <c:v>-2.0621009968000008</c:v>
                </c:pt>
                <c:pt idx="25">
                  <c:v>-2.4936902540000001</c:v>
                </c:pt>
                <c:pt idx="26">
                  <c:v>-2.3439131948333332</c:v>
                </c:pt>
                <c:pt idx="27">
                  <c:v>-2.3590007456000008</c:v>
                </c:pt>
                <c:pt idx="28">
                  <c:v>-2.222729586566667</c:v>
                </c:pt>
                <c:pt idx="29">
                  <c:v>-2.0060372964666682</c:v>
                </c:pt>
                <c:pt idx="30">
                  <c:v>-1.6525063711000001</c:v>
                </c:pt>
                <c:pt idx="31">
                  <c:v>-1.3132612237333341</c:v>
                </c:pt>
                <c:pt idx="32">
                  <c:v>-1.3263287096666661</c:v>
                </c:pt>
                <c:pt idx="33">
                  <c:v>-0.80908945469999904</c:v>
                </c:pt>
                <c:pt idx="34">
                  <c:v>-0.70907946216666606</c:v>
                </c:pt>
                <c:pt idx="35">
                  <c:v>-0.57919808256666716</c:v>
                </c:pt>
                <c:pt idx="36">
                  <c:v>-0.29488770100000111</c:v>
                </c:pt>
                <c:pt idx="37">
                  <c:v>-3.2437783333296583E-4</c:v>
                </c:pt>
                <c:pt idx="38">
                  <c:v>-2.5522746666695179E-4</c:v>
                </c:pt>
                <c:pt idx="39">
                  <c:v>-7.4961299999953823E-5</c:v>
                </c:pt>
                <c:pt idx="40">
                  <c:v>3.1850113332998481E-4</c:v>
                </c:pt>
                <c:pt idx="41">
                  <c:v>-2.2766666666707011E-4</c:v>
                </c:pt>
                <c:pt idx="42">
                  <c:v>-1.186666666660452E-4</c:v>
                </c:pt>
                <c:pt idx="43">
                  <c:v>-4.2133333333305162E-4</c:v>
                </c:pt>
                <c:pt idx="44">
                  <c:v>-4.1599999999997189E-4</c:v>
                </c:pt>
                <c:pt idx="45">
                  <c:v>-4.7399999999997439E-4</c:v>
                </c:pt>
                <c:pt idx="46">
                  <c:v>4.786666666670158E-4</c:v>
                </c:pt>
                <c:pt idx="47">
                  <c:v>-3.9466666666698741E-4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940-4105-A1F4-42489B9445C9}"/>
            </c:ext>
          </c:extLst>
        </c:ser>
        <c:ser>
          <c:idx val="10"/>
          <c:order val="10"/>
          <c:tx>
            <c:v>BES_TR8_one446_B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Net_kW!$M$2:$M$49</c:f>
              <c:numCache>
                <c:formatCode>#,##0.000</c:formatCode>
                <c:ptCount val="48"/>
                <c:pt idx="0">
                  <c:v>-4.200000000000037E-4</c:v>
                </c:pt>
                <c:pt idx="1">
                  <c:v>0</c:v>
                </c:pt>
                <c:pt idx="2">
                  <c:v>-4.200000000000037E-4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-4.200000000000037E-4</c:v>
                </c:pt>
                <c:pt idx="7">
                  <c:v>-4.4080346666667408E-4</c:v>
                </c:pt>
                <c:pt idx="8">
                  <c:v>2.655074666667988E-4</c:v>
                </c:pt>
                <c:pt idx="9">
                  <c:v>4.2644279999998203E-4</c:v>
                </c:pt>
                <c:pt idx="10">
                  <c:v>-3.4288266668014433E-5</c:v>
                </c:pt>
                <c:pt idx="11">
                  <c:v>4.1602346666791412E-4</c:v>
                </c:pt>
                <c:pt idx="12">
                  <c:v>8.1407333331950937E-5</c:v>
                </c:pt>
                <c:pt idx="13">
                  <c:v>-1.6116773333196829E-4</c:v>
                </c:pt>
                <c:pt idx="14">
                  <c:v>3.9454519999981841E-4</c:v>
                </c:pt>
                <c:pt idx="15">
                  <c:v>-0.75340928999999979</c:v>
                </c:pt>
                <c:pt idx="16">
                  <c:v>-1.955563064933334</c:v>
                </c:pt>
                <c:pt idx="17">
                  <c:v>-2.4122239336</c:v>
                </c:pt>
                <c:pt idx="18">
                  <c:v>-2.6784223626666681</c:v>
                </c:pt>
                <c:pt idx="19">
                  <c:v>-2.841956406133332</c:v>
                </c:pt>
                <c:pt idx="20">
                  <c:v>-2.8777289430666682</c:v>
                </c:pt>
                <c:pt idx="21">
                  <c:v>-3.1177251211999999</c:v>
                </c:pt>
                <c:pt idx="22">
                  <c:v>-3.3369779246666682</c:v>
                </c:pt>
                <c:pt idx="23">
                  <c:v>-3.3404137087999999</c:v>
                </c:pt>
                <c:pt idx="24">
                  <c:v>-3.3180543290666682</c:v>
                </c:pt>
                <c:pt idx="25">
                  <c:v>-3.3703216720000002</c:v>
                </c:pt>
                <c:pt idx="26">
                  <c:v>-3.2127314820000001</c:v>
                </c:pt>
                <c:pt idx="27">
                  <c:v>-3.1241813274666681</c:v>
                </c:pt>
                <c:pt idx="28">
                  <c:v>-2.9528388932</c:v>
                </c:pt>
                <c:pt idx="29">
                  <c:v>-2.7772791730666682</c:v>
                </c:pt>
                <c:pt idx="30">
                  <c:v>-2.6311284948</c:v>
                </c:pt>
                <c:pt idx="31">
                  <c:v>-2.274003853866668</c:v>
                </c:pt>
                <c:pt idx="32">
                  <c:v>-2.1218000573333322</c:v>
                </c:pt>
                <c:pt idx="33">
                  <c:v>-1.7960712729333319</c:v>
                </c:pt>
                <c:pt idx="34">
                  <c:v>-1.3474417273333319</c:v>
                </c:pt>
                <c:pt idx="35">
                  <c:v>-1.1661916212000001</c:v>
                </c:pt>
                <c:pt idx="36">
                  <c:v>-0.87491693466666798</c:v>
                </c:pt>
                <c:pt idx="37">
                  <c:v>-0.46517072599999998</c:v>
                </c:pt>
                <c:pt idx="38">
                  <c:v>-0.14246974773333321</c:v>
                </c:pt>
                <c:pt idx="39">
                  <c:v>1.050516000000168E-4</c:v>
                </c:pt>
                <c:pt idx="40">
                  <c:v>5.8223733333306882E-5</c:v>
                </c:pt>
                <c:pt idx="41">
                  <c:v>-3.9733333333299981E-4</c:v>
                </c:pt>
                <c:pt idx="42">
                  <c:v>-1.970000000000027E-4</c:v>
                </c:pt>
                <c:pt idx="43">
                  <c:v>-4.3650000000000627E-4</c:v>
                </c:pt>
                <c:pt idx="44">
                  <c:v>-4.409999999999969E-4</c:v>
                </c:pt>
                <c:pt idx="45">
                  <c:v>-2.5333333333299462E-4</c:v>
                </c:pt>
                <c:pt idx="46">
                  <c:v>8.5333333333020844E-5</c:v>
                </c:pt>
                <c:pt idx="47">
                  <c:v>-3.4000000000000702E-4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940-4105-A1F4-42489B9445C9}"/>
            </c:ext>
          </c:extLst>
        </c:ser>
        <c:ser>
          <c:idx val="11"/>
          <c:order val="11"/>
          <c:tx>
            <c:v>BES_TR8_one469_A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Net_kW!$N$2:$N$49</c:f>
              <c:numCache>
                <c:formatCode>#,##0.000</c:formatCode>
                <c:ptCount val="48"/>
                <c:pt idx="0">
                  <c:v>-3.9000000000000151E-4</c:v>
                </c:pt>
                <c:pt idx="1">
                  <c:v>-2.3999999999999019E-4</c:v>
                </c:pt>
                <c:pt idx="2">
                  <c:v>0</c:v>
                </c:pt>
                <c:pt idx="3">
                  <c:v>-7.999999999999674E-5</c:v>
                </c:pt>
                <c:pt idx="4">
                  <c:v>4.5333333333302811E-4</c:v>
                </c:pt>
                <c:pt idx="5">
                  <c:v>0</c:v>
                </c:pt>
                <c:pt idx="6">
                  <c:v>0</c:v>
                </c:pt>
                <c:pt idx="7">
                  <c:v>1.5559653333332979E-4</c:v>
                </c:pt>
                <c:pt idx="8">
                  <c:v>3.7217413333379129E-4</c:v>
                </c:pt>
                <c:pt idx="9">
                  <c:v>4.2644279999998203E-4</c:v>
                </c:pt>
                <c:pt idx="10">
                  <c:v>3.3045066665016172E-5</c:v>
                </c:pt>
                <c:pt idx="11">
                  <c:v>1.420234666680287E-4</c:v>
                </c:pt>
                <c:pt idx="12">
                  <c:v>8.1407333331728893E-5</c:v>
                </c:pt>
                <c:pt idx="13">
                  <c:v>-1.657677333319896E-4</c:v>
                </c:pt>
                <c:pt idx="14">
                  <c:v>-3.0945480000021952E-4</c:v>
                </c:pt>
                <c:pt idx="15">
                  <c:v>-0.28405275666666691</c:v>
                </c:pt>
                <c:pt idx="16">
                  <c:v>-2.2096760649333351</c:v>
                </c:pt>
                <c:pt idx="17">
                  <c:v>-2.3289309336000001</c:v>
                </c:pt>
                <c:pt idx="18">
                  <c:v>-2.7215753626666679</c:v>
                </c:pt>
                <c:pt idx="19">
                  <c:v>-2.2561910727999992</c:v>
                </c:pt>
                <c:pt idx="20">
                  <c:v>-1.9840932097333379</c:v>
                </c:pt>
                <c:pt idx="21">
                  <c:v>-1.69830085453333</c:v>
                </c:pt>
                <c:pt idx="22">
                  <c:v>-2.0831445913333382</c:v>
                </c:pt>
                <c:pt idx="23">
                  <c:v>-2.8710400421333331</c:v>
                </c:pt>
                <c:pt idx="24">
                  <c:v>-3.2883346624000009</c:v>
                </c:pt>
                <c:pt idx="25">
                  <c:v>-3.3713216720000001</c:v>
                </c:pt>
                <c:pt idx="26">
                  <c:v>-3.2901584819999998</c:v>
                </c:pt>
                <c:pt idx="27">
                  <c:v>-2.9979609941333352</c:v>
                </c:pt>
                <c:pt idx="28">
                  <c:v>-3.0185078931999998</c:v>
                </c:pt>
                <c:pt idx="29">
                  <c:v>-2.831190173066668</c:v>
                </c:pt>
                <c:pt idx="30">
                  <c:v>-2.4790618281333332</c:v>
                </c:pt>
                <c:pt idx="31">
                  <c:v>-2.3772771872000011</c:v>
                </c:pt>
                <c:pt idx="32">
                  <c:v>-2.0156533906666652</c:v>
                </c:pt>
                <c:pt idx="33">
                  <c:v>-1.735844606266665</c:v>
                </c:pt>
                <c:pt idx="34">
                  <c:v>-1.4281873939999989</c:v>
                </c:pt>
                <c:pt idx="35">
                  <c:v>-4.9482119999999519E-4</c:v>
                </c:pt>
                <c:pt idx="36">
                  <c:v>-0.29442360133333467</c:v>
                </c:pt>
                <c:pt idx="37">
                  <c:v>-0.38558872599999999</c:v>
                </c:pt>
                <c:pt idx="38">
                  <c:v>-0.2020918810666662</c:v>
                </c:pt>
                <c:pt idx="39">
                  <c:v>-4.4828173333000271E-4</c:v>
                </c:pt>
                <c:pt idx="40">
                  <c:v>2.7955706666338292E-4</c:v>
                </c:pt>
                <c:pt idx="41">
                  <c:v>-1.8000000000073509E-5</c:v>
                </c:pt>
                <c:pt idx="42">
                  <c:v>-2.1000000000004351E-4</c:v>
                </c:pt>
                <c:pt idx="43">
                  <c:v>1.3299999999999421E-4</c:v>
                </c:pt>
                <c:pt idx="44">
                  <c:v>4.9333333333301255E-4</c:v>
                </c:pt>
                <c:pt idx="45">
                  <c:v>0</c:v>
                </c:pt>
                <c:pt idx="46">
                  <c:v>-2.3999999999999019E-4</c:v>
                </c:pt>
                <c:pt idx="47">
                  <c:v>-3.866666666667018E-4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940-4105-A1F4-42489B9445C9}"/>
            </c:ext>
          </c:extLst>
        </c:ser>
        <c:ser>
          <c:idx val="12"/>
          <c:order val="12"/>
          <c:tx>
            <c:v>BES_TR8_one477_A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Net_kW!$O$2:$O$49</c:f>
              <c:numCache>
                <c:formatCode>#,##0.000</c:formatCode>
                <c:ptCount val="48"/>
                <c:pt idx="0">
                  <c:v>1.24333333333948E-4</c:v>
                </c:pt>
                <c:pt idx="1">
                  <c:v>-2.5266666666601267E-4</c:v>
                </c:pt>
                <c:pt idx="2">
                  <c:v>-3.6333333333299361E-4</c:v>
                </c:pt>
                <c:pt idx="3">
                  <c:v>1.899999999999125E-5</c:v>
                </c:pt>
                <c:pt idx="4">
                  <c:v>-3.903333333329928E-4</c:v>
                </c:pt>
                <c:pt idx="5">
                  <c:v>2.800000000000025E-5</c:v>
                </c:pt>
                <c:pt idx="6">
                  <c:v>-3.0133333333298712E-4</c:v>
                </c:pt>
                <c:pt idx="7">
                  <c:v>0.3458051965333333</c:v>
                </c:pt>
                <c:pt idx="8">
                  <c:v>0.1199055074666668</c:v>
                </c:pt>
                <c:pt idx="9">
                  <c:v>-2.215571999999999E-4</c:v>
                </c:pt>
                <c:pt idx="10">
                  <c:v>2.6037839999898388E-4</c:v>
                </c:pt>
                <c:pt idx="11">
                  <c:v>1.420234666680287E-4</c:v>
                </c:pt>
                <c:pt idx="12">
                  <c:v>3.407399999888483E-5</c:v>
                </c:pt>
                <c:pt idx="13">
                  <c:v>-6.5167733331872313E-5</c:v>
                </c:pt>
                <c:pt idx="14">
                  <c:v>-3.2278813333319611E-4</c:v>
                </c:pt>
                <c:pt idx="15">
                  <c:v>3.3791000000005228E-4</c:v>
                </c:pt>
                <c:pt idx="16">
                  <c:v>-0.69667473160000148</c:v>
                </c:pt>
                <c:pt idx="17">
                  <c:v>-2.2696769336</c:v>
                </c:pt>
                <c:pt idx="18">
                  <c:v>-2.643118696000001</c:v>
                </c:pt>
                <c:pt idx="19">
                  <c:v>-2.7597634061333318</c:v>
                </c:pt>
                <c:pt idx="20">
                  <c:v>-2.9069079430666682</c:v>
                </c:pt>
                <c:pt idx="21">
                  <c:v>-2.6534801211999999</c:v>
                </c:pt>
                <c:pt idx="22">
                  <c:v>-3.1853449246666679</c:v>
                </c:pt>
                <c:pt idx="23">
                  <c:v>-1.8640547087999999</c:v>
                </c:pt>
                <c:pt idx="24">
                  <c:v>-2.762023995733335</c:v>
                </c:pt>
                <c:pt idx="25">
                  <c:v>-2.863358338666667</c:v>
                </c:pt>
                <c:pt idx="26">
                  <c:v>-3.1165578153333331</c:v>
                </c:pt>
                <c:pt idx="27">
                  <c:v>-2.4493569941333351</c:v>
                </c:pt>
                <c:pt idx="28">
                  <c:v>-2.8107998932</c:v>
                </c:pt>
                <c:pt idx="29">
                  <c:v>-2.4845748397333338</c:v>
                </c:pt>
                <c:pt idx="30">
                  <c:v>-2.605731828133333</c:v>
                </c:pt>
                <c:pt idx="31">
                  <c:v>-2.316625187200001</c:v>
                </c:pt>
                <c:pt idx="32">
                  <c:v>-1.9645267239999991</c:v>
                </c:pt>
                <c:pt idx="33">
                  <c:v>-7.034327293333198E-2</c:v>
                </c:pt>
                <c:pt idx="34">
                  <c:v>-0.83536172733333092</c:v>
                </c:pt>
                <c:pt idx="35">
                  <c:v>-0.88386128786666607</c:v>
                </c:pt>
                <c:pt idx="36">
                  <c:v>-0.67759960133333497</c:v>
                </c:pt>
                <c:pt idx="37">
                  <c:v>-0.22197872599999999</c:v>
                </c:pt>
                <c:pt idx="38">
                  <c:v>-1.7541439999915751E-4</c:v>
                </c:pt>
                <c:pt idx="39">
                  <c:v>1.3005160000004179E-4</c:v>
                </c:pt>
                <c:pt idx="40">
                  <c:v>-1.084429333336745E-4</c:v>
                </c:pt>
                <c:pt idx="41">
                  <c:v>-3.5066666666705443E-4</c:v>
                </c:pt>
                <c:pt idx="42">
                  <c:v>-3.999999999999837E-4</c:v>
                </c:pt>
                <c:pt idx="43">
                  <c:v>2.9533333333298112E-4</c:v>
                </c:pt>
                <c:pt idx="44">
                  <c:v>3.816666666659474E-4</c:v>
                </c:pt>
                <c:pt idx="45">
                  <c:v>-1.8666666666700141E-4</c:v>
                </c:pt>
                <c:pt idx="46">
                  <c:v>8.8000000000004741E-5</c:v>
                </c:pt>
                <c:pt idx="47">
                  <c:v>-4.5933333333299242E-4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940-4105-A1F4-42489B9445C9}"/>
            </c:ext>
          </c:extLst>
        </c:ser>
        <c:ser>
          <c:idx val="13"/>
          <c:order val="13"/>
          <c:tx>
            <c:v>BES_TR8_one482_B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Net_kW!$P$2:$P$49</c:f>
              <c:numCache>
                <c:formatCode>#,##0.000</c:formatCode>
                <c:ptCount val="48"/>
                <c:pt idx="0">
                  <c:v>-1.106666666670086E-4</c:v>
                </c:pt>
                <c:pt idx="1">
                  <c:v>-6.9388939039072284E-18</c:v>
                </c:pt>
                <c:pt idx="2">
                  <c:v>-4.3733333333301211E-4</c:v>
                </c:pt>
                <c:pt idx="3">
                  <c:v>-1.719999999999916E-4</c:v>
                </c:pt>
                <c:pt idx="4">
                  <c:v>-6.9388939039072284E-18</c:v>
                </c:pt>
                <c:pt idx="5">
                  <c:v>1.5066666666702089E-4</c:v>
                </c:pt>
                <c:pt idx="6">
                  <c:v>4.119999999999957E-4</c:v>
                </c:pt>
                <c:pt idx="7">
                  <c:v>-4.2736970000034619E-4</c:v>
                </c:pt>
                <c:pt idx="8">
                  <c:v>2.8631903333345421E-4</c:v>
                </c:pt>
                <c:pt idx="9">
                  <c:v>-3.1186255000000001E-4</c:v>
                </c:pt>
                <c:pt idx="10">
                  <c:v>-3.4752233334434113E-5</c:v>
                </c:pt>
                <c:pt idx="11">
                  <c:v>-1.2572946666533641E-4</c:v>
                </c:pt>
                <c:pt idx="12">
                  <c:v>-1.5768583334518919E-5</c:v>
                </c:pt>
                <c:pt idx="13">
                  <c:v>-1.3485509999788811E-4</c:v>
                </c:pt>
                <c:pt idx="14">
                  <c:v>-3.3652295000008442E-4</c:v>
                </c:pt>
                <c:pt idx="15">
                  <c:v>4.1483791666663272E-4</c:v>
                </c:pt>
                <c:pt idx="16">
                  <c:v>-0.1887258901500011</c:v>
                </c:pt>
                <c:pt idx="17">
                  <c:v>-2.1745695668999998</c:v>
                </c:pt>
                <c:pt idx="18">
                  <c:v>-2.3016754423333352</c:v>
                </c:pt>
                <c:pt idx="19">
                  <c:v>-2.5106508136999981</c:v>
                </c:pt>
                <c:pt idx="20">
                  <c:v>-2.455879825183334</c:v>
                </c:pt>
                <c:pt idx="21">
                  <c:v>-2.8278919810500001</c:v>
                </c:pt>
                <c:pt idx="22">
                  <c:v>-2.8174273507500009</c:v>
                </c:pt>
                <c:pt idx="23">
                  <c:v>-2.8049122035333331</c:v>
                </c:pt>
                <c:pt idx="24">
                  <c:v>-2.9671711629333348</c:v>
                </c:pt>
                <c:pt idx="25">
                  <c:v>-2.7199407963333329</c:v>
                </c:pt>
                <c:pt idx="26">
                  <c:v>-2.8507196717499999</c:v>
                </c:pt>
                <c:pt idx="27">
                  <c:v>-2.749816869866669</c:v>
                </c:pt>
                <c:pt idx="28">
                  <c:v>-2.5783420732166671</c:v>
                </c:pt>
                <c:pt idx="29">
                  <c:v>-2.3254000681000022</c:v>
                </c:pt>
                <c:pt idx="30">
                  <c:v>-2.1968667662833332</c:v>
                </c:pt>
                <c:pt idx="31">
                  <c:v>-1.881390538800001</c:v>
                </c:pt>
                <c:pt idx="32">
                  <c:v>-1.6174170501666649</c:v>
                </c:pt>
                <c:pt idx="33">
                  <c:v>-0.63008969714999696</c:v>
                </c:pt>
                <c:pt idx="34">
                  <c:v>-1.2933572614166651</c:v>
                </c:pt>
                <c:pt idx="35">
                  <c:v>-0.78401658521666706</c:v>
                </c:pt>
                <c:pt idx="36">
                  <c:v>-0.49527998450000149</c:v>
                </c:pt>
                <c:pt idx="37">
                  <c:v>-1.845519166669557E-4</c:v>
                </c:pt>
                <c:pt idx="38">
                  <c:v>1.540124000004583E-4</c:v>
                </c:pt>
                <c:pt idx="39">
                  <c:v>-1.4262151666699641E-4</c:v>
                </c:pt>
                <c:pt idx="40">
                  <c:v>-2.3530423333334441E-4</c:v>
                </c:pt>
                <c:pt idx="41">
                  <c:v>-4.5633333333305881E-4</c:v>
                </c:pt>
                <c:pt idx="42">
                  <c:v>3.8533333333301561E-4</c:v>
                </c:pt>
                <c:pt idx="43">
                  <c:v>-4.9300000000007671E-4</c:v>
                </c:pt>
                <c:pt idx="44">
                  <c:v>3.2666666667013899E-5</c:v>
                </c:pt>
                <c:pt idx="45">
                  <c:v>-1.099999999999435E-4</c:v>
                </c:pt>
                <c:pt idx="46">
                  <c:v>3.8533333333295999E-4</c:v>
                </c:pt>
                <c:pt idx="47">
                  <c:v>-6.9388939039072284E-18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940-4105-A1F4-42489B9445C9}"/>
            </c:ext>
          </c:extLst>
        </c:ser>
        <c:ser>
          <c:idx val="14"/>
          <c:order val="14"/>
          <c:tx>
            <c:v>BES_TR8_one61_A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Net_kW!$Q$2:$Q$49</c:f>
              <c:numCache>
                <c:formatCode>#,##0.000</c:formatCode>
                <c:ptCount val="48"/>
                <c:pt idx="0">
                  <c:v>3.4800000000000109E-4</c:v>
                </c:pt>
                <c:pt idx="1">
                  <c:v>-2.066666666669936E-4</c:v>
                </c:pt>
                <c:pt idx="2">
                  <c:v>4.3800000000002171E-4</c:v>
                </c:pt>
                <c:pt idx="3">
                  <c:v>4.4000000000016248E-5</c:v>
                </c:pt>
                <c:pt idx="4">
                  <c:v>4.1366666666700641E-4</c:v>
                </c:pt>
                <c:pt idx="5">
                  <c:v>2.5966666666699112E-4</c:v>
                </c:pt>
                <c:pt idx="6">
                  <c:v>-9.3999999999996864E-5</c:v>
                </c:pt>
                <c:pt idx="7">
                  <c:v>-2.3373506666632399E-4</c:v>
                </c:pt>
                <c:pt idx="8">
                  <c:v>2.254204000003979E-4</c:v>
                </c:pt>
                <c:pt idx="9">
                  <c:v>-2.8677859999999561E-4</c:v>
                </c:pt>
                <c:pt idx="10">
                  <c:v>-1.4381080000102489E-4</c:v>
                </c:pt>
                <c:pt idx="11">
                  <c:v>1.196784000007112E-4</c:v>
                </c:pt>
                <c:pt idx="12">
                  <c:v>2.7270366666598539E-4</c:v>
                </c:pt>
                <c:pt idx="13">
                  <c:v>3.0641613333404211E-4</c:v>
                </c:pt>
                <c:pt idx="14">
                  <c:v>-9.3940666671121775E-6</c:v>
                </c:pt>
                <c:pt idx="15">
                  <c:v>-4.1304499999994532E-4</c:v>
                </c:pt>
                <c:pt idx="16">
                  <c:v>-1.840324666640136E-4</c:v>
                </c:pt>
                <c:pt idx="17">
                  <c:v>1.6253320000014779E-4</c:v>
                </c:pt>
                <c:pt idx="18">
                  <c:v>-2.6334800000391711E-4</c:v>
                </c:pt>
                <c:pt idx="19">
                  <c:v>-2.8203639999890839E-4</c:v>
                </c:pt>
                <c:pt idx="20">
                  <c:v>8.8195133332691356E-5</c:v>
                </c:pt>
                <c:pt idx="21">
                  <c:v>-0.93509256060000001</c:v>
                </c:pt>
                <c:pt idx="22">
                  <c:v>-1.238329566666385E-2</c:v>
                </c:pt>
                <c:pt idx="23">
                  <c:v>-1.5295533544</c:v>
                </c:pt>
                <c:pt idx="24">
                  <c:v>-1.367604331200001</c:v>
                </c:pt>
                <c:pt idx="25">
                  <c:v>-1.569953836</c:v>
                </c:pt>
                <c:pt idx="26">
                  <c:v>-1.5524035743333331</c:v>
                </c:pt>
                <c:pt idx="27">
                  <c:v>-1.349047497066667</c:v>
                </c:pt>
                <c:pt idx="28">
                  <c:v>-1.2277339465999999</c:v>
                </c:pt>
                <c:pt idx="29">
                  <c:v>1.789134666658754E-4</c:v>
                </c:pt>
                <c:pt idx="30">
                  <c:v>-0.78735221406666711</c:v>
                </c:pt>
                <c:pt idx="31">
                  <c:v>-0.88255109360000095</c:v>
                </c:pt>
                <c:pt idx="32">
                  <c:v>-0.29019936199999891</c:v>
                </c:pt>
                <c:pt idx="33">
                  <c:v>-7.363396980000092E-2</c:v>
                </c:pt>
                <c:pt idx="34">
                  <c:v>-0.70755719699999919</c:v>
                </c:pt>
                <c:pt idx="35">
                  <c:v>-0.383466143933333</c:v>
                </c:pt>
                <c:pt idx="36">
                  <c:v>-0.16220646733333399</c:v>
                </c:pt>
                <c:pt idx="37">
                  <c:v>-5.6338363000000002E-2</c:v>
                </c:pt>
                <c:pt idx="38">
                  <c:v>-3.2637386666659052E-4</c:v>
                </c:pt>
                <c:pt idx="39">
                  <c:v>-3.4364086666699428E-4</c:v>
                </c:pt>
                <c:pt idx="40">
                  <c:v>4.7644519999961998E-4</c:v>
                </c:pt>
                <c:pt idx="41">
                  <c:v>2.5133333333299262E-4</c:v>
                </c:pt>
                <c:pt idx="42">
                  <c:v>-1.116666666660104E-4</c:v>
                </c:pt>
                <c:pt idx="43">
                  <c:v>-4.3900000000002271E-4</c:v>
                </c:pt>
                <c:pt idx="44">
                  <c:v>7.3000000000003618E-5</c:v>
                </c:pt>
                <c:pt idx="45">
                  <c:v>-4.9833333333298979E-4</c:v>
                </c:pt>
                <c:pt idx="46">
                  <c:v>0</c:v>
                </c:pt>
                <c:pt idx="47">
                  <c:v>-4.6466666666700179E-4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940-4105-A1F4-42489B9445C9}"/>
            </c:ext>
          </c:extLst>
        </c:ser>
        <c:ser>
          <c:idx val="15"/>
          <c:order val="15"/>
          <c:tx>
            <c:v>BES_TR8_one552_B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Net_kW!$R$2:$R$49</c:f>
              <c:numCache>
                <c:formatCode>#,##0.000</c:formatCode>
                <c:ptCount val="48"/>
                <c:pt idx="0">
                  <c:v>2.3333333333042109E-5</c:v>
                </c:pt>
                <c:pt idx="1">
                  <c:v>4.5066666666698779E-4</c:v>
                </c:pt>
                <c:pt idx="2">
                  <c:v>-3.8333333333306912E-4</c:v>
                </c:pt>
                <c:pt idx="3">
                  <c:v>5.6333333332991842E-5</c:v>
                </c:pt>
                <c:pt idx="4">
                  <c:v>1.8600000000000561E-4</c:v>
                </c:pt>
                <c:pt idx="5">
                  <c:v>-4.200000000000037E-4</c:v>
                </c:pt>
                <c:pt idx="6">
                  <c:v>0</c:v>
                </c:pt>
                <c:pt idx="7">
                  <c:v>2.042069869999999E-2</c:v>
                </c:pt>
                <c:pt idx="8">
                  <c:v>8.7404565300000042E-2</c:v>
                </c:pt>
                <c:pt idx="9">
                  <c:v>3.1063916050000001E-2</c:v>
                </c:pt>
                <c:pt idx="10">
                  <c:v>4.0039189999949848E-4</c:v>
                </c:pt>
                <c:pt idx="11">
                  <c:v>5.7758800000501383E-5</c:v>
                </c:pt>
                <c:pt idx="12">
                  <c:v>0.92715119441666949</c:v>
                </c:pt>
                <c:pt idx="13">
                  <c:v>4.7056210000050169E-4</c:v>
                </c:pt>
                <c:pt idx="14">
                  <c:v>-3.22462216667041E-4</c:v>
                </c:pt>
                <c:pt idx="15">
                  <c:v>2.5221625000015901E-4</c:v>
                </c:pt>
                <c:pt idx="16">
                  <c:v>-5.38576833305493E-5</c:v>
                </c:pt>
                <c:pt idx="17">
                  <c:v>-1.1000999999843939E-6</c:v>
                </c:pt>
                <c:pt idx="18">
                  <c:v>-4.3942766666704708E-4</c:v>
                </c:pt>
                <c:pt idx="19">
                  <c:v>-1.177729999901622E-5</c:v>
                </c:pt>
                <c:pt idx="20">
                  <c:v>-4.5068698333294849E-4</c:v>
                </c:pt>
                <c:pt idx="21">
                  <c:v>1.8124621667003901E-4</c:v>
                </c:pt>
                <c:pt idx="22">
                  <c:v>-9.7055083332797665E-5</c:v>
                </c:pt>
                <c:pt idx="23">
                  <c:v>4.1181753332997229E-4</c:v>
                </c:pt>
                <c:pt idx="24">
                  <c:v>4.3283493333201578E-4</c:v>
                </c:pt>
                <c:pt idx="25">
                  <c:v>2.9963966667001518E-4</c:v>
                </c:pt>
                <c:pt idx="26">
                  <c:v>1.561025833329843E-4</c:v>
                </c:pt>
                <c:pt idx="27">
                  <c:v>-4.3237280000008038E-4</c:v>
                </c:pt>
                <c:pt idx="28">
                  <c:v>-4.4545995000000449E-4</c:v>
                </c:pt>
                <c:pt idx="29">
                  <c:v>-3.2798156666702377E-4</c:v>
                </c:pt>
                <c:pt idx="30">
                  <c:v>-3.2518883332999238E-5</c:v>
                </c:pt>
                <c:pt idx="31">
                  <c:v>-1.9394520000048929E-4</c:v>
                </c:pt>
                <c:pt idx="32">
                  <c:v>-1.550214999994082E-4</c:v>
                </c:pt>
                <c:pt idx="33">
                  <c:v>3.6927265000052939E-4</c:v>
                </c:pt>
                <c:pt idx="34">
                  <c:v>-0.35877606441666637</c:v>
                </c:pt>
                <c:pt idx="35">
                  <c:v>-0.20471010795000011</c:v>
                </c:pt>
                <c:pt idx="36">
                  <c:v>-4.7612850500000532E-2</c:v>
                </c:pt>
                <c:pt idx="37">
                  <c:v>-1.837585558333299E-2</c:v>
                </c:pt>
                <c:pt idx="38">
                  <c:v>-4.6694706666690339E-4</c:v>
                </c:pt>
                <c:pt idx="39">
                  <c:v>-4.6264731666700859E-4</c:v>
                </c:pt>
                <c:pt idx="40">
                  <c:v>1.6250566666098362E-5</c:v>
                </c:pt>
                <c:pt idx="41">
                  <c:v>3.9333333334001803E-5</c:v>
                </c:pt>
                <c:pt idx="42">
                  <c:v>-4.6833333333295979E-4</c:v>
                </c:pt>
                <c:pt idx="43">
                  <c:v>4.1666666666706492E-4</c:v>
                </c:pt>
                <c:pt idx="44">
                  <c:v>6.6666666598269586E-7</c:v>
                </c:pt>
                <c:pt idx="45">
                  <c:v>-4.9699999999996969E-4</c:v>
                </c:pt>
                <c:pt idx="46">
                  <c:v>8.4000000000084007E-5</c:v>
                </c:pt>
                <c:pt idx="47">
                  <c:v>2.6999999999999252E-4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940-4105-A1F4-42489B9445C9}"/>
            </c:ext>
          </c:extLst>
        </c:ser>
        <c:ser>
          <c:idx val="16"/>
          <c:order val="16"/>
          <c:tx>
            <c:v>BES_TR8_one560_C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Net_kW!$S$2:$S$49</c:f>
              <c:numCache>
                <c:formatCode>#,##0.000</c:formatCode>
                <c:ptCount val="48"/>
                <c:pt idx="0">
                  <c:v>2.2399999999989101E-4</c:v>
                </c:pt>
                <c:pt idx="1">
                  <c:v>-6.6666666665993191E-5</c:v>
                </c:pt>
                <c:pt idx="2">
                  <c:v>5.9088666666667011E-2</c:v>
                </c:pt>
                <c:pt idx="3">
                  <c:v>0.35930333333333297</c:v>
                </c:pt>
                <c:pt idx="4">
                  <c:v>0.52779666666666702</c:v>
                </c:pt>
                <c:pt idx="5">
                  <c:v>0.38999733333333297</c:v>
                </c:pt>
                <c:pt idx="6">
                  <c:v>0.30843466666666702</c:v>
                </c:pt>
                <c:pt idx="7">
                  <c:v>1.198090931599997</c:v>
                </c:pt>
                <c:pt idx="8">
                  <c:v>7.8436753733333406E-2</c:v>
                </c:pt>
                <c:pt idx="9">
                  <c:v>-2.8677860000000249E-4</c:v>
                </c:pt>
                <c:pt idx="10">
                  <c:v>-4.0144133334002463E-5</c:v>
                </c:pt>
                <c:pt idx="11">
                  <c:v>3.970117333340073E-4</c:v>
                </c:pt>
                <c:pt idx="12">
                  <c:v>4.7537033333261419E-4</c:v>
                </c:pt>
                <c:pt idx="13">
                  <c:v>1.094946666702068E-5</c:v>
                </c:pt>
                <c:pt idx="14">
                  <c:v>-4.3639406666662328E-4</c:v>
                </c:pt>
                <c:pt idx="15">
                  <c:v>9.9621666667104591E-5</c:v>
                </c:pt>
                <c:pt idx="16">
                  <c:v>-1.8669913333391189E-4</c:v>
                </c:pt>
                <c:pt idx="17">
                  <c:v>-3.4746679999986258E-4</c:v>
                </c:pt>
                <c:pt idx="18">
                  <c:v>-2.8768133333390011E-4</c:v>
                </c:pt>
                <c:pt idx="19">
                  <c:v>-5.8191703066665879E-2</c:v>
                </c:pt>
                <c:pt idx="20">
                  <c:v>-1.5160044715333341</c:v>
                </c:pt>
                <c:pt idx="21">
                  <c:v>-1.5136965605999999</c:v>
                </c:pt>
                <c:pt idx="22">
                  <c:v>-1.376670295666667</c:v>
                </c:pt>
                <c:pt idx="23">
                  <c:v>-1.3709826877333331</c:v>
                </c:pt>
                <c:pt idx="24">
                  <c:v>-0.99040333120000101</c:v>
                </c:pt>
                <c:pt idx="25">
                  <c:v>-1.553794169333333</c:v>
                </c:pt>
                <c:pt idx="26">
                  <c:v>-1.498723241</c:v>
                </c:pt>
                <c:pt idx="27">
                  <c:v>-1.552667163733334</c:v>
                </c:pt>
                <c:pt idx="28">
                  <c:v>-1.4456259466000001</c:v>
                </c:pt>
                <c:pt idx="29">
                  <c:v>-1.2128944198666669</c:v>
                </c:pt>
                <c:pt idx="30">
                  <c:v>-1.0873782474</c:v>
                </c:pt>
                <c:pt idx="31">
                  <c:v>-1.041561926933334</c:v>
                </c:pt>
                <c:pt idx="32">
                  <c:v>-2.5329028666665861E-2</c:v>
                </c:pt>
                <c:pt idx="33">
                  <c:v>-0.120668969799999</c:v>
                </c:pt>
                <c:pt idx="34">
                  <c:v>-0.37484553033333301</c:v>
                </c:pt>
                <c:pt idx="35">
                  <c:v>-0.41234347726666698</c:v>
                </c:pt>
                <c:pt idx="36">
                  <c:v>-0.16151246733333399</c:v>
                </c:pt>
                <c:pt idx="37">
                  <c:v>-0.104924029666667</c:v>
                </c:pt>
                <c:pt idx="38">
                  <c:v>4.6295946666640581E-4</c:v>
                </c:pt>
                <c:pt idx="39">
                  <c:v>2.2535913333299179E-4</c:v>
                </c:pt>
                <c:pt idx="40">
                  <c:v>-3.5055480000356631E-4</c:v>
                </c:pt>
                <c:pt idx="41">
                  <c:v>-2.3133333332991951E-4</c:v>
                </c:pt>
                <c:pt idx="42">
                  <c:v>-3.1733333333300312E-4</c:v>
                </c:pt>
                <c:pt idx="43">
                  <c:v>2.6733333333300863E-4</c:v>
                </c:pt>
                <c:pt idx="44">
                  <c:v>-1.259999999999595E-4</c:v>
                </c:pt>
                <c:pt idx="45">
                  <c:v>9.933333333300709E-5</c:v>
                </c:pt>
                <c:pt idx="46">
                  <c:v>3.3933333333302512E-4</c:v>
                </c:pt>
                <c:pt idx="47">
                  <c:v>-3.9733333333299981E-4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940-4105-A1F4-42489B9445C9}"/>
            </c:ext>
          </c:extLst>
        </c:ser>
        <c:ser>
          <c:idx val="17"/>
          <c:order val="17"/>
          <c:tx>
            <c:v>BES_TR8_one73_A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Net_kW!$T$2:$T$49</c:f>
              <c:numCache>
                <c:formatCode>#,##0.000</c:formatCode>
                <c:ptCount val="48"/>
                <c:pt idx="0">
                  <c:v>3.0066666666700442E-4</c:v>
                </c:pt>
                <c:pt idx="1">
                  <c:v>4.019999999999857E-4</c:v>
                </c:pt>
                <c:pt idx="2">
                  <c:v>-3.4699999999998621E-4</c:v>
                </c:pt>
                <c:pt idx="3">
                  <c:v>1.5666666666996901E-5</c:v>
                </c:pt>
                <c:pt idx="4">
                  <c:v>-9.8000000000014742E-5</c:v>
                </c:pt>
                <c:pt idx="5">
                  <c:v>3.6266666666701092E-4</c:v>
                </c:pt>
                <c:pt idx="6">
                  <c:v>-1.3600000000002499E-4</c:v>
                </c:pt>
                <c:pt idx="7">
                  <c:v>1.397991333333265E-4</c:v>
                </c:pt>
                <c:pt idx="8">
                  <c:v>4.7043533333707137E-5</c:v>
                </c:pt>
                <c:pt idx="9">
                  <c:v>-2.7338930000000977E-4</c:v>
                </c:pt>
                <c:pt idx="10">
                  <c:v>-4.3072066666996478E-5</c:v>
                </c:pt>
                <c:pt idx="11">
                  <c:v>-3.7616079999999719E-4</c:v>
                </c:pt>
                <c:pt idx="12">
                  <c:v>-1.296481666670235E-4</c:v>
                </c:pt>
                <c:pt idx="13">
                  <c:v>-1.9062526666599469E-4</c:v>
                </c:pt>
                <c:pt idx="14">
                  <c:v>-9.2863700000028748E-5</c:v>
                </c:pt>
                <c:pt idx="15">
                  <c:v>-6.4855833332960744E-5</c:v>
                </c:pt>
                <c:pt idx="16">
                  <c:v>7.4517099999948933E-5</c:v>
                </c:pt>
                <c:pt idx="17">
                  <c:v>-2.3606673332993161E-4</c:v>
                </c:pt>
                <c:pt idx="18">
                  <c:v>-4.6384066666699248E-4</c:v>
                </c:pt>
                <c:pt idx="19">
                  <c:v>-2.4518486666597061E-4</c:v>
                </c:pt>
                <c:pt idx="20">
                  <c:v>-7.8235766666934214E-5</c:v>
                </c:pt>
                <c:pt idx="21">
                  <c:v>4.4938636666985721E-4</c:v>
                </c:pt>
                <c:pt idx="22">
                  <c:v>1.9051883333304209E-4</c:v>
                </c:pt>
                <c:pt idx="23">
                  <c:v>-3.3567719999993972E-4</c:v>
                </c:pt>
                <c:pt idx="24">
                  <c:v>-4.4333226666692932E-4</c:v>
                </c:pt>
                <c:pt idx="25">
                  <c:v>4.1324866666669902E-4</c:v>
                </c:pt>
                <c:pt idx="26">
                  <c:v>2.9537950000002589E-4</c:v>
                </c:pt>
                <c:pt idx="27">
                  <c:v>7.8084799999933452E-5</c:v>
                </c:pt>
                <c:pt idx="28">
                  <c:v>-1.4697329999990849E-4</c:v>
                </c:pt>
                <c:pt idx="29">
                  <c:v>-4.0520993333403871E-4</c:v>
                </c:pt>
                <c:pt idx="30">
                  <c:v>3.0387630000000548E-4</c:v>
                </c:pt>
                <c:pt idx="31">
                  <c:v>1.040365333331295E-4</c:v>
                </c:pt>
                <c:pt idx="32">
                  <c:v>-7.63476666669205E-5</c:v>
                </c:pt>
                <c:pt idx="33">
                  <c:v>-4.2151823333291821E-4</c:v>
                </c:pt>
                <c:pt idx="34">
                  <c:v>-0.26047809849999998</c:v>
                </c:pt>
                <c:pt idx="35">
                  <c:v>-5.7533338633333007E-2</c:v>
                </c:pt>
                <c:pt idx="36">
                  <c:v>1.434329999999914E-4</c:v>
                </c:pt>
                <c:pt idx="37">
                  <c:v>4.4651833332999553E-5</c:v>
                </c:pt>
                <c:pt idx="38">
                  <c:v>-3.3518693333331462E-4</c:v>
                </c:pt>
                <c:pt idx="39">
                  <c:v>-1.5732043333299689E-4</c:v>
                </c:pt>
                <c:pt idx="40">
                  <c:v>4.9838926666345706E-4</c:v>
                </c:pt>
                <c:pt idx="41">
                  <c:v>2.7633333333298982E-4</c:v>
                </c:pt>
                <c:pt idx="42">
                  <c:v>3.3566666666706713E-4</c:v>
                </c:pt>
                <c:pt idx="43">
                  <c:v>-2.8633333333294431E-4</c:v>
                </c:pt>
                <c:pt idx="44">
                  <c:v>3.3666666670040257E-5</c:v>
                </c:pt>
                <c:pt idx="45">
                  <c:v>9.3333333330836155E-6</c:v>
                </c:pt>
                <c:pt idx="46">
                  <c:v>3.219999999999335E-4</c:v>
                </c:pt>
                <c:pt idx="47">
                  <c:v>0.30006766666666712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940-4105-A1F4-42489B9445C9}"/>
            </c:ext>
          </c:extLst>
        </c:ser>
        <c:ser>
          <c:idx val="18"/>
          <c:order val="18"/>
          <c:tx>
            <c:v>BES_TR8_one137_A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Net_kW!$U$2:$U$49</c:f>
              <c:numCache>
                <c:formatCode>#,##0.000</c:formatCode>
                <c:ptCount val="48"/>
                <c:pt idx="0">
                  <c:v>-2.7066666666659972E-4</c:v>
                </c:pt>
                <c:pt idx="1">
                  <c:v>-4.4733333333300818E-4</c:v>
                </c:pt>
                <c:pt idx="2">
                  <c:v>4.5866666666670441E-4</c:v>
                </c:pt>
                <c:pt idx="3">
                  <c:v>3.2933333333301512E-4</c:v>
                </c:pt>
                <c:pt idx="4">
                  <c:v>-4.9133333333298279E-4</c:v>
                </c:pt>
                <c:pt idx="5">
                  <c:v>2.8200000000000452E-4</c:v>
                </c:pt>
                <c:pt idx="6">
                  <c:v>1.3333333333004351E-5</c:v>
                </c:pt>
                <c:pt idx="7">
                  <c:v>1.1319653333333179E-4</c:v>
                </c:pt>
                <c:pt idx="8">
                  <c:v>-4.964925333331982E-4</c:v>
                </c:pt>
                <c:pt idx="9">
                  <c:v>-6.7557199999998541E-5</c:v>
                </c:pt>
                <c:pt idx="10">
                  <c:v>1.6437839999894341E-4</c:v>
                </c:pt>
                <c:pt idx="11">
                  <c:v>-3.4797653333207279E-4</c:v>
                </c:pt>
                <c:pt idx="12">
                  <c:v>8.140733333206196E-5</c:v>
                </c:pt>
                <c:pt idx="13">
                  <c:v>-2.2716773333186779E-4</c:v>
                </c:pt>
                <c:pt idx="14">
                  <c:v>-4.5878813333355423E-4</c:v>
                </c:pt>
                <c:pt idx="15">
                  <c:v>-4.4896756666666482E-2</c:v>
                </c:pt>
                <c:pt idx="16">
                  <c:v>-1.968506064933335</c:v>
                </c:pt>
                <c:pt idx="17">
                  <c:v>-2.048997600266667</c:v>
                </c:pt>
                <c:pt idx="18">
                  <c:v>-2.516656362666668</c:v>
                </c:pt>
                <c:pt idx="19">
                  <c:v>-2.6920127394666649</c:v>
                </c:pt>
                <c:pt idx="20">
                  <c:v>-2.765111609733335</c:v>
                </c:pt>
                <c:pt idx="21">
                  <c:v>-1.6692097878666701</c:v>
                </c:pt>
                <c:pt idx="22">
                  <c:v>-2.9916012580000011</c:v>
                </c:pt>
                <c:pt idx="23">
                  <c:v>-2.8431390421333331</c:v>
                </c:pt>
                <c:pt idx="24">
                  <c:v>-2.0282886623999978</c:v>
                </c:pt>
                <c:pt idx="25">
                  <c:v>-2.5439256719999999</c:v>
                </c:pt>
                <c:pt idx="26">
                  <c:v>-2.9180551486666659</c:v>
                </c:pt>
                <c:pt idx="27">
                  <c:v>-2.9014729941333348</c:v>
                </c:pt>
                <c:pt idx="28">
                  <c:v>-2.8329275598666661</c:v>
                </c:pt>
                <c:pt idx="29">
                  <c:v>-2.5310951730666682</c:v>
                </c:pt>
                <c:pt idx="30">
                  <c:v>-2.5642581614666669</c:v>
                </c:pt>
                <c:pt idx="31">
                  <c:v>-2.2018725205333349</c:v>
                </c:pt>
                <c:pt idx="32">
                  <c:v>-1.957318723999999</c:v>
                </c:pt>
                <c:pt idx="33">
                  <c:v>-1.606596606266665</c:v>
                </c:pt>
                <c:pt idx="34">
                  <c:v>-1.349214393999999</c:v>
                </c:pt>
                <c:pt idx="35">
                  <c:v>-1.089442287866667</c:v>
                </c:pt>
                <c:pt idx="36">
                  <c:v>-0.80804660133333506</c:v>
                </c:pt>
                <c:pt idx="37">
                  <c:v>-0.41832705933333297</c:v>
                </c:pt>
                <c:pt idx="38">
                  <c:v>-2.5808106666713743E-4</c:v>
                </c:pt>
                <c:pt idx="39">
                  <c:v>-4.912817333330155E-4</c:v>
                </c:pt>
                <c:pt idx="40">
                  <c:v>1.8055706666725291E-4</c:v>
                </c:pt>
                <c:pt idx="41">
                  <c:v>-1.199999999999535E-4</c:v>
                </c:pt>
                <c:pt idx="42">
                  <c:v>1.4566666666693259E-4</c:v>
                </c:pt>
                <c:pt idx="43">
                  <c:v>-2.1633333333304081E-4</c:v>
                </c:pt>
                <c:pt idx="44">
                  <c:v>-4.616666666660274E-4</c:v>
                </c:pt>
                <c:pt idx="45">
                  <c:v>-3.7166666667021181E-4</c:v>
                </c:pt>
                <c:pt idx="46">
                  <c:v>-1.4733333333299961E-4</c:v>
                </c:pt>
                <c:pt idx="47">
                  <c:v>3.6666666666698711E-4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940-4105-A1F4-42489B9445C9}"/>
            </c:ext>
          </c:extLst>
        </c:ser>
        <c:ser>
          <c:idx val="19"/>
          <c:order val="19"/>
          <c:tx>
            <c:v>BES_TR8_four50_C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Net_kW!$V$2:$V$49</c:f>
              <c:numCache>
                <c:formatCode>#,##0.000</c:formatCode>
                <c:ptCount val="48"/>
                <c:pt idx="0">
                  <c:v>-3.4999999999998921E-4</c:v>
                </c:pt>
                <c:pt idx="1">
                  <c:v>1.2399999999998521E-4</c:v>
                </c:pt>
                <c:pt idx="2">
                  <c:v>0</c:v>
                </c:pt>
                <c:pt idx="3">
                  <c:v>3.939999999999777E-4</c:v>
                </c:pt>
                <c:pt idx="4">
                  <c:v>0</c:v>
                </c:pt>
                <c:pt idx="5">
                  <c:v>4.159999999999997E-4</c:v>
                </c:pt>
                <c:pt idx="6">
                  <c:v>-2.199999999999425E-5</c:v>
                </c:pt>
                <c:pt idx="7">
                  <c:v>-4.4080346666667408E-4</c:v>
                </c:pt>
                <c:pt idx="8">
                  <c:v>-3.4049253333323648E-4</c:v>
                </c:pt>
                <c:pt idx="9">
                  <c:v>4.2644279999998203E-4</c:v>
                </c:pt>
                <c:pt idx="10">
                  <c:v>1.99711733331942E-4</c:v>
                </c:pt>
                <c:pt idx="11">
                  <c:v>-3.9765333319508036E-6</c:v>
                </c:pt>
                <c:pt idx="12">
                  <c:v>8.1407333331950937E-5</c:v>
                </c:pt>
                <c:pt idx="13">
                  <c:v>2.588322666678966E-4</c:v>
                </c:pt>
                <c:pt idx="14">
                  <c:v>3.3154520000011622E-4</c:v>
                </c:pt>
                <c:pt idx="15">
                  <c:v>-5.0089999999780588E-5</c:v>
                </c:pt>
                <c:pt idx="16">
                  <c:v>-1.9280693982666679</c:v>
                </c:pt>
                <c:pt idx="17">
                  <c:v>-2.1777109335999998</c:v>
                </c:pt>
                <c:pt idx="18">
                  <c:v>-2.5363273626666678</c:v>
                </c:pt>
                <c:pt idx="19">
                  <c:v>-2.6740527394666649</c:v>
                </c:pt>
                <c:pt idx="20">
                  <c:v>-2.238534943066667</c:v>
                </c:pt>
                <c:pt idx="21">
                  <c:v>-2.7368304545333331</c:v>
                </c:pt>
                <c:pt idx="22">
                  <c:v>-3.2167189246666679</c:v>
                </c:pt>
                <c:pt idx="23">
                  <c:v>-3.3384317088</c:v>
                </c:pt>
                <c:pt idx="24">
                  <c:v>-3.3127843290666679</c:v>
                </c:pt>
                <c:pt idx="25">
                  <c:v>-3.2886246720000001</c:v>
                </c:pt>
                <c:pt idx="26">
                  <c:v>-3.2781584819999998</c:v>
                </c:pt>
                <c:pt idx="27">
                  <c:v>-3.154334327466668</c:v>
                </c:pt>
                <c:pt idx="28">
                  <c:v>-2.8325635598666672</c:v>
                </c:pt>
                <c:pt idx="29">
                  <c:v>-2.588390506400001</c:v>
                </c:pt>
                <c:pt idx="30">
                  <c:v>-2.6053018281333329</c:v>
                </c:pt>
                <c:pt idx="31">
                  <c:v>-2.0902590538666681</c:v>
                </c:pt>
                <c:pt idx="32">
                  <c:v>-1.832010323999999</c:v>
                </c:pt>
                <c:pt idx="33">
                  <c:v>-1.6636010729333319</c:v>
                </c:pt>
                <c:pt idx="34">
                  <c:v>-1.3173775273333319</c:v>
                </c:pt>
                <c:pt idx="35">
                  <c:v>-0.76241635453333312</c:v>
                </c:pt>
                <c:pt idx="36">
                  <c:v>-0.47908693466666802</c:v>
                </c:pt>
                <c:pt idx="37">
                  <c:v>3.0660733332998902E-4</c:v>
                </c:pt>
                <c:pt idx="38">
                  <c:v>7.0918933333802281E-5</c:v>
                </c:pt>
                <c:pt idx="39">
                  <c:v>3.4838493333311238E-4</c:v>
                </c:pt>
                <c:pt idx="40">
                  <c:v>3.132237333333121E-4</c:v>
                </c:pt>
                <c:pt idx="41">
                  <c:v>2.7133333333301263E-4</c:v>
                </c:pt>
                <c:pt idx="42">
                  <c:v>2.3599999999990301E-4</c:v>
                </c:pt>
                <c:pt idx="43">
                  <c:v>4.7799999999997839E-4</c:v>
                </c:pt>
                <c:pt idx="44">
                  <c:v>-3.2633333333298431E-4</c:v>
                </c:pt>
                <c:pt idx="45">
                  <c:v>-3.4666666666699491E-4</c:v>
                </c:pt>
                <c:pt idx="46">
                  <c:v>-2.9200000000000059E-4</c:v>
                </c:pt>
                <c:pt idx="47">
                  <c:v>-3.1399999999998102E-4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940-4105-A1F4-42489B9445C9}"/>
            </c:ext>
          </c:extLst>
        </c:ser>
        <c:ser>
          <c:idx val="20"/>
          <c:order val="20"/>
          <c:tx>
            <c:v>BES_TR8_four171_A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Net_kW!$W$2:$W$49</c:f>
              <c:numCache>
                <c:formatCode>#,##0.000</c:formatCode>
                <c:ptCount val="48"/>
                <c:pt idx="0">
                  <c:v>-4.139999999999977E-4</c:v>
                </c:pt>
                <c:pt idx="1">
                  <c:v>0</c:v>
                </c:pt>
                <c:pt idx="2">
                  <c:v>2.276666666670146E-4</c:v>
                </c:pt>
                <c:pt idx="3">
                  <c:v>4.45000000000001E-4</c:v>
                </c:pt>
                <c:pt idx="4">
                  <c:v>8.6666666666984638E-5</c:v>
                </c:pt>
                <c:pt idx="5">
                  <c:v>-4.139999999999977E-4</c:v>
                </c:pt>
                <c:pt idx="6">
                  <c:v>0</c:v>
                </c:pt>
                <c:pt idx="7">
                  <c:v>1.3726493333365841E-4</c:v>
                </c:pt>
                <c:pt idx="8">
                  <c:v>-5.2246266666597367E-5</c:v>
                </c:pt>
                <c:pt idx="9">
                  <c:v>1.722140000000056E-5</c:v>
                </c:pt>
                <c:pt idx="10">
                  <c:v>-3.0147746666701197E-4</c:v>
                </c:pt>
                <c:pt idx="11">
                  <c:v>7.1011733334014338E-5</c:v>
                </c:pt>
                <c:pt idx="12">
                  <c:v>3.6670366666596838E-4</c:v>
                </c:pt>
                <c:pt idx="13">
                  <c:v>1.6308280000099101E-4</c:v>
                </c:pt>
                <c:pt idx="14">
                  <c:v>3.3327259999993419E-4</c:v>
                </c:pt>
                <c:pt idx="15">
                  <c:v>2.886216666669883E-4</c:v>
                </c:pt>
                <c:pt idx="16">
                  <c:v>-9.369913333401314E-5</c:v>
                </c:pt>
                <c:pt idx="17">
                  <c:v>-3.8646679999976291E-4</c:v>
                </c:pt>
                <c:pt idx="18">
                  <c:v>-2.0601466666714249E-4</c:v>
                </c:pt>
                <c:pt idx="19">
                  <c:v>-0.30053970306666611</c:v>
                </c:pt>
                <c:pt idx="20">
                  <c:v>1.388617999964481E-4</c:v>
                </c:pt>
                <c:pt idx="21">
                  <c:v>-2.3922726667024999E-4</c:v>
                </c:pt>
                <c:pt idx="22">
                  <c:v>3.8303766666603067E-4</c:v>
                </c:pt>
                <c:pt idx="23">
                  <c:v>4.1597893333311648E-4</c:v>
                </c:pt>
                <c:pt idx="24">
                  <c:v>-1.3227516645333339</c:v>
                </c:pt>
                <c:pt idx="25">
                  <c:v>-1.6611608360000001</c:v>
                </c:pt>
                <c:pt idx="26">
                  <c:v>-1.4409932409999999</c:v>
                </c:pt>
                <c:pt idx="27">
                  <c:v>-1.4365804970666669</c:v>
                </c:pt>
                <c:pt idx="28">
                  <c:v>-1.4439389466000001</c:v>
                </c:pt>
                <c:pt idx="29">
                  <c:v>-1.252324086533334</c:v>
                </c:pt>
                <c:pt idx="30">
                  <c:v>-1.1694775807333331</c:v>
                </c:pt>
                <c:pt idx="31">
                  <c:v>-0.99220592693333387</c:v>
                </c:pt>
                <c:pt idx="32">
                  <c:v>-1.0246913619999991</c:v>
                </c:pt>
                <c:pt idx="33">
                  <c:v>-0.552238303133333</c:v>
                </c:pt>
                <c:pt idx="34">
                  <c:v>-0.62318186366666595</c:v>
                </c:pt>
                <c:pt idx="35">
                  <c:v>-0.43488814393333303</c:v>
                </c:pt>
                <c:pt idx="36">
                  <c:v>-0.23253913400000101</c:v>
                </c:pt>
                <c:pt idx="37">
                  <c:v>-0.13582179633333299</c:v>
                </c:pt>
                <c:pt idx="38">
                  <c:v>-9.7893040533333295E-2</c:v>
                </c:pt>
                <c:pt idx="39">
                  <c:v>4.1802579999999923E-4</c:v>
                </c:pt>
                <c:pt idx="40">
                  <c:v>1.527785333336196E-4</c:v>
                </c:pt>
                <c:pt idx="41">
                  <c:v>-3.8100000000002021E-4</c:v>
                </c:pt>
                <c:pt idx="42">
                  <c:v>-2.4433333333295781E-4</c:v>
                </c:pt>
                <c:pt idx="43">
                  <c:v>-4.3333333332951092E-5</c:v>
                </c:pt>
                <c:pt idx="44">
                  <c:v>-4.683333333330153E-4</c:v>
                </c:pt>
                <c:pt idx="45">
                  <c:v>1.4099999999998841E-4</c:v>
                </c:pt>
                <c:pt idx="46">
                  <c:v>0</c:v>
                </c:pt>
                <c:pt idx="47">
                  <c:v>1.7366666666700231E-4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940-4105-A1F4-42489B9445C9}"/>
            </c:ext>
          </c:extLst>
        </c:ser>
        <c:ser>
          <c:idx val="21"/>
          <c:order val="21"/>
          <c:tx>
            <c:v>BES_TR8_four180_A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Net_kW!$X$2:$X$49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4.533333333330003E-4</c:v>
                </c:pt>
                <c:pt idx="4">
                  <c:v>0</c:v>
                </c:pt>
                <c:pt idx="5">
                  <c:v>4.533333333330003E-4</c:v>
                </c:pt>
                <c:pt idx="6">
                  <c:v>0</c:v>
                </c:pt>
                <c:pt idx="7">
                  <c:v>4.5749783333332022E-4</c:v>
                </c:pt>
                <c:pt idx="8">
                  <c:v>-2.3872449999994691E-4</c:v>
                </c:pt>
                <c:pt idx="9">
                  <c:v>2.4952674999999258E-4</c:v>
                </c:pt>
                <c:pt idx="10">
                  <c:v>-4.9234683333418405E-4</c:v>
                </c:pt>
                <c:pt idx="11">
                  <c:v>3.387646666675459E-4</c:v>
                </c:pt>
                <c:pt idx="12">
                  <c:v>-4.9045375000089653E-4</c:v>
                </c:pt>
                <c:pt idx="13">
                  <c:v>4.0643683333463349E-4</c:v>
                </c:pt>
                <c:pt idx="14">
                  <c:v>-2.2465924999992559E-4</c:v>
                </c:pt>
                <c:pt idx="15">
                  <c:v>4.7202708333315968E-4</c:v>
                </c:pt>
                <c:pt idx="16">
                  <c:v>-2.187391666796934E-5</c:v>
                </c:pt>
                <c:pt idx="17">
                  <c:v>-1.4083350000004821E-4</c:v>
                </c:pt>
                <c:pt idx="18">
                  <c:v>-1.178458935000001</c:v>
                </c:pt>
                <c:pt idx="19">
                  <c:v>-1.535277962166665</c:v>
                </c:pt>
                <c:pt idx="20">
                  <c:v>-1.696019256083334</c:v>
                </c:pt>
                <c:pt idx="21">
                  <c:v>-1.849001767416667</c:v>
                </c:pt>
                <c:pt idx="22">
                  <c:v>-1.995485202916667</c:v>
                </c:pt>
                <c:pt idx="23">
                  <c:v>-1.927791859666667</c:v>
                </c:pt>
                <c:pt idx="24">
                  <c:v>-2.0945508306666669</c:v>
                </c:pt>
                <c:pt idx="25">
                  <c:v>-1.960997711666667</c:v>
                </c:pt>
                <c:pt idx="26">
                  <c:v>-1.97799505125</c:v>
                </c:pt>
                <c:pt idx="27">
                  <c:v>-1.643937954666667</c:v>
                </c:pt>
                <c:pt idx="28">
                  <c:v>-1.6124247665833329</c:v>
                </c:pt>
                <c:pt idx="29">
                  <c:v>-1.4315498581666679</c:v>
                </c:pt>
                <c:pt idx="30">
                  <c:v>-1.2836109759166661</c:v>
                </c:pt>
                <c:pt idx="31">
                  <c:v>-1.3794579086666681</c:v>
                </c:pt>
                <c:pt idx="32">
                  <c:v>-1.157434569166665</c:v>
                </c:pt>
                <c:pt idx="33">
                  <c:v>-0.85048521224999996</c:v>
                </c:pt>
                <c:pt idx="34">
                  <c:v>-0.90500732958333241</c:v>
                </c:pt>
                <c:pt idx="35">
                  <c:v>-0.47891651325000001</c:v>
                </c:pt>
                <c:pt idx="36">
                  <c:v>-0.35195275083333449</c:v>
                </c:pt>
                <c:pt idx="37">
                  <c:v>-0.31945120375000002</c:v>
                </c:pt>
                <c:pt idx="38">
                  <c:v>-0.17320046733333319</c:v>
                </c:pt>
                <c:pt idx="39">
                  <c:v>-3.6696775000000242E-4</c:v>
                </c:pt>
                <c:pt idx="40">
                  <c:v>4.9297316666662566E-4</c:v>
                </c:pt>
                <c:pt idx="41">
                  <c:v>-4.6400000000000607E-4</c:v>
                </c:pt>
                <c:pt idx="42">
                  <c:v>-8.2666666666980637E-5</c:v>
                </c:pt>
                <c:pt idx="43">
                  <c:v>-4.6400000000000607E-4</c:v>
                </c:pt>
                <c:pt idx="44">
                  <c:v>-8.2666666666980637E-5</c:v>
                </c:pt>
                <c:pt idx="45">
                  <c:v>0</c:v>
                </c:pt>
                <c:pt idx="46">
                  <c:v>0</c:v>
                </c:pt>
                <c:pt idx="47">
                  <c:v>-8.2666666666980637E-5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940-4105-A1F4-42489B9445C9}"/>
            </c:ext>
          </c:extLst>
        </c:ser>
        <c:ser>
          <c:idx val="22"/>
          <c:order val="22"/>
          <c:tx>
            <c:v>BES_TR8_four200_A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Net_kW!$Y$2:$Y$49</c:f>
              <c:numCache>
                <c:formatCode>#,##0.000</c:formatCode>
                <c:ptCount val="48"/>
                <c:pt idx="0">
                  <c:v>0</c:v>
                </c:pt>
                <c:pt idx="1">
                  <c:v>-3.4666666666699491E-4</c:v>
                </c:pt>
                <c:pt idx="2">
                  <c:v>-1.20000000000002E-4</c:v>
                </c:pt>
                <c:pt idx="3">
                  <c:v>-3.5999999999999921E-4</c:v>
                </c:pt>
                <c:pt idx="4">
                  <c:v>-1.066666666666022E-4</c:v>
                </c:pt>
                <c:pt idx="5">
                  <c:v>0</c:v>
                </c:pt>
                <c:pt idx="6">
                  <c:v>0</c:v>
                </c:pt>
                <c:pt idx="7">
                  <c:v>5.9397400000008038E-5</c:v>
                </c:pt>
                <c:pt idx="8">
                  <c:v>-4.0753606666650571E-4</c:v>
                </c:pt>
                <c:pt idx="9">
                  <c:v>-4.3016789999997251E-4</c:v>
                </c:pt>
                <c:pt idx="10">
                  <c:v>-4.7188286666799423E-4</c:v>
                </c:pt>
                <c:pt idx="11">
                  <c:v>-3.9348239999892343E-4</c:v>
                </c:pt>
                <c:pt idx="12">
                  <c:v>-4.0561116666804059E-4</c:v>
                </c:pt>
                <c:pt idx="13">
                  <c:v>-3.0587579999896702E-4</c:v>
                </c:pt>
                <c:pt idx="14">
                  <c:v>5.0408899999743177E-5</c:v>
                </c:pt>
                <c:pt idx="15">
                  <c:v>4.3765833333209159E-5</c:v>
                </c:pt>
                <c:pt idx="16">
                  <c:v>-0.77124704870000105</c:v>
                </c:pt>
                <c:pt idx="17">
                  <c:v>-1.8714882002</c:v>
                </c:pt>
                <c:pt idx="18">
                  <c:v>-1.9328981886666681</c:v>
                </c:pt>
                <c:pt idx="19">
                  <c:v>-2.1937875545999992</c:v>
                </c:pt>
                <c:pt idx="20">
                  <c:v>-2.2508600406333339</c:v>
                </c:pt>
                <c:pt idx="21">
                  <c:v>-2.392092174233333</c:v>
                </c:pt>
                <c:pt idx="22">
                  <c:v>-2.5077334435000012</c:v>
                </c:pt>
                <c:pt idx="23">
                  <c:v>-2.4498453649333332</c:v>
                </c:pt>
                <c:pt idx="24">
                  <c:v>-2.5153173968000009</c:v>
                </c:pt>
                <c:pt idx="25">
                  <c:v>-2.4764745873333331</c:v>
                </c:pt>
                <c:pt idx="26">
                  <c:v>-2.4156021948333328</c:v>
                </c:pt>
                <c:pt idx="27">
                  <c:v>-2.3790007456000009</c:v>
                </c:pt>
                <c:pt idx="28">
                  <c:v>-2.206237586566667</c:v>
                </c:pt>
                <c:pt idx="29">
                  <c:v>-2.0770026298000008</c:v>
                </c:pt>
                <c:pt idx="30">
                  <c:v>-1.7277781711</c:v>
                </c:pt>
                <c:pt idx="31">
                  <c:v>-1.644692957066668</c:v>
                </c:pt>
                <c:pt idx="32">
                  <c:v>-1.5963500429999991</c:v>
                </c:pt>
                <c:pt idx="33">
                  <c:v>-1.239520121366666</c:v>
                </c:pt>
                <c:pt idx="34">
                  <c:v>-1.114870795499999</c:v>
                </c:pt>
                <c:pt idx="35">
                  <c:v>-0.61800221590000004</c:v>
                </c:pt>
                <c:pt idx="36">
                  <c:v>-0.51857903433333408</c:v>
                </c:pt>
                <c:pt idx="37">
                  <c:v>-0.33390131116666699</c:v>
                </c:pt>
                <c:pt idx="38">
                  <c:v>-1.4622746666694E-4</c:v>
                </c:pt>
                <c:pt idx="39">
                  <c:v>4.8003869999996279E-4</c:v>
                </c:pt>
                <c:pt idx="40">
                  <c:v>2.1583446666695319E-4</c:v>
                </c:pt>
                <c:pt idx="41">
                  <c:v>-4.250000000000087E-4</c:v>
                </c:pt>
                <c:pt idx="42">
                  <c:v>4.9333333333301255E-4</c:v>
                </c:pt>
                <c:pt idx="43">
                  <c:v>-2.8566666666696161E-4</c:v>
                </c:pt>
                <c:pt idx="44">
                  <c:v>-4.6666666666700379E-4</c:v>
                </c:pt>
                <c:pt idx="45">
                  <c:v>0</c:v>
                </c:pt>
                <c:pt idx="46">
                  <c:v>0</c:v>
                </c:pt>
                <c:pt idx="47">
                  <c:v>-4.6666666666700379E-4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940-4105-A1F4-42489B9445C9}"/>
            </c:ext>
          </c:extLst>
        </c:ser>
        <c:ser>
          <c:idx val="23"/>
          <c:order val="23"/>
          <c:tx>
            <c:v>BES_TR8_four239_A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Net_kW!$Z$2:$Z$49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2.5800000000000822E-4</c:v>
                </c:pt>
                <c:pt idx="3">
                  <c:v>0</c:v>
                </c:pt>
                <c:pt idx="4">
                  <c:v>-4.149999999999987E-4</c:v>
                </c:pt>
                <c:pt idx="5">
                  <c:v>-3.2699999999999402E-4</c:v>
                </c:pt>
                <c:pt idx="6">
                  <c:v>-2.8300000000000552E-4</c:v>
                </c:pt>
                <c:pt idx="7">
                  <c:v>1.0019653333331879E-4</c:v>
                </c:pt>
                <c:pt idx="8">
                  <c:v>2.6550746666679798E-4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1.0023466668007691E-5</c:v>
                </c:pt>
                <c:pt idx="12">
                  <c:v>4.7140733333195239E-4</c:v>
                </c:pt>
                <c:pt idx="13">
                  <c:v>-2.6316773333201482E-4</c:v>
                </c:pt>
                <c:pt idx="14">
                  <c:v>-1.79454800000034E-4</c:v>
                </c:pt>
                <c:pt idx="15">
                  <c:v>-0.44462609000000008</c:v>
                </c:pt>
                <c:pt idx="16">
                  <c:v>-2.093505398266668</c:v>
                </c:pt>
                <c:pt idx="17">
                  <c:v>-2.4382169336000001</c:v>
                </c:pt>
                <c:pt idx="18">
                  <c:v>-2.7135753626666679</c:v>
                </c:pt>
                <c:pt idx="19">
                  <c:v>-2.9113834061333321</c:v>
                </c:pt>
                <c:pt idx="20">
                  <c:v>-2.9294432764000011</c:v>
                </c:pt>
                <c:pt idx="21">
                  <c:v>-3.2210661211999998</c:v>
                </c:pt>
                <c:pt idx="22">
                  <c:v>-3.3299779246666681</c:v>
                </c:pt>
                <c:pt idx="23">
                  <c:v>-3.3383717088</c:v>
                </c:pt>
                <c:pt idx="24">
                  <c:v>-3.2644183290666682</c:v>
                </c:pt>
                <c:pt idx="25">
                  <c:v>-3.3633216720000001</c:v>
                </c:pt>
                <c:pt idx="26">
                  <c:v>-3.2821584819999998</c:v>
                </c:pt>
                <c:pt idx="27">
                  <c:v>-3.0207933274666678</c:v>
                </c:pt>
                <c:pt idx="28">
                  <c:v>-2.9887908932</c:v>
                </c:pt>
                <c:pt idx="29">
                  <c:v>-2.823190173066668</c:v>
                </c:pt>
                <c:pt idx="30">
                  <c:v>-2.6241284947999999</c:v>
                </c:pt>
                <c:pt idx="31">
                  <c:v>-2.2253258538666678</c:v>
                </c:pt>
                <c:pt idx="32">
                  <c:v>-2.1043089906666652</c:v>
                </c:pt>
                <c:pt idx="33">
                  <c:v>-1.6370522729333321</c:v>
                </c:pt>
                <c:pt idx="34">
                  <c:v>-1.476972727333332</c:v>
                </c:pt>
                <c:pt idx="35">
                  <c:v>-1.1709496211999999</c:v>
                </c:pt>
                <c:pt idx="36">
                  <c:v>-0.75933193466666804</c:v>
                </c:pt>
                <c:pt idx="37">
                  <c:v>-0.52507772600000002</c:v>
                </c:pt>
                <c:pt idx="38">
                  <c:v>-0.26264774773333321</c:v>
                </c:pt>
                <c:pt idx="39">
                  <c:v>4.2505160000001069E-4</c:v>
                </c:pt>
                <c:pt idx="40">
                  <c:v>2.362237333333253E-4</c:v>
                </c:pt>
                <c:pt idx="41">
                  <c:v>2.390000000000031E-4</c:v>
                </c:pt>
                <c:pt idx="42">
                  <c:v>1.9000000000019002E-5</c:v>
                </c:pt>
                <c:pt idx="43">
                  <c:v>0</c:v>
                </c:pt>
                <c:pt idx="44">
                  <c:v>2.5800000000000822E-4</c:v>
                </c:pt>
                <c:pt idx="45">
                  <c:v>0</c:v>
                </c:pt>
                <c:pt idx="46">
                  <c:v>-4.3999999999988493E-5</c:v>
                </c:pt>
                <c:pt idx="47">
                  <c:v>3.0199999999999672E-4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940-4105-A1F4-42489B9445C9}"/>
            </c:ext>
          </c:extLst>
        </c:ser>
        <c:ser>
          <c:idx val="24"/>
          <c:order val="24"/>
          <c:tx>
            <c:v>BES_TR8_four259_B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Net_kW!$AA$2:$AA$49</c:f>
              <c:numCache>
                <c:formatCode>#,##0.000</c:formatCode>
                <c:ptCount val="48"/>
                <c:pt idx="0">
                  <c:v>3.4199999999999509E-4</c:v>
                </c:pt>
                <c:pt idx="1">
                  <c:v>7.799999999999474E-5</c:v>
                </c:pt>
                <c:pt idx="2">
                  <c:v>0</c:v>
                </c:pt>
                <c:pt idx="3">
                  <c:v>0</c:v>
                </c:pt>
                <c:pt idx="4">
                  <c:v>4.200000000000037E-4</c:v>
                </c:pt>
                <c:pt idx="5">
                  <c:v>0</c:v>
                </c:pt>
                <c:pt idx="6">
                  <c:v>3.9000000000011248E-5</c:v>
                </c:pt>
                <c:pt idx="7">
                  <c:v>3.7029696666665562E-4</c:v>
                </c:pt>
                <c:pt idx="8">
                  <c:v>4.8231903333343512E-4</c:v>
                </c:pt>
                <c:pt idx="9">
                  <c:v>-8.1862549999985046E-5</c:v>
                </c:pt>
                <c:pt idx="10">
                  <c:v>3.2724776666553929E-4</c:v>
                </c:pt>
                <c:pt idx="11">
                  <c:v>-3.8972946666548941E-4</c:v>
                </c:pt>
                <c:pt idx="12">
                  <c:v>-2.4476858333466472E-4</c:v>
                </c:pt>
                <c:pt idx="13">
                  <c:v>-1.6188433332064989E-5</c:v>
                </c:pt>
                <c:pt idx="14">
                  <c:v>-2.5318961666598311E-4</c:v>
                </c:pt>
                <c:pt idx="15">
                  <c:v>-4.0382874999989049E-4</c:v>
                </c:pt>
                <c:pt idx="16">
                  <c:v>-0.59326222348333491</c:v>
                </c:pt>
                <c:pt idx="17">
                  <c:v>-2.1659029002333341</c:v>
                </c:pt>
                <c:pt idx="18">
                  <c:v>-1.302706442333335</c:v>
                </c:pt>
                <c:pt idx="19">
                  <c:v>-2.462862480366665</c:v>
                </c:pt>
                <c:pt idx="20">
                  <c:v>-2.6945078251833339</c:v>
                </c:pt>
                <c:pt idx="21">
                  <c:v>-2.8198919810500001</c:v>
                </c:pt>
                <c:pt idx="22">
                  <c:v>-2.9088556840833339</c:v>
                </c:pt>
                <c:pt idx="23">
                  <c:v>-2.8628058701999999</c:v>
                </c:pt>
                <c:pt idx="24">
                  <c:v>-2.6805224962666681</c:v>
                </c:pt>
                <c:pt idx="25">
                  <c:v>-2.9081964963333329</c:v>
                </c:pt>
                <c:pt idx="26">
                  <c:v>-2.7513418050833329</c:v>
                </c:pt>
                <c:pt idx="27">
                  <c:v>-2.6821080698666679</c:v>
                </c:pt>
                <c:pt idx="28">
                  <c:v>-2.6066354065500001</c:v>
                </c:pt>
                <c:pt idx="29">
                  <c:v>-2.3746804014333351</c:v>
                </c:pt>
                <c:pt idx="30">
                  <c:v>-2.29123743295</c:v>
                </c:pt>
                <c:pt idx="31">
                  <c:v>-1.985228872133334</c:v>
                </c:pt>
                <c:pt idx="32">
                  <c:v>-1.7931420501666651</c:v>
                </c:pt>
                <c:pt idx="33">
                  <c:v>-1.536949030483332</c:v>
                </c:pt>
                <c:pt idx="34">
                  <c:v>-1.2938102614166651</c:v>
                </c:pt>
                <c:pt idx="35">
                  <c:v>-1.0197059185499999</c:v>
                </c:pt>
                <c:pt idx="36">
                  <c:v>-0.65704565116666747</c:v>
                </c:pt>
                <c:pt idx="37">
                  <c:v>-0.38548688525000002</c:v>
                </c:pt>
                <c:pt idx="38">
                  <c:v>-0.26928065426666647</c:v>
                </c:pt>
                <c:pt idx="39">
                  <c:v>-4.076495485E-2</c:v>
                </c:pt>
                <c:pt idx="40">
                  <c:v>-2.9330423333334688E-4</c:v>
                </c:pt>
                <c:pt idx="41">
                  <c:v>-2.7699999999999952E-4</c:v>
                </c:pt>
                <c:pt idx="42">
                  <c:v>-3.0299999999999772E-4</c:v>
                </c:pt>
                <c:pt idx="43">
                  <c:v>0</c:v>
                </c:pt>
                <c:pt idx="44">
                  <c:v>0</c:v>
                </c:pt>
                <c:pt idx="45">
                  <c:v>-3.0299999999999772E-4</c:v>
                </c:pt>
                <c:pt idx="46">
                  <c:v>-2.7699999999999952E-4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940-4105-A1F4-42489B9445C9}"/>
            </c:ext>
          </c:extLst>
        </c:ser>
        <c:ser>
          <c:idx val="25"/>
          <c:order val="25"/>
          <c:tx>
            <c:v>BES_TR8_four265_C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Net_kW!$AB$2:$AB$49</c:f>
              <c:numCache>
                <c:formatCode>#,##0.000</c:formatCode>
                <c:ptCount val="48"/>
                <c:pt idx="0">
                  <c:v>-3.7266666666699311E-4</c:v>
                </c:pt>
                <c:pt idx="1">
                  <c:v>-1.2766666666702559E-4</c:v>
                </c:pt>
                <c:pt idx="2">
                  <c:v>1.3333333333340189E-4</c:v>
                </c:pt>
                <c:pt idx="3">
                  <c:v>-3.99333333332974E-4</c:v>
                </c:pt>
                <c:pt idx="4">
                  <c:v>-1.5500000000001621E-4</c:v>
                </c:pt>
                <c:pt idx="5">
                  <c:v>-2.9933333333298512E-4</c:v>
                </c:pt>
                <c:pt idx="6">
                  <c:v>-4.9066666666702785E-4</c:v>
                </c:pt>
                <c:pt idx="7">
                  <c:v>4.3549783333343689E-4</c:v>
                </c:pt>
                <c:pt idx="8">
                  <c:v>2.7027549999975031E-4</c:v>
                </c:pt>
                <c:pt idx="9">
                  <c:v>-8.880658333300373E-5</c:v>
                </c:pt>
                <c:pt idx="10">
                  <c:v>-3.3768016666751999E-4</c:v>
                </c:pt>
                <c:pt idx="11">
                  <c:v>-2.6656866666546758E-4</c:v>
                </c:pt>
                <c:pt idx="12">
                  <c:v>-1.337870833345578E-4</c:v>
                </c:pt>
                <c:pt idx="13">
                  <c:v>-1.258964999995005E-4</c:v>
                </c:pt>
                <c:pt idx="14">
                  <c:v>-2.9232591666705782E-4</c:v>
                </c:pt>
                <c:pt idx="15">
                  <c:v>6.4027083333084711E-5</c:v>
                </c:pt>
                <c:pt idx="16">
                  <c:v>-4.8287391666801399E-4</c:v>
                </c:pt>
                <c:pt idx="17">
                  <c:v>3.3149983333302663E-4</c:v>
                </c:pt>
                <c:pt idx="18">
                  <c:v>-0.24323126833333419</c:v>
                </c:pt>
                <c:pt idx="19">
                  <c:v>-1.6837756288333321</c:v>
                </c:pt>
                <c:pt idx="20">
                  <c:v>-1.1238309227500001</c:v>
                </c:pt>
                <c:pt idx="21">
                  <c:v>-1.8215570340833329</c:v>
                </c:pt>
                <c:pt idx="22">
                  <c:v>-1.54253453625</c:v>
                </c:pt>
                <c:pt idx="23">
                  <c:v>-1.832783193</c:v>
                </c:pt>
                <c:pt idx="24">
                  <c:v>-1.8246968306666671</c:v>
                </c:pt>
                <c:pt idx="25">
                  <c:v>-1.6338773783333329</c:v>
                </c:pt>
                <c:pt idx="26">
                  <c:v>-1.79539905125</c:v>
                </c:pt>
                <c:pt idx="27">
                  <c:v>-1.513675288</c:v>
                </c:pt>
                <c:pt idx="28">
                  <c:v>-1.762529766583333</c:v>
                </c:pt>
                <c:pt idx="29">
                  <c:v>-1.463527191500001</c:v>
                </c:pt>
                <c:pt idx="30">
                  <c:v>-1.217562642583333</c:v>
                </c:pt>
                <c:pt idx="31">
                  <c:v>-1.189276575333335</c:v>
                </c:pt>
                <c:pt idx="32">
                  <c:v>-0.77286603583333213</c:v>
                </c:pt>
                <c:pt idx="33">
                  <c:v>-0.73068254558333301</c:v>
                </c:pt>
                <c:pt idx="34">
                  <c:v>-0.32609832958333251</c:v>
                </c:pt>
                <c:pt idx="35">
                  <c:v>-4.3914846583333E-2</c:v>
                </c:pt>
                <c:pt idx="36">
                  <c:v>2.6491583333254631E-4</c:v>
                </c:pt>
                <c:pt idx="37">
                  <c:v>-1.172037500000445E-4</c:v>
                </c:pt>
                <c:pt idx="38">
                  <c:v>-4.7746733333317581E-4</c:v>
                </c:pt>
                <c:pt idx="39">
                  <c:v>4.9969891666701294E-4</c:v>
                </c:pt>
                <c:pt idx="40">
                  <c:v>3.4397316666634481E-4</c:v>
                </c:pt>
                <c:pt idx="41">
                  <c:v>2.12000000000101E-4</c:v>
                </c:pt>
                <c:pt idx="42">
                  <c:v>6.8666666670047505E-5</c:v>
                </c:pt>
                <c:pt idx="43">
                  <c:v>-2.2266666666703741E-4</c:v>
                </c:pt>
                <c:pt idx="44">
                  <c:v>1.3631356666666701</c:v>
                </c:pt>
                <c:pt idx="45">
                  <c:v>0.75827966666666702</c:v>
                </c:pt>
                <c:pt idx="46">
                  <c:v>2.2277830000000001</c:v>
                </c:pt>
                <c:pt idx="47">
                  <c:v>0.21694833333333399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940-4105-A1F4-42489B9445C9}"/>
            </c:ext>
          </c:extLst>
        </c:ser>
        <c:ser>
          <c:idx val="26"/>
          <c:order val="26"/>
          <c:tx>
            <c:v>BES_TR8_four54_C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Net_kW!$AC$2:$AC$49</c:f>
              <c:numCache>
                <c:formatCode>#,##0.000</c:formatCode>
                <c:ptCount val="48"/>
                <c:pt idx="0">
                  <c:v>2.9200000000001452E-4</c:v>
                </c:pt>
                <c:pt idx="1">
                  <c:v>1.4933333333300161E-4</c:v>
                </c:pt>
                <c:pt idx="2">
                  <c:v>0</c:v>
                </c:pt>
                <c:pt idx="3">
                  <c:v>-8.2666666666980637E-5</c:v>
                </c:pt>
                <c:pt idx="4">
                  <c:v>3.0066666666700442E-4</c:v>
                </c:pt>
                <c:pt idx="5">
                  <c:v>4.666666666697239E-5</c:v>
                </c:pt>
                <c:pt idx="6">
                  <c:v>3.9466666666698741E-4</c:v>
                </c:pt>
                <c:pt idx="7">
                  <c:v>-2.1747013333366089E-4</c:v>
                </c:pt>
                <c:pt idx="8">
                  <c:v>2.7684079999978911E-4</c:v>
                </c:pt>
                <c:pt idx="9">
                  <c:v>-1.4355720000000521E-4</c:v>
                </c:pt>
                <c:pt idx="10">
                  <c:v>-3.4028826666798739E-4</c:v>
                </c:pt>
                <c:pt idx="11">
                  <c:v>-1.4597653333192631E-4</c:v>
                </c:pt>
                <c:pt idx="12">
                  <c:v>-1.8925933333480141E-4</c:v>
                </c:pt>
                <c:pt idx="13">
                  <c:v>-7.5834399999141766E-5</c:v>
                </c:pt>
                <c:pt idx="14">
                  <c:v>-1.83454799999927E-4</c:v>
                </c:pt>
                <c:pt idx="15">
                  <c:v>3.9057666666675322E-4</c:v>
                </c:pt>
                <c:pt idx="16">
                  <c:v>-2.1241867316000009</c:v>
                </c:pt>
                <c:pt idx="17">
                  <c:v>-2.3753689335999999</c:v>
                </c:pt>
                <c:pt idx="18">
                  <c:v>-2.6947603626666679</c:v>
                </c:pt>
                <c:pt idx="19">
                  <c:v>-2.2850234061333321</c:v>
                </c:pt>
                <c:pt idx="20">
                  <c:v>-1.029008943066668</c:v>
                </c:pt>
                <c:pt idx="21">
                  <c:v>-2.4553117878666662</c:v>
                </c:pt>
                <c:pt idx="22">
                  <c:v>-3.3263745913333338</c:v>
                </c:pt>
                <c:pt idx="23">
                  <c:v>-3.2435553754666668</c:v>
                </c:pt>
                <c:pt idx="24">
                  <c:v>-3.3150513290666681</c:v>
                </c:pt>
                <c:pt idx="25">
                  <c:v>-3.368321672</c:v>
                </c:pt>
                <c:pt idx="26">
                  <c:v>-3.154087482</c:v>
                </c:pt>
                <c:pt idx="27">
                  <c:v>-2.5686658608000008</c:v>
                </c:pt>
                <c:pt idx="28">
                  <c:v>-2.9903725598666671</c:v>
                </c:pt>
                <c:pt idx="29">
                  <c:v>-2.742312239733335</c:v>
                </c:pt>
                <c:pt idx="30">
                  <c:v>-2.5562808281333331</c:v>
                </c:pt>
                <c:pt idx="31">
                  <c:v>-2.2922665205333348</c:v>
                </c:pt>
                <c:pt idx="32">
                  <c:v>-2.0208827239999989</c:v>
                </c:pt>
                <c:pt idx="33">
                  <c:v>-1.7940712729333319</c:v>
                </c:pt>
                <c:pt idx="34">
                  <c:v>-1.2757703939999989</c:v>
                </c:pt>
                <c:pt idx="35">
                  <c:v>-1.1759496212</c:v>
                </c:pt>
                <c:pt idx="36">
                  <c:v>-0.79298293466666803</c:v>
                </c:pt>
                <c:pt idx="37">
                  <c:v>-0.24276502600000011</c:v>
                </c:pt>
                <c:pt idx="38">
                  <c:v>2.2191893333381449E-4</c:v>
                </c:pt>
                <c:pt idx="39">
                  <c:v>1.7238493333293639E-4</c:v>
                </c:pt>
                <c:pt idx="40">
                  <c:v>-1.9144293333273049E-4</c:v>
                </c:pt>
                <c:pt idx="41">
                  <c:v>-3.7999999999993589E-4</c:v>
                </c:pt>
                <c:pt idx="42">
                  <c:v>-2.6633333333303533E-4</c:v>
                </c:pt>
                <c:pt idx="43">
                  <c:v>1.4900000000001021E-4</c:v>
                </c:pt>
                <c:pt idx="44">
                  <c:v>-1.4100000000000221E-4</c:v>
                </c:pt>
                <c:pt idx="45">
                  <c:v>-1.316666666659749E-4</c:v>
                </c:pt>
                <c:pt idx="46">
                  <c:v>3.9996666666608499E-4</c:v>
                </c:pt>
                <c:pt idx="47">
                  <c:v>-3.9666666666659378E-4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940-4105-A1F4-42489B9445C9}"/>
            </c:ext>
          </c:extLst>
        </c:ser>
        <c:ser>
          <c:idx val="27"/>
          <c:order val="27"/>
          <c:tx>
            <c:v>BES_TR8_four288_B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Net_kW!$AD$2:$AD$49</c:f>
              <c:numCache>
                <c:formatCode>#,##0.000</c:formatCode>
                <c:ptCount val="48"/>
                <c:pt idx="0">
                  <c:v>1.683333333329928E-4</c:v>
                </c:pt>
                <c:pt idx="1">
                  <c:v>-3.5966666666660541E-4</c:v>
                </c:pt>
                <c:pt idx="2">
                  <c:v>0</c:v>
                </c:pt>
                <c:pt idx="3">
                  <c:v>-1.913333333329881E-4</c:v>
                </c:pt>
                <c:pt idx="4">
                  <c:v>0</c:v>
                </c:pt>
                <c:pt idx="5">
                  <c:v>-1.043333333329982E-4</c:v>
                </c:pt>
                <c:pt idx="6">
                  <c:v>-8.6999999999975985E-5</c:v>
                </c:pt>
                <c:pt idx="7">
                  <c:v>2.2052986666673549E-4</c:v>
                </c:pt>
                <c:pt idx="8">
                  <c:v>4.7550746666677468E-4</c:v>
                </c:pt>
                <c:pt idx="9">
                  <c:v>2.5109466667005979E-5</c:v>
                </c:pt>
                <c:pt idx="10">
                  <c:v>-1.766216000010368E-4</c:v>
                </c:pt>
                <c:pt idx="11">
                  <c:v>1.2569013333496579E-4</c:v>
                </c:pt>
                <c:pt idx="12">
                  <c:v>-2.5859266666805603E-4</c:v>
                </c:pt>
                <c:pt idx="13">
                  <c:v>-8.78343999988207E-5</c:v>
                </c:pt>
                <c:pt idx="14">
                  <c:v>4.0545199999852948E-5</c:v>
                </c:pt>
                <c:pt idx="15">
                  <c:v>-3.034233333329972E-4</c:v>
                </c:pt>
                <c:pt idx="16">
                  <c:v>-1.6297180649333349</c:v>
                </c:pt>
                <c:pt idx="17">
                  <c:v>-2.4357762669333329</c:v>
                </c:pt>
                <c:pt idx="18">
                  <c:v>-2.6877070293333349</c:v>
                </c:pt>
                <c:pt idx="19">
                  <c:v>-2.2580764061333318</c:v>
                </c:pt>
                <c:pt idx="20">
                  <c:v>-2.2170026097333349</c:v>
                </c:pt>
                <c:pt idx="21">
                  <c:v>-2.7004691211999998</c:v>
                </c:pt>
                <c:pt idx="22">
                  <c:v>-1.982957924666668</c:v>
                </c:pt>
                <c:pt idx="23">
                  <c:v>-3.218656042133333</c:v>
                </c:pt>
                <c:pt idx="24">
                  <c:v>-3.2240883290666682</c:v>
                </c:pt>
                <c:pt idx="25">
                  <c:v>-3.3361500053333328</c:v>
                </c:pt>
                <c:pt idx="26">
                  <c:v>-3.2861584819999998</c:v>
                </c:pt>
                <c:pt idx="27">
                  <c:v>-3.0251789941333351</c:v>
                </c:pt>
                <c:pt idx="28">
                  <c:v>-2.9084372265333331</c:v>
                </c:pt>
                <c:pt idx="29">
                  <c:v>-2.8216075064000008</c:v>
                </c:pt>
                <c:pt idx="30">
                  <c:v>-2.6281284947999999</c:v>
                </c:pt>
                <c:pt idx="31">
                  <c:v>-2.265482853866668</c:v>
                </c:pt>
                <c:pt idx="32">
                  <c:v>-1.9930923906666651</c:v>
                </c:pt>
                <c:pt idx="33">
                  <c:v>-1.759575272933332</c:v>
                </c:pt>
                <c:pt idx="34">
                  <c:v>-1.2754490606666651</c:v>
                </c:pt>
                <c:pt idx="35">
                  <c:v>-0.90849095453333306</c:v>
                </c:pt>
                <c:pt idx="36">
                  <c:v>-0.50970193466666802</c:v>
                </c:pt>
                <c:pt idx="37">
                  <c:v>-0.42569072600000002</c:v>
                </c:pt>
                <c:pt idx="38">
                  <c:v>-8.3790081066666189E-2</c:v>
                </c:pt>
                <c:pt idx="39">
                  <c:v>-5.61599484E-2</c:v>
                </c:pt>
                <c:pt idx="40">
                  <c:v>-1.204429333336865E-4</c:v>
                </c:pt>
                <c:pt idx="41">
                  <c:v>1.6533333333330211E-4</c:v>
                </c:pt>
                <c:pt idx="42">
                  <c:v>4.0433333333300681E-4</c:v>
                </c:pt>
                <c:pt idx="43">
                  <c:v>-5.900000000003125E-5</c:v>
                </c:pt>
                <c:pt idx="44">
                  <c:v>1.7166666666669489E-4</c:v>
                </c:pt>
                <c:pt idx="45">
                  <c:v>-3.629999999999467E-4</c:v>
                </c:pt>
                <c:pt idx="46">
                  <c:v>0</c:v>
                </c:pt>
                <c:pt idx="47">
                  <c:v>-1.3833333333301831E-4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940-4105-A1F4-42489B9445C9}"/>
            </c:ext>
          </c:extLst>
        </c:ser>
        <c:ser>
          <c:idx val="28"/>
          <c:order val="28"/>
          <c:tx>
            <c:v>BES_TR8_four289_B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Net_kW!$AE$2:$AE$49</c:f>
              <c:numCache>
                <c:formatCode>#,##0.000</c:formatCode>
                <c:ptCount val="48"/>
                <c:pt idx="0">
                  <c:v>-2.8333333332963839E-5</c:v>
                </c:pt>
                <c:pt idx="1">
                  <c:v>-4.5133333333291498E-4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-4.4080346666666709E-4</c:v>
                </c:pt>
                <c:pt idx="8">
                  <c:v>2.6550746666679798E-4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1.420234666681397E-4</c:v>
                </c:pt>
                <c:pt idx="12">
                  <c:v>3.2500733333185039E-4</c:v>
                </c:pt>
                <c:pt idx="13">
                  <c:v>-4.9383440000197454E-4</c:v>
                </c:pt>
                <c:pt idx="14">
                  <c:v>4.0545199999852948E-5</c:v>
                </c:pt>
                <c:pt idx="15">
                  <c:v>8.6576666667115276E-5</c:v>
                </c:pt>
                <c:pt idx="16">
                  <c:v>-1.0022950649333351</c:v>
                </c:pt>
                <c:pt idx="17">
                  <c:v>-2.3101409336000001</c:v>
                </c:pt>
                <c:pt idx="18">
                  <c:v>-2.5420653626666678</c:v>
                </c:pt>
                <c:pt idx="19">
                  <c:v>-2.7398734061333321</c:v>
                </c:pt>
                <c:pt idx="20">
                  <c:v>-2.913498943066668</c:v>
                </c:pt>
                <c:pt idx="21">
                  <c:v>-3.2283051212</c:v>
                </c:pt>
                <c:pt idx="22">
                  <c:v>-3.3299779246666681</c:v>
                </c:pt>
                <c:pt idx="23">
                  <c:v>-3.3745667088000002</c:v>
                </c:pt>
                <c:pt idx="24">
                  <c:v>-3.3874813290666679</c:v>
                </c:pt>
                <c:pt idx="25">
                  <c:v>-3.3633216720000001</c:v>
                </c:pt>
                <c:pt idx="26">
                  <c:v>-3.2821584819999998</c:v>
                </c:pt>
                <c:pt idx="27">
                  <c:v>-3.158334327466668</c:v>
                </c:pt>
                <c:pt idx="28">
                  <c:v>-3.0105078931999998</c:v>
                </c:pt>
                <c:pt idx="29">
                  <c:v>-2.823190173066668</c:v>
                </c:pt>
                <c:pt idx="30">
                  <c:v>-2.6241284947999999</c:v>
                </c:pt>
                <c:pt idx="31">
                  <c:v>-2.3845838538666682</c:v>
                </c:pt>
                <c:pt idx="32">
                  <c:v>-2.1148000573333321</c:v>
                </c:pt>
                <c:pt idx="33">
                  <c:v>-1.617561272933332</c:v>
                </c:pt>
                <c:pt idx="34">
                  <c:v>-1.3127017273333319</c:v>
                </c:pt>
                <c:pt idx="35">
                  <c:v>-0.91265295453333306</c:v>
                </c:pt>
                <c:pt idx="36">
                  <c:v>-0.52118260133333494</c:v>
                </c:pt>
                <c:pt idx="37">
                  <c:v>-0.16446139266666701</c:v>
                </c:pt>
                <c:pt idx="38">
                  <c:v>-0.22225541440000021</c:v>
                </c:pt>
                <c:pt idx="39">
                  <c:v>-1.7661506666698251E-4</c:v>
                </c:pt>
                <c:pt idx="40">
                  <c:v>3.032237333333021E-4</c:v>
                </c:pt>
                <c:pt idx="41">
                  <c:v>8.4999999999890719E-5</c:v>
                </c:pt>
                <c:pt idx="42">
                  <c:v>2.8766666666701912E-4</c:v>
                </c:pt>
                <c:pt idx="43">
                  <c:v>-4.4033333333404201E-4</c:v>
                </c:pt>
                <c:pt idx="44">
                  <c:v>-4.5633333333305881E-4</c:v>
                </c:pt>
                <c:pt idx="45">
                  <c:v>3.7433333333392049E-4</c:v>
                </c:pt>
                <c:pt idx="46">
                  <c:v>2.8666666666699042E-4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940-4105-A1F4-42489B9445C9}"/>
            </c:ext>
          </c:extLst>
        </c:ser>
        <c:ser>
          <c:idx val="29"/>
          <c:order val="29"/>
          <c:tx>
            <c:v>BES_TR8_four292_C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Net_kW!$AF$2:$AF$49</c:f>
              <c:numCache>
                <c:formatCode>#,##0.000</c:formatCode>
                <c:ptCount val="48"/>
                <c:pt idx="0">
                  <c:v>-3.8000000000010248E-5</c:v>
                </c:pt>
                <c:pt idx="1">
                  <c:v>0</c:v>
                </c:pt>
                <c:pt idx="2">
                  <c:v>1.909999999999967E-4</c:v>
                </c:pt>
                <c:pt idx="3">
                  <c:v>-2.2900000000000001E-4</c:v>
                </c:pt>
                <c:pt idx="4">
                  <c:v>-1.4499999999999241E-4</c:v>
                </c:pt>
                <c:pt idx="5">
                  <c:v>1.06999999999996E-4</c:v>
                </c:pt>
                <c:pt idx="6">
                  <c:v>0</c:v>
                </c:pt>
                <c:pt idx="7">
                  <c:v>3.8139739999995542E-4</c:v>
                </c:pt>
                <c:pt idx="8">
                  <c:v>1.9463933334074038E-5</c:v>
                </c:pt>
                <c:pt idx="9">
                  <c:v>-3.2316789999999729E-4</c:v>
                </c:pt>
                <c:pt idx="10">
                  <c:v>-1.5021620000110761E-4</c:v>
                </c:pt>
                <c:pt idx="11">
                  <c:v>3.1651760000100948E-4</c:v>
                </c:pt>
                <c:pt idx="12">
                  <c:v>3.1305549999882659E-4</c:v>
                </c:pt>
                <c:pt idx="13">
                  <c:v>-3.0587579999896702E-4</c:v>
                </c:pt>
                <c:pt idx="14">
                  <c:v>4.9240890000001869E-4</c:v>
                </c:pt>
                <c:pt idx="15">
                  <c:v>3.0432500000010521E-5</c:v>
                </c:pt>
                <c:pt idx="16">
                  <c:v>4.9512999988898798E-6</c:v>
                </c:pt>
                <c:pt idx="17">
                  <c:v>-1.2277782001999999</c:v>
                </c:pt>
                <c:pt idx="18">
                  <c:v>-1.765494188666668</c:v>
                </c:pt>
                <c:pt idx="19">
                  <c:v>-1.885738554599999</c:v>
                </c:pt>
                <c:pt idx="20">
                  <c:v>-2.3050067073000009</c:v>
                </c:pt>
                <c:pt idx="21">
                  <c:v>-2.1880488409000001</c:v>
                </c:pt>
                <c:pt idx="22">
                  <c:v>-2.3475351101666679</c:v>
                </c:pt>
                <c:pt idx="23">
                  <c:v>-2.4366940316000001</c:v>
                </c:pt>
                <c:pt idx="24">
                  <c:v>-2.5007769968000009</c:v>
                </c:pt>
                <c:pt idx="25">
                  <c:v>-2.1494332539999998</c:v>
                </c:pt>
                <c:pt idx="26">
                  <c:v>-2.4528688614999998</c:v>
                </c:pt>
                <c:pt idx="27">
                  <c:v>-2.2045807456000008</c:v>
                </c:pt>
                <c:pt idx="28">
                  <c:v>-2.2335889198999999</c:v>
                </c:pt>
                <c:pt idx="29">
                  <c:v>-2.0464746298000009</c:v>
                </c:pt>
                <c:pt idx="30">
                  <c:v>-1.8505523711</c:v>
                </c:pt>
                <c:pt idx="31">
                  <c:v>-1.7796878904000011</c:v>
                </c:pt>
                <c:pt idx="32">
                  <c:v>-1.5773500429999989</c:v>
                </c:pt>
                <c:pt idx="33">
                  <c:v>-1.162091454699999</c:v>
                </c:pt>
                <c:pt idx="34">
                  <c:v>-1.104408795499999</c:v>
                </c:pt>
                <c:pt idx="35">
                  <c:v>-0.73735521590000008</c:v>
                </c:pt>
                <c:pt idx="36">
                  <c:v>-0.60333270100000114</c:v>
                </c:pt>
                <c:pt idx="37">
                  <c:v>-0.42306304449999999</c:v>
                </c:pt>
                <c:pt idx="38">
                  <c:v>-5.5278560799999932E-2</c:v>
                </c:pt>
                <c:pt idx="39">
                  <c:v>-3.0369961300000001E-2</c:v>
                </c:pt>
                <c:pt idx="40">
                  <c:v>1.7716779999999571E-4</c:v>
                </c:pt>
                <c:pt idx="41">
                  <c:v>-6.1000000000005487E-5</c:v>
                </c:pt>
                <c:pt idx="42">
                  <c:v>2.2999999999967491E-5</c:v>
                </c:pt>
                <c:pt idx="43">
                  <c:v>0</c:v>
                </c:pt>
                <c:pt idx="44">
                  <c:v>-3.8000000000010248E-5</c:v>
                </c:pt>
                <c:pt idx="45">
                  <c:v>0</c:v>
                </c:pt>
                <c:pt idx="46">
                  <c:v>-6.1000000000005487E-5</c:v>
                </c:pt>
                <c:pt idx="47">
                  <c:v>2.2999999999967491E-5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940-4105-A1F4-42489B9445C9}"/>
            </c:ext>
          </c:extLst>
        </c:ser>
        <c:ser>
          <c:idx val="30"/>
          <c:order val="30"/>
          <c:tx>
            <c:v>BES_TR8_four301_C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Net_kW!$AG$2:$AG$49</c:f>
              <c:numCache>
                <c:formatCode>#,##0.000</c:formatCode>
                <c:ptCount val="48"/>
                <c:pt idx="0">
                  <c:v>2.8833333333300182E-4</c:v>
                </c:pt>
                <c:pt idx="1">
                  <c:v>1.16000000000005E-4</c:v>
                </c:pt>
                <c:pt idx="2">
                  <c:v>0</c:v>
                </c:pt>
                <c:pt idx="3">
                  <c:v>-1.073333333330151E-4</c:v>
                </c:pt>
                <c:pt idx="4">
                  <c:v>0</c:v>
                </c:pt>
                <c:pt idx="5">
                  <c:v>0</c:v>
                </c:pt>
                <c:pt idx="6">
                  <c:v>-6.6666666670156527E-6</c:v>
                </c:pt>
                <c:pt idx="7">
                  <c:v>-2.5116883333335671E-4</c:v>
                </c:pt>
                <c:pt idx="8">
                  <c:v>-8.4057833333255061E-5</c:v>
                </c:pt>
                <c:pt idx="9">
                  <c:v>-4.6580658333301989E-4</c:v>
                </c:pt>
                <c:pt idx="10">
                  <c:v>-3.3768016666751999E-4</c:v>
                </c:pt>
                <c:pt idx="11">
                  <c:v>3.3876466666749039E-4</c:v>
                </c:pt>
                <c:pt idx="12">
                  <c:v>-5.645375000057351E-5</c:v>
                </c:pt>
                <c:pt idx="13">
                  <c:v>4.1177016666738009E-4</c:v>
                </c:pt>
                <c:pt idx="14">
                  <c:v>-4.7965925000004178E-4</c:v>
                </c:pt>
                <c:pt idx="15">
                  <c:v>-4.0030624999976011E-4</c:v>
                </c:pt>
                <c:pt idx="16">
                  <c:v>-2.0587391666815341E-4</c:v>
                </c:pt>
                <c:pt idx="17">
                  <c:v>9.9166500000080759E-5</c:v>
                </c:pt>
                <c:pt idx="18">
                  <c:v>-0.9311269350000011</c:v>
                </c:pt>
                <c:pt idx="19">
                  <c:v>-1.4232112954999989</c:v>
                </c:pt>
                <c:pt idx="20">
                  <c:v>-1.4570165894166669</c:v>
                </c:pt>
                <c:pt idx="21">
                  <c:v>-1.8535200340833331</c:v>
                </c:pt>
                <c:pt idx="22">
                  <c:v>-1.793701202916667</c:v>
                </c:pt>
                <c:pt idx="23">
                  <c:v>-1.5697405263333339</c:v>
                </c:pt>
                <c:pt idx="24">
                  <c:v>-1.855048830666667</c:v>
                </c:pt>
                <c:pt idx="25">
                  <c:v>-1.810812045</c:v>
                </c:pt>
                <c:pt idx="26">
                  <c:v>-1.7586043845833339</c:v>
                </c:pt>
                <c:pt idx="27">
                  <c:v>-1.750144954666667</c:v>
                </c:pt>
                <c:pt idx="28">
                  <c:v>-1.1208327665833331</c:v>
                </c:pt>
                <c:pt idx="29">
                  <c:v>-0.6952031914999981</c:v>
                </c:pt>
                <c:pt idx="30">
                  <c:v>-1.6134553092499999</c:v>
                </c:pt>
                <c:pt idx="31">
                  <c:v>-1.2998472420000009</c:v>
                </c:pt>
                <c:pt idx="32">
                  <c:v>-1.1059950358333319</c:v>
                </c:pt>
                <c:pt idx="33">
                  <c:v>-0.84806187891666596</c:v>
                </c:pt>
                <c:pt idx="34">
                  <c:v>-0.74456432958333241</c:v>
                </c:pt>
                <c:pt idx="35">
                  <c:v>-0.70521851324999996</c:v>
                </c:pt>
                <c:pt idx="36">
                  <c:v>-5.97374175000015E-2</c:v>
                </c:pt>
                <c:pt idx="37">
                  <c:v>-2.105287041666604E-2</c:v>
                </c:pt>
                <c:pt idx="38">
                  <c:v>-2.2046733333319629E-4</c:v>
                </c:pt>
                <c:pt idx="39">
                  <c:v>-2.063441666699806E-5</c:v>
                </c:pt>
                <c:pt idx="40">
                  <c:v>-1.0669349999670171E-4</c:v>
                </c:pt>
                <c:pt idx="41">
                  <c:v>-4.0999999999957737E-5</c:v>
                </c:pt>
                <c:pt idx="42">
                  <c:v>1.173333333340798E-4</c:v>
                </c:pt>
                <c:pt idx="43">
                  <c:v>-3.4466666667021251E-4</c:v>
                </c:pt>
                <c:pt idx="44">
                  <c:v>4.1333333333004603E-5</c:v>
                </c:pt>
                <c:pt idx="45">
                  <c:v>0.50363899999999995</c:v>
                </c:pt>
                <c:pt idx="46">
                  <c:v>6.0999999999999999E-2</c:v>
                </c:pt>
                <c:pt idx="47">
                  <c:v>0.16529533333333299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940-4105-A1F4-42489B9445C9}"/>
            </c:ext>
          </c:extLst>
        </c:ser>
        <c:ser>
          <c:idx val="31"/>
          <c:order val="31"/>
          <c:tx>
            <c:v>BES_TR8_four326_A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Net_kW!$AH$2:$AH$49</c:f>
              <c:numCache>
                <c:formatCode>#,##0.000</c:formatCode>
                <c:ptCount val="48"/>
                <c:pt idx="0">
                  <c:v>3.7799999999998951E-4</c:v>
                </c:pt>
                <c:pt idx="1">
                  <c:v>3.0900000000000372E-4</c:v>
                </c:pt>
                <c:pt idx="2">
                  <c:v>2.6999999999999252E-4</c:v>
                </c:pt>
                <c:pt idx="3">
                  <c:v>-1.4333333333299561E-4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2.6550746666679712E-4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2.5883226666811859E-4</c:v>
                </c:pt>
                <c:pt idx="14">
                  <c:v>4.0545199999852948E-5</c:v>
                </c:pt>
                <c:pt idx="15">
                  <c:v>3.7391000000019941E-4</c:v>
                </c:pt>
                <c:pt idx="16">
                  <c:v>-2.156329398266668</c:v>
                </c:pt>
                <c:pt idx="17">
                  <c:v>-2.4906509336</c:v>
                </c:pt>
                <c:pt idx="18">
                  <c:v>-2.7225753626666682</c:v>
                </c:pt>
                <c:pt idx="19">
                  <c:v>-2.920383406133332</c:v>
                </c:pt>
                <c:pt idx="20">
                  <c:v>-3.090008943066668</c:v>
                </c:pt>
                <c:pt idx="21">
                  <c:v>-3.0663204545333329</c:v>
                </c:pt>
                <c:pt idx="22">
                  <c:v>-2.6267295913333348</c:v>
                </c:pt>
                <c:pt idx="23">
                  <c:v>-2.8599867088000002</c:v>
                </c:pt>
                <c:pt idx="24">
                  <c:v>-3.2818146624000009</c:v>
                </c:pt>
                <c:pt idx="25">
                  <c:v>-3.3503216720000002</c:v>
                </c:pt>
                <c:pt idx="26">
                  <c:v>-3.2908333153333329</c:v>
                </c:pt>
                <c:pt idx="27">
                  <c:v>-3.1673343274666679</c:v>
                </c:pt>
                <c:pt idx="28">
                  <c:v>-2.8840278931999999</c:v>
                </c:pt>
                <c:pt idx="29">
                  <c:v>-1.6037948397333379</c:v>
                </c:pt>
                <c:pt idx="30">
                  <c:v>-2.5887479947999998</c:v>
                </c:pt>
                <c:pt idx="31">
                  <c:v>-2.363697187200001</c:v>
                </c:pt>
                <c:pt idx="32">
                  <c:v>-2.123800057333332</c:v>
                </c:pt>
                <c:pt idx="33">
                  <c:v>-1.7980712729333319</c:v>
                </c:pt>
                <c:pt idx="34">
                  <c:v>-1.4932117273333321</c:v>
                </c:pt>
                <c:pt idx="35">
                  <c:v>-1.1799496212</c:v>
                </c:pt>
                <c:pt idx="36">
                  <c:v>-0.87691693466666798</c:v>
                </c:pt>
                <c:pt idx="37">
                  <c:v>-0.55649072600000005</c:v>
                </c:pt>
                <c:pt idx="38">
                  <c:v>-0.2457440810666662</c:v>
                </c:pt>
                <c:pt idx="39">
                  <c:v>-2.7561506666701208E-4</c:v>
                </c:pt>
                <c:pt idx="40">
                  <c:v>-4.3044293333366351E-4</c:v>
                </c:pt>
                <c:pt idx="41">
                  <c:v>7.7666666666975637E-5</c:v>
                </c:pt>
                <c:pt idx="42">
                  <c:v>1.6999999999989249E-5</c:v>
                </c:pt>
                <c:pt idx="43">
                  <c:v>-1.7800000000001151E-4</c:v>
                </c:pt>
                <c:pt idx="44">
                  <c:v>3.0766666666703912E-4</c:v>
                </c:pt>
                <c:pt idx="45">
                  <c:v>-3.0200000000002453E-4</c:v>
                </c:pt>
                <c:pt idx="46">
                  <c:v>-4.009999999999847E-4</c:v>
                </c:pt>
                <c:pt idx="47">
                  <c:v>-2.666666666595319E-5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940-4105-A1F4-42489B9445C9}"/>
            </c:ext>
          </c:extLst>
        </c:ser>
        <c:ser>
          <c:idx val="32"/>
          <c:order val="32"/>
          <c:tx>
            <c:v>BES_TR8_four352_A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Net_kW!$AI$2:$AI$49</c:f>
              <c:numCache>
                <c:formatCode>#,##0.000</c:formatCode>
                <c:ptCount val="48"/>
                <c:pt idx="0">
                  <c:v>-6.4000000000001556E-5</c:v>
                </c:pt>
                <c:pt idx="1">
                  <c:v>-4.48000000000004E-4</c:v>
                </c:pt>
                <c:pt idx="2">
                  <c:v>-8.5333333333006967E-5</c:v>
                </c:pt>
                <c:pt idx="3">
                  <c:v>-2.5600000000000622E-4</c:v>
                </c:pt>
                <c:pt idx="4">
                  <c:v>-3.3933333333296961E-4</c:v>
                </c:pt>
                <c:pt idx="5">
                  <c:v>0</c:v>
                </c:pt>
                <c:pt idx="6">
                  <c:v>9.733333333300509E-5</c:v>
                </c:pt>
                <c:pt idx="7">
                  <c:v>4.3363030000005692E-4</c:v>
                </c:pt>
                <c:pt idx="8">
                  <c:v>3.4631903333343442E-4</c:v>
                </c:pt>
                <c:pt idx="9">
                  <c:v>-3.5552921666698317E-4</c:v>
                </c:pt>
                <c:pt idx="10">
                  <c:v>-4.1608556666750118E-4</c:v>
                </c:pt>
                <c:pt idx="11">
                  <c:v>-2.5062799998476489E-5</c:v>
                </c:pt>
                <c:pt idx="12">
                  <c:v>3.7323141666545379E-4</c:v>
                </c:pt>
                <c:pt idx="13">
                  <c:v>-1.5918843333162511E-4</c:v>
                </c:pt>
                <c:pt idx="14">
                  <c:v>4.491437166669332E-4</c:v>
                </c:pt>
                <c:pt idx="15">
                  <c:v>5.4837916666938817E-5</c:v>
                </c:pt>
                <c:pt idx="16">
                  <c:v>-0.21483669015000209</c:v>
                </c:pt>
                <c:pt idx="17">
                  <c:v>-1.946156900233333</c:v>
                </c:pt>
                <c:pt idx="18">
                  <c:v>-2.2251161090000018</c:v>
                </c:pt>
                <c:pt idx="19">
                  <c:v>-2.3963008136999981</c:v>
                </c:pt>
                <c:pt idx="20">
                  <c:v>-2.4913758251833338</c:v>
                </c:pt>
                <c:pt idx="21">
                  <c:v>-1.6155826477166699</c:v>
                </c:pt>
                <c:pt idx="22">
                  <c:v>-2.2609133507500001</c:v>
                </c:pt>
                <c:pt idx="23">
                  <c:v>-2.7861470368666672</c:v>
                </c:pt>
                <c:pt idx="24">
                  <c:v>-2.750303162933335</c:v>
                </c:pt>
                <c:pt idx="25">
                  <c:v>-2.7402464630000001</c:v>
                </c:pt>
                <c:pt idx="26">
                  <c:v>-2.8796060050833332</c:v>
                </c:pt>
                <c:pt idx="27">
                  <c:v>-2.6635668698666679</c:v>
                </c:pt>
                <c:pt idx="28">
                  <c:v>-2.2699114065499999</c:v>
                </c:pt>
                <c:pt idx="29">
                  <c:v>-2.0354394014333348</c:v>
                </c:pt>
                <c:pt idx="30">
                  <c:v>-2.0726254329499998</c:v>
                </c:pt>
                <c:pt idx="31">
                  <c:v>-2.028435538800001</c:v>
                </c:pt>
                <c:pt idx="32">
                  <c:v>-1.472969383499998</c:v>
                </c:pt>
                <c:pt idx="33">
                  <c:v>-1.2545952971499981</c:v>
                </c:pt>
                <c:pt idx="34">
                  <c:v>-1.043545794749998</c:v>
                </c:pt>
                <c:pt idx="35">
                  <c:v>-0.77092425188333302</c:v>
                </c:pt>
                <c:pt idx="36">
                  <c:v>-0.58140965116666754</c:v>
                </c:pt>
                <c:pt idx="37">
                  <c:v>-8.5757551916666952E-2</c:v>
                </c:pt>
                <c:pt idx="38">
                  <c:v>1.116790666674805E-4</c:v>
                </c:pt>
                <c:pt idx="39">
                  <c:v>-1.162151666705968E-5</c:v>
                </c:pt>
                <c:pt idx="40">
                  <c:v>2.6957666666577169E-6</c:v>
                </c:pt>
                <c:pt idx="41">
                  <c:v>2.4866666666700787E-4</c:v>
                </c:pt>
                <c:pt idx="42">
                  <c:v>3.0399999999999872E-4</c:v>
                </c:pt>
                <c:pt idx="43">
                  <c:v>-4.399999999999959E-4</c:v>
                </c:pt>
                <c:pt idx="44">
                  <c:v>-2.5900000000000922E-4</c:v>
                </c:pt>
                <c:pt idx="45">
                  <c:v>1.6033333333287381E-4</c:v>
                </c:pt>
                <c:pt idx="46">
                  <c:v>7.4000000000004618E-5</c:v>
                </c:pt>
                <c:pt idx="47">
                  <c:v>4.156666666669806E-4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940-4105-A1F4-42489B9445C9}"/>
            </c:ext>
          </c:extLst>
        </c:ser>
        <c:ser>
          <c:idx val="33"/>
          <c:order val="33"/>
          <c:tx>
            <c:v>BES_TR8_four358_C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Net_kW!$AJ$2:$AJ$49</c:f>
              <c:numCache>
                <c:formatCode>#,##0.000</c:formatCode>
                <c:ptCount val="48"/>
                <c:pt idx="0">
                  <c:v>2.6000000000001022E-4</c:v>
                </c:pt>
                <c:pt idx="1">
                  <c:v>0</c:v>
                </c:pt>
                <c:pt idx="2">
                  <c:v>-4.4000000000000977E-4</c:v>
                </c:pt>
                <c:pt idx="3">
                  <c:v>-3.999999999999837E-4</c:v>
                </c:pt>
                <c:pt idx="4">
                  <c:v>0</c:v>
                </c:pt>
                <c:pt idx="5">
                  <c:v>-3.999999999999837E-4</c:v>
                </c:pt>
                <c:pt idx="6">
                  <c:v>-4.4000000000000977E-4</c:v>
                </c:pt>
                <c:pt idx="7">
                  <c:v>-1.070303333333689E-5</c:v>
                </c:pt>
                <c:pt idx="8">
                  <c:v>-3.5768096666655152E-4</c:v>
                </c:pt>
                <c:pt idx="9">
                  <c:v>4.9813744999999132E-4</c:v>
                </c:pt>
                <c:pt idx="10">
                  <c:v>-1.927522333344811E-4</c:v>
                </c:pt>
                <c:pt idx="11">
                  <c:v>-4.4572946666543428E-4</c:v>
                </c:pt>
                <c:pt idx="12">
                  <c:v>7.1231416665429315E-5</c:v>
                </c:pt>
                <c:pt idx="13">
                  <c:v>3.3647823333504689E-4</c:v>
                </c:pt>
                <c:pt idx="14">
                  <c:v>8.5477050000282162E-5</c:v>
                </c:pt>
                <c:pt idx="15">
                  <c:v>4.9017124999983785E-4</c:v>
                </c:pt>
                <c:pt idx="16">
                  <c:v>-1.0599490234833351</c:v>
                </c:pt>
                <c:pt idx="17">
                  <c:v>-0.85818770023333024</c:v>
                </c:pt>
                <c:pt idx="18">
                  <c:v>-1.6195701090000021</c:v>
                </c:pt>
                <c:pt idx="19">
                  <c:v>-1.3042988136999949</c:v>
                </c:pt>
                <c:pt idx="20">
                  <c:v>-2.5564678251833342</c:v>
                </c:pt>
                <c:pt idx="21">
                  <c:v>-2.8218919810499998</c:v>
                </c:pt>
                <c:pt idx="22">
                  <c:v>-2.755255684083334</c:v>
                </c:pt>
                <c:pt idx="23">
                  <c:v>-2.9343108702</c:v>
                </c:pt>
                <c:pt idx="24">
                  <c:v>-2.9533911629333351</c:v>
                </c:pt>
                <c:pt idx="25">
                  <c:v>-2.7766514629999999</c:v>
                </c:pt>
                <c:pt idx="26">
                  <c:v>-2.8690136717499999</c:v>
                </c:pt>
                <c:pt idx="27">
                  <c:v>-2.716499203200001</c:v>
                </c:pt>
                <c:pt idx="28">
                  <c:v>-2.5689201398833328</c:v>
                </c:pt>
                <c:pt idx="29">
                  <c:v>-2.459786001433335</c:v>
                </c:pt>
                <c:pt idx="30">
                  <c:v>-2.1244314329499998</c:v>
                </c:pt>
                <c:pt idx="31">
                  <c:v>-2.0487268387999999</c:v>
                </c:pt>
                <c:pt idx="32">
                  <c:v>-1.799919216833332</c:v>
                </c:pt>
                <c:pt idx="33">
                  <c:v>-1.336154297149998</c:v>
                </c:pt>
                <c:pt idx="34">
                  <c:v>-1.2837622614166651</c:v>
                </c:pt>
                <c:pt idx="35">
                  <c:v>-0.77356591855000012</c:v>
                </c:pt>
                <c:pt idx="36">
                  <c:v>-0.41443031783333439</c:v>
                </c:pt>
                <c:pt idx="37">
                  <c:v>-0.34172688524999989</c:v>
                </c:pt>
                <c:pt idx="38">
                  <c:v>-0.13750398759999949</c:v>
                </c:pt>
                <c:pt idx="39">
                  <c:v>-2.8828818333301309E-4</c:v>
                </c:pt>
                <c:pt idx="40">
                  <c:v>-1.3797089999934009E-4</c:v>
                </c:pt>
                <c:pt idx="41">
                  <c:v>3.2600000000004847E-4</c:v>
                </c:pt>
                <c:pt idx="42">
                  <c:v>2.9999999999974492E-5</c:v>
                </c:pt>
                <c:pt idx="43">
                  <c:v>-4.376666666670026E-4</c:v>
                </c:pt>
                <c:pt idx="44">
                  <c:v>3.7399999999998551E-4</c:v>
                </c:pt>
                <c:pt idx="45">
                  <c:v>-2.6099999999995571E-4</c:v>
                </c:pt>
                <c:pt idx="46">
                  <c:v>-2.8333333333302457E-4</c:v>
                </c:pt>
                <c:pt idx="47">
                  <c:v>2.9833333333301182E-4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3940-4105-A1F4-42489B9445C9}"/>
            </c:ext>
          </c:extLst>
        </c:ser>
        <c:ser>
          <c:idx val="34"/>
          <c:order val="34"/>
          <c:tx>
            <c:v>BES_TR8_four368_C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Net_kW!$AK$2:$AK$49</c:f>
              <c:numCache>
                <c:formatCode>#,##0.000</c:formatCode>
                <c:ptCount val="48"/>
                <c:pt idx="0">
                  <c:v>-2.296666666669889E-4</c:v>
                </c:pt>
                <c:pt idx="1">
                  <c:v>-2.296666666669889E-4</c:v>
                </c:pt>
                <c:pt idx="2">
                  <c:v>2.293333333329983E-4</c:v>
                </c:pt>
                <c:pt idx="3">
                  <c:v>4.6933333333300242E-4</c:v>
                </c:pt>
                <c:pt idx="4">
                  <c:v>7.1333333333006843E-5</c:v>
                </c:pt>
                <c:pt idx="5">
                  <c:v>0</c:v>
                </c:pt>
                <c:pt idx="6">
                  <c:v>-1.326666666666976E-4</c:v>
                </c:pt>
                <c:pt idx="7">
                  <c:v>9.2730733332990756E-5</c:v>
                </c:pt>
                <c:pt idx="8">
                  <c:v>-3.0086939999990001E-4</c:v>
                </c:pt>
                <c:pt idx="9">
                  <c:v>2.4316543333301879E-4</c:v>
                </c:pt>
                <c:pt idx="10">
                  <c:v>-1.3788286666766009E-4</c:v>
                </c:pt>
                <c:pt idx="11">
                  <c:v>-3.9348239999892343E-4</c:v>
                </c:pt>
                <c:pt idx="12">
                  <c:v>3.1638883333229279E-4</c:v>
                </c:pt>
                <c:pt idx="13">
                  <c:v>2.3479086666799989E-4</c:v>
                </c:pt>
                <c:pt idx="14">
                  <c:v>-4.6959109999988868E-4</c:v>
                </c:pt>
                <c:pt idx="15">
                  <c:v>3.0432500000010521E-5</c:v>
                </c:pt>
                <c:pt idx="16">
                  <c:v>-5.9706382033333887E-2</c:v>
                </c:pt>
                <c:pt idx="17">
                  <c:v>-1.8544882002</c:v>
                </c:pt>
                <c:pt idx="18">
                  <c:v>-1.7058127886666681</c:v>
                </c:pt>
                <c:pt idx="19">
                  <c:v>-1.7596628879333329</c:v>
                </c:pt>
                <c:pt idx="20">
                  <c:v>-1.6940733739666669</c:v>
                </c:pt>
                <c:pt idx="21">
                  <c:v>-0.92076784089999975</c:v>
                </c:pt>
                <c:pt idx="22">
                  <c:v>-2.0721067768333339</c:v>
                </c:pt>
                <c:pt idx="23">
                  <c:v>-2.469187098266667</c:v>
                </c:pt>
                <c:pt idx="24">
                  <c:v>-2.0007523301333339</c:v>
                </c:pt>
                <c:pt idx="25">
                  <c:v>-1.1701905206666701</c:v>
                </c:pt>
                <c:pt idx="26">
                  <c:v>-1.6060288615</c:v>
                </c:pt>
                <c:pt idx="27">
                  <c:v>-2.3057760789333339</c:v>
                </c:pt>
                <c:pt idx="28">
                  <c:v>-1.562289253233333</c:v>
                </c:pt>
                <c:pt idx="29">
                  <c:v>-1.364925629800001</c:v>
                </c:pt>
                <c:pt idx="30">
                  <c:v>-1.4234130377666669</c:v>
                </c:pt>
                <c:pt idx="31">
                  <c:v>-1.707218557066668</c:v>
                </c:pt>
                <c:pt idx="32">
                  <c:v>-1.1841747096666659</c:v>
                </c:pt>
                <c:pt idx="33">
                  <c:v>-0.26861712136666899</c:v>
                </c:pt>
                <c:pt idx="34">
                  <c:v>-0.39384712883333212</c:v>
                </c:pt>
                <c:pt idx="35">
                  <c:v>-0.7219265492333331</c:v>
                </c:pt>
                <c:pt idx="36">
                  <c:v>-8.8453367666668004E-2</c:v>
                </c:pt>
                <c:pt idx="37">
                  <c:v>-0.27575434450000003</c:v>
                </c:pt>
                <c:pt idx="38">
                  <c:v>3.9250586666705889E-4</c:v>
                </c:pt>
                <c:pt idx="39">
                  <c:v>-1.3929463333295369E-4</c:v>
                </c:pt>
                <c:pt idx="40">
                  <c:v>-4.4749886666983762E-4</c:v>
                </c:pt>
                <c:pt idx="41">
                  <c:v>-3.9599999999995189E-4</c:v>
                </c:pt>
                <c:pt idx="42">
                  <c:v>-2.5133333333293711E-4</c:v>
                </c:pt>
                <c:pt idx="43">
                  <c:v>-3.0033333333001622E-4</c:v>
                </c:pt>
                <c:pt idx="44">
                  <c:v>3.8266666666703092E-4</c:v>
                </c:pt>
                <c:pt idx="45">
                  <c:v>-4.8599999999998639E-4</c:v>
                </c:pt>
                <c:pt idx="46">
                  <c:v>0.31225233333333302</c:v>
                </c:pt>
                <c:pt idx="47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940-4105-A1F4-42489B9445C9}"/>
            </c:ext>
          </c:extLst>
        </c:ser>
        <c:ser>
          <c:idx val="35"/>
          <c:order val="35"/>
          <c:tx>
            <c:v>BES_TR8_four372_C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Net_kW!$AL$2:$AL$49</c:f>
              <c:numCache>
                <c:formatCode>#,##0.000</c:formatCode>
                <c:ptCount val="48"/>
                <c:pt idx="0">
                  <c:v>-6.9388939039072284E-18</c:v>
                </c:pt>
                <c:pt idx="1">
                  <c:v>-6.9388939039072284E-18</c:v>
                </c:pt>
                <c:pt idx="2">
                  <c:v>1.3733333333329489E-4</c:v>
                </c:pt>
                <c:pt idx="3">
                  <c:v>3.7333333333300361E-4</c:v>
                </c:pt>
                <c:pt idx="4">
                  <c:v>-6.9388939039072284E-18</c:v>
                </c:pt>
                <c:pt idx="5">
                  <c:v>2.7466666666670081E-4</c:v>
                </c:pt>
                <c:pt idx="6">
                  <c:v>2.3599999999998619E-4</c:v>
                </c:pt>
                <c:pt idx="7">
                  <c:v>-1.505021666666703E-4</c:v>
                </c:pt>
                <c:pt idx="8">
                  <c:v>4.2660883333373029E-4</c:v>
                </c:pt>
                <c:pt idx="9">
                  <c:v>-3.584732500000049E-4</c:v>
                </c:pt>
                <c:pt idx="10">
                  <c:v>-3.3768016666751999E-4</c:v>
                </c:pt>
                <c:pt idx="11">
                  <c:v>-1.5056866666546259E-4</c:v>
                </c:pt>
                <c:pt idx="12">
                  <c:v>5.0879583332497091E-5</c:v>
                </c:pt>
                <c:pt idx="13">
                  <c:v>4.1177016666760208E-4</c:v>
                </c:pt>
                <c:pt idx="14">
                  <c:v>3.4400741666673618E-4</c:v>
                </c:pt>
                <c:pt idx="15">
                  <c:v>-1.7810624999992089E-4</c:v>
                </c:pt>
                <c:pt idx="16">
                  <c:v>-5.0273916668119867E-5</c:v>
                </c:pt>
                <c:pt idx="17">
                  <c:v>-1.581668333300798E-4</c:v>
                </c:pt>
                <c:pt idx="18">
                  <c:v>-0.31315926833333507</c:v>
                </c:pt>
                <c:pt idx="19">
                  <c:v>-1.4572896288333319</c:v>
                </c:pt>
                <c:pt idx="20">
                  <c:v>-1.781464256083334</c:v>
                </c:pt>
                <c:pt idx="21">
                  <c:v>-2.0070657007500001</c:v>
                </c:pt>
                <c:pt idx="22">
                  <c:v>-1.9041005362500001</c:v>
                </c:pt>
                <c:pt idx="23">
                  <c:v>-2.0984791930000002</c:v>
                </c:pt>
                <c:pt idx="24">
                  <c:v>-2.1065508306666669</c:v>
                </c:pt>
                <c:pt idx="25">
                  <c:v>-1.709413311666667</c:v>
                </c:pt>
                <c:pt idx="26">
                  <c:v>-1.97948325125</c:v>
                </c:pt>
                <c:pt idx="27">
                  <c:v>-1.9050439546666671</c:v>
                </c:pt>
                <c:pt idx="28">
                  <c:v>-1.6512704332499999</c:v>
                </c:pt>
                <c:pt idx="29">
                  <c:v>-1.5901195248333351</c:v>
                </c:pt>
                <c:pt idx="30">
                  <c:v>-1.3307089759166659</c:v>
                </c:pt>
                <c:pt idx="31">
                  <c:v>-1.028636908666668</c:v>
                </c:pt>
                <c:pt idx="32">
                  <c:v>-1.123746702499999</c:v>
                </c:pt>
                <c:pt idx="33">
                  <c:v>-0.36808921225000002</c:v>
                </c:pt>
                <c:pt idx="34">
                  <c:v>-1.3199625000259729E-4</c:v>
                </c:pt>
                <c:pt idx="35">
                  <c:v>4.5215341666599018E-4</c:v>
                </c:pt>
                <c:pt idx="36">
                  <c:v>-4.7841750000045079E-4</c:v>
                </c:pt>
                <c:pt idx="37">
                  <c:v>-4.9453708333302426E-4</c:v>
                </c:pt>
                <c:pt idx="38">
                  <c:v>-2.2646733333320229E-4</c:v>
                </c:pt>
                <c:pt idx="39">
                  <c:v>4.1103224999999849E-4</c:v>
                </c:pt>
                <c:pt idx="40">
                  <c:v>-2.4469349999972628E-4</c:v>
                </c:pt>
                <c:pt idx="41">
                  <c:v>2.2133333333007599E-4</c:v>
                </c:pt>
                <c:pt idx="42">
                  <c:v>-1.3499999999999621E-4</c:v>
                </c:pt>
                <c:pt idx="43">
                  <c:v>2.1000000000048761E-5</c:v>
                </c:pt>
                <c:pt idx="44">
                  <c:v>3.7433333333303231E-4</c:v>
                </c:pt>
                <c:pt idx="45">
                  <c:v>0.72793233333333407</c:v>
                </c:pt>
                <c:pt idx="46">
                  <c:v>0.18880466666666701</c:v>
                </c:pt>
                <c:pt idx="47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3940-4105-A1F4-42489B9445C9}"/>
            </c:ext>
          </c:extLst>
        </c:ser>
        <c:ser>
          <c:idx val="36"/>
          <c:order val="36"/>
          <c:tx>
            <c:v>BES_TR8_four381_A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Net_kW!$AM$2:$AM$49</c:f>
              <c:numCache>
                <c:formatCode>#,##0.000</c:formatCode>
                <c:ptCount val="48"/>
                <c:pt idx="0">
                  <c:v>-1.7200000000000551E-4</c:v>
                </c:pt>
                <c:pt idx="1">
                  <c:v>-2.8733333333302857E-4</c:v>
                </c:pt>
                <c:pt idx="2">
                  <c:v>0</c:v>
                </c:pt>
                <c:pt idx="3">
                  <c:v>0</c:v>
                </c:pt>
                <c:pt idx="4">
                  <c:v>-8.0333333333015844E-5</c:v>
                </c:pt>
                <c:pt idx="5">
                  <c:v>-3.7900000000000428E-4</c:v>
                </c:pt>
                <c:pt idx="6">
                  <c:v>1.3333333333298561E-4</c:v>
                </c:pt>
                <c:pt idx="7">
                  <c:v>2.729315999996651E-4</c:v>
                </c:pt>
                <c:pt idx="8">
                  <c:v>-4.5324626666660289E-4</c:v>
                </c:pt>
                <c:pt idx="9">
                  <c:v>-3.001119333329999E-4</c:v>
                </c:pt>
                <c:pt idx="10">
                  <c:v>-1.1614413333401601E-4</c:v>
                </c:pt>
                <c:pt idx="11">
                  <c:v>3.5101173333407232E-4</c:v>
                </c:pt>
                <c:pt idx="12">
                  <c:v>2.6637033333293259E-4</c:v>
                </c:pt>
                <c:pt idx="13">
                  <c:v>1.644161333338445E-4</c:v>
                </c:pt>
                <c:pt idx="14">
                  <c:v>2.4893926666702543E-4</c:v>
                </c:pt>
                <c:pt idx="15">
                  <c:v>-1.044999999866292E-6</c:v>
                </c:pt>
                <c:pt idx="16">
                  <c:v>-4.3469913333404891E-4</c:v>
                </c:pt>
                <c:pt idx="17">
                  <c:v>-6.6800133329852907E-5</c:v>
                </c:pt>
                <c:pt idx="18">
                  <c:v>3.3965199999996809E-4</c:v>
                </c:pt>
                <c:pt idx="19">
                  <c:v>-3.7703639999886462E-4</c:v>
                </c:pt>
                <c:pt idx="20">
                  <c:v>-0.30427847153333398</c:v>
                </c:pt>
                <c:pt idx="21">
                  <c:v>-1.492185893933333</c:v>
                </c:pt>
                <c:pt idx="22">
                  <c:v>-1.297349962333334</c:v>
                </c:pt>
                <c:pt idx="23">
                  <c:v>-0.43192202106666988</c:v>
                </c:pt>
                <c:pt idx="24">
                  <c:v>-1.522040664533334</c:v>
                </c:pt>
                <c:pt idx="25">
                  <c:v>-1.346073502666667</c:v>
                </c:pt>
                <c:pt idx="26">
                  <c:v>-1.3101205743333331</c:v>
                </c:pt>
                <c:pt idx="27">
                  <c:v>-1.3225234970666671</c:v>
                </c:pt>
                <c:pt idx="28">
                  <c:v>-0.88427461326666601</c:v>
                </c:pt>
                <c:pt idx="29">
                  <c:v>-1.2568652865333341</c:v>
                </c:pt>
                <c:pt idx="30">
                  <c:v>-1.1734592474000001</c:v>
                </c:pt>
                <c:pt idx="31">
                  <c:v>-0.95754026026666694</c:v>
                </c:pt>
                <c:pt idx="32">
                  <c:v>-0.91496236199999892</c:v>
                </c:pt>
                <c:pt idx="33">
                  <c:v>-0.65709796979999902</c:v>
                </c:pt>
                <c:pt idx="34">
                  <c:v>-0.61067586366666593</c:v>
                </c:pt>
                <c:pt idx="35">
                  <c:v>-0.45498814393333298</c:v>
                </c:pt>
                <c:pt idx="36">
                  <c:v>-0.17484113400000101</c:v>
                </c:pt>
                <c:pt idx="37">
                  <c:v>-3.2102966666699978E-4</c:v>
                </c:pt>
                <c:pt idx="38">
                  <c:v>-3.6537386666658789E-4</c:v>
                </c:pt>
                <c:pt idx="39">
                  <c:v>-3.4397419999998569E-4</c:v>
                </c:pt>
                <c:pt idx="40">
                  <c:v>2.2344519999673021E-4</c:v>
                </c:pt>
                <c:pt idx="41">
                  <c:v>1.8266666666699741E-4</c:v>
                </c:pt>
                <c:pt idx="42">
                  <c:v>-3.4633333333300431E-4</c:v>
                </c:pt>
                <c:pt idx="43">
                  <c:v>-4.2800000000009503E-4</c:v>
                </c:pt>
                <c:pt idx="44">
                  <c:v>4.4866666666698579E-4</c:v>
                </c:pt>
                <c:pt idx="45">
                  <c:v>-1.5166666666699411E-4</c:v>
                </c:pt>
                <c:pt idx="46">
                  <c:v>4.399999999999959E-4</c:v>
                </c:pt>
                <c:pt idx="47">
                  <c:v>-2.3333333329933481E-6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940-4105-A1F4-42489B9445C9}"/>
            </c:ext>
          </c:extLst>
        </c:ser>
        <c:ser>
          <c:idx val="37"/>
          <c:order val="37"/>
          <c:tx>
            <c:v>BES_TR8_four385_A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Net_kW!$AN$2:$AN$49</c:f>
              <c:numCache>
                <c:formatCode>#,##0.000</c:formatCode>
                <c:ptCount val="48"/>
                <c:pt idx="0">
                  <c:v>7.2000000000002617E-5</c:v>
                </c:pt>
                <c:pt idx="1">
                  <c:v>0</c:v>
                </c:pt>
                <c:pt idx="2">
                  <c:v>-3.6500000000000421E-4</c:v>
                </c:pt>
                <c:pt idx="3">
                  <c:v>-4.3699999999990968E-4</c:v>
                </c:pt>
                <c:pt idx="4">
                  <c:v>4.8966666666670072E-4</c:v>
                </c:pt>
                <c:pt idx="5">
                  <c:v>-1.960666666669941E-4</c:v>
                </c:pt>
                <c:pt idx="6">
                  <c:v>-3.6500000000000421E-4</c:v>
                </c:pt>
                <c:pt idx="7">
                  <c:v>-4.4080346666666709E-4</c:v>
                </c:pt>
                <c:pt idx="8">
                  <c:v>4.6350746666679038E-4</c:v>
                </c:pt>
                <c:pt idx="9">
                  <c:v>4.2644279999998203E-4</c:v>
                </c:pt>
                <c:pt idx="10">
                  <c:v>-2.8628826666793339E-4</c:v>
                </c:pt>
                <c:pt idx="11">
                  <c:v>2.8602346666795059E-4</c:v>
                </c:pt>
                <c:pt idx="12">
                  <c:v>8.1407333331728893E-5</c:v>
                </c:pt>
                <c:pt idx="13">
                  <c:v>4.5683226666803911E-4</c:v>
                </c:pt>
                <c:pt idx="14">
                  <c:v>4.0545199999852948E-5</c:v>
                </c:pt>
                <c:pt idx="15">
                  <c:v>-0.25899108999999992</c:v>
                </c:pt>
                <c:pt idx="16">
                  <c:v>-2.1647663982666678</c:v>
                </c:pt>
                <c:pt idx="17">
                  <c:v>-2.4596149336000002</c:v>
                </c:pt>
                <c:pt idx="18">
                  <c:v>-2.5864133626666681</c:v>
                </c:pt>
                <c:pt idx="19">
                  <c:v>-2.9193834061333321</c:v>
                </c:pt>
                <c:pt idx="20">
                  <c:v>-2.980373943066668</c:v>
                </c:pt>
                <c:pt idx="21">
                  <c:v>-3.1837421211999999</c:v>
                </c:pt>
                <c:pt idx="22">
                  <c:v>-3.2779059246666682</c:v>
                </c:pt>
                <c:pt idx="23">
                  <c:v>-3.2774407087999999</c:v>
                </c:pt>
                <c:pt idx="24">
                  <c:v>-3.3954813290666679</c:v>
                </c:pt>
                <c:pt idx="25">
                  <c:v>-3.288722672</c:v>
                </c:pt>
                <c:pt idx="26">
                  <c:v>-3.2075594820000002</c:v>
                </c:pt>
                <c:pt idx="27">
                  <c:v>-3.166334327466668</c:v>
                </c:pt>
                <c:pt idx="28">
                  <c:v>-2.9884718931999998</c:v>
                </c:pt>
                <c:pt idx="29">
                  <c:v>-2.6960281730666682</c:v>
                </c:pt>
                <c:pt idx="30">
                  <c:v>-2.6321284947999999</c:v>
                </c:pt>
                <c:pt idx="31">
                  <c:v>-2.242403853866668</c:v>
                </c:pt>
                <c:pt idx="32">
                  <c:v>-2.1077820573333321</c:v>
                </c:pt>
                <c:pt idx="33">
                  <c:v>-1.797071272933332</c:v>
                </c:pt>
                <c:pt idx="34">
                  <c:v>-1.454666727333332</c:v>
                </c:pt>
                <c:pt idx="35">
                  <c:v>-1.0512966211999999</c:v>
                </c:pt>
                <c:pt idx="36">
                  <c:v>-0.87591693466666798</c:v>
                </c:pt>
                <c:pt idx="37">
                  <c:v>-0.583750726</c:v>
                </c:pt>
                <c:pt idx="38">
                  <c:v>-0.32132074773333319</c:v>
                </c:pt>
                <c:pt idx="39">
                  <c:v>3.8051599999991408E-5</c:v>
                </c:pt>
                <c:pt idx="40">
                  <c:v>2.3622373333332181E-4</c:v>
                </c:pt>
                <c:pt idx="41">
                  <c:v>2.9599999999999071E-4</c:v>
                </c:pt>
                <c:pt idx="42">
                  <c:v>-3.6983333333298618E-4</c:v>
                </c:pt>
                <c:pt idx="43">
                  <c:v>-2.5433333333302333E-4</c:v>
                </c:pt>
                <c:pt idx="44">
                  <c:v>3.956666666669606E-4</c:v>
                </c:pt>
                <c:pt idx="45">
                  <c:v>2.4566666666697712E-4</c:v>
                </c:pt>
                <c:pt idx="46">
                  <c:v>2.6666666666697042E-4</c:v>
                </c:pt>
                <c:pt idx="47">
                  <c:v>9.666666667018653E-6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3940-4105-A1F4-42489B9445C9}"/>
            </c:ext>
          </c:extLst>
        </c:ser>
        <c:ser>
          <c:idx val="38"/>
          <c:order val="38"/>
          <c:tx>
            <c:v>BES_TR8_four423_C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Net_kW!$AO$2:$AO$49</c:f>
              <c:numCache>
                <c:formatCode>#,##0.000</c:formatCode>
                <c:ptCount val="48"/>
                <c:pt idx="0">
                  <c:v>1.983333333329951E-4</c:v>
                </c:pt>
                <c:pt idx="1">
                  <c:v>3.1666666666985137E-5</c:v>
                </c:pt>
                <c:pt idx="2">
                  <c:v>-3.4533333333330168E-4</c:v>
                </c:pt>
                <c:pt idx="3">
                  <c:v>7.4000000000018495E-5</c:v>
                </c:pt>
                <c:pt idx="4">
                  <c:v>7.0000000000070006E-6</c:v>
                </c:pt>
                <c:pt idx="5">
                  <c:v>-3.3833333333299631E-4</c:v>
                </c:pt>
                <c:pt idx="6">
                  <c:v>3.0133333333298712E-4</c:v>
                </c:pt>
                <c:pt idx="7">
                  <c:v>4.5119653333333681E-4</c:v>
                </c:pt>
                <c:pt idx="8">
                  <c:v>-4.6049253333321771E-4</c:v>
                </c:pt>
                <c:pt idx="9">
                  <c:v>-3.0589053333299199E-4</c:v>
                </c:pt>
                <c:pt idx="10">
                  <c:v>4.4704506666498611E-4</c:v>
                </c:pt>
                <c:pt idx="11">
                  <c:v>2.863568000009975E-4</c:v>
                </c:pt>
                <c:pt idx="12">
                  <c:v>4.3140733333180142E-4</c:v>
                </c:pt>
                <c:pt idx="13">
                  <c:v>1.5083226666812169E-4</c:v>
                </c:pt>
                <c:pt idx="14">
                  <c:v>3.0621186666679462E-4</c:v>
                </c:pt>
                <c:pt idx="15">
                  <c:v>-4.9089999999862848E-5</c:v>
                </c:pt>
                <c:pt idx="16">
                  <c:v>-1.273329398266668</c:v>
                </c:pt>
                <c:pt idx="17">
                  <c:v>-2.1291079335999998</c:v>
                </c:pt>
                <c:pt idx="18">
                  <c:v>-2.3937196960000011</c:v>
                </c:pt>
                <c:pt idx="19">
                  <c:v>-2.0150557061333312</c:v>
                </c:pt>
                <c:pt idx="20">
                  <c:v>-2.892000243066668</c:v>
                </c:pt>
                <c:pt idx="21">
                  <c:v>-2.6351431212</c:v>
                </c:pt>
                <c:pt idx="22">
                  <c:v>-1.9729445913333381</c:v>
                </c:pt>
                <c:pt idx="23">
                  <c:v>-0.91852730879999989</c:v>
                </c:pt>
                <c:pt idx="24">
                  <c:v>-2.9841843290666681</c:v>
                </c:pt>
                <c:pt idx="25">
                  <c:v>-3.2652443386666672</c:v>
                </c:pt>
                <c:pt idx="26">
                  <c:v>-3.2102664820000002</c:v>
                </c:pt>
                <c:pt idx="27">
                  <c:v>-3.0032286608000009</c:v>
                </c:pt>
                <c:pt idx="28">
                  <c:v>-2.7584782265333332</c:v>
                </c:pt>
                <c:pt idx="29">
                  <c:v>-1.4123076730666679</c:v>
                </c:pt>
                <c:pt idx="30">
                  <c:v>-2.4162624948000002</c:v>
                </c:pt>
                <c:pt idx="31">
                  <c:v>-2.2089331872000009</c:v>
                </c:pt>
                <c:pt idx="32">
                  <c:v>-1.2457903906666661</c:v>
                </c:pt>
                <c:pt idx="33">
                  <c:v>-1.3641359395999979</c:v>
                </c:pt>
                <c:pt idx="34">
                  <c:v>-1.1893560606666651</c:v>
                </c:pt>
                <c:pt idx="35">
                  <c:v>-0.98302862120000012</c:v>
                </c:pt>
                <c:pt idx="36">
                  <c:v>-0.73092493466666797</c:v>
                </c:pt>
                <c:pt idx="37">
                  <c:v>-0.38859705933333311</c:v>
                </c:pt>
                <c:pt idx="38">
                  <c:v>-0.24289574773333319</c:v>
                </c:pt>
                <c:pt idx="39">
                  <c:v>-2.7628173333293932E-4</c:v>
                </c:pt>
                <c:pt idx="40">
                  <c:v>-4.3844293333361589E-4</c:v>
                </c:pt>
                <c:pt idx="41">
                  <c:v>1.9199999999997E-4</c:v>
                </c:pt>
                <c:pt idx="42">
                  <c:v>-2.8800000000001052E-4</c:v>
                </c:pt>
                <c:pt idx="43">
                  <c:v>-4.0666666666699941E-4</c:v>
                </c:pt>
                <c:pt idx="44">
                  <c:v>-3.4533333333330168E-4</c:v>
                </c:pt>
                <c:pt idx="45">
                  <c:v>4.7600000000003201E-4</c:v>
                </c:pt>
                <c:pt idx="46">
                  <c:v>-2.8233333333302363E-4</c:v>
                </c:pt>
                <c:pt idx="47">
                  <c:v>-1.7999999999997182E-5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940-4105-A1F4-42489B9445C9}"/>
            </c:ext>
          </c:extLst>
        </c:ser>
        <c:ser>
          <c:idx val="39"/>
          <c:order val="39"/>
          <c:tx>
            <c:v>BES_TR8_four437_A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Net_kW!$AP$2:$AP$49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-1.070303333333689E-5</c:v>
                </c:pt>
                <c:pt idx="8">
                  <c:v>4.8231903333343691E-4</c:v>
                </c:pt>
                <c:pt idx="9">
                  <c:v>4.9813745000001908E-4</c:v>
                </c:pt>
                <c:pt idx="10">
                  <c:v>3.7758109999853911E-4</c:v>
                </c:pt>
                <c:pt idx="11">
                  <c:v>-1.257294666654474E-4</c:v>
                </c:pt>
                <c:pt idx="12">
                  <c:v>7.1231416665429315E-5</c:v>
                </c:pt>
                <c:pt idx="13">
                  <c:v>-2.3521766665091089E-5</c:v>
                </c:pt>
                <c:pt idx="14">
                  <c:v>2.8547705000026008E-4</c:v>
                </c:pt>
                <c:pt idx="15">
                  <c:v>-0.25579782875000001</c:v>
                </c:pt>
                <c:pt idx="16">
                  <c:v>-1.9352882234833351</c:v>
                </c:pt>
                <c:pt idx="17">
                  <c:v>-2.1335462335666668</c:v>
                </c:pt>
                <c:pt idx="18">
                  <c:v>-2.2203747756666679</c:v>
                </c:pt>
                <c:pt idx="19">
                  <c:v>-2.5495854803666651</c:v>
                </c:pt>
                <c:pt idx="20">
                  <c:v>-2.701507825183334</c:v>
                </c:pt>
                <c:pt idx="21">
                  <c:v>-2.8268919810500002</c:v>
                </c:pt>
                <c:pt idx="22">
                  <c:v>-2.9158556840833341</c:v>
                </c:pt>
                <c:pt idx="23">
                  <c:v>-2.9548708702000002</c:v>
                </c:pt>
                <c:pt idx="24">
                  <c:v>-2.9661711629333349</c:v>
                </c:pt>
                <c:pt idx="25">
                  <c:v>-2.9450314629999998</c:v>
                </c:pt>
                <c:pt idx="26">
                  <c:v>-2.8740136717500002</c:v>
                </c:pt>
                <c:pt idx="27">
                  <c:v>-2.7656675365333352</c:v>
                </c:pt>
                <c:pt idx="28">
                  <c:v>-2.6363194065500002</c:v>
                </c:pt>
                <c:pt idx="29">
                  <c:v>-2.472416401433335</c:v>
                </c:pt>
                <c:pt idx="30">
                  <c:v>-2.2982374329500002</c:v>
                </c:pt>
                <c:pt idx="31">
                  <c:v>-1.118718205466664</c:v>
                </c:pt>
                <c:pt idx="32">
                  <c:v>-1.152595716833331</c:v>
                </c:pt>
                <c:pt idx="33">
                  <c:v>-1.4347333638166651</c:v>
                </c:pt>
                <c:pt idx="34">
                  <c:v>-1.2031999280833321</c:v>
                </c:pt>
                <c:pt idx="35">
                  <c:v>-0.97848798521666669</c:v>
                </c:pt>
                <c:pt idx="36">
                  <c:v>-0.64050231783333444</c:v>
                </c:pt>
                <c:pt idx="37">
                  <c:v>-0.30661688525000003</c:v>
                </c:pt>
                <c:pt idx="38">
                  <c:v>-4.2260654266666531E-2</c:v>
                </c:pt>
                <c:pt idx="39">
                  <c:v>-1.7828818333304189E-4</c:v>
                </c:pt>
                <c:pt idx="40">
                  <c:v>-2.9330423333334341E-4</c:v>
                </c:pt>
                <c:pt idx="41">
                  <c:v>0</c:v>
                </c:pt>
                <c:pt idx="42">
                  <c:v>-2.4866666666700787E-4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3940-4105-A1F4-42489B9445C9}"/>
            </c:ext>
          </c:extLst>
        </c:ser>
        <c:ser>
          <c:idx val="40"/>
          <c:order val="40"/>
          <c:tx>
            <c:v>BES_TR8_four446_B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Net_kW!$AQ$2:$AQ$49</c:f>
              <c:numCache>
                <c:formatCode>#,##0.000</c:formatCode>
                <c:ptCount val="48"/>
                <c:pt idx="0">
                  <c:v>-1.899999999999957E-4</c:v>
                </c:pt>
                <c:pt idx="1">
                  <c:v>0</c:v>
                </c:pt>
                <c:pt idx="2">
                  <c:v>3.8666666666699318E-4</c:v>
                </c:pt>
                <c:pt idx="3">
                  <c:v>4.2333333333330342E-4</c:v>
                </c:pt>
                <c:pt idx="4">
                  <c:v>1.1666666666669551E-4</c:v>
                </c:pt>
                <c:pt idx="5">
                  <c:v>-3.0666666666669118E-4</c:v>
                </c:pt>
                <c:pt idx="6">
                  <c:v>0</c:v>
                </c:pt>
                <c:pt idx="7">
                  <c:v>-2.0070303333333259E-4</c:v>
                </c:pt>
                <c:pt idx="8">
                  <c:v>4.8231903333343512E-4</c:v>
                </c:pt>
                <c:pt idx="9">
                  <c:v>4.9813745000001908E-4</c:v>
                </c:pt>
                <c:pt idx="10">
                  <c:v>1.372477666655714E-4</c:v>
                </c:pt>
                <c:pt idx="11">
                  <c:v>-1.257294666654474E-4</c:v>
                </c:pt>
                <c:pt idx="12">
                  <c:v>-1.187685833347052E-4</c:v>
                </c:pt>
                <c:pt idx="13">
                  <c:v>-2.3521766665091089E-5</c:v>
                </c:pt>
                <c:pt idx="14">
                  <c:v>2.8547705000003809E-4</c:v>
                </c:pt>
                <c:pt idx="15">
                  <c:v>1.2171250000081461E-5</c:v>
                </c:pt>
                <c:pt idx="16">
                  <c:v>-1.7492882234833349</c:v>
                </c:pt>
                <c:pt idx="17">
                  <c:v>-2.0288361002333328</c:v>
                </c:pt>
                <c:pt idx="18">
                  <c:v>-2.2393258423333351</c:v>
                </c:pt>
                <c:pt idx="19">
                  <c:v>-2.4641504803666652</c:v>
                </c:pt>
                <c:pt idx="20">
                  <c:v>-2.686466225183334</c:v>
                </c:pt>
                <c:pt idx="21">
                  <c:v>-2.555688914383333</c:v>
                </c:pt>
                <c:pt idx="22">
                  <c:v>-2.8960354174166669</c:v>
                </c:pt>
                <c:pt idx="23">
                  <c:v>-2.8460608702000001</c:v>
                </c:pt>
                <c:pt idx="24">
                  <c:v>-2.1447011629333348</c:v>
                </c:pt>
                <c:pt idx="25">
                  <c:v>-2.8701564629999998</c:v>
                </c:pt>
                <c:pt idx="26">
                  <c:v>-2.618047338416666</c:v>
                </c:pt>
                <c:pt idx="27">
                  <c:v>-2.3593588698666679</c:v>
                </c:pt>
                <c:pt idx="28">
                  <c:v>-3.3640654999989028E-4</c:v>
                </c:pt>
                <c:pt idx="29">
                  <c:v>-0.71765073476666796</c:v>
                </c:pt>
                <c:pt idx="30">
                  <c:v>-8.6044432950000083E-2</c:v>
                </c:pt>
                <c:pt idx="31">
                  <c:v>-1.8341058721333341</c:v>
                </c:pt>
                <c:pt idx="32">
                  <c:v>-1.689046383499998</c:v>
                </c:pt>
                <c:pt idx="33">
                  <c:v>-1.4256723638166651</c:v>
                </c:pt>
                <c:pt idx="34">
                  <c:v>-1.123062928083332</c:v>
                </c:pt>
                <c:pt idx="35">
                  <c:v>-0.83109591855000009</c:v>
                </c:pt>
                <c:pt idx="36">
                  <c:v>-0.67442251783333451</c:v>
                </c:pt>
                <c:pt idx="37">
                  <c:v>-0.16142788525000001</c:v>
                </c:pt>
                <c:pt idx="38">
                  <c:v>-0.1622586542666665</c:v>
                </c:pt>
                <c:pt idx="39">
                  <c:v>-6.8288183332987362E-5</c:v>
                </c:pt>
                <c:pt idx="40">
                  <c:v>-4.0497089999924629E-4</c:v>
                </c:pt>
                <c:pt idx="41">
                  <c:v>-2.966666666701645E-4</c:v>
                </c:pt>
                <c:pt idx="42">
                  <c:v>-4.7766666666704261E-4</c:v>
                </c:pt>
                <c:pt idx="43">
                  <c:v>8.5000000000001741E-5</c:v>
                </c:pt>
                <c:pt idx="44">
                  <c:v>-4.1666666666995138E-5</c:v>
                </c:pt>
                <c:pt idx="45">
                  <c:v>-2.0199999999992449E-4</c:v>
                </c:pt>
                <c:pt idx="46">
                  <c:v>-2.00000000000089E-4</c:v>
                </c:pt>
                <c:pt idx="47">
                  <c:v>-8.9333333332941578E-5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940-4105-A1F4-42489B9445C9}"/>
            </c:ext>
          </c:extLst>
        </c:ser>
        <c:ser>
          <c:idx val="41"/>
          <c:order val="41"/>
          <c:tx>
            <c:v>BES_TR8_four466_C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Net_kW!$AR$2:$AR$49</c:f>
              <c:numCache>
                <c:formatCode>#,##0.000</c:formatCode>
                <c:ptCount val="48"/>
                <c:pt idx="0">
                  <c:v>4.7516666666670197E-2</c:v>
                </c:pt>
                <c:pt idx="1">
                  <c:v>5.5E-2</c:v>
                </c:pt>
                <c:pt idx="2">
                  <c:v>5.5E-2</c:v>
                </c:pt>
                <c:pt idx="3">
                  <c:v>5.5E-2</c:v>
                </c:pt>
                <c:pt idx="4">
                  <c:v>5.5E-2</c:v>
                </c:pt>
                <c:pt idx="5">
                  <c:v>5.5E-2</c:v>
                </c:pt>
                <c:pt idx="6">
                  <c:v>5.5E-2</c:v>
                </c:pt>
                <c:pt idx="7">
                  <c:v>5.155919653333333E-2</c:v>
                </c:pt>
                <c:pt idx="8">
                  <c:v>5.2655074666667981E-3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2.5302346666788988E-4</c:v>
                </c:pt>
                <c:pt idx="12">
                  <c:v>4.5140733333193239E-4</c:v>
                </c:pt>
                <c:pt idx="13">
                  <c:v>4.8832266668075157E-5</c:v>
                </c:pt>
                <c:pt idx="14">
                  <c:v>4.0545199999852948E-5</c:v>
                </c:pt>
                <c:pt idx="15">
                  <c:v>3.7391000000019941E-4</c:v>
                </c:pt>
                <c:pt idx="16">
                  <c:v>-0.76987106493333513</c:v>
                </c:pt>
                <c:pt idx="17">
                  <c:v>-2.3226709336</c:v>
                </c:pt>
                <c:pt idx="18">
                  <c:v>-2.3779586960000012</c:v>
                </c:pt>
                <c:pt idx="19">
                  <c:v>-2.2146367394666648</c:v>
                </c:pt>
                <c:pt idx="20">
                  <c:v>-2.6454672764000011</c:v>
                </c:pt>
                <c:pt idx="21">
                  <c:v>-1.09683978786667</c:v>
                </c:pt>
                <c:pt idx="22">
                  <c:v>-0.73594459133333778</c:v>
                </c:pt>
                <c:pt idx="23">
                  <c:v>-2.7065400421333341</c:v>
                </c:pt>
                <c:pt idx="24">
                  <c:v>-3.3874813290666679</c:v>
                </c:pt>
                <c:pt idx="25">
                  <c:v>-3.3633216720000001</c:v>
                </c:pt>
                <c:pt idx="26">
                  <c:v>-3.2821584819999998</c:v>
                </c:pt>
                <c:pt idx="27">
                  <c:v>-3.158334327466668</c:v>
                </c:pt>
                <c:pt idx="28">
                  <c:v>-3.0105078931999998</c:v>
                </c:pt>
                <c:pt idx="29">
                  <c:v>-2.823190173066668</c:v>
                </c:pt>
                <c:pt idx="30">
                  <c:v>-2.6241284947999999</c:v>
                </c:pt>
                <c:pt idx="31">
                  <c:v>-2.3845838538666682</c:v>
                </c:pt>
                <c:pt idx="32">
                  <c:v>-2.1148000573333321</c:v>
                </c:pt>
                <c:pt idx="33">
                  <c:v>-1.789071272933332</c:v>
                </c:pt>
                <c:pt idx="34">
                  <c:v>-1.484211727333332</c:v>
                </c:pt>
                <c:pt idx="35">
                  <c:v>-1.1709496211999999</c:v>
                </c:pt>
                <c:pt idx="36">
                  <c:v>-0.86791693466666797</c:v>
                </c:pt>
                <c:pt idx="37">
                  <c:v>-0.57575072599999999</c:v>
                </c:pt>
                <c:pt idx="38">
                  <c:v>-0.31332074773333318</c:v>
                </c:pt>
                <c:pt idx="39">
                  <c:v>-5.2159948400000003E-2</c:v>
                </c:pt>
                <c:pt idx="40">
                  <c:v>2.362237333333253E-4</c:v>
                </c:pt>
                <c:pt idx="41">
                  <c:v>0</c:v>
                </c:pt>
                <c:pt idx="42">
                  <c:v>0</c:v>
                </c:pt>
                <c:pt idx="43">
                  <c:v>-4.0000000000001151E-4</c:v>
                </c:pt>
                <c:pt idx="44">
                  <c:v>0</c:v>
                </c:pt>
                <c:pt idx="45">
                  <c:v>4.9133333333301055E-4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3940-4105-A1F4-42489B9445C9}"/>
            </c:ext>
          </c:extLst>
        </c:ser>
        <c:ser>
          <c:idx val="42"/>
          <c:order val="42"/>
          <c:tx>
            <c:v>BES_TR8_four467_C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Net_kW!$AS$2:$AS$49</c:f>
              <c:numCache>
                <c:formatCode>#,##0.000</c:formatCode>
                <c:ptCount val="48"/>
                <c:pt idx="0">
                  <c:v>1.4133333333339601E-4</c:v>
                </c:pt>
                <c:pt idx="1">
                  <c:v>4.2666666666700548E-4</c:v>
                </c:pt>
                <c:pt idx="2">
                  <c:v>0</c:v>
                </c:pt>
                <c:pt idx="3">
                  <c:v>2.8266666666698642E-4</c:v>
                </c:pt>
                <c:pt idx="4">
                  <c:v>2.8533333333340127E-4</c:v>
                </c:pt>
                <c:pt idx="5">
                  <c:v>-2.1599999999991071E-4</c:v>
                </c:pt>
                <c:pt idx="6">
                  <c:v>-2.16000000000105E-4</c:v>
                </c:pt>
                <c:pt idx="7">
                  <c:v>-4.4080346666666709E-4</c:v>
                </c:pt>
                <c:pt idx="8">
                  <c:v>-1.6649253333320119E-4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1.420234666681397E-4</c:v>
                </c:pt>
                <c:pt idx="12">
                  <c:v>-3.5059266666803701E-4</c:v>
                </c:pt>
                <c:pt idx="13">
                  <c:v>2.5883226666811859E-4</c:v>
                </c:pt>
                <c:pt idx="14">
                  <c:v>-6.7959454800000207E-2</c:v>
                </c:pt>
                <c:pt idx="15">
                  <c:v>-1.7772440899999999</c:v>
                </c:pt>
                <c:pt idx="16">
                  <c:v>-1.482316731600001</c:v>
                </c:pt>
                <c:pt idx="17">
                  <c:v>-2.3950829335999999</c:v>
                </c:pt>
                <c:pt idx="18">
                  <c:v>-2.0355753626666679</c:v>
                </c:pt>
                <c:pt idx="19">
                  <c:v>-3.178383406133332</c:v>
                </c:pt>
                <c:pt idx="20">
                  <c:v>-2.9321189430666679</c:v>
                </c:pt>
                <c:pt idx="21">
                  <c:v>-2.791660454533333</c:v>
                </c:pt>
                <c:pt idx="22">
                  <c:v>-3.7489779246666681</c:v>
                </c:pt>
                <c:pt idx="23">
                  <c:v>-3.3715667088000001</c:v>
                </c:pt>
                <c:pt idx="24">
                  <c:v>-3.3844813290666682</c:v>
                </c:pt>
                <c:pt idx="25">
                  <c:v>-3.2563836720000001</c:v>
                </c:pt>
                <c:pt idx="26">
                  <c:v>-2.8327884820000002</c:v>
                </c:pt>
                <c:pt idx="27">
                  <c:v>-2.902423994133335</c:v>
                </c:pt>
                <c:pt idx="28">
                  <c:v>-2.8109508931999998</c:v>
                </c:pt>
                <c:pt idx="29">
                  <c:v>-3.4613359730666682</c:v>
                </c:pt>
                <c:pt idx="30">
                  <c:v>-2.8682094947999999</c:v>
                </c:pt>
                <c:pt idx="31">
                  <c:v>-1.254165853866668</c:v>
                </c:pt>
                <c:pt idx="32">
                  <c:v>-1.590922057333332</c:v>
                </c:pt>
                <c:pt idx="33">
                  <c:v>-2.1666439600001919E-2</c:v>
                </c:pt>
                <c:pt idx="34">
                  <c:v>-1.1074273273333319</c:v>
                </c:pt>
                <c:pt idx="35">
                  <c:v>-1.1679496212</c:v>
                </c:pt>
                <c:pt idx="36">
                  <c:v>-0.78134893466666799</c:v>
                </c:pt>
                <c:pt idx="37">
                  <c:v>-0.57275072599999999</c:v>
                </c:pt>
                <c:pt idx="38">
                  <c:v>-0.28246474773333308</c:v>
                </c:pt>
                <c:pt idx="39">
                  <c:v>3.1531826666700898E-4</c:v>
                </c:pt>
                <c:pt idx="40">
                  <c:v>-4.3044293333369121E-4</c:v>
                </c:pt>
                <c:pt idx="41">
                  <c:v>-3.6066666667022851E-4</c:v>
                </c:pt>
                <c:pt idx="42">
                  <c:v>-2.3433333333011669E-4</c:v>
                </c:pt>
                <c:pt idx="43">
                  <c:v>4.2000000000097508E-5</c:v>
                </c:pt>
                <c:pt idx="44">
                  <c:v>-3.6333333333304912E-4</c:v>
                </c:pt>
                <c:pt idx="45">
                  <c:v>3.5400000000002102E-4</c:v>
                </c:pt>
                <c:pt idx="46">
                  <c:v>-4.320000000000157E-4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940-4105-A1F4-42489B9445C9}"/>
            </c:ext>
          </c:extLst>
        </c:ser>
        <c:ser>
          <c:idx val="43"/>
          <c:order val="43"/>
          <c:tx>
            <c:v>BES_TR8_four548_B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Net_kW!$AT$2:$AT$49</c:f>
              <c:numCache>
                <c:formatCode>#,##0.000</c:formatCode>
                <c:ptCount val="48"/>
                <c:pt idx="0">
                  <c:v>0</c:v>
                </c:pt>
                <c:pt idx="1">
                  <c:v>-2.7000000000002022E-4</c:v>
                </c:pt>
                <c:pt idx="2">
                  <c:v>-2.333333333330023E-4</c:v>
                </c:pt>
                <c:pt idx="3">
                  <c:v>-9.0000000000006741E-5</c:v>
                </c:pt>
                <c:pt idx="4">
                  <c:v>1.166666666700678E-5</c:v>
                </c:pt>
                <c:pt idx="5">
                  <c:v>2.116666666669986E-4</c:v>
                </c:pt>
                <c:pt idx="6">
                  <c:v>-1.9166666666700641E-4</c:v>
                </c:pt>
                <c:pt idx="7">
                  <c:v>3.3126493333365809E-4</c:v>
                </c:pt>
                <c:pt idx="8">
                  <c:v>4.8608706666639079E-4</c:v>
                </c:pt>
                <c:pt idx="9">
                  <c:v>-1.43445266667E-4</c:v>
                </c:pt>
                <c:pt idx="10">
                  <c:v>3.2985586666600669E-4</c:v>
                </c:pt>
                <c:pt idx="11">
                  <c:v>-4.3232159999900821E-4</c:v>
                </c:pt>
                <c:pt idx="12">
                  <c:v>4.0703666665919958E-5</c:v>
                </c:pt>
                <c:pt idx="13">
                  <c:v>-4.9211719999897596E-4</c:v>
                </c:pt>
                <c:pt idx="14">
                  <c:v>-1.870607333330776E-4</c:v>
                </c:pt>
                <c:pt idx="15">
                  <c:v>1.209550000000892E-4</c:v>
                </c:pt>
                <c:pt idx="16">
                  <c:v>3.4163419999888589E-4</c:v>
                </c:pt>
                <c:pt idx="17">
                  <c:v>-4.9533346666685851E-4</c:v>
                </c:pt>
                <c:pt idx="18">
                  <c:v>-1.937480000000491E-4</c:v>
                </c:pt>
                <c:pt idx="19">
                  <c:v>-4.1270306666585382E-4</c:v>
                </c:pt>
                <c:pt idx="20">
                  <c:v>2.552846666614705E-5</c:v>
                </c:pt>
                <c:pt idx="21">
                  <c:v>3.3277273333009999E-4</c:v>
                </c:pt>
                <c:pt idx="22">
                  <c:v>1.6643766666601939E-4</c:v>
                </c:pt>
                <c:pt idx="23">
                  <c:v>-1.3987777544</c:v>
                </c:pt>
                <c:pt idx="24">
                  <c:v>-5.9147331200003928E-2</c:v>
                </c:pt>
                <c:pt idx="25">
                  <c:v>-1.4802788360000001</c:v>
                </c:pt>
                <c:pt idx="26">
                  <c:v>-1.3985189076666671</c:v>
                </c:pt>
                <c:pt idx="27">
                  <c:v>-1.2418298303999999</c:v>
                </c:pt>
                <c:pt idx="28">
                  <c:v>-1.2404609466000001</c:v>
                </c:pt>
                <c:pt idx="29">
                  <c:v>-1.125656419866667</c:v>
                </c:pt>
                <c:pt idx="30">
                  <c:v>-1.039063580733333</c:v>
                </c:pt>
                <c:pt idx="31">
                  <c:v>-0.88962126026666688</c:v>
                </c:pt>
                <c:pt idx="32">
                  <c:v>-3.7536199999577141E-4</c:v>
                </c:pt>
                <c:pt idx="33">
                  <c:v>-0.30326496979999901</c:v>
                </c:pt>
                <c:pt idx="34">
                  <c:v>-0.15850386366666591</c:v>
                </c:pt>
                <c:pt idx="35">
                  <c:v>-0.25603547726666698</c:v>
                </c:pt>
                <c:pt idx="36">
                  <c:v>-0.10732180066666699</c:v>
                </c:pt>
                <c:pt idx="37">
                  <c:v>4.9997033332971341E-4</c:v>
                </c:pt>
                <c:pt idx="38">
                  <c:v>-6.7040533333589947E-5</c:v>
                </c:pt>
                <c:pt idx="39">
                  <c:v>1.8669246666701281E-4</c:v>
                </c:pt>
                <c:pt idx="40">
                  <c:v>-1.5188813333333331E-4</c:v>
                </c:pt>
                <c:pt idx="41">
                  <c:v>0</c:v>
                </c:pt>
                <c:pt idx="42">
                  <c:v>3.8333333333299968E-4</c:v>
                </c:pt>
                <c:pt idx="43">
                  <c:v>3.8333333333299968E-4</c:v>
                </c:pt>
                <c:pt idx="44">
                  <c:v>0</c:v>
                </c:pt>
                <c:pt idx="45">
                  <c:v>3.6500000000000421E-4</c:v>
                </c:pt>
                <c:pt idx="46">
                  <c:v>7.999999999999674E-5</c:v>
                </c:pt>
                <c:pt idx="47">
                  <c:v>-2.200000000000257E-4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3940-4105-A1F4-42489B9445C9}"/>
            </c:ext>
          </c:extLst>
        </c:ser>
        <c:ser>
          <c:idx val="44"/>
          <c:order val="44"/>
          <c:tx>
            <c:v>BES_TR8_four558_C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Net_kW!$AU$2:$AU$49</c:f>
              <c:numCache>
                <c:formatCode>#,##0.000</c:formatCode>
                <c:ptCount val="48"/>
                <c:pt idx="0">
                  <c:v>6.1333333332996842E-5</c:v>
                </c:pt>
                <c:pt idx="1">
                  <c:v>0</c:v>
                </c:pt>
                <c:pt idx="2">
                  <c:v>3.3933333333339982E-4</c:v>
                </c:pt>
                <c:pt idx="3">
                  <c:v>4.8733333333300649E-4</c:v>
                </c:pt>
                <c:pt idx="4">
                  <c:v>0</c:v>
                </c:pt>
                <c:pt idx="5">
                  <c:v>-1.733333333329978E-4</c:v>
                </c:pt>
                <c:pt idx="6">
                  <c:v>0</c:v>
                </c:pt>
                <c:pt idx="7">
                  <c:v>-4.4080346666666709E-4</c:v>
                </c:pt>
                <c:pt idx="8">
                  <c:v>-5.5333331994058396E-9</c:v>
                </c:pt>
                <c:pt idx="9">
                  <c:v>4.2644279999998203E-4</c:v>
                </c:pt>
                <c:pt idx="10">
                  <c:v>2.337117333319205E-4</c:v>
                </c:pt>
                <c:pt idx="11">
                  <c:v>3.9469013333515163E-4</c:v>
                </c:pt>
                <c:pt idx="12">
                  <c:v>8.1407333331950937E-5</c:v>
                </c:pt>
                <c:pt idx="13">
                  <c:v>2.588322666678966E-4</c:v>
                </c:pt>
                <c:pt idx="14">
                  <c:v>-1.9454800000096029E-5</c:v>
                </c:pt>
                <c:pt idx="15">
                  <c:v>-0.78778942333333291</c:v>
                </c:pt>
                <c:pt idx="16">
                  <c:v>-2.2103327316000012</c:v>
                </c:pt>
                <c:pt idx="17">
                  <c:v>-2.1856409335999998</c:v>
                </c:pt>
                <c:pt idx="18">
                  <c:v>-1.516878695999998</c:v>
                </c:pt>
                <c:pt idx="19">
                  <c:v>-2.6732447394666652</c:v>
                </c:pt>
                <c:pt idx="20">
                  <c:v>-2.8884009430666682</c:v>
                </c:pt>
                <c:pt idx="21">
                  <c:v>-2.9780244545333332</c:v>
                </c:pt>
                <c:pt idx="22">
                  <c:v>-3.1255119246666681</c:v>
                </c:pt>
                <c:pt idx="23">
                  <c:v>-2.3510227088</c:v>
                </c:pt>
                <c:pt idx="24">
                  <c:v>-3.1285773290666681</c:v>
                </c:pt>
                <c:pt idx="25">
                  <c:v>-3.1874790053333331</c:v>
                </c:pt>
                <c:pt idx="26">
                  <c:v>-2.9349178153333328</c:v>
                </c:pt>
                <c:pt idx="27">
                  <c:v>-2.900584994133335</c:v>
                </c:pt>
                <c:pt idx="28">
                  <c:v>-2.9939372265333328</c:v>
                </c:pt>
                <c:pt idx="29">
                  <c:v>-2.7039521730666678</c:v>
                </c:pt>
                <c:pt idx="30">
                  <c:v>-2.5644628281333328</c:v>
                </c:pt>
                <c:pt idx="31">
                  <c:v>-2.2549808538666678</c:v>
                </c:pt>
                <c:pt idx="32">
                  <c:v>-2.0366087906666648</c:v>
                </c:pt>
                <c:pt idx="33">
                  <c:v>-1.5630459395999989</c:v>
                </c:pt>
                <c:pt idx="34">
                  <c:v>-1.380642393999999</c:v>
                </c:pt>
                <c:pt idx="35">
                  <c:v>-1.1439292212000001</c:v>
                </c:pt>
                <c:pt idx="36">
                  <c:v>-0.79504693466666798</c:v>
                </c:pt>
                <c:pt idx="37">
                  <c:v>-0.56581872599999994</c:v>
                </c:pt>
                <c:pt idx="38">
                  <c:v>-0.16604001440000021</c:v>
                </c:pt>
                <c:pt idx="39">
                  <c:v>1.1718493333300049E-4</c:v>
                </c:pt>
                <c:pt idx="40">
                  <c:v>-1.3377626666666309E-4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-3.6466666666698511E-4</c:v>
                </c:pt>
                <c:pt idx="45">
                  <c:v>1.913333333333975E-4</c:v>
                </c:pt>
                <c:pt idx="46">
                  <c:v>-4.260000000000097E-4</c:v>
                </c:pt>
                <c:pt idx="47">
                  <c:v>2.5266666666701187E-4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3940-4105-A1F4-42489B9445C9}"/>
            </c:ext>
          </c:extLst>
        </c:ser>
        <c:ser>
          <c:idx val="45"/>
          <c:order val="45"/>
          <c:tx>
            <c:v>BES_TR8_four562_C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Net_kW!$AV$2:$AV$49</c:f>
              <c:numCache>
                <c:formatCode>#,##0.000</c:formatCode>
                <c:ptCount val="48"/>
                <c:pt idx="0">
                  <c:v>-3.5799999999996951E-4</c:v>
                </c:pt>
                <c:pt idx="1">
                  <c:v>0</c:v>
                </c:pt>
                <c:pt idx="2">
                  <c:v>2.5500000000000522E-4</c:v>
                </c:pt>
                <c:pt idx="3">
                  <c:v>-1.1333333333329861E-4</c:v>
                </c:pt>
                <c:pt idx="4">
                  <c:v>2.9466666666699842E-4</c:v>
                </c:pt>
                <c:pt idx="5">
                  <c:v>-3.0533333333299112E-4</c:v>
                </c:pt>
                <c:pt idx="6">
                  <c:v>-1.7600000000000951E-4</c:v>
                </c:pt>
                <c:pt idx="7">
                  <c:v>-2.7870303333335511E-4</c:v>
                </c:pt>
                <c:pt idx="8">
                  <c:v>-5.4347633333562413E-5</c:v>
                </c:pt>
                <c:pt idx="9">
                  <c:v>-2.9586254999999778E-4</c:v>
                </c:pt>
                <c:pt idx="10">
                  <c:v>-4.3675223333444762E-4</c:v>
                </c:pt>
                <c:pt idx="11">
                  <c:v>-3.723961333324532E-4</c:v>
                </c:pt>
                <c:pt idx="12">
                  <c:v>3.0723141666544329E-4</c:v>
                </c:pt>
                <c:pt idx="13">
                  <c:v>1.8314490000181929E-4</c:v>
                </c:pt>
                <c:pt idx="14">
                  <c:v>-1.3785628333295999E-4</c:v>
                </c:pt>
                <c:pt idx="15">
                  <c:v>4.0817125000014443E-4</c:v>
                </c:pt>
                <c:pt idx="16">
                  <c:v>-0.42738755681666812</c:v>
                </c:pt>
                <c:pt idx="17">
                  <c:v>-2.123480900233333</c:v>
                </c:pt>
                <c:pt idx="18">
                  <c:v>-2.337730109000002</c:v>
                </c:pt>
                <c:pt idx="19">
                  <c:v>-2.3393694803666651</c:v>
                </c:pt>
                <c:pt idx="20">
                  <c:v>-2.6925078251833341</c:v>
                </c:pt>
                <c:pt idx="21">
                  <c:v>-2.7360153143833328</c:v>
                </c:pt>
                <c:pt idx="22">
                  <c:v>-2.791361017416667</c:v>
                </c:pt>
                <c:pt idx="23">
                  <c:v>-2.8824795368666671</c:v>
                </c:pt>
                <c:pt idx="24">
                  <c:v>-2.7746318296000019</c:v>
                </c:pt>
                <c:pt idx="25">
                  <c:v>-2.9173547963333331</c:v>
                </c:pt>
                <c:pt idx="26">
                  <c:v>-2.8575703384166671</c:v>
                </c:pt>
                <c:pt idx="27">
                  <c:v>-2.581680869866668</c:v>
                </c:pt>
                <c:pt idx="28">
                  <c:v>-2.5787600732166669</c:v>
                </c:pt>
                <c:pt idx="29">
                  <c:v>-2.4634164014333351</c:v>
                </c:pt>
                <c:pt idx="30">
                  <c:v>-2.0769674329500001</c:v>
                </c:pt>
                <c:pt idx="31">
                  <c:v>-2.0796358721333341</c:v>
                </c:pt>
                <c:pt idx="32">
                  <c:v>-1.7802930501666649</c:v>
                </c:pt>
                <c:pt idx="33">
                  <c:v>-1.390855030483332</c:v>
                </c:pt>
                <c:pt idx="34">
                  <c:v>-1.2918102614166651</c:v>
                </c:pt>
                <c:pt idx="35">
                  <c:v>-0.77555325188333302</c:v>
                </c:pt>
                <c:pt idx="36">
                  <c:v>-0.5392729845000015</c:v>
                </c:pt>
                <c:pt idx="37">
                  <c:v>-3.4155191666693918E-4</c:v>
                </c:pt>
                <c:pt idx="38">
                  <c:v>-1.6098759999949591E-4</c:v>
                </c:pt>
                <c:pt idx="39">
                  <c:v>1.377118166670521E-4</c:v>
                </c:pt>
                <c:pt idx="40">
                  <c:v>-4.1663756666632251E-4</c:v>
                </c:pt>
                <c:pt idx="41">
                  <c:v>2.8033333333010718E-4</c:v>
                </c:pt>
                <c:pt idx="42">
                  <c:v>3.0333333332999152E-4</c:v>
                </c:pt>
                <c:pt idx="43">
                  <c:v>1.26561066666667</c:v>
                </c:pt>
                <c:pt idx="44">
                  <c:v>0.39623599999999998</c:v>
                </c:pt>
                <c:pt idx="45">
                  <c:v>0.61279300000000003</c:v>
                </c:pt>
                <c:pt idx="46">
                  <c:v>0.406418</c:v>
                </c:pt>
                <c:pt idx="47">
                  <c:v>0.44712333333333298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3940-4105-A1F4-42489B9445C9}"/>
            </c:ext>
          </c:extLst>
        </c:ser>
        <c:ser>
          <c:idx val="46"/>
          <c:order val="46"/>
          <c:tx>
            <c:v>BES_TR8_four590_A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Net_kW!$AW$2:$AW$49</c:f>
              <c:numCache>
                <c:formatCode>#,##0.000</c:formatCode>
                <c:ptCount val="48"/>
                <c:pt idx="0">
                  <c:v>-6.9388939039072284E-18</c:v>
                </c:pt>
                <c:pt idx="1">
                  <c:v>-6.9388939039072284E-18</c:v>
                </c:pt>
                <c:pt idx="2">
                  <c:v>-6.9388939039072284E-18</c:v>
                </c:pt>
                <c:pt idx="3">
                  <c:v>-6.9388939039072284E-18</c:v>
                </c:pt>
                <c:pt idx="4">
                  <c:v>-6.9388939039072284E-18</c:v>
                </c:pt>
                <c:pt idx="5">
                  <c:v>-6.9388939039072284E-18</c:v>
                </c:pt>
                <c:pt idx="6">
                  <c:v>-6.9388939039072284E-18</c:v>
                </c:pt>
                <c:pt idx="7">
                  <c:v>-4.4080346666667408E-4</c:v>
                </c:pt>
                <c:pt idx="8">
                  <c:v>2.6550746666679538E-4</c:v>
                </c:pt>
                <c:pt idx="9">
                  <c:v>4.2644280000000978E-4</c:v>
                </c:pt>
                <c:pt idx="10">
                  <c:v>-3.402882666680429E-4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2.588322666678966E-4</c:v>
                </c:pt>
                <c:pt idx="14">
                  <c:v>4.0545200000074999E-5</c:v>
                </c:pt>
                <c:pt idx="15">
                  <c:v>-1.2086260900000001</c:v>
                </c:pt>
                <c:pt idx="16">
                  <c:v>-2.2043293982666681</c:v>
                </c:pt>
                <c:pt idx="17">
                  <c:v>-2.4766509336000002</c:v>
                </c:pt>
                <c:pt idx="18">
                  <c:v>-2.708575362666668</c:v>
                </c:pt>
                <c:pt idx="19">
                  <c:v>-2.9063834061333318</c:v>
                </c:pt>
                <c:pt idx="20">
                  <c:v>-3.0800089430666682</c:v>
                </c:pt>
                <c:pt idx="21">
                  <c:v>-3.2233051212000001</c:v>
                </c:pt>
                <c:pt idx="22">
                  <c:v>-3.209612924666668</c:v>
                </c:pt>
                <c:pt idx="23">
                  <c:v>-2.5204440421333341</c:v>
                </c:pt>
                <c:pt idx="24">
                  <c:v>-3.3144479957333348</c:v>
                </c:pt>
                <c:pt idx="25">
                  <c:v>-3.2667550053333332</c:v>
                </c:pt>
                <c:pt idx="26">
                  <c:v>-3.2771584819999999</c:v>
                </c:pt>
                <c:pt idx="27">
                  <c:v>-3.1533343274666681</c:v>
                </c:pt>
                <c:pt idx="28">
                  <c:v>-3.0055078931999999</c:v>
                </c:pt>
                <c:pt idx="29">
                  <c:v>-2.8181901730666681</c:v>
                </c:pt>
                <c:pt idx="30">
                  <c:v>-2.6191284948</c:v>
                </c:pt>
                <c:pt idx="31">
                  <c:v>-2.3795838538666678</c:v>
                </c:pt>
                <c:pt idx="32">
                  <c:v>-2.044906057333332</c:v>
                </c:pt>
                <c:pt idx="33">
                  <c:v>-1.6563912729333321</c:v>
                </c:pt>
                <c:pt idx="34">
                  <c:v>-1.351531727333332</c:v>
                </c:pt>
                <c:pt idx="35">
                  <c:v>-1.0363202878666671</c:v>
                </c:pt>
                <c:pt idx="36">
                  <c:v>-0.70599693466666802</c:v>
                </c:pt>
                <c:pt idx="37">
                  <c:v>-0.41383072599999998</c:v>
                </c:pt>
                <c:pt idx="38">
                  <c:v>-0.16991941440000019</c:v>
                </c:pt>
                <c:pt idx="39">
                  <c:v>-1.466150666669386E-4</c:v>
                </c:pt>
                <c:pt idx="40">
                  <c:v>6.055706666630023E-5</c:v>
                </c:pt>
                <c:pt idx="41">
                  <c:v>3.7266666666702092E-4</c:v>
                </c:pt>
                <c:pt idx="42">
                  <c:v>4.7533333333393818E-4</c:v>
                </c:pt>
                <c:pt idx="43">
                  <c:v>1.753333333339713E-4</c:v>
                </c:pt>
                <c:pt idx="44">
                  <c:v>2.053333333330021E-4</c:v>
                </c:pt>
                <c:pt idx="45">
                  <c:v>-2.6399999999981988E-4</c:v>
                </c:pt>
                <c:pt idx="46">
                  <c:v>-1.913333333301015E-4</c:v>
                </c:pt>
                <c:pt idx="47">
                  <c:v>-2.9699999999999172E-4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3940-4105-A1F4-42489B9445C9}"/>
            </c:ext>
          </c:extLst>
        </c:ser>
        <c:ser>
          <c:idx val="47"/>
          <c:order val="47"/>
          <c:tx>
            <c:v>BES_TR8_four604_A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Net_kW!$AX$2:$AX$49</c:f>
              <c:numCache>
                <c:formatCode>#,##0.000</c:formatCode>
                <c:ptCount val="48"/>
                <c:pt idx="0">
                  <c:v>0</c:v>
                </c:pt>
                <c:pt idx="1">
                  <c:v>-1.6000000000002121E-4</c:v>
                </c:pt>
                <c:pt idx="2">
                  <c:v>-7.7333333333012844E-5</c:v>
                </c:pt>
                <c:pt idx="3">
                  <c:v>-1.6000000000002121E-4</c:v>
                </c:pt>
                <c:pt idx="4">
                  <c:v>0</c:v>
                </c:pt>
                <c:pt idx="5">
                  <c:v>3.7866666666697141E-4</c:v>
                </c:pt>
                <c:pt idx="6">
                  <c:v>3.8400000000000928E-4</c:v>
                </c:pt>
                <c:pt idx="7">
                  <c:v>-3.8250216666667341E-4</c:v>
                </c:pt>
                <c:pt idx="8">
                  <c:v>-1.2057833333245499E-5</c:v>
                </c:pt>
                <c:pt idx="9">
                  <c:v>-3.584732500000049E-4</c:v>
                </c:pt>
                <c:pt idx="10">
                  <c:v>-4.1501350000050508E-4</c:v>
                </c:pt>
                <c:pt idx="11">
                  <c:v>3.3876466666749039E-4</c:v>
                </c:pt>
                <c:pt idx="12">
                  <c:v>-2.6453750000599019E-5</c:v>
                </c:pt>
                <c:pt idx="13">
                  <c:v>2.5177016666744212E-4</c:v>
                </c:pt>
                <c:pt idx="14">
                  <c:v>-2.2465925000014761E-4</c:v>
                </c:pt>
                <c:pt idx="15">
                  <c:v>-3.8639583332944483E-5</c:v>
                </c:pt>
                <c:pt idx="16">
                  <c:v>2.0612608333192559E-4</c:v>
                </c:pt>
                <c:pt idx="17">
                  <c:v>4.7316649999995519E-4</c:v>
                </c:pt>
                <c:pt idx="18">
                  <c:v>-0.73714193500000202</c:v>
                </c:pt>
                <c:pt idx="19">
                  <c:v>-1.4461586288333319</c:v>
                </c:pt>
                <c:pt idx="20">
                  <c:v>-0.6570645894166669</c:v>
                </c:pt>
                <c:pt idx="21">
                  <c:v>-1.7232517007499999</c:v>
                </c:pt>
                <c:pt idx="22">
                  <c:v>-1.597896869583334</c:v>
                </c:pt>
                <c:pt idx="23">
                  <c:v>-1.831579526333333</c:v>
                </c:pt>
                <c:pt idx="24">
                  <c:v>-1.871764164</c:v>
                </c:pt>
                <c:pt idx="25">
                  <c:v>-2.0239897116666672</c:v>
                </c:pt>
                <c:pt idx="26">
                  <c:v>-1.9732627179166671</c:v>
                </c:pt>
                <c:pt idx="27">
                  <c:v>-1.8354939546666671</c:v>
                </c:pt>
                <c:pt idx="28">
                  <c:v>-1.718797566583333</c:v>
                </c:pt>
                <c:pt idx="29">
                  <c:v>-1.7398688581666679</c:v>
                </c:pt>
                <c:pt idx="30">
                  <c:v>-1.5395139759166669</c:v>
                </c:pt>
                <c:pt idx="31">
                  <c:v>-1.320918575333335</c:v>
                </c:pt>
                <c:pt idx="32">
                  <c:v>-1.262973035833332</c:v>
                </c:pt>
                <c:pt idx="33">
                  <c:v>-0.90693387891666599</c:v>
                </c:pt>
                <c:pt idx="34">
                  <c:v>-0.90300732958333252</c:v>
                </c:pt>
                <c:pt idx="35">
                  <c:v>-0.58691754658333295</c:v>
                </c:pt>
                <c:pt idx="36">
                  <c:v>-0.4109004175000005</c:v>
                </c:pt>
                <c:pt idx="37">
                  <c:v>-0.31814320374999999</c:v>
                </c:pt>
                <c:pt idx="38">
                  <c:v>-5.946580066666618E-2</c:v>
                </c:pt>
                <c:pt idx="39">
                  <c:v>-2.296775000001916E-5</c:v>
                </c:pt>
                <c:pt idx="40">
                  <c:v>1.75639833333463E-4</c:v>
                </c:pt>
                <c:pt idx="41">
                  <c:v>1.3200000000002099E-4</c:v>
                </c:pt>
                <c:pt idx="42">
                  <c:v>4.976666666670071E-4</c:v>
                </c:pt>
                <c:pt idx="43">
                  <c:v>3.3700000000003172E-4</c:v>
                </c:pt>
                <c:pt idx="44">
                  <c:v>-1.433333333400455E-5</c:v>
                </c:pt>
                <c:pt idx="45">
                  <c:v>1.666666667010652E-6</c:v>
                </c:pt>
                <c:pt idx="46">
                  <c:v>-3.5200000000001902E-4</c:v>
                </c:pt>
                <c:pt idx="47">
                  <c:v>3.4666666666699491E-4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3940-4105-A1F4-42489B9445C9}"/>
            </c:ext>
          </c:extLst>
        </c:ser>
        <c:ser>
          <c:idx val="48"/>
          <c:order val="48"/>
          <c:tx>
            <c:v>BES_TR8_four78_B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Net_kW!$AY$2:$AY$49</c:f>
              <c:numCache>
                <c:formatCode>#,##0.000</c:formatCode>
                <c:ptCount val="48"/>
                <c:pt idx="0">
                  <c:v>-4.4733333333300818E-4</c:v>
                </c:pt>
                <c:pt idx="1">
                  <c:v>2.2066666666670229E-4</c:v>
                </c:pt>
                <c:pt idx="2">
                  <c:v>0</c:v>
                </c:pt>
                <c:pt idx="3">
                  <c:v>1.4199999999998941E-4</c:v>
                </c:pt>
                <c:pt idx="4">
                  <c:v>0</c:v>
                </c:pt>
                <c:pt idx="5">
                  <c:v>1.4199999999998941E-4</c:v>
                </c:pt>
                <c:pt idx="6">
                  <c:v>-2.266666666669859E-4</c:v>
                </c:pt>
                <c:pt idx="7">
                  <c:v>-4.8847013333327277E-4</c:v>
                </c:pt>
                <c:pt idx="8">
                  <c:v>2.2850746666680519E-4</c:v>
                </c:pt>
                <c:pt idx="9">
                  <c:v>4.2644279999998203E-4</c:v>
                </c:pt>
                <c:pt idx="10">
                  <c:v>4.3304506666502762E-4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1.741656000009417E-4</c:v>
                </c:pt>
                <c:pt idx="14">
                  <c:v>4.0545200000074999E-5</c:v>
                </c:pt>
                <c:pt idx="15">
                  <c:v>-0.57867375666666665</c:v>
                </c:pt>
                <c:pt idx="16">
                  <c:v>-1.9818330649333351</c:v>
                </c:pt>
                <c:pt idx="17">
                  <c:v>-2.283877600266667</c:v>
                </c:pt>
                <c:pt idx="18">
                  <c:v>-2.3973590293333338</c:v>
                </c:pt>
                <c:pt idx="19">
                  <c:v>-1.5581747394666621</c:v>
                </c:pt>
                <c:pt idx="20">
                  <c:v>-2.7170729430666678</c:v>
                </c:pt>
                <c:pt idx="21">
                  <c:v>-2.5491511212</c:v>
                </c:pt>
                <c:pt idx="22">
                  <c:v>-2.7315315913333351</c:v>
                </c:pt>
                <c:pt idx="23">
                  <c:v>-3.0173867088000002</c:v>
                </c:pt>
                <c:pt idx="24">
                  <c:v>-3.0718496624000009</c:v>
                </c:pt>
                <c:pt idx="25">
                  <c:v>-2.8648686720000001</c:v>
                </c:pt>
                <c:pt idx="26">
                  <c:v>-2.6435504820000002</c:v>
                </c:pt>
                <c:pt idx="27">
                  <c:v>-2.9095316608000008</c:v>
                </c:pt>
                <c:pt idx="28">
                  <c:v>-2.4140925598666669</c:v>
                </c:pt>
                <c:pt idx="29">
                  <c:v>-2.5329721730666681</c:v>
                </c:pt>
                <c:pt idx="30">
                  <c:v>-2.3461611614666671</c:v>
                </c:pt>
                <c:pt idx="31">
                  <c:v>-1.8109861872000019</c:v>
                </c:pt>
                <c:pt idx="32">
                  <c:v>-1.460602057333332</c:v>
                </c:pt>
                <c:pt idx="33">
                  <c:v>-1.6654550729333319</c:v>
                </c:pt>
                <c:pt idx="34">
                  <c:v>-0.97814406066666493</c:v>
                </c:pt>
                <c:pt idx="35">
                  <c:v>-0.84062545453333304</c:v>
                </c:pt>
                <c:pt idx="36">
                  <c:v>-0.72890993466666798</c:v>
                </c:pt>
                <c:pt idx="37">
                  <c:v>-0.28484905933333399</c:v>
                </c:pt>
                <c:pt idx="38">
                  <c:v>-0.17583774773333319</c:v>
                </c:pt>
                <c:pt idx="39">
                  <c:v>-4.0028173333300782E-4</c:v>
                </c:pt>
                <c:pt idx="40">
                  <c:v>2.348904000003538E-4</c:v>
                </c:pt>
                <c:pt idx="41">
                  <c:v>3.4466666666976842E-4</c:v>
                </c:pt>
                <c:pt idx="42">
                  <c:v>-3.8533333333012898E-4</c:v>
                </c:pt>
                <c:pt idx="43">
                  <c:v>-4.1599999999997189E-4</c:v>
                </c:pt>
                <c:pt idx="44">
                  <c:v>2.5266666666978738E-4</c:v>
                </c:pt>
                <c:pt idx="45">
                  <c:v>3.1599999999976092E-4</c:v>
                </c:pt>
                <c:pt idx="46">
                  <c:v>0.84012799999999987</c:v>
                </c:pt>
                <c:pt idx="47">
                  <c:v>0.54701066666666698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3940-4105-A1F4-42489B9445C9}"/>
            </c:ext>
          </c:extLst>
        </c:ser>
        <c:ser>
          <c:idx val="49"/>
          <c:order val="49"/>
          <c:tx>
            <c:v>BES_TR8_four734_A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Net_kW!$AZ$2:$AZ$49</c:f>
              <c:numCache>
                <c:formatCode>#,##0.000</c:formatCode>
                <c:ptCount val="48"/>
                <c:pt idx="0">
                  <c:v>3.9999999999928981E-5</c:v>
                </c:pt>
                <c:pt idx="1">
                  <c:v>-3.3666666666698491E-4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4.1939739999999342E-4</c:v>
                </c:pt>
                <c:pt idx="8">
                  <c:v>-3.0086939999990521E-4</c:v>
                </c:pt>
                <c:pt idx="9">
                  <c:v>-4.3016790000000032E-4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6.1055499998907692E-5</c:v>
                </c:pt>
                <c:pt idx="13">
                  <c:v>3.7079086666791378E-4</c:v>
                </c:pt>
                <c:pt idx="14">
                  <c:v>-4.6959110000011067E-4</c:v>
                </c:pt>
                <c:pt idx="15">
                  <c:v>3.0432499999788479E-5</c:v>
                </c:pt>
                <c:pt idx="16">
                  <c:v>-9.1247048700000999E-2</c:v>
                </c:pt>
                <c:pt idx="17">
                  <c:v>-1.8504882002</c:v>
                </c:pt>
                <c:pt idx="18">
                  <c:v>-1.924739188666668</c:v>
                </c:pt>
                <c:pt idx="19">
                  <c:v>-2.0367475545999989</c:v>
                </c:pt>
                <c:pt idx="20">
                  <c:v>-2.1669667073000012</c:v>
                </c:pt>
                <c:pt idx="21">
                  <c:v>-2.2744388408999998</c:v>
                </c:pt>
                <c:pt idx="22">
                  <c:v>-2.3146934435000008</c:v>
                </c:pt>
                <c:pt idx="23">
                  <c:v>-2.4083430315999999</c:v>
                </c:pt>
                <c:pt idx="24">
                  <c:v>-2.528794330133334</c:v>
                </c:pt>
                <c:pt idx="25">
                  <c:v>-2.2382845873333328</c:v>
                </c:pt>
                <c:pt idx="26">
                  <c:v>-1.5462385281666671</c:v>
                </c:pt>
                <c:pt idx="27">
                  <c:v>-4.8407893333102248E-4</c:v>
                </c:pt>
                <c:pt idx="28">
                  <c:v>-1.0919899999906059E-5</c:v>
                </c:pt>
                <c:pt idx="29">
                  <c:v>-0.34144896313333389</c:v>
                </c:pt>
                <c:pt idx="30">
                  <c:v>-1.7829903710999999</c:v>
                </c:pt>
                <c:pt idx="31">
                  <c:v>-1.611597890400001</c:v>
                </c:pt>
                <c:pt idx="32">
                  <c:v>-1.1282617096666661</c:v>
                </c:pt>
                <c:pt idx="33">
                  <c:v>-0.97157745469999912</c:v>
                </c:pt>
                <c:pt idx="34">
                  <c:v>-0.94421212883333205</c:v>
                </c:pt>
                <c:pt idx="35">
                  <c:v>-0.51901188256666708</c:v>
                </c:pt>
                <c:pt idx="36">
                  <c:v>-0.54729536766666809</c:v>
                </c:pt>
                <c:pt idx="37">
                  <c:v>-0.42106304449999998</c:v>
                </c:pt>
                <c:pt idx="38">
                  <c:v>-0.22424056079999991</c:v>
                </c:pt>
                <c:pt idx="39">
                  <c:v>8.337203333300125E-5</c:v>
                </c:pt>
                <c:pt idx="40">
                  <c:v>-3.7683220000001022E-4</c:v>
                </c:pt>
                <c:pt idx="41">
                  <c:v>-4.1466666666700741E-4</c:v>
                </c:pt>
                <c:pt idx="42">
                  <c:v>2.9399999999990539E-4</c:v>
                </c:pt>
                <c:pt idx="43">
                  <c:v>2.8666666666987689E-4</c:v>
                </c:pt>
                <c:pt idx="44">
                  <c:v>1.9396833333333301</c:v>
                </c:pt>
                <c:pt idx="45">
                  <c:v>0.49304633333333298</c:v>
                </c:pt>
                <c:pt idx="46">
                  <c:v>0.37425966666666699</c:v>
                </c:pt>
                <c:pt idx="47">
                  <c:v>0.27930766666666701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3940-4105-A1F4-42489B9445C9}"/>
            </c:ext>
          </c:extLst>
        </c:ser>
        <c:ser>
          <c:idx val="50"/>
          <c:order val="50"/>
          <c:tx>
            <c:v>BES_TR8_four797_C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Net_kW!$BA$2:$BA$49</c:f>
              <c:numCache>
                <c:formatCode>#,##0.000</c:formatCode>
                <c:ptCount val="48"/>
                <c:pt idx="0">
                  <c:v>9.733333333300509E-5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4.1939739999999342E-4</c:v>
                </c:pt>
                <c:pt idx="8">
                  <c:v>-3.0086939999990169E-4</c:v>
                </c:pt>
                <c:pt idx="9">
                  <c:v>-4.3016789999997251E-4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6.1055499998907692E-5</c:v>
                </c:pt>
                <c:pt idx="13">
                  <c:v>-3.0587579999885589E-4</c:v>
                </c:pt>
                <c:pt idx="14">
                  <c:v>2.9627556666689259E-4</c:v>
                </c:pt>
                <c:pt idx="15">
                  <c:v>6.6099166666999665E-5</c:v>
                </c:pt>
                <c:pt idx="16">
                  <c:v>-5.3048700001001592E-5</c:v>
                </c:pt>
                <c:pt idx="17">
                  <c:v>-1.6812942002</c:v>
                </c:pt>
                <c:pt idx="18">
                  <c:v>-2.0325927220000009</c:v>
                </c:pt>
                <c:pt idx="19">
                  <c:v>-2.144217021266666</c:v>
                </c:pt>
                <c:pt idx="20">
                  <c:v>-2.1882467073000011</c:v>
                </c:pt>
                <c:pt idx="21">
                  <c:v>-2.2974028408999998</c:v>
                </c:pt>
                <c:pt idx="22">
                  <c:v>-2.1666074435000011</c:v>
                </c:pt>
                <c:pt idx="23">
                  <c:v>-2.3919350316000001</c:v>
                </c:pt>
                <c:pt idx="24">
                  <c:v>-2.4193676634666681</c:v>
                </c:pt>
                <c:pt idx="25">
                  <c:v>-2.407701254</c:v>
                </c:pt>
                <c:pt idx="26">
                  <c:v>-2.2821488615000001</c:v>
                </c:pt>
                <c:pt idx="27">
                  <c:v>-2.143212745600001</c:v>
                </c:pt>
                <c:pt idx="28">
                  <c:v>-1.8520049198999999</c:v>
                </c:pt>
                <c:pt idx="29">
                  <c:v>-1.958006629800001</c:v>
                </c:pt>
                <c:pt idx="30">
                  <c:v>-1.692581037766667</c:v>
                </c:pt>
                <c:pt idx="31">
                  <c:v>-1.574613290400001</c:v>
                </c:pt>
                <c:pt idx="32">
                  <c:v>-1.577059509666666</c:v>
                </c:pt>
                <c:pt idx="33">
                  <c:v>-1.3440534546999989</c:v>
                </c:pt>
                <c:pt idx="34">
                  <c:v>-1.1087421288333319</c:v>
                </c:pt>
                <c:pt idx="35">
                  <c:v>-0.79313821590000011</c:v>
                </c:pt>
                <c:pt idx="36">
                  <c:v>-0.58508623433333407</c:v>
                </c:pt>
                <c:pt idx="37">
                  <c:v>-0.33884911116666688</c:v>
                </c:pt>
                <c:pt idx="38">
                  <c:v>-4.5889413333294332E-4</c:v>
                </c:pt>
                <c:pt idx="39">
                  <c:v>-3.4662796666684592E-4</c:v>
                </c:pt>
                <c:pt idx="40">
                  <c:v>1.3383446666592749E-4</c:v>
                </c:pt>
                <c:pt idx="41">
                  <c:v>2.0433333333302881E-4</c:v>
                </c:pt>
                <c:pt idx="42">
                  <c:v>3.0899999999989269E-4</c:v>
                </c:pt>
                <c:pt idx="43">
                  <c:v>8.0000000000635119E-6</c:v>
                </c:pt>
                <c:pt idx="44">
                  <c:v>-2.7166666666700312E-4</c:v>
                </c:pt>
                <c:pt idx="45">
                  <c:v>-3.0900000000000372E-4</c:v>
                </c:pt>
                <c:pt idx="46">
                  <c:v>4.866666666670239E-4</c:v>
                </c:pt>
                <c:pt idx="47">
                  <c:v>2.4366666666697509E-4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3940-4105-A1F4-42489B9445C9}"/>
            </c:ext>
          </c:extLst>
        </c:ser>
        <c:ser>
          <c:idx val="51"/>
          <c:order val="51"/>
          <c:tx>
            <c:v>BES_TR8_four846_C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Net_kW!$BB$2:$BB$49</c:f>
              <c:numCache>
                <c:formatCode>#,##0.000</c:formatCode>
                <c:ptCount val="48"/>
                <c:pt idx="0">
                  <c:v>-1.2633333333303409E-4</c:v>
                </c:pt>
                <c:pt idx="1">
                  <c:v>1.886666666666981E-4</c:v>
                </c:pt>
                <c:pt idx="2">
                  <c:v>-2.5066666666700987E-4</c:v>
                </c:pt>
                <c:pt idx="3">
                  <c:v>3.8093333333300011E-4</c:v>
                </c:pt>
                <c:pt idx="4">
                  <c:v>-6.2666666666599813E-5</c:v>
                </c:pt>
                <c:pt idx="5">
                  <c:v>-2.193333333329883E-4</c:v>
                </c:pt>
                <c:pt idx="6">
                  <c:v>3.5999999999999921E-4</c:v>
                </c:pt>
                <c:pt idx="7">
                  <c:v>4.0252986666662599E-4</c:v>
                </c:pt>
                <c:pt idx="8">
                  <c:v>-1.198258666665064E-4</c:v>
                </c:pt>
                <c:pt idx="9">
                  <c:v>4.6442799999990569E-5</c:v>
                </c:pt>
                <c:pt idx="10">
                  <c:v>3.7771173333200903E-4</c:v>
                </c:pt>
                <c:pt idx="11">
                  <c:v>-3.7797653333193631E-4</c:v>
                </c:pt>
                <c:pt idx="12">
                  <c:v>-2.7359266666815429E-4</c:v>
                </c:pt>
                <c:pt idx="13">
                  <c:v>2.1183226666798841E-4</c:v>
                </c:pt>
                <c:pt idx="14">
                  <c:v>5.1211866666678318E-5</c:v>
                </c:pt>
                <c:pt idx="15">
                  <c:v>-0.12959942333333291</c:v>
                </c:pt>
                <c:pt idx="16">
                  <c:v>-2.1266113982666681</c:v>
                </c:pt>
                <c:pt idx="17">
                  <c:v>-2.4762682669333329</c:v>
                </c:pt>
                <c:pt idx="18">
                  <c:v>-2.415417362666668</c:v>
                </c:pt>
                <c:pt idx="19">
                  <c:v>-2.6486314061333318</c:v>
                </c:pt>
                <c:pt idx="20">
                  <c:v>-2.0998076097333378</c:v>
                </c:pt>
                <c:pt idx="21">
                  <c:v>-2.8705577878666668</c:v>
                </c:pt>
                <c:pt idx="22">
                  <c:v>-2.9984322580000011</c:v>
                </c:pt>
                <c:pt idx="23">
                  <c:v>-3.3041667088</c:v>
                </c:pt>
                <c:pt idx="24">
                  <c:v>-3.304763329066668</c:v>
                </c:pt>
                <c:pt idx="25">
                  <c:v>-3.3548416720000001</c:v>
                </c:pt>
                <c:pt idx="26">
                  <c:v>-3.1065604819999999</c:v>
                </c:pt>
                <c:pt idx="27">
                  <c:v>-3.1653343274666681</c:v>
                </c:pt>
                <c:pt idx="28">
                  <c:v>-2.8802958932</c:v>
                </c:pt>
                <c:pt idx="29">
                  <c:v>-2.7693241730666678</c:v>
                </c:pt>
                <c:pt idx="30">
                  <c:v>-2.5962381614666672</c:v>
                </c:pt>
                <c:pt idx="31">
                  <c:v>-2.3367561872000011</c:v>
                </c:pt>
                <c:pt idx="32">
                  <c:v>-2.0443792573333321</c:v>
                </c:pt>
                <c:pt idx="33">
                  <c:v>-1.6130166062666651</c:v>
                </c:pt>
                <c:pt idx="34">
                  <c:v>-1.2960430606666651</c:v>
                </c:pt>
                <c:pt idx="35">
                  <c:v>-0.88389808786666713</c:v>
                </c:pt>
                <c:pt idx="36">
                  <c:v>-0.64705893466666797</c:v>
                </c:pt>
                <c:pt idx="37">
                  <c:v>-0.30991939266666702</c:v>
                </c:pt>
                <c:pt idx="38">
                  <c:v>-0.14817714773333321</c:v>
                </c:pt>
                <c:pt idx="39">
                  <c:v>4.52051600000003E-4</c:v>
                </c:pt>
                <c:pt idx="40">
                  <c:v>1.108904000000077E-4</c:v>
                </c:pt>
                <c:pt idx="41">
                  <c:v>1.426666666669851E-4</c:v>
                </c:pt>
                <c:pt idx="42">
                  <c:v>4.0700000000004621E-4</c:v>
                </c:pt>
                <c:pt idx="43">
                  <c:v>-4.7733333333305211E-4</c:v>
                </c:pt>
                <c:pt idx="44">
                  <c:v>-2.9999999999996701E-4</c:v>
                </c:pt>
                <c:pt idx="45">
                  <c:v>-3.1133333333299712E-4</c:v>
                </c:pt>
                <c:pt idx="46">
                  <c:v>3.0600000000000072E-4</c:v>
                </c:pt>
                <c:pt idx="47">
                  <c:v>-3.7333333333300361E-4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3940-4105-A1F4-42489B9445C9}"/>
            </c:ext>
          </c:extLst>
        </c:ser>
        <c:ser>
          <c:idx val="52"/>
          <c:order val="52"/>
          <c:tx>
            <c:v>BES_TR8_four854_A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Net_kW!$BC$2:$BC$49</c:f>
              <c:numCache>
                <c:formatCode>#,##0.000</c:formatCode>
                <c:ptCount val="48"/>
                <c:pt idx="0">
                  <c:v>-3.4694469519536142E-18</c:v>
                </c:pt>
                <c:pt idx="1">
                  <c:v>4.399999999999959E-4</c:v>
                </c:pt>
                <c:pt idx="2">
                  <c:v>-3.4694469519536142E-18</c:v>
                </c:pt>
                <c:pt idx="3">
                  <c:v>4.399999999999959E-4</c:v>
                </c:pt>
                <c:pt idx="4">
                  <c:v>-3.4694469519536142E-18</c:v>
                </c:pt>
                <c:pt idx="5">
                  <c:v>4.359999999999919E-4</c:v>
                </c:pt>
                <c:pt idx="6">
                  <c:v>4.0000000000040004E-6</c:v>
                </c:pt>
                <c:pt idx="7">
                  <c:v>1.3519653333332599E-4</c:v>
                </c:pt>
                <c:pt idx="8">
                  <c:v>1.295074666668034E-4</c:v>
                </c:pt>
                <c:pt idx="9">
                  <c:v>6.9776133332921653E-5</c:v>
                </c:pt>
                <c:pt idx="10">
                  <c:v>4.3304506666502762E-4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-1.6116773333196829E-4</c:v>
                </c:pt>
                <c:pt idx="14">
                  <c:v>-9.9454800000176036E-5</c:v>
                </c:pt>
                <c:pt idx="15">
                  <c:v>-1.940899999999246E-4</c:v>
                </c:pt>
                <c:pt idx="16">
                  <c:v>-1.850321398266668</c:v>
                </c:pt>
                <c:pt idx="17">
                  <c:v>-2.5066509336</c:v>
                </c:pt>
                <c:pt idx="18">
                  <c:v>-2.5996353626666679</c:v>
                </c:pt>
                <c:pt idx="19">
                  <c:v>-2.9313834061333321</c:v>
                </c:pt>
                <c:pt idx="20">
                  <c:v>-3.0373382764000012</c:v>
                </c:pt>
                <c:pt idx="21">
                  <c:v>-3.1678691211999999</c:v>
                </c:pt>
                <c:pt idx="22">
                  <c:v>-3.3221179246666681</c:v>
                </c:pt>
                <c:pt idx="23">
                  <c:v>-3.300153375466667</c:v>
                </c:pt>
                <c:pt idx="24">
                  <c:v>-3.4116479957333352</c:v>
                </c:pt>
                <c:pt idx="25">
                  <c:v>-3.0676952386666669</c:v>
                </c:pt>
                <c:pt idx="26">
                  <c:v>-3.1556975820000002</c:v>
                </c:pt>
                <c:pt idx="27">
                  <c:v>-3.1833343274666679</c:v>
                </c:pt>
                <c:pt idx="28">
                  <c:v>-2.9040678932000001</c:v>
                </c:pt>
                <c:pt idx="29">
                  <c:v>-2.8481901730666679</c:v>
                </c:pt>
                <c:pt idx="30">
                  <c:v>-2.6491284947999998</c:v>
                </c:pt>
                <c:pt idx="31">
                  <c:v>-2.2781438538666681</c:v>
                </c:pt>
                <c:pt idx="32">
                  <c:v>-2.139800057333332</c:v>
                </c:pt>
                <c:pt idx="33">
                  <c:v>-1.708919272933332</c:v>
                </c:pt>
                <c:pt idx="34">
                  <c:v>-1.482923727333332</c:v>
                </c:pt>
                <c:pt idx="35">
                  <c:v>-1.1433736212000001</c:v>
                </c:pt>
                <c:pt idx="36">
                  <c:v>-0.81405293466666806</c:v>
                </c:pt>
                <c:pt idx="37">
                  <c:v>-0.60075072600000001</c:v>
                </c:pt>
                <c:pt idx="38">
                  <c:v>-0.3054607477333332</c:v>
                </c:pt>
                <c:pt idx="39">
                  <c:v>4.2005160000000569E-4</c:v>
                </c:pt>
                <c:pt idx="40">
                  <c:v>3.802237333333236E-4</c:v>
                </c:pt>
                <c:pt idx="41">
                  <c:v>1.9199999999997E-4</c:v>
                </c:pt>
                <c:pt idx="42">
                  <c:v>-1.626666666669774E-4</c:v>
                </c:pt>
                <c:pt idx="43">
                  <c:v>2.7333333333301463E-4</c:v>
                </c:pt>
                <c:pt idx="44">
                  <c:v>1.7266666666704289E-4</c:v>
                </c:pt>
                <c:pt idx="45">
                  <c:v>-3.4694469519536142E-18</c:v>
                </c:pt>
                <c:pt idx="46">
                  <c:v>-3.4694469519536142E-18</c:v>
                </c:pt>
                <c:pt idx="47">
                  <c:v>-3.4694469519536142E-18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3940-4105-A1F4-42489B9445C9}"/>
            </c:ext>
          </c:extLst>
        </c:ser>
        <c:ser>
          <c:idx val="53"/>
          <c:order val="53"/>
          <c:tx>
            <c:v>BES_TR8_four936_C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Net_kW!$BD$2:$BD$49</c:f>
              <c:numCache>
                <c:formatCode>#,##0.000</c:formatCode>
                <c:ptCount val="48"/>
                <c:pt idx="0">
                  <c:v>2.4033333333295381E-4</c:v>
                </c:pt>
                <c:pt idx="1">
                  <c:v>4.4999999999990881E-4</c:v>
                </c:pt>
                <c:pt idx="2">
                  <c:v>-1.5299999999998651E-4</c:v>
                </c:pt>
                <c:pt idx="3">
                  <c:v>1.9333333333329539E-4</c:v>
                </c:pt>
                <c:pt idx="4">
                  <c:v>3.4233333333340282E-4</c:v>
                </c:pt>
                <c:pt idx="5">
                  <c:v>-3.1533333333300112E-4</c:v>
                </c:pt>
                <c:pt idx="6">
                  <c:v>0</c:v>
                </c:pt>
                <c:pt idx="7">
                  <c:v>-1.1196796666698711E-4</c:v>
                </c:pt>
                <c:pt idx="8">
                  <c:v>4.795653000000677E-4</c:v>
                </c:pt>
                <c:pt idx="9">
                  <c:v>4.9991605000000369E-4</c:v>
                </c:pt>
                <c:pt idx="10">
                  <c:v>-1.0941433333501451E-5</c:v>
                </c:pt>
                <c:pt idx="11">
                  <c:v>-1.6040786666646911E-4</c:v>
                </c:pt>
                <c:pt idx="12">
                  <c:v>3.0527749999342817E-5</c:v>
                </c:pt>
                <c:pt idx="13">
                  <c:v>1.653954333334928E-4</c:v>
                </c:pt>
                <c:pt idx="14">
                  <c:v>4.5820444999999932E-4</c:v>
                </c:pt>
                <c:pt idx="15">
                  <c:v>3.2354958333302708E-4</c:v>
                </c:pt>
                <c:pt idx="16">
                  <c:v>-2.7785768333354888E-4</c:v>
                </c:pt>
                <c:pt idx="17">
                  <c:v>1.2589990000000381E-4</c:v>
                </c:pt>
                <c:pt idx="18">
                  <c:v>4.8257233333304228E-4</c:v>
                </c:pt>
                <c:pt idx="19">
                  <c:v>-4.3877729999897142E-4</c:v>
                </c:pt>
                <c:pt idx="20">
                  <c:v>-6.1353649999817961E-5</c:v>
                </c:pt>
                <c:pt idx="21">
                  <c:v>-1.3852044999995711E-4</c:v>
                </c:pt>
                <c:pt idx="22">
                  <c:v>-0.93262078841666696</c:v>
                </c:pt>
                <c:pt idx="23">
                  <c:v>-1.838318246667003E-2</c:v>
                </c:pt>
                <c:pt idx="24">
                  <c:v>-4.2716506667091902E-4</c:v>
                </c:pt>
                <c:pt idx="25">
                  <c:v>-0.9930322936666669</c:v>
                </c:pt>
                <c:pt idx="26">
                  <c:v>4.6790258332990442E-4</c:v>
                </c:pt>
                <c:pt idx="27">
                  <c:v>-0.48618937280000007</c:v>
                </c:pt>
                <c:pt idx="28">
                  <c:v>-0.73604412661666707</c:v>
                </c:pt>
                <c:pt idx="29">
                  <c:v>-0.4772269815666671</c:v>
                </c:pt>
                <c:pt idx="30">
                  <c:v>-9.7332185550000005E-2</c:v>
                </c:pt>
                <c:pt idx="31">
                  <c:v>-0.63479894520000046</c:v>
                </c:pt>
                <c:pt idx="32">
                  <c:v>2.8697850000058978E-4</c:v>
                </c:pt>
                <c:pt idx="33">
                  <c:v>2.7060598333356062E-4</c:v>
                </c:pt>
                <c:pt idx="34">
                  <c:v>-2.843977499995543E-4</c:v>
                </c:pt>
                <c:pt idx="35">
                  <c:v>-1.5444128333030879E-4</c:v>
                </c:pt>
                <c:pt idx="36">
                  <c:v>-1.088505000005624E-4</c:v>
                </c:pt>
                <c:pt idx="37">
                  <c:v>2.161444166670079E-4</c:v>
                </c:pt>
                <c:pt idx="38">
                  <c:v>7.6719600000080268E-5</c:v>
                </c:pt>
                <c:pt idx="39">
                  <c:v>-4.583139833330141E-4</c:v>
                </c:pt>
                <c:pt idx="40">
                  <c:v>1.7458390000002491E-4</c:v>
                </c:pt>
                <c:pt idx="41">
                  <c:v>-2.9400000000001652E-4</c:v>
                </c:pt>
                <c:pt idx="42">
                  <c:v>7.9999999999968985E-5</c:v>
                </c:pt>
                <c:pt idx="43">
                  <c:v>4.0833333333401001E-4</c:v>
                </c:pt>
                <c:pt idx="44">
                  <c:v>2.666666666706341E-5</c:v>
                </c:pt>
                <c:pt idx="45">
                  <c:v>-1.736666666669606E-4</c:v>
                </c:pt>
                <c:pt idx="46">
                  <c:v>1.9333333333329539E-4</c:v>
                </c:pt>
                <c:pt idx="47">
                  <c:v>5.8258333333333003E-2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3940-4105-A1F4-42489B9445C9}"/>
            </c:ext>
          </c:extLst>
        </c:ser>
        <c:ser>
          <c:idx val="54"/>
          <c:order val="54"/>
          <c:tx>
            <c:v>BES_TR8_four950_B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Net_kW!$BE$2:$BE$49</c:f>
              <c:numCache>
                <c:formatCode>#,##0.000</c:formatCode>
                <c:ptCount val="48"/>
                <c:pt idx="0">
                  <c:v>1.0100000000000391E-4</c:v>
                </c:pt>
                <c:pt idx="1">
                  <c:v>3.6000000000008248E-5</c:v>
                </c:pt>
                <c:pt idx="2">
                  <c:v>-1.8000000000001351E-4</c:v>
                </c:pt>
                <c:pt idx="3">
                  <c:v>3.6000000000008248E-5</c:v>
                </c:pt>
                <c:pt idx="4">
                  <c:v>-1.8000000000001351E-4</c:v>
                </c:pt>
                <c:pt idx="5">
                  <c:v>2.399999999999625E-5</c:v>
                </c:pt>
                <c:pt idx="6">
                  <c:v>1.2000000000011999E-5</c:v>
                </c:pt>
                <c:pt idx="7">
                  <c:v>4.21965333333163E-5</c:v>
                </c:pt>
                <c:pt idx="8">
                  <c:v>-3.9749253333321022E-4</c:v>
                </c:pt>
                <c:pt idx="9">
                  <c:v>3.7244279999998348E-4</c:v>
                </c:pt>
                <c:pt idx="10">
                  <c:v>-4.3028826666802189E-4</c:v>
                </c:pt>
                <c:pt idx="11">
                  <c:v>1.7802346666806471E-4</c:v>
                </c:pt>
                <c:pt idx="12">
                  <c:v>8.1407333331950937E-5</c:v>
                </c:pt>
                <c:pt idx="13">
                  <c:v>1.148322666679746E-4</c:v>
                </c:pt>
                <c:pt idx="14">
                  <c:v>4.0545200000074999E-5</c:v>
                </c:pt>
                <c:pt idx="15">
                  <c:v>-3.9975666666691723E-4</c:v>
                </c:pt>
                <c:pt idx="16">
                  <c:v>-2.008699731600001</c:v>
                </c:pt>
                <c:pt idx="17">
                  <c:v>-2.3706336002666668</c:v>
                </c:pt>
                <c:pt idx="18">
                  <c:v>-2.6147366960000009</c:v>
                </c:pt>
                <c:pt idx="19">
                  <c:v>-2.8422824061333318</c:v>
                </c:pt>
                <c:pt idx="20">
                  <c:v>-2.7106232764000011</c:v>
                </c:pt>
                <c:pt idx="21">
                  <c:v>-1.3992117211999999</c:v>
                </c:pt>
                <c:pt idx="22">
                  <c:v>-3.128141924666668</c:v>
                </c:pt>
                <c:pt idx="23">
                  <c:v>-2.2558817088000001</c:v>
                </c:pt>
                <c:pt idx="24">
                  <c:v>-2.2047433290666678</c:v>
                </c:pt>
                <c:pt idx="25">
                  <c:v>-3.1986316719999999</c:v>
                </c:pt>
                <c:pt idx="26">
                  <c:v>-2.909612482</c:v>
                </c:pt>
                <c:pt idx="27">
                  <c:v>-3.1027709941333348</c:v>
                </c:pt>
                <c:pt idx="28">
                  <c:v>-2.8016518931999999</c:v>
                </c:pt>
                <c:pt idx="29">
                  <c:v>-2.8221901730666681</c:v>
                </c:pt>
                <c:pt idx="30">
                  <c:v>-2.4759651614666671</c:v>
                </c:pt>
                <c:pt idx="31">
                  <c:v>-2.3228911872000011</c:v>
                </c:pt>
                <c:pt idx="32">
                  <c:v>-2.0580810573333319</c:v>
                </c:pt>
                <c:pt idx="33">
                  <c:v>-1.332077606266665</c:v>
                </c:pt>
                <c:pt idx="34">
                  <c:v>-1.1505387273333321</c:v>
                </c:pt>
                <c:pt idx="35">
                  <c:v>-0.86833962120000008</c:v>
                </c:pt>
                <c:pt idx="36">
                  <c:v>-0.6395102680000011</c:v>
                </c:pt>
                <c:pt idx="37">
                  <c:v>-0.41105199266666698</c:v>
                </c:pt>
                <c:pt idx="38">
                  <c:v>-3.57424144000002E-2</c:v>
                </c:pt>
                <c:pt idx="39">
                  <c:v>3.4071826666703942E-4</c:v>
                </c:pt>
                <c:pt idx="40">
                  <c:v>-1.5777626666668709E-4</c:v>
                </c:pt>
                <c:pt idx="41">
                  <c:v>-2.8866666666704788E-4</c:v>
                </c:pt>
                <c:pt idx="42">
                  <c:v>4.0299999999993119E-4</c:v>
                </c:pt>
                <c:pt idx="43">
                  <c:v>1.1433333333304981E-4</c:v>
                </c:pt>
                <c:pt idx="44">
                  <c:v>-6.1333333333024598E-5</c:v>
                </c:pt>
                <c:pt idx="45">
                  <c:v>-1.9066666666700541E-4</c:v>
                </c:pt>
                <c:pt idx="46">
                  <c:v>-4.41999999999998E-4</c:v>
                </c:pt>
                <c:pt idx="47">
                  <c:v>6.0000000000060014E-6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3940-4105-A1F4-42489B9445C9}"/>
            </c:ext>
          </c:extLst>
        </c:ser>
        <c:ser>
          <c:idx val="55"/>
          <c:order val="55"/>
          <c:tx>
            <c:v>BES_TR8_four978_A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Net_kW!$BF$2:$BF$49</c:f>
              <c:numCache>
                <c:formatCode>#,##0.000</c:formatCode>
                <c:ptCount val="48"/>
                <c:pt idx="0">
                  <c:v>-1.3533333333404229E-4</c:v>
                </c:pt>
                <c:pt idx="1">
                  <c:v>4.1999999999986493E-5</c:v>
                </c:pt>
                <c:pt idx="2">
                  <c:v>-2.6666666670116519E-6</c:v>
                </c:pt>
                <c:pt idx="3">
                  <c:v>1.659999999999717E-4</c:v>
                </c:pt>
                <c:pt idx="4">
                  <c:v>0</c:v>
                </c:pt>
                <c:pt idx="5">
                  <c:v>-2.7333333333301463E-4</c:v>
                </c:pt>
                <c:pt idx="6">
                  <c:v>4.4366666666699472E-4</c:v>
                </c:pt>
                <c:pt idx="7">
                  <c:v>-1.1550216666667E-4</c:v>
                </c:pt>
                <c:pt idx="8">
                  <c:v>1.639421666667501E-4</c:v>
                </c:pt>
                <c:pt idx="9">
                  <c:v>-4.8513991666699832E-4</c:v>
                </c:pt>
                <c:pt idx="10">
                  <c:v>-3.3768016666749218E-4</c:v>
                </c:pt>
                <c:pt idx="11">
                  <c:v>-3.5123533333247797E-4</c:v>
                </c:pt>
                <c:pt idx="12">
                  <c:v>-1.16787083334513E-4</c:v>
                </c:pt>
                <c:pt idx="13">
                  <c:v>4.3277016666753992E-4</c:v>
                </c:pt>
                <c:pt idx="14">
                  <c:v>-1.0332591666606381E-4</c:v>
                </c:pt>
                <c:pt idx="15">
                  <c:v>-9.9306249999875362E-5</c:v>
                </c:pt>
                <c:pt idx="16">
                  <c:v>-3.945405833349902E-4</c:v>
                </c:pt>
                <c:pt idx="17">
                  <c:v>3.0216649999981188E-4</c:v>
                </c:pt>
                <c:pt idx="18">
                  <c:v>-0.85467226833333476</c:v>
                </c:pt>
                <c:pt idx="19">
                  <c:v>-1.1399096288333319</c:v>
                </c:pt>
                <c:pt idx="20">
                  <c:v>-1.460013589416667</c:v>
                </c:pt>
                <c:pt idx="21">
                  <c:v>-1.579881367416667</c:v>
                </c:pt>
                <c:pt idx="22">
                  <c:v>-1.9968215362499999</c:v>
                </c:pt>
                <c:pt idx="23">
                  <c:v>-2.071101793</c:v>
                </c:pt>
                <c:pt idx="24">
                  <c:v>-0.38742689733333679</c:v>
                </c:pt>
                <c:pt idx="25">
                  <c:v>-1.221015111666667</c:v>
                </c:pt>
                <c:pt idx="26">
                  <c:v>-1.8797127179166671</c:v>
                </c:pt>
                <c:pt idx="27">
                  <c:v>-1.853181954666667</c:v>
                </c:pt>
                <c:pt idx="28">
                  <c:v>-1.805131099916667</c:v>
                </c:pt>
                <c:pt idx="29">
                  <c:v>-1.6265588581666679</c:v>
                </c:pt>
                <c:pt idx="30">
                  <c:v>-1.4978519759166671</c:v>
                </c:pt>
                <c:pt idx="31">
                  <c:v>-0.17562524199999799</c:v>
                </c:pt>
                <c:pt idx="32">
                  <c:v>-0.97427903583333209</c:v>
                </c:pt>
                <c:pt idx="33">
                  <c:v>-0.91510254558333304</c:v>
                </c:pt>
                <c:pt idx="34">
                  <c:v>-0.81004732958333248</c:v>
                </c:pt>
                <c:pt idx="35">
                  <c:v>-1.7865513249999961E-2</c:v>
                </c:pt>
                <c:pt idx="36">
                  <c:v>5.6982500002578103E-5</c:v>
                </c:pt>
                <c:pt idx="37">
                  <c:v>-2.2147041666698011E-4</c:v>
                </c:pt>
                <c:pt idx="38">
                  <c:v>-1.944006666662057E-4</c:v>
                </c:pt>
                <c:pt idx="39">
                  <c:v>-2.8230108333304749E-4</c:v>
                </c:pt>
                <c:pt idx="40">
                  <c:v>-4.8902683333362784E-4</c:v>
                </c:pt>
                <c:pt idx="41">
                  <c:v>-3.4866666666610868E-4</c:v>
                </c:pt>
                <c:pt idx="42">
                  <c:v>-3.0066666666983538E-4</c:v>
                </c:pt>
                <c:pt idx="43">
                  <c:v>-6.4333333329891218E-5</c:v>
                </c:pt>
                <c:pt idx="44">
                  <c:v>1.6633333333293529E-4</c:v>
                </c:pt>
                <c:pt idx="45">
                  <c:v>4.9599999999999644E-4</c:v>
                </c:pt>
                <c:pt idx="46">
                  <c:v>5.9333333332994842E-5</c:v>
                </c:pt>
                <c:pt idx="47">
                  <c:v>1.03999999999993E-4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3940-4105-A1F4-42489B9445C9}"/>
            </c:ext>
          </c:extLst>
        </c:ser>
        <c:ser>
          <c:idx val="56"/>
          <c:order val="56"/>
          <c:tx>
            <c:v>BES_TR8_four104_A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Net_kW!$BG$2:$BG$49</c:f>
              <c:numCache>
                <c:formatCode>#,##0.000</c:formatCode>
                <c:ptCount val="48"/>
                <c:pt idx="0">
                  <c:v>-2.010000000000067E-4</c:v>
                </c:pt>
                <c:pt idx="1">
                  <c:v>-4.6266666666670148E-4</c:v>
                </c:pt>
                <c:pt idx="2">
                  <c:v>-8.3333333332991089E-5</c:v>
                </c:pt>
                <c:pt idx="3">
                  <c:v>2.8800000000001052E-4</c:v>
                </c:pt>
                <c:pt idx="4">
                  <c:v>-3.1333333333297131E-4</c:v>
                </c:pt>
                <c:pt idx="5">
                  <c:v>-4.0000000000012248E-5</c:v>
                </c:pt>
                <c:pt idx="6">
                  <c:v>-2.176666666670046E-4</c:v>
                </c:pt>
                <c:pt idx="7">
                  <c:v>9.3698699999991697E-5</c:v>
                </c:pt>
                <c:pt idx="8">
                  <c:v>2.1565300000053741E-5</c:v>
                </c:pt>
                <c:pt idx="9">
                  <c:v>4.7158271666701562E-4</c:v>
                </c:pt>
                <c:pt idx="10">
                  <c:v>-1.3860810000051671E-4</c:v>
                </c:pt>
                <c:pt idx="11">
                  <c:v>-4.7411999994917409E-6</c:v>
                </c:pt>
                <c:pt idx="12">
                  <c:v>4.5719441666638988E-4</c:v>
                </c:pt>
                <c:pt idx="13">
                  <c:v>1.630621000004995E-4</c:v>
                </c:pt>
                <c:pt idx="14">
                  <c:v>-3.6579554999999209E-4</c:v>
                </c:pt>
                <c:pt idx="15">
                  <c:v>2.9521625000011881E-4</c:v>
                </c:pt>
                <c:pt idx="16">
                  <c:v>-2.7524350000640571E-5</c:v>
                </c:pt>
                <c:pt idx="17">
                  <c:v>2.105665666667367E-4</c:v>
                </c:pt>
                <c:pt idx="18">
                  <c:v>-4.4776099999999103E-4</c:v>
                </c:pt>
                <c:pt idx="19">
                  <c:v>1.0622270000082421E-4</c:v>
                </c:pt>
                <c:pt idx="20">
                  <c:v>3.5231301666716058E-4</c:v>
                </c:pt>
                <c:pt idx="21">
                  <c:v>7.7912883330255589E-5</c:v>
                </c:pt>
                <c:pt idx="22">
                  <c:v>-4.7705508333295571E-4</c:v>
                </c:pt>
                <c:pt idx="23">
                  <c:v>-3.4184913333301647E-4</c:v>
                </c:pt>
                <c:pt idx="24">
                  <c:v>4.5950159999907919E-4</c:v>
                </c:pt>
                <c:pt idx="25">
                  <c:v>-0.77711062700000011</c:v>
                </c:pt>
                <c:pt idx="26">
                  <c:v>-1.03909843075</c:v>
                </c:pt>
                <c:pt idx="27">
                  <c:v>-0.94282837279999998</c:v>
                </c:pt>
                <c:pt idx="28">
                  <c:v>-1.00153745995</c:v>
                </c:pt>
                <c:pt idx="29">
                  <c:v>-0.82550331490000006</c:v>
                </c:pt>
                <c:pt idx="30">
                  <c:v>-3.0918554999992409E-4</c:v>
                </c:pt>
                <c:pt idx="31">
                  <c:v>2.3705479999959481E-4</c:v>
                </c:pt>
                <c:pt idx="32">
                  <c:v>-0.50133168816666629</c:v>
                </c:pt>
                <c:pt idx="33">
                  <c:v>-0.51023472734999942</c:v>
                </c:pt>
                <c:pt idx="34">
                  <c:v>-0.41975873108333239</c:v>
                </c:pt>
                <c:pt idx="35">
                  <c:v>-0.3878951079500001</c:v>
                </c:pt>
                <c:pt idx="36">
                  <c:v>-7.919218383333354E-2</c:v>
                </c:pt>
                <c:pt idx="37">
                  <c:v>-0.21053152224999999</c:v>
                </c:pt>
                <c:pt idx="38">
                  <c:v>-4.4028039999991289E-4</c:v>
                </c:pt>
                <c:pt idx="39">
                  <c:v>-1.2398065000002181E-4</c:v>
                </c:pt>
                <c:pt idx="40">
                  <c:v>-4.7941610000000467E-4</c:v>
                </c:pt>
                <c:pt idx="41">
                  <c:v>3.7333333333300361E-4</c:v>
                </c:pt>
                <c:pt idx="42">
                  <c:v>-1.823333333330068E-4</c:v>
                </c:pt>
                <c:pt idx="43">
                  <c:v>3.8933333333296399E-4</c:v>
                </c:pt>
                <c:pt idx="44">
                  <c:v>2.0333333330180281E-5</c:v>
                </c:pt>
                <c:pt idx="45">
                  <c:v>3.829999999999667E-4</c:v>
                </c:pt>
                <c:pt idx="46">
                  <c:v>4.5066666666698779E-4</c:v>
                </c:pt>
                <c:pt idx="47">
                  <c:v>-3.6766666666698811E-4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3940-4105-A1F4-42489B9445C9}"/>
            </c:ext>
          </c:extLst>
        </c:ser>
        <c:ser>
          <c:idx val="57"/>
          <c:order val="57"/>
          <c:tx>
            <c:v>BES_TR8_four988_A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Net_kW!$BH$2:$BH$49</c:f>
              <c:numCache>
                <c:formatCode>#,##0.000</c:formatCode>
                <c:ptCount val="48"/>
                <c:pt idx="0">
                  <c:v>2.34000000000012E-4</c:v>
                </c:pt>
                <c:pt idx="1">
                  <c:v>-2.8133333333330007E-4</c:v>
                </c:pt>
                <c:pt idx="2">
                  <c:v>1.7966666666669601E-4</c:v>
                </c:pt>
                <c:pt idx="3">
                  <c:v>-2.27000000000005E-4</c:v>
                </c:pt>
                <c:pt idx="4">
                  <c:v>0</c:v>
                </c:pt>
                <c:pt idx="5">
                  <c:v>1.5599999999998951E-4</c:v>
                </c:pt>
                <c:pt idx="6">
                  <c:v>-2.033333333330001E-4</c:v>
                </c:pt>
                <c:pt idx="7">
                  <c:v>-1.7350666666332559E-6</c:v>
                </c:pt>
                <c:pt idx="8">
                  <c:v>3.6675373333341921E-4</c:v>
                </c:pt>
                <c:pt idx="9">
                  <c:v>-2.8677859999999561E-4</c:v>
                </c:pt>
                <c:pt idx="10">
                  <c:v>3.298558666660345E-4</c:v>
                </c:pt>
                <c:pt idx="11">
                  <c:v>2.36784000010315E-5</c:v>
                </c:pt>
                <c:pt idx="12">
                  <c:v>4.0703666665919958E-5</c:v>
                </c:pt>
                <c:pt idx="13">
                  <c:v>4.082800000970721E-6</c:v>
                </c:pt>
                <c:pt idx="14">
                  <c:v>2.7427259999990289E-4</c:v>
                </c:pt>
                <c:pt idx="15">
                  <c:v>-4.3304499999996532E-4</c:v>
                </c:pt>
                <c:pt idx="16">
                  <c:v>-4.5569913333409762E-4</c:v>
                </c:pt>
                <c:pt idx="17">
                  <c:v>-3.2546679999989608E-4</c:v>
                </c:pt>
                <c:pt idx="18">
                  <c:v>-1.5968133333399409E-4</c:v>
                </c:pt>
                <c:pt idx="19">
                  <c:v>-0.45823370306666589</c:v>
                </c:pt>
                <c:pt idx="20">
                  <c:v>-1.3681244715333341</c:v>
                </c:pt>
                <c:pt idx="21">
                  <c:v>-1.3248978939333329</c:v>
                </c:pt>
                <c:pt idx="22">
                  <c:v>-1.4627189623333341</c:v>
                </c:pt>
                <c:pt idx="23">
                  <c:v>-1.5913293544</c:v>
                </c:pt>
                <c:pt idx="24">
                  <c:v>-1.4044859978666679</c:v>
                </c:pt>
                <c:pt idx="25">
                  <c:v>-1.291778836</c:v>
                </c:pt>
                <c:pt idx="26">
                  <c:v>-1.4606265743333331</c:v>
                </c:pt>
                <c:pt idx="27">
                  <c:v>-1.556667163733334</c:v>
                </c:pt>
                <c:pt idx="28">
                  <c:v>-1.367879279933333</c:v>
                </c:pt>
                <c:pt idx="29">
                  <c:v>-1.3460170865333341</c:v>
                </c:pt>
                <c:pt idx="30">
                  <c:v>-1.2895642474</c:v>
                </c:pt>
                <c:pt idx="31">
                  <c:v>-1.1697919269333339</c:v>
                </c:pt>
                <c:pt idx="32">
                  <c:v>-0.77269402866666592</c:v>
                </c:pt>
                <c:pt idx="33">
                  <c:v>-0.72015563646666592</c:v>
                </c:pt>
                <c:pt idx="34">
                  <c:v>-0.51746819699999902</c:v>
                </c:pt>
                <c:pt idx="35">
                  <c:v>-0.30339981059999999</c:v>
                </c:pt>
                <c:pt idx="36">
                  <c:v>-0.20774246733333401</c:v>
                </c:pt>
                <c:pt idx="37">
                  <c:v>-2.7902966666702722E-4</c:v>
                </c:pt>
                <c:pt idx="38">
                  <c:v>1.6295946666643191E-4</c:v>
                </c:pt>
                <c:pt idx="39">
                  <c:v>-3.9430753333302698E-4</c:v>
                </c:pt>
                <c:pt idx="40">
                  <c:v>-3.3755480000036142E-4</c:v>
                </c:pt>
                <c:pt idx="41">
                  <c:v>-4.1333333333298811E-4</c:v>
                </c:pt>
                <c:pt idx="42">
                  <c:v>-1.1199999999989001E-4</c:v>
                </c:pt>
                <c:pt idx="43">
                  <c:v>-6.8666666666994391E-5</c:v>
                </c:pt>
                <c:pt idx="44">
                  <c:v>3.909999999999747E-4</c:v>
                </c:pt>
                <c:pt idx="45">
                  <c:v>-2.6833333333309278E-4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3940-4105-A1F4-42489B9445C9}"/>
            </c:ext>
          </c:extLst>
        </c:ser>
        <c:ser>
          <c:idx val="58"/>
          <c:order val="58"/>
          <c:tx>
            <c:v>BES_TR8_four1013_B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Net_kW!$BI$2:$BI$49</c:f>
              <c:numCache>
                <c:formatCode>#,##0.000</c:formatCode>
                <c:ptCount val="48"/>
                <c:pt idx="0">
                  <c:v>-1.2899999999999021E-4</c:v>
                </c:pt>
                <c:pt idx="1">
                  <c:v>-1.4899999999999641E-4</c:v>
                </c:pt>
                <c:pt idx="2">
                  <c:v>3.6100000000000021E-4</c:v>
                </c:pt>
                <c:pt idx="3">
                  <c:v>3.6100000000000021E-4</c:v>
                </c:pt>
                <c:pt idx="4">
                  <c:v>0</c:v>
                </c:pt>
                <c:pt idx="5">
                  <c:v>-4.2999999999987493E-5</c:v>
                </c:pt>
                <c:pt idx="6">
                  <c:v>-2.35000000000013E-4</c:v>
                </c:pt>
                <c:pt idx="7">
                  <c:v>-4.4080346666666709E-4</c:v>
                </c:pt>
                <c:pt idx="8">
                  <c:v>2.8550746666680671E-4</c:v>
                </c:pt>
                <c:pt idx="9">
                  <c:v>1.2844279999998931E-4</c:v>
                </c:pt>
                <c:pt idx="10">
                  <c:v>-4.2628826666801789E-4</c:v>
                </c:pt>
                <c:pt idx="11">
                  <c:v>-4.9976533331941297E-5</c:v>
                </c:pt>
                <c:pt idx="12">
                  <c:v>8.1407333331839915E-5</c:v>
                </c:pt>
                <c:pt idx="13">
                  <c:v>-1.916773333188182E-5</c:v>
                </c:pt>
                <c:pt idx="14">
                  <c:v>-9.8521466666889879E-5</c:v>
                </c:pt>
                <c:pt idx="15">
                  <c:v>-1.3665666666695661E-4</c:v>
                </c:pt>
                <c:pt idx="16">
                  <c:v>-1.828364398266668</c:v>
                </c:pt>
                <c:pt idx="17">
                  <c:v>-2.2006896002666672</c:v>
                </c:pt>
                <c:pt idx="18">
                  <c:v>-1.6434660293333381</c:v>
                </c:pt>
                <c:pt idx="19">
                  <c:v>-2.650551406133332</c:v>
                </c:pt>
                <c:pt idx="20">
                  <c:v>-2.8499772764000011</c:v>
                </c:pt>
                <c:pt idx="21">
                  <c:v>-3.1663481212</c:v>
                </c:pt>
                <c:pt idx="22">
                  <c:v>-3.166481258000001</c:v>
                </c:pt>
                <c:pt idx="23">
                  <c:v>-2.9073033754666668</c:v>
                </c:pt>
                <c:pt idx="24">
                  <c:v>-1.4021989957333381</c:v>
                </c:pt>
                <c:pt idx="25">
                  <c:v>-2.8658446720000001</c:v>
                </c:pt>
                <c:pt idx="26">
                  <c:v>-2.9437784819999999</c:v>
                </c:pt>
                <c:pt idx="27">
                  <c:v>-2.5029486608000009</c:v>
                </c:pt>
                <c:pt idx="28">
                  <c:v>-2.9642528931999998</c:v>
                </c:pt>
                <c:pt idx="29">
                  <c:v>-2.503288506400001</c:v>
                </c:pt>
                <c:pt idx="30">
                  <c:v>-2.4372334948000001</c:v>
                </c:pt>
                <c:pt idx="31">
                  <c:v>-2.1750603872000012</c:v>
                </c:pt>
                <c:pt idx="32">
                  <c:v>-1.777629057333332</c:v>
                </c:pt>
                <c:pt idx="33">
                  <c:v>-1.619539939599999</c:v>
                </c:pt>
                <c:pt idx="34">
                  <c:v>-1.2900647273333321</c:v>
                </c:pt>
                <c:pt idx="35">
                  <c:v>-0.93184228786666701</c:v>
                </c:pt>
                <c:pt idx="36">
                  <c:v>-0.77332693466666802</c:v>
                </c:pt>
                <c:pt idx="37">
                  <c:v>-0.54519772600000005</c:v>
                </c:pt>
                <c:pt idx="38">
                  <c:v>-0.15715174773333321</c:v>
                </c:pt>
                <c:pt idx="39">
                  <c:v>-4.5159948399999997E-2</c:v>
                </c:pt>
                <c:pt idx="40">
                  <c:v>4.4822373333330828E-4</c:v>
                </c:pt>
                <c:pt idx="41">
                  <c:v>-4.900000000000182E-4</c:v>
                </c:pt>
                <c:pt idx="42">
                  <c:v>0</c:v>
                </c:pt>
                <c:pt idx="43">
                  <c:v>-2.7800000000000052E-4</c:v>
                </c:pt>
                <c:pt idx="44">
                  <c:v>0</c:v>
                </c:pt>
                <c:pt idx="45">
                  <c:v>6.2999999999979739E-5</c:v>
                </c:pt>
                <c:pt idx="46">
                  <c:v>-3.4100000000000802E-4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3940-4105-A1F4-42489B9445C9}"/>
            </c:ext>
          </c:extLst>
        </c:ser>
        <c:ser>
          <c:idx val="59"/>
          <c:order val="59"/>
          <c:tx>
            <c:v>BES_TR8_four1027_A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Net_kW!$BJ$2:$BJ$49</c:f>
              <c:numCache>
                <c:formatCode>#,##0.000</c:formatCode>
                <c:ptCount val="48"/>
                <c:pt idx="0">
                  <c:v>-4.3433333333330049E-4</c:v>
                </c:pt>
                <c:pt idx="1">
                  <c:v>2.8100000000000352E-4</c:v>
                </c:pt>
                <c:pt idx="2">
                  <c:v>2.8100000000000352E-4</c:v>
                </c:pt>
                <c:pt idx="3">
                  <c:v>-7.3333333330122263E-6</c:v>
                </c:pt>
                <c:pt idx="4">
                  <c:v>-4.3066666666670422E-4</c:v>
                </c:pt>
                <c:pt idx="5">
                  <c:v>-6.9388939039072284E-18</c:v>
                </c:pt>
                <c:pt idx="6">
                  <c:v>-6.9388939039072284E-18</c:v>
                </c:pt>
                <c:pt idx="7">
                  <c:v>-1.5840173333334101E-4</c:v>
                </c:pt>
                <c:pt idx="8">
                  <c:v>1.3275373333339341E-4</c:v>
                </c:pt>
                <c:pt idx="9">
                  <c:v>-2.8677860000000938E-4</c:v>
                </c:pt>
                <c:pt idx="10">
                  <c:v>-1.08144133334015E-4</c:v>
                </c:pt>
                <c:pt idx="11">
                  <c:v>7.1011733334014338E-5</c:v>
                </c:pt>
                <c:pt idx="12">
                  <c:v>-2.51296333334039E-4</c:v>
                </c:pt>
                <c:pt idx="13">
                  <c:v>-1.65838666661422E-5</c:v>
                </c:pt>
                <c:pt idx="14">
                  <c:v>2.02726000000375E-5</c:v>
                </c:pt>
                <c:pt idx="15">
                  <c:v>-3.1304499999995627E-4</c:v>
                </c:pt>
                <c:pt idx="16">
                  <c:v>4.0340086666601488E-4</c:v>
                </c:pt>
                <c:pt idx="17">
                  <c:v>-1.7186679999992019E-4</c:v>
                </c:pt>
                <c:pt idx="18">
                  <c:v>-0.39142768133333389</c:v>
                </c:pt>
                <c:pt idx="19">
                  <c:v>-1.1617667030666661</c:v>
                </c:pt>
                <c:pt idx="20">
                  <c:v>-1.5062928048666671</c:v>
                </c:pt>
                <c:pt idx="21">
                  <c:v>-1.544802227266667</c:v>
                </c:pt>
                <c:pt idx="22">
                  <c:v>-1.649488962333334</c:v>
                </c:pt>
                <c:pt idx="23">
                  <c:v>-1.6717833544</c:v>
                </c:pt>
                <c:pt idx="24">
                  <c:v>-1.6782406645333341</c:v>
                </c:pt>
                <c:pt idx="25">
                  <c:v>-1.591598836</c:v>
                </c:pt>
                <c:pt idx="26">
                  <c:v>-1.6029202410000001</c:v>
                </c:pt>
                <c:pt idx="27">
                  <c:v>-1.5636671637333339</c:v>
                </c:pt>
                <c:pt idx="28">
                  <c:v>-1.4151919466</c:v>
                </c:pt>
                <c:pt idx="29">
                  <c:v>-1.3960950865333339</c:v>
                </c:pt>
                <c:pt idx="30">
                  <c:v>-1.2551409140666669</c:v>
                </c:pt>
                <c:pt idx="31">
                  <c:v>-1.1436532602666669</c:v>
                </c:pt>
                <c:pt idx="32">
                  <c:v>-1.041900028666666</c:v>
                </c:pt>
                <c:pt idx="33">
                  <c:v>-0.87903563646666594</c:v>
                </c:pt>
                <c:pt idx="34">
                  <c:v>-0.72246353033333266</c:v>
                </c:pt>
                <c:pt idx="35">
                  <c:v>-0.31569214393333411</c:v>
                </c:pt>
                <c:pt idx="36">
                  <c:v>-0.206928467333334</c:v>
                </c:pt>
                <c:pt idx="37">
                  <c:v>-0.154808363</c:v>
                </c:pt>
                <c:pt idx="38">
                  <c:v>1.2762613333343331E-4</c:v>
                </c:pt>
                <c:pt idx="39">
                  <c:v>3.2602579999999048E-4</c:v>
                </c:pt>
                <c:pt idx="40">
                  <c:v>-3.1554800000388461E-5</c:v>
                </c:pt>
                <c:pt idx="41">
                  <c:v>3.3333333333296361E-4</c:v>
                </c:pt>
                <c:pt idx="42">
                  <c:v>3.3333333333301912E-4</c:v>
                </c:pt>
                <c:pt idx="43">
                  <c:v>-3.3333333330221042E-6</c:v>
                </c:pt>
                <c:pt idx="44">
                  <c:v>-2.8866666666693691E-4</c:v>
                </c:pt>
                <c:pt idx="45">
                  <c:v>2.1133333333400731E-4</c:v>
                </c:pt>
                <c:pt idx="46">
                  <c:v>2.0000000000019998E-5</c:v>
                </c:pt>
                <c:pt idx="47">
                  <c:v>-2.9733333333298312E-4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3940-4105-A1F4-42489B9445C9}"/>
            </c:ext>
          </c:extLst>
        </c:ser>
        <c:ser>
          <c:idx val="60"/>
          <c:order val="60"/>
          <c:tx>
            <c:v>BES_TR8_four1132_C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Net_kW!$BK$2:$BK$49</c:f>
              <c:numCache>
                <c:formatCode>#,##0.000</c:formatCode>
                <c:ptCount val="48"/>
                <c:pt idx="0">
                  <c:v>3.3066666666699268E-4</c:v>
                </c:pt>
                <c:pt idx="1">
                  <c:v>-9.6000000000012742E-5</c:v>
                </c:pt>
                <c:pt idx="2">
                  <c:v>7.6666666666697081E-5</c:v>
                </c:pt>
                <c:pt idx="3">
                  <c:v>-3.8666666666699318E-4</c:v>
                </c:pt>
                <c:pt idx="4">
                  <c:v>0</c:v>
                </c:pt>
                <c:pt idx="5">
                  <c:v>-2.2533333333302211E-4</c:v>
                </c:pt>
                <c:pt idx="6">
                  <c:v>-4.633333333330103E-4</c:v>
                </c:pt>
                <c:pt idx="7">
                  <c:v>4.239636333333574E-4</c:v>
                </c:pt>
                <c:pt idx="8">
                  <c:v>-2.9101429999955908E-4</c:v>
                </c:pt>
                <c:pt idx="9">
                  <c:v>4.5813745000000678E-4</c:v>
                </c:pt>
                <c:pt idx="10">
                  <c:v>2.2558109999881731E-4</c:v>
                </c:pt>
                <c:pt idx="11">
                  <c:v>2.8727053333454927E-4</c:v>
                </c:pt>
                <c:pt idx="12">
                  <c:v>7.1231416665429315E-5</c:v>
                </c:pt>
                <c:pt idx="13">
                  <c:v>8.6244900001863911E-5</c:v>
                </c:pt>
                <c:pt idx="14">
                  <c:v>2.063770500000395E-4</c:v>
                </c:pt>
                <c:pt idx="15">
                  <c:v>-1.5282875000011131E-4</c:v>
                </c:pt>
                <c:pt idx="16">
                  <c:v>-0.59757889015000221</c:v>
                </c:pt>
                <c:pt idx="17">
                  <c:v>-0.75129223356667008</c:v>
                </c:pt>
                <c:pt idx="18">
                  <c:v>-1.4223474423333351</c:v>
                </c:pt>
                <c:pt idx="19">
                  <c:v>-1.4778654803666651</c:v>
                </c:pt>
                <c:pt idx="20">
                  <c:v>-2.5733084918500011</c:v>
                </c:pt>
                <c:pt idx="21">
                  <c:v>-2.819533314383333</c:v>
                </c:pt>
                <c:pt idx="22">
                  <c:v>-2.90181735075</c:v>
                </c:pt>
                <c:pt idx="23">
                  <c:v>-2.5028855368666671</c:v>
                </c:pt>
                <c:pt idx="24">
                  <c:v>-2.9641711629333352</c:v>
                </c:pt>
                <c:pt idx="25">
                  <c:v>-2.8163234629999998</c:v>
                </c:pt>
                <c:pt idx="26">
                  <c:v>-2.7006910050833328</c:v>
                </c:pt>
                <c:pt idx="27">
                  <c:v>-2.7381171698666682</c:v>
                </c:pt>
                <c:pt idx="28">
                  <c:v>-2.4420294065500001</c:v>
                </c:pt>
                <c:pt idx="29">
                  <c:v>-2.3953950681000018</c:v>
                </c:pt>
                <c:pt idx="30">
                  <c:v>-2.1876674329500001</c:v>
                </c:pt>
                <c:pt idx="31">
                  <c:v>-1.7341927388</c:v>
                </c:pt>
                <c:pt idx="32">
                  <c:v>-1.788240916833332</c:v>
                </c:pt>
                <c:pt idx="33">
                  <c:v>-1.4457540304833321</c:v>
                </c:pt>
                <c:pt idx="34">
                  <c:v>-1.2738102614166651</c:v>
                </c:pt>
                <c:pt idx="35">
                  <c:v>-0.7635475852166671</c:v>
                </c:pt>
                <c:pt idx="36">
                  <c:v>-0.43971065116666752</c:v>
                </c:pt>
                <c:pt idx="37">
                  <c:v>-0.209449551916666</c:v>
                </c:pt>
                <c:pt idx="38">
                  <c:v>-0.1819732542666665</c:v>
                </c:pt>
                <c:pt idx="39">
                  <c:v>5.0378483333002322E-5</c:v>
                </c:pt>
                <c:pt idx="40">
                  <c:v>-2.7263756666329192E-4</c:v>
                </c:pt>
                <c:pt idx="41">
                  <c:v>-3.0599999999991739E-4</c:v>
                </c:pt>
                <c:pt idx="42">
                  <c:v>1.466666666694039E-5</c:v>
                </c:pt>
                <c:pt idx="43">
                  <c:v>2.8999999999998471E-4</c:v>
                </c:pt>
                <c:pt idx="44">
                  <c:v>1.5333333333329699E-4</c:v>
                </c:pt>
                <c:pt idx="45">
                  <c:v>4.2766666666693709E-4</c:v>
                </c:pt>
                <c:pt idx="46">
                  <c:v>-8.0366666666997766E-5</c:v>
                </c:pt>
                <c:pt idx="47">
                  <c:v>2.9999999999996701E-4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3940-4105-A1F4-42489B9445C9}"/>
            </c:ext>
          </c:extLst>
        </c:ser>
        <c:ser>
          <c:idx val="61"/>
          <c:order val="61"/>
          <c:tx>
            <c:v>BES_TR8_four126_A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Net_kW!$BL$2:$BL$49</c:f>
              <c:numCache>
                <c:formatCode>#,##0.000</c:formatCode>
                <c:ptCount val="48"/>
                <c:pt idx="0">
                  <c:v>-2.0133333333340051E-4</c:v>
                </c:pt>
                <c:pt idx="1">
                  <c:v>-1.7533333333301371E-4</c:v>
                </c:pt>
                <c:pt idx="2">
                  <c:v>0</c:v>
                </c:pt>
                <c:pt idx="3">
                  <c:v>2.286666666669879E-4</c:v>
                </c:pt>
                <c:pt idx="4">
                  <c:v>-3.3599999999989189E-4</c:v>
                </c:pt>
                <c:pt idx="5">
                  <c:v>0</c:v>
                </c:pt>
                <c:pt idx="6">
                  <c:v>-3.5633333333301431E-4</c:v>
                </c:pt>
                <c:pt idx="7">
                  <c:v>2.3829696666666231E-4</c:v>
                </c:pt>
                <c:pt idx="8">
                  <c:v>-2.9468096666656479E-4</c:v>
                </c:pt>
                <c:pt idx="9">
                  <c:v>1.6780411666700301E-4</c:v>
                </c:pt>
                <c:pt idx="10">
                  <c:v>3.2724776666553929E-4</c:v>
                </c:pt>
                <c:pt idx="11">
                  <c:v>4.3827053333456162E-4</c:v>
                </c:pt>
                <c:pt idx="12">
                  <c:v>3.9989808333240617E-4</c:v>
                </c:pt>
                <c:pt idx="13">
                  <c:v>-3.2918843333207271E-4</c:v>
                </c:pt>
                <c:pt idx="14">
                  <c:v>-6.2856283333134755E-5</c:v>
                </c:pt>
                <c:pt idx="15">
                  <c:v>-2.5116208333275658E-4</c:v>
                </c:pt>
                <c:pt idx="16">
                  <c:v>-1.0019422234833351</c:v>
                </c:pt>
                <c:pt idx="17">
                  <c:v>-2.049300233566667</c:v>
                </c:pt>
                <c:pt idx="18">
                  <c:v>-2.3652261090000022</c:v>
                </c:pt>
                <c:pt idx="19">
                  <c:v>-2.339247480366665</c:v>
                </c:pt>
                <c:pt idx="20">
                  <c:v>-2.6839531585166672</c:v>
                </c:pt>
                <c:pt idx="21">
                  <c:v>-2.7757189810499998</c:v>
                </c:pt>
                <c:pt idx="22">
                  <c:v>-2.8081866840833341</c:v>
                </c:pt>
                <c:pt idx="23">
                  <c:v>-2.8808202035333328</c:v>
                </c:pt>
                <c:pt idx="24">
                  <c:v>-2.961171162933335</c:v>
                </c:pt>
                <c:pt idx="25">
                  <c:v>-2.7164151296666672</c:v>
                </c:pt>
                <c:pt idx="26">
                  <c:v>-2.796694138416667</c:v>
                </c:pt>
                <c:pt idx="27">
                  <c:v>-2.560447536533335</c:v>
                </c:pt>
                <c:pt idx="28">
                  <c:v>-2.4989530732166672</c:v>
                </c:pt>
                <c:pt idx="29">
                  <c:v>-2.365451768100002</c:v>
                </c:pt>
                <c:pt idx="30">
                  <c:v>-2.2325006662833329</c:v>
                </c:pt>
                <c:pt idx="31">
                  <c:v>-1.959684538800001</c:v>
                </c:pt>
                <c:pt idx="32">
                  <c:v>-1.847575050166665</c:v>
                </c:pt>
                <c:pt idx="33">
                  <c:v>-1.354930363816665</c:v>
                </c:pt>
                <c:pt idx="34">
                  <c:v>-1.285549594749998</c:v>
                </c:pt>
                <c:pt idx="35">
                  <c:v>-0.95893258521666702</c:v>
                </c:pt>
                <c:pt idx="36">
                  <c:v>-0.63797828450000149</c:v>
                </c:pt>
                <c:pt idx="37">
                  <c:v>-0.35895488525000002</c:v>
                </c:pt>
                <c:pt idx="38">
                  <c:v>2.263457333334801E-4</c:v>
                </c:pt>
                <c:pt idx="39">
                  <c:v>3.784833330078285E-7</c:v>
                </c:pt>
                <c:pt idx="40">
                  <c:v>-2.5397090000039979E-4</c:v>
                </c:pt>
                <c:pt idx="41">
                  <c:v>-4.7866666666671048E-4</c:v>
                </c:pt>
                <c:pt idx="42">
                  <c:v>2.6933333333298282E-4</c:v>
                </c:pt>
                <c:pt idx="43">
                  <c:v>3.9733333333302761E-4</c:v>
                </c:pt>
                <c:pt idx="44">
                  <c:v>4.1400000000002551E-4</c:v>
                </c:pt>
                <c:pt idx="45">
                  <c:v>3.4599999999998521E-4</c:v>
                </c:pt>
                <c:pt idx="46">
                  <c:v>-4.533333333330003E-4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3940-4105-A1F4-42489B9445C9}"/>
            </c:ext>
          </c:extLst>
        </c:ser>
        <c:ser>
          <c:idx val="62"/>
          <c:order val="62"/>
          <c:tx>
            <c:v>BES_TR8_four1187_A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Net_kW!$BM$2:$BM$49</c:f>
              <c:numCache>
                <c:formatCode>#,##0.000</c:formatCode>
                <c:ptCount val="48"/>
                <c:pt idx="0">
                  <c:v>7.7666666667003392E-5</c:v>
                </c:pt>
                <c:pt idx="1">
                  <c:v>4.456666666670106E-4</c:v>
                </c:pt>
                <c:pt idx="2">
                  <c:v>-1.5400000000000141E-4</c:v>
                </c:pt>
                <c:pt idx="3">
                  <c:v>3.3499999999997421E-4</c:v>
                </c:pt>
                <c:pt idx="4">
                  <c:v>-3.5033333333328592E-4</c:v>
                </c:pt>
                <c:pt idx="5">
                  <c:v>1.3666666666700691E-4</c:v>
                </c:pt>
                <c:pt idx="6">
                  <c:v>-3.0600000000000072E-4</c:v>
                </c:pt>
                <c:pt idx="7">
                  <c:v>3.1793160000007092E-4</c:v>
                </c:pt>
                <c:pt idx="8">
                  <c:v>-3.6757959999959838E-4</c:v>
                </c:pt>
                <c:pt idx="9">
                  <c:v>-2.8677859999999561E-4</c:v>
                </c:pt>
                <c:pt idx="10">
                  <c:v>1.6052253333299901E-4</c:v>
                </c:pt>
                <c:pt idx="11">
                  <c:v>7.1011733334014338E-5</c:v>
                </c:pt>
                <c:pt idx="12">
                  <c:v>4.1003699999894733E-4</c:v>
                </c:pt>
                <c:pt idx="13">
                  <c:v>-4.0925053333262801E-4</c:v>
                </c:pt>
                <c:pt idx="14">
                  <c:v>2.02726000000375E-5</c:v>
                </c:pt>
                <c:pt idx="15">
                  <c:v>2.249550000000822E-4</c:v>
                </c:pt>
                <c:pt idx="16">
                  <c:v>-1.6469913333416741E-4</c:v>
                </c:pt>
                <c:pt idx="17">
                  <c:v>-4.9480013333302875E-4</c:v>
                </c:pt>
                <c:pt idx="18">
                  <c:v>5.1651999999346998E-5</c:v>
                </c:pt>
                <c:pt idx="19">
                  <c:v>-0.31201436973333291</c:v>
                </c:pt>
                <c:pt idx="20">
                  <c:v>-0.97372047153333385</c:v>
                </c:pt>
                <c:pt idx="21">
                  <c:v>-1.2413205606</c:v>
                </c:pt>
                <c:pt idx="22">
                  <c:v>-0.83315429566666688</c:v>
                </c:pt>
                <c:pt idx="23">
                  <c:v>-2.8335439999982448E-4</c:v>
                </c:pt>
                <c:pt idx="24">
                  <c:v>2.7933546666580877E-4</c:v>
                </c:pt>
                <c:pt idx="25">
                  <c:v>-1.7835999999826772E-5</c:v>
                </c:pt>
                <c:pt idx="26">
                  <c:v>-0.46192957433333343</c:v>
                </c:pt>
                <c:pt idx="27">
                  <c:v>-1.550667163733334</c:v>
                </c:pt>
                <c:pt idx="28">
                  <c:v>-1.312410279933333</c:v>
                </c:pt>
                <c:pt idx="29">
                  <c:v>-1.1972490865333341</c:v>
                </c:pt>
                <c:pt idx="30">
                  <c:v>-1.199943914066667</c:v>
                </c:pt>
                <c:pt idx="31">
                  <c:v>-0.97058159360000096</c:v>
                </c:pt>
                <c:pt idx="32">
                  <c:v>-0.91226402866666589</c:v>
                </c:pt>
                <c:pt idx="33">
                  <c:v>-9.8234303133332923E-2</c:v>
                </c:pt>
                <c:pt idx="34">
                  <c:v>-3.4686366666589202E-4</c:v>
                </c:pt>
                <c:pt idx="35">
                  <c:v>-3.7914393333005059E-4</c:v>
                </c:pt>
                <c:pt idx="36">
                  <c:v>6.25326666659487E-5</c:v>
                </c:pt>
                <c:pt idx="37">
                  <c:v>2.6997033333296672E-4</c:v>
                </c:pt>
                <c:pt idx="38">
                  <c:v>1.2262613333341441E-4</c:v>
                </c:pt>
                <c:pt idx="39">
                  <c:v>-4.0430753333298147E-4</c:v>
                </c:pt>
                <c:pt idx="40">
                  <c:v>-4.6955480000038241E-4</c:v>
                </c:pt>
                <c:pt idx="41">
                  <c:v>3.8766666666700811E-4</c:v>
                </c:pt>
                <c:pt idx="42">
                  <c:v>1.929999999999987E-4</c:v>
                </c:pt>
                <c:pt idx="43">
                  <c:v>1.7200000000006099E-4</c:v>
                </c:pt>
                <c:pt idx="44">
                  <c:v>2.3066666666669841E-4</c:v>
                </c:pt>
                <c:pt idx="45">
                  <c:v>-2.6199999999998452E-4</c:v>
                </c:pt>
                <c:pt idx="46">
                  <c:v>-1.789999999999847E-4</c:v>
                </c:pt>
                <c:pt idx="47">
                  <c:v>2.6900000000000529E-4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3940-4105-A1F4-42489B9445C9}"/>
            </c:ext>
          </c:extLst>
        </c:ser>
        <c:ser>
          <c:idx val="63"/>
          <c:order val="63"/>
          <c:tx>
            <c:v>BES_TR8_four1207_B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Net_kW!$BN$2:$BN$49</c:f>
              <c:numCache>
                <c:formatCode>#,##0.000</c:formatCode>
                <c:ptCount val="48"/>
                <c:pt idx="0">
                  <c:v>2.9466666666699842E-4</c:v>
                </c:pt>
                <c:pt idx="1">
                  <c:v>2.2333333333329761E-4</c:v>
                </c:pt>
                <c:pt idx="2">
                  <c:v>-2.036666666669906E-4</c:v>
                </c:pt>
                <c:pt idx="3">
                  <c:v>0</c:v>
                </c:pt>
                <c:pt idx="4">
                  <c:v>7.299999999998974E-5</c:v>
                </c:pt>
                <c:pt idx="5">
                  <c:v>-4.8333333333011597E-5</c:v>
                </c:pt>
                <c:pt idx="6">
                  <c:v>-4.3200000000000183E-4</c:v>
                </c:pt>
                <c:pt idx="7">
                  <c:v>-1.153012999999814E-4</c:v>
                </c:pt>
                <c:pt idx="8">
                  <c:v>-3.6876803333295288E-4</c:v>
                </c:pt>
                <c:pt idx="9">
                  <c:v>2.8991605000000179E-4</c:v>
                </c:pt>
                <c:pt idx="10">
                  <c:v>-4.8594143333350459E-4</c:v>
                </c:pt>
                <c:pt idx="11">
                  <c:v>-1.967411999994895E-4</c:v>
                </c:pt>
                <c:pt idx="12">
                  <c:v>-1.708055833336275E-4</c:v>
                </c:pt>
                <c:pt idx="13">
                  <c:v>7.039543333381415E-5</c:v>
                </c:pt>
                <c:pt idx="14">
                  <c:v>-2.8812888333340497E-4</c:v>
                </c:pt>
                <c:pt idx="15">
                  <c:v>-4.7478374999998518E-4</c:v>
                </c:pt>
                <c:pt idx="16">
                  <c:v>-2.6885768333395621E-4</c:v>
                </c:pt>
                <c:pt idx="17">
                  <c:v>4.6923323333325501E-4</c:v>
                </c:pt>
                <c:pt idx="18">
                  <c:v>1.7572333332993569E-5</c:v>
                </c:pt>
                <c:pt idx="19">
                  <c:v>3.9688936666792962E-4</c:v>
                </c:pt>
                <c:pt idx="20">
                  <c:v>3.6731301666703692E-4</c:v>
                </c:pt>
                <c:pt idx="21">
                  <c:v>-0.77708942044999996</c:v>
                </c:pt>
                <c:pt idx="22">
                  <c:v>-1.01876672175</c:v>
                </c:pt>
                <c:pt idx="23">
                  <c:v>-1.0614695158</c:v>
                </c:pt>
                <c:pt idx="24">
                  <c:v>-1.2233598317333341</c:v>
                </c:pt>
                <c:pt idx="25">
                  <c:v>-1.081413960333333</c:v>
                </c:pt>
                <c:pt idx="26">
                  <c:v>-1.1398664307499999</c:v>
                </c:pt>
                <c:pt idx="27">
                  <c:v>-1.1500003727999999</c:v>
                </c:pt>
                <c:pt idx="28">
                  <c:v>-0.91564245995000004</c:v>
                </c:pt>
                <c:pt idx="29">
                  <c:v>-0.93306598156666709</c:v>
                </c:pt>
                <c:pt idx="30">
                  <c:v>-0.94967318554999991</c:v>
                </c:pt>
                <c:pt idx="31">
                  <c:v>-0.72393727853333345</c:v>
                </c:pt>
                <c:pt idx="32">
                  <c:v>-0.6925583548333325</c:v>
                </c:pt>
                <c:pt idx="33">
                  <c:v>-0.61848689401666612</c:v>
                </c:pt>
                <c:pt idx="34">
                  <c:v>-0.1986897310833324</c:v>
                </c:pt>
                <c:pt idx="35">
                  <c:v>-0.30448337461666708</c:v>
                </c:pt>
                <c:pt idx="36">
                  <c:v>-0.1505387171666675</c:v>
                </c:pt>
                <c:pt idx="37">
                  <c:v>2.7547775000000269E-4</c:v>
                </c:pt>
                <c:pt idx="38">
                  <c:v>3.2805293333307278E-4</c:v>
                </c:pt>
                <c:pt idx="39">
                  <c:v>1.5968601666704879E-4</c:v>
                </c:pt>
                <c:pt idx="40">
                  <c:v>-3.8308276666598751E-4</c:v>
                </c:pt>
                <c:pt idx="41">
                  <c:v>-4.3533333333301011E-4</c:v>
                </c:pt>
                <c:pt idx="42">
                  <c:v>6.7333333332975087E-5</c:v>
                </c:pt>
                <c:pt idx="43">
                  <c:v>2.8399999999999259E-4</c:v>
                </c:pt>
                <c:pt idx="44">
                  <c:v>-8.1999999999998741E-5</c:v>
                </c:pt>
                <c:pt idx="45">
                  <c:v>-4.0566666666699841E-4</c:v>
                </c:pt>
                <c:pt idx="46">
                  <c:v>0</c:v>
                </c:pt>
                <c:pt idx="47">
                  <c:v>1.7966666666700831E-4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3940-4105-A1F4-42489B9445C9}"/>
            </c:ext>
          </c:extLst>
        </c:ser>
        <c:ser>
          <c:idx val="64"/>
          <c:order val="64"/>
          <c:tx>
            <c:v>BES_TR8_five168_A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Net_kW!$BO$2:$BO$49</c:f>
              <c:numCache>
                <c:formatCode>#,##0.000</c:formatCode>
                <c:ptCount val="48"/>
                <c:pt idx="0">
                  <c:v>9.9999999999988987E-5</c:v>
                </c:pt>
                <c:pt idx="1">
                  <c:v>8.8976666666667037E-2</c:v>
                </c:pt>
                <c:pt idx="2">
                  <c:v>7.7342666666666698E-2</c:v>
                </c:pt>
                <c:pt idx="3">
                  <c:v>0.14737066666666701</c:v>
                </c:pt>
                <c:pt idx="4">
                  <c:v>0.146942666666667</c:v>
                </c:pt>
                <c:pt idx="5">
                  <c:v>0.14153499999999999</c:v>
                </c:pt>
                <c:pt idx="6">
                  <c:v>0.15277833333333299</c:v>
                </c:pt>
                <c:pt idx="7">
                  <c:v>5.0989296966666667E-2</c:v>
                </c:pt>
                <c:pt idx="8">
                  <c:v>0.1034249857000004</c:v>
                </c:pt>
                <c:pt idx="9">
                  <c:v>-1.3119588333298379E-4</c:v>
                </c:pt>
                <c:pt idx="10">
                  <c:v>6.0581099998957548E-5</c:v>
                </c:pt>
                <c:pt idx="11">
                  <c:v>-2.6172946666552788E-4</c:v>
                </c:pt>
                <c:pt idx="12">
                  <c:v>1.7256474999871599E-4</c:v>
                </c:pt>
                <c:pt idx="13">
                  <c:v>4.8847823333497686E-4</c:v>
                </c:pt>
                <c:pt idx="14">
                  <c:v>-3.2118961666682821E-4</c:v>
                </c:pt>
                <c:pt idx="15">
                  <c:v>1.745045833330128E-4</c:v>
                </c:pt>
                <c:pt idx="16">
                  <c:v>4.7577651666497189E-4</c:v>
                </c:pt>
                <c:pt idx="17">
                  <c:v>-1.078636233566667</c:v>
                </c:pt>
                <c:pt idx="18">
                  <c:v>-2.1661011090000022</c:v>
                </c:pt>
                <c:pt idx="19">
                  <c:v>-2.507772147033331</c:v>
                </c:pt>
                <c:pt idx="20">
                  <c:v>-2.6379318251833341</c:v>
                </c:pt>
                <c:pt idx="21">
                  <c:v>-2.74233198105</c:v>
                </c:pt>
                <c:pt idx="22">
                  <c:v>-2.854495684083334</c:v>
                </c:pt>
                <c:pt idx="23">
                  <c:v>-2.728147536866667</c:v>
                </c:pt>
                <c:pt idx="24">
                  <c:v>-2.8481378296000019</c:v>
                </c:pt>
                <c:pt idx="25">
                  <c:v>-2.7709724630000001</c:v>
                </c:pt>
                <c:pt idx="26">
                  <c:v>-2.8660136717500002</c:v>
                </c:pt>
                <c:pt idx="27">
                  <c:v>-2.640954203200002</c:v>
                </c:pt>
                <c:pt idx="28">
                  <c:v>-2.5783194065499999</c:v>
                </c:pt>
                <c:pt idx="29">
                  <c:v>-2.3072814014333352</c:v>
                </c:pt>
                <c:pt idx="30">
                  <c:v>-2.215612699616667</c:v>
                </c:pt>
                <c:pt idx="31">
                  <c:v>-1.9594009388000011</c:v>
                </c:pt>
                <c:pt idx="32">
                  <c:v>-1.6101570501666651</c:v>
                </c:pt>
                <c:pt idx="33">
                  <c:v>-1.373981030483332</c:v>
                </c:pt>
                <c:pt idx="34">
                  <c:v>-0.93546926141666509</c:v>
                </c:pt>
                <c:pt idx="35">
                  <c:v>-0.81519191855000006</c:v>
                </c:pt>
                <c:pt idx="36">
                  <c:v>-0.48914571783333449</c:v>
                </c:pt>
                <c:pt idx="37">
                  <c:v>-0.37690048524999997</c:v>
                </c:pt>
                <c:pt idx="38">
                  <c:v>-3.9232093333241291E-4</c:v>
                </c:pt>
                <c:pt idx="39">
                  <c:v>-1.409548500000968E-4</c:v>
                </c:pt>
                <c:pt idx="40">
                  <c:v>-3.6330423333341688E-4</c:v>
                </c:pt>
                <c:pt idx="41">
                  <c:v>-1.153333333330231E-4</c:v>
                </c:pt>
                <c:pt idx="42">
                  <c:v>4.8333333333294698E-4</c:v>
                </c:pt>
                <c:pt idx="43">
                  <c:v>4.6733333333298649E-4</c:v>
                </c:pt>
                <c:pt idx="44">
                  <c:v>1.8600000000001951E-4</c:v>
                </c:pt>
                <c:pt idx="45">
                  <c:v>-3.9600000000006302E-4</c:v>
                </c:pt>
                <c:pt idx="46">
                  <c:v>-1.3633333333298861E-4</c:v>
                </c:pt>
                <c:pt idx="47">
                  <c:v>-1.5033333333340501E-4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3940-4105-A1F4-42489B9445C9}"/>
            </c:ext>
          </c:extLst>
        </c:ser>
        <c:ser>
          <c:idx val="65"/>
          <c:order val="65"/>
          <c:tx>
            <c:v>BES_TR8_five186_C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Net_kW!$BP$2:$BP$49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4.1939740000000031E-4</c:v>
                </c:pt>
                <c:pt idx="8">
                  <c:v>-3.0086939999989833E-4</c:v>
                </c:pt>
                <c:pt idx="9">
                  <c:v>-4.3016789999998639E-4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6.1055499998907692E-5</c:v>
                </c:pt>
                <c:pt idx="13">
                  <c:v>-3.0587579999896702E-4</c:v>
                </c:pt>
                <c:pt idx="14">
                  <c:v>-4.6959109999988868E-4</c:v>
                </c:pt>
                <c:pt idx="15">
                  <c:v>-4.156750000028353E-5</c:v>
                </c:pt>
                <c:pt idx="16">
                  <c:v>-0.84465504870000119</c:v>
                </c:pt>
                <c:pt idx="17">
                  <c:v>-1.7658748668666671</c:v>
                </c:pt>
                <c:pt idx="18">
                  <c:v>-2.0264315220000011</c:v>
                </c:pt>
                <c:pt idx="19">
                  <c:v>-2.0409928879333319</c:v>
                </c:pt>
                <c:pt idx="20">
                  <c:v>-0.9752667073000012</c:v>
                </c:pt>
                <c:pt idx="21">
                  <c:v>-2.241159507566667</c:v>
                </c:pt>
                <c:pt idx="22">
                  <c:v>-3.4211016667069771E-4</c:v>
                </c:pt>
                <c:pt idx="23">
                  <c:v>-1.4258983649333301</c:v>
                </c:pt>
                <c:pt idx="24">
                  <c:v>-0.86235406346667109</c:v>
                </c:pt>
                <c:pt idx="25">
                  <c:v>-2.3945874539999998</c:v>
                </c:pt>
                <c:pt idx="26">
                  <c:v>-2.4400702948333328</c:v>
                </c:pt>
                <c:pt idx="27">
                  <c:v>-2.1142341456000011</c:v>
                </c:pt>
                <c:pt idx="28">
                  <c:v>-2.0972829199</c:v>
                </c:pt>
                <c:pt idx="29">
                  <c:v>-2.009342763133334</c:v>
                </c:pt>
                <c:pt idx="30">
                  <c:v>-1.8209603711</c:v>
                </c:pt>
                <c:pt idx="31">
                  <c:v>-1.2184885570666679</c:v>
                </c:pt>
                <c:pt idx="32">
                  <c:v>-0.1068233763333291</c:v>
                </c:pt>
                <c:pt idx="33">
                  <c:v>-2.2012136665905399E-4</c:v>
                </c:pt>
                <c:pt idx="34">
                  <c:v>2.6027116666793582E-4</c:v>
                </c:pt>
                <c:pt idx="35">
                  <c:v>-9.3215899999998797E-5</c:v>
                </c:pt>
                <c:pt idx="36">
                  <c:v>-3.2436766667087719E-4</c:v>
                </c:pt>
                <c:pt idx="37">
                  <c:v>-3.9637783333024151E-4</c:v>
                </c:pt>
                <c:pt idx="38">
                  <c:v>0.1953684392000001</c:v>
                </c:pt>
                <c:pt idx="39">
                  <c:v>0.19252070536666599</c:v>
                </c:pt>
                <c:pt idx="40">
                  <c:v>0.279374834466667</c:v>
                </c:pt>
                <c:pt idx="41">
                  <c:v>1.8943540000000001</c:v>
                </c:pt>
                <c:pt idx="42">
                  <c:v>2.5317813333333299</c:v>
                </c:pt>
                <c:pt idx="43">
                  <c:v>1.14769066666667</c:v>
                </c:pt>
                <c:pt idx="44">
                  <c:v>0.33702666666666697</c:v>
                </c:pt>
                <c:pt idx="45">
                  <c:v>0.54580933333333304</c:v>
                </c:pt>
                <c:pt idx="46">
                  <c:v>0.34061533333333299</c:v>
                </c:pt>
                <c:pt idx="47">
                  <c:v>0.31285800000000002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3940-4105-A1F4-42489B9445C9}"/>
            </c:ext>
          </c:extLst>
        </c:ser>
        <c:ser>
          <c:idx val="66"/>
          <c:order val="66"/>
          <c:tx>
            <c:v>BES_TR8_five194_C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Net_kW!$BQ$2:$BQ$49</c:f>
              <c:numCache>
                <c:formatCode>#,##0.000</c:formatCode>
                <c:ptCount val="48"/>
                <c:pt idx="0">
                  <c:v>-2.966666666698314E-5</c:v>
                </c:pt>
                <c:pt idx="1">
                  <c:v>0</c:v>
                </c:pt>
                <c:pt idx="2">
                  <c:v>0</c:v>
                </c:pt>
                <c:pt idx="3">
                  <c:v>2.6533333333300663E-4</c:v>
                </c:pt>
                <c:pt idx="4">
                  <c:v>0</c:v>
                </c:pt>
                <c:pt idx="5">
                  <c:v>-1.2799999999998921E-4</c:v>
                </c:pt>
                <c:pt idx="6">
                  <c:v>3.933333333329958E-4</c:v>
                </c:pt>
                <c:pt idx="7">
                  <c:v>-4.4080346666667408E-4</c:v>
                </c:pt>
                <c:pt idx="8">
                  <c:v>-4.6915920000020761E-4</c:v>
                </c:pt>
                <c:pt idx="9">
                  <c:v>4.2644280000000978E-4</c:v>
                </c:pt>
                <c:pt idx="10">
                  <c:v>3.9904506666527118E-4</c:v>
                </c:pt>
                <c:pt idx="11">
                  <c:v>-3.3197653333205679E-4</c:v>
                </c:pt>
                <c:pt idx="12">
                  <c:v>8.1407333331728893E-5</c:v>
                </c:pt>
                <c:pt idx="13">
                  <c:v>-4.7583439999909771E-4</c:v>
                </c:pt>
                <c:pt idx="14">
                  <c:v>4.0545199999852948E-5</c:v>
                </c:pt>
                <c:pt idx="15">
                  <c:v>-0.1173864233333328</c:v>
                </c:pt>
                <c:pt idx="16">
                  <c:v>-2.0097843982666679</c:v>
                </c:pt>
                <c:pt idx="17">
                  <c:v>-2.1383609336</c:v>
                </c:pt>
                <c:pt idx="18">
                  <c:v>-2.5613100293333351</c:v>
                </c:pt>
                <c:pt idx="19">
                  <c:v>-2.9265799061333322</c:v>
                </c:pt>
                <c:pt idx="20">
                  <c:v>-2.8450957764000009</c:v>
                </c:pt>
                <c:pt idx="21">
                  <c:v>-3.1888856211999999</c:v>
                </c:pt>
                <c:pt idx="22">
                  <c:v>-3.2046449246666682</c:v>
                </c:pt>
                <c:pt idx="23">
                  <c:v>-3.1492287087999999</c:v>
                </c:pt>
                <c:pt idx="24">
                  <c:v>-3.3304813290666679</c:v>
                </c:pt>
                <c:pt idx="25">
                  <c:v>-3.1295666720000002</c:v>
                </c:pt>
                <c:pt idx="26">
                  <c:v>-3.2065658153333332</c:v>
                </c:pt>
                <c:pt idx="27">
                  <c:v>-2.9213389941333352</c:v>
                </c:pt>
                <c:pt idx="28">
                  <c:v>-2.7926845598666659</c:v>
                </c:pt>
                <c:pt idx="29">
                  <c:v>-2.5621091730666681</c:v>
                </c:pt>
                <c:pt idx="30">
                  <c:v>-2.561714161466667</c:v>
                </c:pt>
                <c:pt idx="31">
                  <c:v>-2.163433853866668</c:v>
                </c:pt>
                <c:pt idx="32">
                  <c:v>-1.963913390666665</c:v>
                </c:pt>
                <c:pt idx="33">
                  <c:v>-1.807071272933332</c:v>
                </c:pt>
                <c:pt idx="34">
                  <c:v>-1.3067337273333319</c:v>
                </c:pt>
                <c:pt idx="35">
                  <c:v>-1.0241101211999999</c:v>
                </c:pt>
                <c:pt idx="36">
                  <c:v>-0.80810210133333504</c:v>
                </c:pt>
                <c:pt idx="37">
                  <c:v>-0.45444272600000002</c:v>
                </c:pt>
                <c:pt idx="38">
                  <c:v>-0.3313207477333332</c:v>
                </c:pt>
                <c:pt idx="39">
                  <c:v>2.3338493333300341E-4</c:v>
                </c:pt>
                <c:pt idx="40">
                  <c:v>1.0822373333331529E-4</c:v>
                </c:pt>
                <c:pt idx="41">
                  <c:v>0</c:v>
                </c:pt>
                <c:pt idx="42">
                  <c:v>4.760000000000042E-4</c:v>
                </c:pt>
                <c:pt idx="43">
                  <c:v>-3.3333333333299131E-4</c:v>
                </c:pt>
                <c:pt idx="44">
                  <c:v>2.5833333333302733E-4</c:v>
                </c:pt>
                <c:pt idx="45">
                  <c:v>-1.7266666666698741E-4</c:v>
                </c:pt>
                <c:pt idx="46">
                  <c:v>4.3700000000002071E-4</c:v>
                </c:pt>
                <c:pt idx="47">
                  <c:v>-2.7233333333298582E-4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3940-4105-A1F4-42489B9445C9}"/>
            </c:ext>
          </c:extLst>
        </c:ser>
        <c:ser>
          <c:idx val="67"/>
          <c:order val="67"/>
          <c:tx>
            <c:v>BES_TR8_five223_A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Net_kW!$BR$2:$BR$49</c:f>
              <c:numCache>
                <c:formatCode>#,##0.000</c:formatCode>
                <c:ptCount val="48"/>
                <c:pt idx="0">
                  <c:v>4.5499999999999707E-4</c:v>
                </c:pt>
                <c:pt idx="1">
                  <c:v>-1.1899999999998021E-4</c:v>
                </c:pt>
                <c:pt idx="2">
                  <c:v>0</c:v>
                </c:pt>
                <c:pt idx="3">
                  <c:v>0</c:v>
                </c:pt>
                <c:pt idx="4">
                  <c:v>-2.4800000000002598E-4</c:v>
                </c:pt>
                <c:pt idx="5">
                  <c:v>-4.159999999999997E-4</c:v>
                </c:pt>
                <c:pt idx="6">
                  <c:v>0</c:v>
                </c:pt>
                <c:pt idx="7">
                  <c:v>3.2529696666666608E-4</c:v>
                </c:pt>
                <c:pt idx="8">
                  <c:v>4.8231903333343512E-4</c:v>
                </c:pt>
                <c:pt idx="9">
                  <c:v>2.2813744999999891E-4</c:v>
                </c:pt>
                <c:pt idx="10">
                  <c:v>3.2724776666553929E-4</c:v>
                </c:pt>
                <c:pt idx="11">
                  <c:v>4.2270533334554112E-5</c:v>
                </c:pt>
                <c:pt idx="12">
                  <c:v>2.3923141666537531E-4</c:v>
                </c:pt>
                <c:pt idx="13">
                  <c:v>-3.8518843333190672E-4</c:v>
                </c:pt>
                <c:pt idx="14">
                  <c:v>-1.6856283332922221E-5</c:v>
                </c:pt>
                <c:pt idx="15">
                  <c:v>-6.782874999999855E-5</c:v>
                </c:pt>
                <c:pt idx="16">
                  <c:v>-0.68226622348333521</c:v>
                </c:pt>
                <c:pt idx="17">
                  <c:v>-2.0618042335666669</c:v>
                </c:pt>
                <c:pt idx="18">
                  <c:v>-1.287791775666665</c:v>
                </c:pt>
                <c:pt idx="19">
                  <c:v>-2.1375538136999981</c:v>
                </c:pt>
                <c:pt idx="20">
                  <c:v>-2.5037278251833341</c:v>
                </c:pt>
                <c:pt idx="21">
                  <c:v>-2.6186026477166671</c:v>
                </c:pt>
                <c:pt idx="22">
                  <c:v>-2.8654906840833338</c:v>
                </c:pt>
                <c:pt idx="23">
                  <c:v>-2.9045058702</c:v>
                </c:pt>
                <c:pt idx="24">
                  <c:v>-2.8180481629333349</c:v>
                </c:pt>
                <c:pt idx="25">
                  <c:v>-2.8258184630000001</c:v>
                </c:pt>
                <c:pt idx="26">
                  <c:v>-2.7648736717500002</c:v>
                </c:pt>
                <c:pt idx="27">
                  <c:v>-2.4368845365333351</c:v>
                </c:pt>
                <c:pt idx="28">
                  <c:v>-2.0965614065499998</c:v>
                </c:pt>
                <c:pt idx="29">
                  <c:v>-2.1771244014333351</c:v>
                </c:pt>
                <c:pt idx="30">
                  <c:v>-2.0499374329500002</c:v>
                </c:pt>
                <c:pt idx="31">
                  <c:v>-1.9078988721333341</c:v>
                </c:pt>
                <c:pt idx="32">
                  <c:v>-1.6406175168333319</c:v>
                </c:pt>
                <c:pt idx="33">
                  <c:v>-1.347916563816665</c:v>
                </c:pt>
                <c:pt idx="34">
                  <c:v>-1.1953612614166651</c:v>
                </c:pt>
                <c:pt idx="35">
                  <c:v>-0.89854725188333306</c:v>
                </c:pt>
                <c:pt idx="36">
                  <c:v>-0.69053198450000153</c:v>
                </c:pt>
                <c:pt idx="37">
                  <c:v>-0.36259288525</c:v>
                </c:pt>
                <c:pt idx="38">
                  <c:v>-0.26928065426666647</c:v>
                </c:pt>
                <c:pt idx="39">
                  <c:v>-3.4954850000004638E-5</c:v>
                </c:pt>
                <c:pt idx="40">
                  <c:v>-2.9330423333334688E-4</c:v>
                </c:pt>
                <c:pt idx="41">
                  <c:v>-3.9400000000000551E-4</c:v>
                </c:pt>
                <c:pt idx="42">
                  <c:v>0</c:v>
                </c:pt>
                <c:pt idx="43">
                  <c:v>0</c:v>
                </c:pt>
                <c:pt idx="44">
                  <c:v>-4.049999999999887E-4</c:v>
                </c:pt>
                <c:pt idx="45">
                  <c:v>4.399999999999959E-4</c:v>
                </c:pt>
                <c:pt idx="46">
                  <c:v>3.8000000000001921E-4</c:v>
                </c:pt>
                <c:pt idx="47">
                  <c:v>3.436666666669641E-4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3940-4105-A1F4-42489B9445C9}"/>
            </c:ext>
          </c:extLst>
        </c:ser>
        <c:ser>
          <c:idx val="68"/>
          <c:order val="68"/>
          <c:tx>
            <c:v>BES_TR8_five303_B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Net_kW!$BS$2:$BS$49</c:f>
              <c:numCache>
                <c:formatCode>#,##0.000</c:formatCode>
                <c:ptCount val="48"/>
                <c:pt idx="0">
                  <c:v>-4.339999999999899E-4</c:v>
                </c:pt>
                <c:pt idx="1">
                  <c:v>0</c:v>
                </c:pt>
                <c:pt idx="2">
                  <c:v>4.866666666669961E-4</c:v>
                </c:pt>
                <c:pt idx="3">
                  <c:v>-2.40000000000018E-4</c:v>
                </c:pt>
                <c:pt idx="4">
                  <c:v>0</c:v>
                </c:pt>
                <c:pt idx="5">
                  <c:v>0</c:v>
                </c:pt>
                <c:pt idx="6">
                  <c:v>-3.9066666666698341E-4</c:v>
                </c:pt>
                <c:pt idx="7">
                  <c:v>-8.1735066666310807E-5</c:v>
                </c:pt>
                <c:pt idx="8">
                  <c:v>1.3275373333339341E-4</c:v>
                </c:pt>
                <c:pt idx="9">
                  <c:v>3.1588806666699171E-4</c:v>
                </c:pt>
                <c:pt idx="10">
                  <c:v>-2.5477466666992691E-5</c:v>
                </c:pt>
                <c:pt idx="11">
                  <c:v>7.1011733334014338E-5</c:v>
                </c:pt>
                <c:pt idx="12">
                  <c:v>2.8337033333293571E-4</c:v>
                </c:pt>
                <c:pt idx="13">
                  <c:v>1.294161333339483E-4</c:v>
                </c:pt>
                <c:pt idx="14">
                  <c:v>3.4360593333293549E-4</c:v>
                </c:pt>
                <c:pt idx="15">
                  <c:v>-3.9037833333288591E-4</c:v>
                </c:pt>
                <c:pt idx="16">
                  <c:v>4.6196753333305201E-4</c:v>
                </c:pt>
                <c:pt idx="17">
                  <c:v>2.7766653333410879E-4</c:v>
                </c:pt>
                <c:pt idx="18">
                  <c:v>-3.3188133333406089E-4</c:v>
                </c:pt>
                <c:pt idx="19">
                  <c:v>-1.093697333329757E-4</c:v>
                </c:pt>
                <c:pt idx="20">
                  <c:v>2.5319513333310622E-4</c:v>
                </c:pt>
                <c:pt idx="21">
                  <c:v>-0.74004022726666718</c:v>
                </c:pt>
                <c:pt idx="22">
                  <c:v>-1.5742126290000009</c:v>
                </c:pt>
                <c:pt idx="23">
                  <c:v>-1.1435956877333331</c:v>
                </c:pt>
                <c:pt idx="24">
                  <c:v>-1.340507664533334</c:v>
                </c:pt>
                <c:pt idx="25">
                  <c:v>-1.4999415026666669</c:v>
                </c:pt>
                <c:pt idx="26">
                  <c:v>-0.55426124100000007</c:v>
                </c:pt>
                <c:pt idx="27">
                  <c:v>-0.96251849706666703</c:v>
                </c:pt>
                <c:pt idx="28">
                  <c:v>-1.2361766132666669</c:v>
                </c:pt>
                <c:pt idx="29">
                  <c:v>3.9158013333584479E-4</c:v>
                </c:pt>
                <c:pt idx="30">
                  <c:v>4.7908593333012561E-4</c:v>
                </c:pt>
                <c:pt idx="31">
                  <c:v>-5.5269333339436066E-6</c:v>
                </c:pt>
                <c:pt idx="32">
                  <c:v>2.7730466666403553E-4</c:v>
                </c:pt>
                <c:pt idx="33">
                  <c:v>1.570302000040158E-4</c:v>
                </c:pt>
                <c:pt idx="34">
                  <c:v>-3.3863666666134051E-5</c:v>
                </c:pt>
                <c:pt idx="35">
                  <c:v>3.8952273333300169E-4</c:v>
                </c:pt>
                <c:pt idx="36">
                  <c:v>-4.2080066666705379E-4</c:v>
                </c:pt>
                <c:pt idx="37">
                  <c:v>-4.5202966666704758E-4</c:v>
                </c:pt>
                <c:pt idx="38">
                  <c:v>-3.5970719999955941E-4</c:v>
                </c:pt>
                <c:pt idx="39">
                  <c:v>3.3135913333293132E-4</c:v>
                </c:pt>
                <c:pt idx="40">
                  <c:v>-2.025547999993105E-4</c:v>
                </c:pt>
                <c:pt idx="41">
                  <c:v>-4.6833333333407001E-4</c:v>
                </c:pt>
                <c:pt idx="42">
                  <c:v>0.27616833333333402</c:v>
                </c:pt>
                <c:pt idx="43">
                  <c:v>0.67125833333333396</c:v>
                </c:pt>
                <c:pt idx="44">
                  <c:v>0.74222333333333401</c:v>
                </c:pt>
                <c:pt idx="45">
                  <c:v>0.66899966666666599</c:v>
                </c:pt>
                <c:pt idx="46">
                  <c:v>0.34821466666666701</c:v>
                </c:pt>
                <c:pt idx="47">
                  <c:v>0.23638000000000001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3940-4105-A1F4-42489B9445C9}"/>
            </c:ext>
          </c:extLst>
        </c:ser>
        <c:ser>
          <c:idx val="69"/>
          <c:order val="69"/>
          <c:tx>
            <c:v>BES_TR8_five324_B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Net_kW!$BT$2:$BT$49</c:f>
              <c:numCache>
                <c:formatCode>#,##0.000</c:formatCode>
                <c:ptCount val="48"/>
                <c:pt idx="0">
                  <c:v>-4.1733333333299211E-4</c:v>
                </c:pt>
                <c:pt idx="1">
                  <c:v>0</c:v>
                </c:pt>
                <c:pt idx="2">
                  <c:v>-1.5000000000001121E-4</c:v>
                </c:pt>
                <c:pt idx="3">
                  <c:v>2.6133333333300263E-4</c:v>
                </c:pt>
                <c:pt idx="4">
                  <c:v>-2.020000000000077E-4</c:v>
                </c:pt>
                <c:pt idx="5">
                  <c:v>3.1333333333329738E-4</c:v>
                </c:pt>
                <c:pt idx="6">
                  <c:v>1.086666666670066E-4</c:v>
                </c:pt>
                <c:pt idx="7">
                  <c:v>-2.8660259999999099E-4</c:v>
                </c:pt>
                <c:pt idx="8">
                  <c:v>3.911306000000947E-4</c:v>
                </c:pt>
                <c:pt idx="9">
                  <c:v>2.804987666669978E-4</c:v>
                </c:pt>
                <c:pt idx="10">
                  <c:v>-5.2162000009903231E-6</c:v>
                </c:pt>
                <c:pt idx="11">
                  <c:v>1.891842666680299E-4</c:v>
                </c:pt>
                <c:pt idx="12">
                  <c:v>2.8438883333181669E-4</c:v>
                </c:pt>
                <c:pt idx="13">
                  <c:v>4.9479086666792682E-4</c:v>
                </c:pt>
                <c:pt idx="14">
                  <c:v>-9.0924433333361421E-5</c:v>
                </c:pt>
                <c:pt idx="15">
                  <c:v>4.7709916666693891E-4</c:v>
                </c:pt>
                <c:pt idx="16">
                  <c:v>-1.110487000008931E-4</c:v>
                </c:pt>
                <c:pt idx="17">
                  <c:v>-1.1396382002000001</c:v>
                </c:pt>
                <c:pt idx="18">
                  <c:v>-1.8368788553333339</c:v>
                </c:pt>
                <c:pt idx="19">
                  <c:v>-2.0879675545999992</c:v>
                </c:pt>
                <c:pt idx="20">
                  <c:v>-2.147962373966668</c:v>
                </c:pt>
                <c:pt idx="21">
                  <c:v>-2.2900055075666672</c:v>
                </c:pt>
                <c:pt idx="22">
                  <c:v>-2.4019134435000011</c:v>
                </c:pt>
                <c:pt idx="23">
                  <c:v>-2.3465923649333331</c:v>
                </c:pt>
                <c:pt idx="24">
                  <c:v>-2.4450409968000009</c:v>
                </c:pt>
                <c:pt idx="25">
                  <c:v>-2.508911587333333</c:v>
                </c:pt>
                <c:pt idx="26">
                  <c:v>-2.4452121948333332</c:v>
                </c:pt>
                <c:pt idx="27">
                  <c:v>-2.1366334122666681</c:v>
                </c:pt>
                <c:pt idx="28">
                  <c:v>-2.2147522532333341</c:v>
                </c:pt>
                <c:pt idx="29">
                  <c:v>-1.9477559631333341</c:v>
                </c:pt>
                <c:pt idx="30">
                  <c:v>-1.620949037766666</c:v>
                </c:pt>
                <c:pt idx="31">
                  <c:v>-1.563104557066668</c:v>
                </c:pt>
                <c:pt idx="32">
                  <c:v>-1.0874597096666649</c:v>
                </c:pt>
                <c:pt idx="33">
                  <c:v>-0.86812645469999905</c:v>
                </c:pt>
                <c:pt idx="34">
                  <c:v>-0.77063879549999914</c:v>
                </c:pt>
                <c:pt idx="35">
                  <c:v>-0.41112454923333308</c:v>
                </c:pt>
                <c:pt idx="36">
                  <c:v>-0.30796736766666799</c:v>
                </c:pt>
                <c:pt idx="37">
                  <c:v>-5.4487377833332962E-2</c:v>
                </c:pt>
                <c:pt idx="38">
                  <c:v>6.8772533330374586E-5</c:v>
                </c:pt>
                <c:pt idx="39">
                  <c:v>2.5670536666977378E-4</c:v>
                </c:pt>
                <c:pt idx="40">
                  <c:v>-4.8883219999962257E-4</c:v>
                </c:pt>
                <c:pt idx="41">
                  <c:v>-4.659999999999942E-4</c:v>
                </c:pt>
                <c:pt idx="42">
                  <c:v>-7.9333333332987088E-5</c:v>
                </c:pt>
                <c:pt idx="43">
                  <c:v>4.820000000000102E-4</c:v>
                </c:pt>
                <c:pt idx="44">
                  <c:v>6.7999999999998617E-5</c:v>
                </c:pt>
                <c:pt idx="45">
                  <c:v>-4.8533333333300449E-4</c:v>
                </c:pt>
                <c:pt idx="46">
                  <c:v>-1.799999999999857E-4</c:v>
                </c:pt>
                <c:pt idx="47">
                  <c:v>-4.8533333333300449E-4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3940-4105-A1F4-42489B9445C9}"/>
            </c:ext>
          </c:extLst>
        </c:ser>
        <c:ser>
          <c:idx val="70"/>
          <c:order val="70"/>
          <c:tx>
            <c:v>BES_TR8_five345_A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Net_kW!$BU$2:$BU$49</c:f>
              <c:numCache>
                <c:formatCode>#,##0.000</c:formatCode>
                <c:ptCount val="48"/>
                <c:pt idx="0">
                  <c:v>-2.8466666666698842E-4</c:v>
                </c:pt>
                <c:pt idx="1">
                  <c:v>0</c:v>
                </c:pt>
                <c:pt idx="2">
                  <c:v>0</c:v>
                </c:pt>
                <c:pt idx="3">
                  <c:v>-2.8466666666698842E-4</c:v>
                </c:pt>
                <c:pt idx="4">
                  <c:v>0</c:v>
                </c:pt>
                <c:pt idx="5">
                  <c:v>-2.8466666666698842E-4</c:v>
                </c:pt>
                <c:pt idx="6">
                  <c:v>0</c:v>
                </c:pt>
                <c:pt idx="7">
                  <c:v>-4.4080346666666709E-4</c:v>
                </c:pt>
                <c:pt idx="8">
                  <c:v>2.655074666667988E-4</c:v>
                </c:pt>
                <c:pt idx="9">
                  <c:v>1.4177613333297981E-4</c:v>
                </c:pt>
                <c:pt idx="10">
                  <c:v>-3.402882666680429E-4</c:v>
                </c:pt>
                <c:pt idx="11">
                  <c:v>1.420234666680287E-4</c:v>
                </c:pt>
                <c:pt idx="12">
                  <c:v>-2.0325933333509291E-4</c:v>
                </c:pt>
                <c:pt idx="13">
                  <c:v>2.5883226666811859E-4</c:v>
                </c:pt>
                <c:pt idx="14">
                  <c:v>-1.4245479999996921E-4</c:v>
                </c:pt>
                <c:pt idx="15">
                  <c:v>-0.56872775666666642</c:v>
                </c:pt>
                <c:pt idx="16">
                  <c:v>-2.2083293982666681</c:v>
                </c:pt>
                <c:pt idx="17">
                  <c:v>-2.4806509336000002</c:v>
                </c:pt>
                <c:pt idx="18">
                  <c:v>-2.6008600293333348</c:v>
                </c:pt>
                <c:pt idx="19">
                  <c:v>-2.9103834061333318</c:v>
                </c:pt>
                <c:pt idx="20">
                  <c:v>-3.0121919430666679</c:v>
                </c:pt>
                <c:pt idx="21">
                  <c:v>-3.1874067878666672</c:v>
                </c:pt>
                <c:pt idx="22">
                  <c:v>-3.3289779246666682</c:v>
                </c:pt>
                <c:pt idx="23">
                  <c:v>-3.2618513754666671</c:v>
                </c:pt>
                <c:pt idx="24">
                  <c:v>-3.386481329066668</c:v>
                </c:pt>
                <c:pt idx="25">
                  <c:v>-3.3623216720000002</c:v>
                </c:pt>
                <c:pt idx="26">
                  <c:v>-3.2811584819999999</c:v>
                </c:pt>
                <c:pt idx="27">
                  <c:v>-3.0456189941333349</c:v>
                </c:pt>
                <c:pt idx="28">
                  <c:v>-3.0095078931999999</c:v>
                </c:pt>
                <c:pt idx="29">
                  <c:v>-2.7264341730666679</c:v>
                </c:pt>
                <c:pt idx="30">
                  <c:v>-2.607169161466667</c:v>
                </c:pt>
                <c:pt idx="31">
                  <c:v>-2.3835838538666678</c:v>
                </c:pt>
                <c:pt idx="32">
                  <c:v>-2.002084723999999</c:v>
                </c:pt>
                <c:pt idx="33">
                  <c:v>-1.7880712729333319</c:v>
                </c:pt>
                <c:pt idx="34">
                  <c:v>-1.4832117273333321</c:v>
                </c:pt>
                <c:pt idx="35">
                  <c:v>-1.0582342878666671</c:v>
                </c:pt>
                <c:pt idx="36">
                  <c:v>-0.86691693466666797</c:v>
                </c:pt>
                <c:pt idx="37">
                  <c:v>-0.57475072599999999</c:v>
                </c:pt>
                <c:pt idx="38">
                  <c:v>-0.31232074773333318</c:v>
                </c:pt>
                <c:pt idx="39">
                  <c:v>-1.8281733333000431E-5</c:v>
                </c:pt>
                <c:pt idx="40">
                  <c:v>2.5289040000031632E-4</c:v>
                </c:pt>
                <c:pt idx="41">
                  <c:v>-2.156666666670026E-4</c:v>
                </c:pt>
                <c:pt idx="42">
                  <c:v>-3.2633333333298431E-4</c:v>
                </c:pt>
                <c:pt idx="43">
                  <c:v>-2.7566666666700712E-4</c:v>
                </c:pt>
                <c:pt idx="44">
                  <c:v>3.909999999999747E-4</c:v>
                </c:pt>
                <c:pt idx="45">
                  <c:v>-2.203333333329893E-4</c:v>
                </c:pt>
                <c:pt idx="46">
                  <c:v>-4.8333333332983841E-5</c:v>
                </c:pt>
                <c:pt idx="47">
                  <c:v>7.3333333340253049E-6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3940-4105-A1F4-42489B9445C9}"/>
            </c:ext>
          </c:extLst>
        </c:ser>
        <c:ser>
          <c:idx val="71"/>
          <c:order val="71"/>
          <c:tx>
            <c:v>BES_TR8_five421_A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Net_kW!$BV$2:$BV$49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4.1939739999999342E-4</c:v>
                </c:pt>
                <c:pt idx="8">
                  <c:v>-3.0086939999990001E-4</c:v>
                </c:pt>
                <c:pt idx="9">
                  <c:v>-4.3016790000000032E-4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6.1055499999018714E-5</c:v>
                </c:pt>
                <c:pt idx="13">
                  <c:v>-3.0587579999885589E-4</c:v>
                </c:pt>
                <c:pt idx="14">
                  <c:v>-4.6959109999988868E-4</c:v>
                </c:pt>
                <c:pt idx="15">
                  <c:v>3.0432500000010521E-5</c:v>
                </c:pt>
                <c:pt idx="16">
                  <c:v>-1.1772470487000011</c:v>
                </c:pt>
                <c:pt idx="17">
                  <c:v>-1.8544882002</c:v>
                </c:pt>
                <c:pt idx="18">
                  <c:v>-1.7390698553333339</c:v>
                </c:pt>
                <c:pt idx="19">
                  <c:v>-1.824869621266666</c:v>
                </c:pt>
                <c:pt idx="20">
                  <c:v>-2.3049175073000008</c:v>
                </c:pt>
                <c:pt idx="21">
                  <c:v>-2.4144788409000002</c:v>
                </c:pt>
                <c:pt idx="22">
                  <c:v>-2.4907334435000008</c:v>
                </c:pt>
                <c:pt idx="23">
                  <c:v>-2.5241750316</c:v>
                </c:pt>
                <c:pt idx="24">
                  <c:v>-2.533860996800001</c:v>
                </c:pt>
                <c:pt idx="25">
                  <c:v>-2.5157412539999999</c:v>
                </c:pt>
                <c:pt idx="26">
                  <c:v>-2.4548688615000001</c:v>
                </c:pt>
                <c:pt idx="27">
                  <c:v>-2.331796478933335</c:v>
                </c:pt>
                <c:pt idx="28">
                  <c:v>-2.0812398532333329</c:v>
                </c:pt>
                <c:pt idx="29">
                  <c:v>-1.649743963133335</c:v>
                </c:pt>
                <c:pt idx="30">
                  <c:v>-1.4946400377666671</c:v>
                </c:pt>
                <c:pt idx="31">
                  <c:v>-1.769631890400001</c:v>
                </c:pt>
                <c:pt idx="32">
                  <c:v>-1.5629100429999989</c:v>
                </c:pt>
                <c:pt idx="33">
                  <c:v>-1.323545454699999</c:v>
                </c:pt>
                <c:pt idx="34">
                  <c:v>-1.0810754621666661</c:v>
                </c:pt>
                <c:pt idx="35">
                  <c:v>-0.7872318825666671</c:v>
                </c:pt>
                <c:pt idx="36">
                  <c:v>-0.14721970100000101</c:v>
                </c:pt>
                <c:pt idx="37">
                  <c:v>-1.1932511166666991E-2</c:v>
                </c:pt>
                <c:pt idx="38">
                  <c:v>3.7970586666707939E-4</c:v>
                </c:pt>
                <c:pt idx="39">
                  <c:v>-1.4396130000005061E-4</c:v>
                </c:pt>
                <c:pt idx="40">
                  <c:v>-5.349886666705661E-5</c:v>
                </c:pt>
                <c:pt idx="41">
                  <c:v>9.6666666667022394E-5</c:v>
                </c:pt>
                <c:pt idx="42">
                  <c:v>1.9666666666706689E-4</c:v>
                </c:pt>
                <c:pt idx="43">
                  <c:v>-2.7466666666597922E-4</c:v>
                </c:pt>
                <c:pt idx="44">
                  <c:v>1.506666666669654E-4</c:v>
                </c:pt>
                <c:pt idx="45">
                  <c:v>1.143333333329943E-4</c:v>
                </c:pt>
                <c:pt idx="46">
                  <c:v>2.543333333339115E-4</c:v>
                </c:pt>
                <c:pt idx="47">
                  <c:v>-2.4966666666703658E-4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3940-4105-A1F4-42489B9445C9}"/>
            </c:ext>
          </c:extLst>
        </c:ser>
        <c:ser>
          <c:idx val="72"/>
          <c:order val="72"/>
          <c:tx>
            <c:v>BES_TR8_five488_B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Net_kW!$BW$2:$BW$49</c:f>
              <c:numCache>
                <c:formatCode>#,##0.000</c:formatCode>
                <c:ptCount val="48"/>
                <c:pt idx="0">
                  <c:v>3.7866666666699911E-4</c:v>
                </c:pt>
                <c:pt idx="1">
                  <c:v>0</c:v>
                </c:pt>
                <c:pt idx="2">
                  <c:v>-3.923333333329948E-4</c:v>
                </c:pt>
                <c:pt idx="3">
                  <c:v>-4.8299999999999732E-4</c:v>
                </c:pt>
                <c:pt idx="4">
                  <c:v>2.266666666697614E-5</c:v>
                </c:pt>
                <c:pt idx="5">
                  <c:v>1.020000000000187E-4</c:v>
                </c:pt>
                <c:pt idx="6">
                  <c:v>0</c:v>
                </c:pt>
                <c:pt idx="7">
                  <c:v>-3.1613679999970001E-4</c:v>
                </c:pt>
                <c:pt idx="8">
                  <c:v>-5.5333331994058396E-9</c:v>
                </c:pt>
                <c:pt idx="9">
                  <c:v>-1.7222386666700121E-4</c:v>
                </c:pt>
                <c:pt idx="10">
                  <c:v>3.8304506666503308E-4</c:v>
                </c:pt>
                <c:pt idx="11">
                  <c:v>1.420234666681397E-4</c:v>
                </c:pt>
                <c:pt idx="12">
                  <c:v>-2.2926000001199931E-5</c:v>
                </c:pt>
                <c:pt idx="13">
                  <c:v>-2.6216773333209709E-4</c:v>
                </c:pt>
                <c:pt idx="14">
                  <c:v>-2.0945480000023051E-4</c:v>
                </c:pt>
                <c:pt idx="15">
                  <c:v>4.3191000000009078E-4</c:v>
                </c:pt>
                <c:pt idx="16">
                  <c:v>-1.577262731600001</c:v>
                </c:pt>
                <c:pt idx="17">
                  <c:v>-2.363316266933333</c:v>
                </c:pt>
                <c:pt idx="18">
                  <c:v>-2.1811916960000008</c:v>
                </c:pt>
                <c:pt idx="19">
                  <c:v>-2.313845406133332</c:v>
                </c:pt>
                <c:pt idx="20">
                  <c:v>-2.7628196097333348</c:v>
                </c:pt>
                <c:pt idx="21">
                  <c:v>-2.9619944545333339</c:v>
                </c:pt>
                <c:pt idx="22">
                  <c:v>-3.1425532580000008</c:v>
                </c:pt>
                <c:pt idx="23">
                  <c:v>-3.3795667088000001</c:v>
                </c:pt>
                <c:pt idx="24">
                  <c:v>-3.1925969957333349</c:v>
                </c:pt>
                <c:pt idx="25">
                  <c:v>-3.2620813386666669</c:v>
                </c:pt>
                <c:pt idx="26">
                  <c:v>-3.2480118153333328</c:v>
                </c:pt>
                <c:pt idx="27">
                  <c:v>-2.540073660800001</c:v>
                </c:pt>
                <c:pt idx="28">
                  <c:v>-2.9119857932</c:v>
                </c:pt>
                <c:pt idx="29">
                  <c:v>-2.5786796397333349</c:v>
                </c:pt>
                <c:pt idx="30">
                  <c:v>-2.4626564948</c:v>
                </c:pt>
                <c:pt idx="31">
                  <c:v>-2.0845418538666678</c:v>
                </c:pt>
                <c:pt idx="32">
                  <c:v>-1.9117727239999991</c:v>
                </c:pt>
                <c:pt idx="33">
                  <c:v>-1.641561272933332</c:v>
                </c:pt>
                <c:pt idx="34">
                  <c:v>-0.90465072733333185</c:v>
                </c:pt>
                <c:pt idx="35">
                  <c:v>-0.53460328786666611</c:v>
                </c:pt>
                <c:pt idx="36">
                  <c:v>-0.75547693466666799</c:v>
                </c:pt>
                <c:pt idx="37">
                  <c:v>-0.29084305933333299</c:v>
                </c:pt>
                <c:pt idx="38">
                  <c:v>-0.18756341440000021</c:v>
                </c:pt>
                <c:pt idx="39">
                  <c:v>4.0718266666996128E-5</c:v>
                </c:pt>
                <c:pt idx="40">
                  <c:v>4.028904000003275E-4</c:v>
                </c:pt>
                <c:pt idx="41">
                  <c:v>0</c:v>
                </c:pt>
                <c:pt idx="42">
                  <c:v>-3.9833333333305632E-4</c:v>
                </c:pt>
                <c:pt idx="43">
                  <c:v>-4.770000000000052E-4</c:v>
                </c:pt>
                <c:pt idx="44">
                  <c:v>-1.939999999999997E-4</c:v>
                </c:pt>
                <c:pt idx="45">
                  <c:v>3.1866666666699461E-4</c:v>
                </c:pt>
                <c:pt idx="46">
                  <c:v>0</c:v>
                </c:pt>
                <c:pt idx="47">
                  <c:v>-1.8833333333299901E-4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3940-4105-A1F4-42489B9445C9}"/>
            </c:ext>
          </c:extLst>
        </c:ser>
        <c:ser>
          <c:idx val="73"/>
          <c:order val="73"/>
          <c:tx>
            <c:v>BES_TR8_five513_B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Net_kW!$BX$2:$BX$49</c:f>
              <c:numCache>
                <c:formatCode>#,##0.000</c:formatCode>
                <c:ptCount val="48"/>
                <c:pt idx="0">
                  <c:v>-3.5999999999999921E-4</c:v>
                </c:pt>
                <c:pt idx="1">
                  <c:v>0</c:v>
                </c:pt>
                <c:pt idx="2">
                  <c:v>1.466666666666977E-4</c:v>
                </c:pt>
                <c:pt idx="3">
                  <c:v>4.9333333333299867E-4</c:v>
                </c:pt>
                <c:pt idx="4">
                  <c:v>0</c:v>
                </c:pt>
                <c:pt idx="5">
                  <c:v>0</c:v>
                </c:pt>
                <c:pt idx="6">
                  <c:v>-3.866666666667018E-4</c:v>
                </c:pt>
                <c:pt idx="7">
                  <c:v>1.5963633333365701E-5</c:v>
                </c:pt>
                <c:pt idx="8">
                  <c:v>4.8231903333343431E-4</c:v>
                </c:pt>
                <c:pt idx="9">
                  <c:v>3.7813745000001009E-4</c:v>
                </c:pt>
                <c:pt idx="10">
                  <c:v>8.7247766665521365E-5</c:v>
                </c:pt>
                <c:pt idx="11">
                  <c:v>-1.257294666654474E-4</c:v>
                </c:pt>
                <c:pt idx="12">
                  <c:v>7.1231416665429315E-5</c:v>
                </c:pt>
                <c:pt idx="13">
                  <c:v>-2.3521766665091089E-5</c:v>
                </c:pt>
                <c:pt idx="14">
                  <c:v>2.8547705000003809E-4</c:v>
                </c:pt>
                <c:pt idx="15">
                  <c:v>-2.1157828750000052E-2</c:v>
                </c:pt>
                <c:pt idx="16">
                  <c:v>-1.683760556816668</c:v>
                </c:pt>
                <c:pt idx="17">
                  <c:v>-1.8140045669</c:v>
                </c:pt>
                <c:pt idx="18">
                  <c:v>-2.1419524423333351</c:v>
                </c:pt>
                <c:pt idx="19">
                  <c:v>-2.3584280470333319</c:v>
                </c:pt>
                <c:pt idx="20">
                  <c:v>-2.6870494251833339</c:v>
                </c:pt>
                <c:pt idx="21">
                  <c:v>-2.80945198105</c:v>
                </c:pt>
                <c:pt idx="22">
                  <c:v>-2.8486556840833339</c:v>
                </c:pt>
                <c:pt idx="23">
                  <c:v>-2.9498708701999998</c:v>
                </c:pt>
                <c:pt idx="24">
                  <c:v>-2.8080911629333349</c:v>
                </c:pt>
                <c:pt idx="25">
                  <c:v>-2.7769514630000001</c:v>
                </c:pt>
                <c:pt idx="26">
                  <c:v>-2.7923736717500001</c:v>
                </c:pt>
                <c:pt idx="27">
                  <c:v>-2.7606675365333349</c:v>
                </c:pt>
                <c:pt idx="28">
                  <c:v>-2.610586073216667</c:v>
                </c:pt>
                <c:pt idx="29">
                  <c:v>-2.4135097347666679</c:v>
                </c:pt>
                <c:pt idx="30">
                  <c:v>-2.2932374329499998</c:v>
                </c:pt>
                <c:pt idx="31">
                  <c:v>-2.0836358721333341</c:v>
                </c:pt>
                <c:pt idx="32">
                  <c:v>-1.772935050166665</c:v>
                </c:pt>
                <c:pt idx="33">
                  <c:v>-1.562562363816665</c:v>
                </c:pt>
                <c:pt idx="34">
                  <c:v>-1.237756928083332</c:v>
                </c:pt>
                <c:pt idx="35">
                  <c:v>-1.005119251883333</c:v>
                </c:pt>
                <c:pt idx="36">
                  <c:v>-0.71093898450000115</c:v>
                </c:pt>
                <c:pt idx="37">
                  <c:v>-0.47188021858333329</c:v>
                </c:pt>
                <c:pt idx="38">
                  <c:v>-0.27128065426666648</c:v>
                </c:pt>
                <c:pt idx="39">
                  <c:v>-4.2764954850000002E-2</c:v>
                </c:pt>
                <c:pt idx="40">
                  <c:v>2.669576666664009E-5</c:v>
                </c:pt>
                <c:pt idx="41">
                  <c:v>3.2000000000000079E-4</c:v>
                </c:pt>
                <c:pt idx="42">
                  <c:v>0</c:v>
                </c:pt>
                <c:pt idx="43">
                  <c:v>-3.5999999999999921E-4</c:v>
                </c:pt>
                <c:pt idx="44">
                  <c:v>0</c:v>
                </c:pt>
                <c:pt idx="45">
                  <c:v>-3.5999999999999921E-4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3940-4105-A1F4-42489B9445C9}"/>
            </c:ext>
          </c:extLst>
        </c:ser>
        <c:ser>
          <c:idx val="74"/>
          <c:order val="74"/>
          <c:tx>
            <c:v>BES_TR8_five537_C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Net_kW!$BY$2:$BY$49</c:f>
              <c:numCache>
                <c:formatCode>#,##0.000</c:formatCode>
                <c:ptCount val="48"/>
                <c:pt idx="0">
                  <c:v>4.3133333333306162E-4</c:v>
                </c:pt>
                <c:pt idx="1">
                  <c:v>-3.6399999999998928E-4</c:v>
                </c:pt>
                <c:pt idx="2">
                  <c:v>-1.3799999999999921E-4</c:v>
                </c:pt>
                <c:pt idx="3">
                  <c:v>0</c:v>
                </c:pt>
                <c:pt idx="4">
                  <c:v>-9.2000000000008741E-5</c:v>
                </c:pt>
                <c:pt idx="5">
                  <c:v>-4.099999999999937E-4</c:v>
                </c:pt>
                <c:pt idx="6">
                  <c:v>0</c:v>
                </c:pt>
                <c:pt idx="7">
                  <c:v>3.0819653333336028E-4</c:v>
                </c:pt>
                <c:pt idx="8">
                  <c:v>1.450746666681324E-5</c:v>
                </c:pt>
                <c:pt idx="9">
                  <c:v>4.2644279999998203E-4</c:v>
                </c:pt>
                <c:pt idx="10">
                  <c:v>3.6271173333196632E-4</c:v>
                </c:pt>
                <c:pt idx="11">
                  <c:v>-6.2976533331982054E-5</c:v>
                </c:pt>
                <c:pt idx="12">
                  <c:v>8.1407333331950937E-5</c:v>
                </c:pt>
                <c:pt idx="13">
                  <c:v>-3.5616773333191348E-4</c:v>
                </c:pt>
                <c:pt idx="14">
                  <c:v>1.5354520000010469E-4</c:v>
                </c:pt>
                <c:pt idx="15">
                  <c:v>-0.16776942333333289</c:v>
                </c:pt>
                <c:pt idx="16">
                  <c:v>-1.0863543982666679</c:v>
                </c:pt>
                <c:pt idx="17">
                  <c:v>-2.2653319336000002</c:v>
                </c:pt>
                <c:pt idx="18">
                  <c:v>-1.403441695999998</c:v>
                </c:pt>
                <c:pt idx="19">
                  <c:v>-3.6768406133331773E-2</c:v>
                </c:pt>
                <c:pt idx="20">
                  <c:v>-1.2491626097333379</c:v>
                </c:pt>
                <c:pt idx="21">
                  <c:v>-1.59771045453333</c:v>
                </c:pt>
                <c:pt idx="22">
                  <c:v>-3.3002739246666679</c:v>
                </c:pt>
                <c:pt idx="23">
                  <c:v>-3.1487167087999999</c:v>
                </c:pt>
                <c:pt idx="24">
                  <c:v>-3.2958216624000012</c:v>
                </c:pt>
                <c:pt idx="25">
                  <c:v>-3.112335338666667</c:v>
                </c:pt>
                <c:pt idx="26">
                  <c:v>-3.1136544819999998</c:v>
                </c:pt>
                <c:pt idx="27">
                  <c:v>-1.4847526607999979</c:v>
                </c:pt>
                <c:pt idx="28">
                  <c:v>-0.62088989319999977</c:v>
                </c:pt>
                <c:pt idx="29">
                  <c:v>-1.928795506400002</c:v>
                </c:pt>
                <c:pt idx="30">
                  <c:v>-0.85226816146667006</c:v>
                </c:pt>
                <c:pt idx="31">
                  <c:v>-2.0827538538666679</c:v>
                </c:pt>
                <c:pt idx="32">
                  <c:v>-1.8163400573333319</c:v>
                </c:pt>
                <c:pt idx="33">
                  <c:v>-1.396596606266665</c:v>
                </c:pt>
                <c:pt idx="34">
                  <c:v>-0.92525506066666485</c:v>
                </c:pt>
                <c:pt idx="35">
                  <c:v>-2.799728786667011E-2</c:v>
                </c:pt>
                <c:pt idx="36">
                  <c:v>-2.03067999997919E-4</c:v>
                </c:pt>
                <c:pt idx="37">
                  <c:v>-0.24755899266666709</c:v>
                </c:pt>
                <c:pt idx="38">
                  <c:v>-0.16753341440000019</c:v>
                </c:pt>
                <c:pt idx="39">
                  <c:v>3.8405160000000438E-4</c:v>
                </c:pt>
                <c:pt idx="40">
                  <c:v>2.362237333333253E-4</c:v>
                </c:pt>
                <c:pt idx="41">
                  <c:v>4.9799999999999844E-4</c:v>
                </c:pt>
                <c:pt idx="42">
                  <c:v>0</c:v>
                </c:pt>
                <c:pt idx="43">
                  <c:v>0</c:v>
                </c:pt>
                <c:pt idx="44">
                  <c:v>-3.9133333333302161E-4</c:v>
                </c:pt>
                <c:pt idx="45">
                  <c:v>-3.2666666666958388E-5</c:v>
                </c:pt>
                <c:pt idx="46">
                  <c:v>-1.5333333333300561E-4</c:v>
                </c:pt>
                <c:pt idx="47">
                  <c:v>4.4299999999997119E-4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3940-4105-A1F4-42489B9445C9}"/>
            </c:ext>
          </c:extLst>
        </c:ser>
        <c:ser>
          <c:idx val="75"/>
          <c:order val="75"/>
          <c:tx>
            <c:v>BES_TR8_five540_A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Net_kW!$BZ$2:$BZ$49</c:f>
              <c:numCache>
                <c:formatCode>#,##0.000</c:formatCode>
                <c:ptCount val="48"/>
                <c:pt idx="0">
                  <c:v>-6.9388939039072284E-18</c:v>
                </c:pt>
                <c:pt idx="1">
                  <c:v>4.5400000000001001E-4</c:v>
                </c:pt>
                <c:pt idx="2">
                  <c:v>-6.9388939039072284E-18</c:v>
                </c:pt>
                <c:pt idx="3">
                  <c:v>-4.880000000000162E-4</c:v>
                </c:pt>
                <c:pt idx="4">
                  <c:v>-5.7999999999891472E-5</c:v>
                </c:pt>
                <c:pt idx="5">
                  <c:v>3.1399999999999478E-4</c:v>
                </c:pt>
                <c:pt idx="6">
                  <c:v>1.4000000000000121E-4</c:v>
                </c:pt>
                <c:pt idx="7">
                  <c:v>4.1939739999999342E-4</c:v>
                </c:pt>
                <c:pt idx="8">
                  <c:v>1.531306000001065E-4</c:v>
                </c:pt>
                <c:pt idx="9">
                  <c:v>-4.3016790000000032E-4</c:v>
                </c:pt>
                <c:pt idx="10">
                  <c:v>-1.2121620000102309E-4</c:v>
                </c:pt>
                <c:pt idx="11">
                  <c:v>1.76517600001036E-4</c:v>
                </c:pt>
                <c:pt idx="12">
                  <c:v>-2.8194450000118548E-4</c:v>
                </c:pt>
                <c:pt idx="13">
                  <c:v>4.9112420000096968E-4</c:v>
                </c:pt>
                <c:pt idx="14">
                  <c:v>-4.4492443333354892E-4</c:v>
                </c:pt>
                <c:pt idx="15">
                  <c:v>-4.0693416666703902E-4</c:v>
                </c:pt>
                <c:pt idx="16">
                  <c:v>1.746179666659575E-4</c:v>
                </c:pt>
                <c:pt idx="17">
                  <c:v>-1.6804322002000001</c:v>
                </c:pt>
                <c:pt idx="18">
                  <c:v>-1.7899170220000009</c:v>
                </c:pt>
                <c:pt idx="19">
                  <c:v>-2.1732665879333322</c:v>
                </c:pt>
                <c:pt idx="20">
                  <c:v>-2.312006707300001</c:v>
                </c:pt>
                <c:pt idx="21">
                  <c:v>-2.3658798408999999</c:v>
                </c:pt>
                <c:pt idx="22">
                  <c:v>-2.3808784435000012</c:v>
                </c:pt>
                <c:pt idx="23">
                  <c:v>-2.5291750315999999</c:v>
                </c:pt>
                <c:pt idx="24">
                  <c:v>-2.3147689968000011</c:v>
                </c:pt>
                <c:pt idx="25">
                  <c:v>-2.441251254</c:v>
                </c:pt>
                <c:pt idx="26">
                  <c:v>-1.3904558615</c:v>
                </c:pt>
                <c:pt idx="27">
                  <c:v>-2.3057447456000011</c:v>
                </c:pt>
                <c:pt idx="28">
                  <c:v>-2.2561309198999999</c:v>
                </c:pt>
                <c:pt idx="29">
                  <c:v>-2.1156426298000008</c:v>
                </c:pt>
                <c:pt idx="30">
                  <c:v>-1.8438343711</c:v>
                </c:pt>
                <c:pt idx="31">
                  <c:v>-1.081645890400001</c:v>
                </c:pt>
                <c:pt idx="32">
                  <c:v>-1.3522687763333321</c:v>
                </c:pt>
                <c:pt idx="33">
                  <c:v>-1.0552136546999991</c:v>
                </c:pt>
                <c:pt idx="34">
                  <c:v>-0.99337746216666611</c:v>
                </c:pt>
                <c:pt idx="35">
                  <c:v>-0.68534288256666709</c:v>
                </c:pt>
                <c:pt idx="36">
                  <c:v>-0.54905166766666802</c:v>
                </c:pt>
                <c:pt idx="37">
                  <c:v>-9.1289044499999972E-2</c:v>
                </c:pt>
                <c:pt idx="38">
                  <c:v>3.4700586666711048E-4</c:v>
                </c:pt>
                <c:pt idx="39">
                  <c:v>-2.7196129999995661E-4</c:v>
                </c:pt>
                <c:pt idx="40">
                  <c:v>-4.2916553332994489E-4</c:v>
                </c:pt>
                <c:pt idx="41">
                  <c:v>2.7233333333298582E-4</c:v>
                </c:pt>
                <c:pt idx="42">
                  <c:v>-3.7266666666696541E-4</c:v>
                </c:pt>
                <c:pt idx="43">
                  <c:v>3.2366666666699961E-4</c:v>
                </c:pt>
                <c:pt idx="44">
                  <c:v>-4.243333333329713E-4</c:v>
                </c:pt>
                <c:pt idx="45">
                  <c:v>-1.6000000000016001E-5</c:v>
                </c:pt>
                <c:pt idx="46">
                  <c:v>-4.4933333333302411E-4</c:v>
                </c:pt>
                <c:pt idx="47">
                  <c:v>-6.9388939039072284E-18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3940-4105-A1F4-42489B9445C9}"/>
            </c:ext>
          </c:extLst>
        </c:ser>
        <c:ser>
          <c:idx val="76"/>
          <c:order val="76"/>
          <c:tx>
            <c:v>BES_TR8_five551_C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Net_kW!$CA$2:$CA$49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-4.4080346666666709E-4</c:v>
                </c:pt>
                <c:pt idx="8">
                  <c:v>2.6550746666679972E-4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1.420234666680287E-4</c:v>
                </c:pt>
                <c:pt idx="12">
                  <c:v>8.1407333331839915E-5</c:v>
                </c:pt>
                <c:pt idx="13">
                  <c:v>3.9049893333475971E-4</c:v>
                </c:pt>
                <c:pt idx="14">
                  <c:v>4.732118666668228E-4</c:v>
                </c:pt>
                <c:pt idx="15">
                  <c:v>-1.05157609</c:v>
                </c:pt>
                <c:pt idx="16">
                  <c:v>-1.205571064933338</c:v>
                </c:pt>
                <c:pt idx="17">
                  <c:v>-2.2971576002666669</c:v>
                </c:pt>
                <c:pt idx="18">
                  <c:v>-2.572115362666668</c:v>
                </c:pt>
                <c:pt idx="19">
                  <c:v>-2.779923406133332</c:v>
                </c:pt>
                <c:pt idx="20">
                  <c:v>-3.0830089430666678</c:v>
                </c:pt>
                <c:pt idx="21">
                  <c:v>-3.2263051211999998</c:v>
                </c:pt>
                <c:pt idx="22">
                  <c:v>-3.3279779246666679</c:v>
                </c:pt>
                <c:pt idx="23">
                  <c:v>-3.3725667088</c:v>
                </c:pt>
                <c:pt idx="24">
                  <c:v>-3.3854813290666681</c:v>
                </c:pt>
                <c:pt idx="25">
                  <c:v>-3.3613216719999999</c:v>
                </c:pt>
                <c:pt idx="26">
                  <c:v>-3.280158482</c:v>
                </c:pt>
                <c:pt idx="27">
                  <c:v>-3.1563343274666682</c:v>
                </c:pt>
                <c:pt idx="28">
                  <c:v>-3.0085078932</c:v>
                </c:pt>
                <c:pt idx="29">
                  <c:v>-2.6673025064000009</c:v>
                </c:pt>
                <c:pt idx="30">
                  <c:v>-2.4736284947999998</c:v>
                </c:pt>
                <c:pt idx="31">
                  <c:v>-2.2314278538666681</c:v>
                </c:pt>
                <c:pt idx="32">
                  <c:v>-1.984036057333332</c:v>
                </c:pt>
                <c:pt idx="33">
                  <c:v>-1.6023062729333319</c:v>
                </c:pt>
                <c:pt idx="34">
                  <c:v>-1.286819393999999</c:v>
                </c:pt>
                <c:pt idx="35">
                  <c:v>-1.0058496212000001</c:v>
                </c:pt>
                <c:pt idx="36">
                  <c:v>-0.80654793466666796</c:v>
                </c:pt>
                <c:pt idx="37">
                  <c:v>-0.48443525933333298</c:v>
                </c:pt>
                <c:pt idx="38">
                  <c:v>-3.5309014400000172E-2</c:v>
                </c:pt>
                <c:pt idx="39">
                  <c:v>-7.6948399999998696E-5</c:v>
                </c:pt>
                <c:pt idx="40">
                  <c:v>-5.1442933333700758E-5</c:v>
                </c:pt>
                <c:pt idx="41">
                  <c:v>2.6666666666699812E-4</c:v>
                </c:pt>
                <c:pt idx="42">
                  <c:v>3.4533333333297561E-4</c:v>
                </c:pt>
                <c:pt idx="43">
                  <c:v>-1.4399999999997751E-4</c:v>
                </c:pt>
                <c:pt idx="44">
                  <c:v>4.3933333333301411E-4</c:v>
                </c:pt>
                <c:pt idx="45">
                  <c:v>7.6666666667002392E-5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3940-4105-A1F4-42489B9445C9}"/>
            </c:ext>
          </c:extLst>
        </c:ser>
        <c:ser>
          <c:idx val="77"/>
          <c:order val="77"/>
          <c:tx>
            <c:v>BES_TR8_five631_B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Net_kW!$CB$2:$CB$49</c:f>
              <c:numCache>
                <c:formatCode>#,##0.000</c:formatCode>
                <c:ptCount val="48"/>
                <c:pt idx="0">
                  <c:v>-4.9333333333301255E-4</c:v>
                </c:pt>
                <c:pt idx="1">
                  <c:v>-4.1999999999997589E-4</c:v>
                </c:pt>
                <c:pt idx="2">
                  <c:v>2.013333333329981E-4</c:v>
                </c:pt>
                <c:pt idx="3">
                  <c:v>-3.2333333333300912E-4</c:v>
                </c:pt>
                <c:pt idx="4">
                  <c:v>-7.2000000000002617E-5</c:v>
                </c:pt>
                <c:pt idx="5">
                  <c:v>-3.3999999999997921E-4</c:v>
                </c:pt>
                <c:pt idx="6">
                  <c:v>-5.5333333333004719E-5</c:v>
                </c:pt>
                <c:pt idx="7">
                  <c:v>-3.3935933333006929E-5</c:v>
                </c:pt>
                <c:pt idx="8">
                  <c:v>-1.5586939999990759E-4</c:v>
                </c:pt>
                <c:pt idx="9">
                  <c:v>3.0283210000002497E-4</c:v>
                </c:pt>
                <c:pt idx="10">
                  <c:v>-5.2162000010458343E-6</c:v>
                </c:pt>
                <c:pt idx="11">
                  <c:v>3.8517600001009011E-5</c:v>
                </c:pt>
                <c:pt idx="12">
                  <c:v>-4.9294450000114676E-4</c:v>
                </c:pt>
                <c:pt idx="13">
                  <c:v>-3.0587579999896702E-4</c:v>
                </c:pt>
                <c:pt idx="14">
                  <c:v>-2.3092443333316839E-4</c:v>
                </c:pt>
                <c:pt idx="15">
                  <c:v>-3.3023416666733141E-4</c:v>
                </c:pt>
                <c:pt idx="16">
                  <c:v>-2.4704870000102908E-4</c:v>
                </c:pt>
                <c:pt idx="17">
                  <c:v>-1.0706102002</c:v>
                </c:pt>
                <c:pt idx="18">
                  <c:v>-1.8159115220000011</c:v>
                </c:pt>
                <c:pt idx="19">
                  <c:v>-1.9864605545999989</c:v>
                </c:pt>
                <c:pt idx="20">
                  <c:v>-2.2444557073000011</c:v>
                </c:pt>
                <c:pt idx="21">
                  <c:v>-2.3989968409000002</c:v>
                </c:pt>
                <c:pt idx="22">
                  <c:v>-2.1712407768333342</c:v>
                </c:pt>
                <c:pt idx="23">
                  <c:v>-1.0163550316000001</c:v>
                </c:pt>
                <c:pt idx="24">
                  <c:v>-2.3273409968000012</c:v>
                </c:pt>
                <c:pt idx="25">
                  <c:v>-2.2578632540000001</c:v>
                </c:pt>
                <c:pt idx="26">
                  <c:v>-2.3959755281666668</c:v>
                </c:pt>
                <c:pt idx="27">
                  <c:v>-2.1877807456000009</c:v>
                </c:pt>
                <c:pt idx="28">
                  <c:v>-1.9950955865666671</c:v>
                </c:pt>
                <c:pt idx="29">
                  <c:v>-2.101202763133335</c:v>
                </c:pt>
                <c:pt idx="30">
                  <c:v>-1.8617180377666671</c:v>
                </c:pt>
                <c:pt idx="31">
                  <c:v>-1.778639557066668</c:v>
                </c:pt>
                <c:pt idx="32">
                  <c:v>-1.4819400429999989</c:v>
                </c:pt>
                <c:pt idx="33">
                  <c:v>-1.235923788033332</c:v>
                </c:pt>
                <c:pt idx="34">
                  <c:v>-1.055070462166666</c:v>
                </c:pt>
                <c:pt idx="35">
                  <c:v>-0.7958815492333331</c:v>
                </c:pt>
                <c:pt idx="36">
                  <c:v>-0.44637903433333398</c:v>
                </c:pt>
                <c:pt idx="37">
                  <c:v>-0.41589637783333328</c:v>
                </c:pt>
                <c:pt idx="38">
                  <c:v>1.9277253333405131E-4</c:v>
                </c:pt>
                <c:pt idx="39">
                  <c:v>-4.9496129999992977E-4</c:v>
                </c:pt>
                <c:pt idx="40">
                  <c:v>-1.2416553333299829E-4</c:v>
                </c:pt>
                <c:pt idx="41">
                  <c:v>-1.5133333333305909E-4</c:v>
                </c:pt>
                <c:pt idx="42">
                  <c:v>1.16000000000005E-4</c:v>
                </c:pt>
                <c:pt idx="43">
                  <c:v>4.9466666666703185E-4</c:v>
                </c:pt>
                <c:pt idx="44">
                  <c:v>2.013333333329981E-4</c:v>
                </c:pt>
                <c:pt idx="45">
                  <c:v>-3.2333333333300912E-4</c:v>
                </c:pt>
                <c:pt idx="46">
                  <c:v>-1.7266666666670291E-4</c:v>
                </c:pt>
                <c:pt idx="47">
                  <c:v>4.2233333333299711E-4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3940-4105-A1F4-42489B9445C9}"/>
            </c:ext>
          </c:extLst>
        </c:ser>
        <c:ser>
          <c:idx val="78"/>
          <c:order val="78"/>
          <c:tx>
            <c:v>BES_TR8_five649_A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Net_kW!$CC$2:$CC$49</c:f>
              <c:numCache>
                <c:formatCode>#,##0.000</c:formatCode>
                <c:ptCount val="48"/>
                <c:pt idx="0">
                  <c:v>3.0233333333301582E-4</c:v>
                </c:pt>
                <c:pt idx="1">
                  <c:v>0</c:v>
                </c:pt>
                <c:pt idx="2">
                  <c:v>3.6766666666701592E-4</c:v>
                </c:pt>
                <c:pt idx="3">
                  <c:v>2.183333333330012E-4</c:v>
                </c:pt>
                <c:pt idx="4">
                  <c:v>-3.3333333332996602E-5</c:v>
                </c:pt>
                <c:pt idx="5">
                  <c:v>-3.8066666666700111E-4</c:v>
                </c:pt>
                <c:pt idx="6">
                  <c:v>0</c:v>
                </c:pt>
                <c:pt idx="7">
                  <c:v>-4.4080346666667408E-4</c:v>
                </c:pt>
                <c:pt idx="8">
                  <c:v>-2.2049253333321359E-4</c:v>
                </c:pt>
                <c:pt idx="9">
                  <c:v>4.9844279999998464E-4</c:v>
                </c:pt>
                <c:pt idx="10">
                  <c:v>4.4804506666540339E-4</c:v>
                </c:pt>
                <c:pt idx="11">
                  <c:v>-6.0309866664942653E-5</c:v>
                </c:pt>
                <c:pt idx="12">
                  <c:v>-4.8859266666811951E-4</c:v>
                </c:pt>
                <c:pt idx="13">
                  <c:v>1.188322666680897E-4</c:v>
                </c:pt>
                <c:pt idx="14">
                  <c:v>2.2154519999983971E-4</c:v>
                </c:pt>
                <c:pt idx="15">
                  <c:v>-1.9608999999998211E-4</c:v>
                </c:pt>
                <c:pt idx="16">
                  <c:v>-2.082321398266668</c:v>
                </c:pt>
                <c:pt idx="17">
                  <c:v>-2.4135029335999998</c:v>
                </c:pt>
                <c:pt idx="18">
                  <c:v>-2.708432029333335</c:v>
                </c:pt>
                <c:pt idx="19">
                  <c:v>-2.8492367394666651</c:v>
                </c:pt>
                <c:pt idx="20">
                  <c:v>-3.0880089430666682</c:v>
                </c:pt>
                <c:pt idx="21">
                  <c:v>-3.1033871211999999</c:v>
                </c:pt>
                <c:pt idx="22">
                  <c:v>-3.2453099246666679</c:v>
                </c:pt>
                <c:pt idx="23">
                  <c:v>-3.3128867087999998</c:v>
                </c:pt>
                <c:pt idx="24">
                  <c:v>-3.214355329066668</c:v>
                </c:pt>
                <c:pt idx="25">
                  <c:v>-3.3219263386666662</c:v>
                </c:pt>
                <c:pt idx="26">
                  <c:v>-3.0059011486666671</c:v>
                </c:pt>
                <c:pt idx="27">
                  <c:v>-3.0690252941333349</c:v>
                </c:pt>
                <c:pt idx="28">
                  <c:v>-2.911421059866667</c:v>
                </c:pt>
                <c:pt idx="29">
                  <c:v>-1.9600021730666679</c:v>
                </c:pt>
                <c:pt idx="30">
                  <c:v>-2.4996379948</c:v>
                </c:pt>
                <c:pt idx="31">
                  <c:v>-1.827339853866667</c:v>
                </c:pt>
                <c:pt idx="32">
                  <c:v>-2.0440223906666648</c:v>
                </c:pt>
                <c:pt idx="33">
                  <c:v>-1.747282939599998</c:v>
                </c:pt>
                <c:pt idx="34">
                  <c:v>-1.332700727333332</c:v>
                </c:pt>
                <c:pt idx="35">
                  <c:v>-1.0888131212000001</c:v>
                </c:pt>
                <c:pt idx="36">
                  <c:v>-0.74993193466666797</c:v>
                </c:pt>
                <c:pt idx="37">
                  <c:v>-0.30935355933333297</c:v>
                </c:pt>
                <c:pt idx="38">
                  <c:v>-0.2123751144000002</c:v>
                </c:pt>
                <c:pt idx="39">
                  <c:v>-1.6494840000003119E-4</c:v>
                </c:pt>
                <c:pt idx="40">
                  <c:v>-3.3810959999969192E-4</c:v>
                </c:pt>
                <c:pt idx="41">
                  <c:v>-2.276666666670146E-4</c:v>
                </c:pt>
                <c:pt idx="42">
                  <c:v>2.4366666666697509E-4</c:v>
                </c:pt>
                <c:pt idx="43">
                  <c:v>-1.583333333329828E-4</c:v>
                </c:pt>
                <c:pt idx="44">
                  <c:v>3.46666666670159E-5</c:v>
                </c:pt>
                <c:pt idx="45">
                  <c:v>3.5399999999996551E-4</c:v>
                </c:pt>
                <c:pt idx="46">
                  <c:v>2.1200000000000391E-4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3940-4105-A1F4-42489B9445C9}"/>
            </c:ext>
          </c:extLst>
        </c:ser>
        <c:ser>
          <c:idx val="79"/>
          <c:order val="79"/>
          <c:tx>
            <c:v>BES_TR8_five663_C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Net_kW!$CD$2:$CD$49</c:f>
              <c:numCache>
                <c:formatCode>#,##0.000</c:formatCode>
                <c:ptCount val="48"/>
                <c:pt idx="0">
                  <c:v>4.9866666666699422E-4</c:v>
                </c:pt>
                <c:pt idx="1">
                  <c:v>0</c:v>
                </c:pt>
                <c:pt idx="2">
                  <c:v>9.7333333334004291E-5</c:v>
                </c:pt>
                <c:pt idx="3">
                  <c:v>0</c:v>
                </c:pt>
                <c:pt idx="4">
                  <c:v>0</c:v>
                </c:pt>
                <c:pt idx="5">
                  <c:v>9.733333333300509E-5</c:v>
                </c:pt>
                <c:pt idx="6">
                  <c:v>0</c:v>
                </c:pt>
                <c:pt idx="7">
                  <c:v>1.947307333330095E-4</c:v>
                </c:pt>
                <c:pt idx="8">
                  <c:v>2.1130600000099361E-5</c:v>
                </c:pt>
                <c:pt idx="9">
                  <c:v>-1.988345666669791E-4</c:v>
                </c:pt>
                <c:pt idx="10">
                  <c:v>-1.3921620000101331E-4</c:v>
                </c:pt>
                <c:pt idx="11">
                  <c:v>-3.9348239999892343E-4</c:v>
                </c:pt>
                <c:pt idx="12">
                  <c:v>6.1055499998907692E-5</c:v>
                </c:pt>
                <c:pt idx="13">
                  <c:v>-2.1587579999904349E-4</c:v>
                </c:pt>
                <c:pt idx="14">
                  <c:v>3.5640889999988268E-4</c:v>
                </c:pt>
                <c:pt idx="15">
                  <c:v>2.5176583333297309E-4</c:v>
                </c:pt>
                <c:pt idx="16">
                  <c:v>-1.8704870000108009E-4</c:v>
                </c:pt>
                <c:pt idx="17">
                  <c:v>-1.260490866866667</c:v>
                </c:pt>
                <c:pt idx="18">
                  <c:v>-1.9393615220000009</c:v>
                </c:pt>
                <c:pt idx="19">
                  <c:v>-2.0027602212666662</c:v>
                </c:pt>
                <c:pt idx="20">
                  <c:v>-2.220585707300001</c:v>
                </c:pt>
                <c:pt idx="21">
                  <c:v>-2.3848971742333331</c:v>
                </c:pt>
                <c:pt idx="22">
                  <c:v>-2.1803361101666678</c:v>
                </c:pt>
                <c:pt idx="23">
                  <c:v>-1.628036298266667</c:v>
                </c:pt>
                <c:pt idx="24">
                  <c:v>-2.2755393968000011</c:v>
                </c:pt>
                <c:pt idx="25">
                  <c:v>-2.3758463873333331</c:v>
                </c:pt>
                <c:pt idx="26">
                  <c:v>-2.3643255281666669</c:v>
                </c:pt>
                <c:pt idx="27">
                  <c:v>-2.115913412266667</c:v>
                </c:pt>
                <c:pt idx="28">
                  <c:v>-2.2461309199000001</c:v>
                </c:pt>
                <c:pt idx="29">
                  <c:v>-2.0514362964666679</c:v>
                </c:pt>
                <c:pt idx="30">
                  <c:v>-1.7574553711000001</c:v>
                </c:pt>
                <c:pt idx="31">
                  <c:v>-1.776687890400001</c:v>
                </c:pt>
                <c:pt idx="32">
                  <c:v>-1.3575247096666661</c:v>
                </c:pt>
                <c:pt idx="33">
                  <c:v>-1.2937814546999991</c:v>
                </c:pt>
                <c:pt idx="34">
                  <c:v>-1.089318128833332</c:v>
                </c:pt>
                <c:pt idx="35">
                  <c:v>-0.55522221590000009</c:v>
                </c:pt>
                <c:pt idx="36">
                  <c:v>2.3229899999904771E-4</c:v>
                </c:pt>
                <c:pt idx="37">
                  <c:v>2.9695550000002902E-4</c:v>
                </c:pt>
                <c:pt idx="38">
                  <c:v>4.817725333330844E-4</c:v>
                </c:pt>
                <c:pt idx="39">
                  <c:v>-4.756279666670582E-4</c:v>
                </c:pt>
                <c:pt idx="40">
                  <c:v>-3.8283219999996071E-4</c:v>
                </c:pt>
                <c:pt idx="41">
                  <c:v>4.6400000000002001E-4</c:v>
                </c:pt>
                <c:pt idx="42">
                  <c:v>1.226666666660492E-4</c:v>
                </c:pt>
                <c:pt idx="43">
                  <c:v>4.9866666666699422E-4</c:v>
                </c:pt>
                <c:pt idx="44">
                  <c:v>4.9866666666699422E-4</c:v>
                </c:pt>
                <c:pt idx="45">
                  <c:v>9.5000000000011742E-5</c:v>
                </c:pt>
                <c:pt idx="46">
                  <c:v>-1.6133333333001602E-5</c:v>
                </c:pt>
                <c:pt idx="47">
                  <c:v>4.7266666666989643E-5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3940-4105-A1F4-42489B9445C9}"/>
            </c:ext>
          </c:extLst>
        </c:ser>
        <c:ser>
          <c:idx val="80"/>
          <c:order val="80"/>
          <c:tx>
            <c:v>BES_TR8_five670_C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Net_kW!$CE$2:$CE$49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-1.5050216666666341E-4</c:v>
                </c:pt>
                <c:pt idx="8">
                  <c:v>-8.4057833333253326E-5</c:v>
                </c:pt>
                <c:pt idx="9">
                  <c:v>-3.5847325000001867E-4</c:v>
                </c:pt>
                <c:pt idx="10">
                  <c:v>-3.3768016666751999E-4</c:v>
                </c:pt>
                <c:pt idx="11">
                  <c:v>3.387646666675459E-4</c:v>
                </c:pt>
                <c:pt idx="12">
                  <c:v>5.0879583332497091E-5</c:v>
                </c:pt>
                <c:pt idx="13">
                  <c:v>4.1177016666760208E-4</c:v>
                </c:pt>
                <c:pt idx="14">
                  <c:v>-3.9865925000015512E-4</c:v>
                </c:pt>
                <c:pt idx="15">
                  <c:v>2.221937499999882E-4</c:v>
                </c:pt>
                <c:pt idx="16">
                  <c:v>-2.0587391666793131E-4</c:v>
                </c:pt>
                <c:pt idx="17">
                  <c:v>-1.3794068335</c:v>
                </c:pt>
                <c:pt idx="18">
                  <c:v>-1.684359601666668</c:v>
                </c:pt>
                <c:pt idx="19">
                  <c:v>-1.8079896288333319</c:v>
                </c:pt>
                <c:pt idx="20">
                  <c:v>-1.9165055894166669</c:v>
                </c:pt>
                <c:pt idx="21">
                  <c:v>-2.0060657007499998</c:v>
                </c:pt>
                <c:pt idx="22">
                  <c:v>-2.0696112029166671</c:v>
                </c:pt>
                <c:pt idx="23">
                  <c:v>-2.0974791929999999</c:v>
                </c:pt>
                <c:pt idx="24">
                  <c:v>-2.105550830666667</c:v>
                </c:pt>
                <c:pt idx="25">
                  <c:v>-2.090451045</c:v>
                </c:pt>
                <c:pt idx="26">
                  <c:v>-2.0397240512499999</c:v>
                </c:pt>
                <c:pt idx="27">
                  <c:v>-1.9623339546666669</c:v>
                </c:pt>
                <c:pt idx="28">
                  <c:v>-1.8699424332500001</c:v>
                </c:pt>
                <c:pt idx="29">
                  <c:v>-1.752868858166668</c:v>
                </c:pt>
                <c:pt idx="30">
                  <c:v>-1.62845530925</c:v>
                </c:pt>
                <c:pt idx="31">
                  <c:v>-1.4787399086666679</c:v>
                </c:pt>
                <c:pt idx="32">
                  <c:v>-1.3101250358333321</c:v>
                </c:pt>
                <c:pt idx="33">
                  <c:v>-1.1065445455833329</c:v>
                </c:pt>
                <c:pt idx="34">
                  <c:v>-0.91600732958333242</c:v>
                </c:pt>
                <c:pt idx="35">
                  <c:v>-0.72021851324999997</c:v>
                </c:pt>
                <c:pt idx="36">
                  <c:v>-0.53082308416666746</c:v>
                </c:pt>
                <c:pt idx="37">
                  <c:v>-0.34821920374999998</c:v>
                </c:pt>
                <c:pt idx="38">
                  <c:v>-0.1842004673333332</c:v>
                </c:pt>
                <c:pt idx="39">
                  <c:v>-2.097496775E-2</c:v>
                </c:pt>
                <c:pt idx="40">
                  <c:v>-3.5236016666667652E-4</c:v>
                </c:pt>
                <c:pt idx="41">
                  <c:v>0</c:v>
                </c:pt>
                <c:pt idx="42">
                  <c:v>0</c:v>
                </c:pt>
                <c:pt idx="43">
                  <c:v>-3.3066666666700661E-4</c:v>
                </c:pt>
                <c:pt idx="44">
                  <c:v>1.7333333333302561E-4</c:v>
                </c:pt>
                <c:pt idx="45">
                  <c:v>-3.729999999999567E-4</c:v>
                </c:pt>
                <c:pt idx="46">
                  <c:v>2.30000000000008E-4</c:v>
                </c:pt>
                <c:pt idx="47">
                  <c:v>-1.2033333333340281E-4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3940-4105-A1F4-42489B9445C9}"/>
            </c:ext>
          </c:extLst>
        </c:ser>
        <c:ser>
          <c:idx val="81"/>
          <c:order val="81"/>
          <c:tx>
            <c:v>BES_TR8_five704_A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Net_kW!$CF$2:$CF$49</c:f>
              <c:numCache>
                <c:formatCode>#,##0.000</c:formatCode>
                <c:ptCount val="48"/>
                <c:pt idx="0">
                  <c:v>-2.5166666666709409E-4</c:v>
                </c:pt>
                <c:pt idx="1">
                  <c:v>4.790000000000072E-4</c:v>
                </c:pt>
                <c:pt idx="2">
                  <c:v>1.426666666669851E-4</c:v>
                </c:pt>
                <c:pt idx="3">
                  <c:v>4.166666666669816E-4</c:v>
                </c:pt>
                <c:pt idx="4">
                  <c:v>0</c:v>
                </c:pt>
                <c:pt idx="5">
                  <c:v>-2.9333333333300682E-4</c:v>
                </c:pt>
                <c:pt idx="6">
                  <c:v>0</c:v>
                </c:pt>
                <c:pt idx="7">
                  <c:v>-2.1780346666666619E-4</c:v>
                </c:pt>
                <c:pt idx="8">
                  <c:v>-3.3492533333193131E-5</c:v>
                </c:pt>
                <c:pt idx="9">
                  <c:v>-4.9223866666725513E-5</c:v>
                </c:pt>
                <c:pt idx="10">
                  <c:v>2.5871173333202879E-4</c:v>
                </c:pt>
                <c:pt idx="11">
                  <c:v>2.1335680000100779E-4</c:v>
                </c:pt>
                <c:pt idx="12">
                  <c:v>-4.3059266666811702E-4</c:v>
                </c:pt>
                <c:pt idx="13">
                  <c:v>3.3016560000098671E-4</c:v>
                </c:pt>
                <c:pt idx="14">
                  <c:v>4.7621186666702009E-4</c:v>
                </c:pt>
                <c:pt idx="15">
                  <c:v>-1.037566666670653E-4</c:v>
                </c:pt>
                <c:pt idx="16">
                  <c:v>-0.90276773160000112</c:v>
                </c:pt>
                <c:pt idx="17">
                  <c:v>-2.411465266933333</c:v>
                </c:pt>
                <c:pt idx="18">
                  <c:v>-2.7295753626666679</c:v>
                </c:pt>
                <c:pt idx="19">
                  <c:v>-2.841197739466665</c:v>
                </c:pt>
                <c:pt idx="20">
                  <c:v>-2.928635276400001</c:v>
                </c:pt>
                <c:pt idx="21">
                  <c:v>-3.2111567878666669</c:v>
                </c:pt>
                <c:pt idx="22">
                  <c:v>-3.1205669246666679</c:v>
                </c:pt>
                <c:pt idx="23">
                  <c:v>-3.3905667088000002</c:v>
                </c:pt>
                <c:pt idx="24">
                  <c:v>-3.2384009957333348</c:v>
                </c:pt>
                <c:pt idx="25">
                  <c:v>-3.2858426719999998</c:v>
                </c:pt>
                <c:pt idx="26">
                  <c:v>-3.2981584819999998</c:v>
                </c:pt>
                <c:pt idx="27">
                  <c:v>-3.0059403274666678</c:v>
                </c:pt>
                <c:pt idx="28">
                  <c:v>-2.936342559866667</c:v>
                </c:pt>
                <c:pt idx="29">
                  <c:v>-2.8166488397333351</c:v>
                </c:pt>
                <c:pt idx="30">
                  <c:v>-1.4861764948</c:v>
                </c:pt>
                <c:pt idx="31">
                  <c:v>-1.8558671872000021</c:v>
                </c:pt>
                <c:pt idx="32">
                  <c:v>-2.106895090666665</c:v>
                </c:pt>
                <c:pt idx="33">
                  <c:v>-1.569586606266665</c:v>
                </c:pt>
                <c:pt idx="34">
                  <c:v>-1.2593467273333321</c:v>
                </c:pt>
                <c:pt idx="35">
                  <c:v>1.5378800000021009E-5</c:v>
                </c:pt>
                <c:pt idx="36">
                  <c:v>3.343986666660137E-4</c:v>
                </c:pt>
                <c:pt idx="37">
                  <c:v>1.47940666669899E-4</c:v>
                </c:pt>
                <c:pt idx="38">
                  <c:v>-4.9408106666337659E-4</c:v>
                </c:pt>
                <c:pt idx="39">
                  <c:v>-8.6615066669848417E-5</c:v>
                </c:pt>
                <c:pt idx="40">
                  <c:v>-1.2877626666674141E-4</c:v>
                </c:pt>
                <c:pt idx="41">
                  <c:v>1.660000000001105E-4</c:v>
                </c:pt>
                <c:pt idx="42">
                  <c:v>3.5333333333339989E-4</c:v>
                </c:pt>
                <c:pt idx="43">
                  <c:v>5.7666666667011153E-5</c:v>
                </c:pt>
                <c:pt idx="44">
                  <c:v>7.4230999999999991E-2</c:v>
                </c:pt>
                <c:pt idx="45">
                  <c:v>0.106624</c:v>
                </c:pt>
                <c:pt idx="46">
                  <c:v>0.2243</c:v>
                </c:pt>
                <c:pt idx="47">
                  <c:v>0.112259333333333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3940-4105-A1F4-42489B9445C9}"/>
            </c:ext>
          </c:extLst>
        </c:ser>
        <c:ser>
          <c:idx val="82"/>
          <c:order val="82"/>
          <c:tx>
            <c:v>BES_TR8_five719_A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Net_kW!$CG$2:$CG$49</c:f>
              <c:numCache>
                <c:formatCode>#,##0.000</c:formatCode>
                <c:ptCount val="48"/>
                <c:pt idx="0">
                  <c:v>-2.6299999999998552E-4</c:v>
                </c:pt>
                <c:pt idx="1">
                  <c:v>6.9999999999958984E-5</c:v>
                </c:pt>
                <c:pt idx="2">
                  <c:v>-2.2333333333302011E-4</c:v>
                </c:pt>
                <c:pt idx="3">
                  <c:v>0</c:v>
                </c:pt>
                <c:pt idx="4">
                  <c:v>2.5333333333299462E-4</c:v>
                </c:pt>
                <c:pt idx="5">
                  <c:v>0</c:v>
                </c:pt>
                <c:pt idx="6">
                  <c:v>0</c:v>
                </c:pt>
                <c:pt idx="7">
                  <c:v>-4.4080346666666709E-4</c:v>
                </c:pt>
                <c:pt idx="8">
                  <c:v>4.2174133333780513E-5</c:v>
                </c:pt>
                <c:pt idx="9">
                  <c:v>4.2644280000000978E-4</c:v>
                </c:pt>
                <c:pt idx="10">
                  <c:v>-3.4028826666798739E-4</c:v>
                </c:pt>
                <c:pt idx="11">
                  <c:v>-4.6130986666526042E-4</c:v>
                </c:pt>
                <c:pt idx="12">
                  <c:v>4.6140733333188688E-4</c:v>
                </c:pt>
                <c:pt idx="13">
                  <c:v>2.588322666678966E-4</c:v>
                </c:pt>
                <c:pt idx="14">
                  <c:v>4.0545199999852948E-5</c:v>
                </c:pt>
                <c:pt idx="15">
                  <c:v>-0.43184942333333298</c:v>
                </c:pt>
                <c:pt idx="16">
                  <c:v>-2.2233293982666682</c:v>
                </c:pt>
                <c:pt idx="17">
                  <c:v>-1.695138266933333</c:v>
                </c:pt>
                <c:pt idx="18">
                  <c:v>-1.1260083626666679</c:v>
                </c:pt>
                <c:pt idx="19">
                  <c:v>-1.6058179394666621</c:v>
                </c:pt>
                <c:pt idx="20">
                  <c:v>-2.180142276400002</c:v>
                </c:pt>
                <c:pt idx="21">
                  <c:v>-2.3330884545333328</c:v>
                </c:pt>
                <c:pt idx="22">
                  <c:v>-3.2620816580000009</c:v>
                </c:pt>
                <c:pt idx="23">
                  <c:v>-3.3293267088</c:v>
                </c:pt>
                <c:pt idx="24">
                  <c:v>-3.2418773290666678</c:v>
                </c:pt>
                <c:pt idx="25">
                  <c:v>-3.3598376719999998</c:v>
                </c:pt>
                <c:pt idx="26">
                  <c:v>-3.2961584820000001</c:v>
                </c:pt>
                <c:pt idx="27">
                  <c:v>-3.0785576608000009</c:v>
                </c:pt>
                <c:pt idx="28">
                  <c:v>-3.0245078932</c:v>
                </c:pt>
                <c:pt idx="29">
                  <c:v>-2.7501118397333348</c:v>
                </c:pt>
                <c:pt idx="30">
                  <c:v>-2.6314301614666671</c:v>
                </c:pt>
                <c:pt idx="31">
                  <c:v>-2.3985838538666679</c:v>
                </c:pt>
                <c:pt idx="32">
                  <c:v>-2.0175380573333319</c:v>
                </c:pt>
                <c:pt idx="33">
                  <c:v>-1.6662661729333319</c:v>
                </c:pt>
                <c:pt idx="34">
                  <c:v>-1.447940727333332</c:v>
                </c:pt>
                <c:pt idx="35">
                  <c:v>-0.98776402120000006</c:v>
                </c:pt>
                <c:pt idx="36">
                  <c:v>-0.74953626800000106</c:v>
                </c:pt>
                <c:pt idx="37">
                  <c:v>-0.37647205933333311</c:v>
                </c:pt>
                <c:pt idx="38">
                  <c:v>4.3825226666681372E-4</c:v>
                </c:pt>
                <c:pt idx="39">
                  <c:v>-4.6328173333295969E-4</c:v>
                </c:pt>
                <c:pt idx="40">
                  <c:v>1.215570666663057E-4</c:v>
                </c:pt>
                <c:pt idx="41">
                  <c:v>9.1666666666989638E-5</c:v>
                </c:pt>
                <c:pt idx="42">
                  <c:v>-1.939999999999997E-4</c:v>
                </c:pt>
                <c:pt idx="43">
                  <c:v>4.7633333333296779E-4</c:v>
                </c:pt>
                <c:pt idx="44">
                  <c:v>-7.3333333332981088E-5</c:v>
                </c:pt>
                <c:pt idx="45">
                  <c:v>1.500000000000945E-4</c:v>
                </c:pt>
                <c:pt idx="46">
                  <c:v>-1.6199999999999551E-4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3940-4105-A1F4-42489B9445C9}"/>
            </c:ext>
          </c:extLst>
        </c:ser>
        <c:ser>
          <c:idx val="83"/>
          <c:order val="83"/>
          <c:tx>
            <c:v>BES_TR8_five750_B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Net_kW!$CH$2:$CH$49</c:f>
              <c:numCache>
                <c:formatCode>#,##0.000</c:formatCode>
                <c:ptCount val="48"/>
                <c:pt idx="0">
                  <c:v>2.9333333333300682E-4</c:v>
                </c:pt>
                <c:pt idx="1">
                  <c:v>0</c:v>
                </c:pt>
                <c:pt idx="2">
                  <c:v>2.6666666666699812E-4</c:v>
                </c:pt>
                <c:pt idx="3">
                  <c:v>2.6666666666598501E-5</c:v>
                </c:pt>
                <c:pt idx="4">
                  <c:v>1.8666666666702911E-4</c:v>
                </c:pt>
                <c:pt idx="5">
                  <c:v>1.066666666668104E-4</c:v>
                </c:pt>
                <c:pt idx="6">
                  <c:v>0</c:v>
                </c:pt>
                <c:pt idx="7">
                  <c:v>-1.474701333336603E-4</c:v>
                </c:pt>
                <c:pt idx="8">
                  <c:v>2.6550746666679798E-4</c:v>
                </c:pt>
                <c:pt idx="9">
                  <c:v>4.7977613333330388E-4</c:v>
                </c:pt>
                <c:pt idx="10">
                  <c:v>-1.002882666680249E-4</c:v>
                </c:pt>
                <c:pt idx="11">
                  <c:v>1.420234666680287E-4</c:v>
                </c:pt>
                <c:pt idx="12">
                  <c:v>-1.3859266666804701E-4</c:v>
                </c:pt>
                <c:pt idx="13">
                  <c:v>-2.195010666650177E-4</c:v>
                </c:pt>
                <c:pt idx="14">
                  <c:v>4.0545199999852948E-5</c:v>
                </c:pt>
                <c:pt idx="15">
                  <c:v>-0.25434775666666648</c:v>
                </c:pt>
                <c:pt idx="16">
                  <c:v>-2.087062731600001</c:v>
                </c:pt>
                <c:pt idx="17">
                  <c:v>-2.263609266933333</c:v>
                </c:pt>
                <c:pt idx="18">
                  <c:v>-2.5585100293333349</c:v>
                </c:pt>
                <c:pt idx="19">
                  <c:v>-2.8821258061333319</c:v>
                </c:pt>
                <c:pt idx="20">
                  <c:v>-2.9847139097333351</c:v>
                </c:pt>
                <c:pt idx="21">
                  <c:v>-3.1841984545333331</c:v>
                </c:pt>
                <c:pt idx="22">
                  <c:v>-3.3379779246666681</c:v>
                </c:pt>
                <c:pt idx="23">
                  <c:v>-3.0614967088</c:v>
                </c:pt>
                <c:pt idx="24">
                  <c:v>-3.3460713290666679</c:v>
                </c:pt>
                <c:pt idx="25">
                  <c:v>-3.1364966719999998</c:v>
                </c:pt>
                <c:pt idx="26">
                  <c:v>-3.2672236153333332</c:v>
                </c:pt>
                <c:pt idx="27">
                  <c:v>-3.1520483274666682</c:v>
                </c:pt>
                <c:pt idx="28">
                  <c:v>-2.9215659598666668</c:v>
                </c:pt>
                <c:pt idx="29">
                  <c:v>-2.4985307064000009</c:v>
                </c:pt>
                <c:pt idx="30">
                  <c:v>-2.5871670614666669</c:v>
                </c:pt>
                <c:pt idx="31">
                  <c:v>-2.2038793872000011</c:v>
                </c:pt>
                <c:pt idx="32">
                  <c:v>-2.0946590573333319</c:v>
                </c:pt>
                <c:pt idx="33">
                  <c:v>-1.659041506266665</c:v>
                </c:pt>
                <c:pt idx="34">
                  <c:v>-1.4368117273333321</c:v>
                </c:pt>
                <c:pt idx="35">
                  <c:v>-1.0315001545333331</c:v>
                </c:pt>
                <c:pt idx="36">
                  <c:v>-0.63107083466666802</c:v>
                </c:pt>
                <c:pt idx="37">
                  <c:v>-0.57341372600000007</c:v>
                </c:pt>
                <c:pt idx="38">
                  <c:v>-4.0567647733333163E-2</c:v>
                </c:pt>
                <c:pt idx="39">
                  <c:v>4.4051599999983537E-5</c:v>
                </c:pt>
                <c:pt idx="40">
                  <c:v>1.062237333333549E-4</c:v>
                </c:pt>
                <c:pt idx="41">
                  <c:v>1.166666666669869E-4</c:v>
                </c:pt>
                <c:pt idx="42">
                  <c:v>1.163333333329963E-4</c:v>
                </c:pt>
                <c:pt idx="43">
                  <c:v>0</c:v>
                </c:pt>
                <c:pt idx="44">
                  <c:v>-4.0666666666669399E-4</c:v>
                </c:pt>
                <c:pt idx="45">
                  <c:v>-2.9999999999999472E-4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3940-4105-A1F4-42489B9445C9}"/>
            </c:ext>
          </c:extLst>
        </c:ser>
        <c:ser>
          <c:idx val="84"/>
          <c:order val="84"/>
          <c:tx>
            <c:v>BES_TR8_five793_A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Net_kW!$CI$2:$CI$49</c:f>
              <c:numCache>
                <c:formatCode>#,##0.000</c:formatCode>
                <c:ptCount val="48"/>
                <c:pt idx="0">
                  <c:v>-3.0399999999999872E-4</c:v>
                </c:pt>
                <c:pt idx="1">
                  <c:v>-7.333333332970593E-6</c:v>
                </c:pt>
                <c:pt idx="2">
                  <c:v>0</c:v>
                </c:pt>
                <c:pt idx="3">
                  <c:v>-3.0399999999999872E-4</c:v>
                </c:pt>
                <c:pt idx="4">
                  <c:v>-1.0000000000010001E-6</c:v>
                </c:pt>
                <c:pt idx="5">
                  <c:v>-3.0766666666703912E-4</c:v>
                </c:pt>
                <c:pt idx="6">
                  <c:v>0</c:v>
                </c:pt>
                <c:pt idx="7">
                  <c:v>-1.2263463333297969E-4</c:v>
                </c:pt>
                <c:pt idx="8">
                  <c:v>-1.2376803333295769E-4</c:v>
                </c:pt>
                <c:pt idx="9">
                  <c:v>-2.150839499999932E-4</c:v>
                </c:pt>
                <c:pt idx="10">
                  <c:v>-3.0860810000049588E-4</c:v>
                </c:pt>
                <c:pt idx="11">
                  <c:v>-1.967411999995172E-4</c:v>
                </c:pt>
                <c:pt idx="12">
                  <c:v>2.5527749999393331E-5</c:v>
                </c:pt>
                <c:pt idx="13">
                  <c:v>-1.5527123333247681E-4</c:v>
                </c:pt>
                <c:pt idx="14">
                  <c:v>2.632044500000541E-4</c:v>
                </c:pt>
                <c:pt idx="15">
                  <c:v>-4.9011708333301929E-4</c:v>
                </c:pt>
                <c:pt idx="16">
                  <c:v>-1.2352435000051451E-4</c:v>
                </c:pt>
                <c:pt idx="17">
                  <c:v>-2.7110009999992141E-4</c:v>
                </c:pt>
                <c:pt idx="18">
                  <c:v>4.0657233333285531E-4</c:v>
                </c:pt>
                <c:pt idx="19">
                  <c:v>-1.31443966669087E-4</c:v>
                </c:pt>
                <c:pt idx="20">
                  <c:v>4.723130166660594E-4</c:v>
                </c:pt>
                <c:pt idx="21">
                  <c:v>4.3657955000009352E-4</c:v>
                </c:pt>
                <c:pt idx="22">
                  <c:v>-1.3172175000009109E-4</c:v>
                </c:pt>
                <c:pt idx="23">
                  <c:v>-8.1824666670060608E-6</c:v>
                </c:pt>
                <c:pt idx="24">
                  <c:v>-2.344984000008932E-4</c:v>
                </c:pt>
                <c:pt idx="25">
                  <c:v>-1.0927579603333331</c:v>
                </c:pt>
                <c:pt idx="26">
                  <c:v>-1.0728544307500001</c:v>
                </c:pt>
                <c:pt idx="27">
                  <c:v>-1.0425930394666669</c:v>
                </c:pt>
                <c:pt idx="28">
                  <c:v>-0.91671065995000001</c:v>
                </c:pt>
                <c:pt idx="29">
                  <c:v>3.7508509999994999E-4</c:v>
                </c:pt>
                <c:pt idx="30">
                  <c:v>-0.42391018554999998</c:v>
                </c:pt>
                <c:pt idx="31">
                  <c:v>-0.79714794520000043</c:v>
                </c:pt>
                <c:pt idx="32">
                  <c:v>-0.58668235483333242</c:v>
                </c:pt>
                <c:pt idx="33">
                  <c:v>-0.64052672734999938</c:v>
                </c:pt>
                <c:pt idx="34">
                  <c:v>-0.40351073108333252</c:v>
                </c:pt>
                <c:pt idx="35">
                  <c:v>-0.2887361079500001</c:v>
                </c:pt>
                <c:pt idx="36">
                  <c:v>-0.2283978505000005</c:v>
                </c:pt>
                <c:pt idx="37">
                  <c:v>-9.538855583332978E-3</c:v>
                </c:pt>
                <c:pt idx="38">
                  <c:v>-8.7120280399999916E-2</c:v>
                </c:pt>
                <c:pt idx="39">
                  <c:v>-4.8898065000001212E-4</c:v>
                </c:pt>
                <c:pt idx="40">
                  <c:v>-4.1874943333300441E-4</c:v>
                </c:pt>
                <c:pt idx="41">
                  <c:v>0</c:v>
                </c:pt>
                <c:pt idx="42">
                  <c:v>4.6466666666700179E-4</c:v>
                </c:pt>
                <c:pt idx="43">
                  <c:v>4.7266666666695428E-4</c:v>
                </c:pt>
                <c:pt idx="44">
                  <c:v>-6.0000000000060014E-6</c:v>
                </c:pt>
                <c:pt idx="45">
                  <c:v>-2.9466666666669999E-4</c:v>
                </c:pt>
                <c:pt idx="46">
                  <c:v>-1.366666666696714E-5</c:v>
                </c:pt>
                <c:pt idx="47">
                  <c:v>2.2933333333302611E-4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3940-4105-A1F4-42489B9445C9}"/>
            </c:ext>
          </c:extLst>
        </c:ser>
        <c:ser>
          <c:idx val="85"/>
          <c:order val="85"/>
          <c:tx>
            <c:v>BES_TR8_five801_C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Net_kW!$CJ$2:$CJ$49</c:f>
              <c:numCache>
                <c:formatCode>#,##0.000</c:formatCode>
                <c:ptCount val="48"/>
                <c:pt idx="0">
                  <c:v>-3.1233333333297031E-4</c:v>
                </c:pt>
                <c:pt idx="1">
                  <c:v>0</c:v>
                </c:pt>
                <c:pt idx="2">
                  <c:v>-2.6666666666699812E-4</c:v>
                </c:pt>
                <c:pt idx="3">
                  <c:v>0</c:v>
                </c:pt>
                <c:pt idx="4">
                  <c:v>4.6666666666700379E-4</c:v>
                </c:pt>
                <c:pt idx="5">
                  <c:v>2.6666666666659572E-4</c:v>
                </c:pt>
                <c:pt idx="6">
                  <c:v>1.9999999999999191E-4</c:v>
                </c:pt>
                <c:pt idx="7">
                  <c:v>-4.7736970000036849E-4</c:v>
                </c:pt>
                <c:pt idx="8">
                  <c:v>4.8231903333343951E-4</c:v>
                </c:pt>
                <c:pt idx="9">
                  <c:v>4.9813745000001908E-4</c:v>
                </c:pt>
                <c:pt idx="10">
                  <c:v>-1.3941890000146451E-4</c:v>
                </c:pt>
                <c:pt idx="11">
                  <c:v>7.4270533334530597E-5</c:v>
                </c:pt>
                <c:pt idx="12">
                  <c:v>7.1231416665429315E-5</c:v>
                </c:pt>
                <c:pt idx="13">
                  <c:v>-3.5685509999794363E-4</c:v>
                </c:pt>
                <c:pt idx="14">
                  <c:v>3.5214371666669742E-4</c:v>
                </c:pt>
                <c:pt idx="15">
                  <c:v>3.021712499999829E-4</c:v>
                </c:pt>
                <c:pt idx="16">
                  <c:v>-0.34052455681666521</c:v>
                </c:pt>
                <c:pt idx="17">
                  <c:v>-2.0661939002333329</c:v>
                </c:pt>
                <c:pt idx="18">
                  <c:v>-2.3735034423333352</c:v>
                </c:pt>
                <c:pt idx="19">
                  <c:v>-2.0042188136999979</c:v>
                </c:pt>
                <c:pt idx="20">
                  <c:v>-2.6806171585166672</c:v>
                </c:pt>
                <c:pt idx="21">
                  <c:v>-2.80351838105</c:v>
                </c:pt>
                <c:pt idx="22">
                  <c:v>-1.9216143507500041</c:v>
                </c:pt>
                <c:pt idx="23">
                  <c:v>-2.7422163368666661</c:v>
                </c:pt>
                <c:pt idx="24">
                  <c:v>-2.9631711629333348</c:v>
                </c:pt>
                <c:pt idx="25">
                  <c:v>-2.9420314630000002</c:v>
                </c:pt>
                <c:pt idx="26">
                  <c:v>-2.840847005083333</c:v>
                </c:pt>
                <c:pt idx="27">
                  <c:v>-2.6601008698666679</c:v>
                </c:pt>
                <c:pt idx="28">
                  <c:v>-2.6333194065500001</c:v>
                </c:pt>
                <c:pt idx="29">
                  <c:v>-2.3366830681000019</c:v>
                </c:pt>
                <c:pt idx="30">
                  <c:v>-2.29523743295</c:v>
                </c:pt>
                <c:pt idx="31">
                  <c:v>-1.9770358721333341</c:v>
                </c:pt>
                <c:pt idx="32">
                  <c:v>-1.7433417168333321</c:v>
                </c:pt>
                <c:pt idx="33">
                  <c:v>-1.487242363816665</c:v>
                </c:pt>
                <c:pt idx="34">
                  <c:v>-1.1567569280833321</c:v>
                </c:pt>
                <c:pt idx="35">
                  <c:v>-1.0178819185500001</c:v>
                </c:pt>
                <c:pt idx="36">
                  <c:v>-0.62813925116666747</c:v>
                </c:pt>
                <c:pt idx="37">
                  <c:v>-0.40223355191666699</c:v>
                </c:pt>
                <c:pt idx="38">
                  <c:v>-0.1222554875999995</c:v>
                </c:pt>
                <c:pt idx="39">
                  <c:v>-5.6288183333974562E-5</c:v>
                </c:pt>
                <c:pt idx="40">
                  <c:v>-7.7637566666344249E-5</c:v>
                </c:pt>
                <c:pt idx="41">
                  <c:v>1.2000000000012E-4</c:v>
                </c:pt>
                <c:pt idx="42">
                  <c:v>-1.5600000000004499E-4</c:v>
                </c:pt>
                <c:pt idx="43">
                  <c:v>4.3900000000007822E-4</c:v>
                </c:pt>
                <c:pt idx="44">
                  <c:v>2.6466666666602467E-4</c:v>
                </c:pt>
                <c:pt idx="45">
                  <c:v>-4.4666666666703941E-4</c:v>
                </c:pt>
                <c:pt idx="46">
                  <c:v>2.306666666669899E-4</c:v>
                </c:pt>
                <c:pt idx="47">
                  <c:v>3.3333333333301907E-5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3940-4105-A1F4-42489B9445C9}"/>
            </c:ext>
          </c:extLst>
        </c:ser>
        <c:ser>
          <c:idx val="86"/>
          <c:order val="86"/>
          <c:tx>
            <c:v>BES_TR8_five905_B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Net_kW!$CK$2:$CK$49</c:f>
              <c:numCache>
                <c:formatCode>#,##0.000</c:formatCode>
                <c:ptCount val="48"/>
                <c:pt idx="0">
                  <c:v>4.266666666669916E-4</c:v>
                </c:pt>
                <c:pt idx="1">
                  <c:v>-2.413333333330103E-4</c:v>
                </c:pt>
                <c:pt idx="2">
                  <c:v>0</c:v>
                </c:pt>
                <c:pt idx="3">
                  <c:v>-1.1466666666669351E-4</c:v>
                </c:pt>
                <c:pt idx="4">
                  <c:v>4.6733333333298649E-4</c:v>
                </c:pt>
                <c:pt idx="5">
                  <c:v>-1.2333333333303109E-4</c:v>
                </c:pt>
                <c:pt idx="6">
                  <c:v>3.3399999999998708E-4</c:v>
                </c:pt>
                <c:pt idx="7">
                  <c:v>-1.5050216666666341E-4</c:v>
                </c:pt>
                <c:pt idx="8">
                  <c:v>8.6088333337008827E-6</c:v>
                </c:pt>
                <c:pt idx="9">
                  <c:v>-3.584732500000049E-4</c:v>
                </c:pt>
                <c:pt idx="10">
                  <c:v>-1.823468333344985E-4</c:v>
                </c:pt>
                <c:pt idx="11">
                  <c:v>2.7609800000055751E-4</c:v>
                </c:pt>
                <c:pt idx="12">
                  <c:v>3.8487958333255362E-4</c:v>
                </c:pt>
                <c:pt idx="13">
                  <c:v>-4.7222983333250479E-4</c:v>
                </c:pt>
                <c:pt idx="14">
                  <c:v>-2.4799258333307872E-4</c:v>
                </c:pt>
                <c:pt idx="15">
                  <c:v>-1.413062499999729E-4</c:v>
                </c:pt>
                <c:pt idx="16">
                  <c:v>4.5712608333214888E-4</c:v>
                </c:pt>
                <c:pt idx="17">
                  <c:v>-2.025001666670079E-4</c:v>
                </c:pt>
                <c:pt idx="18">
                  <c:v>-0.91348026833333484</c:v>
                </c:pt>
                <c:pt idx="19">
                  <c:v>-1.6337322954999991</c:v>
                </c:pt>
                <c:pt idx="20">
                  <c:v>-1.753169589416667</c:v>
                </c:pt>
                <c:pt idx="21">
                  <c:v>-1.7709553674166669</c:v>
                </c:pt>
                <c:pt idx="22">
                  <c:v>-2.0111462029166671</c:v>
                </c:pt>
                <c:pt idx="23">
                  <c:v>-1.875720193</c:v>
                </c:pt>
                <c:pt idx="24">
                  <c:v>-2.081902497333334</c:v>
                </c:pt>
                <c:pt idx="25">
                  <c:v>-2.0083547116666671</c:v>
                </c:pt>
                <c:pt idx="26">
                  <c:v>-1.9017277179166661</c:v>
                </c:pt>
                <c:pt idx="27">
                  <c:v>-1.9180372880000001</c:v>
                </c:pt>
                <c:pt idx="28">
                  <c:v>-1.69414643325</c:v>
                </c:pt>
                <c:pt idx="29">
                  <c:v>-1.7078688581666679</c:v>
                </c:pt>
                <c:pt idx="30">
                  <c:v>-1.457198975916667</c:v>
                </c:pt>
                <c:pt idx="31">
                  <c:v>-1.454629308666668</c:v>
                </c:pt>
                <c:pt idx="32">
                  <c:v>-1.1602383024999989</c:v>
                </c:pt>
                <c:pt idx="33">
                  <c:v>-0.99698454558333294</c:v>
                </c:pt>
                <c:pt idx="34">
                  <c:v>-0.77994979624999949</c:v>
                </c:pt>
                <c:pt idx="35">
                  <c:v>-0.15030051324999999</c:v>
                </c:pt>
                <c:pt idx="36">
                  <c:v>-0.50502901750000084</c:v>
                </c:pt>
                <c:pt idx="37">
                  <c:v>2.9446291666990199E-4</c:v>
                </c:pt>
                <c:pt idx="38">
                  <c:v>1.187993333335025E-4</c:v>
                </c:pt>
                <c:pt idx="39">
                  <c:v>3.4036558333300221E-4</c:v>
                </c:pt>
                <c:pt idx="40">
                  <c:v>-3.9902683333367661E-4</c:v>
                </c:pt>
                <c:pt idx="41">
                  <c:v>4.3333333333299418E-4</c:v>
                </c:pt>
                <c:pt idx="42">
                  <c:v>-3.4066666666598971E-4</c:v>
                </c:pt>
                <c:pt idx="43">
                  <c:v>1.2966666666670151E-4</c:v>
                </c:pt>
                <c:pt idx="44">
                  <c:v>2.043333333329872E-4</c:v>
                </c:pt>
                <c:pt idx="45">
                  <c:v>0</c:v>
                </c:pt>
                <c:pt idx="46">
                  <c:v>0</c:v>
                </c:pt>
                <c:pt idx="47">
                  <c:v>-4.920000000000202E-4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3940-4105-A1F4-42489B9445C9}"/>
            </c:ext>
          </c:extLst>
        </c:ser>
        <c:ser>
          <c:idx val="87"/>
          <c:order val="87"/>
          <c:tx>
            <c:v>BES_TR8_five118_B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Net_kW!$CL$2:$CL$49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4.1939740000000031E-4</c:v>
                </c:pt>
                <c:pt idx="8">
                  <c:v>-3.0086939999989833E-4</c:v>
                </c:pt>
                <c:pt idx="9">
                  <c:v>-4.3016789999998639E-4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6.1055499998907692E-5</c:v>
                </c:pt>
                <c:pt idx="13">
                  <c:v>-3.0587579999896702E-4</c:v>
                </c:pt>
                <c:pt idx="14">
                  <c:v>-4.6959109999988868E-4</c:v>
                </c:pt>
                <c:pt idx="15">
                  <c:v>3.0432500000010521E-5</c:v>
                </c:pt>
                <c:pt idx="16">
                  <c:v>-1.101247048700001</c:v>
                </c:pt>
                <c:pt idx="17">
                  <c:v>-1.0503682002000001</c:v>
                </c:pt>
                <c:pt idx="18">
                  <c:v>-1.7289815220000011</c:v>
                </c:pt>
                <c:pt idx="19">
                  <c:v>-2.074787554599999</c:v>
                </c:pt>
                <c:pt idx="20">
                  <c:v>-2.1752383739666681</c:v>
                </c:pt>
                <c:pt idx="21">
                  <c:v>-2.3787788408999999</c:v>
                </c:pt>
                <c:pt idx="22">
                  <c:v>-2.2162834435000009</c:v>
                </c:pt>
                <c:pt idx="23">
                  <c:v>-2.464438264933333</c:v>
                </c:pt>
                <c:pt idx="24">
                  <c:v>-2.5201319968000009</c:v>
                </c:pt>
                <c:pt idx="25">
                  <c:v>-1.1684989539999999</c:v>
                </c:pt>
                <c:pt idx="26">
                  <c:v>-1.4505688615000001</c:v>
                </c:pt>
                <c:pt idx="27">
                  <c:v>-1.6595340789333339</c:v>
                </c:pt>
                <c:pt idx="28">
                  <c:v>-2.2491309198999998</c:v>
                </c:pt>
                <c:pt idx="29">
                  <c:v>-2.1086426298000012</c:v>
                </c:pt>
                <c:pt idx="30">
                  <c:v>-1.9593463711000001</c:v>
                </c:pt>
                <c:pt idx="31">
                  <c:v>-1.7796878904000011</c:v>
                </c:pt>
                <c:pt idx="32">
                  <c:v>-1.5773500429999989</c:v>
                </c:pt>
                <c:pt idx="33">
                  <c:v>-1.333053454699999</c:v>
                </c:pt>
                <c:pt idx="34">
                  <c:v>-1.104408795499999</c:v>
                </c:pt>
                <c:pt idx="35">
                  <c:v>-0.86946221590000006</c:v>
                </c:pt>
                <c:pt idx="36">
                  <c:v>-0.642187701000001</c:v>
                </c:pt>
                <c:pt idx="37">
                  <c:v>-0.41798047783333331</c:v>
                </c:pt>
                <c:pt idx="38">
                  <c:v>-0.21607389413333319</c:v>
                </c:pt>
                <c:pt idx="39">
                  <c:v>4.6417203333298801E-4</c:v>
                </c:pt>
                <c:pt idx="40">
                  <c:v>1.7716779999999571E-4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3940-4105-A1F4-42489B9445C9}"/>
            </c:ext>
          </c:extLst>
        </c:ser>
        <c:ser>
          <c:idx val="88"/>
          <c:order val="88"/>
          <c:tx>
            <c:v>BES_TR8_five123_B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Net_kW!$CM$2:$CM$49</c:f>
              <c:numCache>
                <c:formatCode>#,##0.000</c:formatCode>
                <c:ptCount val="48"/>
                <c:pt idx="0">
                  <c:v>0</c:v>
                </c:pt>
                <c:pt idx="1">
                  <c:v>2.0000000000020002E-6</c:v>
                </c:pt>
                <c:pt idx="2">
                  <c:v>8.6333333332994089E-5</c:v>
                </c:pt>
                <c:pt idx="3">
                  <c:v>6.8999999999999617E-5</c:v>
                </c:pt>
                <c:pt idx="4">
                  <c:v>6.1333333333399298E-5</c:v>
                </c:pt>
                <c:pt idx="5">
                  <c:v>9.6000000000040497E-5</c:v>
                </c:pt>
                <c:pt idx="6">
                  <c:v>0</c:v>
                </c:pt>
                <c:pt idx="7">
                  <c:v>3.6973073333299022E-4</c:v>
                </c:pt>
                <c:pt idx="8">
                  <c:v>-9.3869399999890746E-5</c:v>
                </c:pt>
                <c:pt idx="9">
                  <c:v>-1.561678999999899E-4</c:v>
                </c:pt>
                <c:pt idx="10">
                  <c:v>-1.2188286666803271E-4</c:v>
                </c:pt>
                <c:pt idx="11">
                  <c:v>-2.1148239999896351E-4</c:v>
                </c:pt>
                <c:pt idx="12">
                  <c:v>-1.169445000011038E-4</c:v>
                </c:pt>
                <c:pt idx="13">
                  <c:v>-3.0587579999896702E-4</c:v>
                </c:pt>
                <c:pt idx="14">
                  <c:v>-3.1225776666699012E-4</c:v>
                </c:pt>
                <c:pt idx="15">
                  <c:v>1.8326583333316829E-4</c:v>
                </c:pt>
                <c:pt idx="16">
                  <c:v>1.112846333322093E-4</c:v>
                </c:pt>
                <c:pt idx="17">
                  <c:v>-7.9200199999962528E-5</c:v>
                </c:pt>
                <c:pt idx="18">
                  <c:v>-1.3349548553333339</c:v>
                </c:pt>
                <c:pt idx="19">
                  <c:v>-2.108896221266666</c:v>
                </c:pt>
                <c:pt idx="20">
                  <c:v>-2.0976310406333338</c:v>
                </c:pt>
                <c:pt idx="21">
                  <c:v>-2.3704251742333331</c:v>
                </c:pt>
                <c:pt idx="22">
                  <c:v>-2.4456414435000009</c:v>
                </c:pt>
                <c:pt idx="23">
                  <c:v>-2.3351710315999998</c:v>
                </c:pt>
                <c:pt idx="24">
                  <c:v>-2.4717458634666678</c:v>
                </c:pt>
                <c:pt idx="25">
                  <c:v>-1.07853392066667</c:v>
                </c:pt>
                <c:pt idx="26">
                  <c:v>-2.4153473948333328</c:v>
                </c:pt>
                <c:pt idx="27">
                  <c:v>-1.960622212266667</c:v>
                </c:pt>
                <c:pt idx="28">
                  <c:v>-2.1650235865666669</c:v>
                </c:pt>
                <c:pt idx="29">
                  <c:v>-1.9145926298000009</c:v>
                </c:pt>
                <c:pt idx="30">
                  <c:v>-1.8932620377666669</c:v>
                </c:pt>
                <c:pt idx="31">
                  <c:v>-1.6394348904000009</c:v>
                </c:pt>
                <c:pt idx="32">
                  <c:v>-1.5055300429999989</c:v>
                </c:pt>
                <c:pt idx="33">
                  <c:v>-1.333053454699999</c:v>
                </c:pt>
                <c:pt idx="34">
                  <c:v>-0.98425546216666615</c:v>
                </c:pt>
                <c:pt idx="35">
                  <c:v>-0.86946221590000006</c:v>
                </c:pt>
                <c:pt idx="36">
                  <c:v>-0.34405903433333412</c:v>
                </c:pt>
                <c:pt idx="37">
                  <c:v>-0.40572244449999989</c:v>
                </c:pt>
                <c:pt idx="38">
                  <c:v>-0.1681725607999999</c:v>
                </c:pt>
                <c:pt idx="39">
                  <c:v>-1.132946333330387E-4</c:v>
                </c:pt>
                <c:pt idx="40">
                  <c:v>6.9167799999991786E-5</c:v>
                </c:pt>
                <c:pt idx="41">
                  <c:v>4.7166666666598189E-4</c:v>
                </c:pt>
                <c:pt idx="42">
                  <c:v>3.4866666666699691E-4</c:v>
                </c:pt>
                <c:pt idx="43">
                  <c:v>1.0533333333295761E-4</c:v>
                </c:pt>
                <c:pt idx="44">
                  <c:v>2.5933333333300062E-4</c:v>
                </c:pt>
                <c:pt idx="45">
                  <c:v>3.8933333333290848E-4</c:v>
                </c:pt>
                <c:pt idx="46">
                  <c:v>3.3700000000003172E-4</c:v>
                </c:pt>
                <c:pt idx="47">
                  <c:v>1.5733333333300961E-4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3940-4105-A1F4-42489B9445C9}"/>
            </c:ext>
          </c:extLst>
        </c:ser>
        <c:ser>
          <c:idx val="89"/>
          <c:order val="89"/>
          <c:tx>
            <c:v>BES_TR8_six64_A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Net_kW!$CN$2:$CN$49</c:f>
              <c:numCache>
                <c:formatCode>#,##0.000</c:formatCode>
                <c:ptCount val="48"/>
                <c:pt idx="0">
                  <c:v>-2.8333333333299682E-4</c:v>
                </c:pt>
                <c:pt idx="1">
                  <c:v>9.9999999999988987E-5</c:v>
                </c:pt>
                <c:pt idx="2">
                  <c:v>0</c:v>
                </c:pt>
                <c:pt idx="3">
                  <c:v>-1.6000000000000741E-4</c:v>
                </c:pt>
                <c:pt idx="4">
                  <c:v>-9.3333333333001089E-5</c:v>
                </c:pt>
                <c:pt idx="5">
                  <c:v>0</c:v>
                </c:pt>
                <c:pt idx="6">
                  <c:v>-2.5333333333299462E-4</c:v>
                </c:pt>
                <c:pt idx="7">
                  <c:v>2.7959826666666693E-4</c:v>
                </c:pt>
                <c:pt idx="8">
                  <c:v>4.5942040000038209E-4</c:v>
                </c:pt>
                <c:pt idx="9">
                  <c:v>1.3322140000000121E-4</c:v>
                </c:pt>
                <c:pt idx="10">
                  <c:v>3.2985586666600669E-4</c:v>
                </c:pt>
                <c:pt idx="11">
                  <c:v>7.1011733334014338E-5</c:v>
                </c:pt>
                <c:pt idx="12">
                  <c:v>-5.2629666667081132E-5</c:v>
                </c:pt>
                <c:pt idx="13">
                  <c:v>-3.058386666610069E-5</c:v>
                </c:pt>
                <c:pt idx="14">
                  <c:v>1.6093926666671529E-4</c:v>
                </c:pt>
                <c:pt idx="15">
                  <c:v>7.2621666669964169E-5</c:v>
                </c:pt>
                <c:pt idx="16">
                  <c:v>-4.7696580000100569E-4</c:v>
                </c:pt>
                <c:pt idx="17">
                  <c:v>2.6853320000008729E-4</c:v>
                </c:pt>
                <c:pt idx="18">
                  <c:v>2.674853333330951E-4</c:v>
                </c:pt>
                <c:pt idx="19">
                  <c:v>-0.28967503639999892</c:v>
                </c:pt>
                <c:pt idx="20">
                  <c:v>-1.349933138200001</c:v>
                </c:pt>
                <c:pt idx="21">
                  <c:v>-1.329165893933334</c:v>
                </c:pt>
                <c:pt idx="22">
                  <c:v>-2.9362900000387548E-4</c:v>
                </c:pt>
                <c:pt idx="23">
                  <c:v>-0.36298602106666988</c:v>
                </c:pt>
                <c:pt idx="24">
                  <c:v>-0.37474133120000408</c:v>
                </c:pt>
                <c:pt idx="25">
                  <c:v>-1.546420836</c:v>
                </c:pt>
                <c:pt idx="26">
                  <c:v>-1.338643241</c:v>
                </c:pt>
                <c:pt idx="27">
                  <c:v>-1.211041830400001</c:v>
                </c:pt>
                <c:pt idx="28">
                  <c:v>-1.1382089466</c:v>
                </c:pt>
                <c:pt idx="29">
                  <c:v>-1.2662770865333339</c:v>
                </c:pt>
                <c:pt idx="30">
                  <c:v>-1.2624684140666671</c:v>
                </c:pt>
                <c:pt idx="31">
                  <c:v>-0.64508359360000089</c:v>
                </c:pt>
                <c:pt idx="32">
                  <c:v>-1.0100820619999991</c:v>
                </c:pt>
                <c:pt idx="33">
                  <c:v>-0.68304563646666594</c:v>
                </c:pt>
                <c:pt idx="34">
                  <c:v>-0.45574253033333201</c:v>
                </c:pt>
                <c:pt idx="35">
                  <c:v>-0.47312947726666699</c:v>
                </c:pt>
                <c:pt idx="36">
                  <c:v>-0.34103536733333401</c:v>
                </c:pt>
                <c:pt idx="37">
                  <c:v>2.106703333329685E-4</c:v>
                </c:pt>
                <c:pt idx="38">
                  <c:v>-3.3304053333357489E-4</c:v>
                </c:pt>
                <c:pt idx="39">
                  <c:v>-4.6530753333295932E-4</c:v>
                </c:pt>
                <c:pt idx="40">
                  <c:v>1.1877853333364111E-4</c:v>
                </c:pt>
                <c:pt idx="41">
                  <c:v>3.1666666665985943E-5</c:v>
                </c:pt>
                <c:pt idx="42">
                  <c:v>3.4000000000000702E-4</c:v>
                </c:pt>
                <c:pt idx="43">
                  <c:v>2.0833333333292181E-4</c:v>
                </c:pt>
                <c:pt idx="44">
                  <c:v>4.5333333333008603E-5</c:v>
                </c:pt>
                <c:pt idx="45">
                  <c:v>-1.2966666666991419E-4</c:v>
                </c:pt>
                <c:pt idx="46">
                  <c:v>-6.0000000000004487E-5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3940-4105-A1F4-42489B9445C9}"/>
            </c:ext>
          </c:extLst>
        </c:ser>
        <c:ser>
          <c:idx val="90"/>
          <c:order val="90"/>
          <c:tx>
            <c:v>BES_TR8_six154_C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Net_kW!$CO$2:$CO$49</c:f>
              <c:numCache>
                <c:formatCode>#,##0.000</c:formatCode>
                <c:ptCount val="48"/>
                <c:pt idx="0">
                  <c:v>3.0399999999999872E-4</c:v>
                </c:pt>
                <c:pt idx="1">
                  <c:v>-6.8000000000012495E-5</c:v>
                </c:pt>
                <c:pt idx="2">
                  <c:v>0</c:v>
                </c:pt>
                <c:pt idx="3">
                  <c:v>2.36000000000014E-4</c:v>
                </c:pt>
                <c:pt idx="4">
                  <c:v>0</c:v>
                </c:pt>
                <c:pt idx="5">
                  <c:v>4.2666666666996138E-5</c:v>
                </c:pt>
                <c:pt idx="6">
                  <c:v>1.9333333333300401E-4</c:v>
                </c:pt>
                <c:pt idx="7">
                  <c:v>-2.952692666670087E-4</c:v>
                </c:pt>
                <c:pt idx="8">
                  <c:v>-1.7953606666690211E-4</c:v>
                </c:pt>
                <c:pt idx="9">
                  <c:v>3.9916543333300142E-4</c:v>
                </c:pt>
                <c:pt idx="10">
                  <c:v>2.9450466665997821E-5</c:v>
                </c:pt>
                <c:pt idx="11">
                  <c:v>-1.921490666660364E-4</c:v>
                </c:pt>
                <c:pt idx="12">
                  <c:v>6.1055499998907692E-5</c:v>
                </c:pt>
                <c:pt idx="13">
                  <c:v>-2.7120913333189561E-4</c:v>
                </c:pt>
                <c:pt idx="14">
                  <c:v>3.3075566667095657E-5</c:v>
                </c:pt>
                <c:pt idx="15">
                  <c:v>4.6109916666692291E-4</c:v>
                </c:pt>
                <c:pt idx="16">
                  <c:v>4.7428463333210052E-4</c:v>
                </c:pt>
                <c:pt idx="17">
                  <c:v>-0.77931886686666718</c:v>
                </c:pt>
                <c:pt idx="18">
                  <c:v>-1.6900848553333341</c:v>
                </c:pt>
                <c:pt idx="19">
                  <c:v>-1.9556622212666659</c:v>
                </c:pt>
                <c:pt idx="20">
                  <c:v>-1.9082387073000009</c:v>
                </c:pt>
                <c:pt idx="21">
                  <c:v>-2.3162775075666668</c:v>
                </c:pt>
                <c:pt idx="22">
                  <c:v>-2.4867334435000008</c:v>
                </c:pt>
                <c:pt idx="23">
                  <c:v>-2.2941250316000001</c:v>
                </c:pt>
                <c:pt idx="24">
                  <c:v>-2.5096749968000012</c:v>
                </c:pt>
                <c:pt idx="25">
                  <c:v>-2.5117412539999999</c:v>
                </c:pt>
                <c:pt idx="26">
                  <c:v>-2.3566675281666671</c:v>
                </c:pt>
                <c:pt idx="27">
                  <c:v>-2.261251412266668</c:v>
                </c:pt>
                <c:pt idx="28">
                  <c:v>-2.0976442532333328</c:v>
                </c:pt>
                <c:pt idx="29">
                  <c:v>-2.1066426298000009</c:v>
                </c:pt>
                <c:pt idx="30">
                  <c:v>-1.8056757044333329</c:v>
                </c:pt>
                <c:pt idx="31">
                  <c:v>-1.6831225570666679</c:v>
                </c:pt>
                <c:pt idx="32">
                  <c:v>-1.520064709666666</c:v>
                </c:pt>
                <c:pt idx="33">
                  <c:v>-1.140102788033333</c:v>
                </c:pt>
                <c:pt idx="34">
                  <c:v>-0.99618746216666609</c:v>
                </c:pt>
                <c:pt idx="35">
                  <c:v>-0.46842688256666709</c:v>
                </c:pt>
                <c:pt idx="36">
                  <c:v>-0.40732770100000099</c:v>
                </c:pt>
                <c:pt idx="37">
                  <c:v>-0.15173771116666701</c:v>
                </c:pt>
                <c:pt idx="38">
                  <c:v>4.6943920000006018E-4</c:v>
                </c:pt>
                <c:pt idx="39">
                  <c:v>-3.6996130000000252E-4</c:v>
                </c:pt>
                <c:pt idx="40">
                  <c:v>1.105011333329686E-4</c:v>
                </c:pt>
                <c:pt idx="41">
                  <c:v>3.0266666666600722E-4</c:v>
                </c:pt>
                <c:pt idx="42">
                  <c:v>-1.7066666666699931E-4</c:v>
                </c:pt>
                <c:pt idx="43">
                  <c:v>8.4000000000028496E-5</c:v>
                </c:pt>
                <c:pt idx="44">
                  <c:v>0</c:v>
                </c:pt>
                <c:pt idx="45">
                  <c:v>2.013333333329981E-4</c:v>
                </c:pt>
                <c:pt idx="46">
                  <c:v>-8.9333333333295462E-5</c:v>
                </c:pt>
                <c:pt idx="47">
                  <c:v>2.246666666660124E-4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3940-4105-A1F4-42489B9445C9}"/>
            </c:ext>
          </c:extLst>
        </c:ser>
        <c:ser>
          <c:idx val="91"/>
          <c:order val="91"/>
          <c:tx>
            <c:v>BES_TR8_six173_C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Net_kW!$CP$2:$CP$49</c:f>
              <c:numCache>
                <c:formatCode>#,##0.000</c:formatCode>
                <c:ptCount val="48"/>
                <c:pt idx="0">
                  <c:v>0</c:v>
                </c:pt>
                <c:pt idx="1">
                  <c:v>-3.999999999999837E-5</c:v>
                </c:pt>
                <c:pt idx="2">
                  <c:v>0</c:v>
                </c:pt>
                <c:pt idx="3">
                  <c:v>-3.999999999999837E-5</c:v>
                </c:pt>
                <c:pt idx="4">
                  <c:v>0</c:v>
                </c:pt>
                <c:pt idx="5">
                  <c:v>2.5333333333329988E-4</c:v>
                </c:pt>
                <c:pt idx="6">
                  <c:v>-2.933333333333954E-4</c:v>
                </c:pt>
                <c:pt idx="7">
                  <c:v>-4.4080346666666709E-4</c:v>
                </c:pt>
                <c:pt idx="8">
                  <c:v>2.6550746666679972E-4</c:v>
                </c:pt>
                <c:pt idx="9">
                  <c:v>3.8644280000001141E-4</c:v>
                </c:pt>
                <c:pt idx="10">
                  <c:v>-3.402882666680429E-4</c:v>
                </c:pt>
                <c:pt idx="11">
                  <c:v>1.420234666681397E-4</c:v>
                </c:pt>
                <c:pt idx="12">
                  <c:v>2.6340733333196642E-4</c:v>
                </c:pt>
                <c:pt idx="13">
                  <c:v>2.588322666678966E-4</c:v>
                </c:pt>
                <c:pt idx="14">
                  <c:v>5.4520000003499547E-7</c:v>
                </c:pt>
                <c:pt idx="15">
                  <c:v>-1.0470794233333329</c:v>
                </c:pt>
                <c:pt idx="16">
                  <c:v>-2.1679160649333351</c:v>
                </c:pt>
                <c:pt idx="17">
                  <c:v>-2.4876509335999999</c:v>
                </c:pt>
                <c:pt idx="18">
                  <c:v>-2.6755486960000008</c:v>
                </c:pt>
                <c:pt idx="19">
                  <c:v>-2.9004500727999991</c:v>
                </c:pt>
                <c:pt idx="20">
                  <c:v>-3.0910089430666678</c:v>
                </c:pt>
                <c:pt idx="21">
                  <c:v>-3.2292141212000001</c:v>
                </c:pt>
                <c:pt idx="22">
                  <c:v>-3.3054319246666681</c:v>
                </c:pt>
                <c:pt idx="23">
                  <c:v>-3.0482629087999999</c:v>
                </c:pt>
                <c:pt idx="24">
                  <c:v>-3.3720013290666682</c:v>
                </c:pt>
                <c:pt idx="25">
                  <c:v>-3.3083616720000002</c:v>
                </c:pt>
                <c:pt idx="26">
                  <c:v>-3.288158482</c:v>
                </c:pt>
                <c:pt idx="27">
                  <c:v>-3.1033743274666681</c:v>
                </c:pt>
                <c:pt idx="28">
                  <c:v>-3.0165078932</c:v>
                </c:pt>
                <c:pt idx="29">
                  <c:v>-2.8291901730666682</c:v>
                </c:pt>
                <c:pt idx="30">
                  <c:v>-2.5691684948</c:v>
                </c:pt>
                <c:pt idx="31">
                  <c:v>-2.3905838538666679</c:v>
                </c:pt>
                <c:pt idx="32">
                  <c:v>-2.1190000573333321</c:v>
                </c:pt>
                <c:pt idx="33">
                  <c:v>-1.7305112729333321</c:v>
                </c:pt>
                <c:pt idx="34">
                  <c:v>-1.490211727333332</c:v>
                </c:pt>
                <c:pt idx="35">
                  <c:v>-1.1159896212</c:v>
                </c:pt>
                <c:pt idx="36">
                  <c:v>-0.76886226800000101</c:v>
                </c:pt>
                <c:pt idx="37">
                  <c:v>-0.41087072600000007</c:v>
                </c:pt>
                <c:pt idx="38">
                  <c:v>-0.21475224773333321</c:v>
                </c:pt>
                <c:pt idx="39">
                  <c:v>4.00451600000018E-4</c:v>
                </c:pt>
                <c:pt idx="40">
                  <c:v>-5.109599999664205E-6</c:v>
                </c:pt>
                <c:pt idx="41">
                  <c:v>-3.9999999999995589E-4</c:v>
                </c:pt>
                <c:pt idx="42">
                  <c:v>-1.7333333333002801E-4</c:v>
                </c:pt>
                <c:pt idx="43">
                  <c:v>8.8785999999999976E-2</c:v>
                </c:pt>
                <c:pt idx="44">
                  <c:v>0.25866866666666699</c:v>
                </c:pt>
                <c:pt idx="45">
                  <c:v>0.231713</c:v>
                </c:pt>
                <c:pt idx="46">
                  <c:v>0.52397333333333296</c:v>
                </c:pt>
                <c:pt idx="47">
                  <c:v>0.3624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3940-4105-A1F4-42489B9445C9}"/>
            </c:ext>
          </c:extLst>
        </c:ser>
        <c:ser>
          <c:idx val="92"/>
          <c:order val="92"/>
          <c:tx>
            <c:v>BES_TR8_six232_C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Net_kW!$CQ$2:$CQ$49</c:f>
              <c:numCache>
                <c:formatCode>#,##0.000</c:formatCode>
                <c:ptCount val="48"/>
                <c:pt idx="0">
                  <c:v>2.1700000000013381E-4</c:v>
                </c:pt>
                <c:pt idx="1">
                  <c:v>0</c:v>
                </c:pt>
                <c:pt idx="2">
                  <c:v>2.7999999999998859E-4</c:v>
                </c:pt>
                <c:pt idx="3">
                  <c:v>4.1333333333298811E-4</c:v>
                </c:pt>
                <c:pt idx="4">
                  <c:v>0</c:v>
                </c:pt>
                <c:pt idx="5">
                  <c:v>-3.0666666666701042E-4</c:v>
                </c:pt>
                <c:pt idx="6">
                  <c:v>0</c:v>
                </c:pt>
                <c:pt idx="7">
                  <c:v>1.890626493333367E-2</c:v>
                </c:pt>
                <c:pt idx="8">
                  <c:v>6.9199420400000003E-2</c:v>
                </c:pt>
                <c:pt idx="9">
                  <c:v>-2.8677859999999561E-4</c:v>
                </c:pt>
                <c:pt idx="10">
                  <c:v>2.318919999898424E-5</c:v>
                </c:pt>
                <c:pt idx="11">
                  <c:v>7.1011733334014338E-5</c:v>
                </c:pt>
                <c:pt idx="12">
                  <c:v>9.4036999998881043E-5</c:v>
                </c:pt>
                <c:pt idx="13">
                  <c:v>-2.3058386666596761E-4</c:v>
                </c:pt>
                <c:pt idx="14">
                  <c:v>2.02726000000375E-5</c:v>
                </c:pt>
                <c:pt idx="15">
                  <c:v>-3.1304499999984531E-4</c:v>
                </c:pt>
                <c:pt idx="16">
                  <c:v>4.6196753333294088E-4</c:v>
                </c:pt>
                <c:pt idx="17">
                  <c:v>-2.5880013333345891E-4</c:v>
                </c:pt>
                <c:pt idx="18">
                  <c:v>1.816519999990884E-4</c:v>
                </c:pt>
                <c:pt idx="19">
                  <c:v>2.216302666671055E-4</c:v>
                </c:pt>
                <c:pt idx="20">
                  <c:v>-1.2230044715333339</c:v>
                </c:pt>
                <c:pt idx="21">
                  <c:v>-1.3904713606000001</c:v>
                </c:pt>
                <c:pt idx="22">
                  <c:v>-1.5634417623333341</c:v>
                </c:pt>
                <c:pt idx="23">
                  <c:v>-1.4659563544000001</c:v>
                </c:pt>
                <c:pt idx="24">
                  <c:v>-1.611437331200001</c:v>
                </c:pt>
                <c:pt idx="25">
                  <c:v>-1.4924675026666669</c:v>
                </c:pt>
                <c:pt idx="26">
                  <c:v>-1.6105792409999999</c:v>
                </c:pt>
                <c:pt idx="27">
                  <c:v>-1.5198138304000011</c:v>
                </c:pt>
                <c:pt idx="28">
                  <c:v>-1.3449139466</c:v>
                </c:pt>
                <c:pt idx="29">
                  <c:v>-1.381095086533334</c:v>
                </c:pt>
                <c:pt idx="30">
                  <c:v>-1.2815642474</c:v>
                </c:pt>
                <c:pt idx="31">
                  <c:v>-1.0175252602666669</c:v>
                </c:pt>
                <c:pt idx="32">
                  <c:v>-0.96067002866666595</c:v>
                </c:pt>
                <c:pt idx="33">
                  <c:v>-0.53654363646666603</c:v>
                </c:pt>
                <c:pt idx="34">
                  <c:v>-0.12662753033333299</c:v>
                </c:pt>
                <c:pt idx="35">
                  <c:v>-0.28843447726666699</c:v>
                </c:pt>
                <c:pt idx="36">
                  <c:v>-0.219608467333334</c:v>
                </c:pt>
                <c:pt idx="37">
                  <c:v>-6.335869633333302E-2</c:v>
                </c:pt>
                <c:pt idx="38">
                  <c:v>-2.9337386666658532E-4</c:v>
                </c:pt>
                <c:pt idx="39">
                  <c:v>1.5335913333291981E-4</c:v>
                </c:pt>
                <c:pt idx="40">
                  <c:v>4.5044519999959398E-4</c:v>
                </c:pt>
                <c:pt idx="41">
                  <c:v>-2.290000000000347E-4</c:v>
                </c:pt>
                <c:pt idx="42">
                  <c:v>3.4400000000001102E-4</c:v>
                </c:pt>
                <c:pt idx="43">
                  <c:v>1.5799999999999151E-4</c:v>
                </c:pt>
                <c:pt idx="44">
                  <c:v>7.2000000000016495E-5</c:v>
                </c:pt>
                <c:pt idx="45">
                  <c:v>3.9999999999984492E-5</c:v>
                </c:pt>
                <c:pt idx="46">
                  <c:v>-3.0666666666701042E-4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3940-4105-A1F4-42489B9445C9}"/>
            </c:ext>
          </c:extLst>
        </c:ser>
        <c:ser>
          <c:idx val="93"/>
          <c:order val="93"/>
          <c:tx>
            <c:v>BES_TR8_six238_A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Net_kW!$CR$2:$CR$49</c:f>
              <c:numCache>
                <c:formatCode>#,##0.000</c:formatCode>
                <c:ptCount val="48"/>
                <c:pt idx="0">
                  <c:v>0</c:v>
                </c:pt>
                <c:pt idx="1">
                  <c:v>-6.7333333333002843E-5</c:v>
                </c:pt>
                <c:pt idx="2">
                  <c:v>-1.466666666666977E-4</c:v>
                </c:pt>
                <c:pt idx="3">
                  <c:v>-1.7933333333299001E-4</c:v>
                </c:pt>
                <c:pt idx="4">
                  <c:v>-3.4666666665988943E-5</c:v>
                </c:pt>
                <c:pt idx="5">
                  <c:v>0</c:v>
                </c:pt>
                <c:pt idx="6">
                  <c:v>-2.5866666666669869E-4</c:v>
                </c:pt>
                <c:pt idx="7">
                  <c:v>3.9403203333299158E-4</c:v>
                </c:pt>
                <c:pt idx="8">
                  <c:v>-2.9543469999994409E-4</c:v>
                </c:pt>
                <c:pt idx="9">
                  <c:v>-3.9641728333299903E-4</c:v>
                </c:pt>
                <c:pt idx="10">
                  <c:v>3.3339189999949392E-4</c:v>
                </c:pt>
                <c:pt idx="11">
                  <c:v>-4.5927453333277629E-4</c:v>
                </c:pt>
                <c:pt idx="12">
                  <c:v>2.6869441666635407E-4</c:v>
                </c:pt>
                <c:pt idx="13">
                  <c:v>-1.52937899999539E-4</c:v>
                </c:pt>
                <c:pt idx="14">
                  <c:v>4.1987111666702548E-4</c:v>
                </c:pt>
                <c:pt idx="15">
                  <c:v>1.4121625000007579E-4</c:v>
                </c:pt>
                <c:pt idx="16">
                  <c:v>3.1142316666343817E-5</c:v>
                </c:pt>
                <c:pt idx="17">
                  <c:v>-2.4410009999986659E-4</c:v>
                </c:pt>
                <c:pt idx="18">
                  <c:v>-4.0242766666698238E-4</c:v>
                </c:pt>
                <c:pt idx="19">
                  <c:v>-4.2044396666574002E-4</c:v>
                </c:pt>
                <c:pt idx="20">
                  <c:v>-6.3495220316666767E-2</c:v>
                </c:pt>
                <c:pt idx="21">
                  <c:v>-1.0883087537833329</c:v>
                </c:pt>
                <c:pt idx="22">
                  <c:v>-1.1487407217500001</c:v>
                </c:pt>
                <c:pt idx="23">
                  <c:v>-1.1178475158000001</c:v>
                </c:pt>
                <c:pt idx="24">
                  <c:v>-0.80036183173333397</c:v>
                </c:pt>
                <c:pt idx="25">
                  <c:v>-0.99590129366666691</c:v>
                </c:pt>
                <c:pt idx="26">
                  <c:v>-0.73253776408333304</c:v>
                </c:pt>
                <c:pt idx="27">
                  <c:v>-0.84962503946666601</c:v>
                </c:pt>
                <c:pt idx="28">
                  <c:v>-0.76262779328333297</c:v>
                </c:pt>
                <c:pt idx="29">
                  <c:v>-0.68480498156666703</c:v>
                </c:pt>
                <c:pt idx="30">
                  <c:v>-0.69086885221666694</c:v>
                </c:pt>
                <c:pt idx="31">
                  <c:v>-0.54451794520000041</c:v>
                </c:pt>
                <c:pt idx="32">
                  <c:v>-0.43671702149999952</c:v>
                </c:pt>
                <c:pt idx="33">
                  <c:v>-0.31362739401666551</c:v>
                </c:pt>
                <c:pt idx="34">
                  <c:v>-4.4573108333248462E-4</c:v>
                </c:pt>
                <c:pt idx="35">
                  <c:v>2.2389204999984089E-4</c:v>
                </c:pt>
                <c:pt idx="36">
                  <c:v>-4.3183833333529382E-5</c:v>
                </c:pt>
                <c:pt idx="37">
                  <c:v>-2.9152224999998139E-4</c:v>
                </c:pt>
                <c:pt idx="38">
                  <c:v>2.8705293333310122E-4</c:v>
                </c:pt>
                <c:pt idx="39">
                  <c:v>2.1601935000004069E-4</c:v>
                </c:pt>
                <c:pt idx="40">
                  <c:v>3.5725056666702232E-4</c:v>
                </c:pt>
                <c:pt idx="41">
                  <c:v>-4.196666666669846E-4</c:v>
                </c:pt>
                <c:pt idx="42">
                  <c:v>2.1033333333297929E-4</c:v>
                </c:pt>
                <c:pt idx="43">
                  <c:v>4.7066666666695228E-4</c:v>
                </c:pt>
                <c:pt idx="44">
                  <c:v>-1.966666666669559E-4</c:v>
                </c:pt>
                <c:pt idx="45">
                  <c:v>2.5866666666701787E-4</c:v>
                </c:pt>
                <c:pt idx="46">
                  <c:v>-2.5666666666701587E-4</c:v>
                </c:pt>
                <c:pt idx="47">
                  <c:v>7.08000000000375E-5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3940-4105-A1F4-42489B9445C9}"/>
            </c:ext>
          </c:extLst>
        </c:ser>
        <c:ser>
          <c:idx val="94"/>
          <c:order val="94"/>
          <c:tx>
            <c:v>BES_TR8_six269_C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Net_kW!$CS$2:$CS$49</c:f>
              <c:numCache>
                <c:formatCode>#,##0.000</c:formatCode>
                <c:ptCount val="48"/>
                <c:pt idx="0">
                  <c:v>2.9866666666700242E-4</c:v>
                </c:pt>
                <c:pt idx="1">
                  <c:v>2.266666666669859E-4</c:v>
                </c:pt>
                <c:pt idx="2">
                  <c:v>-3.3100000000002572E-4</c:v>
                </c:pt>
                <c:pt idx="3">
                  <c:v>3.0199999999999672E-4</c:v>
                </c:pt>
                <c:pt idx="4">
                  <c:v>0</c:v>
                </c:pt>
                <c:pt idx="5">
                  <c:v>3.0199999999999672E-4</c:v>
                </c:pt>
                <c:pt idx="6">
                  <c:v>0</c:v>
                </c:pt>
                <c:pt idx="7">
                  <c:v>-4.4080346666666709E-4</c:v>
                </c:pt>
                <c:pt idx="8">
                  <c:v>7.6840800000102516E-5</c:v>
                </c:pt>
                <c:pt idx="9">
                  <c:v>-8.2890533332991012E-5</c:v>
                </c:pt>
                <c:pt idx="10">
                  <c:v>-3.4028826666798739E-4</c:v>
                </c:pt>
                <c:pt idx="11">
                  <c:v>1.420234666680287E-4</c:v>
                </c:pt>
                <c:pt idx="12">
                  <c:v>1.3807399999898881E-4</c:v>
                </c:pt>
                <c:pt idx="13">
                  <c:v>-4.958343999985626E-4</c:v>
                </c:pt>
                <c:pt idx="14">
                  <c:v>4.0545199999852948E-5</c:v>
                </c:pt>
                <c:pt idx="15">
                  <c:v>2.179100000001544E-4</c:v>
                </c:pt>
                <c:pt idx="16">
                  <c:v>-2.0971303316000012</c:v>
                </c:pt>
                <c:pt idx="17">
                  <c:v>-1.650591500266666</c:v>
                </c:pt>
                <c:pt idx="18">
                  <c:v>-2.6322733626666679</c:v>
                </c:pt>
                <c:pt idx="19">
                  <c:v>-2.9093834061333319</c:v>
                </c:pt>
                <c:pt idx="20">
                  <c:v>-3.0830089430666678</c:v>
                </c:pt>
                <c:pt idx="21">
                  <c:v>-3.2263051211999998</c:v>
                </c:pt>
                <c:pt idx="22">
                  <c:v>-3.2751099246666682</c:v>
                </c:pt>
                <c:pt idx="23">
                  <c:v>-3.3461327087999999</c:v>
                </c:pt>
                <c:pt idx="24">
                  <c:v>-3.3854813290666681</c:v>
                </c:pt>
                <c:pt idx="25">
                  <c:v>-3.2820196720000001</c:v>
                </c:pt>
                <c:pt idx="26">
                  <c:v>-3.280158482</c:v>
                </c:pt>
                <c:pt idx="27">
                  <c:v>-3.077032327466668</c:v>
                </c:pt>
                <c:pt idx="28">
                  <c:v>-3.0085078932</c:v>
                </c:pt>
                <c:pt idx="29">
                  <c:v>-2.741888173066668</c:v>
                </c:pt>
                <c:pt idx="30">
                  <c:v>-2.6221284948000001</c:v>
                </c:pt>
                <c:pt idx="31">
                  <c:v>-2.3825838538666679</c:v>
                </c:pt>
                <c:pt idx="32">
                  <c:v>-2.1128000573333319</c:v>
                </c:pt>
                <c:pt idx="33">
                  <c:v>-0.58110833960000186</c:v>
                </c:pt>
                <c:pt idx="34">
                  <c:v>-0.70076022733333088</c:v>
                </c:pt>
                <c:pt idx="35">
                  <c:v>-1.1217331545333331</c:v>
                </c:pt>
                <c:pt idx="36">
                  <c:v>-0.73775920133333506</c:v>
                </c:pt>
                <c:pt idx="37">
                  <c:v>-0.38402272599999998</c:v>
                </c:pt>
                <c:pt idx="38">
                  <c:v>-1.554144000032176E-4</c:v>
                </c:pt>
                <c:pt idx="39">
                  <c:v>1.338493332969648E-5</c:v>
                </c:pt>
                <c:pt idx="40">
                  <c:v>-4.114429333266223E-4</c:v>
                </c:pt>
                <c:pt idx="41">
                  <c:v>2.1233333333303681E-4</c:v>
                </c:pt>
                <c:pt idx="42">
                  <c:v>1.326666666670584E-4</c:v>
                </c:pt>
                <c:pt idx="43">
                  <c:v>3.0333333334020551E-5</c:v>
                </c:pt>
                <c:pt idx="44">
                  <c:v>4.5700000000004071E-4</c:v>
                </c:pt>
                <c:pt idx="45">
                  <c:v>1.3600000000002499E-4</c:v>
                </c:pt>
                <c:pt idx="46">
                  <c:v>-9.9999999999988987E-5</c:v>
                </c:pt>
                <c:pt idx="47">
                  <c:v>2.3552000000000021E-2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3940-4105-A1F4-42489B9445C9}"/>
            </c:ext>
          </c:extLst>
        </c:ser>
        <c:ser>
          <c:idx val="95"/>
          <c:order val="95"/>
          <c:tx>
            <c:v>BES_TR8_six289_C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Net_kW!$CT$2:$CT$49</c:f>
              <c:numCache>
                <c:formatCode>#,##0.000</c:formatCode>
                <c:ptCount val="48"/>
                <c:pt idx="0">
                  <c:v>-3.3900000000000602E-4</c:v>
                </c:pt>
                <c:pt idx="1">
                  <c:v>0</c:v>
                </c:pt>
                <c:pt idx="2">
                  <c:v>0</c:v>
                </c:pt>
                <c:pt idx="3">
                  <c:v>-3.3900000000000602E-4</c:v>
                </c:pt>
                <c:pt idx="4">
                  <c:v>-1.0000000000010001E-6</c:v>
                </c:pt>
                <c:pt idx="5">
                  <c:v>-3.3500000000000202E-4</c:v>
                </c:pt>
                <c:pt idx="6">
                  <c:v>-5.0000000000049996E-6</c:v>
                </c:pt>
                <c:pt idx="7">
                  <c:v>-1.0703033333329949E-5</c:v>
                </c:pt>
                <c:pt idx="8">
                  <c:v>4.8031903333344011E-4</c:v>
                </c:pt>
                <c:pt idx="9">
                  <c:v>1.6013745000001409E-4</c:v>
                </c:pt>
                <c:pt idx="10">
                  <c:v>3.2724776666548378E-4</c:v>
                </c:pt>
                <c:pt idx="11">
                  <c:v>-1.257294666654474E-4</c:v>
                </c:pt>
                <c:pt idx="12">
                  <c:v>-2.6876858333457759E-4</c:v>
                </c:pt>
                <c:pt idx="13">
                  <c:v>-2.3521766665091089E-5</c:v>
                </c:pt>
                <c:pt idx="14">
                  <c:v>2.8547705000003809E-4</c:v>
                </c:pt>
                <c:pt idx="15">
                  <c:v>2.0217124999999389E-4</c:v>
                </c:pt>
                <c:pt idx="16">
                  <c:v>-1.5899075568166681</c:v>
                </c:pt>
                <c:pt idx="17">
                  <c:v>-2.0602223002333329</c:v>
                </c:pt>
                <c:pt idx="18">
                  <c:v>-0.94824197566666513</c:v>
                </c:pt>
                <c:pt idx="19">
                  <c:v>-2.4166348136999982</c:v>
                </c:pt>
                <c:pt idx="20">
                  <c:v>-2.6315078251833341</c:v>
                </c:pt>
                <c:pt idx="21">
                  <c:v>-2.7104299810499999</c:v>
                </c:pt>
                <c:pt idx="22">
                  <c:v>-2.784462350750001</c:v>
                </c:pt>
                <c:pt idx="23">
                  <c:v>-2.8146655368666669</c:v>
                </c:pt>
                <c:pt idx="24">
                  <c:v>-1.384504162933335</c:v>
                </c:pt>
                <c:pt idx="25">
                  <c:v>-1.293057463</c:v>
                </c:pt>
                <c:pt idx="26">
                  <c:v>-2.4138066717500002</c:v>
                </c:pt>
                <c:pt idx="27">
                  <c:v>-2.4426512032000018</c:v>
                </c:pt>
                <c:pt idx="28">
                  <c:v>-2.3785394065499998</c:v>
                </c:pt>
                <c:pt idx="29">
                  <c:v>-2.2146364014333351</c:v>
                </c:pt>
                <c:pt idx="30">
                  <c:v>-2.0755730996166668</c:v>
                </c:pt>
                <c:pt idx="31">
                  <c:v>-1.799965872133334</c:v>
                </c:pt>
                <c:pt idx="32">
                  <c:v>-1.567129383499998</c:v>
                </c:pt>
                <c:pt idx="33">
                  <c:v>-1.3753100304833319</c:v>
                </c:pt>
                <c:pt idx="34">
                  <c:v>-1.1856612614166651</c:v>
                </c:pt>
                <c:pt idx="35">
                  <c:v>-1.0130399185500001</c:v>
                </c:pt>
                <c:pt idx="36">
                  <c:v>-3.5398450000143078E-4</c:v>
                </c:pt>
                <c:pt idx="37">
                  <c:v>-0.47090688524999991</c:v>
                </c:pt>
                <c:pt idx="38">
                  <c:v>-0.27528065426666648</c:v>
                </c:pt>
                <c:pt idx="39">
                  <c:v>-1.049548499999914E-4</c:v>
                </c:pt>
                <c:pt idx="40">
                  <c:v>-2.9330423333334341E-4</c:v>
                </c:pt>
                <c:pt idx="41">
                  <c:v>-3.3999999999997921E-4</c:v>
                </c:pt>
                <c:pt idx="42">
                  <c:v>0</c:v>
                </c:pt>
                <c:pt idx="43">
                  <c:v>0</c:v>
                </c:pt>
                <c:pt idx="44">
                  <c:v>-2.9999999999891221E-6</c:v>
                </c:pt>
                <c:pt idx="45">
                  <c:v>-3.3699999999999009E-4</c:v>
                </c:pt>
                <c:pt idx="46">
                  <c:v>4.6666666666694828E-4</c:v>
                </c:pt>
                <c:pt idx="47">
                  <c:v>3.883333333329908E-4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3940-4105-A1F4-42489B9445C9}"/>
            </c:ext>
          </c:extLst>
        </c:ser>
        <c:ser>
          <c:idx val="96"/>
          <c:order val="96"/>
          <c:tx>
            <c:v>BES_TR8_six317_C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Net_kW!$CU$2:$CU$49</c:f>
              <c:numCache>
                <c:formatCode>#,##0.000</c:formatCode>
                <c:ptCount val="48"/>
                <c:pt idx="0">
                  <c:v>-6.8666666670047505E-5</c:v>
                </c:pt>
                <c:pt idx="1">
                  <c:v>-1.7999999999990249E-5</c:v>
                </c:pt>
                <c:pt idx="2">
                  <c:v>0</c:v>
                </c:pt>
                <c:pt idx="3">
                  <c:v>3.3400000000005647E-4</c:v>
                </c:pt>
                <c:pt idx="4">
                  <c:v>-8.8000000000004741E-5</c:v>
                </c:pt>
                <c:pt idx="5">
                  <c:v>0</c:v>
                </c:pt>
                <c:pt idx="6">
                  <c:v>2.6242000000000019E-2</c:v>
                </c:pt>
                <c:pt idx="7">
                  <c:v>0.1758692969666667</c:v>
                </c:pt>
                <c:pt idx="8">
                  <c:v>0.1246063190333334</c:v>
                </c:pt>
                <c:pt idx="9">
                  <c:v>-2.5986254999999647E-4</c:v>
                </c:pt>
                <c:pt idx="10">
                  <c:v>4.3247766665505123E-5</c:v>
                </c:pt>
                <c:pt idx="11">
                  <c:v>-4.1372946666545779E-4</c:v>
                </c:pt>
                <c:pt idx="12">
                  <c:v>4.5231416665347801E-5</c:v>
                </c:pt>
                <c:pt idx="13">
                  <c:v>-1.7552176666502109E-4</c:v>
                </c:pt>
                <c:pt idx="14">
                  <c:v>-2.7118961666694469E-4</c:v>
                </c:pt>
                <c:pt idx="15">
                  <c:v>-4.8782875000003001E-4</c:v>
                </c:pt>
                <c:pt idx="16">
                  <c:v>-2.8422348333512199E-4</c:v>
                </c:pt>
                <c:pt idx="17">
                  <c:v>1.8709976666642089E-4</c:v>
                </c:pt>
                <c:pt idx="18">
                  <c:v>-1.9971874423333349</c:v>
                </c:pt>
                <c:pt idx="19">
                  <c:v>-2.2923996803666649</c:v>
                </c:pt>
                <c:pt idx="20">
                  <c:v>-2.340889225183334</c:v>
                </c:pt>
                <c:pt idx="21">
                  <c:v>-2.7506425143833328</c:v>
                </c:pt>
                <c:pt idx="22">
                  <c:v>-2.7572593507500009</c:v>
                </c:pt>
                <c:pt idx="23">
                  <c:v>-2.4562408701999998</c:v>
                </c:pt>
                <c:pt idx="24">
                  <c:v>-1.2565261629333351</c:v>
                </c:pt>
                <c:pt idx="25">
                  <c:v>-1.296477463</c:v>
                </c:pt>
                <c:pt idx="26">
                  <c:v>-2.5609370050833329</c:v>
                </c:pt>
                <c:pt idx="27">
                  <c:v>-2.6131889365333349</c:v>
                </c:pt>
                <c:pt idx="28">
                  <c:v>-2.3657060732166668</c:v>
                </c:pt>
                <c:pt idx="29">
                  <c:v>-1.2462937347666649</c:v>
                </c:pt>
                <c:pt idx="30">
                  <c:v>-1.949409766283333</c:v>
                </c:pt>
                <c:pt idx="31">
                  <c:v>-1.9598882721333339</c:v>
                </c:pt>
                <c:pt idx="32">
                  <c:v>-1.7675293834999981</c:v>
                </c:pt>
                <c:pt idx="33">
                  <c:v>-1.2425473638166651</c:v>
                </c:pt>
                <c:pt idx="34">
                  <c:v>-1.2015195947499979</c:v>
                </c:pt>
                <c:pt idx="35">
                  <c:v>-0.85278191855000007</c:v>
                </c:pt>
                <c:pt idx="36">
                  <c:v>-0.56067458450000152</c:v>
                </c:pt>
                <c:pt idx="37">
                  <c:v>3.4331474999996231E-4</c:v>
                </c:pt>
                <c:pt idx="38">
                  <c:v>-1.496542666665768E-4</c:v>
                </c:pt>
                <c:pt idx="39">
                  <c:v>-4.0028818333293081E-4</c:v>
                </c:pt>
                <c:pt idx="40">
                  <c:v>4.9669576666666604E-4</c:v>
                </c:pt>
                <c:pt idx="41">
                  <c:v>3.7599999999993189E-4</c:v>
                </c:pt>
                <c:pt idx="42">
                  <c:v>-2.6533333333400583E-4</c:v>
                </c:pt>
                <c:pt idx="43">
                  <c:v>-1.546666666659702E-4</c:v>
                </c:pt>
                <c:pt idx="44">
                  <c:v>2.7666666665981939E-5</c:v>
                </c:pt>
                <c:pt idx="45">
                  <c:v>4.9066666666702785E-4</c:v>
                </c:pt>
                <c:pt idx="46">
                  <c:v>4.5000000000000601E-4</c:v>
                </c:pt>
                <c:pt idx="47">
                  <c:v>-2.0400000000003751E-4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3940-4105-A1F4-42489B9445C9}"/>
            </c:ext>
          </c:extLst>
        </c:ser>
        <c:ser>
          <c:idx val="97"/>
          <c:order val="97"/>
          <c:tx>
            <c:v>BES_TR8_six326_A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Net_kW!$CV$2:$CV$49</c:f>
              <c:numCache>
                <c:formatCode>#,##0.000</c:formatCode>
                <c:ptCount val="48"/>
                <c:pt idx="0">
                  <c:v>0</c:v>
                </c:pt>
                <c:pt idx="1">
                  <c:v>3.5999999999999921E-4</c:v>
                </c:pt>
                <c:pt idx="2">
                  <c:v>0</c:v>
                </c:pt>
                <c:pt idx="3">
                  <c:v>3.5999999999999921E-4</c:v>
                </c:pt>
                <c:pt idx="4">
                  <c:v>0</c:v>
                </c:pt>
                <c:pt idx="5">
                  <c:v>-2.30000000000008E-4</c:v>
                </c:pt>
                <c:pt idx="6">
                  <c:v>-4.099999999999937E-4</c:v>
                </c:pt>
                <c:pt idx="7">
                  <c:v>-2.6670303333334311E-4</c:v>
                </c:pt>
                <c:pt idx="8">
                  <c:v>9.8319033333460482E-5</c:v>
                </c:pt>
                <c:pt idx="9">
                  <c:v>4.9813744999999132E-4</c:v>
                </c:pt>
                <c:pt idx="10">
                  <c:v>3.2724776666548378E-4</c:v>
                </c:pt>
                <c:pt idx="11">
                  <c:v>-1.2572946666533641E-4</c:v>
                </c:pt>
                <c:pt idx="12">
                  <c:v>4.3123141666545628E-4</c:v>
                </c:pt>
                <c:pt idx="13">
                  <c:v>-2.3521766664869052E-5</c:v>
                </c:pt>
                <c:pt idx="14">
                  <c:v>-1.2452294999998339E-4</c:v>
                </c:pt>
                <c:pt idx="15">
                  <c:v>-3.811620833329421E-4</c:v>
                </c:pt>
                <c:pt idx="16">
                  <c:v>-1.3602882234833349</c:v>
                </c:pt>
                <c:pt idx="17">
                  <c:v>-2.0446455668999999</c:v>
                </c:pt>
                <c:pt idx="18">
                  <c:v>-2.3550674423333349</c:v>
                </c:pt>
                <c:pt idx="19">
                  <c:v>-2.3713324803666649</c:v>
                </c:pt>
                <c:pt idx="20">
                  <c:v>-2.4325988251833341</c:v>
                </c:pt>
                <c:pt idx="21">
                  <c:v>-2.573425314383333</c:v>
                </c:pt>
                <c:pt idx="22">
                  <c:v>-2.7118496840833339</c:v>
                </c:pt>
                <c:pt idx="23">
                  <c:v>-2.4350778702000002</c:v>
                </c:pt>
                <c:pt idx="24">
                  <c:v>-2.7760871629333348</c:v>
                </c:pt>
                <c:pt idx="25">
                  <c:v>-2.8290781296666672</c:v>
                </c:pt>
                <c:pt idx="26">
                  <c:v>-2.8660136717500002</c:v>
                </c:pt>
                <c:pt idx="27">
                  <c:v>-2.7576675365333352</c:v>
                </c:pt>
                <c:pt idx="28">
                  <c:v>-2.3380494065500002</c:v>
                </c:pt>
                <c:pt idx="29">
                  <c:v>-2.1509757347666691</c:v>
                </c:pt>
                <c:pt idx="30">
                  <c:v>-0.99529609961666998</c:v>
                </c:pt>
                <c:pt idx="31">
                  <c:v>-1.3786335388000011</c:v>
                </c:pt>
                <c:pt idx="32">
                  <c:v>-0.393207716833335</c:v>
                </c:pt>
                <c:pt idx="33">
                  <c:v>2.1696951666501371E-4</c:v>
                </c:pt>
                <c:pt idx="34">
                  <c:v>-0.93706526141666502</c:v>
                </c:pt>
                <c:pt idx="35">
                  <c:v>-0.76633325188333301</c:v>
                </c:pt>
                <c:pt idx="36">
                  <c:v>-0.6355106511666675</c:v>
                </c:pt>
                <c:pt idx="37">
                  <c:v>-0.38804621858333299</c:v>
                </c:pt>
                <c:pt idx="38">
                  <c:v>-0.23601398759999981</c:v>
                </c:pt>
                <c:pt idx="39">
                  <c:v>-1.29954849999947E-4</c:v>
                </c:pt>
                <c:pt idx="40">
                  <c:v>8.669576666664458E-5</c:v>
                </c:pt>
                <c:pt idx="41">
                  <c:v>3.2833333333304182E-4</c:v>
                </c:pt>
                <c:pt idx="42">
                  <c:v>-1.050000000000217E-4</c:v>
                </c:pt>
                <c:pt idx="43">
                  <c:v>-4.2400000000009102E-4</c:v>
                </c:pt>
                <c:pt idx="44">
                  <c:v>-1.136666666659014E-4</c:v>
                </c:pt>
                <c:pt idx="45">
                  <c:v>-1.1499999999997621E-4</c:v>
                </c:pt>
                <c:pt idx="46">
                  <c:v>2.2699999999997719E-4</c:v>
                </c:pt>
                <c:pt idx="47">
                  <c:v>-1.01999999999991E-4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3940-4105-A1F4-42489B9445C9}"/>
            </c:ext>
          </c:extLst>
        </c:ser>
        <c:ser>
          <c:idx val="98"/>
          <c:order val="98"/>
          <c:tx>
            <c:v>BES_TR8_six329_A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Net_kW!$CW$2:$CW$49</c:f>
              <c:numCache>
                <c:formatCode>#,##0.000</c:formatCode>
                <c:ptCount val="48"/>
                <c:pt idx="0">
                  <c:v>0</c:v>
                </c:pt>
                <c:pt idx="1">
                  <c:v>-3.0800000000000272E-4</c:v>
                </c:pt>
                <c:pt idx="2">
                  <c:v>3.4000000000000702E-4</c:v>
                </c:pt>
                <c:pt idx="3">
                  <c:v>0</c:v>
                </c:pt>
                <c:pt idx="4">
                  <c:v>2.5200000000000222E-4</c:v>
                </c:pt>
                <c:pt idx="5">
                  <c:v>-2.19999999999998E-4</c:v>
                </c:pt>
                <c:pt idx="6">
                  <c:v>0</c:v>
                </c:pt>
                <c:pt idx="7">
                  <c:v>3.5769870000000592E-4</c:v>
                </c:pt>
                <c:pt idx="8">
                  <c:v>-2.6643469999995673E-4</c:v>
                </c:pt>
                <c:pt idx="9">
                  <c:v>-2.150839499999932E-4</c:v>
                </c:pt>
                <c:pt idx="10">
                  <c:v>-2.608100000495162E-6</c:v>
                </c:pt>
                <c:pt idx="11">
                  <c:v>-1.9674119999946171E-4</c:v>
                </c:pt>
                <c:pt idx="12">
                  <c:v>3.2652774999936129E-4</c:v>
                </c:pt>
                <c:pt idx="13">
                  <c:v>-4.1693789999952552E-4</c:v>
                </c:pt>
                <c:pt idx="14">
                  <c:v>1.204450000069635E-6</c:v>
                </c:pt>
                <c:pt idx="15">
                  <c:v>-1.8878374999986569E-4</c:v>
                </c:pt>
                <c:pt idx="16">
                  <c:v>-1.2352435000051451E-4</c:v>
                </c:pt>
                <c:pt idx="17">
                  <c:v>-2.1210009999994561E-4</c:v>
                </c:pt>
                <c:pt idx="18">
                  <c:v>-2.15760999999981E-4</c:v>
                </c:pt>
                <c:pt idx="19">
                  <c:v>-3.9377729999889871E-4</c:v>
                </c:pt>
                <c:pt idx="20">
                  <c:v>-0.36112068698333388</c:v>
                </c:pt>
                <c:pt idx="21">
                  <c:v>-1.144532753783333</c:v>
                </c:pt>
                <c:pt idx="22">
                  <c:v>-1.0518347217499999</c:v>
                </c:pt>
                <c:pt idx="23">
                  <c:v>-1.1067825158</c:v>
                </c:pt>
                <c:pt idx="24">
                  <c:v>-0.99505049840000104</c:v>
                </c:pt>
                <c:pt idx="25">
                  <c:v>-1.028490627</c:v>
                </c:pt>
                <c:pt idx="26">
                  <c:v>-0.97282843075000003</c:v>
                </c:pt>
                <c:pt idx="27">
                  <c:v>-0.92503837280000001</c:v>
                </c:pt>
                <c:pt idx="28">
                  <c:v>-1.1016094599499999</c:v>
                </c:pt>
                <c:pt idx="29">
                  <c:v>-0.87224531490000001</c:v>
                </c:pt>
                <c:pt idx="30">
                  <c:v>-0.96467318554999992</c:v>
                </c:pt>
                <c:pt idx="31">
                  <c:v>-0.72367994520000045</c:v>
                </c:pt>
                <c:pt idx="32">
                  <c:v>-0.59535702149999947</c:v>
                </c:pt>
                <c:pt idx="33">
                  <c:v>-0.18617972734999941</c:v>
                </c:pt>
                <c:pt idx="34">
                  <c:v>-0.1239297310833334</c:v>
                </c:pt>
                <c:pt idx="35">
                  <c:v>-4.1172107950000092E-2</c:v>
                </c:pt>
                <c:pt idx="36">
                  <c:v>-5.9543850500000488E-2</c:v>
                </c:pt>
                <c:pt idx="37">
                  <c:v>-1.6452225000000009E-4</c:v>
                </c:pt>
                <c:pt idx="38">
                  <c:v>2.6881960000010169E-4</c:v>
                </c:pt>
                <c:pt idx="39">
                  <c:v>2.531934999999708E-5</c:v>
                </c:pt>
                <c:pt idx="40">
                  <c:v>3.7383900000020898E-5</c:v>
                </c:pt>
                <c:pt idx="41">
                  <c:v>-1.290666666669549E-4</c:v>
                </c:pt>
                <c:pt idx="42">
                  <c:v>-1.4966666666704759E-4</c:v>
                </c:pt>
                <c:pt idx="43">
                  <c:v>1.199999999995649E-5</c:v>
                </c:pt>
                <c:pt idx="44">
                  <c:v>2.1199999999999E-4</c:v>
                </c:pt>
                <c:pt idx="45">
                  <c:v>1.7500000000014729E-4</c:v>
                </c:pt>
                <c:pt idx="46">
                  <c:v>-8.7999999999997802E-5</c:v>
                </c:pt>
                <c:pt idx="47">
                  <c:v>1.1999999999998121E-4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3940-4105-A1F4-42489B9445C9}"/>
            </c:ext>
          </c:extLst>
        </c:ser>
        <c:ser>
          <c:idx val="99"/>
          <c:order val="99"/>
          <c:tx>
            <c:v>BES_TR8_six342_A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Net_kW!$CX$2:$CX$49</c:f>
              <c:numCache>
                <c:formatCode>#,##0.000</c:formatCode>
                <c:ptCount val="48"/>
                <c:pt idx="0">
                  <c:v>0</c:v>
                </c:pt>
                <c:pt idx="1">
                  <c:v>1.4799999999998151E-4</c:v>
                </c:pt>
                <c:pt idx="2">
                  <c:v>-2.4800000000010919E-4</c:v>
                </c:pt>
                <c:pt idx="3">
                  <c:v>-2.5000000000000022E-4</c:v>
                </c:pt>
                <c:pt idx="4">
                  <c:v>4.599999999999882E-4</c:v>
                </c:pt>
                <c:pt idx="5">
                  <c:v>-8.7333333333022845E-5</c:v>
                </c:pt>
                <c:pt idx="6">
                  <c:v>2.0066666666601621E-4</c:v>
                </c:pt>
                <c:pt idx="7">
                  <c:v>1.8303203333303039E-4</c:v>
                </c:pt>
                <c:pt idx="8">
                  <c:v>2.4889863333306389E-4</c:v>
                </c:pt>
                <c:pt idx="9">
                  <c:v>-4.910839499999986E-4</c:v>
                </c:pt>
                <c:pt idx="10">
                  <c:v>-2.6081000005090389E-6</c:v>
                </c:pt>
                <c:pt idx="11">
                  <c:v>-8.3407866666497001E-5</c:v>
                </c:pt>
                <c:pt idx="12">
                  <c:v>2.8719441666608109E-4</c:v>
                </c:pt>
                <c:pt idx="13">
                  <c:v>9.7062100000516738E-5</c:v>
                </c:pt>
                <c:pt idx="14">
                  <c:v>2.6520445000011161E-4</c:v>
                </c:pt>
                <c:pt idx="15">
                  <c:v>1.1188291666702769E-4</c:v>
                </c:pt>
                <c:pt idx="16">
                  <c:v>-2.4352435000063449E-4</c:v>
                </c:pt>
                <c:pt idx="17">
                  <c:v>-1.18433433333065E-4</c:v>
                </c:pt>
                <c:pt idx="18">
                  <c:v>-6.7761000000055027E-5</c:v>
                </c:pt>
                <c:pt idx="19">
                  <c:v>-2.5444396666596258E-4</c:v>
                </c:pt>
                <c:pt idx="20">
                  <c:v>-4.3868698333282552E-4</c:v>
                </c:pt>
                <c:pt idx="21">
                  <c:v>1.06579550000041E-4</c:v>
                </c:pt>
                <c:pt idx="22">
                  <c:v>-7.0494721749999933E-2</c:v>
                </c:pt>
                <c:pt idx="23">
                  <c:v>-0.6871110158</c:v>
                </c:pt>
                <c:pt idx="24">
                  <c:v>-0.10700149840000089</c:v>
                </c:pt>
                <c:pt idx="25">
                  <c:v>-0.94006062700000004</c:v>
                </c:pt>
                <c:pt idx="26">
                  <c:v>-0.80155276408333309</c:v>
                </c:pt>
                <c:pt idx="27">
                  <c:v>-0.74515503946666706</c:v>
                </c:pt>
                <c:pt idx="28">
                  <c:v>-0.43551612661666611</c:v>
                </c:pt>
                <c:pt idx="29">
                  <c:v>-0.82272731490000006</c:v>
                </c:pt>
                <c:pt idx="30">
                  <c:v>-0.78334585221666697</c:v>
                </c:pt>
                <c:pt idx="31">
                  <c:v>-0.73327127853333351</c:v>
                </c:pt>
                <c:pt idx="32">
                  <c:v>-0.7046416881666665</c:v>
                </c:pt>
                <c:pt idx="33">
                  <c:v>-0.22894406068333251</c:v>
                </c:pt>
                <c:pt idx="34">
                  <c:v>-0.28303773108333241</c:v>
                </c:pt>
                <c:pt idx="35">
                  <c:v>2.4822538333292571E-4</c:v>
                </c:pt>
                <c:pt idx="36">
                  <c:v>3.2448283332953132E-4</c:v>
                </c:pt>
                <c:pt idx="37">
                  <c:v>-2.7252225000001801E-4</c:v>
                </c:pt>
                <c:pt idx="38">
                  <c:v>1.063862666699222E-4</c:v>
                </c:pt>
                <c:pt idx="39">
                  <c:v>0.2159483526833301</c:v>
                </c:pt>
                <c:pt idx="40">
                  <c:v>1.4329812505666699</c:v>
                </c:pt>
                <c:pt idx="41">
                  <c:v>0.57113833333333297</c:v>
                </c:pt>
                <c:pt idx="42">
                  <c:v>0.63262633333333296</c:v>
                </c:pt>
                <c:pt idx="43">
                  <c:v>0.66662533333333296</c:v>
                </c:pt>
                <c:pt idx="44">
                  <c:v>0.29594300000000001</c:v>
                </c:pt>
                <c:pt idx="45">
                  <c:v>0.55482799999999999</c:v>
                </c:pt>
                <c:pt idx="46">
                  <c:v>0.197118666666667</c:v>
                </c:pt>
                <c:pt idx="47">
                  <c:v>0.49606499999999998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3940-4105-A1F4-42489B9445C9}"/>
            </c:ext>
          </c:extLst>
        </c:ser>
        <c:ser>
          <c:idx val="100"/>
          <c:order val="100"/>
          <c:tx>
            <c:v>BES_TR8_six350_B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Net_kW!$CY$2:$CY$49</c:f>
              <c:numCache>
                <c:formatCode>#,##0.000</c:formatCode>
                <c:ptCount val="48"/>
                <c:pt idx="0">
                  <c:v>-3.4700000000011111E-4</c:v>
                </c:pt>
                <c:pt idx="1">
                  <c:v>0</c:v>
                </c:pt>
                <c:pt idx="2">
                  <c:v>0</c:v>
                </c:pt>
                <c:pt idx="3">
                  <c:v>2.14999999999993E-4</c:v>
                </c:pt>
                <c:pt idx="4">
                  <c:v>-1.5699999999999739E-4</c:v>
                </c:pt>
                <c:pt idx="5">
                  <c:v>9.6666666666592183E-5</c:v>
                </c:pt>
                <c:pt idx="6">
                  <c:v>2.4799999999999822E-4</c:v>
                </c:pt>
                <c:pt idx="7">
                  <c:v>3.6919653333333802E-4</c:v>
                </c:pt>
                <c:pt idx="8">
                  <c:v>2.6550746666680058E-4</c:v>
                </c:pt>
                <c:pt idx="9">
                  <c:v>-4.8255719999998342E-4</c:v>
                </c:pt>
                <c:pt idx="10">
                  <c:v>-3.7328826666799259E-4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3.1683226666823222E-4</c:v>
                </c:pt>
                <c:pt idx="14">
                  <c:v>-1.4178813333298729E-4</c:v>
                </c:pt>
                <c:pt idx="15">
                  <c:v>-0.80481208999999998</c:v>
                </c:pt>
                <c:pt idx="16">
                  <c:v>-2.084602064933335</c:v>
                </c:pt>
                <c:pt idx="17">
                  <c:v>-2.4641219336</c:v>
                </c:pt>
                <c:pt idx="18">
                  <c:v>-2.6960463626666682</c:v>
                </c:pt>
                <c:pt idx="19">
                  <c:v>-2.8810114061333318</c:v>
                </c:pt>
                <c:pt idx="20">
                  <c:v>-3.0803229430666681</c:v>
                </c:pt>
                <c:pt idx="21">
                  <c:v>-3.1635984545333331</c:v>
                </c:pt>
                <c:pt idx="22">
                  <c:v>-2.970449924666668</c:v>
                </c:pt>
                <c:pt idx="23">
                  <c:v>-3.2615433754666672</c:v>
                </c:pt>
                <c:pt idx="24">
                  <c:v>-3.1931959957333351</c:v>
                </c:pt>
                <c:pt idx="25">
                  <c:v>-3.2556316719999998</c:v>
                </c:pt>
                <c:pt idx="26">
                  <c:v>-1.9969998153333299</c:v>
                </c:pt>
                <c:pt idx="27">
                  <c:v>-2.4382009941333331</c:v>
                </c:pt>
                <c:pt idx="28">
                  <c:v>-2.8046288931999999</c:v>
                </c:pt>
                <c:pt idx="29">
                  <c:v>-2.697042839733335</c:v>
                </c:pt>
                <c:pt idx="30">
                  <c:v>-2.4545044948000001</c:v>
                </c:pt>
                <c:pt idx="31">
                  <c:v>-2.2378191872000008</c:v>
                </c:pt>
                <c:pt idx="32">
                  <c:v>-1.912105723999999</c:v>
                </c:pt>
                <c:pt idx="33">
                  <c:v>-1.617157606266665</c:v>
                </c:pt>
                <c:pt idx="34">
                  <c:v>-1.0123617273333321</c:v>
                </c:pt>
                <c:pt idx="35">
                  <c:v>2.3771213332990371E-4</c:v>
                </c:pt>
                <c:pt idx="36">
                  <c:v>-1.4926799999809279E-4</c:v>
                </c:pt>
                <c:pt idx="37">
                  <c:v>-6.0725999999955427E-5</c:v>
                </c:pt>
                <c:pt idx="38">
                  <c:v>-2.4908106666310381E-4</c:v>
                </c:pt>
                <c:pt idx="39">
                  <c:v>1.753849333330226E-4</c:v>
                </c:pt>
                <c:pt idx="40">
                  <c:v>-4.3944293333367251E-4</c:v>
                </c:pt>
                <c:pt idx="41">
                  <c:v>-1.536666666659969E-4</c:v>
                </c:pt>
                <c:pt idx="42">
                  <c:v>-1.9966666666704211E-4</c:v>
                </c:pt>
                <c:pt idx="43">
                  <c:v>2.9666666666700042E-4</c:v>
                </c:pt>
                <c:pt idx="44">
                  <c:v>0</c:v>
                </c:pt>
                <c:pt idx="45">
                  <c:v>-2.9866666666700242E-4</c:v>
                </c:pt>
                <c:pt idx="46">
                  <c:v>4.3333333333006603E-5</c:v>
                </c:pt>
                <c:pt idx="47">
                  <c:v>-1.05999999999995E-4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3940-4105-A1F4-42489B9445C9}"/>
            </c:ext>
          </c:extLst>
        </c:ser>
        <c:ser>
          <c:idx val="101"/>
          <c:order val="101"/>
          <c:tx>
            <c:v>BES_TR8_six365_C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Net_kW!$CZ$2:$CZ$49</c:f>
              <c:numCache>
                <c:formatCode>#,##0.000</c:formatCode>
                <c:ptCount val="48"/>
                <c:pt idx="0">
                  <c:v>4.220000000000057E-4</c:v>
                </c:pt>
                <c:pt idx="1">
                  <c:v>0</c:v>
                </c:pt>
                <c:pt idx="2">
                  <c:v>4.220000000000057E-4</c:v>
                </c:pt>
                <c:pt idx="3">
                  <c:v>0</c:v>
                </c:pt>
                <c:pt idx="4">
                  <c:v>4.220000000000057E-4</c:v>
                </c:pt>
                <c:pt idx="5">
                  <c:v>0</c:v>
                </c:pt>
                <c:pt idx="6">
                  <c:v>3.9499999999999258E-4</c:v>
                </c:pt>
                <c:pt idx="7">
                  <c:v>3.0659826666666612E-4</c:v>
                </c:pt>
                <c:pt idx="8">
                  <c:v>1.327537333333968E-4</c:v>
                </c:pt>
                <c:pt idx="9">
                  <c:v>-2.8677860000000938E-4</c:v>
                </c:pt>
                <c:pt idx="10">
                  <c:v>3.2985586666597899E-4</c:v>
                </c:pt>
                <c:pt idx="11">
                  <c:v>7.1011733334014338E-5</c:v>
                </c:pt>
                <c:pt idx="12">
                  <c:v>2.7770366666596269E-4</c:v>
                </c:pt>
                <c:pt idx="13">
                  <c:v>3.1441613333393898E-4</c:v>
                </c:pt>
                <c:pt idx="14">
                  <c:v>2.02726000000375E-5</c:v>
                </c:pt>
                <c:pt idx="15">
                  <c:v>1.089550000000772E-4</c:v>
                </c:pt>
                <c:pt idx="16">
                  <c:v>-1.646991333339454E-4</c:v>
                </c:pt>
                <c:pt idx="17">
                  <c:v>-1.9546679999993269E-4</c:v>
                </c:pt>
                <c:pt idx="18">
                  <c:v>-0.33365468133333398</c:v>
                </c:pt>
                <c:pt idx="19">
                  <c:v>-1.256732369733333</c:v>
                </c:pt>
                <c:pt idx="20">
                  <c:v>-1.452599004866667</c:v>
                </c:pt>
                <c:pt idx="21">
                  <c:v>-1.5282573606000001</c:v>
                </c:pt>
                <c:pt idx="22">
                  <c:v>-1.1347258290000011</c:v>
                </c:pt>
                <c:pt idx="23">
                  <c:v>-1.4496250210666659</c:v>
                </c:pt>
                <c:pt idx="24">
                  <c:v>-1.529216664533334</c:v>
                </c:pt>
                <c:pt idx="25">
                  <c:v>-1.5319708359999999</c:v>
                </c:pt>
                <c:pt idx="26">
                  <c:v>-1.491389241</c:v>
                </c:pt>
                <c:pt idx="27">
                  <c:v>-1.0782771637333339</c:v>
                </c:pt>
                <c:pt idx="28">
                  <c:v>-1.4807539465999999</c:v>
                </c:pt>
                <c:pt idx="29">
                  <c:v>-1.3136730865333339</c:v>
                </c:pt>
                <c:pt idx="30">
                  <c:v>-1.2875642474</c:v>
                </c:pt>
                <c:pt idx="31">
                  <c:v>-1.094369926933334</c:v>
                </c:pt>
                <c:pt idx="32">
                  <c:v>-0.86684169533333288</c:v>
                </c:pt>
                <c:pt idx="33">
                  <c:v>-0.71984563646666599</c:v>
                </c:pt>
                <c:pt idx="34">
                  <c:v>-0.52685286366666595</c:v>
                </c:pt>
                <c:pt idx="35">
                  <c:v>-2.0147726666705851E-4</c:v>
                </c:pt>
                <c:pt idx="36">
                  <c:v>9.9199333336130735E-5</c:v>
                </c:pt>
                <c:pt idx="37">
                  <c:v>3.3830366666698358E-4</c:v>
                </c:pt>
                <c:pt idx="38">
                  <c:v>2.7295946666641702E-4</c:v>
                </c:pt>
                <c:pt idx="39">
                  <c:v>4.6769246666999997E-4</c:v>
                </c:pt>
                <c:pt idx="40">
                  <c:v>4.6844519999966749E-4</c:v>
                </c:pt>
                <c:pt idx="41">
                  <c:v>-9.3333333332945578E-5</c:v>
                </c:pt>
                <c:pt idx="42">
                  <c:v>2.3200000000001E-4</c:v>
                </c:pt>
                <c:pt idx="43">
                  <c:v>3.3133333333301712E-4</c:v>
                </c:pt>
                <c:pt idx="44">
                  <c:v>2.7199999999999452E-4</c:v>
                </c:pt>
                <c:pt idx="45">
                  <c:v>2.4833333333296181E-4</c:v>
                </c:pt>
                <c:pt idx="46">
                  <c:v>1.7899999999992919E-4</c:v>
                </c:pt>
                <c:pt idx="47">
                  <c:v>1.954800000000001E-2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3940-4105-A1F4-42489B9445C9}"/>
            </c:ext>
          </c:extLst>
        </c:ser>
        <c:ser>
          <c:idx val="102"/>
          <c:order val="102"/>
          <c:tx>
            <c:v>BES_TR8_six75_A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Net_kW!$DA$2:$DA$49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-4.4080346666666709E-4</c:v>
                </c:pt>
                <c:pt idx="8">
                  <c:v>2.6550746666679972E-4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1.420234666680287E-4</c:v>
                </c:pt>
                <c:pt idx="12">
                  <c:v>8.1407333331839915E-5</c:v>
                </c:pt>
                <c:pt idx="13">
                  <c:v>-7.8343999987406931E-6</c:v>
                </c:pt>
                <c:pt idx="14">
                  <c:v>2.9054519999993639E-4</c:v>
                </c:pt>
                <c:pt idx="15">
                  <c:v>4.1057666667021492E-4</c:v>
                </c:pt>
                <c:pt idx="16">
                  <c:v>-1.597746064933335</c:v>
                </c:pt>
                <c:pt idx="17">
                  <c:v>-2.2962289336000001</c:v>
                </c:pt>
                <c:pt idx="18">
                  <c:v>-2.4390853626666682</c:v>
                </c:pt>
                <c:pt idx="19">
                  <c:v>-2.727723406133332</c:v>
                </c:pt>
                <c:pt idx="20">
                  <c:v>-2.8734056097333349</c:v>
                </c:pt>
                <c:pt idx="21">
                  <c:v>-3.0660204545333332</c:v>
                </c:pt>
                <c:pt idx="22">
                  <c:v>-3.170187924666668</c:v>
                </c:pt>
                <c:pt idx="23">
                  <c:v>-3.2256447088</c:v>
                </c:pt>
                <c:pt idx="24">
                  <c:v>-3.3757979957333348</c:v>
                </c:pt>
                <c:pt idx="25">
                  <c:v>-3.139401672</c:v>
                </c:pt>
                <c:pt idx="26">
                  <c:v>-3.280158482</c:v>
                </c:pt>
                <c:pt idx="27">
                  <c:v>-3.125880327466668</c:v>
                </c:pt>
                <c:pt idx="28">
                  <c:v>-2.9296464265333331</c:v>
                </c:pt>
                <c:pt idx="29">
                  <c:v>-2.7127394397333342</c:v>
                </c:pt>
                <c:pt idx="30">
                  <c:v>-2.4589188281333332</c:v>
                </c:pt>
                <c:pt idx="31">
                  <c:v>-2.0154388538666681</c:v>
                </c:pt>
                <c:pt idx="32">
                  <c:v>-0.64038739066666173</c:v>
                </c:pt>
                <c:pt idx="33">
                  <c:v>-1.691361939599999</c:v>
                </c:pt>
                <c:pt idx="34">
                  <c:v>-1.421411727333332</c:v>
                </c:pt>
                <c:pt idx="35">
                  <c:v>-0.83198228786666706</c:v>
                </c:pt>
                <c:pt idx="36">
                  <c:v>-0.48949360133333503</c:v>
                </c:pt>
                <c:pt idx="37">
                  <c:v>-0.20586072599999999</c:v>
                </c:pt>
                <c:pt idx="38">
                  <c:v>-1.7308106666617809E-4</c:v>
                </c:pt>
                <c:pt idx="39">
                  <c:v>-4.562817333302327E-4</c:v>
                </c:pt>
                <c:pt idx="40">
                  <c:v>3.9622373333331179E-4</c:v>
                </c:pt>
                <c:pt idx="41">
                  <c:v>3.7033333333302831E-4</c:v>
                </c:pt>
                <c:pt idx="42">
                  <c:v>2.5166666666698312E-4</c:v>
                </c:pt>
                <c:pt idx="43">
                  <c:v>3.4066666666687778E-4</c:v>
                </c:pt>
                <c:pt idx="44">
                  <c:v>-3.5400000000007648E-4</c:v>
                </c:pt>
                <c:pt idx="45">
                  <c:v>1.4300000000000421E-4</c:v>
                </c:pt>
                <c:pt idx="46">
                  <c:v>7.0000000000014495E-5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3940-4105-A1F4-42489B9445C9}"/>
            </c:ext>
          </c:extLst>
        </c:ser>
        <c:ser>
          <c:idx val="103"/>
          <c:order val="103"/>
          <c:tx>
            <c:v>BES_TR8_six385_B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Net_kW!$DB$2:$DB$49</c:f>
              <c:numCache>
                <c:formatCode>#,##0.000</c:formatCode>
                <c:ptCount val="48"/>
                <c:pt idx="0">
                  <c:v>3.3333333299134788E-7</c:v>
                </c:pt>
                <c:pt idx="1">
                  <c:v>0</c:v>
                </c:pt>
                <c:pt idx="2">
                  <c:v>6.6666666700965216E-7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6.6666666700965216E-7</c:v>
                </c:pt>
                <c:pt idx="7">
                  <c:v>-1.5050216666666341E-4</c:v>
                </c:pt>
                <c:pt idx="8">
                  <c:v>-8.4057833333251591E-5</c:v>
                </c:pt>
                <c:pt idx="9">
                  <c:v>-3.578065833329952E-4</c:v>
                </c:pt>
                <c:pt idx="10">
                  <c:v>-3.3768016666751999E-4</c:v>
                </c:pt>
                <c:pt idx="11">
                  <c:v>-2.3223533333244231E-4</c:v>
                </c:pt>
                <c:pt idx="12">
                  <c:v>-3.7745375000075582E-4</c:v>
                </c:pt>
                <c:pt idx="13">
                  <c:v>4.1177016666749111E-4</c:v>
                </c:pt>
                <c:pt idx="14">
                  <c:v>2.0434074999997609E-4</c:v>
                </c:pt>
                <c:pt idx="15">
                  <c:v>4.3036041666688618E-4</c:v>
                </c:pt>
                <c:pt idx="16">
                  <c:v>-2.0587391666793131E-4</c:v>
                </c:pt>
                <c:pt idx="17">
                  <c:v>-0.8488348335</c:v>
                </c:pt>
                <c:pt idx="18">
                  <c:v>-1.6739309350000009</c:v>
                </c:pt>
                <c:pt idx="19">
                  <c:v>-1.7975609621666651</c:v>
                </c:pt>
                <c:pt idx="20">
                  <c:v>-1.5193135894166669</c:v>
                </c:pt>
                <c:pt idx="21">
                  <c:v>-1.6899109007499999</c:v>
                </c:pt>
                <c:pt idx="22">
                  <c:v>-1.7191064029166669</c:v>
                </c:pt>
                <c:pt idx="23">
                  <c:v>-1.996968393</c:v>
                </c:pt>
                <c:pt idx="24">
                  <c:v>-1.843626430666667</c:v>
                </c:pt>
                <c:pt idx="25">
                  <c:v>-1.7534367116666669</c:v>
                </c:pt>
                <c:pt idx="26">
                  <c:v>-1.98444835125</c:v>
                </c:pt>
                <c:pt idx="27">
                  <c:v>-1.838739621333334</c:v>
                </c:pt>
                <c:pt idx="28">
                  <c:v>-1.599018966583333</c:v>
                </c:pt>
                <c:pt idx="29">
                  <c:v>-1.380935458166668</c:v>
                </c:pt>
                <c:pt idx="30">
                  <c:v>-1.418234875916667</c:v>
                </c:pt>
                <c:pt idx="31">
                  <c:v>-1.392454908666668</c:v>
                </c:pt>
                <c:pt idx="32">
                  <c:v>-0.15955603583333211</c:v>
                </c:pt>
                <c:pt idx="33">
                  <c:v>-0.64082254558333296</c:v>
                </c:pt>
                <c:pt idx="34">
                  <c:v>-0.58968412958333238</c:v>
                </c:pt>
                <c:pt idx="35">
                  <c:v>-0.61266974658333306</c:v>
                </c:pt>
                <c:pt idx="36">
                  <c:v>-0.32643475083333451</c:v>
                </c:pt>
                <c:pt idx="37">
                  <c:v>-0.10009920375</c:v>
                </c:pt>
                <c:pt idx="38">
                  <c:v>4.6419933333374802E-4</c:v>
                </c:pt>
                <c:pt idx="39">
                  <c:v>-2.5630108333296597E-4</c:v>
                </c:pt>
                <c:pt idx="40">
                  <c:v>-2.8736016666652819E-4</c:v>
                </c:pt>
                <c:pt idx="41">
                  <c:v>3.3333333340213041E-6</c:v>
                </c:pt>
                <c:pt idx="42">
                  <c:v>-2.0666666667001898E-5</c:v>
                </c:pt>
                <c:pt idx="43">
                  <c:v>-2.7033333333303927E-4</c:v>
                </c:pt>
                <c:pt idx="44">
                  <c:v>2.6033333333297382E-4</c:v>
                </c:pt>
                <c:pt idx="45">
                  <c:v>-1.16000000000005E-4</c:v>
                </c:pt>
                <c:pt idx="46">
                  <c:v>4.5333333333302811E-4</c:v>
                </c:pt>
                <c:pt idx="47">
                  <c:v>1.6166666666700411E-4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3940-4105-A1F4-42489B9445C9}"/>
            </c:ext>
          </c:extLst>
        </c:ser>
        <c:ser>
          <c:idx val="104"/>
          <c:order val="104"/>
          <c:tx>
            <c:v>BES_TR8_six431_C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Net_kW!$DC$2:$DC$49</c:f>
              <c:numCache>
                <c:formatCode>#,##0.000</c:formatCode>
                <c:ptCount val="48"/>
                <c:pt idx="0">
                  <c:v>4.623333333330093E-4</c:v>
                </c:pt>
                <c:pt idx="1">
                  <c:v>1.7599999999989849E-4</c:v>
                </c:pt>
                <c:pt idx="2">
                  <c:v>1.759999999999956E-4</c:v>
                </c:pt>
                <c:pt idx="3">
                  <c:v>1.05999999999995E-4</c:v>
                </c:pt>
                <c:pt idx="4">
                  <c:v>1.46666666669959E-5</c:v>
                </c:pt>
                <c:pt idx="5">
                  <c:v>-3.8133333333295599E-4</c:v>
                </c:pt>
                <c:pt idx="6">
                  <c:v>1.013333333329952E-4</c:v>
                </c:pt>
                <c:pt idx="7">
                  <c:v>5.0365366667026727E-5</c:v>
                </c:pt>
                <c:pt idx="8">
                  <c:v>-1.0243469999994539E-4</c:v>
                </c:pt>
                <c:pt idx="9">
                  <c:v>-3.7641728333299979E-4</c:v>
                </c:pt>
                <c:pt idx="10">
                  <c:v>-2.1294143333350921E-4</c:v>
                </c:pt>
                <c:pt idx="11">
                  <c:v>4.4159213333352931E-4</c:v>
                </c:pt>
                <c:pt idx="12">
                  <c:v>-2.9147225000059063E-4</c:v>
                </c:pt>
                <c:pt idx="13">
                  <c:v>1.3372876666750691E-4</c:v>
                </c:pt>
                <c:pt idx="14">
                  <c:v>2.7871116666966511E-5</c:v>
                </c:pt>
                <c:pt idx="15">
                  <c:v>9.9216250000089268E-5</c:v>
                </c:pt>
                <c:pt idx="16">
                  <c:v>-7.5243500006205721E-6</c:v>
                </c:pt>
                <c:pt idx="17">
                  <c:v>-2.8176676666691319E-4</c:v>
                </c:pt>
                <c:pt idx="18">
                  <c:v>-4.9576100000003898E-4</c:v>
                </c:pt>
                <c:pt idx="19">
                  <c:v>-3.2744396666894993E-4</c:v>
                </c:pt>
                <c:pt idx="20">
                  <c:v>-2.3302031666605491E-4</c:v>
                </c:pt>
                <c:pt idx="21">
                  <c:v>4.5724621666709542E-4</c:v>
                </c:pt>
                <c:pt idx="22">
                  <c:v>-9.7055083332908687E-5</c:v>
                </c:pt>
                <c:pt idx="23">
                  <c:v>4.4748419999995898E-4</c:v>
                </c:pt>
                <c:pt idx="24">
                  <c:v>-7.9150498400000879E-2</c:v>
                </c:pt>
                <c:pt idx="25">
                  <c:v>-1.0580906269999999</c:v>
                </c:pt>
                <c:pt idx="26">
                  <c:v>-0.88975309741666697</c:v>
                </c:pt>
                <c:pt idx="27">
                  <c:v>-0.84864703946666697</c:v>
                </c:pt>
                <c:pt idx="28">
                  <c:v>-0.89381612661666709</c:v>
                </c:pt>
                <c:pt idx="29">
                  <c:v>-0.98990064823333335</c:v>
                </c:pt>
                <c:pt idx="30">
                  <c:v>-0.82210918555000001</c:v>
                </c:pt>
                <c:pt idx="31">
                  <c:v>-0.85184894520000043</c:v>
                </c:pt>
                <c:pt idx="32">
                  <c:v>-0.54038802149999943</c:v>
                </c:pt>
                <c:pt idx="33">
                  <c:v>-0.40069706068333238</c:v>
                </c:pt>
                <c:pt idx="34">
                  <c:v>-0.30096673108333238</c:v>
                </c:pt>
                <c:pt idx="35">
                  <c:v>4.3889205000002818E-4</c:v>
                </c:pt>
                <c:pt idx="36">
                  <c:v>-2.9151716666747651E-4</c:v>
                </c:pt>
                <c:pt idx="37">
                  <c:v>-1.2452225000000869E-4</c:v>
                </c:pt>
                <c:pt idx="38">
                  <c:v>-2.328039999988096E-5</c:v>
                </c:pt>
                <c:pt idx="39">
                  <c:v>3.0801935000002167E-4</c:v>
                </c:pt>
                <c:pt idx="40">
                  <c:v>-4.460827666669942E-4</c:v>
                </c:pt>
                <c:pt idx="41">
                  <c:v>1.3933333333299161E-4</c:v>
                </c:pt>
                <c:pt idx="42">
                  <c:v>2.949999999999342E-4</c:v>
                </c:pt>
                <c:pt idx="43">
                  <c:v>-4.2999999999998589E-4</c:v>
                </c:pt>
                <c:pt idx="44">
                  <c:v>4.0000000000040004E-6</c:v>
                </c:pt>
                <c:pt idx="45">
                  <c:v>-3.9666666666698941E-4</c:v>
                </c:pt>
                <c:pt idx="46">
                  <c:v>5.7333333333020597E-5</c:v>
                </c:pt>
                <c:pt idx="47">
                  <c:v>2.3066666666704541E-4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3940-4105-A1F4-42489B9445C9}"/>
            </c:ext>
          </c:extLst>
        </c:ser>
        <c:ser>
          <c:idx val="105"/>
          <c:order val="105"/>
          <c:tx>
            <c:v>BES_TR8_six571_C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Net_kW!$DD$2:$DD$49</c:f>
              <c:numCache>
                <c:formatCode>#,##0.000</c:formatCode>
                <c:ptCount val="48"/>
                <c:pt idx="0">
                  <c:v>6.9388939039072284E-18</c:v>
                </c:pt>
                <c:pt idx="1">
                  <c:v>-1.600000000000212E-5</c:v>
                </c:pt>
                <c:pt idx="2">
                  <c:v>6.9388939039072284E-18</c:v>
                </c:pt>
                <c:pt idx="3">
                  <c:v>6.9388939039072284E-18</c:v>
                </c:pt>
                <c:pt idx="4">
                  <c:v>6.9388939039072284E-18</c:v>
                </c:pt>
                <c:pt idx="5">
                  <c:v>-7.0666666666996392E-5</c:v>
                </c:pt>
                <c:pt idx="6">
                  <c:v>5.4666666666702828E-5</c:v>
                </c:pt>
                <c:pt idx="7">
                  <c:v>2.7959826666666693E-4</c:v>
                </c:pt>
                <c:pt idx="8">
                  <c:v>1.3275373333340029E-4</c:v>
                </c:pt>
                <c:pt idx="9">
                  <c:v>-2.8677859999999561E-4</c:v>
                </c:pt>
                <c:pt idx="10">
                  <c:v>2.5918919999901041E-4</c:v>
                </c:pt>
                <c:pt idx="11">
                  <c:v>1.256784000007172E-4</c:v>
                </c:pt>
                <c:pt idx="12">
                  <c:v>4.0703666665919958E-5</c:v>
                </c:pt>
                <c:pt idx="13">
                  <c:v>1.294161333340593E-4</c:v>
                </c:pt>
                <c:pt idx="14">
                  <c:v>-2.6906073333321512E-4</c:v>
                </c:pt>
                <c:pt idx="15">
                  <c:v>-3.2971166666695417E-4</c:v>
                </c:pt>
                <c:pt idx="16">
                  <c:v>-1.646991333339454E-4</c:v>
                </c:pt>
                <c:pt idx="17">
                  <c:v>-3.2546679999967409E-4</c:v>
                </c:pt>
                <c:pt idx="18">
                  <c:v>-1.0552876813333341</c:v>
                </c:pt>
                <c:pt idx="19">
                  <c:v>-1.2386283697333329</c:v>
                </c:pt>
                <c:pt idx="20">
                  <c:v>-1.5280044715333341</c:v>
                </c:pt>
                <c:pt idx="21">
                  <c:v>-1.546941893933333</c:v>
                </c:pt>
                <c:pt idx="22">
                  <c:v>-1.6302156290000001</c:v>
                </c:pt>
                <c:pt idx="23">
                  <c:v>-1.6727833543999999</c:v>
                </c:pt>
                <c:pt idx="24">
                  <c:v>-1.679240664533334</c:v>
                </c:pt>
                <c:pt idx="25">
                  <c:v>-1.5941768359999999</c:v>
                </c:pt>
                <c:pt idx="26">
                  <c:v>-1.626579241</c:v>
                </c:pt>
                <c:pt idx="27">
                  <c:v>-1.564667163733334</c:v>
                </c:pt>
                <c:pt idx="28">
                  <c:v>-1.4177699466</c:v>
                </c:pt>
                <c:pt idx="29">
                  <c:v>-1.397095086533334</c:v>
                </c:pt>
                <c:pt idx="30">
                  <c:v>-1.2043102474</c:v>
                </c:pt>
                <c:pt idx="31">
                  <c:v>-1.1372452602666669</c:v>
                </c:pt>
                <c:pt idx="32">
                  <c:v>-0.94027702866666596</c:v>
                </c:pt>
                <c:pt idx="33">
                  <c:v>-0.73566063646666602</c:v>
                </c:pt>
                <c:pt idx="34">
                  <c:v>-0.72760586366666591</c:v>
                </c:pt>
                <c:pt idx="35">
                  <c:v>-0.53771147726666668</c:v>
                </c:pt>
                <c:pt idx="36">
                  <c:v>-0.32477246733333398</c:v>
                </c:pt>
                <c:pt idx="37">
                  <c:v>-2.4336300000005201E-4</c:v>
                </c:pt>
                <c:pt idx="38">
                  <c:v>-1.6037386666656331E-4</c:v>
                </c:pt>
                <c:pt idx="39">
                  <c:v>4.200258000000047E-4</c:v>
                </c:pt>
                <c:pt idx="40">
                  <c:v>1.021118666666571E-4</c:v>
                </c:pt>
                <c:pt idx="41">
                  <c:v>6.9388939039072284E-18</c:v>
                </c:pt>
                <c:pt idx="42">
                  <c:v>-1.600000000000212E-5</c:v>
                </c:pt>
                <c:pt idx="43">
                  <c:v>6.9388939039072284E-18</c:v>
                </c:pt>
                <c:pt idx="44">
                  <c:v>5.4666666666702828E-5</c:v>
                </c:pt>
                <c:pt idx="45">
                  <c:v>-7.0666666666996392E-5</c:v>
                </c:pt>
                <c:pt idx="46">
                  <c:v>3.8266666666671167E-4</c:v>
                </c:pt>
                <c:pt idx="47">
                  <c:v>-3.9866666666669992E-4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3940-4105-A1F4-42489B9445C9}"/>
            </c:ext>
          </c:extLst>
        </c:ser>
        <c:ser>
          <c:idx val="106"/>
          <c:order val="106"/>
          <c:tx>
            <c:v>BES_TR8_six595_B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Net_kW!$DE$2:$DE$49</c:f>
              <c:numCache>
                <c:formatCode>#,##0.000</c:formatCode>
                <c:ptCount val="48"/>
                <c:pt idx="0">
                  <c:v>-2.7599999999999852E-4</c:v>
                </c:pt>
                <c:pt idx="1">
                  <c:v>2.5333333333299462E-4</c:v>
                </c:pt>
                <c:pt idx="2">
                  <c:v>0</c:v>
                </c:pt>
                <c:pt idx="3">
                  <c:v>0</c:v>
                </c:pt>
                <c:pt idx="4">
                  <c:v>-4.46666666670259E-5</c:v>
                </c:pt>
                <c:pt idx="5">
                  <c:v>2.2000000000105269E-5</c:v>
                </c:pt>
                <c:pt idx="6">
                  <c:v>2.6466666666670469E-4</c:v>
                </c:pt>
                <c:pt idx="7">
                  <c:v>-7.7350666663478229E-6</c:v>
                </c:pt>
                <c:pt idx="8">
                  <c:v>1.3275373333340029E-4</c:v>
                </c:pt>
                <c:pt idx="9">
                  <c:v>-2.8677859999999561E-4</c:v>
                </c:pt>
                <c:pt idx="10">
                  <c:v>3.2985586666597899E-4</c:v>
                </c:pt>
                <c:pt idx="11">
                  <c:v>-2.1632159999900041E-4</c:v>
                </c:pt>
                <c:pt idx="12">
                  <c:v>3.0537033333261082E-4</c:v>
                </c:pt>
                <c:pt idx="13">
                  <c:v>-9.7583866665917895E-5</c:v>
                </c:pt>
                <c:pt idx="14">
                  <c:v>2.2460593333295531E-4</c:v>
                </c:pt>
                <c:pt idx="15">
                  <c:v>-6.9711666666916194E-5</c:v>
                </c:pt>
                <c:pt idx="16">
                  <c:v>-9.0032466667055999E-5</c:v>
                </c:pt>
                <c:pt idx="17">
                  <c:v>1.2319986666997629E-4</c:v>
                </c:pt>
                <c:pt idx="18">
                  <c:v>-3.9434800000415221E-4</c:v>
                </c:pt>
                <c:pt idx="19">
                  <c:v>1.356302666641884E-4</c:v>
                </c:pt>
                <c:pt idx="20">
                  <c:v>-4.4715333338274377E-6</c:v>
                </c:pt>
                <c:pt idx="21">
                  <c:v>-1.125606000000889E-4</c:v>
                </c:pt>
                <c:pt idx="22">
                  <c:v>-5.1629000000996683E-5</c:v>
                </c:pt>
                <c:pt idx="23">
                  <c:v>-1.430916687733333</c:v>
                </c:pt>
                <c:pt idx="24">
                  <c:v>-5.0977331200003917E-2</c:v>
                </c:pt>
                <c:pt idx="25">
                  <c:v>-0.53327016933332994</c:v>
                </c:pt>
                <c:pt idx="26">
                  <c:v>-1.409059574333333</c:v>
                </c:pt>
                <c:pt idx="27">
                  <c:v>-1.219627163733334</c:v>
                </c:pt>
                <c:pt idx="28">
                  <c:v>-1.392074613266667</c:v>
                </c:pt>
                <c:pt idx="29">
                  <c:v>-1.3233280865333339</c:v>
                </c:pt>
                <c:pt idx="30">
                  <c:v>-1.113516914066667</c:v>
                </c:pt>
                <c:pt idx="31">
                  <c:v>-0.54897892693333394</c:v>
                </c:pt>
                <c:pt idx="32">
                  <c:v>6.3800000404956592E-7</c:v>
                </c:pt>
                <c:pt idx="33">
                  <c:v>-2.773031333319631E-4</c:v>
                </c:pt>
                <c:pt idx="34">
                  <c:v>9.9136333334026716E-5</c:v>
                </c:pt>
                <c:pt idx="35">
                  <c:v>-4.0647726666701017E-4</c:v>
                </c:pt>
                <c:pt idx="36">
                  <c:v>-0.21219513400000101</c:v>
                </c:pt>
                <c:pt idx="37">
                  <c:v>1.397033333296396E-5</c:v>
                </c:pt>
                <c:pt idx="38">
                  <c:v>3.0362613333342892E-4</c:v>
                </c:pt>
                <c:pt idx="39">
                  <c:v>1.2702579999990249E-4</c:v>
                </c:pt>
                <c:pt idx="40">
                  <c:v>8.9111866666713446E-5</c:v>
                </c:pt>
                <c:pt idx="41">
                  <c:v>-1.3266666666700291E-4</c:v>
                </c:pt>
                <c:pt idx="42">
                  <c:v>3.5600000000002302E-4</c:v>
                </c:pt>
                <c:pt idx="43">
                  <c:v>3.7199999999998351E-4</c:v>
                </c:pt>
                <c:pt idx="44">
                  <c:v>3.9999999999984492E-5</c:v>
                </c:pt>
                <c:pt idx="45">
                  <c:v>1.393333333329361E-4</c:v>
                </c:pt>
                <c:pt idx="46">
                  <c:v>2.166666666669759E-4</c:v>
                </c:pt>
                <c:pt idx="47">
                  <c:v>-1.03999999999993E-4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3940-4105-A1F4-42489B9445C9}"/>
            </c:ext>
          </c:extLst>
        </c:ser>
        <c:ser>
          <c:idx val="107"/>
          <c:order val="107"/>
          <c:tx>
            <c:v>BES_TR8_six643_A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Net_kW!$DF$2:$DF$49</c:f>
              <c:numCache>
                <c:formatCode>#,##0.000</c:formatCode>
                <c:ptCount val="48"/>
                <c:pt idx="0">
                  <c:v>3.5233333333406502E-4</c:v>
                </c:pt>
                <c:pt idx="1">
                  <c:v>-1.9566666666703811E-4</c:v>
                </c:pt>
                <c:pt idx="2">
                  <c:v>-1.4733333333305509E-4</c:v>
                </c:pt>
                <c:pt idx="3">
                  <c:v>1.3666666666700691E-4</c:v>
                </c:pt>
                <c:pt idx="4">
                  <c:v>4.333333333329803E-4</c:v>
                </c:pt>
                <c:pt idx="5">
                  <c:v>0.124435333333333</c:v>
                </c:pt>
                <c:pt idx="6">
                  <c:v>0.1978</c:v>
                </c:pt>
                <c:pt idx="7">
                  <c:v>0.15565263029999971</c:v>
                </c:pt>
                <c:pt idx="8">
                  <c:v>0.1122209857000004</c:v>
                </c:pt>
                <c:pt idx="9">
                  <c:v>4.6480411666701549E-4</c:v>
                </c:pt>
                <c:pt idx="10">
                  <c:v>-1.9708556666747651E-4</c:v>
                </c:pt>
                <c:pt idx="11">
                  <c:v>-2.99396133332408E-4</c:v>
                </c:pt>
                <c:pt idx="12">
                  <c:v>7.1231416665429315E-5</c:v>
                </c:pt>
                <c:pt idx="13">
                  <c:v>-1.041884333314869E-4</c:v>
                </c:pt>
                <c:pt idx="14">
                  <c:v>2.5814371666732511E-4</c:v>
                </c:pt>
                <c:pt idx="15">
                  <c:v>2.0217125000021599E-4</c:v>
                </c:pt>
                <c:pt idx="16">
                  <c:v>-2.125568166679859E-4</c:v>
                </c:pt>
                <c:pt idx="17">
                  <c:v>-1.3023432335666669</c:v>
                </c:pt>
                <c:pt idx="18">
                  <c:v>-2.204356775666668</c:v>
                </c:pt>
                <c:pt idx="19">
                  <c:v>-1.9886411470333321</c:v>
                </c:pt>
                <c:pt idx="20">
                  <c:v>-2.1170718251833338</c:v>
                </c:pt>
                <c:pt idx="21">
                  <c:v>-2.7265053143833331</c:v>
                </c:pt>
                <c:pt idx="22">
                  <c:v>-2.6738403507500008</c:v>
                </c:pt>
                <c:pt idx="23">
                  <c:v>-2.7065695368666671</c:v>
                </c:pt>
                <c:pt idx="24">
                  <c:v>-2.6572578296000011</c:v>
                </c:pt>
                <c:pt idx="25">
                  <c:v>-2.807342129666667</c:v>
                </c:pt>
                <c:pt idx="26">
                  <c:v>-2.7289240717499998</c:v>
                </c:pt>
                <c:pt idx="27">
                  <c:v>-2.6538125365333349</c:v>
                </c:pt>
                <c:pt idx="28">
                  <c:v>-2.383210073216667</c:v>
                </c:pt>
                <c:pt idx="29">
                  <c:v>-2.9506810000468059E-4</c:v>
                </c:pt>
                <c:pt idx="30">
                  <c:v>-1.8409961666976391E-4</c:v>
                </c:pt>
                <c:pt idx="31">
                  <c:v>-0.31268720546666667</c:v>
                </c:pt>
                <c:pt idx="32">
                  <c:v>-1.6548457168333319</c:v>
                </c:pt>
                <c:pt idx="33">
                  <c:v>-1.2649747304833321</c:v>
                </c:pt>
                <c:pt idx="34">
                  <c:v>-1.2408452947499979</c:v>
                </c:pt>
                <c:pt idx="35">
                  <c:v>-0.82860925188333312</c:v>
                </c:pt>
                <c:pt idx="36">
                  <c:v>-0.66445631783333448</c:v>
                </c:pt>
                <c:pt idx="37">
                  <c:v>-3.1421858333002822E-4</c:v>
                </c:pt>
                <c:pt idx="38">
                  <c:v>-1.079875999967506E-4</c:v>
                </c:pt>
                <c:pt idx="39">
                  <c:v>-4.5621516666982658E-5</c:v>
                </c:pt>
                <c:pt idx="40">
                  <c:v>-5.2304233333355647E-5</c:v>
                </c:pt>
                <c:pt idx="41">
                  <c:v>8.5000000000001741E-5</c:v>
                </c:pt>
                <c:pt idx="42">
                  <c:v>4.9399999999999444E-4</c:v>
                </c:pt>
                <c:pt idx="43">
                  <c:v>-3.3433333333299231E-4</c:v>
                </c:pt>
                <c:pt idx="44">
                  <c:v>1.733333333298059E-5</c:v>
                </c:pt>
                <c:pt idx="45">
                  <c:v>0.732250333333333</c:v>
                </c:pt>
                <c:pt idx="46">
                  <c:v>0.33056200000000002</c:v>
                </c:pt>
                <c:pt idx="47">
                  <c:v>0.20556666666666701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3940-4105-A1F4-42489B9445C9}"/>
            </c:ext>
          </c:extLst>
        </c:ser>
        <c:ser>
          <c:idx val="108"/>
          <c:order val="108"/>
          <c:tx>
            <c:v>BES_TR8_six652_A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Net_kW!$DG$2:$DG$49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-2.7499999999999752E-4</c:v>
                </c:pt>
                <c:pt idx="3">
                  <c:v>-6.1666666667001269E-5</c:v>
                </c:pt>
                <c:pt idx="4">
                  <c:v>2.4166666666669559E-4</c:v>
                </c:pt>
                <c:pt idx="5">
                  <c:v>4.2166666666701441E-4</c:v>
                </c:pt>
                <c:pt idx="6">
                  <c:v>0</c:v>
                </c:pt>
                <c:pt idx="7">
                  <c:v>3.7419653333334302E-4</c:v>
                </c:pt>
                <c:pt idx="8">
                  <c:v>1.138408000001933E-4</c:v>
                </c:pt>
                <c:pt idx="9">
                  <c:v>4.5477613333301531E-4</c:v>
                </c:pt>
                <c:pt idx="10">
                  <c:v>2.9471173333200928E-4</c:v>
                </c:pt>
                <c:pt idx="11">
                  <c:v>1.420234666681397E-4</c:v>
                </c:pt>
                <c:pt idx="12">
                  <c:v>4.1307399999890299E-4</c:v>
                </c:pt>
                <c:pt idx="13">
                  <c:v>-4.0950106666493008E-4</c:v>
                </c:pt>
                <c:pt idx="14">
                  <c:v>4.0545200000074999E-5</c:v>
                </c:pt>
                <c:pt idx="15">
                  <c:v>-0.32220442333333299</c:v>
                </c:pt>
                <c:pt idx="16">
                  <c:v>-2.1720877316000009</c:v>
                </c:pt>
                <c:pt idx="17">
                  <c:v>-2.4786509336</c:v>
                </c:pt>
                <c:pt idx="18">
                  <c:v>-2.5599120293333351</c:v>
                </c:pt>
                <c:pt idx="19">
                  <c:v>-2.7550447394666651</c:v>
                </c:pt>
                <c:pt idx="20">
                  <c:v>-2.7732499430666682</c:v>
                </c:pt>
                <c:pt idx="21">
                  <c:v>-2.8555124545333328</c:v>
                </c:pt>
                <c:pt idx="22">
                  <c:v>-2.9600539246666679</c:v>
                </c:pt>
                <c:pt idx="23">
                  <c:v>4.6662453333001791E-4</c:v>
                </c:pt>
                <c:pt idx="24">
                  <c:v>-2.5466239999824558E-4</c:v>
                </c:pt>
                <c:pt idx="25">
                  <c:v>-2.0878743386666661</c:v>
                </c:pt>
                <c:pt idx="26">
                  <c:v>-3.0036634819999999</c:v>
                </c:pt>
                <c:pt idx="27">
                  <c:v>-2.324875327466668</c:v>
                </c:pt>
                <c:pt idx="28">
                  <c:v>-2.1311488931999998</c:v>
                </c:pt>
                <c:pt idx="29">
                  <c:v>-2.5028495064000009</c:v>
                </c:pt>
                <c:pt idx="30">
                  <c:v>-2.3231804947999999</c:v>
                </c:pt>
                <c:pt idx="31">
                  <c:v>-1.6101551872000011</c:v>
                </c:pt>
                <c:pt idx="32">
                  <c:v>-1.9000960573333321</c:v>
                </c:pt>
                <c:pt idx="33">
                  <c:v>-1.5573672729333321</c:v>
                </c:pt>
                <c:pt idx="34">
                  <c:v>-1.1748363939999991</c:v>
                </c:pt>
                <c:pt idx="35">
                  <c:v>-0.99168962120000004</c:v>
                </c:pt>
                <c:pt idx="36">
                  <c:v>-0.53687626800000099</c:v>
                </c:pt>
                <c:pt idx="37">
                  <c:v>-0.177008059333333</c:v>
                </c:pt>
                <c:pt idx="38">
                  <c:v>-0.2281407477333332</c:v>
                </c:pt>
                <c:pt idx="39">
                  <c:v>-4.9159948399999993E-2</c:v>
                </c:pt>
                <c:pt idx="40">
                  <c:v>-3.8776266666679098E-5</c:v>
                </c:pt>
                <c:pt idx="41">
                  <c:v>-6.1666666667001269E-5</c:v>
                </c:pt>
                <c:pt idx="42">
                  <c:v>6.2566666670038629E-5</c:v>
                </c:pt>
                <c:pt idx="43">
                  <c:v>-2.5206666667010319E-4</c:v>
                </c:pt>
                <c:pt idx="44">
                  <c:v>0</c:v>
                </c:pt>
                <c:pt idx="45">
                  <c:v>1.183333333329983E-4</c:v>
                </c:pt>
                <c:pt idx="46">
                  <c:v>-4.5499999999999707E-4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3940-4105-A1F4-42489B9445C9}"/>
            </c:ext>
          </c:extLst>
        </c:ser>
        <c:ser>
          <c:idx val="109"/>
          <c:order val="109"/>
          <c:tx>
            <c:v>BES_TR8_six667_A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Net_kW!$DH$2:$DH$49</c:f>
              <c:numCache>
                <c:formatCode>#,##0.000</c:formatCode>
                <c:ptCount val="48"/>
                <c:pt idx="0">
                  <c:v>0</c:v>
                </c:pt>
                <c:pt idx="1">
                  <c:v>2.3200000000001E-4</c:v>
                </c:pt>
                <c:pt idx="2">
                  <c:v>4.7666666666700003E-4</c:v>
                </c:pt>
                <c:pt idx="3">
                  <c:v>-3.8400000000000928E-4</c:v>
                </c:pt>
                <c:pt idx="4">
                  <c:v>-3.8400000000010648E-4</c:v>
                </c:pt>
                <c:pt idx="5">
                  <c:v>0</c:v>
                </c:pt>
                <c:pt idx="6">
                  <c:v>2.3200000000001E-4</c:v>
                </c:pt>
                <c:pt idx="7">
                  <c:v>4.7386320000002841E-4</c:v>
                </c:pt>
                <c:pt idx="8">
                  <c:v>-4.1715920000019718E-4</c:v>
                </c:pt>
                <c:pt idx="9">
                  <c:v>2.5577613333338522E-4</c:v>
                </c:pt>
                <c:pt idx="10">
                  <c:v>6.2378399999007961E-5</c:v>
                </c:pt>
                <c:pt idx="11">
                  <c:v>1.420234666681397E-4</c:v>
                </c:pt>
                <c:pt idx="12">
                  <c:v>3.1340733333184989E-4</c:v>
                </c:pt>
                <c:pt idx="13">
                  <c:v>2.588322666678966E-4</c:v>
                </c:pt>
                <c:pt idx="14">
                  <c:v>2.7254519999986288E-4</c:v>
                </c:pt>
                <c:pt idx="15">
                  <c:v>-0.78862608999999972</c:v>
                </c:pt>
                <c:pt idx="16">
                  <c:v>-0.87437599826666812</c:v>
                </c:pt>
                <c:pt idx="17">
                  <c:v>-0.55480560026666992</c:v>
                </c:pt>
                <c:pt idx="18">
                  <c:v>-2.6756606960000009</c:v>
                </c:pt>
                <c:pt idx="19">
                  <c:v>-2.8889430061333319</c:v>
                </c:pt>
                <c:pt idx="20">
                  <c:v>-2.969262676400001</c:v>
                </c:pt>
                <c:pt idx="21">
                  <c:v>-3.0711479212000001</c:v>
                </c:pt>
                <c:pt idx="22">
                  <c:v>-3.2881739246666681</c:v>
                </c:pt>
                <c:pt idx="23">
                  <c:v>-3.3795667088000001</c:v>
                </c:pt>
                <c:pt idx="24">
                  <c:v>-3.352907995733335</c:v>
                </c:pt>
                <c:pt idx="25">
                  <c:v>-3.336663005333333</c:v>
                </c:pt>
                <c:pt idx="26">
                  <c:v>-3.0913328153333328</c:v>
                </c:pt>
                <c:pt idx="27">
                  <c:v>-3.0742485941333348</c:v>
                </c:pt>
                <c:pt idx="28">
                  <c:v>-2.911337826533333</c:v>
                </c:pt>
                <c:pt idx="29">
                  <c:v>-2.7133447064000009</c:v>
                </c:pt>
                <c:pt idx="30">
                  <c:v>-2.4818271614666672</c:v>
                </c:pt>
                <c:pt idx="31">
                  <c:v>-2.2414048538666682</c:v>
                </c:pt>
                <c:pt idx="32">
                  <c:v>-2.098186057333332</c:v>
                </c:pt>
                <c:pt idx="33">
                  <c:v>-1.768036472933332</c:v>
                </c:pt>
                <c:pt idx="34">
                  <c:v>-1.484113727333332</c:v>
                </c:pt>
                <c:pt idx="35">
                  <c:v>-1.055225354533333</c:v>
                </c:pt>
                <c:pt idx="36">
                  <c:v>-0.79613720133333499</c:v>
                </c:pt>
                <c:pt idx="37">
                  <c:v>-0.47370705933333301</c:v>
                </c:pt>
                <c:pt idx="38">
                  <c:v>-2.1805414400000171E-2</c:v>
                </c:pt>
                <c:pt idx="39">
                  <c:v>-4.4594839999999297E-4</c:v>
                </c:pt>
                <c:pt idx="40">
                  <c:v>-2.8510959999966667E-4</c:v>
                </c:pt>
                <c:pt idx="41">
                  <c:v>4.9333333333012597E-5</c:v>
                </c:pt>
                <c:pt idx="42">
                  <c:v>1.3333333333975791E-5</c:v>
                </c:pt>
                <c:pt idx="43">
                  <c:v>-3.7933333333295399E-4</c:v>
                </c:pt>
                <c:pt idx="44">
                  <c:v>1.086666666670344E-4</c:v>
                </c:pt>
                <c:pt idx="45">
                  <c:v>4.3133333333299217E-4</c:v>
                </c:pt>
                <c:pt idx="46">
                  <c:v>2.3200000000001E-4</c:v>
                </c:pt>
                <c:pt idx="47">
                  <c:v>-8.5333333333305339E-5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3940-4105-A1F4-42489B9445C9}"/>
            </c:ext>
          </c:extLst>
        </c:ser>
        <c:ser>
          <c:idx val="110"/>
          <c:order val="110"/>
          <c:tx>
            <c:v>BES_TR8_six699_C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Net_kW!$DI$2:$DI$49</c:f>
              <c:numCache>
                <c:formatCode>#,##0.000</c:formatCode>
                <c:ptCount val="48"/>
                <c:pt idx="0">
                  <c:v>-7.899999999999574E-5</c:v>
                </c:pt>
                <c:pt idx="1">
                  <c:v>-2.7733333333301863E-4</c:v>
                </c:pt>
                <c:pt idx="2">
                  <c:v>-3.326666666667033E-4</c:v>
                </c:pt>
                <c:pt idx="3">
                  <c:v>-3.8100000000002021E-4</c:v>
                </c:pt>
                <c:pt idx="4">
                  <c:v>-3.0266666666695091E-4</c:v>
                </c:pt>
                <c:pt idx="5">
                  <c:v>6.5666666666991391E-5</c:v>
                </c:pt>
                <c:pt idx="6">
                  <c:v>1.4200000000000321E-4</c:v>
                </c:pt>
                <c:pt idx="7">
                  <c:v>4.4663029999963971E-4</c:v>
                </c:pt>
                <c:pt idx="8">
                  <c:v>-3.1868096666654022E-4</c:v>
                </c:pt>
                <c:pt idx="9">
                  <c:v>1.968041166670112E-4</c:v>
                </c:pt>
                <c:pt idx="10">
                  <c:v>1.9591443333247249E-4</c:v>
                </c:pt>
                <c:pt idx="11">
                  <c:v>8.160386666750119E-5</c:v>
                </c:pt>
                <c:pt idx="12">
                  <c:v>-3.6076858333466971E-4</c:v>
                </c:pt>
                <c:pt idx="13">
                  <c:v>-3.4552176666502449E-4</c:v>
                </c:pt>
                <c:pt idx="14">
                  <c:v>2.4681038333329569E-4</c:v>
                </c:pt>
                <c:pt idx="15">
                  <c:v>2.6603791666701682E-4</c:v>
                </c:pt>
                <c:pt idx="16">
                  <c:v>-1.7822348333518259E-4</c:v>
                </c:pt>
                <c:pt idx="17">
                  <c:v>-0.59648856690000029</c:v>
                </c:pt>
                <c:pt idx="18">
                  <c:v>-2.1000787756666681</c:v>
                </c:pt>
                <c:pt idx="19">
                  <c:v>-2.410004147033332</c:v>
                </c:pt>
                <c:pt idx="20">
                  <c:v>-2.4700158251833342</c:v>
                </c:pt>
                <c:pt idx="21">
                  <c:v>-2.6471719810500001</c:v>
                </c:pt>
                <c:pt idx="22">
                  <c:v>-2.8356183507500008</c:v>
                </c:pt>
                <c:pt idx="23">
                  <c:v>-2.6298642035333328</c:v>
                </c:pt>
                <c:pt idx="24">
                  <c:v>-2.944648496266669</c:v>
                </c:pt>
                <c:pt idx="25">
                  <c:v>-2.8405824630000001</c:v>
                </c:pt>
                <c:pt idx="26">
                  <c:v>-2.5839826717499998</c:v>
                </c:pt>
                <c:pt idx="27">
                  <c:v>-2.6522635365333351</c:v>
                </c:pt>
                <c:pt idx="28">
                  <c:v>-2.5274507398833328</c:v>
                </c:pt>
                <c:pt idx="29">
                  <c:v>-2.3648030681000018</c:v>
                </c:pt>
                <c:pt idx="30">
                  <c:v>-2.2336564329500002</c:v>
                </c:pt>
                <c:pt idx="31">
                  <c:v>-1.8961298721333339</c:v>
                </c:pt>
                <c:pt idx="32">
                  <c:v>-1.6485920501666651</c:v>
                </c:pt>
                <c:pt idx="33">
                  <c:v>-1.1879800304833319</c:v>
                </c:pt>
                <c:pt idx="34">
                  <c:v>-1.2349847614166649</c:v>
                </c:pt>
                <c:pt idx="35">
                  <c:v>-0.72850958521666709</c:v>
                </c:pt>
                <c:pt idx="36">
                  <c:v>-0.65368265116666746</c:v>
                </c:pt>
                <c:pt idx="37">
                  <c:v>-0.31308968525000003</c:v>
                </c:pt>
                <c:pt idx="38">
                  <c:v>4.793457333334937E-4</c:v>
                </c:pt>
                <c:pt idx="39">
                  <c:v>5.3378483332977573E-5</c:v>
                </c:pt>
                <c:pt idx="40">
                  <c:v>3.3362433333627983E-5</c:v>
                </c:pt>
                <c:pt idx="41">
                  <c:v>-1.0333333333001351E-5</c:v>
                </c:pt>
                <c:pt idx="42">
                  <c:v>3.6300000000000221E-4</c:v>
                </c:pt>
                <c:pt idx="43">
                  <c:v>1.736666666669606E-4</c:v>
                </c:pt>
                <c:pt idx="44">
                  <c:v>-3.000000000086267E-6</c:v>
                </c:pt>
                <c:pt idx="45">
                  <c:v>-1.569999999999627E-4</c:v>
                </c:pt>
                <c:pt idx="46">
                  <c:v>4.8099999999995369E-4</c:v>
                </c:pt>
                <c:pt idx="47">
                  <c:v>6.6333333333057354E-5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3940-4105-A1F4-42489B9445C9}"/>
            </c:ext>
          </c:extLst>
        </c:ser>
        <c:ser>
          <c:idx val="111"/>
          <c:order val="111"/>
          <c:tx>
            <c:v>BES_TR8_six723_B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Net_kW!$DJ$2:$DJ$49</c:f>
              <c:numCache>
                <c:formatCode>#,##0.000</c:formatCode>
                <c:ptCount val="48"/>
                <c:pt idx="0">
                  <c:v>1.406666666669554E-4</c:v>
                </c:pt>
                <c:pt idx="1">
                  <c:v>-3.7200000000001121E-4</c:v>
                </c:pt>
                <c:pt idx="2">
                  <c:v>-8.9333333332969334E-5</c:v>
                </c:pt>
                <c:pt idx="3">
                  <c:v>3.9600000000000751E-4</c:v>
                </c:pt>
                <c:pt idx="4">
                  <c:v>3.5666666666700492E-4</c:v>
                </c:pt>
                <c:pt idx="5">
                  <c:v>4.1200000000002351E-4</c:v>
                </c:pt>
                <c:pt idx="6">
                  <c:v>-2.106666666670115E-4</c:v>
                </c:pt>
                <c:pt idx="7">
                  <c:v>2.3186320000040389E-4</c:v>
                </c:pt>
                <c:pt idx="8">
                  <c:v>-4.2782586666617611E-4</c:v>
                </c:pt>
                <c:pt idx="9">
                  <c:v>-4.5955719999998118E-4</c:v>
                </c:pt>
                <c:pt idx="10">
                  <c:v>7.7117333319720593E-6</c:v>
                </c:pt>
                <c:pt idx="11">
                  <c:v>1.420234666680287E-4</c:v>
                </c:pt>
                <c:pt idx="12">
                  <c:v>-1.892593333351344E-4</c:v>
                </c:pt>
                <c:pt idx="13">
                  <c:v>6.1498933334958039E-5</c:v>
                </c:pt>
                <c:pt idx="14">
                  <c:v>-4.5212146666706587E-4</c:v>
                </c:pt>
                <c:pt idx="15">
                  <c:v>1.099099999999353E-4</c:v>
                </c:pt>
                <c:pt idx="16">
                  <c:v>-1.0404880649333339</c:v>
                </c:pt>
                <c:pt idx="17">
                  <c:v>-2.2001889335999998</c:v>
                </c:pt>
                <c:pt idx="18">
                  <c:v>-2.7115753626666681</c:v>
                </c:pt>
                <c:pt idx="19">
                  <c:v>-2.797146406133332</c:v>
                </c:pt>
                <c:pt idx="20">
                  <c:v>-2.7864772764000012</c:v>
                </c:pt>
                <c:pt idx="21">
                  <c:v>-3.2263051211999998</c:v>
                </c:pt>
                <c:pt idx="22">
                  <c:v>-3.221070258000001</c:v>
                </c:pt>
                <c:pt idx="23">
                  <c:v>-3.174151042133333</c:v>
                </c:pt>
                <c:pt idx="24">
                  <c:v>-3.2152926624000009</c:v>
                </c:pt>
                <c:pt idx="25">
                  <c:v>-3.0403766719999998</c:v>
                </c:pt>
                <c:pt idx="26">
                  <c:v>-2.7997264820000001</c:v>
                </c:pt>
                <c:pt idx="27">
                  <c:v>-2.8786973274666678</c:v>
                </c:pt>
                <c:pt idx="28">
                  <c:v>-1.2888638932000001</c:v>
                </c:pt>
                <c:pt idx="29">
                  <c:v>-2.6810920730666679</c:v>
                </c:pt>
                <c:pt idx="30">
                  <c:v>-2.2238370947999999</c:v>
                </c:pt>
                <c:pt idx="31">
                  <c:v>-2.2528412205333348</c:v>
                </c:pt>
                <c:pt idx="32">
                  <c:v>-2.1128000573333319</c:v>
                </c:pt>
                <c:pt idx="33">
                  <c:v>-1.521686606266665</c:v>
                </c:pt>
                <c:pt idx="34">
                  <c:v>-1.4681343939999989</c:v>
                </c:pt>
                <c:pt idx="35">
                  <c:v>-1.0978309545333329</c:v>
                </c:pt>
                <c:pt idx="36">
                  <c:v>-0.62695093466666796</c:v>
                </c:pt>
                <c:pt idx="37">
                  <c:v>-0.44920539266666698</c:v>
                </c:pt>
                <c:pt idx="38">
                  <c:v>-0.1093340810666662</c:v>
                </c:pt>
                <c:pt idx="39">
                  <c:v>-2.392817333329855E-4</c:v>
                </c:pt>
                <c:pt idx="40">
                  <c:v>-3.2110959999967492E-4</c:v>
                </c:pt>
                <c:pt idx="41">
                  <c:v>1.0233333333398149E-4</c:v>
                </c:pt>
                <c:pt idx="42">
                  <c:v>8.5000000000001741E-5</c:v>
                </c:pt>
                <c:pt idx="43">
                  <c:v>-1.33333333330321E-5</c:v>
                </c:pt>
                <c:pt idx="44">
                  <c:v>-7.9333333333014844E-5</c:v>
                </c:pt>
                <c:pt idx="45">
                  <c:v>-4.3066666666702341E-4</c:v>
                </c:pt>
                <c:pt idx="46">
                  <c:v>-1.4266666666701289E-4</c:v>
                </c:pt>
                <c:pt idx="47">
                  <c:v>-2.05999999999984E-4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3940-4105-A1F4-42489B9445C9}"/>
            </c:ext>
          </c:extLst>
        </c:ser>
        <c:ser>
          <c:idx val="112"/>
          <c:order val="112"/>
          <c:tx>
            <c:v>BES_TR8_six740_A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Net_kW!$DK$2:$DK$49</c:f>
              <c:numCache>
                <c:formatCode>#,##0.000</c:formatCode>
                <c:ptCount val="48"/>
                <c:pt idx="0">
                  <c:v>1.6266666666700511E-4</c:v>
                </c:pt>
                <c:pt idx="1">
                  <c:v>0</c:v>
                </c:pt>
                <c:pt idx="2">
                  <c:v>0</c:v>
                </c:pt>
                <c:pt idx="3">
                  <c:v>2.1333333333983792E-5</c:v>
                </c:pt>
                <c:pt idx="4">
                  <c:v>0</c:v>
                </c:pt>
                <c:pt idx="5">
                  <c:v>2.1333333332984591E-5</c:v>
                </c:pt>
                <c:pt idx="6">
                  <c:v>0</c:v>
                </c:pt>
                <c:pt idx="7">
                  <c:v>-1.0703033333329949E-5</c:v>
                </c:pt>
                <c:pt idx="8">
                  <c:v>4.9298570000046171E-4</c:v>
                </c:pt>
                <c:pt idx="9">
                  <c:v>-4.9119588333298991E-4</c:v>
                </c:pt>
                <c:pt idx="10">
                  <c:v>3.2724776666548378E-4</c:v>
                </c:pt>
                <c:pt idx="11">
                  <c:v>-1.043961333324073E-4</c:v>
                </c:pt>
                <c:pt idx="12">
                  <c:v>7.1231416665540337E-5</c:v>
                </c:pt>
                <c:pt idx="13">
                  <c:v>-2.3521766664869052E-5</c:v>
                </c:pt>
                <c:pt idx="14">
                  <c:v>2.5937704999989819E-4</c:v>
                </c:pt>
                <c:pt idx="15">
                  <c:v>3.4217125000002291E-4</c:v>
                </c:pt>
                <c:pt idx="16">
                  <c:v>-1.0095115568166679</c:v>
                </c:pt>
                <c:pt idx="17">
                  <c:v>-2.0258595668999999</c:v>
                </c:pt>
                <c:pt idx="18">
                  <c:v>-2.1894984423333348</c:v>
                </c:pt>
                <c:pt idx="19">
                  <c:v>-2.3274111470333319</c:v>
                </c:pt>
                <c:pt idx="20">
                  <c:v>-2.5505978251833339</c:v>
                </c:pt>
                <c:pt idx="21">
                  <c:v>-2.5640893143833332</c:v>
                </c:pt>
                <c:pt idx="22">
                  <c:v>-2.72374335075</c:v>
                </c:pt>
                <c:pt idx="23">
                  <c:v>-2.9468708702000002</c:v>
                </c:pt>
                <c:pt idx="24">
                  <c:v>-2.7550074962666682</c:v>
                </c:pt>
                <c:pt idx="25">
                  <c:v>-2.6795174629999998</c:v>
                </c:pt>
                <c:pt idx="26">
                  <c:v>-2.8660136717500002</c:v>
                </c:pt>
                <c:pt idx="27">
                  <c:v>-2.6476462032000021</c:v>
                </c:pt>
                <c:pt idx="28">
                  <c:v>-2.6283194065500002</c:v>
                </c:pt>
                <c:pt idx="29">
                  <c:v>-2.464416401433335</c:v>
                </c:pt>
                <c:pt idx="30">
                  <c:v>-2.2902374329500002</c:v>
                </c:pt>
                <c:pt idx="31">
                  <c:v>-1.9706145388000009</c:v>
                </c:pt>
                <c:pt idx="32">
                  <c:v>-1.8445750501666649</c:v>
                </c:pt>
                <c:pt idx="33">
                  <c:v>-1.520269030483332</c:v>
                </c:pt>
                <c:pt idx="34">
                  <c:v>-1.2220822614166651</c:v>
                </c:pt>
                <c:pt idx="35">
                  <c:v>-1.01870591855</c:v>
                </c:pt>
                <c:pt idx="36">
                  <c:v>-0.51123765116666742</c:v>
                </c:pt>
                <c:pt idx="37">
                  <c:v>-6.1551916670010698E-5</c:v>
                </c:pt>
                <c:pt idx="38">
                  <c:v>-2.8732093333627701E-4</c:v>
                </c:pt>
                <c:pt idx="39">
                  <c:v>-1.0562151667015129E-4</c:v>
                </c:pt>
                <c:pt idx="40">
                  <c:v>1.3502909999962839E-4</c:v>
                </c:pt>
                <c:pt idx="41">
                  <c:v>4.4866666666987243E-4</c:v>
                </c:pt>
                <c:pt idx="42">
                  <c:v>3.4533333333297561E-4</c:v>
                </c:pt>
                <c:pt idx="43">
                  <c:v>-1.24333333333948E-4</c:v>
                </c:pt>
                <c:pt idx="44">
                  <c:v>0.58355799999999991</c:v>
                </c:pt>
                <c:pt idx="45">
                  <c:v>0.61160999999999999</c:v>
                </c:pt>
                <c:pt idx="46">
                  <c:v>0.33025933333333302</c:v>
                </c:pt>
                <c:pt idx="47">
                  <c:v>0.70146533333333405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3940-4105-A1F4-42489B9445C9}"/>
            </c:ext>
          </c:extLst>
        </c:ser>
        <c:ser>
          <c:idx val="113"/>
          <c:order val="113"/>
          <c:tx>
            <c:v>BES_TR8_six90_B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Net_kW!$DL$2:$DL$49</c:f>
              <c:numCache>
                <c:formatCode>#,##0.000</c:formatCode>
                <c:ptCount val="48"/>
                <c:pt idx="0">
                  <c:v>-1.659999999999717E-4</c:v>
                </c:pt>
                <c:pt idx="1">
                  <c:v>4.666666666697239E-5</c:v>
                </c:pt>
                <c:pt idx="2">
                  <c:v>2.4736666666699819E-4</c:v>
                </c:pt>
                <c:pt idx="3">
                  <c:v>-1.166666666669869E-4</c:v>
                </c:pt>
                <c:pt idx="4">
                  <c:v>-6.9388939039072284E-18</c:v>
                </c:pt>
                <c:pt idx="5">
                  <c:v>-6.9388939039072284E-18</c:v>
                </c:pt>
                <c:pt idx="6">
                  <c:v>-6.9388939039072284E-18</c:v>
                </c:pt>
                <c:pt idx="7">
                  <c:v>4.1939739999999342E-4</c:v>
                </c:pt>
                <c:pt idx="8">
                  <c:v>-3.0086939999990348E-4</c:v>
                </c:pt>
                <c:pt idx="9">
                  <c:v>-4.3016789999998639E-4</c:v>
                </c:pt>
                <c:pt idx="10">
                  <c:v>-5.2162000009903231E-6</c:v>
                </c:pt>
                <c:pt idx="11">
                  <c:v>-3.9348239999897888E-4</c:v>
                </c:pt>
                <c:pt idx="12">
                  <c:v>6.1055499998907692E-5</c:v>
                </c:pt>
                <c:pt idx="13">
                  <c:v>-3.0587579999896702E-4</c:v>
                </c:pt>
                <c:pt idx="14">
                  <c:v>-4.6959109999988868E-4</c:v>
                </c:pt>
                <c:pt idx="15">
                  <c:v>3.0432500000010521E-5</c:v>
                </c:pt>
                <c:pt idx="16">
                  <c:v>-0.27924704870000089</c:v>
                </c:pt>
                <c:pt idx="17">
                  <c:v>-1.8424882002</c:v>
                </c:pt>
                <c:pt idx="18">
                  <c:v>-2.0164315220000009</c:v>
                </c:pt>
                <c:pt idx="19">
                  <c:v>-2.1647875545999988</c:v>
                </c:pt>
                <c:pt idx="20">
                  <c:v>-2.2950067073000011</c:v>
                </c:pt>
                <c:pt idx="21">
                  <c:v>-2.4024788409000002</c:v>
                </c:pt>
                <c:pt idx="22">
                  <c:v>-2.449070443500001</c:v>
                </c:pt>
                <c:pt idx="23">
                  <c:v>-2.4735009982666671</c:v>
                </c:pt>
                <c:pt idx="24">
                  <c:v>-2.521860996800001</c:v>
                </c:pt>
                <c:pt idx="25">
                  <c:v>-2.4620835873333329</c:v>
                </c:pt>
                <c:pt idx="26">
                  <c:v>-2.4428688615</c:v>
                </c:pt>
                <c:pt idx="27">
                  <c:v>-2.3500007456000009</c:v>
                </c:pt>
                <c:pt idx="28">
                  <c:v>-2.2391309199</c:v>
                </c:pt>
                <c:pt idx="29">
                  <c:v>-2.0986426298000009</c:v>
                </c:pt>
                <c:pt idx="30">
                  <c:v>-1.9493463711000001</c:v>
                </c:pt>
                <c:pt idx="31">
                  <c:v>-1.7696878904000011</c:v>
                </c:pt>
                <c:pt idx="32">
                  <c:v>-1.5673500429999989</c:v>
                </c:pt>
                <c:pt idx="33">
                  <c:v>-1.323053454699999</c:v>
                </c:pt>
                <c:pt idx="34">
                  <c:v>-0.99755162883333215</c:v>
                </c:pt>
                <c:pt idx="35">
                  <c:v>-0.80646104923333306</c:v>
                </c:pt>
                <c:pt idx="36">
                  <c:v>-0.60718770100000108</c:v>
                </c:pt>
                <c:pt idx="37">
                  <c:v>-0.38410837783333329</c:v>
                </c:pt>
                <c:pt idx="38">
                  <c:v>-3.3777894133332931E-2</c:v>
                </c:pt>
                <c:pt idx="39">
                  <c:v>2.4937203333397218E-4</c:v>
                </c:pt>
                <c:pt idx="40">
                  <c:v>3.6183446666698821E-4</c:v>
                </c:pt>
                <c:pt idx="41">
                  <c:v>-3.9666666666704492E-4</c:v>
                </c:pt>
                <c:pt idx="42">
                  <c:v>-1.4066666666701089E-4</c:v>
                </c:pt>
                <c:pt idx="43">
                  <c:v>-2.8000000000005798E-4</c:v>
                </c:pt>
                <c:pt idx="44">
                  <c:v>3.4100000000003572E-4</c:v>
                </c:pt>
                <c:pt idx="45">
                  <c:v>0</c:v>
                </c:pt>
                <c:pt idx="46">
                  <c:v>-1.666666666670924E-4</c:v>
                </c:pt>
                <c:pt idx="47">
                  <c:v>-9.3333333329725932E-6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3940-4105-A1F4-42489B9445C9}"/>
            </c:ext>
          </c:extLst>
        </c:ser>
        <c:ser>
          <c:idx val="114"/>
          <c:order val="114"/>
          <c:tx>
            <c:v>BES_TR8_six801_C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Net_kW!$DM$2:$DM$49</c:f>
              <c:numCache>
                <c:formatCode>#,##0.000</c:formatCode>
                <c:ptCount val="48"/>
                <c:pt idx="0">
                  <c:v>-4.0066666666699341E-4</c:v>
                </c:pt>
                <c:pt idx="1">
                  <c:v>-1.953333333329921E-4</c:v>
                </c:pt>
                <c:pt idx="2">
                  <c:v>4.9766666666669485E-4</c:v>
                </c:pt>
                <c:pt idx="3">
                  <c:v>-2.070000000000127E-4</c:v>
                </c:pt>
                <c:pt idx="4">
                  <c:v>-1.5266666666699511E-4</c:v>
                </c:pt>
                <c:pt idx="5">
                  <c:v>-1.566666666665828E-4</c:v>
                </c:pt>
                <c:pt idx="6">
                  <c:v>3.1733333333298919E-4</c:v>
                </c:pt>
                <c:pt idx="7">
                  <c:v>2.811965333333194E-4</c:v>
                </c:pt>
                <c:pt idx="8">
                  <c:v>2.6550746666680058E-4</c:v>
                </c:pt>
                <c:pt idx="9">
                  <c:v>1.201094666669969E-4</c:v>
                </c:pt>
                <c:pt idx="10">
                  <c:v>3.8171173333201303E-4</c:v>
                </c:pt>
                <c:pt idx="11">
                  <c:v>-4.8464319999896871E-4</c:v>
                </c:pt>
                <c:pt idx="12">
                  <c:v>-2.402593333350467E-4</c:v>
                </c:pt>
                <c:pt idx="13">
                  <c:v>1.24989333349923E-5</c:v>
                </c:pt>
                <c:pt idx="14">
                  <c:v>3.3854519999998439E-4</c:v>
                </c:pt>
                <c:pt idx="15">
                  <c:v>-2.5475666666707752E-4</c:v>
                </c:pt>
                <c:pt idx="16">
                  <c:v>-1.8721400649333351</c:v>
                </c:pt>
                <c:pt idx="17">
                  <c:v>-2.1658376002666668</c:v>
                </c:pt>
                <c:pt idx="18">
                  <c:v>-2.5031386960000011</c:v>
                </c:pt>
                <c:pt idx="19">
                  <c:v>-2.6956987394666649</c:v>
                </c:pt>
                <c:pt idx="20">
                  <c:v>-2.8096116097333348</c:v>
                </c:pt>
                <c:pt idx="21">
                  <c:v>-3.0244791212000002</c:v>
                </c:pt>
                <c:pt idx="22">
                  <c:v>-3.101887258000001</c:v>
                </c:pt>
                <c:pt idx="23">
                  <c:v>-3.2787880421333329</c:v>
                </c:pt>
                <c:pt idx="24">
                  <c:v>-2.4382266623999982</c:v>
                </c:pt>
                <c:pt idx="25">
                  <c:v>-3.2921776720000002</c:v>
                </c:pt>
                <c:pt idx="26">
                  <c:v>-3.2288864820000001</c:v>
                </c:pt>
                <c:pt idx="27">
                  <c:v>-3.079960994133335</c:v>
                </c:pt>
                <c:pt idx="28">
                  <c:v>-2.947894559866667</c:v>
                </c:pt>
                <c:pt idx="29">
                  <c:v>-2.7637641730666682</c:v>
                </c:pt>
                <c:pt idx="30">
                  <c:v>-2.5457551614666669</c:v>
                </c:pt>
                <c:pt idx="31">
                  <c:v>-2.292763520533335</c:v>
                </c:pt>
                <c:pt idx="32">
                  <c:v>-2.0708750573333319</c:v>
                </c:pt>
                <c:pt idx="33">
                  <c:v>-1.647085939599999</c:v>
                </c:pt>
                <c:pt idx="34">
                  <c:v>-1.387781060666665</c:v>
                </c:pt>
                <c:pt idx="35">
                  <c:v>-1.0437756212</c:v>
                </c:pt>
                <c:pt idx="36">
                  <c:v>-0.73603560133333501</c:v>
                </c:pt>
                <c:pt idx="37">
                  <c:v>-0.33530489266666702</c:v>
                </c:pt>
                <c:pt idx="38">
                  <c:v>3.5965226666682948E-4</c:v>
                </c:pt>
                <c:pt idx="39">
                  <c:v>3.9205160000002631E-4</c:v>
                </c:pt>
                <c:pt idx="40">
                  <c:v>7.9557066666291476E-5</c:v>
                </c:pt>
                <c:pt idx="41">
                  <c:v>1.2400000000001299E-4</c:v>
                </c:pt>
                <c:pt idx="42">
                  <c:v>1.513333333329481E-4</c:v>
                </c:pt>
                <c:pt idx="43">
                  <c:v>-3.6033333333299061E-4</c:v>
                </c:pt>
                <c:pt idx="44">
                  <c:v>9.0000000000006741E-5</c:v>
                </c:pt>
                <c:pt idx="45">
                  <c:v>3.9333333333002603E-5</c:v>
                </c:pt>
                <c:pt idx="46">
                  <c:v>3.7333333333300361E-4</c:v>
                </c:pt>
                <c:pt idx="47">
                  <c:v>-2.7799999999998659E-4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3940-4105-A1F4-42489B9445C9}"/>
            </c:ext>
          </c:extLst>
        </c:ser>
        <c:ser>
          <c:idx val="115"/>
          <c:order val="115"/>
          <c:tx>
            <c:v>BES_TR8_six807_A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Net_kW!$DN$2:$DN$49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-8.5000000000029496E-5</c:v>
                </c:pt>
                <c:pt idx="3">
                  <c:v>-4.3966666666679638E-4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-3.4847013333366711E-4</c:v>
                </c:pt>
                <c:pt idx="8">
                  <c:v>-3.5149253333319891E-4</c:v>
                </c:pt>
                <c:pt idx="9">
                  <c:v>1.924427999999978E-4</c:v>
                </c:pt>
                <c:pt idx="10">
                  <c:v>3.6904506666496362E-4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-2.6583439999883218E-4</c:v>
                </c:pt>
                <c:pt idx="14">
                  <c:v>4.0545199999852948E-5</c:v>
                </c:pt>
                <c:pt idx="15">
                  <c:v>-0.80191675666666695</c:v>
                </c:pt>
                <c:pt idx="16">
                  <c:v>-2.183563398266668</c:v>
                </c:pt>
                <c:pt idx="17">
                  <c:v>-2.5026509336</c:v>
                </c:pt>
                <c:pt idx="18">
                  <c:v>-2.4231533626666679</c:v>
                </c:pt>
                <c:pt idx="19">
                  <c:v>-2.932383406133332</c:v>
                </c:pt>
                <c:pt idx="20">
                  <c:v>-2.950122276400001</c:v>
                </c:pt>
                <c:pt idx="21">
                  <c:v>-3.1342517878666669</c:v>
                </c:pt>
                <c:pt idx="22">
                  <c:v>-3.350977924666668</c:v>
                </c:pt>
                <c:pt idx="23">
                  <c:v>-3.1736183754666669</c:v>
                </c:pt>
                <c:pt idx="24">
                  <c:v>-3.1069459290666681</c:v>
                </c:pt>
                <c:pt idx="25">
                  <c:v>-2.08845500533333</c:v>
                </c:pt>
                <c:pt idx="26">
                  <c:v>-3.1504219486666671</c:v>
                </c:pt>
                <c:pt idx="27">
                  <c:v>-2.9637443274666682</c:v>
                </c:pt>
                <c:pt idx="28">
                  <c:v>-2.6610135598666669</c:v>
                </c:pt>
                <c:pt idx="29">
                  <c:v>-2.3485465064000008</c:v>
                </c:pt>
                <c:pt idx="30">
                  <c:v>-2.3118504947999998</c:v>
                </c:pt>
                <c:pt idx="31">
                  <c:v>-0.76717385386666792</c:v>
                </c:pt>
                <c:pt idx="32">
                  <c:v>-0.9984667240000018</c:v>
                </c:pt>
                <c:pt idx="33">
                  <c:v>-7.0167606266661853E-2</c:v>
                </c:pt>
                <c:pt idx="34">
                  <c:v>-1.296387060666665</c:v>
                </c:pt>
                <c:pt idx="35">
                  <c:v>2.1037880000003559E-4</c:v>
                </c:pt>
                <c:pt idx="36">
                  <c:v>-3.1526800000098582E-4</c:v>
                </c:pt>
                <c:pt idx="37">
                  <c:v>2.8727399999994851E-4</c:v>
                </c:pt>
                <c:pt idx="38">
                  <c:v>1.1758559999983099E-4</c:v>
                </c:pt>
                <c:pt idx="39">
                  <c:v>1.0038493333300309E-4</c:v>
                </c:pt>
                <c:pt idx="40">
                  <c:v>2.4055706666731291E-4</c:v>
                </c:pt>
                <c:pt idx="41">
                  <c:v>9.0666666666017193E-5</c:v>
                </c:pt>
                <c:pt idx="42">
                  <c:v>-2.7299999999996771E-4</c:v>
                </c:pt>
                <c:pt idx="43">
                  <c:v>-3.8333333333029351E-5</c:v>
                </c:pt>
                <c:pt idx="44">
                  <c:v>-1.090000000000257E-4</c:v>
                </c:pt>
                <c:pt idx="45">
                  <c:v>4.276666666669926E-4</c:v>
                </c:pt>
                <c:pt idx="46">
                  <c:v>3.3133333333296161E-4</c:v>
                </c:pt>
                <c:pt idx="47">
                  <c:v>6.1666666666959635E-5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3940-4105-A1F4-42489B9445C9}"/>
            </c:ext>
          </c:extLst>
        </c:ser>
        <c:ser>
          <c:idx val="116"/>
          <c:order val="116"/>
          <c:tx>
            <c:v>BES_TR8_six844_C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Net_kW!$DO$2:$DO$49</c:f>
              <c:numCache>
                <c:formatCode>#,##0.000</c:formatCode>
                <c:ptCount val="48"/>
                <c:pt idx="0">
                  <c:v>0</c:v>
                </c:pt>
                <c:pt idx="1">
                  <c:v>2.5866666666701787E-4</c:v>
                </c:pt>
                <c:pt idx="2">
                  <c:v>8.2000000000012618E-5</c:v>
                </c:pt>
                <c:pt idx="3">
                  <c:v>1.423333333329668E-4</c:v>
                </c:pt>
                <c:pt idx="4">
                  <c:v>0</c:v>
                </c:pt>
                <c:pt idx="5">
                  <c:v>-3.2666666666986137E-5</c:v>
                </c:pt>
                <c:pt idx="6">
                  <c:v>2.5866666666701787E-4</c:v>
                </c:pt>
                <c:pt idx="7">
                  <c:v>-1.9480346666667089E-4</c:v>
                </c:pt>
                <c:pt idx="8">
                  <c:v>-2.3849253333321771E-4</c:v>
                </c:pt>
                <c:pt idx="9">
                  <c:v>-8.9557199999978909E-5</c:v>
                </c:pt>
                <c:pt idx="10">
                  <c:v>2.5711733331990061E-5</c:v>
                </c:pt>
                <c:pt idx="11">
                  <c:v>-6.4319999903972302E-7</c:v>
                </c:pt>
                <c:pt idx="12">
                  <c:v>8.1407333331950937E-5</c:v>
                </c:pt>
                <c:pt idx="13">
                  <c:v>-4.8250106666491988E-4</c:v>
                </c:pt>
                <c:pt idx="14">
                  <c:v>7.8785333330610996E-6</c:v>
                </c:pt>
                <c:pt idx="15">
                  <c:v>-3.7626089999999827E-2</c:v>
                </c:pt>
                <c:pt idx="16">
                  <c:v>-2.1055213982666681</c:v>
                </c:pt>
                <c:pt idx="17">
                  <c:v>-2.3502376002666661</c:v>
                </c:pt>
                <c:pt idx="18">
                  <c:v>-2.7305753626666678</c:v>
                </c:pt>
                <c:pt idx="19">
                  <c:v>-2.8746210727999979</c:v>
                </c:pt>
                <c:pt idx="20">
                  <c:v>-2.9080292764000011</c:v>
                </c:pt>
                <c:pt idx="21">
                  <c:v>-3.2238211211999999</c:v>
                </c:pt>
                <c:pt idx="22">
                  <c:v>-3.1780105913333352</c:v>
                </c:pt>
                <c:pt idx="23">
                  <c:v>-3.2426980421333331</c:v>
                </c:pt>
                <c:pt idx="24">
                  <c:v>-3.145974329066668</c:v>
                </c:pt>
                <c:pt idx="25">
                  <c:v>-3.2938666720000001</c:v>
                </c:pt>
                <c:pt idx="26">
                  <c:v>-3.269994148666667</c:v>
                </c:pt>
                <c:pt idx="27">
                  <c:v>-3.0140473274666681</c:v>
                </c:pt>
                <c:pt idx="28">
                  <c:v>-2.9272492265333332</c:v>
                </c:pt>
                <c:pt idx="29">
                  <c:v>-2.7173048397333348</c:v>
                </c:pt>
                <c:pt idx="30">
                  <c:v>-2.5950464948</c:v>
                </c:pt>
                <c:pt idx="31">
                  <c:v>-2.3013251872000011</c:v>
                </c:pt>
                <c:pt idx="32">
                  <c:v>-1.9781933906666651</c:v>
                </c:pt>
                <c:pt idx="33">
                  <c:v>-1.7405812729333321</c:v>
                </c:pt>
                <c:pt idx="34">
                  <c:v>-1.420361060666665</c:v>
                </c:pt>
                <c:pt idx="35">
                  <c:v>-1.0497036211999999</c:v>
                </c:pt>
                <c:pt idx="36">
                  <c:v>-0.64598960133333505</c:v>
                </c:pt>
                <c:pt idx="37">
                  <c:v>-0.27432539266666711</c:v>
                </c:pt>
                <c:pt idx="38">
                  <c:v>1.3058559999985789E-4</c:v>
                </c:pt>
                <c:pt idx="39">
                  <c:v>4.2705159999995018E-4</c:v>
                </c:pt>
                <c:pt idx="40">
                  <c:v>-3.0110959999968268E-4</c:v>
                </c:pt>
                <c:pt idx="41">
                  <c:v>-2.1833333333301511E-4</c:v>
                </c:pt>
                <c:pt idx="42">
                  <c:v>0</c:v>
                </c:pt>
                <c:pt idx="43">
                  <c:v>-3.5466666666660041E-4</c:v>
                </c:pt>
                <c:pt idx="44">
                  <c:v>1.789999999999847E-4</c:v>
                </c:pt>
                <c:pt idx="45">
                  <c:v>4.0166666666670292E-4</c:v>
                </c:pt>
                <c:pt idx="46">
                  <c:v>2.5866666666701787E-4</c:v>
                </c:pt>
                <c:pt idx="47">
                  <c:v>-3.2666666666986137E-5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3940-4105-A1F4-42489B9445C9}"/>
            </c:ext>
          </c:extLst>
        </c:ser>
        <c:ser>
          <c:idx val="117"/>
          <c:order val="117"/>
          <c:tx>
            <c:v>BES_TR8_six860_C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Net_kW!$DP$2:$DP$49</c:f>
              <c:numCache>
                <c:formatCode>#,##0.000</c:formatCode>
                <c:ptCount val="48"/>
                <c:pt idx="0">
                  <c:v>3.3866666666701462E-4</c:v>
                </c:pt>
                <c:pt idx="1">
                  <c:v>2.5199999999998829E-4</c:v>
                </c:pt>
                <c:pt idx="2">
                  <c:v>-1.4800000000000921E-4</c:v>
                </c:pt>
                <c:pt idx="3">
                  <c:v>-4.0933333333301181E-4</c:v>
                </c:pt>
                <c:pt idx="4">
                  <c:v>9.4666666666701205E-5</c:v>
                </c:pt>
                <c:pt idx="5">
                  <c:v>-2.4266666666701581E-4</c:v>
                </c:pt>
                <c:pt idx="6">
                  <c:v>-1.7266666666698741E-4</c:v>
                </c:pt>
                <c:pt idx="7">
                  <c:v>4.6483116666631852E-4</c:v>
                </c:pt>
                <c:pt idx="8">
                  <c:v>1.9260883333374609E-4</c:v>
                </c:pt>
                <c:pt idx="9">
                  <c:v>-1.924732500000054E-4</c:v>
                </c:pt>
                <c:pt idx="10">
                  <c:v>-1.010135000008017E-4</c:v>
                </c:pt>
                <c:pt idx="11">
                  <c:v>-2.8990199999948119E-4</c:v>
                </c:pt>
                <c:pt idx="12">
                  <c:v>-1.144537500008536E-4</c:v>
                </c:pt>
                <c:pt idx="13">
                  <c:v>2.4643683333425148E-4</c:v>
                </c:pt>
                <c:pt idx="14">
                  <c:v>3.8334074999990531E-4</c:v>
                </c:pt>
                <c:pt idx="15">
                  <c:v>-1.4130625000019489E-4</c:v>
                </c:pt>
                <c:pt idx="16">
                  <c:v>-3.3187391666800181E-4</c:v>
                </c:pt>
                <c:pt idx="17">
                  <c:v>1.443316666716044E-5</c:v>
                </c:pt>
                <c:pt idx="18">
                  <c:v>-0.71597726833333497</c:v>
                </c:pt>
                <c:pt idx="19">
                  <c:v>-1.5507696288333319</c:v>
                </c:pt>
                <c:pt idx="20">
                  <c:v>-1.633198256083334</c:v>
                </c:pt>
                <c:pt idx="21">
                  <c:v>-0.97661276741667002</c:v>
                </c:pt>
                <c:pt idx="22">
                  <c:v>-1.9485195362500001</c:v>
                </c:pt>
                <c:pt idx="23">
                  <c:v>-0.98528119300000006</c:v>
                </c:pt>
                <c:pt idx="24">
                  <c:v>1.758360000030518E-4</c:v>
                </c:pt>
                <c:pt idx="25">
                  <c:v>-0.47209231166666982</c:v>
                </c:pt>
                <c:pt idx="26">
                  <c:v>-1.8740168512499999</c:v>
                </c:pt>
                <c:pt idx="27">
                  <c:v>-1.7610821546666671</c:v>
                </c:pt>
                <c:pt idx="28">
                  <c:v>-1.8154478332499999</c:v>
                </c:pt>
                <c:pt idx="29">
                  <c:v>-2.0643383248333338</c:v>
                </c:pt>
                <c:pt idx="30">
                  <c:v>-1.735911975916667</c:v>
                </c:pt>
                <c:pt idx="31">
                  <c:v>-0.62748790866666804</c:v>
                </c:pt>
                <c:pt idx="32">
                  <c:v>-1.095076369166665</c:v>
                </c:pt>
                <c:pt idx="33">
                  <c:v>-1.0854025455833329</c:v>
                </c:pt>
                <c:pt idx="34">
                  <c:v>-0.71236066291666544</c:v>
                </c:pt>
                <c:pt idx="35">
                  <c:v>-0.66342251325000001</c:v>
                </c:pt>
                <c:pt idx="36">
                  <c:v>-0.52182308416666745</c:v>
                </c:pt>
                <c:pt idx="37">
                  <c:v>-0.28737587041666701</c:v>
                </c:pt>
                <c:pt idx="38">
                  <c:v>3.9886599999981558E-4</c:v>
                </c:pt>
                <c:pt idx="39">
                  <c:v>2.5032249999997619E-5</c:v>
                </c:pt>
                <c:pt idx="40">
                  <c:v>-3.2702683333368793E-4</c:v>
                </c:pt>
                <c:pt idx="41">
                  <c:v>4.1733333333331119E-4</c:v>
                </c:pt>
                <c:pt idx="42">
                  <c:v>-4.6666666667027901E-5</c:v>
                </c:pt>
                <c:pt idx="43">
                  <c:v>4.8933333333300855E-4</c:v>
                </c:pt>
                <c:pt idx="44">
                  <c:v>0</c:v>
                </c:pt>
                <c:pt idx="45">
                  <c:v>1.6666666666997901E-5</c:v>
                </c:pt>
                <c:pt idx="46">
                  <c:v>4.2600000000010679E-4</c:v>
                </c:pt>
                <c:pt idx="47">
                  <c:v>1.3133333333301131E-4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3940-4105-A1F4-42489B9445C9}"/>
            </c:ext>
          </c:extLst>
        </c:ser>
        <c:ser>
          <c:idx val="118"/>
          <c:order val="118"/>
          <c:tx>
            <c:v>BES_TR8_six909_C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Net_kW!$DQ$2:$DQ$49</c:f>
              <c:numCache>
                <c:formatCode>#,##0.000</c:formatCode>
                <c:ptCount val="48"/>
                <c:pt idx="0">
                  <c:v>3.4400000000001102E-4</c:v>
                </c:pt>
                <c:pt idx="1">
                  <c:v>0</c:v>
                </c:pt>
                <c:pt idx="2">
                  <c:v>2.8799999999999659E-4</c:v>
                </c:pt>
                <c:pt idx="3">
                  <c:v>1.22000000000011E-4</c:v>
                </c:pt>
                <c:pt idx="4">
                  <c:v>2.319999999999961E-4</c:v>
                </c:pt>
                <c:pt idx="5">
                  <c:v>1.7800000000001151E-4</c:v>
                </c:pt>
                <c:pt idx="6">
                  <c:v>0</c:v>
                </c:pt>
                <c:pt idx="7">
                  <c:v>3.7383116666632471E-4</c:v>
                </c:pt>
                <c:pt idx="8">
                  <c:v>-1.9839116666625631E-4</c:v>
                </c:pt>
                <c:pt idx="9">
                  <c:v>-3.584732500000049E-4</c:v>
                </c:pt>
                <c:pt idx="10">
                  <c:v>-3.3768016666751999E-4</c:v>
                </c:pt>
                <c:pt idx="11">
                  <c:v>-1.2323533333252759E-4</c:v>
                </c:pt>
                <c:pt idx="12">
                  <c:v>-7.7120416667519898E-5</c:v>
                </c:pt>
                <c:pt idx="13">
                  <c:v>4.1177016666749111E-4</c:v>
                </c:pt>
                <c:pt idx="14">
                  <c:v>2.3934074999987229E-4</c:v>
                </c:pt>
                <c:pt idx="15">
                  <c:v>-1.4397291666701231E-4</c:v>
                </c:pt>
                <c:pt idx="16">
                  <c:v>4.4679274999870339E-4</c:v>
                </c:pt>
                <c:pt idx="17">
                  <c:v>-0.2002388334999998</c:v>
                </c:pt>
                <c:pt idx="18">
                  <c:v>-1.593821601666668</c:v>
                </c:pt>
                <c:pt idx="19">
                  <c:v>-1.270626962166665</c:v>
                </c:pt>
                <c:pt idx="20">
                  <c:v>-0.99154225608333402</c:v>
                </c:pt>
                <c:pt idx="21">
                  <c:v>-2.0050657007499999</c:v>
                </c:pt>
                <c:pt idx="22">
                  <c:v>-1.9599152029166671</c:v>
                </c:pt>
                <c:pt idx="23">
                  <c:v>-2.0017651930000002</c:v>
                </c:pt>
                <c:pt idx="24">
                  <c:v>-2.1045508306666671</c:v>
                </c:pt>
                <c:pt idx="25">
                  <c:v>-1.9542457116666669</c:v>
                </c:pt>
                <c:pt idx="26">
                  <c:v>-1.9091860512500001</c:v>
                </c:pt>
                <c:pt idx="27">
                  <c:v>-1.891266288</c:v>
                </c:pt>
                <c:pt idx="28">
                  <c:v>-1.7222667665833331</c:v>
                </c:pt>
                <c:pt idx="29">
                  <c:v>-1.7083688581666681</c:v>
                </c:pt>
                <c:pt idx="30">
                  <c:v>-1.46843730925</c:v>
                </c:pt>
                <c:pt idx="31">
                  <c:v>-1.349611908666668</c:v>
                </c:pt>
                <c:pt idx="32">
                  <c:v>-1.225478802499999</c:v>
                </c:pt>
                <c:pt idx="33">
                  <c:v>-1.0250576122499999</c:v>
                </c:pt>
                <c:pt idx="34">
                  <c:v>-0.76382312958333243</c:v>
                </c:pt>
                <c:pt idx="35">
                  <c:v>-0.64788531324999998</c:v>
                </c:pt>
                <c:pt idx="36">
                  <c:v>-0.3071420841666675</c:v>
                </c:pt>
                <c:pt idx="37">
                  <c:v>-2.9159870416667011E-2</c:v>
                </c:pt>
                <c:pt idx="38">
                  <c:v>-4.9046733333319228E-4</c:v>
                </c:pt>
                <c:pt idx="39">
                  <c:v>2.083655833330367E-4</c:v>
                </c:pt>
                <c:pt idx="40">
                  <c:v>2.4863983333334172E-4</c:v>
                </c:pt>
                <c:pt idx="41">
                  <c:v>3.1266666666696091E-4</c:v>
                </c:pt>
                <c:pt idx="42">
                  <c:v>0</c:v>
                </c:pt>
                <c:pt idx="43">
                  <c:v>4.639999999999922E-4</c:v>
                </c:pt>
                <c:pt idx="44">
                  <c:v>4.0800000000000558E-4</c:v>
                </c:pt>
                <c:pt idx="45">
                  <c:v>-7.7000000000000679E-5</c:v>
                </c:pt>
                <c:pt idx="46">
                  <c:v>4.870000000000152E-4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3940-4105-A1F4-42489B9445C9}"/>
            </c:ext>
          </c:extLst>
        </c:ser>
        <c:ser>
          <c:idx val="119"/>
          <c:order val="119"/>
          <c:tx>
            <c:v>BES_TR8_six914_A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Net_kW!$DR$2:$DR$49</c:f>
              <c:numCache>
                <c:formatCode>#,##0.000</c:formatCode>
                <c:ptCount val="48"/>
                <c:pt idx="0">
                  <c:v>2.093333333330061E-4</c:v>
                </c:pt>
                <c:pt idx="1">
                  <c:v>1.3533333333298761E-4</c:v>
                </c:pt>
                <c:pt idx="2">
                  <c:v>3.4133333333299931E-4</c:v>
                </c:pt>
                <c:pt idx="3">
                  <c:v>4.343333333329813E-4</c:v>
                </c:pt>
                <c:pt idx="4">
                  <c:v>2.436666666670029E-4</c:v>
                </c:pt>
                <c:pt idx="5">
                  <c:v>4.096666666669746E-4</c:v>
                </c:pt>
                <c:pt idx="6">
                  <c:v>0.22519366666666599</c:v>
                </c:pt>
                <c:pt idx="7">
                  <c:v>7.2183196533333327E-2</c:v>
                </c:pt>
                <c:pt idx="8">
                  <c:v>2.655074666667988E-4</c:v>
                </c:pt>
                <c:pt idx="9">
                  <c:v>4.2644279999998203E-4</c:v>
                </c:pt>
                <c:pt idx="10">
                  <c:v>-4.0828826666799989E-4</c:v>
                </c:pt>
                <c:pt idx="11">
                  <c:v>1.420234666680287E-4</c:v>
                </c:pt>
                <c:pt idx="12">
                  <c:v>4.834073333319644E-4</c:v>
                </c:pt>
                <c:pt idx="13">
                  <c:v>-2.1116773333185179E-4</c:v>
                </c:pt>
                <c:pt idx="14">
                  <c:v>6.5451999999854849E-6</c:v>
                </c:pt>
                <c:pt idx="15">
                  <c:v>3.3991000000010979E-4</c:v>
                </c:pt>
                <c:pt idx="16">
                  <c:v>-0.93932939826666817</c:v>
                </c:pt>
                <c:pt idx="17">
                  <c:v>-2.4541209336000001</c:v>
                </c:pt>
                <c:pt idx="18">
                  <c:v>-2.6031733626666682</c:v>
                </c:pt>
                <c:pt idx="19">
                  <c:v>-2.9183834061333318</c:v>
                </c:pt>
                <c:pt idx="20">
                  <c:v>-3.0920089430666682</c:v>
                </c:pt>
                <c:pt idx="21">
                  <c:v>-3.2353051212000001</c:v>
                </c:pt>
                <c:pt idx="22">
                  <c:v>-3.1850459246666678</c:v>
                </c:pt>
                <c:pt idx="23">
                  <c:v>-3.3815667087999999</c:v>
                </c:pt>
                <c:pt idx="24">
                  <c:v>-3.2977973290666678</c:v>
                </c:pt>
                <c:pt idx="25">
                  <c:v>-3.315073672</c:v>
                </c:pt>
                <c:pt idx="26">
                  <c:v>-3.2891584819999999</c:v>
                </c:pt>
                <c:pt idx="27">
                  <c:v>-3.1238983274666681</c:v>
                </c:pt>
                <c:pt idx="28">
                  <c:v>-2.9070118932</c:v>
                </c:pt>
                <c:pt idx="29">
                  <c:v>-2.8301901730666681</c:v>
                </c:pt>
                <c:pt idx="30">
                  <c:v>-2.6311284948</c:v>
                </c:pt>
                <c:pt idx="31">
                  <c:v>-2.2396518538666679</c:v>
                </c:pt>
                <c:pt idx="32">
                  <c:v>-2.1218000573333322</c:v>
                </c:pt>
                <c:pt idx="33">
                  <c:v>-1.6579512729333321</c:v>
                </c:pt>
                <c:pt idx="34">
                  <c:v>-1.4773997273333319</c:v>
                </c:pt>
                <c:pt idx="35">
                  <c:v>-1.167172754533333</c:v>
                </c:pt>
                <c:pt idx="36">
                  <c:v>-0.87491693466666798</c:v>
                </c:pt>
                <c:pt idx="37">
                  <c:v>-0.17059039266666701</c:v>
                </c:pt>
                <c:pt idx="38">
                  <c:v>-0.1681927477333332</c:v>
                </c:pt>
                <c:pt idx="39">
                  <c:v>2.3205159999999109E-4</c:v>
                </c:pt>
                <c:pt idx="40">
                  <c:v>-4.4644293333367951E-4</c:v>
                </c:pt>
                <c:pt idx="41">
                  <c:v>1.5999999999999351E-4</c:v>
                </c:pt>
                <c:pt idx="42">
                  <c:v>1.1533333333296759E-4</c:v>
                </c:pt>
                <c:pt idx="43">
                  <c:v>4.616666666670266E-4</c:v>
                </c:pt>
                <c:pt idx="44">
                  <c:v>-7.0000000000014495E-5</c:v>
                </c:pt>
                <c:pt idx="45">
                  <c:v>4.0666666666699941E-4</c:v>
                </c:pt>
                <c:pt idx="46">
                  <c:v>0</c:v>
                </c:pt>
                <c:pt idx="47">
                  <c:v>2.146666666669739E-4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3940-4105-A1F4-42489B9445C9}"/>
            </c:ext>
          </c:extLst>
        </c:ser>
        <c:ser>
          <c:idx val="120"/>
          <c:order val="120"/>
          <c:tx>
            <c:v>BES_TR8_six111_C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Net_kW!$DS$2:$DS$49</c:f>
              <c:numCache>
                <c:formatCode>#,##0.000</c:formatCode>
                <c:ptCount val="48"/>
                <c:pt idx="0">
                  <c:v>-1.546666666669694E-4</c:v>
                </c:pt>
                <c:pt idx="1">
                  <c:v>0.1140433333333299</c:v>
                </c:pt>
                <c:pt idx="2">
                  <c:v>0.25795600000000002</c:v>
                </c:pt>
                <c:pt idx="3">
                  <c:v>0.52382166666666696</c:v>
                </c:pt>
                <c:pt idx="4">
                  <c:v>0.30180499999999999</c:v>
                </c:pt>
                <c:pt idx="5">
                  <c:v>0.155168</c:v>
                </c:pt>
                <c:pt idx="6">
                  <c:v>5.7037333333333301E-2</c:v>
                </c:pt>
                <c:pt idx="7">
                  <c:v>2.727959826666667E-2</c:v>
                </c:pt>
                <c:pt idx="8">
                  <c:v>0.1513287537333334</c:v>
                </c:pt>
                <c:pt idx="9">
                  <c:v>-2.7744526666668989E-4</c:v>
                </c:pt>
                <c:pt idx="10">
                  <c:v>4.0452253333270177E-4</c:v>
                </c:pt>
                <c:pt idx="11">
                  <c:v>2.016784000010152E-4</c:v>
                </c:pt>
                <c:pt idx="12">
                  <c:v>4.0703666665975469E-5</c:v>
                </c:pt>
                <c:pt idx="13">
                  <c:v>3.3474946666700589E-4</c:v>
                </c:pt>
                <c:pt idx="14">
                  <c:v>2.02726000000375E-5</c:v>
                </c:pt>
                <c:pt idx="15">
                  <c:v>-2.7571166666662261E-4</c:v>
                </c:pt>
                <c:pt idx="16">
                  <c:v>3.3008666658895791E-6</c:v>
                </c:pt>
                <c:pt idx="17">
                  <c:v>-3.2546679999989608E-4</c:v>
                </c:pt>
                <c:pt idx="18">
                  <c:v>-2.8768133333412221E-4</c:v>
                </c:pt>
                <c:pt idx="19">
                  <c:v>-0.20212636973333239</c:v>
                </c:pt>
                <c:pt idx="20">
                  <c:v>-1.435864471533334</c:v>
                </c:pt>
                <c:pt idx="21">
                  <c:v>-1.6126525606</c:v>
                </c:pt>
                <c:pt idx="22">
                  <c:v>-1.351591629000001</c:v>
                </c:pt>
                <c:pt idx="23">
                  <c:v>-1.4093763544</c:v>
                </c:pt>
                <c:pt idx="24">
                  <c:v>-1.6852313312000009</c:v>
                </c:pt>
                <c:pt idx="25">
                  <c:v>-1.5329648360000001</c:v>
                </c:pt>
                <c:pt idx="26">
                  <c:v>-1.6395792410000001</c:v>
                </c:pt>
                <c:pt idx="27">
                  <c:v>-1.4444898304000009</c:v>
                </c:pt>
                <c:pt idx="28">
                  <c:v>-1.230809279933333</c:v>
                </c:pt>
                <c:pt idx="29">
                  <c:v>-1.1831490865333341</c:v>
                </c:pt>
                <c:pt idx="30">
                  <c:v>-1.1519782474</c:v>
                </c:pt>
                <c:pt idx="31">
                  <c:v>-0.90790926026666696</c:v>
                </c:pt>
                <c:pt idx="32">
                  <c:v>-0.6895633619999989</c:v>
                </c:pt>
                <c:pt idx="33">
                  <c:v>-0.67906263646666598</c:v>
                </c:pt>
                <c:pt idx="34">
                  <c:v>-0.58623966366666591</c:v>
                </c:pt>
                <c:pt idx="35">
                  <c:v>-0.49951981060000011</c:v>
                </c:pt>
                <c:pt idx="36">
                  <c:v>-2.6446733333401751E-4</c:v>
                </c:pt>
                <c:pt idx="37">
                  <c:v>-3.4869633333300948E-4</c:v>
                </c:pt>
                <c:pt idx="38">
                  <c:v>-1.873738666665625E-4</c:v>
                </c:pt>
                <c:pt idx="39">
                  <c:v>2.6969246667007951E-4</c:v>
                </c:pt>
                <c:pt idx="40">
                  <c:v>4.2277853333361198E-4</c:v>
                </c:pt>
                <c:pt idx="41">
                  <c:v>-3.5366666666702962E-4</c:v>
                </c:pt>
                <c:pt idx="42">
                  <c:v>2.6399999999998652E-4</c:v>
                </c:pt>
                <c:pt idx="43">
                  <c:v>4.5000000000000601E-4</c:v>
                </c:pt>
                <c:pt idx="44">
                  <c:v>6.5333333334027799E-5</c:v>
                </c:pt>
                <c:pt idx="45">
                  <c:v>-4.06666666670219E-5</c:v>
                </c:pt>
                <c:pt idx="46">
                  <c:v>-1.5300000000001421E-4</c:v>
                </c:pt>
                <c:pt idx="47">
                  <c:v>2.8466666666668311E-4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3940-4105-A1F4-42489B9445C9}"/>
            </c:ext>
          </c:extLst>
        </c:ser>
        <c:ser>
          <c:idx val="121"/>
          <c:order val="121"/>
          <c:tx>
            <c:v>BES_TR8_six1006_C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Net_kW!$DT$2:$DT$49</c:f>
              <c:numCache>
                <c:formatCode>#,##0.000</c:formatCode>
                <c:ptCount val="48"/>
                <c:pt idx="0">
                  <c:v>-2.03999999999982E-4</c:v>
                </c:pt>
                <c:pt idx="1">
                  <c:v>0</c:v>
                </c:pt>
                <c:pt idx="2">
                  <c:v>-2.4933333333299062E-4</c:v>
                </c:pt>
                <c:pt idx="3">
                  <c:v>0</c:v>
                </c:pt>
                <c:pt idx="4">
                  <c:v>-9.0666666667002516E-5</c:v>
                </c:pt>
                <c:pt idx="5">
                  <c:v>-1.5866666666700111E-4</c:v>
                </c:pt>
                <c:pt idx="6">
                  <c:v>0</c:v>
                </c:pt>
                <c:pt idx="7">
                  <c:v>2.7959826666665988E-4</c:v>
                </c:pt>
                <c:pt idx="8">
                  <c:v>1.9420400000400021E-5</c:v>
                </c:pt>
                <c:pt idx="9">
                  <c:v>-4.2277859999998932E-4</c:v>
                </c:pt>
                <c:pt idx="10">
                  <c:v>3.2985586666597899E-4</c:v>
                </c:pt>
                <c:pt idx="11">
                  <c:v>7.1011733334014338E-5</c:v>
                </c:pt>
                <c:pt idx="12">
                  <c:v>-2.0862966666707061E-4</c:v>
                </c:pt>
                <c:pt idx="13">
                  <c:v>3.9108280000410561E-4</c:v>
                </c:pt>
                <c:pt idx="14">
                  <c:v>-3.5272739999997471E-4</c:v>
                </c:pt>
                <c:pt idx="15">
                  <c:v>3.5362166666713662E-4</c:v>
                </c:pt>
                <c:pt idx="16">
                  <c:v>-1.826991333341299E-4</c:v>
                </c:pt>
                <c:pt idx="17">
                  <c:v>2.05199866666117E-4</c:v>
                </c:pt>
                <c:pt idx="18">
                  <c:v>-3.9768133333417671E-4</c:v>
                </c:pt>
                <c:pt idx="19">
                  <c:v>4.4896360000090668E-4</c:v>
                </c:pt>
                <c:pt idx="20">
                  <c:v>-2.691382000039183E-4</c:v>
                </c:pt>
                <c:pt idx="21">
                  <c:v>2.3743939999998351E-4</c:v>
                </c:pt>
                <c:pt idx="22">
                  <c:v>-0.31713029566666678</c:v>
                </c:pt>
                <c:pt idx="23">
                  <c:v>2.233122666700782E-4</c:v>
                </c:pt>
                <c:pt idx="24">
                  <c:v>-1.4562859978666669</c:v>
                </c:pt>
                <c:pt idx="25">
                  <c:v>-1.343343502666666</c:v>
                </c:pt>
                <c:pt idx="26">
                  <c:v>-1.6099125743333329</c:v>
                </c:pt>
                <c:pt idx="27">
                  <c:v>-1.0621391637333339</c:v>
                </c:pt>
                <c:pt idx="28">
                  <c:v>-1.4219352799333329</c:v>
                </c:pt>
                <c:pt idx="29">
                  <c:v>-1.0487210865333341</c:v>
                </c:pt>
                <c:pt idx="30">
                  <c:v>2.8975259999990821E-4</c:v>
                </c:pt>
                <c:pt idx="31">
                  <c:v>-0.36567226026666688</c:v>
                </c:pt>
                <c:pt idx="32">
                  <c:v>-0.52172069533333187</c:v>
                </c:pt>
                <c:pt idx="33">
                  <c:v>-0.47907496979999897</c:v>
                </c:pt>
                <c:pt idx="34">
                  <c:v>-8.1874863666665965E-2</c:v>
                </c:pt>
                <c:pt idx="35">
                  <c:v>-0.182849477266667</c:v>
                </c:pt>
                <c:pt idx="36">
                  <c:v>4.8186599999899832E-4</c:v>
                </c:pt>
                <c:pt idx="37">
                  <c:v>3.3097033333051579E-4</c:v>
                </c:pt>
                <c:pt idx="38">
                  <c:v>-1.2704053333623119E-4</c:v>
                </c:pt>
                <c:pt idx="39">
                  <c:v>0.29179802579999992</c:v>
                </c:pt>
                <c:pt idx="40">
                  <c:v>0.46317211186666662</c:v>
                </c:pt>
                <c:pt idx="41">
                  <c:v>0.50479333333333298</c:v>
                </c:pt>
                <c:pt idx="42">
                  <c:v>1.6946383333333299</c:v>
                </c:pt>
                <c:pt idx="43">
                  <c:v>0.88264866666666697</c:v>
                </c:pt>
                <c:pt idx="44">
                  <c:v>0.87443666666666697</c:v>
                </c:pt>
                <c:pt idx="45">
                  <c:v>0.170231666666666</c:v>
                </c:pt>
                <c:pt idx="46">
                  <c:v>5.1999999999999998E-2</c:v>
                </c:pt>
                <c:pt idx="47">
                  <c:v>0.205750666666667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3940-4105-A1F4-42489B9445C9}"/>
            </c:ext>
          </c:extLst>
        </c:ser>
        <c:ser>
          <c:idx val="122"/>
          <c:order val="122"/>
          <c:tx>
            <c:v>BES_TR8_six1020_A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Net_kW!$DU$2:$DU$49</c:f>
              <c:numCache>
                <c:formatCode>#,##0.000</c:formatCode>
                <c:ptCount val="48"/>
                <c:pt idx="0">
                  <c:v>3.9800000000000951E-4</c:v>
                </c:pt>
                <c:pt idx="1">
                  <c:v>4.8866666666669278E-4</c:v>
                </c:pt>
                <c:pt idx="2">
                  <c:v>0</c:v>
                </c:pt>
                <c:pt idx="3">
                  <c:v>0</c:v>
                </c:pt>
                <c:pt idx="4">
                  <c:v>-1.133333333330211E-4</c:v>
                </c:pt>
                <c:pt idx="5">
                  <c:v>0</c:v>
                </c:pt>
                <c:pt idx="6">
                  <c:v>-3.5766666666697811E-4</c:v>
                </c:pt>
                <c:pt idx="7">
                  <c:v>-4.760684000000362E-4</c:v>
                </c:pt>
                <c:pt idx="8">
                  <c:v>1.327537333333968E-4</c:v>
                </c:pt>
                <c:pt idx="9">
                  <c:v>-2.8677860000000249E-4</c:v>
                </c:pt>
                <c:pt idx="10">
                  <c:v>-2.2681080000101769E-4</c:v>
                </c:pt>
                <c:pt idx="11">
                  <c:v>-4.856549333329685E-4</c:v>
                </c:pt>
                <c:pt idx="12">
                  <c:v>4.0703666665975469E-5</c:v>
                </c:pt>
                <c:pt idx="13">
                  <c:v>1.294161333340593E-4</c:v>
                </c:pt>
                <c:pt idx="14">
                  <c:v>-3.1472740000004768E-4</c:v>
                </c:pt>
                <c:pt idx="15">
                  <c:v>-9.1378333333169692E-5</c:v>
                </c:pt>
                <c:pt idx="16">
                  <c:v>3.2196753333291189E-4</c:v>
                </c:pt>
                <c:pt idx="17">
                  <c:v>1.8853320000000731E-4</c:v>
                </c:pt>
                <c:pt idx="18">
                  <c:v>-4.9601466666804317E-4</c:v>
                </c:pt>
                <c:pt idx="19">
                  <c:v>-0.91809170306666588</c:v>
                </c:pt>
                <c:pt idx="20">
                  <c:v>-1.201729471533334</c:v>
                </c:pt>
                <c:pt idx="21">
                  <c:v>-1.5547642272666671</c:v>
                </c:pt>
                <c:pt idx="22">
                  <c:v>-1.584689629000001</c:v>
                </c:pt>
                <c:pt idx="23">
                  <c:v>-1.572362687733333</c:v>
                </c:pt>
                <c:pt idx="24">
                  <c:v>-1.653751997866667</c:v>
                </c:pt>
                <c:pt idx="25">
                  <c:v>-1.541762836</c:v>
                </c:pt>
                <c:pt idx="26">
                  <c:v>-1.498299241</c:v>
                </c:pt>
                <c:pt idx="27">
                  <c:v>-0.77084549706666705</c:v>
                </c:pt>
                <c:pt idx="28">
                  <c:v>-0.13859594659999999</c:v>
                </c:pt>
                <c:pt idx="29">
                  <c:v>-0.74476175320000104</c:v>
                </c:pt>
                <c:pt idx="30">
                  <c:v>-0.27275224739999993</c:v>
                </c:pt>
                <c:pt idx="31">
                  <c:v>-3.2526026666390711E-4</c:v>
                </c:pt>
                <c:pt idx="32">
                  <c:v>-2.5002866666579138E-4</c:v>
                </c:pt>
                <c:pt idx="33">
                  <c:v>4.8503020000101321E-4</c:v>
                </c:pt>
                <c:pt idx="34">
                  <c:v>3.9413633333418302E-4</c:v>
                </c:pt>
                <c:pt idx="35">
                  <c:v>2.5189400000069639E-5</c:v>
                </c:pt>
                <c:pt idx="36">
                  <c:v>-2.821340000009886E-4</c:v>
                </c:pt>
                <c:pt idx="37">
                  <c:v>3.3497033333337872E-4</c:v>
                </c:pt>
                <c:pt idx="38">
                  <c:v>-1.6037386666659101E-4</c:v>
                </c:pt>
                <c:pt idx="39">
                  <c:v>3.0669246666700789E-4</c:v>
                </c:pt>
                <c:pt idx="40">
                  <c:v>-3.9655480000033721E-4</c:v>
                </c:pt>
                <c:pt idx="41">
                  <c:v>-4.4666666666703941E-4</c:v>
                </c:pt>
                <c:pt idx="42">
                  <c:v>-2.3099999999998119E-4</c:v>
                </c:pt>
                <c:pt idx="43">
                  <c:v>1.6233333333293129E-4</c:v>
                </c:pt>
                <c:pt idx="44">
                  <c:v>-4.910000000000192E-4</c:v>
                </c:pt>
                <c:pt idx="45">
                  <c:v>-3.9400000000000551E-4</c:v>
                </c:pt>
                <c:pt idx="46">
                  <c:v>3.5399999999996551E-4</c:v>
                </c:pt>
                <c:pt idx="47">
                  <c:v>-6.6666666666992391E-5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3940-4105-A1F4-42489B9445C9}"/>
            </c:ext>
          </c:extLst>
        </c:ser>
        <c:ser>
          <c:idx val="123"/>
          <c:order val="123"/>
          <c:tx>
            <c:v>BES_TR8_six1064_C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Net_kW!$DV$2:$DV$49</c:f>
              <c:numCache>
                <c:formatCode>#,##0.000</c:formatCode>
                <c:ptCount val="48"/>
                <c:pt idx="0">
                  <c:v>4.4599999999998813E-4</c:v>
                </c:pt>
                <c:pt idx="1">
                  <c:v>0</c:v>
                </c:pt>
                <c:pt idx="2">
                  <c:v>-1.6866666666701111E-4</c:v>
                </c:pt>
                <c:pt idx="3">
                  <c:v>3.4400000000001102E-4</c:v>
                </c:pt>
                <c:pt idx="4">
                  <c:v>1.179999999999931E-4</c:v>
                </c:pt>
                <c:pt idx="5">
                  <c:v>5.8333333332993842E-5</c:v>
                </c:pt>
                <c:pt idx="6">
                  <c:v>0</c:v>
                </c:pt>
                <c:pt idx="7">
                  <c:v>-2.2053419999967791E-4</c:v>
                </c:pt>
                <c:pt idx="8">
                  <c:v>1.047101999999966E-4</c:v>
                </c:pt>
                <c:pt idx="9">
                  <c:v>3.2961070000001041E-4</c:v>
                </c:pt>
                <c:pt idx="10">
                  <c:v>3.722612666659901E-4</c:v>
                </c:pt>
                <c:pt idx="11">
                  <c:v>-2.5116079999999361E-4</c:v>
                </c:pt>
                <c:pt idx="12">
                  <c:v>1.89351833333018E-4</c:v>
                </c:pt>
                <c:pt idx="13">
                  <c:v>-4.6495859999998168E-4</c:v>
                </c:pt>
                <c:pt idx="14">
                  <c:v>-4.4719703333340188E-4</c:v>
                </c:pt>
                <c:pt idx="15">
                  <c:v>-4.931891666659638E-4</c:v>
                </c:pt>
                <c:pt idx="16">
                  <c:v>-1.5834956666699321E-4</c:v>
                </c:pt>
                <c:pt idx="17">
                  <c:v>8.25999333330385E-5</c:v>
                </c:pt>
                <c:pt idx="18">
                  <c:v>-3.1684066666697042E-4</c:v>
                </c:pt>
                <c:pt idx="19">
                  <c:v>-8.1184866665917621E-5</c:v>
                </c:pt>
                <c:pt idx="20">
                  <c:v>3.5076423333302298E-4</c:v>
                </c:pt>
                <c:pt idx="21">
                  <c:v>-1.509469666671204E-4</c:v>
                </c:pt>
                <c:pt idx="22">
                  <c:v>7.0185500000041756E-5</c:v>
                </c:pt>
                <c:pt idx="23">
                  <c:v>-4.5867719999997952E-4</c:v>
                </c:pt>
                <c:pt idx="24">
                  <c:v>-2.9665599996953059E-5</c:v>
                </c:pt>
                <c:pt idx="25">
                  <c:v>4.7558200000002993E-4</c:v>
                </c:pt>
                <c:pt idx="26">
                  <c:v>-1.206205000000571E-4</c:v>
                </c:pt>
                <c:pt idx="27">
                  <c:v>7.75146666698312E-6</c:v>
                </c:pt>
                <c:pt idx="28">
                  <c:v>-1.3097330000011451E-4</c:v>
                </c:pt>
                <c:pt idx="29">
                  <c:v>4.211233999999453E-4</c:v>
                </c:pt>
                <c:pt idx="30">
                  <c:v>-4.8012370000000137E-4</c:v>
                </c:pt>
                <c:pt idx="31">
                  <c:v>-2.5829679999991861E-4</c:v>
                </c:pt>
                <c:pt idx="32">
                  <c:v>-1.2334766666693969E-4</c:v>
                </c:pt>
                <c:pt idx="33">
                  <c:v>-4.6548490000297699E-4</c:v>
                </c:pt>
                <c:pt idx="34">
                  <c:v>4.2040150000000048E-4</c:v>
                </c:pt>
                <c:pt idx="35">
                  <c:v>-4.4973863333304392E-4</c:v>
                </c:pt>
                <c:pt idx="36">
                  <c:v>2.314329999996978E-4</c:v>
                </c:pt>
                <c:pt idx="37">
                  <c:v>3.5698516666701757E-4</c:v>
                </c:pt>
                <c:pt idx="38">
                  <c:v>-1.158536000003263E-4</c:v>
                </c:pt>
                <c:pt idx="39">
                  <c:v>-4.0132043333297729E-4</c:v>
                </c:pt>
                <c:pt idx="40">
                  <c:v>4.9872260000033419E-4</c:v>
                </c:pt>
                <c:pt idx="41">
                  <c:v>3.5366666666659941E-4</c:v>
                </c:pt>
                <c:pt idx="42">
                  <c:v>-2.9333333333303457E-4</c:v>
                </c:pt>
                <c:pt idx="43">
                  <c:v>-3.8466666666614469E-4</c:v>
                </c:pt>
                <c:pt idx="44">
                  <c:v>5.2331000000000127E-2</c:v>
                </c:pt>
                <c:pt idx="45">
                  <c:v>0.35247366666666702</c:v>
                </c:pt>
                <c:pt idx="46">
                  <c:v>0.48569333333333398</c:v>
                </c:pt>
                <c:pt idx="47">
                  <c:v>0.56935199999999997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3940-4105-A1F4-42489B9445C9}"/>
            </c:ext>
          </c:extLst>
        </c:ser>
        <c:ser>
          <c:idx val="124"/>
          <c:order val="124"/>
          <c:tx>
            <c:v>self-consumption target (net = 0)</c:v>
          </c:tx>
          <c:spPr>
            <a:ln w="9525"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ChartData!$AB$2:$AB$49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3940-4105-A1F4-42489B9445C9}"/>
            </c:ext>
          </c:extLst>
        </c:ser>
        <c:ser>
          <c:idx val="125"/>
          <c:order val="125"/>
          <c:tx>
            <c:v>fleet average net</c:v>
          </c:tx>
          <c:spPr>
            <a:ln w="28575">
              <a:solidFill>
                <a:srgbClr val="111827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ChartData!$AC$2:$AC$49</c:f>
              <c:numCache>
                <c:formatCode>#,##0.000</c:formatCode>
                <c:ptCount val="48"/>
                <c:pt idx="0">
                  <c:v>3.9472849462363069E-4</c:v>
                </c:pt>
                <c:pt idx="1">
                  <c:v>2.0730435483870824E-3</c:v>
                </c:pt>
                <c:pt idx="2">
                  <c:v>3.635663172043016E-3</c:v>
                </c:pt>
                <c:pt idx="3">
                  <c:v>8.7793623655913755E-3</c:v>
                </c:pt>
                <c:pt idx="4">
                  <c:v>8.340806451612906E-3</c:v>
                </c:pt>
                <c:pt idx="5">
                  <c:v>6.9594725806452346E-3</c:v>
                </c:pt>
                <c:pt idx="6">
                  <c:v>8.2309758064516708E-3</c:v>
                </c:pt>
                <c:pt idx="7">
                  <c:v>1.7079979322849326E-2</c:v>
                </c:pt>
                <c:pt idx="8">
                  <c:v>6.9117909836022423E-3</c:v>
                </c:pt>
                <c:pt idx="9">
                  <c:v>2.5642458642492413E-4</c:v>
                </c:pt>
                <c:pt idx="10">
                  <c:v>-2.1419301882825113E-5</c:v>
                </c:pt>
                <c:pt idx="11">
                  <c:v>-1.5400902150041569E-5</c:v>
                </c:pt>
                <c:pt idx="12">
                  <c:v>7.531464981854156E-3</c:v>
                </c:pt>
                <c:pt idx="13">
                  <c:v>7.7886620971842624E-6</c:v>
                </c:pt>
                <c:pt idx="14">
                  <c:v>-5.5737743185468825E-4</c:v>
                </c:pt>
                <c:pt idx="15">
                  <c:v>-0.10433724919690709</c:v>
                </c:pt>
                <c:pt idx="16">
                  <c:v>-0.7837913832770218</c:v>
                </c:pt>
                <c:pt idx="17">
                  <c:v>-1.2748836905276864</c:v>
                </c:pt>
                <c:pt idx="18">
                  <c:v>-1.5563849439327968</c:v>
                </c:pt>
                <c:pt idx="19">
                  <c:v>-1.7760290647309098</c:v>
                </c:pt>
                <c:pt idx="20">
                  <c:v>-1.949042249825135</c:v>
                </c:pt>
                <c:pt idx="21">
                  <c:v>-2.10689618683696</c:v>
                </c:pt>
                <c:pt idx="22">
                  <c:v>-2.1893358846646507</c:v>
                </c:pt>
                <c:pt idx="23">
                  <c:v>-2.1979208267618291</c:v>
                </c:pt>
                <c:pt idx="24">
                  <c:v>-2.2035012615032277</c:v>
                </c:pt>
                <c:pt idx="25">
                  <c:v>-2.2898166077983872</c:v>
                </c:pt>
                <c:pt idx="26">
                  <c:v>-2.2815460270490604</c:v>
                </c:pt>
                <c:pt idx="27">
                  <c:v>-2.1804619775440846</c:v>
                </c:pt>
                <c:pt idx="28">
                  <c:v>-2.0509827837146477</c:v>
                </c:pt>
                <c:pt idx="29">
                  <c:v>-1.8995566176577967</c:v>
                </c:pt>
                <c:pt idx="30">
                  <c:v>-1.7717612690178779</c:v>
                </c:pt>
                <c:pt idx="31">
                  <c:v>-1.5646093814182842</c:v>
                </c:pt>
                <c:pt idx="32">
                  <c:v>-1.3627743844206981</c:v>
                </c:pt>
                <c:pt idx="33">
                  <c:v>-1.0780858483012088</c:v>
                </c:pt>
                <c:pt idx="34">
                  <c:v>-0.92442400963239246</c:v>
                </c:pt>
                <c:pt idx="35">
                  <c:v>-0.65190195420927388</c:v>
                </c:pt>
                <c:pt idx="36">
                  <c:v>-0.43494993234274304</c:v>
                </c:pt>
                <c:pt idx="37">
                  <c:v>-0.22673836499126354</c:v>
                </c:pt>
                <c:pt idx="38">
                  <c:v>-7.9041128616128997E-2</c:v>
                </c:pt>
                <c:pt idx="39">
                  <c:v>2.1440765162635267E-3</c:v>
                </c:pt>
                <c:pt idx="40">
                  <c:v>1.7507911063709414E-2</c:v>
                </c:pt>
                <c:pt idx="41">
                  <c:v>2.3941241397849478E-2</c:v>
                </c:pt>
                <c:pt idx="42">
                  <c:v>4.1445436021504967E-2</c:v>
                </c:pt>
                <c:pt idx="43">
                  <c:v>3.8081121236559157E-2</c:v>
                </c:pt>
                <c:pt idx="44">
                  <c:v>5.581044247311856E-2</c:v>
                </c:pt>
                <c:pt idx="45">
                  <c:v>5.6996430107526752E-2</c:v>
                </c:pt>
                <c:pt idx="46">
                  <c:v>5.8442638172042788E-2</c:v>
                </c:pt>
                <c:pt idx="47">
                  <c:v>4.3147403763440922E-2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3940-4105-A1F4-42489B944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3"/>
          <c:min val="-5.5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Net grid exchange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BES_TR8_one223_B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SOC_pct!$C$2:$C$49</c:f>
              <c:numCache>
                <c:formatCode>0.0</c:formatCode>
                <c:ptCount val="48"/>
                <c:pt idx="0">
                  <c:v>40</c:v>
                </c:pt>
                <c:pt idx="1">
                  <c:v>38.7712</c:v>
                </c:pt>
                <c:pt idx="2">
                  <c:v>38.2316</c:v>
                </c:pt>
                <c:pt idx="3">
                  <c:v>35.968800000000002</c:v>
                </c:pt>
                <c:pt idx="4">
                  <c:v>35.429200000000002</c:v>
                </c:pt>
                <c:pt idx="5">
                  <c:v>34.8035</c:v>
                </c:pt>
                <c:pt idx="6">
                  <c:v>32.626899999999999</c:v>
                </c:pt>
                <c:pt idx="7">
                  <c:v>32.087299999999999</c:v>
                </c:pt>
                <c:pt idx="8">
                  <c:v>30.621600000000001</c:v>
                </c:pt>
                <c:pt idx="9">
                  <c:v>29.618600000000001</c:v>
                </c:pt>
                <c:pt idx="10">
                  <c:v>30.446300000000001</c:v>
                </c:pt>
                <c:pt idx="11">
                  <c:v>32.565899999999999</c:v>
                </c:pt>
                <c:pt idx="12">
                  <c:v>34.718600000000002</c:v>
                </c:pt>
                <c:pt idx="13">
                  <c:v>40.150599999999997</c:v>
                </c:pt>
                <c:pt idx="14">
                  <c:v>47.3322</c:v>
                </c:pt>
                <c:pt idx="15">
                  <c:v>56.254199999999997</c:v>
                </c:pt>
                <c:pt idx="16">
                  <c:v>66.919300000000007</c:v>
                </c:pt>
                <c:pt idx="17">
                  <c:v>79.220399999999998</c:v>
                </c:pt>
                <c:pt idx="18">
                  <c:v>91.741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97.8613</c:v>
                </c:pt>
                <c:pt idx="42">
                  <c:v>97.321699999999993</c:v>
                </c:pt>
                <c:pt idx="43">
                  <c:v>95.231200000000001</c:v>
                </c:pt>
                <c:pt idx="44">
                  <c:v>94.519300000000001</c:v>
                </c:pt>
                <c:pt idx="45">
                  <c:v>90.963000000000008</c:v>
                </c:pt>
                <c:pt idx="46">
                  <c:v>68.166000000000011</c:v>
                </c:pt>
                <c:pt idx="47">
                  <c:v>61.084799999999987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2D-4180-AC85-4408F677BA26}"/>
            </c:ext>
          </c:extLst>
        </c:ser>
        <c:ser>
          <c:idx val="1"/>
          <c:order val="1"/>
          <c:tx>
            <c:v>BES_TR8_one252_C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SOC_pct!$D$2:$D$49</c:f>
              <c:numCache>
                <c:formatCode>0.0</c:formatCode>
                <c:ptCount val="48"/>
                <c:pt idx="0">
                  <c:v>40</c:v>
                </c:pt>
                <c:pt idx="1">
                  <c:v>39.385100000000001</c:v>
                </c:pt>
                <c:pt idx="2">
                  <c:v>36.391100000000002</c:v>
                </c:pt>
                <c:pt idx="3">
                  <c:v>35.776200000000003</c:v>
                </c:pt>
                <c:pt idx="4">
                  <c:v>33.214799999999997</c:v>
                </c:pt>
                <c:pt idx="5">
                  <c:v>32.167299999999997</c:v>
                </c:pt>
                <c:pt idx="6">
                  <c:v>31.552399999999999</c:v>
                </c:pt>
                <c:pt idx="7">
                  <c:v>29.856100000000001</c:v>
                </c:pt>
                <c:pt idx="8">
                  <c:v>27.970500000000001</c:v>
                </c:pt>
                <c:pt idx="9">
                  <c:v>27.745699999999999</c:v>
                </c:pt>
                <c:pt idx="10">
                  <c:v>26.575700000000001</c:v>
                </c:pt>
                <c:pt idx="11">
                  <c:v>29.2788</c:v>
                </c:pt>
                <c:pt idx="12">
                  <c:v>33.085999999999999</c:v>
                </c:pt>
                <c:pt idx="13">
                  <c:v>38.664299999999997</c:v>
                </c:pt>
                <c:pt idx="14">
                  <c:v>47.694899999999997</c:v>
                </c:pt>
                <c:pt idx="15">
                  <c:v>57.343800000000002</c:v>
                </c:pt>
                <c:pt idx="16">
                  <c:v>70.144899999999993</c:v>
                </c:pt>
                <c:pt idx="17">
                  <c:v>84.796199999999999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97.269099999999995</c:v>
                </c:pt>
                <c:pt idx="42">
                  <c:v>96.654200000000003</c:v>
                </c:pt>
                <c:pt idx="43">
                  <c:v>94.092799999999997</c:v>
                </c:pt>
                <c:pt idx="44">
                  <c:v>93.045299999999997</c:v>
                </c:pt>
                <c:pt idx="45">
                  <c:v>92.430500000000009</c:v>
                </c:pt>
                <c:pt idx="46">
                  <c:v>91.815600000000003</c:v>
                </c:pt>
                <c:pt idx="47">
                  <c:v>88.821600000000004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2D-4180-AC85-4408F677BA26}"/>
            </c:ext>
          </c:extLst>
        </c:ser>
        <c:ser>
          <c:idx val="2"/>
          <c:order val="2"/>
          <c:tx>
            <c:v>BES_TR8_one280_A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SOC_pct!$E$2:$E$49</c:f>
              <c:numCache>
                <c:formatCode>0.0</c:formatCode>
                <c:ptCount val="48"/>
                <c:pt idx="0">
                  <c:v>40</c:v>
                </c:pt>
                <c:pt idx="1">
                  <c:v>39.314500000000002</c:v>
                </c:pt>
                <c:pt idx="2">
                  <c:v>37.729500000000002</c:v>
                </c:pt>
                <c:pt idx="3">
                  <c:v>36.938800000000001</c:v>
                </c:pt>
                <c:pt idx="4">
                  <c:v>36.2988</c:v>
                </c:pt>
                <c:pt idx="5">
                  <c:v>35.658799999999999</c:v>
                </c:pt>
                <c:pt idx="6">
                  <c:v>35.018799999999999</c:v>
                </c:pt>
                <c:pt idx="7">
                  <c:v>34.378900000000002</c:v>
                </c:pt>
                <c:pt idx="8">
                  <c:v>33.765900000000002</c:v>
                </c:pt>
                <c:pt idx="9">
                  <c:v>33.515999999999998</c:v>
                </c:pt>
                <c:pt idx="10">
                  <c:v>34.581699999999998</c:v>
                </c:pt>
                <c:pt idx="11">
                  <c:v>37.2622</c:v>
                </c:pt>
                <c:pt idx="12">
                  <c:v>41.922800000000002</c:v>
                </c:pt>
                <c:pt idx="13">
                  <c:v>48.7438</c:v>
                </c:pt>
                <c:pt idx="14">
                  <c:v>57.751800000000003</c:v>
                </c:pt>
                <c:pt idx="15">
                  <c:v>68.935500000000005</c:v>
                </c:pt>
                <c:pt idx="16">
                  <c:v>82.297899999999998</c:v>
                </c:pt>
                <c:pt idx="17">
                  <c:v>97.705299999999994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99.515000000000001</c:v>
                </c:pt>
                <c:pt idx="42">
                  <c:v>98.875100000000003</c:v>
                </c:pt>
                <c:pt idx="43">
                  <c:v>98.235100000000003</c:v>
                </c:pt>
                <c:pt idx="44">
                  <c:v>96.953000000000003</c:v>
                </c:pt>
                <c:pt idx="45">
                  <c:v>96.313000000000002</c:v>
                </c:pt>
                <c:pt idx="46">
                  <c:v>95.673000000000002</c:v>
                </c:pt>
                <c:pt idx="47">
                  <c:v>95.033100000000005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2D-4180-AC85-4408F677BA26}"/>
            </c:ext>
          </c:extLst>
        </c:ser>
        <c:ser>
          <c:idx val="3"/>
          <c:order val="3"/>
          <c:tx>
            <c:v>BES_TR8_one313_A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SOC_pct!$F$2:$F$49</c:f>
              <c:numCache>
                <c:formatCode>0.0</c:formatCode>
                <c:ptCount val="48"/>
                <c:pt idx="0">
                  <c:v>40</c:v>
                </c:pt>
                <c:pt idx="1">
                  <c:v>39.259599999999999</c:v>
                </c:pt>
                <c:pt idx="2">
                  <c:v>38.519300000000001</c:v>
                </c:pt>
                <c:pt idx="3">
                  <c:v>37.7789</c:v>
                </c:pt>
                <c:pt idx="4">
                  <c:v>37.038600000000002</c:v>
                </c:pt>
                <c:pt idx="5">
                  <c:v>36.298200000000001</c:v>
                </c:pt>
                <c:pt idx="6">
                  <c:v>35.5578</c:v>
                </c:pt>
                <c:pt idx="7">
                  <c:v>34.817500000000003</c:v>
                </c:pt>
                <c:pt idx="8">
                  <c:v>34.098700000000001</c:v>
                </c:pt>
                <c:pt idx="9">
                  <c:v>33.670400000000001</c:v>
                </c:pt>
                <c:pt idx="10">
                  <c:v>34.317399999999999</c:v>
                </c:pt>
                <c:pt idx="11">
                  <c:v>36.2562</c:v>
                </c:pt>
                <c:pt idx="12">
                  <c:v>39.779200000000003</c:v>
                </c:pt>
                <c:pt idx="13">
                  <c:v>45.0304</c:v>
                </c:pt>
                <c:pt idx="14">
                  <c:v>52.031300000000002</c:v>
                </c:pt>
                <c:pt idx="15">
                  <c:v>60.7727</c:v>
                </c:pt>
                <c:pt idx="16">
                  <c:v>71.257099999999994</c:v>
                </c:pt>
                <c:pt idx="17">
                  <c:v>77.756900000000002</c:v>
                </c:pt>
                <c:pt idx="18">
                  <c:v>85.726500000000001</c:v>
                </c:pt>
                <c:pt idx="19">
                  <c:v>81.441699999999997</c:v>
                </c:pt>
                <c:pt idx="20">
                  <c:v>93.088000000000008</c:v>
                </c:pt>
                <c:pt idx="21">
                  <c:v>98.161799999999999</c:v>
                </c:pt>
                <c:pt idx="22">
                  <c:v>100</c:v>
                </c:pt>
                <c:pt idx="23">
                  <c:v>95.324799999999996</c:v>
                </c:pt>
                <c:pt idx="24">
                  <c:v>58.613400000000013</c:v>
                </c:pt>
                <c:pt idx="25">
                  <c:v>71.76639999999999</c:v>
                </c:pt>
                <c:pt idx="26">
                  <c:v>90.403400000000005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97.853400000000008</c:v>
                </c:pt>
                <c:pt idx="41">
                  <c:v>89.658699999999996</c:v>
                </c:pt>
                <c:pt idx="42">
                  <c:v>81.864199999999997</c:v>
                </c:pt>
                <c:pt idx="43">
                  <c:v>74.495900000000006</c:v>
                </c:pt>
                <c:pt idx="44">
                  <c:v>67.581599999999995</c:v>
                </c:pt>
                <c:pt idx="45">
                  <c:v>66.841200000000001</c:v>
                </c:pt>
                <c:pt idx="46">
                  <c:v>66.100800000000007</c:v>
                </c:pt>
                <c:pt idx="47">
                  <c:v>65.360500000000002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2D-4180-AC85-4408F677BA26}"/>
            </c:ext>
          </c:extLst>
        </c:ser>
        <c:ser>
          <c:idx val="4"/>
          <c:order val="4"/>
          <c:tx>
            <c:v>BES_TR8_one321_C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SOC_pct!$G$2:$G$49</c:f>
              <c:numCache>
                <c:formatCode>0.0</c:formatCode>
                <c:ptCount val="48"/>
                <c:pt idx="0">
                  <c:v>40</c:v>
                </c:pt>
                <c:pt idx="1">
                  <c:v>39.410200000000003</c:v>
                </c:pt>
                <c:pt idx="2">
                  <c:v>38.820399999999999</c:v>
                </c:pt>
                <c:pt idx="3">
                  <c:v>38.230699999999999</c:v>
                </c:pt>
                <c:pt idx="4">
                  <c:v>37.640900000000002</c:v>
                </c:pt>
                <c:pt idx="5">
                  <c:v>37.051099999999998</c:v>
                </c:pt>
                <c:pt idx="6">
                  <c:v>36.461300000000001</c:v>
                </c:pt>
                <c:pt idx="7">
                  <c:v>35.871499999999997</c:v>
                </c:pt>
                <c:pt idx="8">
                  <c:v>19.178999999999998</c:v>
                </c:pt>
                <c:pt idx="9">
                  <c:v>19.209900000000001</c:v>
                </c:pt>
                <c:pt idx="10">
                  <c:v>21.305800000000001</c:v>
                </c:pt>
                <c:pt idx="11">
                  <c:v>25.985399999999998</c:v>
                </c:pt>
                <c:pt idx="12">
                  <c:v>33.324100000000001</c:v>
                </c:pt>
                <c:pt idx="13">
                  <c:v>44.371300000000012</c:v>
                </c:pt>
                <c:pt idx="14">
                  <c:v>59.174899999999987</c:v>
                </c:pt>
                <c:pt idx="15">
                  <c:v>77.459500000000006</c:v>
                </c:pt>
                <c:pt idx="16">
                  <c:v>99.230199999999996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95.772599999999997</c:v>
                </c:pt>
                <c:pt idx="42">
                  <c:v>93.086699999999993</c:v>
                </c:pt>
                <c:pt idx="43">
                  <c:v>88.683599999999998</c:v>
                </c:pt>
                <c:pt idx="44">
                  <c:v>82.020400000000009</c:v>
                </c:pt>
                <c:pt idx="45">
                  <c:v>77.528599999999997</c:v>
                </c:pt>
                <c:pt idx="46">
                  <c:v>76.938800000000001</c:v>
                </c:pt>
                <c:pt idx="47">
                  <c:v>76.349000000000004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42D-4180-AC85-4408F677BA26}"/>
            </c:ext>
          </c:extLst>
        </c:ser>
        <c:ser>
          <c:idx val="5"/>
          <c:order val="5"/>
          <c:tx>
            <c:v>BES_TR8_one345_A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SOC_pct!$H$2:$H$49</c:f>
              <c:numCache>
                <c:formatCode>0.0</c:formatCode>
                <c:ptCount val="48"/>
                <c:pt idx="0">
                  <c:v>40</c:v>
                </c:pt>
                <c:pt idx="1">
                  <c:v>38.113</c:v>
                </c:pt>
                <c:pt idx="2">
                  <c:v>36.760399999999997</c:v>
                </c:pt>
                <c:pt idx="3">
                  <c:v>35.5349</c:v>
                </c:pt>
                <c:pt idx="4">
                  <c:v>34.179299999999998</c:v>
                </c:pt>
                <c:pt idx="5">
                  <c:v>32.227200000000003</c:v>
                </c:pt>
                <c:pt idx="6">
                  <c:v>29.6386</c:v>
                </c:pt>
                <c:pt idx="7">
                  <c:v>28.9986</c:v>
                </c:pt>
                <c:pt idx="8">
                  <c:v>25.141100000000002</c:v>
                </c:pt>
                <c:pt idx="9">
                  <c:v>25.1252</c:v>
                </c:pt>
                <c:pt idx="10">
                  <c:v>26.004799999999999</c:v>
                </c:pt>
                <c:pt idx="11">
                  <c:v>30.559000000000001</c:v>
                </c:pt>
                <c:pt idx="12">
                  <c:v>36.677999999999997</c:v>
                </c:pt>
                <c:pt idx="13">
                  <c:v>47.5274</c:v>
                </c:pt>
                <c:pt idx="14">
                  <c:v>60.001399999999997</c:v>
                </c:pt>
                <c:pt idx="15">
                  <c:v>77.590400000000002</c:v>
                </c:pt>
                <c:pt idx="16">
                  <c:v>98.153800000000004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97.336999999999989</c:v>
                </c:pt>
                <c:pt idx="41">
                  <c:v>90.714200000000005</c:v>
                </c:pt>
                <c:pt idx="42">
                  <c:v>64.932000000000002</c:v>
                </c:pt>
                <c:pt idx="43">
                  <c:v>61.118699999999997</c:v>
                </c:pt>
                <c:pt idx="44">
                  <c:v>56.790599999999998</c:v>
                </c:pt>
                <c:pt idx="45">
                  <c:v>53.835599999999992</c:v>
                </c:pt>
                <c:pt idx="46">
                  <c:v>51.630200000000002</c:v>
                </c:pt>
                <c:pt idx="47">
                  <c:v>50.2746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42D-4180-AC85-4408F677BA26}"/>
            </c:ext>
          </c:extLst>
        </c:ser>
        <c:ser>
          <c:idx val="6"/>
          <c:order val="6"/>
          <c:tx>
            <c:v>BES_TR8_one375_C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SOC_pct!$I$2:$I$49</c:f>
              <c:numCache>
                <c:formatCode>0.0</c:formatCode>
                <c:ptCount val="48"/>
                <c:pt idx="0">
                  <c:v>40</c:v>
                </c:pt>
                <c:pt idx="1">
                  <c:v>38.345100000000002</c:v>
                </c:pt>
                <c:pt idx="2">
                  <c:v>35.289200000000001</c:v>
                </c:pt>
                <c:pt idx="3">
                  <c:v>34.624099999999999</c:v>
                </c:pt>
                <c:pt idx="4">
                  <c:v>32.349499999999999</c:v>
                </c:pt>
                <c:pt idx="5">
                  <c:v>29.9133</c:v>
                </c:pt>
                <c:pt idx="6">
                  <c:v>29.1996</c:v>
                </c:pt>
                <c:pt idx="7">
                  <c:v>27.707100000000001</c:v>
                </c:pt>
                <c:pt idx="8">
                  <c:v>24.5806</c:v>
                </c:pt>
                <c:pt idx="9">
                  <c:v>24.5396</c:v>
                </c:pt>
                <c:pt idx="10">
                  <c:v>24.9009</c:v>
                </c:pt>
                <c:pt idx="11">
                  <c:v>28.136800000000001</c:v>
                </c:pt>
                <c:pt idx="12">
                  <c:v>35.916800000000002</c:v>
                </c:pt>
                <c:pt idx="13">
                  <c:v>47.153500000000001</c:v>
                </c:pt>
                <c:pt idx="14">
                  <c:v>60.089499999999987</c:v>
                </c:pt>
                <c:pt idx="15">
                  <c:v>77.063400000000001</c:v>
                </c:pt>
                <c:pt idx="16">
                  <c:v>98.766300000000001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94.629499999999993</c:v>
                </c:pt>
                <c:pt idx="41">
                  <c:v>88.706400000000002</c:v>
                </c:pt>
                <c:pt idx="42">
                  <c:v>57.227700000000013</c:v>
                </c:pt>
                <c:pt idx="43">
                  <c:v>46.607300000000002</c:v>
                </c:pt>
                <c:pt idx="44">
                  <c:v>40.786000000000001</c:v>
                </c:pt>
                <c:pt idx="45">
                  <c:v>33.735599999999998</c:v>
                </c:pt>
                <c:pt idx="46">
                  <c:v>29.453199999999999</c:v>
                </c:pt>
                <c:pt idx="47">
                  <c:v>21.7744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42D-4180-AC85-4408F677BA26}"/>
            </c:ext>
          </c:extLst>
        </c:ser>
        <c:ser>
          <c:idx val="7"/>
          <c:order val="7"/>
          <c:tx>
            <c:v>BES_TR8_one410_B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SOC_pct!$J$2:$J$49</c:f>
              <c:numCache>
                <c:formatCode>0.0</c:formatCode>
                <c:ptCount val="48"/>
                <c:pt idx="0">
                  <c:v>40</c:v>
                </c:pt>
                <c:pt idx="1">
                  <c:v>36.797400000000003</c:v>
                </c:pt>
                <c:pt idx="2">
                  <c:v>36.4084</c:v>
                </c:pt>
                <c:pt idx="3">
                  <c:v>36.019399999999997</c:v>
                </c:pt>
                <c:pt idx="4">
                  <c:v>33.915599999999998</c:v>
                </c:pt>
                <c:pt idx="5">
                  <c:v>32.128</c:v>
                </c:pt>
                <c:pt idx="6">
                  <c:v>30.803699999999999</c:v>
                </c:pt>
                <c:pt idx="7">
                  <c:v>29.235700000000001</c:v>
                </c:pt>
                <c:pt idx="8">
                  <c:v>27.880099999999999</c:v>
                </c:pt>
                <c:pt idx="9">
                  <c:v>27.023800000000001</c:v>
                </c:pt>
                <c:pt idx="10">
                  <c:v>26.645700000000001</c:v>
                </c:pt>
                <c:pt idx="11">
                  <c:v>30.203299999999999</c:v>
                </c:pt>
                <c:pt idx="12">
                  <c:v>34.593800000000002</c:v>
                </c:pt>
                <c:pt idx="13">
                  <c:v>42.8504</c:v>
                </c:pt>
                <c:pt idx="14">
                  <c:v>49.059100000000001</c:v>
                </c:pt>
                <c:pt idx="15">
                  <c:v>62.190800000000003</c:v>
                </c:pt>
                <c:pt idx="16">
                  <c:v>70.831800000000001</c:v>
                </c:pt>
                <c:pt idx="17">
                  <c:v>69.402000000000001</c:v>
                </c:pt>
                <c:pt idx="18">
                  <c:v>90.256299999999996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96.902000000000001</c:v>
                </c:pt>
                <c:pt idx="41">
                  <c:v>92.899100000000004</c:v>
                </c:pt>
                <c:pt idx="42">
                  <c:v>89.838799999999992</c:v>
                </c:pt>
                <c:pt idx="43">
                  <c:v>81.650400000000005</c:v>
                </c:pt>
                <c:pt idx="44">
                  <c:v>74.263199999999998</c:v>
                </c:pt>
                <c:pt idx="45">
                  <c:v>69.084100000000007</c:v>
                </c:pt>
                <c:pt idx="46">
                  <c:v>66.613199999999992</c:v>
                </c:pt>
                <c:pt idx="47">
                  <c:v>64.823399999999992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42D-4180-AC85-4408F677BA26}"/>
            </c:ext>
          </c:extLst>
        </c:ser>
        <c:ser>
          <c:idx val="8"/>
          <c:order val="8"/>
          <c:tx>
            <c:v>BES_TR8_one416_C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SOC_pct!$K$2:$K$49</c:f>
              <c:numCache>
                <c:formatCode>0.0</c:formatCode>
                <c:ptCount val="48"/>
                <c:pt idx="0">
                  <c:v>40</c:v>
                </c:pt>
                <c:pt idx="1">
                  <c:v>37.761699999999998</c:v>
                </c:pt>
                <c:pt idx="2">
                  <c:v>35.5428</c:v>
                </c:pt>
                <c:pt idx="3">
                  <c:v>34.5227</c:v>
                </c:pt>
                <c:pt idx="4">
                  <c:v>32.284300000000002</c:v>
                </c:pt>
                <c:pt idx="5">
                  <c:v>31.6067</c:v>
                </c:pt>
                <c:pt idx="6">
                  <c:v>27.9604</c:v>
                </c:pt>
                <c:pt idx="7">
                  <c:v>26.806999999999999</c:v>
                </c:pt>
                <c:pt idx="8">
                  <c:v>24.3279</c:v>
                </c:pt>
                <c:pt idx="9">
                  <c:v>22.340900000000001</c:v>
                </c:pt>
                <c:pt idx="10">
                  <c:v>23.0444</c:v>
                </c:pt>
                <c:pt idx="11">
                  <c:v>21.816800000000001</c:v>
                </c:pt>
                <c:pt idx="12">
                  <c:v>25.3962</c:v>
                </c:pt>
                <c:pt idx="13">
                  <c:v>30.212299999999999</c:v>
                </c:pt>
                <c:pt idx="14">
                  <c:v>34.661200000000001</c:v>
                </c:pt>
                <c:pt idx="15">
                  <c:v>43.3185</c:v>
                </c:pt>
                <c:pt idx="16">
                  <c:v>52.595199999999998</c:v>
                </c:pt>
                <c:pt idx="17">
                  <c:v>62.834200000000003</c:v>
                </c:pt>
                <c:pt idx="18">
                  <c:v>70.078199999999995</c:v>
                </c:pt>
                <c:pt idx="19">
                  <c:v>83.252499999999998</c:v>
                </c:pt>
                <c:pt idx="20">
                  <c:v>97.770800000000008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93.890900000000002</c:v>
                </c:pt>
                <c:pt idx="41">
                  <c:v>86.617100000000008</c:v>
                </c:pt>
                <c:pt idx="42">
                  <c:v>76.529499999999999</c:v>
                </c:pt>
                <c:pt idx="43">
                  <c:v>69.020300000000006</c:v>
                </c:pt>
                <c:pt idx="44">
                  <c:v>60.196899999999999</c:v>
                </c:pt>
                <c:pt idx="45">
                  <c:v>53.9208</c:v>
                </c:pt>
                <c:pt idx="46">
                  <c:v>50.444400000000002</c:v>
                </c:pt>
                <c:pt idx="47">
                  <c:v>45.577199999999998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42D-4180-AC85-4408F677BA26}"/>
            </c:ext>
          </c:extLst>
        </c:ser>
        <c:ser>
          <c:idx val="9"/>
          <c:order val="9"/>
          <c:tx>
            <c:v>BES_TR8_one423_B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SOC_pct!$L$2:$L$49</c:f>
              <c:numCache>
                <c:formatCode>0.0</c:formatCode>
                <c:ptCount val="48"/>
                <c:pt idx="0">
                  <c:v>40</c:v>
                </c:pt>
                <c:pt idx="1">
                  <c:v>38.005299999999998</c:v>
                </c:pt>
                <c:pt idx="2">
                  <c:v>37.365400000000001</c:v>
                </c:pt>
                <c:pt idx="3">
                  <c:v>35.131700000000002</c:v>
                </c:pt>
                <c:pt idx="4">
                  <c:v>34.491699999999987</c:v>
                </c:pt>
                <c:pt idx="5">
                  <c:v>33.533000000000001</c:v>
                </c:pt>
                <c:pt idx="6">
                  <c:v>31.617999999999999</c:v>
                </c:pt>
                <c:pt idx="7">
                  <c:v>30.898299999999999</c:v>
                </c:pt>
                <c:pt idx="8">
                  <c:v>28.776700000000002</c:v>
                </c:pt>
                <c:pt idx="9">
                  <c:v>28.604800000000001</c:v>
                </c:pt>
                <c:pt idx="10">
                  <c:v>28.559899999999999</c:v>
                </c:pt>
                <c:pt idx="11">
                  <c:v>31.8917</c:v>
                </c:pt>
                <c:pt idx="12">
                  <c:v>37.599600000000002</c:v>
                </c:pt>
                <c:pt idx="13">
                  <c:v>44.465700000000012</c:v>
                </c:pt>
                <c:pt idx="14">
                  <c:v>55.390500000000003</c:v>
                </c:pt>
                <c:pt idx="15">
                  <c:v>67.491599999999991</c:v>
                </c:pt>
                <c:pt idx="16">
                  <c:v>83.6417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99.564899999999994</c:v>
                </c:pt>
                <c:pt idx="39">
                  <c:v>97.121099999999998</c:v>
                </c:pt>
                <c:pt idx="40">
                  <c:v>89.040800000000004</c:v>
                </c:pt>
                <c:pt idx="41">
                  <c:v>75.384100000000004</c:v>
                </c:pt>
                <c:pt idx="42">
                  <c:v>66.3018</c:v>
                </c:pt>
                <c:pt idx="43">
                  <c:v>58.184399999999997</c:v>
                </c:pt>
                <c:pt idx="44">
                  <c:v>51.902900000000002</c:v>
                </c:pt>
                <c:pt idx="45">
                  <c:v>45.5837</c:v>
                </c:pt>
                <c:pt idx="46">
                  <c:v>35.299900000000001</c:v>
                </c:pt>
                <c:pt idx="47">
                  <c:v>31.604600000000001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42D-4180-AC85-4408F677BA26}"/>
            </c:ext>
          </c:extLst>
        </c:ser>
        <c:ser>
          <c:idx val="10"/>
          <c:order val="10"/>
          <c:tx>
            <c:v>BES_TR8_one446_B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SOC_pct!$M$2:$M$49</c:f>
              <c:numCache>
                <c:formatCode>0.0</c:formatCode>
                <c:ptCount val="48"/>
                <c:pt idx="0">
                  <c:v>40</c:v>
                </c:pt>
                <c:pt idx="1">
                  <c:v>37.922199999999997</c:v>
                </c:pt>
                <c:pt idx="2">
                  <c:v>37.319899999999997</c:v>
                </c:pt>
                <c:pt idx="3">
                  <c:v>35.242100000000001</c:v>
                </c:pt>
                <c:pt idx="4">
                  <c:v>34.639800000000001</c:v>
                </c:pt>
                <c:pt idx="5">
                  <c:v>34.037500000000001</c:v>
                </c:pt>
                <c:pt idx="6">
                  <c:v>33.435099999999998</c:v>
                </c:pt>
                <c:pt idx="7">
                  <c:v>31.357299999999999</c:v>
                </c:pt>
                <c:pt idx="8">
                  <c:v>30.798200000000001</c:v>
                </c:pt>
                <c:pt idx="9">
                  <c:v>30.817799999999998</c:v>
                </c:pt>
                <c:pt idx="10">
                  <c:v>32.9024</c:v>
                </c:pt>
                <c:pt idx="11">
                  <c:v>36.641100000000002</c:v>
                </c:pt>
                <c:pt idx="12">
                  <c:v>44.0792</c:v>
                </c:pt>
                <c:pt idx="13">
                  <c:v>55.372300000000003</c:v>
                </c:pt>
                <c:pt idx="14">
                  <c:v>68.836600000000004</c:v>
                </c:pt>
                <c:pt idx="15">
                  <c:v>86.959100000000007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96.86160000000001</c:v>
                </c:pt>
                <c:pt idx="41">
                  <c:v>95.179299999999998</c:v>
                </c:pt>
                <c:pt idx="42">
                  <c:v>93.590599999999995</c:v>
                </c:pt>
                <c:pt idx="43">
                  <c:v>90.343099999999993</c:v>
                </c:pt>
                <c:pt idx="44">
                  <c:v>88.428600000000003</c:v>
                </c:pt>
                <c:pt idx="45">
                  <c:v>86.012299999999996</c:v>
                </c:pt>
                <c:pt idx="46">
                  <c:v>83.192099999999996</c:v>
                </c:pt>
                <c:pt idx="47">
                  <c:v>80.5809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42D-4180-AC85-4408F677BA26}"/>
            </c:ext>
          </c:extLst>
        </c:ser>
        <c:ser>
          <c:idx val="11"/>
          <c:order val="11"/>
          <c:tx>
            <c:v>BES_TR8_one469_A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SOC_pct!$N$2:$N$49</c:f>
              <c:numCache>
                <c:formatCode>0.0</c:formatCode>
                <c:ptCount val="48"/>
                <c:pt idx="0">
                  <c:v>40</c:v>
                </c:pt>
                <c:pt idx="1">
                  <c:v>37.206600000000002</c:v>
                </c:pt>
                <c:pt idx="2">
                  <c:v>34.888100000000001</c:v>
                </c:pt>
                <c:pt idx="3">
                  <c:v>34.298299999999998</c:v>
                </c:pt>
                <c:pt idx="4">
                  <c:v>33.132300000000001</c:v>
                </c:pt>
                <c:pt idx="5">
                  <c:v>31.0059</c:v>
                </c:pt>
                <c:pt idx="6">
                  <c:v>30.4162</c:v>
                </c:pt>
                <c:pt idx="7">
                  <c:v>29.8264</c:v>
                </c:pt>
                <c:pt idx="8">
                  <c:v>28.657399999999999</c:v>
                </c:pt>
                <c:pt idx="9">
                  <c:v>27.059100000000001</c:v>
                </c:pt>
                <c:pt idx="10">
                  <c:v>29.155000000000001</c:v>
                </c:pt>
                <c:pt idx="11">
                  <c:v>31.9329</c:v>
                </c:pt>
                <c:pt idx="12">
                  <c:v>39.780700000000003</c:v>
                </c:pt>
                <c:pt idx="13">
                  <c:v>51.085099999999997</c:v>
                </c:pt>
                <c:pt idx="14">
                  <c:v>65.712800000000001</c:v>
                </c:pt>
                <c:pt idx="15">
                  <c:v>82.047499999999999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93.882500000000007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81.910700000000006</c:v>
                </c:pt>
                <c:pt idx="41">
                  <c:v>61.791899999999998</c:v>
                </c:pt>
                <c:pt idx="42">
                  <c:v>48.566000000000003</c:v>
                </c:pt>
                <c:pt idx="43">
                  <c:v>40.211399999999998</c:v>
                </c:pt>
                <c:pt idx="44">
                  <c:v>34.801299999999998</c:v>
                </c:pt>
                <c:pt idx="45">
                  <c:v>32.963000000000001</c:v>
                </c:pt>
                <c:pt idx="46">
                  <c:v>32.3733</c:v>
                </c:pt>
                <c:pt idx="47">
                  <c:v>30.0548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42D-4180-AC85-4408F677BA26}"/>
            </c:ext>
          </c:extLst>
        </c:ser>
        <c:ser>
          <c:idx val="12"/>
          <c:order val="12"/>
          <c:tx>
            <c:v>BES_TR8_one477_A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SOC_pct!$O$2:$O$49</c:f>
              <c:numCache>
                <c:formatCode>0.0</c:formatCode>
                <c:ptCount val="48"/>
                <c:pt idx="0">
                  <c:v>40</c:v>
                </c:pt>
                <c:pt idx="1">
                  <c:v>33.347700000000003</c:v>
                </c:pt>
                <c:pt idx="2">
                  <c:v>24.228100000000001</c:v>
                </c:pt>
                <c:pt idx="3">
                  <c:v>22.613900000000001</c:v>
                </c:pt>
                <c:pt idx="4">
                  <c:v>20.706299999999999</c:v>
                </c:pt>
                <c:pt idx="5">
                  <c:v>18.226600000000001</c:v>
                </c:pt>
                <c:pt idx="6">
                  <c:v>16.607500000000002</c:v>
                </c:pt>
                <c:pt idx="7">
                  <c:v>11.9307</c:v>
                </c:pt>
                <c:pt idx="8">
                  <c:v>10</c:v>
                </c:pt>
                <c:pt idx="9">
                  <c:v>10</c:v>
                </c:pt>
                <c:pt idx="10">
                  <c:v>11.4594</c:v>
                </c:pt>
                <c:pt idx="11">
                  <c:v>14.1784</c:v>
                </c:pt>
                <c:pt idx="12">
                  <c:v>21.9696</c:v>
                </c:pt>
                <c:pt idx="13">
                  <c:v>30.7334</c:v>
                </c:pt>
                <c:pt idx="14">
                  <c:v>45.190600000000003</c:v>
                </c:pt>
                <c:pt idx="15">
                  <c:v>62.553199999999997</c:v>
                </c:pt>
                <c:pt idx="16">
                  <c:v>83.228700000000003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98.132499999999993</c:v>
                </c:pt>
                <c:pt idx="40">
                  <c:v>96.374099999999999</c:v>
                </c:pt>
                <c:pt idx="41">
                  <c:v>89.749800000000008</c:v>
                </c:pt>
                <c:pt idx="42">
                  <c:v>81.472200000000001</c:v>
                </c:pt>
                <c:pt idx="43">
                  <c:v>78.816900000000004</c:v>
                </c:pt>
                <c:pt idx="44">
                  <c:v>74.810299999999998</c:v>
                </c:pt>
                <c:pt idx="45">
                  <c:v>68.920199999999994</c:v>
                </c:pt>
                <c:pt idx="46">
                  <c:v>67.015199999999993</c:v>
                </c:pt>
                <c:pt idx="47">
                  <c:v>63.964799999999997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42D-4180-AC85-4408F677BA26}"/>
            </c:ext>
          </c:extLst>
        </c:ser>
        <c:ser>
          <c:idx val="13"/>
          <c:order val="13"/>
          <c:tx>
            <c:v>BES_TR8_one482_B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SOC_pct!$P$2:$P$49</c:f>
              <c:numCache>
                <c:formatCode>0.0</c:formatCode>
                <c:ptCount val="48"/>
                <c:pt idx="0">
                  <c:v>40</c:v>
                </c:pt>
                <c:pt idx="1">
                  <c:v>37.742699999999999</c:v>
                </c:pt>
                <c:pt idx="2">
                  <c:v>37.177999999999997</c:v>
                </c:pt>
                <c:pt idx="3">
                  <c:v>34.422800000000002</c:v>
                </c:pt>
                <c:pt idx="4">
                  <c:v>32.906599999999997</c:v>
                </c:pt>
                <c:pt idx="5">
                  <c:v>32.341900000000003</c:v>
                </c:pt>
                <c:pt idx="6">
                  <c:v>30.482800000000001</c:v>
                </c:pt>
                <c:pt idx="7">
                  <c:v>29.021999999999998</c:v>
                </c:pt>
                <c:pt idx="8">
                  <c:v>27.157699999999998</c:v>
                </c:pt>
                <c:pt idx="9">
                  <c:v>25.334499999999998</c:v>
                </c:pt>
                <c:pt idx="10">
                  <c:v>26.411000000000001</c:v>
                </c:pt>
                <c:pt idx="11">
                  <c:v>30.319099999999999</c:v>
                </c:pt>
                <c:pt idx="12">
                  <c:v>37.142200000000003</c:v>
                </c:pt>
                <c:pt idx="13">
                  <c:v>43.026499999999999</c:v>
                </c:pt>
                <c:pt idx="14">
                  <c:v>54.141399999999997</c:v>
                </c:pt>
                <c:pt idx="15">
                  <c:v>67.246300000000005</c:v>
                </c:pt>
                <c:pt idx="16">
                  <c:v>85.752600000000001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99.450199999999995</c:v>
                </c:pt>
                <c:pt idx="39">
                  <c:v>95.206900000000005</c:v>
                </c:pt>
                <c:pt idx="40">
                  <c:v>88.59559999999999</c:v>
                </c:pt>
                <c:pt idx="41">
                  <c:v>82.474899999999991</c:v>
                </c:pt>
                <c:pt idx="42">
                  <c:v>75.403199999999998</c:v>
                </c:pt>
                <c:pt idx="43">
                  <c:v>70.366500000000002</c:v>
                </c:pt>
                <c:pt idx="44">
                  <c:v>63.596499999999999</c:v>
                </c:pt>
                <c:pt idx="45">
                  <c:v>52.603599999999993</c:v>
                </c:pt>
                <c:pt idx="46">
                  <c:v>45.264099999999999</c:v>
                </c:pt>
                <c:pt idx="47">
                  <c:v>41.557400000000001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42D-4180-AC85-4408F677BA26}"/>
            </c:ext>
          </c:extLst>
        </c:ser>
        <c:ser>
          <c:idx val="14"/>
          <c:order val="14"/>
          <c:tx>
            <c:v>BES_TR8_one61_A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SOC_pct!$Q$2:$Q$49</c:f>
              <c:numCache>
                <c:formatCode>0.0</c:formatCode>
                <c:ptCount val="48"/>
                <c:pt idx="0">
                  <c:v>40</c:v>
                </c:pt>
                <c:pt idx="1">
                  <c:v>39.054499999999997</c:v>
                </c:pt>
                <c:pt idx="2">
                  <c:v>37.413200000000003</c:v>
                </c:pt>
                <c:pt idx="3">
                  <c:v>35.224299999999999</c:v>
                </c:pt>
                <c:pt idx="4">
                  <c:v>33.592399999999998</c:v>
                </c:pt>
                <c:pt idx="5">
                  <c:v>31.491700000000002</c:v>
                </c:pt>
                <c:pt idx="6">
                  <c:v>29.819400000000002</c:v>
                </c:pt>
                <c:pt idx="7">
                  <c:v>28.816700000000001</c:v>
                </c:pt>
                <c:pt idx="8">
                  <c:v>26.473099999999999</c:v>
                </c:pt>
                <c:pt idx="9">
                  <c:v>24.977</c:v>
                </c:pt>
                <c:pt idx="10">
                  <c:v>25.748200000000001</c:v>
                </c:pt>
                <c:pt idx="11">
                  <c:v>25.248100000000001</c:v>
                </c:pt>
                <c:pt idx="12">
                  <c:v>28.736599999999999</c:v>
                </c:pt>
                <c:pt idx="13">
                  <c:v>33.906199999999998</c:v>
                </c:pt>
                <c:pt idx="14">
                  <c:v>39.120600000000003</c:v>
                </c:pt>
                <c:pt idx="15">
                  <c:v>46.913600000000002</c:v>
                </c:pt>
                <c:pt idx="16">
                  <c:v>57.263599999999997</c:v>
                </c:pt>
                <c:pt idx="17">
                  <c:v>54.379800000000003</c:v>
                </c:pt>
                <c:pt idx="18">
                  <c:v>66.812700000000007</c:v>
                </c:pt>
                <c:pt idx="19">
                  <c:v>66.552500000000009</c:v>
                </c:pt>
                <c:pt idx="20">
                  <c:v>78.900000000000006</c:v>
                </c:pt>
                <c:pt idx="21">
                  <c:v>95.5578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95.517899999999997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96.427999999999997</c:v>
                </c:pt>
                <c:pt idx="41">
                  <c:v>91.490400000000008</c:v>
                </c:pt>
                <c:pt idx="42">
                  <c:v>89.466999999999999</c:v>
                </c:pt>
                <c:pt idx="43">
                  <c:v>83.394900000000007</c:v>
                </c:pt>
                <c:pt idx="44">
                  <c:v>78.531599999999997</c:v>
                </c:pt>
                <c:pt idx="45">
                  <c:v>77.6648</c:v>
                </c:pt>
                <c:pt idx="46">
                  <c:v>74.3583</c:v>
                </c:pt>
                <c:pt idx="47">
                  <c:v>73.756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42D-4180-AC85-4408F677BA26}"/>
            </c:ext>
          </c:extLst>
        </c:ser>
        <c:ser>
          <c:idx val="15"/>
          <c:order val="15"/>
          <c:tx>
            <c:v>BES_TR8_one552_B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SOC_pct!$R$2:$R$49</c:f>
              <c:numCache>
                <c:formatCode>0.0</c:formatCode>
                <c:ptCount val="48"/>
                <c:pt idx="0">
                  <c:v>40</c:v>
                </c:pt>
                <c:pt idx="1">
                  <c:v>32.558399999999999</c:v>
                </c:pt>
                <c:pt idx="2">
                  <c:v>27.746700000000001</c:v>
                </c:pt>
                <c:pt idx="3">
                  <c:v>20.736899999999999</c:v>
                </c:pt>
                <c:pt idx="4">
                  <c:v>17.448499999999999</c:v>
                </c:pt>
                <c:pt idx="5">
                  <c:v>16.2666</c:v>
                </c:pt>
                <c:pt idx="6">
                  <c:v>13.21</c:v>
                </c:pt>
                <c:pt idx="7">
                  <c:v>12.6328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10.2552</c:v>
                </c:pt>
                <c:pt idx="12">
                  <c:v>12.0503</c:v>
                </c:pt>
                <c:pt idx="13">
                  <c:v>10</c:v>
                </c:pt>
                <c:pt idx="14">
                  <c:v>10.965999999999999</c:v>
                </c:pt>
                <c:pt idx="15">
                  <c:v>14.7418</c:v>
                </c:pt>
                <c:pt idx="16">
                  <c:v>21.052399999999999</c:v>
                </c:pt>
                <c:pt idx="17">
                  <c:v>11.8299</c:v>
                </c:pt>
                <c:pt idx="18">
                  <c:v>19.735700000000001</c:v>
                </c:pt>
                <c:pt idx="19">
                  <c:v>29.735900000000001</c:v>
                </c:pt>
                <c:pt idx="20">
                  <c:v>38.206600000000002</c:v>
                </c:pt>
                <c:pt idx="21">
                  <c:v>45.123600000000003</c:v>
                </c:pt>
                <c:pt idx="22">
                  <c:v>33.388500000000001</c:v>
                </c:pt>
                <c:pt idx="23">
                  <c:v>44.740099999999998</c:v>
                </c:pt>
                <c:pt idx="24">
                  <c:v>39.815899999999999</c:v>
                </c:pt>
                <c:pt idx="25">
                  <c:v>50.258100000000013</c:v>
                </c:pt>
                <c:pt idx="26">
                  <c:v>44.293799999999997</c:v>
                </c:pt>
                <c:pt idx="27">
                  <c:v>53.056199999999997</c:v>
                </c:pt>
                <c:pt idx="28">
                  <c:v>61.147599999999997</c:v>
                </c:pt>
                <c:pt idx="29">
                  <c:v>68.01939999999999</c:v>
                </c:pt>
                <c:pt idx="30">
                  <c:v>77.668199999999999</c:v>
                </c:pt>
                <c:pt idx="31">
                  <c:v>84.512799999999999</c:v>
                </c:pt>
                <c:pt idx="32">
                  <c:v>90.95259999999999</c:v>
                </c:pt>
                <c:pt idx="33">
                  <c:v>96.567499999999995</c:v>
                </c:pt>
                <c:pt idx="34">
                  <c:v>99.827299999999994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98.550200000000004</c:v>
                </c:pt>
                <c:pt idx="40">
                  <c:v>93.737400000000008</c:v>
                </c:pt>
                <c:pt idx="41">
                  <c:v>85.932000000000002</c:v>
                </c:pt>
                <c:pt idx="42">
                  <c:v>79.732599999999991</c:v>
                </c:pt>
                <c:pt idx="43">
                  <c:v>72.748999999999995</c:v>
                </c:pt>
                <c:pt idx="44">
                  <c:v>64.14800000000001</c:v>
                </c:pt>
                <c:pt idx="45">
                  <c:v>54.937399999999997</c:v>
                </c:pt>
                <c:pt idx="46">
                  <c:v>43.65</c:v>
                </c:pt>
                <c:pt idx="47">
                  <c:v>33.986600000000003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42D-4180-AC85-4408F677BA26}"/>
            </c:ext>
          </c:extLst>
        </c:ser>
        <c:ser>
          <c:idx val="16"/>
          <c:order val="16"/>
          <c:tx>
            <c:v>BES_TR8_one560_C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SOC_pct!$S$2:$S$49</c:f>
              <c:numCache>
                <c:formatCode>0.0</c:formatCode>
                <c:ptCount val="48"/>
                <c:pt idx="0">
                  <c:v>40</c:v>
                </c:pt>
                <c:pt idx="1">
                  <c:v>27.938099999999999</c:v>
                </c:pt>
                <c:pt idx="2">
                  <c:v>17.6617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10.7035</c:v>
                </c:pt>
                <c:pt idx="11">
                  <c:v>12.002700000000001</c:v>
                </c:pt>
                <c:pt idx="12">
                  <c:v>15.4429</c:v>
                </c:pt>
                <c:pt idx="13">
                  <c:v>20.565100000000001</c:v>
                </c:pt>
                <c:pt idx="14">
                  <c:v>25.929600000000001</c:v>
                </c:pt>
                <c:pt idx="15">
                  <c:v>34.495399999999997</c:v>
                </c:pt>
                <c:pt idx="16">
                  <c:v>44.433100000000003</c:v>
                </c:pt>
                <c:pt idx="17">
                  <c:v>56.192300000000003</c:v>
                </c:pt>
                <c:pt idx="18">
                  <c:v>69.4893</c:v>
                </c:pt>
                <c:pt idx="19">
                  <c:v>84.513599999999997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99.329099999999997</c:v>
                </c:pt>
                <c:pt idx="40">
                  <c:v>94.306899999999999</c:v>
                </c:pt>
                <c:pt idx="41">
                  <c:v>77.759799999999998</c:v>
                </c:pt>
                <c:pt idx="42">
                  <c:v>54.372300000000003</c:v>
                </c:pt>
                <c:pt idx="43">
                  <c:v>49.043199999999999</c:v>
                </c:pt>
                <c:pt idx="44">
                  <c:v>44.334099999999999</c:v>
                </c:pt>
                <c:pt idx="45">
                  <c:v>37.183100000000003</c:v>
                </c:pt>
                <c:pt idx="46">
                  <c:v>30.443300000000001</c:v>
                </c:pt>
                <c:pt idx="47">
                  <c:v>25.908999999999999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42D-4180-AC85-4408F677BA26}"/>
            </c:ext>
          </c:extLst>
        </c:ser>
        <c:ser>
          <c:idx val="17"/>
          <c:order val="17"/>
          <c:tx>
            <c:v>BES_TR8_one73_A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SOC_pct!$T$2:$T$49</c:f>
              <c:numCache>
                <c:formatCode>0.0</c:formatCode>
                <c:ptCount val="48"/>
                <c:pt idx="0">
                  <c:v>40</c:v>
                </c:pt>
                <c:pt idx="1">
                  <c:v>37.6999</c:v>
                </c:pt>
                <c:pt idx="2">
                  <c:v>34.683199999999999</c:v>
                </c:pt>
                <c:pt idx="3">
                  <c:v>32.780099999999997</c:v>
                </c:pt>
                <c:pt idx="4">
                  <c:v>29.9816</c:v>
                </c:pt>
                <c:pt idx="5">
                  <c:v>28.2135</c:v>
                </c:pt>
                <c:pt idx="6">
                  <c:v>26.351800000000001</c:v>
                </c:pt>
                <c:pt idx="7">
                  <c:v>22.852499999999999</c:v>
                </c:pt>
                <c:pt idx="8">
                  <c:v>22.286000000000001</c:v>
                </c:pt>
                <c:pt idx="9">
                  <c:v>20.629000000000001</c:v>
                </c:pt>
                <c:pt idx="10">
                  <c:v>18.6875</c:v>
                </c:pt>
                <c:pt idx="11">
                  <c:v>19.2075</c:v>
                </c:pt>
                <c:pt idx="12">
                  <c:v>17.995000000000001</c:v>
                </c:pt>
                <c:pt idx="13">
                  <c:v>19.5776</c:v>
                </c:pt>
                <c:pt idx="14">
                  <c:v>21.691800000000001</c:v>
                </c:pt>
                <c:pt idx="15">
                  <c:v>23.375599999999999</c:v>
                </c:pt>
                <c:pt idx="16">
                  <c:v>25.025300000000001</c:v>
                </c:pt>
                <c:pt idx="17">
                  <c:v>26.390999999999998</c:v>
                </c:pt>
                <c:pt idx="18">
                  <c:v>20.2578</c:v>
                </c:pt>
                <c:pt idx="19">
                  <c:v>23.7867</c:v>
                </c:pt>
                <c:pt idx="20">
                  <c:v>28.646000000000001</c:v>
                </c:pt>
                <c:pt idx="21">
                  <c:v>32.633600000000001</c:v>
                </c:pt>
                <c:pt idx="22">
                  <c:v>28.612500000000001</c:v>
                </c:pt>
                <c:pt idx="23">
                  <c:v>33.105400000000003</c:v>
                </c:pt>
                <c:pt idx="24">
                  <c:v>41.918499999999987</c:v>
                </c:pt>
                <c:pt idx="25">
                  <c:v>48.270800000000001</c:v>
                </c:pt>
                <c:pt idx="26">
                  <c:v>56.8157</c:v>
                </c:pt>
                <c:pt idx="27">
                  <c:v>65.632999999999996</c:v>
                </c:pt>
                <c:pt idx="28">
                  <c:v>71.143599999999992</c:v>
                </c:pt>
                <c:pt idx="29">
                  <c:v>78.621899999999997</c:v>
                </c:pt>
                <c:pt idx="30">
                  <c:v>85.267400000000009</c:v>
                </c:pt>
                <c:pt idx="31">
                  <c:v>89.488</c:v>
                </c:pt>
                <c:pt idx="32">
                  <c:v>95.8566</c:v>
                </c:pt>
                <c:pt idx="33">
                  <c:v>96.670699999999997</c:v>
                </c:pt>
                <c:pt idx="34">
                  <c:v>99.860299999999995</c:v>
                </c:pt>
                <c:pt idx="35">
                  <c:v>100</c:v>
                </c:pt>
                <c:pt idx="36">
                  <c:v>100</c:v>
                </c:pt>
                <c:pt idx="37">
                  <c:v>99.345700000000008</c:v>
                </c:pt>
                <c:pt idx="38">
                  <c:v>98.855699999999999</c:v>
                </c:pt>
                <c:pt idx="39">
                  <c:v>96.776899999999998</c:v>
                </c:pt>
                <c:pt idx="40">
                  <c:v>91.370499999999993</c:v>
                </c:pt>
                <c:pt idx="41">
                  <c:v>78.815699999999993</c:v>
                </c:pt>
                <c:pt idx="42">
                  <c:v>69.68950000000001</c:v>
                </c:pt>
                <c:pt idx="43">
                  <c:v>57.525799999999997</c:v>
                </c:pt>
                <c:pt idx="44">
                  <c:v>50.050400000000003</c:v>
                </c:pt>
                <c:pt idx="45">
                  <c:v>28.4039</c:v>
                </c:pt>
                <c:pt idx="46">
                  <c:v>19.519400000000001</c:v>
                </c:pt>
                <c:pt idx="47">
                  <c:v>12.914899999999999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42D-4180-AC85-4408F677BA26}"/>
            </c:ext>
          </c:extLst>
        </c:ser>
        <c:ser>
          <c:idx val="18"/>
          <c:order val="18"/>
          <c:tx>
            <c:v>BES_TR8_one137_A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SOC_pct!$U$2:$U$49</c:f>
              <c:numCache>
                <c:formatCode>0.0</c:formatCode>
                <c:ptCount val="48"/>
                <c:pt idx="0">
                  <c:v>40</c:v>
                </c:pt>
                <c:pt idx="1">
                  <c:v>39.087400000000002</c:v>
                </c:pt>
                <c:pt idx="2">
                  <c:v>37.5871</c:v>
                </c:pt>
                <c:pt idx="3">
                  <c:v>36.439500000000002</c:v>
                </c:pt>
                <c:pt idx="4">
                  <c:v>34.327199999999998</c:v>
                </c:pt>
                <c:pt idx="5">
                  <c:v>32.426000000000002</c:v>
                </c:pt>
                <c:pt idx="6">
                  <c:v>30.690799999999999</c:v>
                </c:pt>
                <c:pt idx="7">
                  <c:v>28.130700000000001</c:v>
                </c:pt>
                <c:pt idx="8">
                  <c:v>26.485399999999998</c:v>
                </c:pt>
                <c:pt idx="9">
                  <c:v>24.973299999999998</c:v>
                </c:pt>
                <c:pt idx="10">
                  <c:v>26.227699999999999</c:v>
                </c:pt>
                <c:pt idx="11">
                  <c:v>30.235199999999999</c:v>
                </c:pt>
                <c:pt idx="12">
                  <c:v>36.733199999999997</c:v>
                </c:pt>
                <c:pt idx="13">
                  <c:v>47.958599999999997</c:v>
                </c:pt>
                <c:pt idx="14">
                  <c:v>60.904100000000007</c:v>
                </c:pt>
                <c:pt idx="15">
                  <c:v>79.025000000000006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93.490600000000001</c:v>
                </c:pt>
                <c:pt idx="40">
                  <c:v>89.794899999999998</c:v>
                </c:pt>
                <c:pt idx="41">
                  <c:v>83.857199999999992</c:v>
                </c:pt>
                <c:pt idx="42">
                  <c:v>77.6096</c:v>
                </c:pt>
                <c:pt idx="43">
                  <c:v>71.1327</c:v>
                </c:pt>
                <c:pt idx="44">
                  <c:v>65.413299999999992</c:v>
                </c:pt>
                <c:pt idx="45">
                  <c:v>55.668900000000001</c:v>
                </c:pt>
                <c:pt idx="46">
                  <c:v>28.317900000000002</c:v>
                </c:pt>
                <c:pt idx="47">
                  <c:v>22.5474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42D-4180-AC85-4408F677BA26}"/>
            </c:ext>
          </c:extLst>
        </c:ser>
        <c:ser>
          <c:idx val="19"/>
          <c:order val="19"/>
          <c:tx>
            <c:v>BES_TR8_four50_C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SOC_pct!$V$2:$V$49</c:f>
              <c:numCache>
                <c:formatCode>0.0</c:formatCode>
                <c:ptCount val="48"/>
                <c:pt idx="0">
                  <c:v>40</c:v>
                </c:pt>
                <c:pt idx="1">
                  <c:v>37.067999999999998</c:v>
                </c:pt>
                <c:pt idx="2">
                  <c:v>35.359900000000003</c:v>
                </c:pt>
                <c:pt idx="3">
                  <c:v>34.619500000000002</c:v>
                </c:pt>
                <c:pt idx="4">
                  <c:v>32.104900000000001</c:v>
                </c:pt>
                <c:pt idx="5">
                  <c:v>31.3645</c:v>
                </c:pt>
                <c:pt idx="6">
                  <c:v>29.978999999999999</c:v>
                </c:pt>
                <c:pt idx="7">
                  <c:v>28.109500000000001</c:v>
                </c:pt>
                <c:pt idx="8">
                  <c:v>27.412299999999998</c:v>
                </c:pt>
                <c:pt idx="9">
                  <c:v>25.521799999999999</c:v>
                </c:pt>
                <c:pt idx="10">
                  <c:v>27.482099999999999</c:v>
                </c:pt>
                <c:pt idx="11">
                  <c:v>30.574400000000001</c:v>
                </c:pt>
                <c:pt idx="12">
                  <c:v>38.141500000000001</c:v>
                </c:pt>
                <c:pt idx="13">
                  <c:v>49.310400000000001</c:v>
                </c:pt>
                <c:pt idx="14">
                  <c:v>63.978400000000001</c:v>
                </c:pt>
                <c:pt idx="15">
                  <c:v>80.03479999999999</c:v>
                </c:pt>
                <c:pt idx="16">
                  <c:v>98.9529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90.2209</c:v>
                </c:pt>
                <c:pt idx="39">
                  <c:v>87.534599999999998</c:v>
                </c:pt>
                <c:pt idx="40">
                  <c:v>80.314799999999991</c:v>
                </c:pt>
                <c:pt idx="41">
                  <c:v>74.877400000000009</c:v>
                </c:pt>
                <c:pt idx="42">
                  <c:v>70.758099999999999</c:v>
                </c:pt>
                <c:pt idx="43">
                  <c:v>62.31</c:v>
                </c:pt>
                <c:pt idx="44">
                  <c:v>50.156999999999996</c:v>
                </c:pt>
                <c:pt idx="45">
                  <c:v>47.952599999999997</c:v>
                </c:pt>
                <c:pt idx="46">
                  <c:v>44.142200000000003</c:v>
                </c:pt>
                <c:pt idx="47">
                  <c:v>43.079300000000003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42D-4180-AC85-4408F677BA26}"/>
            </c:ext>
          </c:extLst>
        </c:ser>
        <c:ser>
          <c:idx val="20"/>
          <c:order val="20"/>
          <c:tx>
            <c:v>BES_TR8_four171_A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SOC_pct!$W$2:$W$49</c:f>
              <c:numCache>
                <c:formatCode>0.0</c:formatCode>
                <c:ptCount val="48"/>
                <c:pt idx="0">
                  <c:v>40</c:v>
                </c:pt>
                <c:pt idx="1">
                  <c:v>37.144100000000002</c:v>
                </c:pt>
                <c:pt idx="2">
                  <c:v>36.541800000000002</c:v>
                </c:pt>
                <c:pt idx="3">
                  <c:v>33.690399999999997</c:v>
                </c:pt>
                <c:pt idx="4">
                  <c:v>31.551600000000001</c:v>
                </c:pt>
                <c:pt idx="5">
                  <c:v>29.417300000000001</c:v>
                </c:pt>
                <c:pt idx="6">
                  <c:v>26.561399999999999</c:v>
                </c:pt>
                <c:pt idx="7">
                  <c:v>25.959099999999999</c:v>
                </c:pt>
                <c:pt idx="8">
                  <c:v>22.105</c:v>
                </c:pt>
                <c:pt idx="9">
                  <c:v>21.302499999999998</c:v>
                </c:pt>
                <c:pt idx="10">
                  <c:v>21.336200000000002</c:v>
                </c:pt>
                <c:pt idx="11">
                  <c:v>20.662400000000002</c:v>
                </c:pt>
                <c:pt idx="12">
                  <c:v>24.3096</c:v>
                </c:pt>
                <c:pt idx="13">
                  <c:v>29.500699999999998</c:v>
                </c:pt>
                <c:pt idx="14">
                  <c:v>33.609900000000003</c:v>
                </c:pt>
                <c:pt idx="15">
                  <c:v>42.268599999999999</c:v>
                </c:pt>
                <c:pt idx="16">
                  <c:v>51.2667</c:v>
                </c:pt>
                <c:pt idx="17">
                  <c:v>61.714799999999997</c:v>
                </c:pt>
                <c:pt idx="18">
                  <c:v>74.8767</c:v>
                </c:pt>
                <c:pt idx="19">
                  <c:v>87.551000000000002</c:v>
                </c:pt>
                <c:pt idx="20">
                  <c:v>100</c:v>
                </c:pt>
                <c:pt idx="21">
                  <c:v>83.007599999999996</c:v>
                </c:pt>
                <c:pt idx="22">
                  <c:v>66.785399999999996</c:v>
                </c:pt>
                <c:pt idx="23">
                  <c:v>80.55980000000001</c:v>
                </c:pt>
                <c:pt idx="24">
                  <c:v>96.321599999999989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95.088300000000004</c:v>
                </c:pt>
                <c:pt idx="41">
                  <c:v>87.858400000000003</c:v>
                </c:pt>
                <c:pt idx="42">
                  <c:v>83.709699999999998</c:v>
                </c:pt>
                <c:pt idx="43">
                  <c:v>78.454900000000009</c:v>
                </c:pt>
                <c:pt idx="44">
                  <c:v>69.721699999999998</c:v>
                </c:pt>
                <c:pt idx="45">
                  <c:v>66.050899999999999</c:v>
                </c:pt>
                <c:pt idx="46">
                  <c:v>64.731499999999997</c:v>
                </c:pt>
                <c:pt idx="47">
                  <c:v>64.129199999999997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42D-4180-AC85-4408F677BA26}"/>
            </c:ext>
          </c:extLst>
        </c:ser>
        <c:ser>
          <c:idx val="21"/>
          <c:order val="21"/>
          <c:tx>
            <c:v>BES_TR8_four180_A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SOC_pct!$X$2:$X$49</c:f>
              <c:numCache>
                <c:formatCode>0.0</c:formatCode>
                <c:ptCount val="48"/>
                <c:pt idx="0">
                  <c:v>40</c:v>
                </c:pt>
                <c:pt idx="1">
                  <c:v>39.284700000000001</c:v>
                </c:pt>
                <c:pt idx="2">
                  <c:v>38.569499999999998</c:v>
                </c:pt>
                <c:pt idx="3">
                  <c:v>37.854199999999999</c:v>
                </c:pt>
                <c:pt idx="4">
                  <c:v>35.652500000000003</c:v>
                </c:pt>
                <c:pt idx="5">
                  <c:v>34.9373</c:v>
                </c:pt>
                <c:pt idx="6">
                  <c:v>32.735599999999998</c:v>
                </c:pt>
                <c:pt idx="7">
                  <c:v>32.020299999999999</c:v>
                </c:pt>
                <c:pt idx="8">
                  <c:v>29.994299999999999</c:v>
                </c:pt>
                <c:pt idx="9">
                  <c:v>29.520399999999999</c:v>
                </c:pt>
                <c:pt idx="10">
                  <c:v>29.291399999999999</c:v>
                </c:pt>
                <c:pt idx="11">
                  <c:v>31.770399999999999</c:v>
                </c:pt>
                <c:pt idx="12">
                  <c:v>36.363199999999999</c:v>
                </c:pt>
                <c:pt idx="13">
                  <c:v>42.648299999999999</c:v>
                </c:pt>
                <c:pt idx="14">
                  <c:v>50.718899999999998</c:v>
                </c:pt>
                <c:pt idx="15">
                  <c:v>61.834800000000001</c:v>
                </c:pt>
                <c:pt idx="16">
                  <c:v>74.795000000000002</c:v>
                </c:pt>
                <c:pt idx="17">
                  <c:v>87.252600000000001</c:v>
                </c:pt>
                <c:pt idx="18">
                  <c:v>96.955799999999996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98.787400000000005</c:v>
                </c:pt>
                <c:pt idx="41">
                  <c:v>98.078500000000005</c:v>
                </c:pt>
                <c:pt idx="42">
                  <c:v>96.917299999999997</c:v>
                </c:pt>
                <c:pt idx="43">
                  <c:v>95.161600000000007</c:v>
                </c:pt>
                <c:pt idx="44">
                  <c:v>94.000399999999999</c:v>
                </c:pt>
                <c:pt idx="45">
                  <c:v>92.244600000000005</c:v>
                </c:pt>
                <c:pt idx="46">
                  <c:v>91.529300000000006</c:v>
                </c:pt>
                <c:pt idx="47">
                  <c:v>90.814099999999996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42D-4180-AC85-4408F677BA26}"/>
            </c:ext>
          </c:extLst>
        </c:ser>
        <c:ser>
          <c:idx val="22"/>
          <c:order val="22"/>
          <c:tx>
            <c:v>BES_TR8_four200_A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SOC_pct!$Y$2:$Y$49</c:f>
              <c:numCache>
                <c:formatCode>0.0</c:formatCode>
                <c:ptCount val="48"/>
                <c:pt idx="0">
                  <c:v>40</c:v>
                </c:pt>
                <c:pt idx="1">
                  <c:v>39.610999999999997</c:v>
                </c:pt>
                <c:pt idx="2">
                  <c:v>38.021700000000003</c:v>
                </c:pt>
                <c:pt idx="3">
                  <c:v>37.420900000000003</c:v>
                </c:pt>
                <c:pt idx="4">
                  <c:v>36.3964</c:v>
                </c:pt>
                <c:pt idx="5">
                  <c:v>35.230699999999999</c:v>
                </c:pt>
                <c:pt idx="6">
                  <c:v>34.841700000000003</c:v>
                </c:pt>
                <c:pt idx="7">
                  <c:v>34.4527</c:v>
                </c:pt>
                <c:pt idx="8">
                  <c:v>33.460599999999999</c:v>
                </c:pt>
                <c:pt idx="9">
                  <c:v>32.762999999999998</c:v>
                </c:pt>
                <c:pt idx="10">
                  <c:v>34.383000000000003</c:v>
                </c:pt>
                <c:pt idx="11">
                  <c:v>36.669699999999999</c:v>
                </c:pt>
                <c:pt idx="12">
                  <c:v>42.603499999999997</c:v>
                </c:pt>
                <c:pt idx="13">
                  <c:v>49.858899999999998</c:v>
                </c:pt>
                <c:pt idx="14">
                  <c:v>61.009500000000003</c:v>
                </c:pt>
                <c:pt idx="15">
                  <c:v>74.008399999999995</c:v>
                </c:pt>
                <c:pt idx="16">
                  <c:v>89.876100000000008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99.399499999999989</c:v>
                </c:pt>
                <c:pt idx="40">
                  <c:v>94.286199999999994</c:v>
                </c:pt>
                <c:pt idx="41">
                  <c:v>83.730199999999996</c:v>
                </c:pt>
                <c:pt idx="42">
                  <c:v>74.612800000000007</c:v>
                </c:pt>
                <c:pt idx="43">
                  <c:v>66.010899999999992</c:v>
                </c:pt>
                <c:pt idx="44">
                  <c:v>60.819400000000002</c:v>
                </c:pt>
                <c:pt idx="45">
                  <c:v>59.018300000000004</c:v>
                </c:pt>
                <c:pt idx="46">
                  <c:v>58.629299999999994</c:v>
                </c:pt>
                <c:pt idx="47">
                  <c:v>58.240299999999998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42D-4180-AC85-4408F677BA26}"/>
            </c:ext>
          </c:extLst>
        </c:ser>
        <c:ser>
          <c:idx val="23"/>
          <c:order val="23"/>
          <c:tx>
            <c:v>BES_TR8_four239_A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SOC_pct!$Z$2:$Z$49</c:f>
              <c:numCache>
                <c:formatCode>0.0</c:formatCode>
                <c:ptCount val="48"/>
                <c:pt idx="0">
                  <c:v>40</c:v>
                </c:pt>
                <c:pt idx="1">
                  <c:v>39.309800000000003</c:v>
                </c:pt>
                <c:pt idx="2">
                  <c:v>38.619700000000002</c:v>
                </c:pt>
                <c:pt idx="3">
                  <c:v>35.930999999999997</c:v>
                </c:pt>
                <c:pt idx="4">
                  <c:v>35.240900000000003</c:v>
                </c:pt>
                <c:pt idx="5">
                  <c:v>33.188099999999999</c:v>
                </c:pt>
                <c:pt idx="6">
                  <c:v>31.862100000000002</c:v>
                </c:pt>
                <c:pt idx="7">
                  <c:v>30.8994</c:v>
                </c:pt>
                <c:pt idx="8">
                  <c:v>28.526499999999999</c:v>
                </c:pt>
                <c:pt idx="9">
                  <c:v>28.4604</c:v>
                </c:pt>
                <c:pt idx="10">
                  <c:v>30.465900000000001</c:v>
                </c:pt>
                <c:pt idx="11">
                  <c:v>35.055199999999999</c:v>
                </c:pt>
                <c:pt idx="12">
                  <c:v>41.831499999999998</c:v>
                </c:pt>
                <c:pt idx="13">
                  <c:v>52.227999999999987</c:v>
                </c:pt>
                <c:pt idx="14">
                  <c:v>66.777699999999996</c:v>
                </c:pt>
                <c:pt idx="15">
                  <c:v>83.336799999999997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99.291899999999998</c:v>
                </c:pt>
                <c:pt idx="41">
                  <c:v>98.849800000000002</c:v>
                </c:pt>
                <c:pt idx="42">
                  <c:v>98.068799999999996</c:v>
                </c:pt>
                <c:pt idx="43">
                  <c:v>95.470999999999989</c:v>
                </c:pt>
                <c:pt idx="44">
                  <c:v>94.780799999999999</c:v>
                </c:pt>
                <c:pt idx="45">
                  <c:v>92.092200000000005</c:v>
                </c:pt>
                <c:pt idx="46">
                  <c:v>91.402000000000001</c:v>
                </c:pt>
                <c:pt idx="47">
                  <c:v>90.348500000000001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42D-4180-AC85-4408F677BA26}"/>
            </c:ext>
          </c:extLst>
        </c:ser>
        <c:ser>
          <c:idx val="24"/>
          <c:order val="24"/>
          <c:tx>
            <c:v>BES_TR8_four259_B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SOC_pct!$AA$2:$AA$49</c:f>
              <c:numCache>
                <c:formatCode>0.0</c:formatCode>
                <c:ptCount val="48"/>
                <c:pt idx="0">
                  <c:v>40</c:v>
                </c:pt>
                <c:pt idx="1">
                  <c:v>39.192599999999999</c:v>
                </c:pt>
                <c:pt idx="2">
                  <c:v>37.246600000000001</c:v>
                </c:pt>
                <c:pt idx="3">
                  <c:v>36.581499999999998</c:v>
                </c:pt>
                <c:pt idx="4">
                  <c:v>35.916499999999999</c:v>
                </c:pt>
                <c:pt idx="5">
                  <c:v>33.828099999999999</c:v>
                </c:pt>
                <c:pt idx="6">
                  <c:v>33.1631</c:v>
                </c:pt>
                <c:pt idx="7">
                  <c:v>31.857500000000002</c:v>
                </c:pt>
                <c:pt idx="8">
                  <c:v>30.447500000000002</c:v>
                </c:pt>
                <c:pt idx="9">
                  <c:v>30.328499999999998</c:v>
                </c:pt>
                <c:pt idx="10">
                  <c:v>30.747299999999999</c:v>
                </c:pt>
                <c:pt idx="11">
                  <c:v>34.707799999999999</c:v>
                </c:pt>
                <c:pt idx="12">
                  <c:v>40.415700000000001</c:v>
                </c:pt>
                <c:pt idx="13">
                  <c:v>49.916700000000013</c:v>
                </c:pt>
                <c:pt idx="14">
                  <c:v>61.572400000000002</c:v>
                </c:pt>
                <c:pt idx="15">
                  <c:v>67.346499999999992</c:v>
                </c:pt>
                <c:pt idx="16">
                  <c:v>85.308599999999998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99.551900000000003</c:v>
                </c:pt>
                <c:pt idx="42">
                  <c:v>97.961699999999993</c:v>
                </c:pt>
                <c:pt idx="43">
                  <c:v>96.798500000000004</c:v>
                </c:pt>
                <c:pt idx="44">
                  <c:v>96.133499999999998</c:v>
                </c:pt>
                <c:pt idx="45">
                  <c:v>95.468400000000003</c:v>
                </c:pt>
                <c:pt idx="46">
                  <c:v>94.305199999999999</c:v>
                </c:pt>
                <c:pt idx="47">
                  <c:v>92.715000000000003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42D-4180-AC85-4408F677BA26}"/>
            </c:ext>
          </c:extLst>
        </c:ser>
        <c:ser>
          <c:idx val="25"/>
          <c:order val="25"/>
          <c:tx>
            <c:v>BES_TR8_four265_C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SOC_pct!$AB$2:$AB$49</c:f>
              <c:numCache>
                <c:formatCode>0.0</c:formatCode>
                <c:ptCount val="48"/>
                <c:pt idx="0">
                  <c:v>40</c:v>
                </c:pt>
                <c:pt idx="1">
                  <c:v>37.595399999999998</c:v>
                </c:pt>
                <c:pt idx="2">
                  <c:v>34.861400000000003</c:v>
                </c:pt>
                <c:pt idx="3">
                  <c:v>33.855800000000002</c:v>
                </c:pt>
                <c:pt idx="4">
                  <c:v>30.021000000000001</c:v>
                </c:pt>
                <c:pt idx="5">
                  <c:v>28.1281</c:v>
                </c:pt>
                <c:pt idx="6">
                  <c:v>26.2622</c:v>
                </c:pt>
                <c:pt idx="7">
                  <c:v>22.3155</c:v>
                </c:pt>
                <c:pt idx="8">
                  <c:v>21.1556</c:v>
                </c:pt>
                <c:pt idx="9">
                  <c:v>18.9437</c:v>
                </c:pt>
                <c:pt idx="10">
                  <c:v>18.066400000000002</c:v>
                </c:pt>
                <c:pt idx="11">
                  <c:v>20.713000000000001</c:v>
                </c:pt>
                <c:pt idx="12">
                  <c:v>23.008700000000001</c:v>
                </c:pt>
                <c:pt idx="13">
                  <c:v>28.115100000000002</c:v>
                </c:pt>
                <c:pt idx="14">
                  <c:v>35.706200000000003</c:v>
                </c:pt>
                <c:pt idx="15">
                  <c:v>45.908000000000001</c:v>
                </c:pt>
                <c:pt idx="16">
                  <c:v>56.828599999999987</c:v>
                </c:pt>
                <c:pt idx="17">
                  <c:v>70.962899999999991</c:v>
                </c:pt>
                <c:pt idx="18">
                  <c:v>86.533699999999996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77.509799999999998</c:v>
                </c:pt>
                <c:pt idx="38">
                  <c:v>76.306600000000003</c:v>
                </c:pt>
                <c:pt idx="39">
                  <c:v>73.940899999999999</c:v>
                </c:pt>
                <c:pt idx="40">
                  <c:v>65.740499999999997</c:v>
                </c:pt>
                <c:pt idx="41">
                  <c:v>56.174199999999999</c:v>
                </c:pt>
                <c:pt idx="42">
                  <c:v>41.025500000000001</c:v>
                </c:pt>
                <c:pt idx="43">
                  <c:v>27.459700000000002</c:v>
                </c:pt>
                <c:pt idx="44">
                  <c:v>16.658200000000001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42D-4180-AC85-4408F677BA26}"/>
            </c:ext>
          </c:extLst>
        </c:ser>
        <c:ser>
          <c:idx val="26"/>
          <c:order val="26"/>
          <c:tx>
            <c:v>BES_TR8_four54_C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SOC_pct!$AC$2:$AC$49</c:f>
              <c:numCache>
                <c:formatCode>0.0</c:formatCode>
                <c:ptCount val="48"/>
                <c:pt idx="0">
                  <c:v>40</c:v>
                </c:pt>
                <c:pt idx="1">
                  <c:v>37.662300000000002</c:v>
                </c:pt>
                <c:pt idx="2">
                  <c:v>36.066800000000001</c:v>
                </c:pt>
                <c:pt idx="3">
                  <c:v>35.439399999999999</c:v>
                </c:pt>
                <c:pt idx="4">
                  <c:v>33.570700000000002</c:v>
                </c:pt>
                <c:pt idx="5">
                  <c:v>32.261800000000001</c:v>
                </c:pt>
                <c:pt idx="6">
                  <c:v>30.102900000000002</c:v>
                </c:pt>
                <c:pt idx="7">
                  <c:v>28.328600000000002</c:v>
                </c:pt>
                <c:pt idx="8">
                  <c:v>26.988700000000001</c:v>
                </c:pt>
                <c:pt idx="9">
                  <c:v>25.278600000000001</c:v>
                </c:pt>
                <c:pt idx="10">
                  <c:v>26.466100000000001</c:v>
                </c:pt>
                <c:pt idx="11">
                  <c:v>31.111799999999999</c:v>
                </c:pt>
                <c:pt idx="12">
                  <c:v>36.7943</c:v>
                </c:pt>
                <c:pt idx="13">
                  <c:v>47.785600000000002</c:v>
                </c:pt>
                <c:pt idx="14">
                  <c:v>61.802399999999999</c:v>
                </c:pt>
                <c:pt idx="15">
                  <c:v>78.395400000000009</c:v>
                </c:pt>
                <c:pt idx="16">
                  <c:v>99.6464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99.608199999999997</c:v>
                </c:pt>
                <c:pt idx="40">
                  <c:v>90.985200000000006</c:v>
                </c:pt>
                <c:pt idx="41">
                  <c:v>82.178600000000003</c:v>
                </c:pt>
                <c:pt idx="42">
                  <c:v>70.726599999999991</c:v>
                </c:pt>
                <c:pt idx="43">
                  <c:v>65.823399999999992</c:v>
                </c:pt>
                <c:pt idx="44">
                  <c:v>60.500999999999998</c:v>
                </c:pt>
                <c:pt idx="45">
                  <c:v>55.395499999999998</c:v>
                </c:pt>
                <c:pt idx="46">
                  <c:v>49.474299999999999</c:v>
                </c:pt>
                <c:pt idx="47">
                  <c:v>42.216299999999997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42D-4180-AC85-4408F677BA26}"/>
            </c:ext>
          </c:extLst>
        </c:ser>
        <c:ser>
          <c:idx val="27"/>
          <c:order val="27"/>
          <c:tx>
            <c:v>BES_TR8_four288_B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SOC_pct!$AD$2:$AD$49</c:f>
              <c:numCache>
                <c:formatCode>0.0</c:formatCode>
                <c:ptCount val="48"/>
                <c:pt idx="0">
                  <c:v>40</c:v>
                </c:pt>
                <c:pt idx="1">
                  <c:v>36.785499999999999</c:v>
                </c:pt>
                <c:pt idx="2">
                  <c:v>35.597900000000003</c:v>
                </c:pt>
                <c:pt idx="3">
                  <c:v>34.957900000000002</c:v>
                </c:pt>
                <c:pt idx="4">
                  <c:v>31.195799999999998</c:v>
                </c:pt>
                <c:pt idx="5">
                  <c:v>30.555800000000001</c:v>
                </c:pt>
                <c:pt idx="6">
                  <c:v>29.277100000000001</c:v>
                </c:pt>
                <c:pt idx="7">
                  <c:v>26.153700000000001</c:v>
                </c:pt>
                <c:pt idx="8">
                  <c:v>24.996400000000001</c:v>
                </c:pt>
                <c:pt idx="9">
                  <c:v>22.7317</c:v>
                </c:pt>
                <c:pt idx="10">
                  <c:v>23.996400000000001</c:v>
                </c:pt>
                <c:pt idx="11">
                  <c:v>27.522099999999998</c:v>
                </c:pt>
                <c:pt idx="12">
                  <c:v>34.127699999999997</c:v>
                </c:pt>
                <c:pt idx="13">
                  <c:v>42.194600000000001</c:v>
                </c:pt>
                <c:pt idx="14">
                  <c:v>55.692</c:v>
                </c:pt>
                <c:pt idx="15">
                  <c:v>73.931399999999996</c:v>
                </c:pt>
                <c:pt idx="16">
                  <c:v>94.648099999999999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96.626000000000005</c:v>
                </c:pt>
                <c:pt idx="42">
                  <c:v>95.8459</c:v>
                </c:pt>
                <c:pt idx="43">
                  <c:v>93.644799999999989</c:v>
                </c:pt>
                <c:pt idx="44">
                  <c:v>90.169600000000003</c:v>
                </c:pt>
                <c:pt idx="45">
                  <c:v>89.138499999999993</c:v>
                </c:pt>
                <c:pt idx="46">
                  <c:v>85.767499999999998</c:v>
                </c:pt>
                <c:pt idx="47">
                  <c:v>85.127499999999998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42D-4180-AC85-4408F677BA26}"/>
            </c:ext>
          </c:extLst>
        </c:ser>
        <c:ser>
          <c:idx val="28"/>
          <c:order val="28"/>
          <c:tx>
            <c:v>BES_TR8_four289_B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SOC_pct!$AE$2:$AE$49</c:f>
              <c:numCache>
                <c:formatCode>0.0</c:formatCode>
                <c:ptCount val="48"/>
                <c:pt idx="0">
                  <c:v>40</c:v>
                </c:pt>
                <c:pt idx="1">
                  <c:v>32.973200000000013</c:v>
                </c:pt>
                <c:pt idx="2">
                  <c:v>26.277999999999999</c:v>
                </c:pt>
                <c:pt idx="3">
                  <c:v>25.587800000000001</c:v>
                </c:pt>
                <c:pt idx="4">
                  <c:v>24.897600000000001</c:v>
                </c:pt>
                <c:pt idx="5">
                  <c:v>24.2075</c:v>
                </c:pt>
                <c:pt idx="6">
                  <c:v>23.517299999999999</c:v>
                </c:pt>
                <c:pt idx="7">
                  <c:v>22.827100000000002</c:v>
                </c:pt>
                <c:pt idx="8">
                  <c:v>22.180099999999999</c:v>
                </c:pt>
                <c:pt idx="9">
                  <c:v>22.114100000000001</c:v>
                </c:pt>
                <c:pt idx="10">
                  <c:v>24.119599999999998</c:v>
                </c:pt>
                <c:pt idx="11">
                  <c:v>28.7088</c:v>
                </c:pt>
                <c:pt idx="12">
                  <c:v>36.466200000000001</c:v>
                </c:pt>
                <c:pt idx="13">
                  <c:v>46.774000000000001</c:v>
                </c:pt>
                <c:pt idx="14">
                  <c:v>48.654400000000003</c:v>
                </c:pt>
                <c:pt idx="15">
                  <c:v>66.848700000000008</c:v>
                </c:pt>
                <c:pt idx="16">
                  <c:v>88.00139999999999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98.521499999999989</c:v>
                </c:pt>
                <c:pt idx="41">
                  <c:v>93.510800000000003</c:v>
                </c:pt>
                <c:pt idx="42">
                  <c:v>72.365500000000011</c:v>
                </c:pt>
                <c:pt idx="43">
                  <c:v>64.770099999999999</c:v>
                </c:pt>
                <c:pt idx="44">
                  <c:v>55.502300000000012</c:v>
                </c:pt>
                <c:pt idx="45">
                  <c:v>45.757800000000003</c:v>
                </c:pt>
                <c:pt idx="46">
                  <c:v>38.914200000000001</c:v>
                </c:pt>
                <c:pt idx="47">
                  <c:v>36.162499999999987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42D-4180-AC85-4408F677BA26}"/>
            </c:ext>
          </c:extLst>
        </c:ser>
        <c:ser>
          <c:idx val="29"/>
          <c:order val="29"/>
          <c:tx>
            <c:v>BES_TR8_four292_C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SOC_pct!$AF$2:$AF$49</c:f>
              <c:numCache>
                <c:formatCode>0.0</c:formatCode>
                <c:ptCount val="48"/>
                <c:pt idx="0">
                  <c:v>40</c:v>
                </c:pt>
                <c:pt idx="1">
                  <c:v>37.2273</c:v>
                </c:pt>
                <c:pt idx="2">
                  <c:v>36.599800000000002</c:v>
                </c:pt>
                <c:pt idx="3">
                  <c:v>33.924599999999998</c:v>
                </c:pt>
                <c:pt idx="4">
                  <c:v>33.1997</c:v>
                </c:pt>
                <c:pt idx="5">
                  <c:v>32.084699999999998</c:v>
                </c:pt>
                <c:pt idx="6">
                  <c:v>29.799499999999998</c:v>
                </c:pt>
                <c:pt idx="7">
                  <c:v>29.1721</c:v>
                </c:pt>
                <c:pt idx="8">
                  <c:v>26.431699999999999</c:v>
                </c:pt>
                <c:pt idx="9">
                  <c:v>22.6418</c:v>
                </c:pt>
                <c:pt idx="10">
                  <c:v>22.545500000000001</c:v>
                </c:pt>
                <c:pt idx="11">
                  <c:v>25.4498</c:v>
                </c:pt>
                <c:pt idx="12">
                  <c:v>30.2913</c:v>
                </c:pt>
                <c:pt idx="13">
                  <c:v>37.549900000000001</c:v>
                </c:pt>
                <c:pt idx="14">
                  <c:v>48.485999999999997</c:v>
                </c:pt>
                <c:pt idx="15">
                  <c:v>60.101999999999997</c:v>
                </c:pt>
                <c:pt idx="16">
                  <c:v>76.263400000000004</c:v>
                </c:pt>
                <c:pt idx="17">
                  <c:v>93.825599999999994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99.558599999999998</c:v>
                </c:pt>
                <c:pt idx="42">
                  <c:v>98.0535</c:v>
                </c:pt>
                <c:pt idx="43">
                  <c:v>96.1584</c:v>
                </c:pt>
                <c:pt idx="44">
                  <c:v>95.531000000000006</c:v>
                </c:pt>
                <c:pt idx="45">
                  <c:v>92.758200000000002</c:v>
                </c:pt>
                <c:pt idx="46">
                  <c:v>92.130800000000008</c:v>
                </c:pt>
                <c:pt idx="47">
                  <c:v>90.625799999999998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42D-4180-AC85-4408F677BA26}"/>
            </c:ext>
          </c:extLst>
        </c:ser>
        <c:ser>
          <c:idx val="30"/>
          <c:order val="30"/>
          <c:tx>
            <c:v>BES_TR8_four301_C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SOC_pct!$AG$2:$AG$49</c:f>
              <c:numCache>
                <c:formatCode>0.0</c:formatCode>
                <c:ptCount val="48"/>
                <c:pt idx="0">
                  <c:v>40</c:v>
                </c:pt>
                <c:pt idx="1">
                  <c:v>35.253</c:v>
                </c:pt>
                <c:pt idx="2">
                  <c:v>30.458100000000002</c:v>
                </c:pt>
                <c:pt idx="3">
                  <c:v>29.692599999999999</c:v>
                </c:pt>
                <c:pt idx="4">
                  <c:v>26.8705</c:v>
                </c:pt>
                <c:pt idx="5">
                  <c:v>26.1051</c:v>
                </c:pt>
                <c:pt idx="6">
                  <c:v>25.339600000000001</c:v>
                </c:pt>
                <c:pt idx="7">
                  <c:v>22.704499999999999</c:v>
                </c:pt>
                <c:pt idx="8">
                  <c:v>21.7791</c:v>
                </c:pt>
                <c:pt idx="9">
                  <c:v>21.403700000000001</c:v>
                </c:pt>
                <c:pt idx="10">
                  <c:v>20.4056</c:v>
                </c:pt>
                <c:pt idx="11">
                  <c:v>22.973199999999999</c:v>
                </c:pt>
                <c:pt idx="12">
                  <c:v>27.520900000000001</c:v>
                </c:pt>
                <c:pt idx="13">
                  <c:v>32.378</c:v>
                </c:pt>
                <c:pt idx="14">
                  <c:v>41.273000000000003</c:v>
                </c:pt>
                <c:pt idx="15">
                  <c:v>51.081699999999998</c:v>
                </c:pt>
                <c:pt idx="16">
                  <c:v>63.396700000000003</c:v>
                </c:pt>
                <c:pt idx="17">
                  <c:v>78.691199999999995</c:v>
                </c:pt>
                <c:pt idx="18">
                  <c:v>93.236800000000002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94.744900000000001</c:v>
                </c:pt>
                <c:pt idx="40">
                  <c:v>85.283600000000007</c:v>
                </c:pt>
                <c:pt idx="41">
                  <c:v>67.453500000000005</c:v>
                </c:pt>
                <c:pt idx="42">
                  <c:v>55.156499999999987</c:v>
                </c:pt>
                <c:pt idx="43">
                  <c:v>46.421300000000002</c:v>
                </c:pt>
                <c:pt idx="44">
                  <c:v>24.541</c:v>
                </c:pt>
                <c:pt idx="45">
                  <c:v>12.1175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42D-4180-AC85-4408F677BA26}"/>
            </c:ext>
          </c:extLst>
        </c:ser>
        <c:ser>
          <c:idx val="31"/>
          <c:order val="31"/>
          <c:tx>
            <c:v>BES_TR8_four326_A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SOC_pct!$AH$2:$AH$49</c:f>
              <c:numCache>
                <c:formatCode>0.0</c:formatCode>
                <c:ptCount val="48"/>
                <c:pt idx="0">
                  <c:v>40</c:v>
                </c:pt>
                <c:pt idx="1">
                  <c:v>33.921799999999998</c:v>
                </c:pt>
                <c:pt idx="2">
                  <c:v>27.5684</c:v>
                </c:pt>
                <c:pt idx="3">
                  <c:v>22.746400000000001</c:v>
                </c:pt>
                <c:pt idx="4">
                  <c:v>20.6526</c:v>
                </c:pt>
                <c:pt idx="5">
                  <c:v>20.075299999999999</c:v>
                </c:pt>
                <c:pt idx="6">
                  <c:v>19.498100000000001</c:v>
                </c:pt>
                <c:pt idx="7">
                  <c:v>18.9209</c:v>
                </c:pt>
                <c:pt idx="8">
                  <c:v>18.386800000000001</c:v>
                </c:pt>
                <c:pt idx="9">
                  <c:v>18.428999999999998</c:v>
                </c:pt>
                <c:pt idx="10">
                  <c:v>20.536200000000001</c:v>
                </c:pt>
                <c:pt idx="11">
                  <c:v>25.227</c:v>
                </c:pt>
                <c:pt idx="12">
                  <c:v>33.086100000000002</c:v>
                </c:pt>
                <c:pt idx="13">
                  <c:v>44.401800000000001</c:v>
                </c:pt>
                <c:pt idx="14">
                  <c:v>59.216700000000003</c:v>
                </c:pt>
                <c:pt idx="15">
                  <c:v>77.512599999999992</c:v>
                </c:pt>
                <c:pt idx="16">
                  <c:v>99.294499999999999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97.368299999999991</c:v>
                </c:pt>
                <c:pt idx="41">
                  <c:v>93.7346</c:v>
                </c:pt>
                <c:pt idx="42">
                  <c:v>87.760499999999993</c:v>
                </c:pt>
                <c:pt idx="43">
                  <c:v>82.264099999999999</c:v>
                </c:pt>
                <c:pt idx="44">
                  <c:v>76.142699999999991</c:v>
                </c:pt>
                <c:pt idx="45">
                  <c:v>71.056699999999992</c:v>
                </c:pt>
                <c:pt idx="46">
                  <c:v>67.007300000000001</c:v>
                </c:pt>
                <c:pt idx="47">
                  <c:v>59.558500000000002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42D-4180-AC85-4408F677BA26}"/>
            </c:ext>
          </c:extLst>
        </c:ser>
        <c:ser>
          <c:idx val="32"/>
          <c:order val="32"/>
          <c:tx>
            <c:v>BES_TR8_four352_A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SOC_pct!$AI$2:$AI$49</c:f>
              <c:numCache>
                <c:formatCode>0.0</c:formatCode>
                <c:ptCount val="48"/>
                <c:pt idx="0">
                  <c:v>40</c:v>
                </c:pt>
                <c:pt idx="1">
                  <c:v>39.247900000000001</c:v>
                </c:pt>
                <c:pt idx="2">
                  <c:v>35.451300000000003</c:v>
                </c:pt>
                <c:pt idx="3">
                  <c:v>34.185000000000002</c:v>
                </c:pt>
                <c:pt idx="4">
                  <c:v>32.607100000000003</c:v>
                </c:pt>
                <c:pt idx="5">
                  <c:v>28.846800000000002</c:v>
                </c:pt>
                <c:pt idx="6">
                  <c:v>28.37</c:v>
                </c:pt>
                <c:pt idx="7">
                  <c:v>24.5916</c:v>
                </c:pt>
                <c:pt idx="8">
                  <c:v>23.507000000000001</c:v>
                </c:pt>
                <c:pt idx="9">
                  <c:v>23.1388</c:v>
                </c:pt>
                <c:pt idx="10">
                  <c:v>22.754200000000001</c:v>
                </c:pt>
                <c:pt idx="11">
                  <c:v>25.153300000000002</c:v>
                </c:pt>
                <c:pt idx="12">
                  <c:v>30.811900000000001</c:v>
                </c:pt>
                <c:pt idx="13">
                  <c:v>38.035799999999988</c:v>
                </c:pt>
                <c:pt idx="14">
                  <c:v>50.935399999999987</c:v>
                </c:pt>
                <c:pt idx="15">
                  <c:v>64.246099999999998</c:v>
                </c:pt>
                <c:pt idx="16">
                  <c:v>82.191699999999997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97.689700000000002</c:v>
                </c:pt>
                <c:pt idx="40">
                  <c:v>92.256299999999996</c:v>
                </c:pt>
                <c:pt idx="41">
                  <c:v>91.34020000000001</c:v>
                </c:pt>
                <c:pt idx="42">
                  <c:v>89.153700000000001</c:v>
                </c:pt>
                <c:pt idx="43">
                  <c:v>87.117000000000004</c:v>
                </c:pt>
                <c:pt idx="44">
                  <c:v>86.181399999999996</c:v>
                </c:pt>
                <c:pt idx="45">
                  <c:v>83.662400000000005</c:v>
                </c:pt>
                <c:pt idx="46">
                  <c:v>76.256799999999998</c:v>
                </c:pt>
                <c:pt idx="47">
                  <c:v>75.615899999999996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42D-4180-AC85-4408F677BA26}"/>
            </c:ext>
          </c:extLst>
        </c:ser>
        <c:ser>
          <c:idx val="33"/>
          <c:order val="33"/>
          <c:tx>
            <c:v>BES_TR8_four358_C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SOC_pct!$AJ$2:$AJ$49</c:f>
              <c:numCache>
                <c:formatCode>0.0</c:formatCode>
                <c:ptCount val="48"/>
                <c:pt idx="0">
                  <c:v>40</c:v>
                </c:pt>
                <c:pt idx="1">
                  <c:v>37.700400000000002</c:v>
                </c:pt>
                <c:pt idx="2">
                  <c:v>37.060400000000001</c:v>
                </c:pt>
                <c:pt idx="3">
                  <c:v>36.225200000000001</c:v>
                </c:pt>
                <c:pt idx="4">
                  <c:v>33.632599999999996</c:v>
                </c:pt>
                <c:pt idx="5">
                  <c:v>32.992699999999999</c:v>
                </c:pt>
                <c:pt idx="6">
                  <c:v>30.400099999999998</c:v>
                </c:pt>
                <c:pt idx="7">
                  <c:v>29.564900000000002</c:v>
                </c:pt>
                <c:pt idx="8">
                  <c:v>28.962700000000002</c:v>
                </c:pt>
                <c:pt idx="9">
                  <c:v>26.721</c:v>
                </c:pt>
                <c:pt idx="10">
                  <c:v>28.4434</c:v>
                </c:pt>
                <c:pt idx="11">
                  <c:v>31.020600000000002</c:v>
                </c:pt>
                <c:pt idx="12">
                  <c:v>37.248699999999999</c:v>
                </c:pt>
                <c:pt idx="13">
                  <c:v>47.028500000000001</c:v>
                </c:pt>
                <c:pt idx="14">
                  <c:v>58.815700000000007</c:v>
                </c:pt>
                <c:pt idx="15">
                  <c:v>73.8245</c:v>
                </c:pt>
                <c:pt idx="16">
                  <c:v>92.544499999999999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97.493899999999996</c:v>
                </c:pt>
                <c:pt idx="41">
                  <c:v>92.087199999999996</c:v>
                </c:pt>
                <c:pt idx="42">
                  <c:v>84.190100000000001</c:v>
                </c:pt>
                <c:pt idx="43">
                  <c:v>77.062200000000004</c:v>
                </c:pt>
                <c:pt idx="44">
                  <c:v>71.584000000000003</c:v>
                </c:pt>
                <c:pt idx="45">
                  <c:v>65.719200000000001</c:v>
                </c:pt>
                <c:pt idx="46">
                  <c:v>56.160499999999999</c:v>
                </c:pt>
                <c:pt idx="47">
                  <c:v>52.186200000000007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742D-4180-AC85-4408F677BA26}"/>
            </c:ext>
          </c:extLst>
        </c:ser>
        <c:ser>
          <c:idx val="34"/>
          <c:order val="34"/>
          <c:tx>
            <c:v>BES_TR8_four368_C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SOC_pct!$AK$2:$AK$49</c:f>
              <c:numCache>
                <c:formatCode>0.0</c:formatCode>
                <c:ptCount val="48"/>
                <c:pt idx="0">
                  <c:v>40</c:v>
                </c:pt>
                <c:pt idx="1">
                  <c:v>38.371600000000001</c:v>
                </c:pt>
                <c:pt idx="2">
                  <c:v>36.743200000000002</c:v>
                </c:pt>
                <c:pt idx="3">
                  <c:v>35.334800000000001</c:v>
                </c:pt>
                <c:pt idx="4">
                  <c:v>33.9863</c:v>
                </c:pt>
                <c:pt idx="5">
                  <c:v>32.078000000000003</c:v>
                </c:pt>
                <c:pt idx="6">
                  <c:v>31.4757</c:v>
                </c:pt>
                <c:pt idx="7">
                  <c:v>30.686800000000002</c:v>
                </c:pt>
                <c:pt idx="8">
                  <c:v>28.251200000000001</c:v>
                </c:pt>
                <c:pt idx="9">
                  <c:v>28.116900000000001</c:v>
                </c:pt>
                <c:pt idx="10">
                  <c:v>27.837800000000001</c:v>
                </c:pt>
                <c:pt idx="11">
                  <c:v>31.035599999999999</c:v>
                </c:pt>
                <c:pt idx="12">
                  <c:v>36.7774</c:v>
                </c:pt>
                <c:pt idx="13">
                  <c:v>45.018500000000003</c:v>
                </c:pt>
                <c:pt idx="14">
                  <c:v>54.130100000000013</c:v>
                </c:pt>
                <c:pt idx="15">
                  <c:v>67.699600000000004</c:v>
                </c:pt>
                <c:pt idx="16">
                  <c:v>83.883600000000001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92.629099999999994</c:v>
                </c:pt>
                <c:pt idx="40">
                  <c:v>81.989699999999999</c:v>
                </c:pt>
                <c:pt idx="41">
                  <c:v>62.783599999999993</c:v>
                </c:pt>
                <c:pt idx="42">
                  <c:v>51.9467</c:v>
                </c:pt>
                <c:pt idx="43">
                  <c:v>45.763399999999997</c:v>
                </c:pt>
                <c:pt idx="44">
                  <c:v>26.166399999999999</c:v>
                </c:pt>
                <c:pt idx="45">
                  <c:v>21.330400000000001</c:v>
                </c:pt>
                <c:pt idx="46">
                  <c:v>16.304600000000001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42D-4180-AC85-4408F677BA26}"/>
            </c:ext>
          </c:extLst>
        </c:ser>
        <c:ser>
          <c:idx val="35"/>
          <c:order val="35"/>
          <c:tx>
            <c:v>BES_TR8_four372_C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SOC_pct!$AL$2:$AL$49</c:f>
              <c:numCache>
                <c:formatCode>0.0</c:formatCode>
                <c:ptCount val="48"/>
                <c:pt idx="0">
                  <c:v>40</c:v>
                </c:pt>
                <c:pt idx="1">
                  <c:v>39.435299999999998</c:v>
                </c:pt>
                <c:pt idx="2">
                  <c:v>38.870600000000003</c:v>
                </c:pt>
                <c:pt idx="3">
                  <c:v>38.116</c:v>
                </c:pt>
                <c:pt idx="4">
                  <c:v>35.651800000000001</c:v>
                </c:pt>
                <c:pt idx="5">
                  <c:v>35.0871</c:v>
                </c:pt>
                <c:pt idx="6">
                  <c:v>34.142499999999998</c:v>
                </c:pt>
                <c:pt idx="7">
                  <c:v>31.868300000000001</c:v>
                </c:pt>
                <c:pt idx="8">
                  <c:v>31.3306</c:v>
                </c:pt>
                <c:pt idx="9">
                  <c:v>29.066500000000001</c:v>
                </c:pt>
                <c:pt idx="10">
                  <c:v>30.2</c:v>
                </c:pt>
                <c:pt idx="11">
                  <c:v>32.9482</c:v>
                </c:pt>
                <c:pt idx="12">
                  <c:v>35.795999999999999</c:v>
                </c:pt>
                <c:pt idx="13">
                  <c:v>42.684800000000003</c:v>
                </c:pt>
                <c:pt idx="14">
                  <c:v>51.760599999999997</c:v>
                </c:pt>
                <c:pt idx="15">
                  <c:v>62.926499999999997</c:v>
                </c:pt>
                <c:pt idx="16">
                  <c:v>71.907299999999992</c:v>
                </c:pt>
                <c:pt idx="17">
                  <c:v>86.974099999999993</c:v>
                </c:pt>
                <c:pt idx="18">
                  <c:v>87.619699999999995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86.449200000000005</c:v>
                </c:pt>
                <c:pt idx="36">
                  <c:v>85.602800000000002</c:v>
                </c:pt>
                <c:pt idx="37">
                  <c:v>85.766300000000001</c:v>
                </c:pt>
                <c:pt idx="38">
                  <c:v>81.631500000000003</c:v>
                </c:pt>
                <c:pt idx="39">
                  <c:v>78.484699999999989</c:v>
                </c:pt>
                <c:pt idx="40">
                  <c:v>74.853000000000009</c:v>
                </c:pt>
                <c:pt idx="41">
                  <c:v>68.920699999999997</c:v>
                </c:pt>
                <c:pt idx="42">
                  <c:v>48.125</c:v>
                </c:pt>
                <c:pt idx="43">
                  <c:v>33.219099999999997</c:v>
                </c:pt>
                <c:pt idx="44">
                  <c:v>22.339300000000001</c:v>
                </c:pt>
                <c:pt idx="45">
                  <c:v>11.040900000000001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742D-4180-AC85-4408F677BA26}"/>
            </c:ext>
          </c:extLst>
        </c:ser>
        <c:ser>
          <c:idx val="36"/>
          <c:order val="36"/>
          <c:tx>
            <c:v>BES_TR8_four381_A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SOC_pct!$AM$2:$AM$49</c:f>
              <c:numCache>
                <c:formatCode>0.0</c:formatCode>
                <c:ptCount val="48"/>
                <c:pt idx="0">
                  <c:v>40</c:v>
                </c:pt>
                <c:pt idx="1">
                  <c:v>39.010800000000003</c:v>
                </c:pt>
                <c:pt idx="2">
                  <c:v>35.400500000000001</c:v>
                </c:pt>
                <c:pt idx="3">
                  <c:v>34.773000000000003</c:v>
                </c:pt>
                <c:pt idx="4">
                  <c:v>34.145600000000002</c:v>
                </c:pt>
                <c:pt idx="5">
                  <c:v>30.444800000000001</c:v>
                </c:pt>
                <c:pt idx="6">
                  <c:v>29.546099999999999</c:v>
                </c:pt>
                <c:pt idx="7">
                  <c:v>27.950700000000001</c:v>
                </c:pt>
                <c:pt idx="8">
                  <c:v>25.149000000000001</c:v>
                </c:pt>
                <c:pt idx="9">
                  <c:v>24.652799999999999</c:v>
                </c:pt>
                <c:pt idx="10">
                  <c:v>24.1295</c:v>
                </c:pt>
                <c:pt idx="11">
                  <c:v>24.379300000000001</c:v>
                </c:pt>
                <c:pt idx="12">
                  <c:v>27.481200000000001</c:v>
                </c:pt>
                <c:pt idx="13">
                  <c:v>30.753399999999999</c:v>
                </c:pt>
                <c:pt idx="14">
                  <c:v>37.448900000000002</c:v>
                </c:pt>
                <c:pt idx="15">
                  <c:v>44.584000000000003</c:v>
                </c:pt>
                <c:pt idx="16">
                  <c:v>53.867699999999999</c:v>
                </c:pt>
                <c:pt idx="17">
                  <c:v>64.974600000000009</c:v>
                </c:pt>
                <c:pt idx="18">
                  <c:v>63.720599999999997</c:v>
                </c:pt>
                <c:pt idx="19">
                  <c:v>73.090800000000002</c:v>
                </c:pt>
                <c:pt idx="20">
                  <c:v>87.732200000000006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99.602500000000006</c:v>
                </c:pt>
                <c:pt idx="39">
                  <c:v>99.787300000000002</c:v>
                </c:pt>
                <c:pt idx="40">
                  <c:v>95.236500000000007</c:v>
                </c:pt>
                <c:pt idx="41">
                  <c:v>71.705300000000008</c:v>
                </c:pt>
                <c:pt idx="42">
                  <c:v>64.060900000000004</c:v>
                </c:pt>
                <c:pt idx="43">
                  <c:v>54.490799999999993</c:v>
                </c:pt>
                <c:pt idx="44">
                  <c:v>42.8386</c:v>
                </c:pt>
                <c:pt idx="45">
                  <c:v>33.659999999999997</c:v>
                </c:pt>
                <c:pt idx="46">
                  <c:v>26.760200000000001</c:v>
                </c:pt>
                <c:pt idx="47">
                  <c:v>21.208300000000001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42D-4180-AC85-4408F677BA26}"/>
            </c:ext>
          </c:extLst>
        </c:ser>
        <c:ser>
          <c:idx val="37"/>
          <c:order val="37"/>
          <c:tx>
            <c:v>BES_TR8_four385_A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SOC_pct!$AN$2:$AN$49</c:f>
              <c:numCache>
                <c:formatCode>0.0</c:formatCode>
                <c:ptCount val="48"/>
                <c:pt idx="0">
                  <c:v>40</c:v>
                </c:pt>
                <c:pt idx="1">
                  <c:v>38.656399999999998</c:v>
                </c:pt>
                <c:pt idx="2">
                  <c:v>38.066600000000001</c:v>
                </c:pt>
                <c:pt idx="3">
                  <c:v>36.063400000000001</c:v>
                </c:pt>
                <c:pt idx="4">
                  <c:v>34.814100000000003</c:v>
                </c:pt>
                <c:pt idx="5">
                  <c:v>34.167999999999999</c:v>
                </c:pt>
                <c:pt idx="6">
                  <c:v>31.736000000000001</c:v>
                </c:pt>
                <c:pt idx="7">
                  <c:v>29.732800000000001</c:v>
                </c:pt>
                <c:pt idx="8">
                  <c:v>29.186199999999999</c:v>
                </c:pt>
                <c:pt idx="9">
                  <c:v>27.147600000000001</c:v>
                </c:pt>
                <c:pt idx="10">
                  <c:v>29.243400000000001</c:v>
                </c:pt>
                <c:pt idx="11">
                  <c:v>33.414200000000001</c:v>
                </c:pt>
                <c:pt idx="12">
                  <c:v>39.905000000000001</c:v>
                </c:pt>
                <c:pt idx="13">
                  <c:v>51.209400000000002</c:v>
                </c:pt>
                <c:pt idx="14">
                  <c:v>64.147300000000001</c:v>
                </c:pt>
                <c:pt idx="15">
                  <c:v>82.431899999999999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98.681899999999999</c:v>
                </c:pt>
                <c:pt idx="41">
                  <c:v>98.340099999999993</c:v>
                </c:pt>
                <c:pt idx="42">
                  <c:v>97.445499999999996</c:v>
                </c:pt>
                <c:pt idx="43">
                  <c:v>94.777299999999997</c:v>
                </c:pt>
                <c:pt idx="44">
                  <c:v>88.782300000000006</c:v>
                </c:pt>
                <c:pt idx="45">
                  <c:v>84.686499999999995</c:v>
                </c:pt>
                <c:pt idx="46">
                  <c:v>81.345500000000001</c:v>
                </c:pt>
                <c:pt idx="47">
                  <c:v>76.799599999999998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742D-4180-AC85-4408F677BA26}"/>
            </c:ext>
          </c:extLst>
        </c:ser>
        <c:ser>
          <c:idx val="38"/>
          <c:order val="38"/>
          <c:tx>
            <c:v>BES_TR8_four423_C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SOC_pct!$AO$2:$AO$49</c:f>
              <c:numCache>
                <c:formatCode>0.0</c:formatCode>
                <c:ptCount val="48"/>
                <c:pt idx="0">
                  <c:v>40</c:v>
                </c:pt>
                <c:pt idx="1">
                  <c:v>38.742699999999999</c:v>
                </c:pt>
                <c:pt idx="2">
                  <c:v>34.588700000000003</c:v>
                </c:pt>
                <c:pt idx="3">
                  <c:v>33.865200000000002</c:v>
                </c:pt>
                <c:pt idx="4">
                  <c:v>31.028300000000002</c:v>
                </c:pt>
                <c:pt idx="5">
                  <c:v>29.083200000000001</c:v>
                </c:pt>
                <c:pt idx="6">
                  <c:v>26.904</c:v>
                </c:pt>
                <c:pt idx="7">
                  <c:v>24.2776</c:v>
                </c:pt>
                <c:pt idx="8">
                  <c:v>21.210100000000001</c:v>
                </c:pt>
                <c:pt idx="9">
                  <c:v>19.534400000000002</c:v>
                </c:pt>
                <c:pt idx="10">
                  <c:v>19.921900000000001</c:v>
                </c:pt>
                <c:pt idx="11">
                  <c:v>23.316299999999998</c:v>
                </c:pt>
                <c:pt idx="12">
                  <c:v>30.2928</c:v>
                </c:pt>
                <c:pt idx="13">
                  <c:v>39.605499999999999</c:v>
                </c:pt>
                <c:pt idx="14">
                  <c:v>53.506799999999998</c:v>
                </c:pt>
                <c:pt idx="15">
                  <c:v>70.659000000000006</c:v>
                </c:pt>
                <c:pt idx="16">
                  <c:v>89.362499999999997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95.762100000000004</c:v>
                </c:pt>
                <c:pt idx="41">
                  <c:v>88.326300000000003</c:v>
                </c:pt>
                <c:pt idx="42">
                  <c:v>81.986899999999991</c:v>
                </c:pt>
                <c:pt idx="43">
                  <c:v>79.267499999999998</c:v>
                </c:pt>
                <c:pt idx="44">
                  <c:v>74.74260000000001</c:v>
                </c:pt>
                <c:pt idx="45">
                  <c:v>74.019100000000009</c:v>
                </c:pt>
                <c:pt idx="46">
                  <c:v>70.173300000000012</c:v>
                </c:pt>
                <c:pt idx="47">
                  <c:v>68.281999999999996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42D-4180-AC85-4408F677BA26}"/>
            </c:ext>
          </c:extLst>
        </c:ser>
        <c:ser>
          <c:idx val="39"/>
          <c:order val="39"/>
          <c:tx>
            <c:v>BES_TR8_four437_A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SOC_pct!$AP$2:$AP$49</c:f>
              <c:numCache>
                <c:formatCode>0.0</c:formatCode>
                <c:ptCount val="48"/>
                <c:pt idx="0">
                  <c:v>40</c:v>
                </c:pt>
                <c:pt idx="1">
                  <c:v>39.422800000000002</c:v>
                </c:pt>
                <c:pt idx="2">
                  <c:v>38.845500000000001</c:v>
                </c:pt>
                <c:pt idx="3">
                  <c:v>38.268300000000004</c:v>
                </c:pt>
                <c:pt idx="4">
                  <c:v>37.691099999999999</c:v>
                </c:pt>
                <c:pt idx="5">
                  <c:v>37.113799999999998</c:v>
                </c:pt>
                <c:pt idx="6">
                  <c:v>36.5366</c:v>
                </c:pt>
                <c:pt idx="7">
                  <c:v>35.959400000000002</c:v>
                </c:pt>
                <c:pt idx="8">
                  <c:v>35.419899999999998</c:v>
                </c:pt>
                <c:pt idx="9">
                  <c:v>35.388800000000003</c:v>
                </c:pt>
                <c:pt idx="10">
                  <c:v>37.1676</c:v>
                </c:pt>
                <c:pt idx="11">
                  <c:v>38.405700000000003</c:v>
                </c:pt>
                <c:pt idx="12">
                  <c:v>45.217399999999998</c:v>
                </c:pt>
                <c:pt idx="13">
                  <c:v>55.053700000000013</c:v>
                </c:pt>
                <c:pt idx="14">
                  <c:v>67.951799999999992</c:v>
                </c:pt>
                <c:pt idx="15">
                  <c:v>83.895799999999994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95.710599999999999</c:v>
                </c:pt>
                <c:pt idx="41">
                  <c:v>95.350400000000008</c:v>
                </c:pt>
                <c:pt idx="42">
                  <c:v>94.773200000000003</c:v>
                </c:pt>
                <c:pt idx="43">
                  <c:v>84.160299999999992</c:v>
                </c:pt>
                <c:pt idx="44">
                  <c:v>83.582999999999998</c:v>
                </c:pt>
                <c:pt idx="45">
                  <c:v>83.005799999999994</c:v>
                </c:pt>
                <c:pt idx="46">
                  <c:v>82.428600000000003</c:v>
                </c:pt>
                <c:pt idx="47">
                  <c:v>81.851300000000009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742D-4180-AC85-4408F677BA26}"/>
            </c:ext>
          </c:extLst>
        </c:ser>
        <c:ser>
          <c:idx val="40"/>
          <c:order val="40"/>
          <c:tx>
            <c:v>BES_TR8_four446_B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SOC_pct!$AQ$2:$AQ$49</c:f>
              <c:numCache>
                <c:formatCode>0.0</c:formatCode>
                <c:ptCount val="48"/>
                <c:pt idx="0">
                  <c:v>40</c:v>
                </c:pt>
                <c:pt idx="1">
                  <c:v>38.383600000000001</c:v>
                </c:pt>
                <c:pt idx="2">
                  <c:v>37.718600000000002</c:v>
                </c:pt>
                <c:pt idx="3">
                  <c:v>36.207900000000002</c:v>
                </c:pt>
                <c:pt idx="4">
                  <c:v>35.437100000000001</c:v>
                </c:pt>
                <c:pt idx="5">
                  <c:v>34.243499999999997</c:v>
                </c:pt>
                <c:pt idx="6">
                  <c:v>33.155700000000003</c:v>
                </c:pt>
                <c:pt idx="7">
                  <c:v>32.490600000000001</c:v>
                </c:pt>
                <c:pt idx="8">
                  <c:v>30.911999999999999</c:v>
                </c:pt>
                <c:pt idx="9">
                  <c:v>30.792999999999999</c:v>
                </c:pt>
                <c:pt idx="10">
                  <c:v>32.492800000000003</c:v>
                </c:pt>
                <c:pt idx="11">
                  <c:v>35.597099999999998</c:v>
                </c:pt>
                <c:pt idx="12">
                  <c:v>42.329799999999999</c:v>
                </c:pt>
                <c:pt idx="13">
                  <c:v>51.230800000000002</c:v>
                </c:pt>
                <c:pt idx="14">
                  <c:v>64.049800000000005</c:v>
                </c:pt>
                <c:pt idx="15">
                  <c:v>79.914700000000011</c:v>
                </c:pt>
                <c:pt idx="16">
                  <c:v>97.973799999999997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90.630499999999998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95.621399999999994</c:v>
                </c:pt>
                <c:pt idx="41">
                  <c:v>88.348399999999998</c:v>
                </c:pt>
                <c:pt idx="42">
                  <c:v>65.363200000000006</c:v>
                </c:pt>
                <c:pt idx="43">
                  <c:v>58.781300000000002</c:v>
                </c:pt>
                <c:pt idx="44">
                  <c:v>54.752100000000013</c:v>
                </c:pt>
                <c:pt idx="45">
                  <c:v>48.955300000000001</c:v>
                </c:pt>
                <c:pt idx="46">
                  <c:v>40.349499999999999</c:v>
                </c:pt>
                <c:pt idx="47">
                  <c:v>31.781400000000001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42D-4180-AC85-4408F677BA26}"/>
            </c:ext>
          </c:extLst>
        </c:ser>
        <c:ser>
          <c:idx val="41"/>
          <c:order val="41"/>
          <c:tx>
            <c:v>BES_TR8_four466_C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SOC_pct!$AR$2:$AR$49</c:f>
              <c:numCache>
                <c:formatCode>0.0</c:formatCode>
                <c:ptCount val="48"/>
                <c:pt idx="0">
                  <c:v>40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12.0055</c:v>
                </c:pt>
                <c:pt idx="11">
                  <c:v>16.594799999999999</c:v>
                </c:pt>
                <c:pt idx="12">
                  <c:v>23.8766</c:v>
                </c:pt>
                <c:pt idx="13">
                  <c:v>33.505299999999998</c:v>
                </c:pt>
                <c:pt idx="14">
                  <c:v>47.667499999999997</c:v>
                </c:pt>
                <c:pt idx="15">
                  <c:v>65.861699999999999</c:v>
                </c:pt>
                <c:pt idx="16">
                  <c:v>87.542000000000002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99.5578</c:v>
                </c:pt>
                <c:pt idx="42">
                  <c:v>98.867599999999996</c:v>
                </c:pt>
                <c:pt idx="43">
                  <c:v>98.177499999999995</c:v>
                </c:pt>
                <c:pt idx="44">
                  <c:v>94.342700000000008</c:v>
                </c:pt>
                <c:pt idx="45">
                  <c:v>89.775000000000006</c:v>
                </c:pt>
                <c:pt idx="46">
                  <c:v>86.518799999999999</c:v>
                </c:pt>
                <c:pt idx="47">
                  <c:v>85.828599999999994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742D-4180-AC85-4408F677BA26}"/>
            </c:ext>
          </c:extLst>
        </c:ser>
        <c:ser>
          <c:idx val="42"/>
          <c:order val="42"/>
          <c:tx>
            <c:v>BES_TR8_four467_C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SOC_pct!$AS$2:$AS$49</c:f>
              <c:numCache>
                <c:formatCode>0.0</c:formatCode>
                <c:ptCount val="48"/>
                <c:pt idx="0">
                  <c:v>40</c:v>
                </c:pt>
                <c:pt idx="1">
                  <c:v>38.806100000000001</c:v>
                </c:pt>
                <c:pt idx="2">
                  <c:v>37.495699999999999</c:v>
                </c:pt>
                <c:pt idx="3">
                  <c:v>36.767899999999997</c:v>
                </c:pt>
                <c:pt idx="4">
                  <c:v>35.107999999999997</c:v>
                </c:pt>
                <c:pt idx="5">
                  <c:v>34.263599999999997</c:v>
                </c:pt>
                <c:pt idx="6">
                  <c:v>33.011499999999998</c:v>
                </c:pt>
                <c:pt idx="7">
                  <c:v>31.7593</c:v>
                </c:pt>
                <c:pt idx="8">
                  <c:v>31.0747</c:v>
                </c:pt>
                <c:pt idx="9">
                  <c:v>29.9223</c:v>
                </c:pt>
                <c:pt idx="10">
                  <c:v>31.893999999999998</c:v>
                </c:pt>
                <c:pt idx="11">
                  <c:v>36.449300000000001</c:v>
                </c:pt>
                <c:pt idx="12">
                  <c:v>44.172899999999998</c:v>
                </c:pt>
                <c:pt idx="13">
                  <c:v>54.409199999999998</c:v>
                </c:pt>
                <c:pt idx="14">
                  <c:v>69.0886</c:v>
                </c:pt>
                <c:pt idx="15">
                  <c:v>86.486599999999996</c:v>
                </c:pt>
                <c:pt idx="16">
                  <c:v>86.486599999999996</c:v>
                </c:pt>
                <c:pt idx="17">
                  <c:v>92.377099999999999</c:v>
                </c:pt>
                <c:pt idx="18">
                  <c:v>92.377099999999999</c:v>
                </c:pt>
                <c:pt idx="19">
                  <c:v>99.999899999999997</c:v>
                </c:pt>
                <c:pt idx="20">
                  <c:v>96.609099999999998</c:v>
                </c:pt>
                <c:pt idx="21">
                  <c:v>96.609099999999998</c:v>
                </c:pt>
                <c:pt idx="22">
                  <c:v>99.999899999999997</c:v>
                </c:pt>
                <c:pt idx="23">
                  <c:v>94.704999999999998</c:v>
                </c:pt>
                <c:pt idx="24">
                  <c:v>94.704999999999998</c:v>
                </c:pt>
                <c:pt idx="25">
                  <c:v>94.704999999999998</c:v>
                </c:pt>
                <c:pt idx="26">
                  <c:v>92.990099999999998</c:v>
                </c:pt>
                <c:pt idx="27">
                  <c:v>96.259600000000006</c:v>
                </c:pt>
                <c:pt idx="28">
                  <c:v>96.259600000000006</c:v>
                </c:pt>
                <c:pt idx="29">
                  <c:v>96.259600000000006</c:v>
                </c:pt>
                <c:pt idx="30">
                  <c:v>87.263999999999996</c:v>
                </c:pt>
                <c:pt idx="31">
                  <c:v>83.343199999999996</c:v>
                </c:pt>
                <c:pt idx="32">
                  <c:v>94.454000000000008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99.908200000000008</c:v>
                </c:pt>
                <c:pt idx="41">
                  <c:v>97.7804</c:v>
                </c:pt>
                <c:pt idx="42">
                  <c:v>75.436000000000007</c:v>
                </c:pt>
                <c:pt idx="43">
                  <c:v>56.917399999999986</c:v>
                </c:pt>
                <c:pt idx="44">
                  <c:v>44.129899999999999</c:v>
                </c:pt>
                <c:pt idx="45">
                  <c:v>37.734699999999997</c:v>
                </c:pt>
                <c:pt idx="46">
                  <c:v>33.7273</c:v>
                </c:pt>
                <c:pt idx="47">
                  <c:v>31.950900000000001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742D-4180-AC85-4408F677BA26}"/>
            </c:ext>
          </c:extLst>
        </c:ser>
        <c:ser>
          <c:idx val="43"/>
          <c:order val="43"/>
          <c:tx>
            <c:v>BES_TR8_four548_B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SOC_pct!$AT$2:$AT$49</c:f>
              <c:numCache>
                <c:formatCode>0.0</c:formatCode>
                <c:ptCount val="48"/>
                <c:pt idx="0">
                  <c:v>40</c:v>
                </c:pt>
                <c:pt idx="1">
                  <c:v>39.498100000000001</c:v>
                </c:pt>
                <c:pt idx="2">
                  <c:v>38.133699999999997</c:v>
                </c:pt>
                <c:pt idx="3">
                  <c:v>36.066099999999999</c:v>
                </c:pt>
                <c:pt idx="4">
                  <c:v>35.276699999999998</c:v>
                </c:pt>
                <c:pt idx="5">
                  <c:v>33.808300000000003</c:v>
                </c:pt>
                <c:pt idx="6">
                  <c:v>32.036299999999997</c:v>
                </c:pt>
                <c:pt idx="7">
                  <c:v>30.532900000000001</c:v>
                </c:pt>
                <c:pt idx="8">
                  <c:v>28.721800000000002</c:v>
                </c:pt>
                <c:pt idx="9">
                  <c:v>27.674199999999999</c:v>
                </c:pt>
                <c:pt idx="10">
                  <c:v>27.0611</c:v>
                </c:pt>
                <c:pt idx="11">
                  <c:v>29.214500000000001</c:v>
                </c:pt>
                <c:pt idx="12">
                  <c:v>30.7667</c:v>
                </c:pt>
                <c:pt idx="13">
                  <c:v>36.232599999999998</c:v>
                </c:pt>
                <c:pt idx="14">
                  <c:v>40.7331</c:v>
                </c:pt>
                <c:pt idx="15">
                  <c:v>47.274500000000003</c:v>
                </c:pt>
                <c:pt idx="16">
                  <c:v>56.793999999999997</c:v>
                </c:pt>
                <c:pt idx="17">
                  <c:v>67.406600000000012</c:v>
                </c:pt>
                <c:pt idx="18">
                  <c:v>78.9773</c:v>
                </c:pt>
                <c:pt idx="19">
                  <c:v>84.411899999999989</c:v>
                </c:pt>
                <c:pt idx="20">
                  <c:v>96.230099999999993</c:v>
                </c:pt>
                <c:pt idx="21">
                  <c:v>94.585899999999995</c:v>
                </c:pt>
                <c:pt idx="22">
                  <c:v>89.512199999999993</c:v>
                </c:pt>
                <c:pt idx="23">
                  <c:v>98.918199999999999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95.6755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85.1614</c:v>
                </c:pt>
                <c:pt idx="39">
                  <c:v>86.099599999999995</c:v>
                </c:pt>
                <c:pt idx="40">
                  <c:v>84.704300000000003</c:v>
                </c:pt>
                <c:pt idx="41">
                  <c:v>83.463899999999995</c:v>
                </c:pt>
                <c:pt idx="42">
                  <c:v>82.962000000000003</c:v>
                </c:pt>
                <c:pt idx="43">
                  <c:v>81.677199999999999</c:v>
                </c:pt>
                <c:pt idx="44">
                  <c:v>80.392499999999998</c:v>
                </c:pt>
                <c:pt idx="45">
                  <c:v>79.890500000000003</c:v>
                </c:pt>
                <c:pt idx="46">
                  <c:v>78.957400000000007</c:v>
                </c:pt>
                <c:pt idx="47">
                  <c:v>77.789400000000001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742D-4180-AC85-4408F677BA26}"/>
            </c:ext>
          </c:extLst>
        </c:ser>
        <c:ser>
          <c:idx val="44"/>
          <c:order val="44"/>
          <c:tx>
            <c:v>BES_TR8_four558_C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SOC_pct!$AU$2:$AU$49</c:f>
              <c:numCache>
                <c:formatCode>0.0</c:formatCode>
                <c:ptCount val="48"/>
                <c:pt idx="0">
                  <c:v>40</c:v>
                </c:pt>
                <c:pt idx="1">
                  <c:v>38.330300000000001</c:v>
                </c:pt>
                <c:pt idx="2">
                  <c:v>37.7029</c:v>
                </c:pt>
                <c:pt idx="3">
                  <c:v>36.619399999999999</c:v>
                </c:pt>
                <c:pt idx="4">
                  <c:v>35.145099999999999</c:v>
                </c:pt>
                <c:pt idx="5">
                  <c:v>34.517699999999998</c:v>
                </c:pt>
                <c:pt idx="6">
                  <c:v>32.587400000000002</c:v>
                </c:pt>
                <c:pt idx="7">
                  <c:v>31.96</c:v>
                </c:pt>
                <c:pt idx="8">
                  <c:v>31.375699999999998</c:v>
                </c:pt>
                <c:pt idx="9">
                  <c:v>31.372399999999999</c:v>
                </c:pt>
                <c:pt idx="10">
                  <c:v>33.434399999999997</c:v>
                </c:pt>
                <c:pt idx="11">
                  <c:v>37.904200000000003</c:v>
                </c:pt>
                <c:pt idx="12">
                  <c:v>44.721400000000003</c:v>
                </c:pt>
                <c:pt idx="13">
                  <c:v>55.991899999999987</c:v>
                </c:pt>
                <c:pt idx="14">
                  <c:v>70.761600000000001</c:v>
                </c:pt>
                <c:pt idx="15">
                  <c:v>88.493499999999997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98.894199999999998</c:v>
                </c:pt>
                <c:pt idx="41">
                  <c:v>97.051299999999998</c:v>
                </c:pt>
                <c:pt idx="42">
                  <c:v>96.423899999999989</c:v>
                </c:pt>
                <c:pt idx="43">
                  <c:v>95.796400000000006</c:v>
                </c:pt>
                <c:pt idx="44">
                  <c:v>95.168999999999997</c:v>
                </c:pt>
                <c:pt idx="45">
                  <c:v>93.303899999999999</c:v>
                </c:pt>
                <c:pt idx="46">
                  <c:v>92.6113</c:v>
                </c:pt>
                <c:pt idx="47">
                  <c:v>91.78840000000001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742D-4180-AC85-4408F677BA26}"/>
            </c:ext>
          </c:extLst>
        </c:ser>
        <c:ser>
          <c:idx val="45"/>
          <c:order val="45"/>
          <c:tx>
            <c:v>BES_TR8_four562_C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SOC_pct!$AV$2:$AV$49</c:f>
              <c:numCache>
                <c:formatCode>0.0</c:formatCode>
                <c:ptCount val="48"/>
                <c:pt idx="0">
                  <c:v>40</c:v>
                </c:pt>
                <c:pt idx="1">
                  <c:v>37.532400000000003</c:v>
                </c:pt>
                <c:pt idx="2">
                  <c:v>36.842300000000002</c:v>
                </c:pt>
                <c:pt idx="3">
                  <c:v>31.970300000000002</c:v>
                </c:pt>
                <c:pt idx="4">
                  <c:v>31.093299999999999</c:v>
                </c:pt>
                <c:pt idx="5">
                  <c:v>29.7469</c:v>
                </c:pt>
                <c:pt idx="6">
                  <c:v>26.814399999999999</c:v>
                </c:pt>
                <c:pt idx="7">
                  <c:v>25.561699999999998</c:v>
                </c:pt>
                <c:pt idx="8">
                  <c:v>23.507300000000001</c:v>
                </c:pt>
                <c:pt idx="9">
                  <c:v>21.726099999999999</c:v>
                </c:pt>
                <c:pt idx="10">
                  <c:v>23.276700000000002</c:v>
                </c:pt>
                <c:pt idx="11">
                  <c:v>26.455300000000001</c:v>
                </c:pt>
                <c:pt idx="12">
                  <c:v>31.315899999999999</c:v>
                </c:pt>
                <c:pt idx="13">
                  <c:v>40.291200000000003</c:v>
                </c:pt>
                <c:pt idx="14">
                  <c:v>51.910699999999999</c:v>
                </c:pt>
                <c:pt idx="15">
                  <c:v>66.447699999999998</c:v>
                </c:pt>
                <c:pt idx="16">
                  <c:v>85.213799999999992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99.740799999999993</c:v>
                </c:pt>
                <c:pt idx="39">
                  <c:v>98.262100000000004</c:v>
                </c:pt>
                <c:pt idx="40">
                  <c:v>94.796899999999994</c:v>
                </c:pt>
                <c:pt idx="41">
                  <c:v>86.60799999999999</c:v>
                </c:pt>
                <c:pt idx="42">
                  <c:v>69.977699999999999</c:v>
                </c:pt>
                <c:pt idx="43">
                  <c:v>31.45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742D-4180-AC85-4408F677BA26}"/>
            </c:ext>
          </c:extLst>
        </c:ser>
        <c:ser>
          <c:idx val="46"/>
          <c:order val="46"/>
          <c:tx>
            <c:v>BES_TR8_four590_A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SOC_pct!$AW$2:$AW$49</c:f>
              <c:numCache>
                <c:formatCode>0.0</c:formatCode>
                <c:ptCount val="48"/>
                <c:pt idx="0">
                  <c:v>40</c:v>
                </c:pt>
                <c:pt idx="1">
                  <c:v>39.247100000000003</c:v>
                </c:pt>
                <c:pt idx="2">
                  <c:v>38.494199999999999</c:v>
                </c:pt>
                <c:pt idx="3">
                  <c:v>37.741300000000003</c:v>
                </c:pt>
                <c:pt idx="4">
                  <c:v>36.988399999999999</c:v>
                </c:pt>
                <c:pt idx="5">
                  <c:v>36.235399999999998</c:v>
                </c:pt>
                <c:pt idx="6">
                  <c:v>35.482500000000002</c:v>
                </c:pt>
                <c:pt idx="7">
                  <c:v>34.729599999999998</c:v>
                </c:pt>
                <c:pt idx="8">
                  <c:v>34.0199</c:v>
                </c:pt>
                <c:pt idx="9">
                  <c:v>33.891100000000002</c:v>
                </c:pt>
                <c:pt idx="10">
                  <c:v>35.8401</c:v>
                </c:pt>
                <c:pt idx="11">
                  <c:v>40.372900000000001</c:v>
                </c:pt>
                <c:pt idx="12">
                  <c:v>48.073799999999999</c:v>
                </c:pt>
                <c:pt idx="13">
                  <c:v>59.231400000000001</c:v>
                </c:pt>
                <c:pt idx="14">
                  <c:v>73.888199999999998</c:v>
                </c:pt>
                <c:pt idx="15">
                  <c:v>92.025900000000007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97.517200000000003</c:v>
                </c:pt>
                <c:pt idx="41">
                  <c:v>94.040500000000009</c:v>
                </c:pt>
                <c:pt idx="42">
                  <c:v>89.392899999999997</c:v>
                </c:pt>
                <c:pt idx="43">
                  <c:v>82.799000000000007</c:v>
                </c:pt>
                <c:pt idx="44">
                  <c:v>77.275400000000005</c:v>
                </c:pt>
                <c:pt idx="45">
                  <c:v>71.538199999999989</c:v>
                </c:pt>
                <c:pt idx="46">
                  <c:v>49.669499999999999</c:v>
                </c:pt>
                <c:pt idx="47">
                  <c:v>30.535399999999999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742D-4180-AC85-4408F677BA26}"/>
            </c:ext>
          </c:extLst>
        </c:ser>
        <c:ser>
          <c:idx val="47"/>
          <c:order val="47"/>
          <c:tx>
            <c:v>BES_TR8_four604_A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SOC_pct!$AX$2:$AX$49</c:f>
              <c:numCache>
                <c:formatCode>0.0</c:formatCode>
                <c:ptCount val="48"/>
                <c:pt idx="0">
                  <c:v>40</c:v>
                </c:pt>
                <c:pt idx="1">
                  <c:v>39.259599999999999</c:v>
                </c:pt>
                <c:pt idx="2">
                  <c:v>37.090800000000002</c:v>
                </c:pt>
                <c:pt idx="3">
                  <c:v>35.008699999999997</c:v>
                </c:pt>
                <c:pt idx="4">
                  <c:v>32.839799999999997</c:v>
                </c:pt>
                <c:pt idx="5">
                  <c:v>32.099400000000003</c:v>
                </c:pt>
                <c:pt idx="6">
                  <c:v>28.7317</c:v>
                </c:pt>
                <c:pt idx="7">
                  <c:v>27.848500000000001</c:v>
                </c:pt>
                <c:pt idx="8">
                  <c:v>26.849399999999999</c:v>
                </c:pt>
                <c:pt idx="9">
                  <c:v>25.356300000000001</c:v>
                </c:pt>
                <c:pt idx="10">
                  <c:v>26.331600000000002</c:v>
                </c:pt>
                <c:pt idx="11">
                  <c:v>27.714200000000002</c:v>
                </c:pt>
                <c:pt idx="12">
                  <c:v>32.284400000000012</c:v>
                </c:pt>
                <c:pt idx="13">
                  <c:v>37.807499999999997</c:v>
                </c:pt>
                <c:pt idx="14">
                  <c:v>45.439399999999999</c:v>
                </c:pt>
                <c:pt idx="15">
                  <c:v>56.532700000000013</c:v>
                </c:pt>
                <c:pt idx="16">
                  <c:v>66.460599999999999</c:v>
                </c:pt>
                <c:pt idx="17">
                  <c:v>79.333500000000001</c:v>
                </c:pt>
                <c:pt idx="18">
                  <c:v>94.970399999999998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97.728999999999999</c:v>
                </c:pt>
                <c:pt idx="41">
                  <c:v>90.699600000000004</c:v>
                </c:pt>
                <c:pt idx="42">
                  <c:v>82.717100000000002</c:v>
                </c:pt>
                <c:pt idx="43">
                  <c:v>76.511899999999997</c:v>
                </c:pt>
                <c:pt idx="44">
                  <c:v>68.915899999999993</c:v>
                </c:pt>
                <c:pt idx="45">
                  <c:v>58.187100000000001</c:v>
                </c:pt>
                <c:pt idx="46">
                  <c:v>50.595199999999998</c:v>
                </c:pt>
                <c:pt idx="47">
                  <c:v>48.704799999999999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742D-4180-AC85-4408F677BA26}"/>
            </c:ext>
          </c:extLst>
        </c:ser>
        <c:ser>
          <c:idx val="48"/>
          <c:order val="48"/>
          <c:tx>
            <c:v>BES_TR8_four78_B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SOC_pct!$AY$2:$AY$49</c:f>
              <c:numCache>
                <c:formatCode>0.0</c:formatCode>
                <c:ptCount val="48"/>
                <c:pt idx="0">
                  <c:v>40</c:v>
                </c:pt>
                <c:pt idx="1">
                  <c:v>38.600200000000001</c:v>
                </c:pt>
                <c:pt idx="2">
                  <c:v>37.568399999999997</c:v>
                </c:pt>
                <c:pt idx="3">
                  <c:v>36.966099999999997</c:v>
                </c:pt>
                <c:pt idx="4">
                  <c:v>35.4711</c:v>
                </c:pt>
                <c:pt idx="5">
                  <c:v>34.868699999999997</c:v>
                </c:pt>
                <c:pt idx="6">
                  <c:v>33.373699999999999</c:v>
                </c:pt>
                <c:pt idx="7">
                  <c:v>31.5444</c:v>
                </c:pt>
                <c:pt idx="8">
                  <c:v>30.935700000000001</c:v>
                </c:pt>
                <c:pt idx="9">
                  <c:v>28.8874</c:v>
                </c:pt>
                <c:pt idx="10">
                  <c:v>30.972000000000001</c:v>
                </c:pt>
                <c:pt idx="11">
                  <c:v>34.536000000000001</c:v>
                </c:pt>
                <c:pt idx="12">
                  <c:v>42.372500000000002</c:v>
                </c:pt>
                <c:pt idx="13">
                  <c:v>53.665599999999998</c:v>
                </c:pt>
                <c:pt idx="14">
                  <c:v>66.550200000000004</c:v>
                </c:pt>
                <c:pt idx="15">
                  <c:v>84.823499999999996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94.63430000000001</c:v>
                </c:pt>
                <c:pt idx="41">
                  <c:v>86.374399999999994</c:v>
                </c:pt>
                <c:pt idx="42">
                  <c:v>73.307100000000005</c:v>
                </c:pt>
                <c:pt idx="43">
                  <c:v>58.843500000000013</c:v>
                </c:pt>
                <c:pt idx="44">
                  <c:v>44.116799999999998</c:v>
                </c:pt>
                <c:pt idx="45">
                  <c:v>31.025500000000001</c:v>
                </c:pt>
                <c:pt idx="46">
                  <c:v>15.0222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742D-4180-AC85-4408F677BA26}"/>
            </c:ext>
          </c:extLst>
        </c:ser>
        <c:ser>
          <c:idx val="49"/>
          <c:order val="49"/>
          <c:tx>
            <c:v>BES_TR8_four734_A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SOC_pct!$AZ$2:$AZ$49</c:f>
              <c:numCache>
                <c:formatCode>0.0</c:formatCode>
                <c:ptCount val="48"/>
                <c:pt idx="0">
                  <c:v>40</c:v>
                </c:pt>
                <c:pt idx="1">
                  <c:v>33.399000000000001</c:v>
                </c:pt>
                <c:pt idx="2">
                  <c:v>27.794</c:v>
                </c:pt>
                <c:pt idx="3">
                  <c:v>27.141500000000001</c:v>
                </c:pt>
                <c:pt idx="4">
                  <c:v>26.489000000000001</c:v>
                </c:pt>
                <c:pt idx="5">
                  <c:v>25.836500000000001</c:v>
                </c:pt>
                <c:pt idx="6">
                  <c:v>25.183900000000001</c:v>
                </c:pt>
                <c:pt idx="7">
                  <c:v>24.531400000000001</c:v>
                </c:pt>
                <c:pt idx="8">
                  <c:v>23.911300000000001</c:v>
                </c:pt>
                <c:pt idx="9">
                  <c:v>23.726800000000001</c:v>
                </c:pt>
                <c:pt idx="10">
                  <c:v>25.1096</c:v>
                </c:pt>
                <c:pt idx="11">
                  <c:v>28.430099999999999</c:v>
                </c:pt>
                <c:pt idx="12">
                  <c:v>34.1267</c:v>
                </c:pt>
                <c:pt idx="13">
                  <c:v>42.415900000000001</c:v>
                </c:pt>
                <c:pt idx="14">
                  <c:v>52.779600000000002</c:v>
                </c:pt>
                <c:pt idx="15">
                  <c:v>66.303899999999999</c:v>
                </c:pt>
                <c:pt idx="16">
                  <c:v>82.442700000000002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95.162300000000002</c:v>
                </c:pt>
                <c:pt idx="29">
                  <c:v>85.989499999999992</c:v>
                </c:pt>
                <c:pt idx="30">
                  <c:v>99.999899999999997</c:v>
                </c:pt>
                <c:pt idx="31">
                  <c:v>99.999899999999997</c:v>
                </c:pt>
                <c:pt idx="32">
                  <c:v>99.999899999999997</c:v>
                </c:pt>
                <c:pt idx="33">
                  <c:v>99.999899999999997</c:v>
                </c:pt>
                <c:pt idx="34">
                  <c:v>99.999899999999997</c:v>
                </c:pt>
                <c:pt idx="35">
                  <c:v>99.999899999999997</c:v>
                </c:pt>
                <c:pt idx="36">
                  <c:v>99.999899999999997</c:v>
                </c:pt>
                <c:pt idx="37">
                  <c:v>99.999899999999997</c:v>
                </c:pt>
                <c:pt idx="38">
                  <c:v>99.999899999999997</c:v>
                </c:pt>
                <c:pt idx="39">
                  <c:v>99.999899999999997</c:v>
                </c:pt>
                <c:pt idx="40">
                  <c:v>98.982500000000002</c:v>
                </c:pt>
                <c:pt idx="41">
                  <c:v>93.465800000000002</c:v>
                </c:pt>
                <c:pt idx="42">
                  <c:v>87.987400000000008</c:v>
                </c:pt>
                <c:pt idx="43">
                  <c:v>75.447699999999998</c:v>
                </c:pt>
                <c:pt idx="44">
                  <c:v>40.0197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742D-4180-AC85-4408F677BA26}"/>
            </c:ext>
          </c:extLst>
        </c:ser>
        <c:ser>
          <c:idx val="50"/>
          <c:order val="50"/>
          <c:tx>
            <c:v>BES_TR8_four797_C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SOC_pct!$BA$2:$BA$49</c:f>
              <c:numCache>
                <c:formatCode>0.0</c:formatCode>
                <c:ptCount val="48"/>
                <c:pt idx="0">
                  <c:v>40</c:v>
                </c:pt>
                <c:pt idx="1">
                  <c:v>35.418599999999998</c:v>
                </c:pt>
                <c:pt idx="2">
                  <c:v>34.929200000000002</c:v>
                </c:pt>
                <c:pt idx="3">
                  <c:v>34.439799999999998</c:v>
                </c:pt>
                <c:pt idx="4">
                  <c:v>33.950399999999988</c:v>
                </c:pt>
                <c:pt idx="5">
                  <c:v>33.460999999999999</c:v>
                </c:pt>
                <c:pt idx="6">
                  <c:v>32.971600000000002</c:v>
                </c:pt>
                <c:pt idx="7">
                  <c:v>32.482199999999999</c:v>
                </c:pt>
                <c:pt idx="8">
                  <c:v>32.025199999999998</c:v>
                </c:pt>
                <c:pt idx="9">
                  <c:v>32.003900000000002</c:v>
                </c:pt>
                <c:pt idx="10">
                  <c:v>33.5334</c:v>
                </c:pt>
                <c:pt idx="11">
                  <c:v>37.000799999999998</c:v>
                </c:pt>
                <c:pt idx="12">
                  <c:v>42.844200000000001</c:v>
                </c:pt>
                <c:pt idx="13">
                  <c:v>51.280200000000001</c:v>
                </c:pt>
                <c:pt idx="14">
                  <c:v>62.340499999999999</c:v>
                </c:pt>
                <c:pt idx="15">
                  <c:v>73.382800000000003</c:v>
                </c:pt>
                <c:pt idx="16">
                  <c:v>79.751899999999992</c:v>
                </c:pt>
                <c:pt idx="17">
                  <c:v>98.218199999999996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98.198799999999991</c:v>
                </c:pt>
                <c:pt idx="40">
                  <c:v>91.451999999999998</c:v>
                </c:pt>
                <c:pt idx="41">
                  <c:v>84.26</c:v>
                </c:pt>
                <c:pt idx="42">
                  <c:v>74.971600000000009</c:v>
                </c:pt>
                <c:pt idx="43">
                  <c:v>66.171199999999999</c:v>
                </c:pt>
                <c:pt idx="44">
                  <c:v>59.921999999999997</c:v>
                </c:pt>
                <c:pt idx="45">
                  <c:v>54.466800000000013</c:v>
                </c:pt>
                <c:pt idx="46">
                  <c:v>47.468600000000002</c:v>
                </c:pt>
                <c:pt idx="47">
                  <c:v>43.911299999999997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742D-4180-AC85-4408F677BA26}"/>
            </c:ext>
          </c:extLst>
        </c:ser>
        <c:ser>
          <c:idx val="51"/>
          <c:order val="51"/>
          <c:tx>
            <c:v>BES_TR8_four846_C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SOC_pct!$BB$2:$BB$49</c:f>
              <c:numCache>
                <c:formatCode>0.0</c:formatCode>
                <c:ptCount val="48"/>
                <c:pt idx="0">
                  <c:v>40</c:v>
                </c:pt>
                <c:pt idx="1">
                  <c:v>37.265999999999998</c:v>
                </c:pt>
                <c:pt idx="2">
                  <c:v>36.247199999999999</c:v>
                </c:pt>
                <c:pt idx="3">
                  <c:v>34.644199999999998</c:v>
                </c:pt>
                <c:pt idx="4">
                  <c:v>32.4559</c:v>
                </c:pt>
                <c:pt idx="5">
                  <c:v>31.603400000000001</c:v>
                </c:pt>
                <c:pt idx="6">
                  <c:v>30.125499999999999</c:v>
                </c:pt>
                <c:pt idx="7">
                  <c:v>28.163399999999999</c:v>
                </c:pt>
                <c:pt idx="8">
                  <c:v>26.9788</c:v>
                </c:pt>
                <c:pt idx="9">
                  <c:v>26.402999999999999</c:v>
                </c:pt>
                <c:pt idx="10">
                  <c:v>27.351199999999999</c:v>
                </c:pt>
                <c:pt idx="11">
                  <c:v>31.0062</c:v>
                </c:pt>
                <c:pt idx="12">
                  <c:v>38.6678</c:v>
                </c:pt>
                <c:pt idx="13">
                  <c:v>48.067599999999999</c:v>
                </c:pt>
                <c:pt idx="14">
                  <c:v>62.691000000000003</c:v>
                </c:pt>
                <c:pt idx="15">
                  <c:v>80.9529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96.104299999999995</c:v>
                </c:pt>
                <c:pt idx="41">
                  <c:v>95.249600000000001</c:v>
                </c:pt>
                <c:pt idx="42">
                  <c:v>92.436899999999994</c:v>
                </c:pt>
                <c:pt idx="43">
                  <c:v>88.039900000000003</c:v>
                </c:pt>
                <c:pt idx="44">
                  <c:v>82.185699999999997</c:v>
                </c:pt>
                <c:pt idx="45">
                  <c:v>75.626599999999996</c:v>
                </c:pt>
                <c:pt idx="46">
                  <c:v>69.2684</c:v>
                </c:pt>
                <c:pt idx="47">
                  <c:v>67.319600000000008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742D-4180-AC85-4408F677BA26}"/>
            </c:ext>
          </c:extLst>
        </c:ser>
        <c:ser>
          <c:idx val="52"/>
          <c:order val="52"/>
          <c:tx>
            <c:v>BES_TR8_four854_A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SOC_pct!$BC$2:$BC$49</c:f>
              <c:numCache>
                <c:formatCode>0.0</c:formatCode>
                <c:ptCount val="48"/>
                <c:pt idx="0">
                  <c:v>40</c:v>
                </c:pt>
                <c:pt idx="1">
                  <c:v>39.6235</c:v>
                </c:pt>
                <c:pt idx="2">
                  <c:v>37.597700000000003</c:v>
                </c:pt>
                <c:pt idx="3">
                  <c:v>37.221299999999999</c:v>
                </c:pt>
                <c:pt idx="4">
                  <c:v>35.195399999999999</c:v>
                </c:pt>
                <c:pt idx="5">
                  <c:v>34.819000000000003</c:v>
                </c:pt>
                <c:pt idx="6">
                  <c:v>33.370399999999997</c:v>
                </c:pt>
                <c:pt idx="7">
                  <c:v>32.416699999999999</c:v>
                </c:pt>
                <c:pt idx="8">
                  <c:v>31.4237</c:v>
                </c:pt>
                <c:pt idx="9">
                  <c:v>30.681699999999999</c:v>
                </c:pt>
                <c:pt idx="10">
                  <c:v>21.206700000000001</c:v>
                </c:pt>
                <c:pt idx="11">
                  <c:v>23.663900000000002</c:v>
                </c:pt>
                <c:pt idx="12">
                  <c:v>31.703700000000001</c:v>
                </c:pt>
                <c:pt idx="13">
                  <c:v>43.200099999999999</c:v>
                </c:pt>
                <c:pt idx="14">
                  <c:v>57.082299999999996</c:v>
                </c:pt>
                <c:pt idx="15">
                  <c:v>75.187700000000007</c:v>
                </c:pt>
                <c:pt idx="16">
                  <c:v>96.705100000000002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99.731200000000001</c:v>
                </c:pt>
                <c:pt idx="41">
                  <c:v>99.437799999999996</c:v>
                </c:pt>
                <c:pt idx="42">
                  <c:v>95.382199999999997</c:v>
                </c:pt>
                <c:pt idx="43">
                  <c:v>91.557000000000002</c:v>
                </c:pt>
                <c:pt idx="44">
                  <c:v>86.157700000000006</c:v>
                </c:pt>
                <c:pt idx="45">
                  <c:v>80.935299999999998</c:v>
                </c:pt>
                <c:pt idx="46">
                  <c:v>80.558899999999994</c:v>
                </c:pt>
                <c:pt idx="47">
                  <c:v>80.182400000000001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742D-4180-AC85-4408F677BA26}"/>
            </c:ext>
          </c:extLst>
        </c:ser>
        <c:ser>
          <c:idx val="53"/>
          <c:order val="53"/>
          <c:tx>
            <c:v>BES_TR8_four936_C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SOC_pct!$BD$2:$BD$49</c:f>
              <c:numCache>
                <c:formatCode>0.0</c:formatCode>
                <c:ptCount val="48"/>
                <c:pt idx="0">
                  <c:v>40</c:v>
                </c:pt>
                <c:pt idx="1">
                  <c:v>36.320300000000003</c:v>
                </c:pt>
                <c:pt idx="2">
                  <c:v>35.2104</c:v>
                </c:pt>
                <c:pt idx="3">
                  <c:v>32.727699999999999</c:v>
                </c:pt>
                <c:pt idx="4">
                  <c:v>31.997399999999999</c:v>
                </c:pt>
                <c:pt idx="5">
                  <c:v>30.851199999999999</c:v>
                </c:pt>
                <c:pt idx="6">
                  <c:v>26.601199999999999</c:v>
                </c:pt>
                <c:pt idx="7">
                  <c:v>26.0868</c:v>
                </c:pt>
                <c:pt idx="8">
                  <c:v>23.327500000000001</c:v>
                </c:pt>
                <c:pt idx="9">
                  <c:v>21.200800000000001</c:v>
                </c:pt>
                <c:pt idx="10">
                  <c:v>21.488800000000001</c:v>
                </c:pt>
                <c:pt idx="11">
                  <c:v>21.9971</c:v>
                </c:pt>
                <c:pt idx="12">
                  <c:v>21.698</c:v>
                </c:pt>
                <c:pt idx="13">
                  <c:v>25.673100000000002</c:v>
                </c:pt>
                <c:pt idx="14">
                  <c:v>27.6816</c:v>
                </c:pt>
                <c:pt idx="15">
                  <c:v>32.7136</c:v>
                </c:pt>
                <c:pt idx="16">
                  <c:v>39.452500000000001</c:v>
                </c:pt>
                <c:pt idx="17">
                  <c:v>46.683799999999998</c:v>
                </c:pt>
                <c:pt idx="18">
                  <c:v>56.090300000000013</c:v>
                </c:pt>
                <c:pt idx="19">
                  <c:v>65.153999999999996</c:v>
                </c:pt>
                <c:pt idx="20">
                  <c:v>76.396500000000003</c:v>
                </c:pt>
                <c:pt idx="21">
                  <c:v>86.042300000000012</c:v>
                </c:pt>
                <c:pt idx="22">
                  <c:v>97.484700000000004</c:v>
                </c:pt>
                <c:pt idx="23">
                  <c:v>100</c:v>
                </c:pt>
                <c:pt idx="24">
                  <c:v>100</c:v>
                </c:pt>
                <c:pt idx="25">
                  <c:v>99.528499999999994</c:v>
                </c:pt>
                <c:pt idx="26">
                  <c:v>100</c:v>
                </c:pt>
                <c:pt idx="27">
                  <c:v>95.903300000000002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87.422799999999995</c:v>
                </c:pt>
                <c:pt idx="34">
                  <c:v>92.592399999999998</c:v>
                </c:pt>
                <c:pt idx="35">
                  <c:v>85.242599999999996</c:v>
                </c:pt>
                <c:pt idx="36">
                  <c:v>65.179400000000001</c:v>
                </c:pt>
                <c:pt idx="37">
                  <c:v>62.470300000000002</c:v>
                </c:pt>
                <c:pt idx="38">
                  <c:v>59.895200000000003</c:v>
                </c:pt>
                <c:pt idx="39">
                  <c:v>59.0535</c:v>
                </c:pt>
                <c:pt idx="40">
                  <c:v>54.052399999999999</c:v>
                </c:pt>
                <c:pt idx="41">
                  <c:v>47.223799999999997</c:v>
                </c:pt>
                <c:pt idx="42">
                  <c:v>42.157899999999998</c:v>
                </c:pt>
                <c:pt idx="43">
                  <c:v>32.6828</c:v>
                </c:pt>
                <c:pt idx="44">
                  <c:v>24.3705</c:v>
                </c:pt>
                <c:pt idx="45">
                  <c:v>17.568899999999999</c:v>
                </c:pt>
                <c:pt idx="46">
                  <c:v>12.4011</c:v>
                </c:pt>
                <c:pt idx="47">
                  <c:v>11.6709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742D-4180-AC85-4408F677BA26}"/>
            </c:ext>
          </c:extLst>
        </c:ser>
        <c:ser>
          <c:idx val="54"/>
          <c:order val="54"/>
          <c:tx>
            <c:v>BES_TR8_four950_B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SOC_pct!$BE$2:$BE$49</c:f>
              <c:numCache>
                <c:formatCode>0.0</c:formatCode>
                <c:ptCount val="48"/>
                <c:pt idx="0">
                  <c:v>40</c:v>
                </c:pt>
                <c:pt idx="1">
                  <c:v>38.442700000000002</c:v>
                </c:pt>
                <c:pt idx="2">
                  <c:v>36.685499999999998</c:v>
                </c:pt>
                <c:pt idx="3">
                  <c:v>34.429000000000002</c:v>
                </c:pt>
                <c:pt idx="4">
                  <c:v>32.671799999999998</c:v>
                </c:pt>
                <c:pt idx="5">
                  <c:v>30.415299999999998</c:v>
                </c:pt>
                <c:pt idx="6">
                  <c:v>29.009599999999999</c:v>
                </c:pt>
                <c:pt idx="7">
                  <c:v>27.955300000000001</c:v>
                </c:pt>
                <c:pt idx="8">
                  <c:v>26.285900000000002</c:v>
                </c:pt>
                <c:pt idx="9">
                  <c:v>25.663399999999999</c:v>
                </c:pt>
                <c:pt idx="10">
                  <c:v>26.0093</c:v>
                </c:pt>
                <c:pt idx="11">
                  <c:v>29.888000000000002</c:v>
                </c:pt>
                <c:pt idx="12">
                  <c:v>36.685099999999998</c:v>
                </c:pt>
                <c:pt idx="13">
                  <c:v>47.887800000000013</c:v>
                </c:pt>
                <c:pt idx="14">
                  <c:v>60.242199999999997</c:v>
                </c:pt>
                <c:pt idx="15">
                  <c:v>78.42519999999999</c:v>
                </c:pt>
                <c:pt idx="16">
                  <c:v>98.307199999999995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93.796800000000005</c:v>
                </c:pt>
                <c:pt idx="41">
                  <c:v>86.947299999999998</c:v>
                </c:pt>
                <c:pt idx="42">
                  <c:v>79.936300000000003</c:v>
                </c:pt>
                <c:pt idx="43">
                  <c:v>71.398200000000003</c:v>
                </c:pt>
                <c:pt idx="44">
                  <c:v>66.226799999999997</c:v>
                </c:pt>
                <c:pt idx="45">
                  <c:v>59.790200000000013</c:v>
                </c:pt>
                <c:pt idx="46">
                  <c:v>54.296399999999998</c:v>
                </c:pt>
                <c:pt idx="47">
                  <c:v>52.093400000000003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742D-4180-AC85-4408F677BA26}"/>
            </c:ext>
          </c:extLst>
        </c:ser>
        <c:ser>
          <c:idx val="55"/>
          <c:order val="55"/>
          <c:tx>
            <c:v>BES_TR8_four978_A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SOC_pct!$BF$2:$BF$49</c:f>
              <c:numCache>
                <c:formatCode>0.0</c:formatCode>
                <c:ptCount val="48"/>
                <c:pt idx="0">
                  <c:v>40</c:v>
                </c:pt>
                <c:pt idx="1">
                  <c:v>33.062399999999997</c:v>
                </c:pt>
                <c:pt idx="2">
                  <c:v>31.367799999999999</c:v>
                </c:pt>
                <c:pt idx="3">
                  <c:v>29.109100000000002</c:v>
                </c:pt>
                <c:pt idx="4">
                  <c:v>26.835699999999999</c:v>
                </c:pt>
                <c:pt idx="5">
                  <c:v>26.1205</c:v>
                </c:pt>
                <c:pt idx="6">
                  <c:v>22.786000000000001</c:v>
                </c:pt>
                <c:pt idx="7">
                  <c:v>21.4252</c:v>
                </c:pt>
                <c:pt idx="8">
                  <c:v>19.9208</c:v>
                </c:pt>
                <c:pt idx="9">
                  <c:v>18.438099999999999</c:v>
                </c:pt>
                <c:pt idx="10">
                  <c:v>18.567799999999998</c:v>
                </c:pt>
                <c:pt idx="11">
                  <c:v>21.180499999999999</c:v>
                </c:pt>
                <c:pt idx="12">
                  <c:v>24.471</c:v>
                </c:pt>
                <c:pt idx="13">
                  <c:v>30.175899999999999</c:v>
                </c:pt>
                <c:pt idx="14">
                  <c:v>38.675400000000003</c:v>
                </c:pt>
                <c:pt idx="15">
                  <c:v>47.8812</c:v>
                </c:pt>
                <c:pt idx="16">
                  <c:v>60.294499999999992</c:v>
                </c:pt>
                <c:pt idx="17">
                  <c:v>75.02640000000001</c:v>
                </c:pt>
                <c:pt idx="18">
                  <c:v>90.8459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94.390100000000004</c:v>
                </c:pt>
                <c:pt idx="38">
                  <c:v>87.265299999999996</c:v>
                </c:pt>
                <c:pt idx="39">
                  <c:v>85.347799999999992</c:v>
                </c:pt>
                <c:pt idx="40">
                  <c:v>79.202600000000004</c:v>
                </c:pt>
                <c:pt idx="41">
                  <c:v>73.072499999999991</c:v>
                </c:pt>
                <c:pt idx="42">
                  <c:v>65.836399999999998</c:v>
                </c:pt>
                <c:pt idx="43">
                  <c:v>49.5899</c:v>
                </c:pt>
                <c:pt idx="44">
                  <c:v>33.867400000000004</c:v>
                </c:pt>
                <c:pt idx="45">
                  <c:v>23.851600000000001</c:v>
                </c:pt>
                <c:pt idx="46">
                  <c:v>20.5075</c:v>
                </c:pt>
                <c:pt idx="47">
                  <c:v>17.959399999999999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742D-4180-AC85-4408F677BA26}"/>
            </c:ext>
          </c:extLst>
        </c:ser>
        <c:ser>
          <c:idx val="56"/>
          <c:order val="56"/>
          <c:tx>
            <c:v>BES_TR8_four104_A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SOC_pct!$BG$2:$BG$49</c:f>
              <c:numCache>
                <c:formatCode>0.0</c:formatCode>
                <c:ptCount val="48"/>
                <c:pt idx="0">
                  <c:v>40</c:v>
                </c:pt>
                <c:pt idx="1">
                  <c:v>36.702300000000001</c:v>
                </c:pt>
                <c:pt idx="2">
                  <c:v>36.017899999999997</c:v>
                </c:pt>
                <c:pt idx="3">
                  <c:v>32.944600000000001</c:v>
                </c:pt>
                <c:pt idx="4">
                  <c:v>32.125300000000003</c:v>
                </c:pt>
                <c:pt idx="5">
                  <c:v>30.008500000000002</c:v>
                </c:pt>
                <c:pt idx="6">
                  <c:v>28.038900000000002</c:v>
                </c:pt>
                <c:pt idx="7">
                  <c:v>25.7578</c:v>
                </c:pt>
                <c:pt idx="8">
                  <c:v>24.790400000000002</c:v>
                </c:pt>
                <c:pt idx="9">
                  <c:v>23.547799999999999</c:v>
                </c:pt>
                <c:pt idx="10">
                  <c:v>22.525500000000001</c:v>
                </c:pt>
                <c:pt idx="11">
                  <c:v>22.854600000000001</c:v>
                </c:pt>
                <c:pt idx="12">
                  <c:v>25.4071</c:v>
                </c:pt>
                <c:pt idx="13">
                  <c:v>27.570399999999999</c:v>
                </c:pt>
                <c:pt idx="14">
                  <c:v>31.7699</c:v>
                </c:pt>
                <c:pt idx="15">
                  <c:v>26.115200000000002</c:v>
                </c:pt>
                <c:pt idx="16">
                  <c:v>29.974399999999999</c:v>
                </c:pt>
                <c:pt idx="17">
                  <c:v>38.671100000000003</c:v>
                </c:pt>
                <c:pt idx="18">
                  <c:v>48.4268</c:v>
                </c:pt>
                <c:pt idx="19">
                  <c:v>58.6755</c:v>
                </c:pt>
                <c:pt idx="20">
                  <c:v>70.917100000000005</c:v>
                </c:pt>
                <c:pt idx="21">
                  <c:v>81.664999999999992</c:v>
                </c:pt>
                <c:pt idx="22">
                  <c:v>71.462099999999992</c:v>
                </c:pt>
                <c:pt idx="23">
                  <c:v>80.005800000000008</c:v>
                </c:pt>
                <c:pt idx="24">
                  <c:v>87.170099999999991</c:v>
                </c:pt>
                <c:pt idx="25">
                  <c:v>99.306000000000012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96.414999999999992</c:v>
                </c:pt>
                <c:pt idx="32">
                  <c:v>97.575599999999994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99.666699999999992</c:v>
                </c:pt>
                <c:pt idx="40">
                  <c:v>97.986800000000002</c:v>
                </c:pt>
                <c:pt idx="41">
                  <c:v>97.013999999999996</c:v>
                </c:pt>
                <c:pt idx="42">
                  <c:v>91.927199999999999</c:v>
                </c:pt>
                <c:pt idx="43">
                  <c:v>85.881100000000004</c:v>
                </c:pt>
                <c:pt idx="44">
                  <c:v>79.702300000000008</c:v>
                </c:pt>
                <c:pt idx="45">
                  <c:v>64.330200000000005</c:v>
                </c:pt>
                <c:pt idx="46">
                  <c:v>60.711399999999998</c:v>
                </c:pt>
                <c:pt idx="47">
                  <c:v>54.845599999999997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742D-4180-AC85-4408F677BA26}"/>
            </c:ext>
          </c:extLst>
        </c:ser>
        <c:ser>
          <c:idx val="57"/>
          <c:order val="57"/>
          <c:tx>
            <c:v>BES_TR8_four988_A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SOC_pct!$BH$2:$BH$49</c:f>
              <c:numCache>
                <c:formatCode>0.0</c:formatCode>
                <c:ptCount val="48"/>
                <c:pt idx="0">
                  <c:v>40</c:v>
                </c:pt>
                <c:pt idx="1">
                  <c:v>37.750900000000001</c:v>
                </c:pt>
                <c:pt idx="2">
                  <c:v>36.763100000000001</c:v>
                </c:pt>
                <c:pt idx="3">
                  <c:v>36.0456</c:v>
                </c:pt>
                <c:pt idx="4">
                  <c:v>33.526200000000003</c:v>
                </c:pt>
                <c:pt idx="5">
                  <c:v>32.898699999999998</c:v>
                </c:pt>
                <c:pt idx="6">
                  <c:v>31.190200000000001</c:v>
                </c:pt>
                <c:pt idx="7">
                  <c:v>29.661799999999999</c:v>
                </c:pt>
                <c:pt idx="8">
                  <c:v>28.695599999999999</c:v>
                </c:pt>
                <c:pt idx="9">
                  <c:v>26.758500000000002</c:v>
                </c:pt>
                <c:pt idx="10">
                  <c:v>27.507200000000001</c:v>
                </c:pt>
                <c:pt idx="11">
                  <c:v>29.547699999999999</c:v>
                </c:pt>
                <c:pt idx="12">
                  <c:v>31.388300000000001</c:v>
                </c:pt>
                <c:pt idx="13">
                  <c:v>36.741300000000003</c:v>
                </c:pt>
                <c:pt idx="14">
                  <c:v>42.546399999999998</c:v>
                </c:pt>
                <c:pt idx="15">
                  <c:v>49.071199999999997</c:v>
                </c:pt>
                <c:pt idx="16">
                  <c:v>57.941899999999997</c:v>
                </c:pt>
                <c:pt idx="17">
                  <c:v>64.802599999999998</c:v>
                </c:pt>
                <c:pt idx="18">
                  <c:v>78.562399999999997</c:v>
                </c:pt>
                <c:pt idx="19">
                  <c:v>91.190899999999999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98.936900000000009</c:v>
                </c:pt>
                <c:pt idx="39">
                  <c:v>97.918400000000005</c:v>
                </c:pt>
                <c:pt idx="40">
                  <c:v>92.276499999999999</c:v>
                </c:pt>
                <c:pt idx="41">
                  <c:v>89.143600000000006</c:v>
                </c:pt>
                <c:pt idx="42">
                  <c:v>84.907399999999996</c:v>
                </c:pt>
                <c:pt idx="43">
                  <c:v>75.246500000000012</c:v>
                </c:pt>
                <c:pt idx="44">
                  <c:v>70.014600000000002</c:v>
                </c:pt>
                <c:pt idx="45">
                  <c:v>65.002899999999997</c:v>
                </c:pt>
                <c:pt idx="46">
                  <c:v>56.598700000000001</c:v>
                </c:pt>
                <c:pt idx="47">
                  <c:v>55.971299999999999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742D-4180-AC85-4408F677BA26}"/>
            </c:ext>
          </c:extLst>
        </c:ser>
        <c:ser>
          <c:idx val="58"/>
          <c:order val="58"/>
          <c:tx>
            <c:v>BES_TR8_four1013_B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SOC_pct!$BI$2:$BI$49</c:f>
              <c:numCache>
                <c:formatCode>0.0</c:formatCode>
                <c:ptCount val="48"/>
                <c:pt idx="0">
                  <c:v>40</c:v>
                </c:pt>
                <c:pt idx="1">
                  <c:v>37.153100000000002</c:v>
                </c:pt>
                <c:pt idx="2">
                  <c:v>36.276599999999988</c:v>
                </c:pt>
                <c:pt idx="3">
                  <c:v>34.414900000000003</c:v>
                </c:pt>
                <c:pt idx="4">
                  <c:v>32.553199999999997</c:v>
                </c:pt>
                <c:pt idx="5">
                  <c:v>31.775200000000002</c:v>
                </c:pt>
                <c:pt idx="6">
                  <c:v>30.307500000000001</c:v>
                </c:pt>
                <c:pt idx="7">
                  <c:v>28.0517</c:v>
                </c:pt>
                <c:pt idx="8">
                  <c:v>27.3169</c:v>
                </c:pt>
                <c:pt idx="9">
                  <c:v>25.192599999999999</c:v>
                </c:pt>
                <c:pt idx="10">
                  <c:v>26.941800000000001</c:v>
                </c:pt>
                <c:pt idx="11">
                  <c:v>30.210599999999999</c:v>
                </c:pt>
                <c:pt idx="12">
                  <c:v>37.179499999999997</c:v>
                </c:pt>
                <c:pt idx="13">
                  <c:v>48.314599999999999</c:v>
                </c:pt>
                <c:pt idx="14">
                  <c:v>60.997999999999998</c:v>
                </c:pt>
                <c:pt idx="15">
                  <c:v>79.092200000000005</c:v>
                </c:pt>
                <c:pt idx="16">
                  <c:v>98.959900000000005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98.287800000000004</c:v>
                </c:pt>
                <c:pt idx="42">
                  <c:v>96.524600000000007</c:v>
                </c:pt>
                <c:pt idx="43">
                  <c:v>95.746600000000001</c:v>
                </c:pt>
                <c:pt idx="44">
                  <c:v>92.801199999999994</c:v>
                </c:pt>
                <c:pt idx="45">
                  <c:v>92.023200000000003</c:v>
                </c:pt>
                <c:pt idx="46">
                  <c:v>89.964399999999998</c:v>
                </c:pt>
                <c:pt idx="47">
                  <c:v>88.299700000000001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742D-4180-AC85-4408F677BA26}"/>
            </c:ext>
          </c:extLst>
        </c:ser>
        <c:ser>
          <c:idx val="59"/>
          <c:order val="59"/>
          <c:tx>
            <c:v>BES_TR8_four1027_A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SOC_pct!$BJ$2:$BJ$49</c:f>
              <c:numCache>
                <c:formatCode>0.0</c:formatCode>
                <c:ptCount val="48"/>
                <c:pt idx="0">
                  <c:v>40</c:v>
                </c:pt>
                <c:pt idx="1">
                  <c:v>38.888599999999997</c:v>
                </c:pt>
                <c:pt idx="2">
                  <c:v>37.8812</c:v>
                </c:pt>
                <c:pt idx="3">
                  <c:v>36.873800000000003</c:v>
                </c:pt>
                <c:pt idx="4">
                  <c:v>35.606499999999997</c:v>
                </c:pt>
                <c:pt idx="5">
                  <c:v>34.859000000000002</c:v>
                </c:pt>
                <c:pt idx="6">
                  <c:v>34.319400000000002</c:v>
                </c:pt>
                <c:pt idx="7">
                  <c:v>33.779800000000002</c:v>
                </c:pt>
                <c:pt idx="8">
                  <c:v>32.3262</c:v>
                </c:pt>
                <c:pt idx="9">
                  <c:v>32.098700000000001</c:v>
                </c:pt>
                <c:pt idx="10">
                  <c:v>32.926400000000001</c:v>
                </c:pt>
                <c:pt idx="11">
                  <c:v>34.203800000000001</c:v>
                </c:pt>
                <c:pt idx="12">
                  <c:v>37.907499999999999</c:v>
                </c:pt>
                <c:pt idx="13">
                  <c:v>42.777999999999999</c:v>
                </c:pt>
                <c:pt idx="14">
                  <c:v>49.678899999999999</c:v>
                </c:pt>
                <c:pt idx="15">
                  <c:v>58.601000000000013</c:v>
                </c:pt>
                <c:pt idx="16">
                  <c:v>69.266099999999994</c:v>
                </c:pt>
                <c:pt idx="17">
                  <c:v>79.3245</c:v>
                </c:pt>
                <c:pt idx="18">
                  <c:v>91.343299999999999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99.182699999999997</c:v>
                </c:pt>
                <c:pt idx="40">
                  <c:v>96.756799999999998</c:v>
                </c:pt>
                <c:pt idx="41">
                  <c:v>91.712699999999998</c:v>
                </c:pt>
                <c:pt idx="42">
                  <c:v>86.638899999999992</c:v>
                </c:pt>
                <c:pt idx="43">
                  <c:v>81.351799999999997</c:v>
                </c:pt>
                <c:pt idx="44">
                  <c:v>75.039900000000003</c:v>
                </c:pt>
                <c:pt idx="45">
                  <c:v>66.786699999999996</c:v>
                </c:pt>
                <c:pt idx="46">
                  <c:v>60.359200000000001</c:v>
                </c:pt>
                <c:pt idx="47">
                  <c:v>56.029700000000012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742D-4180-AC85-4408F677BA26}"/>
            </c:ext>
          </c:extLst>
        </c:ser>
        <c:ser>
          <c:idx val="60"/>
          <c:order val="60"/>
          <c:tx>
            <c:v>BES_TR8_four1132_C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SOC_pct!$BK$2:$BK$49</c:f>
              <c:numCache>
                <c:formatCode>0.0</c:formatCode>
                <c:ptCount val="48"/>
                <c:pt idx="0">
                  <c:v>40</c:v>
                </c:pt>
                <c:pt idx="1">
                  <c:v>38.452399999999997</c:v>
                </c:pt>
                <c:pt idx="2">
                  <c:v>35.542299999999997</c:v>
                </c:pt>
                <c:pt idx="3">
                  <c:v>34.838700000000003</c:v>
                </c:pt>
                <c:pt idx="4">
                  <c:v>33.4255</c:v>
                </c:pt>
                <c:pt idx="5">
                  <c:v>32.8232</c:v>
                </c:pt>
                <c:pt idx="6">
                  <c:v>29.576000000000001</c:v>
                </c:pt>
                <c:pt idx="7">
                  <c:v>28.264199999999999</c:v>
                </c:pt>
                <c:pt idx="8">
                  <c:v>27.430700000000002</c:v>
                </c:pt>
                <c:pt idx="9">
                  <c:v>25.351299999999998</c:v>
                </c:pt>
                <c:pt idx="10">
                  <c:v>26.9724</c:v>
                </c:pt>
                <c:pt idx="11">
                  <c:v>30.471</c:v>
                </c:pt>
                <c:pt idx="12">
                  <c:v>34.759500000000003</c:v>
                </c:pt>
                <c:pt idx="13">
                  <c:v>44.573300000000003</c:v>
                </c:pt>
                <c:pt idx="14">
                  <c:v>56.024500000000003</c:v>
                </c:pt>
                <c:pt idx="15">
                  <c:v>70.738299999999995</c:v>
                </c:pt>
                <c:pt idx="16">
                  <c:v>88.855599999999995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96.636399999999995</c:v>
                </c:pt>
                <c:pt idx="41">
                  <c:v>75.483000000000004</c:v>
                </c:pt>
                <c:pt idx="42">
                  <c:v>51.657299999999992</c:v>
                </c:pt>
                <c:pt idx="43">
                  <c:v>40.514000000000003</c:v>
                </c:pt>
                <c:pt idx="44">
                  <c:v>37.498699999999999</c:v>
                </c:pt>
                <c:pt idx="45">
                  <c:v>36.6937</c:v>
                </c:pt>
                <c:pt idx="46">
                  <c:v>29.736499999999999</c:v>
                </c:pt>
                <c:pt idx="47">
                  <c:v>26.851299999999998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742D-4180-AC85-4408F677BA26}"/>
            </c:ext>
          </c:extLst>
        </c:ser>
        <c:ser>
          <c:idx val="61"/>
          <c:order val="61"/>
          <c:tx>
            <c:v>BES_TR8_four126_A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SOC_pct!$BL$2:$BL$49</c:f>
              <c:numCache>
                <c:formatCode>0.0</c:formatCode>
                <c:ptCount val="48"/>
                <c:pt idx="0">
                  <c:v>40</c:v>
                </c:pt>
                <c:pt idx="1">
                  <c:v>39.023699999999998</c:v>
                </c:pt>
                <c:pt idx="2">
                  <c:v>37.482500000000002</c:v>
                </c:pt>
                <c:pt idx="3">
                  <c:v>36.842500000000001</c:v>
                </c:pt>
                <c:pt idx="4">
                  <c:v>33.940899999999999</c:v>
                </c:pt>
                <c:pt idx="5">
                  <c:v>32.828299999999999</c:v>
                </c:pt>
                <c:pt idx="6">
                  <c:v>32.188400000000001</c:v>
                </c:pt>
                <c:pt idx="7">
                  <c:v>29.808599999999998</c:v>
                </c:pt>
                <c:pt idx="8">
                  <c:v>28.212</c:v>
                </c:pt>
                <c:pt idx="9">
                  <c:v>27.688600000000001</c:v>
                </c:pt>
                <c:pt idx="10">
                  <c:v>27.297499999999999</c:v>
                </c:pt>
                <c:pt idx="11">
                  <c:v>31.2806</c:v>
                </c:pt>
                <c:pt idx="12">
                  <c:v>37.340600000000002</c:v>
                </c:pt>
                <c:pt idx="13">
                  <c:v>45.354799999999997</c:v>
                </c:pt>
                <c:pt idx="14">
                  <c:v>57.443199999999997</c:v>
                </c:pt>
                <c:pt idx="15">
                  <c:v>73.040999999999997</c:v>
                </c:pt>
                <c:pt idx="16">
                  <c:v>90.560900000000004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98.930499999999995</c:v>
                </c:pt>
                <c:pt idx="40">
                  <c:v>96.2577</c:v>
                </c:pt>
                <c:pt idx="41">
                  <c:v>92.948099999999997</c:v>
                </c:pt>
                <c:pt idx="42">
                  <c:v>92.050600000000003</c:v>
                </c:pt>
                <c:pt idx="43">
                  <c:v>89.914000000000001</c:v>
                </c:pt>
                <c:pt idx="44">
                  <c:v>86.081700000000012</c:v>
                </c:pt>
                <c:pt idx="45">
                  <c:v>83.516599999999997</c:v>
                </c:pt>
                <c:pt idx="46">
                  <c:v>81.717799999999997</c:v>
                </c:pt>
                <c:pt idx="47">
                  <c:v>79.502399999999994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742D-4180-AC85-4408F677BA26}"/>
            </c:ext>
          </c:extLst>
        </c:ser>
        <c:ser>
          <c:idx val="62"/>
          <c:order val="62"/>
          <c:tx>
            <c:v>BES_TR8_four1187_A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SOC_pct!$BM$2:$BM$49</c:f>
              <c:numCache>
                <c:formatCode>0.0</c:formatCode>
                <c:ptCount val="48"/>
                <c:pt idx="0">
                  <c:v>40</c:v>
                </c:pt>
                <c:pt idx="1">
                  <c:v>38.079099999999997</c:v>
                </c:pt>
                <c:pt idx="2">
                  <c:v>35.965400000000002</c:v>
                </c:pt>
                <c:pt idx="3">
                  <c:v>34.900700000000001</c:v>
                </c:pt>
                <c:pt idx="4">
                  <c:v>31.194700000000001</c:v>
                </c:pt>
                <c:pt idx="5">
                  <c:v>30.383400000000002</c:v>
                </c:pt>
                <c:pt idx="6">
                  <c:v>28.160599999999999</c:v>
                </c:pt>
                <c:pt idx="7">
                  <c:v>25.504200000000001</c:v>
                </c:pt>
                <c:pt idx="8">
                  <c:v>24.5214</c:v>
                </c:pt>
                <c:pt idx="9">
                  <c:v>23.346399999999999</c:v>
                </c:pt>
                <c:pt idx="10">
                  <c:v>24.0273</c:v>
                </c:pt>
                <c:pt idx="11">
                  <c:v>22.7454</c:v>
                </c:pt>
                <c:pt idx="12">
                  <c:v>26.302199999999999</c:v>
                </c:pt>
                <c:pt idx="13">
                  <c:v>28.895199999999999</c:v>
                </c:pt>
                <c:pt idx="14">
                  <c:v>35.4955</c:v>
                </c:pt>
                <c:pt idx="15">
                  <c:v>44.270800000000001</c:v>
                </c:pt>
                <c:pt idx="16">
                  <c:v>53.811699999999988</c:v>
                </c:pt>
                <c:pt idx="17">
                  <c:v>65.966000000000008</c:v>
                </c:pt>
                <c:pt idx="18">
                  <c:v>76.531499999999994</c:v>
                </c:pt>
                <c:pt idx="19">
                  <c:v>91.213200000000001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86.739800000000002</c:v>
                </c:pt>
                <c:pt idx="25">
                  <c:v>75.191699999999997</c:v>
                </c:pt>
                <c:pt idx="26">
                  <c:v>87.107100000000003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98.172300000000007</c:v>
                </c:pt>
                <c:pt idx="36">
                  <c:v>91.664400000000001</c:v>
                </c:pt>
                <c:pt idx="37">
                  <c:v>86.844899999999996</c:v>
                </c:pt>
                <c:pt idx="38">
                  <c:v>87.033900000000003</c:v>
                </c:pt>
                <c:pt idx="39">
                  <c:v>86.292000000000002</c:v>
                </c:pt>
                <c:pt idx="40">
                  <c:v>81.239999999999995</c:v>
                </c:pt>
                <c:pt idx="41">
                  <c:v>76.226500000000001</c:v>
                </c:pt>
                <c:pt idx="42">
                  <c:v>66.923200000000008</c:v>
                </c:pt>
                <c:pt idx="43">
                  <c:v>58.739199999999997</c:v>
                </c:pt>
                <c:pt idx="44">
                  <c:v>50.191499999999998</c:v>
                </c:pt>
                <c:pt idx="45">
                  <c:v>49.247399999999999</c:v>
                </c:pt>
                <c:pt idx="46">
                  <c:v>42.637700000000002</c:v>
                </c:pt>
                <c:pt idx="47">
                  <c:v>38.172699999999999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742D-4180-AC85-4408F677BA26}"/>
            </c:ext>
          </c:extLst>
        </c:ser>
        <c:ser>
          <c:idx val="63"/>
          <c:order val="63"/>
          <c:tx>
            <c:v>BES_TR8_four1207_B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SOC_pct!$BN$2:$BN$49</c:f>
              <c:numCache>
                <c:formatCode>0.0</c:formatCode>
                <c:ptCount val="48"/>
                <c:pt idx="0">
                  <c:v>40</c:v>
                </c:pt>
                <c:pt idx="1">
                  <c:v>37.687399999999997</c:v>
                </c:pt>
                <c:pt idx="2">
                  <c:v>36.831299999999999</c:v>
                </c:pt>
                <c:pt idx="3">
                  <c:v>33.772000000000013</c:v>
                </c:pt>
                <c:pt idx="4">
                  <c:v>33.081800000000001</c:v>
                </c:pt>
                <c:pt idx="5">
                  <c:v>30.935099999999998</c:v>
                </c:pt>
                <c:pt idx="6">
                  <c:v>29.166399999999999</c:v>
                </c:pt>
                <c:pt idx="7">
                  <c:v>27.766400000000001</c:v>
                </c:pt>
                <c:pt idx="8">
                  <c:v>25.847899999999999</c:v>
                </c:pt>
                <c:pt idx="9">
                  <c:v>24.811</c:v>
                </c:pt>
                <c:pt idx="10">
                  <c:v>24.468599999999999</c:v>
                </c:pt>
                <c:pt idx="11">
                  <c:v>24.160900000000002</c:v>
                </c:pt>
                <c:pt idx="12">
                  <c:v>26.681699999999999</c:v>
                </c:pt>
                <c:pt idx="13">
                  <c:v>28.366499999999998</c:v>
                </c:pt>
                <c:pt idx="14">
                  <c:v>33.346400000000003</c:v>
                </c:pt>
                <c:pt idx="15">
                  <c:v>39.482300000000002</c:v>
                </c:pt>
                <c:pt idx="16">
                  <c:v>45.880099999999999</c:v>
                </c:pt>
                <c:pt idx="17">
                  <c:v>54.387500000000003</c:v>
                </c:pt>
                <c:pt idx="18">
                  <c:v>64.332300000000004</c:v>
                </c:pt>
                <c:pt idx="19">
                  <c:v>73.943299999999994</c:v>
                </c:pt>
                <c:pt idx="20">
                  <c:v>85.097400000000007</c:v>
                </c:pt>
                <c:pt idx="21">
                  <c:v>96.918099999999995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98.352699999999999</c:v>
                </c:pt>
                <c:pt idx="39">
                  <c:v>95.437300000000008</c:v>
                </c:pt>
                <c:pt idx="40">
                  <c:v>86.952500000000001</c:v>
                </c:pt>
                <c:pt idx="41">
                  <c:v>79.352900000000005</c:v>
                </c:pt>
                <c:pt idx="42">
                  <c:v>74.464500000000001</c:v>
                </c:pt>
                <c:pt idx="43">
                  <c:v>68.779200000000003</c:v>
                </c:pt>
                <c:pt idx="44">
                  <c:v>67.734099999999998</c:v>
                </c:pt>
                <c:pt idx="45">
                  <c:v>65.903000000000006</c:v>
                </c:pt>
                <c:pt idx="46">
                  <c:v>62.796100000000003</c:v>
                </c:pt>
                <c:pt idx="47">
                  <c:v>62.105900000000013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742D-4180-AC85-4408F677BA26}"/>
            </c:ext>
          </c:extLst>
        </c:ser>
        <c:ser>
          <c:idx val="64"/>
          <c:order val="64"/>
          <c:tx>
            <c:v>BES_TR8_five168_A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SOC_pct!$BO$2:$BO$49</c:f>
              <c:numCache>
                <c:formatCode>0.0</c:formatCode>
                <c:ptCount val="48"/>
                <c:pt idx="0">
                  <c:v>40</c:v>
                </c:pt>
                <c:pt idx="1">
                  <c:v>15.5794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10.633900000000001</c:v>
                </c:pt>
                <c:pt idx="11">
                  <c:v>14.495799999999999</c:v>
                </c:pt>
                <c:pt idx="12">
                  <c:v>19.174499999999998</c:v>
                </c:pt>
                <c:pt idx="13">
                  <c:v>28.795100000000001</c:v>
                </c:pt>
                <c:pt idx="14">
                  <c:v>41.021000000000001</c:v>
                </c:pt>
                <c:pt idx="15">
                  <c:v>55.718200000000003</c:v>
                </c:pt>
                <c:pt idx="16">
                  <c:v>70.861599999999996</c:v>
                </c:pt>
                <c:pt idx="17">
                  <c:v>90.891800000000003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91.860900000000001</c:v>
                </c:pt>
                <c:pt idx="40">
                  <c:v>82.777599999999993</c:v>
                </c:pt>
                <c:pt idx="41">
                  <c:v>75.378500000000003</c:v>
                </c:pt>
                <c:pt idx="42">
                  <c:v>69.268900000000002</c:v>
                </c:pt>
                <c:pt idx="43">
                  <c:v>62.524299999999997</c:v>
                </c:pt>
                <c:pt idx="44">
                  <c:v>56.306900000000013</c:v>
                </c:pt>
                <c:pt idx="45">
                  <c:v>47.633499999999998</c:v>
                </c:pt>
                <c:pt idx="46">
                  <c:v>41.251300000000001</c:v>
                </c:pt>
                <c:pt idx="47">
                  <c:v>39.621699999999997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742D-4180-AC85-4408F677BA26}"/>
            </c:ext>
          </c:extLst>
        </c:ser>
        <c:ser>
          <c:idx val="65"/>
          <c:order val="65"/>
          <c:tx>
            <c:v>BES_TR8_five186_C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SOC_pct!$BP$2:$BP$49</c:f>
              <c:numCache>
                <c:formatCode>0.0</c:formatCode>
                <c:ptCount val="48"/>
                <c:pt idx="0">
                  <c:v>40</c:v>
                </c:pt>
                <c:pt idx="1">
                  <c:v>39.372600000000013</c:v>
                </c:pt>
                <c:pt idx="2">
                  <c:v>38.745100000000001</c:v>
                </c:pt>
                <c:pt idx="3">
                  <c:v>38.117699999999999</c:v>
                </c:pt>
                <c:pt idx="4">
                  <c:v>37.490299999999998</c:v>
                </c:pt>
                <c:pt idx="5">
                  <c:v>36.862900000000003</c:v>
                </c:pt>
                <c:pt idx="6">
                  <c:v>36.235399999999998</c:v>
                </c:pt>
                <c:pt idx="7">
                  <c:v>35.607999999999997</c:v>
                </c:pt>
                <c:pt idx="8">
                  <c:v>35.012999999999998</c:v>
                </c:pt>
                <c:pt idx="9">
                  <c:v>34.8536</c:v>
                </c:pt>
                <c:pt idx="10">
                  <c:v>36.258899999999997</c:v>
                </c:pt>
                <c:pt idx="11">
                  <c:v>39.601999999999997</c:v>
                </c:pt>
                <c:pt idx="12">
                  <c:v>45.321300000000001</c:v>
                </c:pt>
                <c:pt idx="13">
                  <c:v>53.633000000000003</c:v>
                </c:pt>
                <c:pt idx="14">
                  <c:v>64.569100000000006</c:v>
                </c:pt>
                <c:pt idx="15">
                  <c:v>78.116</c:v>
                </c:pt>
                <c:pt idx="16">
                  <c:v>92.561499999999995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99.452200000000005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84.6434</c:v>
                </c:pt>
                <c:pt idx="35">
                  <c:v>94.1387</c:v>
                </c:pt>
                <c:pt idx="36">
                  <c:v>83.586600000000004</c:v>
                </c:pt>
                <c:pt idx="37">
                  <c:v>41.666200000000003</c:v>
                </c:pt>
                <c:pt idx="38">
                  <c:v>12.2951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742D-4180-AC85-4408F677BA26}"/>
            </c:ext>
          </c:extLst>
        </c:ser>
        <c:ser>
          <c:idx val="66"/>
          <c:order val="66"/>
          <c:tx>
            <c:v>BES_TR8_five194_C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SOC_pct!$BQ$2:$BQ$49</c:f>
              <c:numCache>
                <c:formatCode>0.0</c:formatCode>
                <c:ptCount val="48"/>
                <c:pt idx="0">
                  <c:v>40</c:v>
                </c:pt>
                <c:pt idx="1">
                  <c:v>35.445300000000003</c:v>
                </c:pt>
                <c:pt idx="2">
                  <c:v>34.981000000000002</c:v>
                </c:pt>
                <c:pt idx="3">
                  <c:v>34.5167</c:v>
                </c:pt>
                <c:pt idx="4">
                  <c:v>31.915800000000001</c:v>
                </c:pt>
                <c:pt idx="5">
                  <c:v>31.451499999999999</c:v>
                </c:pt>
                <c:pt idx="6">
                  <c:v>29.8218</c:v>
                </c:pt>
                <c:pt idx="7">
                  <c:v>28.386299999999999</c:v>
                </c:pt>
                <c:pt idx="8">
                  <c:v>27.965199999999999</c:v>
                </c:pt>
                <c:pt idx="9">
                  <c:v>25.988499999999998</c:v>
                </c:pt>
                <c:pt idx="10">
                  <c:v>28.197299999999998</c:v>
                </c:pt>
                <c:pt idx="11">
                  <c:v>32.9024</c:v>
                </c:pt>
                <c:pt idx="12">
                  <c:v>39.027500000000003</c:v>
                </c:pt>
                <c:pt idx="13">
                  <c:v>50.444899999999997</c:v>
                </c:pt>
                <c:pt idx="14">
                  <c:v>63.438399999999987</c:v>
                </c:pt>
                <c:pt idx="15">
                  <c:v>81.835899999999995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99.909199999999998</c:v>
                </c:pt>
                <c:pt idx="41">
                  <c:v>98.527500000000003</c:v>
                </c:pt>
                <c:pt idx="42">
                  <c:v>98.063199999999995</c:v>
                </c:pt>
                <c:pt idx="43">
                  <c:v>97.505099999999999</c:v>
                </c:pt>
                <c:pt idx="44">
                  <c:v>95.664699999999996</c:v>
                </c:pt>
                <c:pt idx="45">
                  <c:v>89.236599999999996</c:v>
                </c:pt>
                <c:pt idx="46">
                  <c:v>85.336199999999991</c:v>
                </c:pt>
                <c:pt idx="47">
                  <c:v>74.250399999999999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742D-4180-AC85-4408F677BA26}"/>
            </c:ext>
          </c:extLst>
        </c:ser>
        <c:ser>
          <c:idx val="67"/>
          <c:order val="67"/>
          <c:tx>
            <c:v>BES_TR8_five223_A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SOC_pct!$BR$2:$BR$49</c:f>
              <c:numCache>
                <c:formatCode>0.0</c:formatCode>
                <c:ptCount val="48"/>
                <c:pt idx="0">
                  <c:v>40</c:v>
                </c:pt>
                <c:pt idx="1">
                  <c:v>39.153500000000001</c:v>
                </c:pt>
                <c:pt idx="2">
                  <c:v>35.490900000000003</c:v>
                </c:pt>
                <c:pt idx="3">
                  <c:v>34.825800000000001</c:v>
                </c:pt>
                <c:pt idx="4">
                  <c:v>34.160699999999999</c:v>
                </c:pt>
                <c:pt idx="5">
                  <c:v>31.076899999999998</c:v>
                </c:pt>
                <c:pt idx="6">
                  <c:v>29.651599999999998</c:v>
                </c:pt>
                <c:pt idx="7">
                  <c:v>28.986499999999999</c:v>
                </c:pt>
                <c:pt idx="8">
                  <c:v>25.180299999999999</c:v>
                </c:pt>
                <c:pt idx="9">
                  <c:v>25.061299999999999</c:v>
                </c:pt>
                <c:pt idx="10">
                  <c:v>25.781500000000001</c:v>
                </c:pt>
                <c:pt idx="11">
                  <c:v>29.742000000000001</c:v>
                </c:pt>
                <c:pt idx="12">
                  <c:v>34.981999999999999</c:v>
                </c:pt>
                <c:pt idx="13">
                  <c:v>43.370800000000003</c:v>
                </c:pt>
                <c:pt idx="14">
                  <c:v>55.482300000000002</c:v>
                </c:pt>
                <c:pt idx="15">
                  <c:v>69.1935</c:v>
                </c:pt>
                <c:pt idx="16">
                  <c:v>87.129199999999997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99.423199999999994</c:v>
                </c:pt>
                <c:pt idx="41">
                  <c:v>98.975099999999998</c:v>
                </c:pt>
                <c:pt idx="42">
                  <c:v>96.219399999999993</c:v>
                </c:pt>
                <c:pt idx="43">
                  <c:v>95.554299999999998</c:v>
                </c:pt>
                <c:pt idx="44">
                  <c:v>94.889299999999992</c:v>
                </c:pt>
                <c:pt idx="45">
                  <c:v>92.7988</c:v>
                </c:pt>
                <c:pt idx="46">
                  <c:v>89.555700000000002</c:v>
                </c:pt>
                <c:pt idx="47">
                  <c:v>87.731400000000008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742D-4180-AC85-4408F677BA26}"/>
            </c:ext>
          </c:extLst>
        </c:ser>
        <c:ser>
          <c:idx val="68"/>
          <c:order val="68"/>
          <c:tx>
            <c:v>BES_TR8_five303_B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SOC_pct!$BS$2:$BS$49</c:f>
              <c:numCache>
                <c:formatCode>0.0</c:formatCode>
                <c:ptCount val="48"/>
                <c:pt idx="0">
                  <c:v>40</c:v>
                </c:pt>
                <c:pt idx="1">
                  <c:v>34.659799999999997</c:v>
                </c:pt>
                <c:pt idx="2">
                  <c:v>33.919400000000003</c:v>
                </c:pt>
                <c:pt idx="3">
                  <c:v>31.165199999999999</c:v>
                </c:pt>
                <c:pt idx="4">
                  <c:v>27.2029</c:v>
                </c:pt>
                <c:pt idx="5">
                  <c:v>26.462499999999999</c:v>
                </c:pt>
                <c:pt idx="6">
                  <c:v>25.722200000000001</c:v>
                </c:pt>
                <c:pt idx="7">
                  <c:v>22.790700000000001</c:v>
                </c:pt>
                <c:pt idx="8">
                  <c:v>19.027200000000001</c:v>
                </c:pt>
                <c:pt idx="9">
                  <c:v>18.5989</c:v>
                </c:pt>
                <c:pt idx="10">
                  <c:v>16.4617</c:v>
                </c:pt>
                <c:pt idx="11">
                  <c:v>16.2361</c:v>
                </c:pt>
                <c:pt idx="12">
                  <c:v>19.759</c:v>
                </c:pt>
                <c:pt idx="13">
                  <c:v>20.297999999999998</c:v>
                </c:pt>
                <c:pt idx="14">
                  <c:v>27.2988</c:v>
                </c:pt>
                <c:pt idx="15">
                  <c:v>33.326000000000001</c:v>
                </c:pt>
                <c:pt idx="16">
                  <c:v>41.812199999999997</c:v>
                </c:pt>
                <c:pt idx="17">
                  <c:v>52.649299999999997</c:v>
                </c:pt>
                <c:pt idx="18">
                  <c:v>57.299300000000002</c:v>
                </c:pt>
                <c:pt idx="19">
                  <c:v>66.597999999999999</c:v>
                </c:pt>
                <c:pt idx="20">
                  <c:v>81.066900000000004</c:v>
                </c:pt>
                <c:pt idx="21">
                  <c:v>93.611699999999999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86.906999999999996</c:v>
                </c:pt>
                <c:pt idx="31">
                  <c:v>69.420900000000003</c:v>
                </c:pt>
                <c:pt idx="32">
                  <c:v>70.143799999999999</c:v>
                </c:pt>
                <c:pt idx="33">
                  <c:v>66.074600000000004</c:v>
                </c:pt>
                <c:pt idx="34">
                  <c:v>62.7849</c:v>
                </c:pt>
                <c:pt idx="35">
                  <c:v>48.5428</c:v>
                </c:pt>
                <c:pt idx="36">
                  <c:v>48.956300000000013</c:v>
                </c:pt>
                <c:pt idx="37">
                  <c:v>46.665199999999999</c:v>
                </c:pt>
                <c:pt idx="38">
                  <c:v>43.972900000000003</c:v>
                </c:pt>
                <c:pt idx="39">
                  <c:v>39.497599999999998</c:v>
                </c:pt>
                <c:pt idx="40">
                  <c:v>32.064799999999998</c:v>
                </c:pt>
                <c:pt idx="41">
                  <c:v>24.437799999999999</c:v>
                </c:pt>
                <c:pt idx="42">
                  <c:v>15.5845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742D-4180-AC85-4408F677BA26}"/>
            </c:ext>
          </c:extLst>
        </c:ser>
        <c:ser>
          <c:idx val="69"/>
          <c:order val="69"/>
          <c:tx>
            <c:v>BES_TR8_five324_B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SOC_pct!$BT$2:$BT$49</c:f>
              <c:numCache>
                <c:formatCode>0.0</c:formatCode>
                <c:ptCount val="48"/>
                <c:pt idx="0">
                  <c:v>40</c:v>
                </c:pt>
                <c:pt idx="1">
                  <c:v>37.1693</c:v>
                </c:pt>
                <c:pt idx="2">
                  <c:v>36.504199999999997</c:v>
                </c:pt>
                <c:pt idx="3">
                  <c:v>34.962600000000002</c:v>
                </c:pt>
                <c:pt idx="4">
                  <c:v>33.039400000000001</c:v>
                </c:pt>
                <c:pt idx="5">
                  <c:v>30.3566</c:v>
                </c:pt>
                <c:pt idx="6">
                  <c:v>29.5746</c:v>
                </c:pt>
                <c:pt idx="7">
                  <c:v>27.2393</c:v>
                </c:pt>
                <c:pt idx="8">
                  <c:v>25.0594</c:v>
                </c:pt>
                <c:pt idx="9">
                  <c:v>24.351800000000001</c:v>
                </c:pt>
                <c:pt idx="10">
                  <c:v>23.168700000000001</c:v>
                </c:pt>
                <c:pt idx="11">
                  <c:v>26.477900000000002</c:v>
                </c:pt>
                <c:pt idx="12">
                  <c:v>30.214099999999998</c:v>
                </c:pt>
                <c:pt idx="13">
                  <c:v>37.913400000000003</c:v>
                </c:pt>
                <c:pt idx="14">
                  <c:v>46.852700000000013</c:v>
                </c:pt>
                <c:pt idx="15">
                  <c:v>60.011299999999999</c:v>
                </c:pt>
                <c:pt idx="16">
                  <c:v>75.252899999999997</c:v>
                </c:pt>
                <c:pt idx="17">
                  <c:v>92.771199999999993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76.922399999999996</c:v>
                </c:pt>
                <c:pt idx="40">
                  <c:v>45.673499999999997</c:v>
                </c:pt>
                <c:pt idx="41">
                  <c:v>24.7361</c:v>
                </c:pt>
                <c:pt idx="42">
                  <c:v>23.7758</c:v>
                </c:pt>
                <c:pt idx="43">
                  <c:v>21.480399999999999</c:v>
                </c:pt>
                <c:pt idx="44">
                  <c:v>19.228100000000001</c:v>
                </c:pt>
                <c:pt idx="45">
                  <c:v>17.9724</c:v>
                </c:pt>
                <c:pt idx="46">
                  <c:v>15.7323</c:v>
                </c:pt>
                <c:pt idx="47">
                  <c:v>14.015499999999999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742D-4180-AC85-4408F677BA26}"/>
            </c:ext>
          </c:extLst>
        </c:ser>
        <c:ser>
          <c:idx val="70"/>
          <c:order val="70"/>
          <c:tx>
            <c:v>BES_TR8_five345_A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SOC_pct!$BU$2:$BU$49</c:f>
              <c:numCache>
                <c:formatCode>0.0</c:formatCode>
                <c:ptCount val="48"/>
                <c:pt idx="0">
                  <c:v>40</c:v>
                </c:pt>
                <c:pt idx="1">
                  <c:v>37.895400000000002</c:v>
                </c:pt>
                <c:pt idx="2">
                  <c:v>37.192700000000002</c:v>
                </c:pt>
                <c:pt idx="3">
                  <c:v>36.49</c:v>
                </c:pt>
                <c:pt idx="4">
                  <c:v>34.385399999999997</c:v>
                </c:pt>
                <c:pt idx="5">
                  <c:v>33.682699999999997</c:v>
                </c:pt>
                <c:pt idx="6">
                  <c:v>31.578099999999999</c:v>
                </c:pt>
                <c:pt idx="7">
                  <c:v>30.875399999999999</c:v>
                </c:pt>
                <c:pt idx="8">
                  <c:v>30.215900000000001</c:v>
                </c:pt>
                <c:pt idx="9">
                  <c:v>30.1372</c:v>
                </c:pt>
                <c:pt idx="10">
                  <c:v>30.869800000000001</c:v>
                </c:pt>
                <c:pt idx="11">
                  <c:v>35.447699999999998</c:v>
                </c:pt>
                <c:pt idx="12">
                  <c:v>43.193800000000003</c:v>
                </c:pt>
                <c:pt idx="13">
                  <c:v>53.134899999999988</c:v>
                </c:pt>
                <c:pt idx="14">
                  <c:v>67.836799999999997</c:v>
                </c:pt>
                <c:pt idx="15">
                  <c:v>85.208600000000004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98.795599999999993</c:v>
                </c:pt>
                <c:pt idx="41">
                  <c:v>96.521100000000004</c:v>
                </c:pt>
                <c:pt idx="42">
                  <c:v>93.813299999999998</c:v>
                </c:pt>
                <c:pt idx="43">
                  <c:v>90.178399999999996</c:v>
                </c:pt>
                <c:pt idx="44">
                  <c:v>87.170199999999994</c:v>
                </c:pt>
                <c:pt idx="45">
                  <c:v>81.518500000000003</c:v>
                </c:pt>
                <c:pt idx="46">
                  <c:v>77.618600000000001</c:v>
                </c:pt>
                <c:pt idx="47">
                  <c:v>73.001400000000004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742D-4180-AC85-4408F677BA26}"/>
            </c:ext>
          </c:extLst>
        </c:ser>
        <c:ser>
          <c:idx val="71"/>
          <c:order val="71"/>
          <c:tx>
            <c:v>BES_TR8_five421_A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SOC_pct!$BV$2:$BV$49</c:f>
              <c:numCache>
                <c:formatCode>0.0</c:formatCode>
                <c:ptCount val="48"/>
                <c:pt idx="0">
                  <c:v>40</c:v>
                </c:pt>
                <c:pt idx="1">
                  <c:v>39.3977</c:v>
                </c:pt>
                <c:pt idx="2">
                  <c:v>38.795299999999997</c:v>
                </c:pt>
                <c:pt idx="3">
                  <c:v>38.192999999999998</c:v>
                </c:pt>
                <c:pt idx="4">
                  <c:v>37.590699999999998</c:v>
                </c:pt>
                <c:pt idx="5">
                  <c:v>36.988399999999999</c:v>
                </c:pt>
                <c:pt idx="6">
                  <c:v>36.386000000000003</c:v>
                </c:pt>
                <c:pt idx="7">
                  <c:v>35.783700000000003</c:v>
                </c:pt>
                <c:pt idx="8">
                  <c:v>35.213799999999999</c:v>
                </c:pt>
                <c:pt idx="9">
                  <c:v>35.079500000000003</c:v>
                </c:pt>
                <c:pt idx="10">
                  <c:v>36.507399999999997</c:v>
                </c:pt>
                <c:pt idx="11">
                  <c:v>39.873100000000001</c:v>
                </c:pt>
                <c:pt idx="12">
                  <c:v>45.614900000000013</c:v>
                </c:pt>
                <c:pt idx="13">
                  <c:v>53.949199999999998</c:v>
                </c:pt>
                <c:pt idx="14">
                  <c:v>64.907899999999998</c:v>
                </c:pt>
                <c:pt idx="15">
                  <c:v>78.477400000000003</c:v>
                </c:pt>
                <c:pt idx="16">
                  <c:v>94.6614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96.004800000000003</c:v>
                </c:pt>
                <c:pt idx="40">
                  <c:v>90.849199999999996</c:v>
                </c:pt>
                <c:pt idx="41">
                  <c:v>84.136399999999995</c:v>
                </c:pt>
                <c:pt idx="42">
                  <c:v>78.613900000000001</c:v>
                </c:pt>
                <c:pt idx="43">
                  <c:v>71.082300000000004</c:v>
                </c:pt>
                <c:pt idx="44">
                  <c:v>66.229500000000002</c:v>
                </c:pt>
                <c:pt idx="45">
                  <c:v>59.790200000000013</c:v>
                </c:pt>
                <c:pt idx="46">
                  <c:v>53.589799999999997</c:v>
                </c:pt>
                <c:pt idx="47">
                  <c:v>45.141500000000001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742D-4180-AC85-4408F677BA26}"/>
            </c:ext>
          </c:extLst>
        </c:ser>
        <c:ser>
          <c:idx val="72"/>
          <c:order val="72"/>
          <c:tx>
            <c:v>BES_TR8_five488_B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SOC_pct!$BW$2:$BW$49</c:f>
              <c:numCache>
                <c:formatCode>0.0</c:formatCode>
                <c:ptCount val="48"/>
                <c:pt idx="0">
                  <c:v>40</c:v>
                </c:pt>
                <c:pt idx="1">
                  <c:v>38.552199999999999</c:v>
                </c:pt>
                <c:pt idx="2">
                  <c:v>37.924700000000001</c:v>
                </c:pt>
                <c:pt idx="3">
                  <c:v>33.763599999999997</c:v>
                </c:pt>
                <c:pt idx="4">
                  <c:v>32.828499999999998</c:v>
                </c:pt>
                <c:pt idx="5">
                  <c:v>30.2056</c:v>
                </c:pt>
                <c:pt idx="6">
                  <c:v>27.732199999999999</c:v>
                </c:pt>
                <c:pt idx="7">
                  <c:v>27.104800000000001</c:v>
                </c:pt>
                <c:pt idx="8">
                  <c:v>22.679200000000002</c:v>
                </c:pt>
                <c:pt idx="9">
                  <c:v>22.675799999999999</c:v>
                </c:pt>
                <c:pt idx="10">
                  <c:v>22.1509</c:v>
                </c:pt>
                <c:pt idx="11">
                  <c:v>25.873699999999999</c:v>
                </c:pt>
                <c:pt idx="12">
                  <c:v>33.6875</c:v>
                </c:pt>
                <c:pt idx="13">
                  <c:v>43.942799999999998</c:v>
                </c:pt>
                <c:pt idx="14">
                  <c:v>57.340500000000013</c:v>
                </c:pt>
                <c:pt idx="15">
                  <c:v>74.52109999999999</c:v>
                </c:pt>
                <c:pt idx="16">
                  <c:v>93.942000000000007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99.309300000000007</c:v>
                </c:pt>
                <c:pt idx="41">
                  <c:v>98.13730000000001</c:v>
                </c:pt>
                <c:pt idx="42">
                  <c:v>97.509799999999998</c:v>
                </c:pt>
                <c:pt idx="43">
                  <c:v>93.838099999999997</c:v>
                </c:pt>
                <c:pt idx="44">
                  <c:v>92.413600000000002</c:v>
                </c:pt>
                <c:pt idx="45">
                  <c:v>90.345500000000001</c:v>
                </c:pt>
                <c:pt idx="46">
                  <c:v>87.317300000000003</c:v>
                </c:pt>
                <c:pt idx="47">
                  <c:v>86.689899999999994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742D-4180-AC85-4408F677BA26}"/>
            </c:ext>
          </c:extLst>
        </c:ser>
        <c:ser>
          <c:idx val="73"/>
          <c:order val="73"/>
          <c:tx>
            <c:v>BES_TR8_five513_B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SOC_pct!$BX$2:$BX$49</c:f>
              <c:numCache>
                <c:formatCode>0.0</c:formatCode>
                <c:ptCount val="48"/>
                <c:pt idx="0">
                  <c:v>40</c:v>
                </c:pt>
                <c:pt idx="1">
                  <c:v>38.423400000000001</c:v>
                </c:pt>
                <c:pt idx="2">
                  <c:v>37.7834</c:v>
                </c:pt>
                <c:pt idx="3">
                  <c:v>37.0914</c:v>
                </c:pt>
                <c:pt idx="4">
                  <c:v>35.566899999999997</c:v>
                </c:pt>
                <c:pt idx="5">
                  <c:v>34.926900000000003</c:v>
                </c:pt>
                <c:pt idx="6">
                  <c:v>34.286900000000003</c:v>
                </c:pt>
                <c:pt idx="7">
                  <c:v>33.074599999999997</c:v>
                </c:pt>
                <c:pt idx="8">
                  <c:v>32.1081</c:v>
                </c:pt>
                <c:pt idx="9">
                  <c:v>32.014200000000002</c:v>
                </c:pt>
                <c:pt idx="10">
                  <c:v>33.455599999999997</c:v>
                </c:pt>
                <c:pt idx="11">
                  <c:v>36.8767</c:v>
                </c:pt>
                <c:pt idx="12">
                  <c:v>43.631999999999998</c:v>
                </c:pt>
                <c:pt idx="13">
                  <c:v>53.411799999999999</c:v>
                </c:pt>
                <c:pt idx="14">
                  <c:v>66.253399999999999</c:v>
                </c:pt>
                <c:pt idx="15">
                  <c:v>82.140899999999988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99.108699999999999</c:v>
                </c:pt>
                <c:pt idx="42">
                  <c:v>98.000399999999999</c:v>
                </c:pt>
                <c:pt idx="43">
                  <c:v>97.360500000000002</c:v>
                </c:pt>
                <c:pt idx="44">
                  <c:v>95.783900000000003</c:v>
                </c:pt>
                <c:pt idx="45">
                  <c:v>95.143900000000002</c:v>
                </c:pt>
                <c:pt idx="46">
                  <c:v>93.567300000000003</c:v>
                </c:pt>
                <c:pt idx="47">
                  <c:v>92.927300000000002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742D-4180-AC85-4408F677BA26}"/>
            </c:ext>
          </c:extLst>
        </c:ser>
        <c:ser>
          <c:idx val="74"/>
          <c:order val="74"/>
          <c:tx>
            <c:v>BES_TR8_five537_C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SOC_pct!$BY$2:$BY$49</c:f>
              <c:numCache>
                <c:formatCode>0.0</c:formatCode>
                <c:ptCount val="48"/>
                <c:pt idx="0">
                  <c:v>40</c:v>
                </c:pt>
                <c:pt idx="1">
                  <c:v>36.593899999999998</c:v>
                </c:pt>
                <c:pt idx="2">
                  <c:v>35.544400000000003</c:v>
                </c:pt>
                <c:pt idx="3">
                  <c:v>33.237200000000001</c:v>
                </c:pt>
                <c:pt idx="4">
                  <c:v>32.5471</c:v>
                </c:pt>
                <c:pt idx="5">
                  <c:v>30.7789</c:v>
                </c:pt>
                <c:pt idx="6">
                  <c:v>29.1904</c:v>
                </c:pt>
                <c:pt idx="7">
                  <c:v>28.5002</c:v>
                </c:pt>
                <c:pt idx="8">
                  <c:v>26.864999999999998</c:v>
                </c:pt>
                <c:pt idx="9">
                  <c:v>25.8108</c:v>
                </c:pt>
                <c:pt idx="10">
                  <c:v>27.816299999999998</c:v>
                </c:pt>
                <c:pt idx="11">
                  <c:v>31.030999999999999</c:v>
                </c:pt>
                <c:pt idx="12">
                  <c:v>38.384099999999997</c:v>
                </c:pt>
                <c:pt idx="13">
                  <c:v>49.598199999999999</c:v>
                </c:pt>
                <c:pt idx="14">
                  <c:v>63.098599999999998</c:v>
                </c:pt>
                <c:pt idx="15">
                  <c:v>80.726900000000001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98.358699999999999</c:v>
                </c:pt>
                <c:pt idx="38">
                  <c:v>100</c:v>
                </c:pt>
                <c:pt idx="39">
                  <c:v>100</c:v>
                </c:pt>
                <c:pt idx="40">
                  <c:v>99.217200000000005</c:v>
                </c:pt>
                <c:pt idx="41">
                  <c:v>98.775000000000006</c:v>
                </c:pt>
                <c:pt idx="42">
                  <c:v>96.108499999999992</c:v>
                </c:pt>
                <c:pt idx="43">
                  <c:v>95.418300000000002</c:v>
                </c:pt>
                <c:pt idx="44">
                  <c:v>94.728099999999998</c:v>
                </c:pt>
                <c:pt idx="45">
                  <c:v>91.64609999999999</c:v>
                </c:pt>
                <c:pt idx="46">
                  <c:v>86.476500000000001</c:v>
                </c:pt>
                <c:pt idx="47">
                  <c:v>83.454300000000003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742D-4180-AC85-4408F677BA26}"/>
            </c:ext>
          </c:extLst>
        </c:ser>
        <c:ser>
          <c:idx val="75"/>
          <c:order val="75"/>
          <c:tx>
            <c:v>BES_TR8_five540_A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SOC_pct!$BZ$2:$BZ$49</c:f>
              <c:numCache>
                <c:formatCode>0.0</c:formatCode>
                <c:ptCount val="48"/>
                <c:pt idx="0">
                  <c:v>40</c:v>
                </c:pt>
                <c:pt idx="1">
                  <c:v>39.4604</c:v>
                </c:pt>
                <c:pt idx="2">
                  <c:v>36.807000000000002</c:v>
                </c:pt>
                <c:pt idx="3">
                  <c:v>36.267400000000002</c:v>
                </c:pt>
                <c:pt idx="4">
                  <c:v>34.1905</c:v>
                </c:pt>
                <c:pt idx="5">
                  <c:v>33.074399999999997</c:v>
                </c:pt>
                <c:pt idx="6">
                  <c:v>32.342599999999997</c:v>
                </c:pt>
                <c:pt idx="7">
                  <c:v>29.881399999999999</c:v>
                </c:pt>
                <c:pt idx="8">
                  <c:v>29.374199999999998</c:v>
                </c:pt>
                <c:pt idx="9">
                  <c:v>27.188800000000001</c:v>
                </c:pt>
                <c:pt idx="10">
                  <c:v>28.673200000000001</c:v>
                </c:pt>
                <c:pt idx="11">
                  <c:v>31.057600000000001</c:v>
                </c:pt>
                <c:pt idx="12">
                  <c:v>35.991100000000003</c:v>
                </c:pt>
                <c:pt idx="13">
                  <c:v>44.295400000000001</c:v>
                </c:pt>
                <c:pt idx="14">
                  <c:v>53.494500000000002</c:v>
                </c:pt>
                <c:pt idx="15">
                  <c:v>67.007199999999997</c:v>
                </c:pt>
                <c:pt idx="16">
                  <c:v>82.010300000000001</c:v>
                </c:pt>
                <c:pt idx="17">
                  <c:v>99.355999999999995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97.122</c:v>
                </c:pt>
                <c:pt idx="40">
                  <c:v>89.922600000000003</c:v>
                </c:pt>
                <c:pt idx="41">
                  <c:v>76.6768</c:v>
                </c:pt>
                <c:pt idx="42">
                  <c:v>74.1511</c:v>
                </c:pt>
                <c:pt idx="43">
                  <c:v>69.788899999999998</c:v>
                </c:pt>
                <c:pt idx="44">
                  <c:v>67.024200000000008</c:v>
                </c:pt>
                <c:pt idx="45">
                  <c:v>61.7089</c:v>
                </c:pt>
                <c:pt idx="46">
                  <c:v>58.408900000000003</c:v>
                </c:pt>
                <c:pt idx="47">
                  <c:v>54.436599999999999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742D-4180-AC85-4408F677BA26}"/>
            </c:ext>
          </c:extLst>
        </c:ser>
        <c:ser>
          <c:idx val="76"/>
          <c:order val="76"/>
          <c:tx>
            <c:v>BES_TR8_five551_C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SOC_pct!$CA$2:$CA$49</c:f>
              <c:numCache>
                <c:formatCode>0.0</c:formatCode>
                <c:ptCount val="48"/>
                <c:pt idx="0">
                  <c:v>40</c:v>
                </c:pt>
                <c:pt idx="1">
                  <c:v>39.284700000000001</c:v>
                </c:pt>
                <c:pt idx="2">
                  <c:v>38.569499999999998</c:v>
                </c:pt>
                <c:pt idx="3">
                  <c:v>37.854199999999999</c:v>
                </c:pt>
                <c:pt idx="4">
                  <c:v>37.1389</c:v>
                </c:pt>
                <c:pt idx="5">
                  <c:v>36.423699999999997</c:v>
                </c:pt>
                <c:pt idx="6">
                  <c:v>35.708399999999997</c:v>
                </c:pt>
                <c:pt idx="7">
                  <c:v>34.993099999999998</c:v>
                </c:pt>
                <c:pt idx="8">
                  <c:v>34.321100000000001</c:v>
                </c:pt>
                <c:pt idx="9">
                  <c:v>34.229900000000001</c:v>
                </c:pt>
                <c:pt idx="10">
                  <c:v>36.212800000000001</c:v>
                </c:pt>
                <c:pt idx="11">
                  <c:v>40.779499999999999</c:v>
                </c:pt>
                <c:pt idx="12">
                  <c:v>48.514299999999999</c:v>
                </c:pt>
                <c:pt idx="13">
                  <c:v>59.705800000000004</c:v>
                </c:pt>
                <c:pt idx="14">
                  <c:v>74.248099999999994</c:v>
                </c:pt>
                <c:pt idx="15">
                  <c:v>91.217700000000008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96.110900000000001</c:v>
                </c:pt>
                <c:pt idx="41">
                  <c:v>93.200299999999999</c:v>
                </c:pt>
                <c:pt idx="42">
                  <c:v>90.850399999999993</c:v>
                </c:pt>
                <c:pt idx="43">
                  <c:v>87.056399999999996</c:v>
                </c:pt>
                <c:pt idx="44">
                  <c:v>82.728999999999999</c:v>
                </c:pt>
                <c:pt idx="45">
                  <c:v>78.971499999999992</c:v>
                </c:pt>
                <c:pt idx="46">
                  <c:v>74.942399999999992</c:v>
                </c:pt>
                <c:pt idx="47">
                  <c:v>74.227200000000011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742D-4180-AC85-4408F677BA26}"/>
            </c:ext>
          </c:extLst>
        </c:ser>
        <c:ser>
          <c:idx val="77"/>
          <c:order val="77"/>
          <c:tx>
            <c:v>BES_TR8_five631_B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SOC_pct!$CB$2:$CB$49</c:f>
              <c:numCache>
                <c:formatCode>0.0</c:formatCode>
                <c:ptCount val="48"/>
                <c:pt idx="0">
                  <c:v>40</c:v>
                </c:pt>
                <c:pt idx="1">
                  <c:v>37.973300000000002</c:v>
                </c:pt>
                <c:pt idx="2">
                  <c:v>36.221800000000002</c:v>
                </c:pt>
                <c:pt idx="3">
                  <c:v>33.797400000000003</c:v>
                </c:pt>
                <c:pt idx="4">
                  <c:v>31.843900000000001</c:v>
                </c:pt>
                <c:pt idx="5">
                  <c:v>30.276299999999999</c:v>
                </c:pt>
                <c:pt idx="6">
                  <c:v>28.071999999999999</c:v>
                </c:pt>
                <c:pt idx="7">
                  <c:v>26.755099999999999</c:v>
                </c:pt>
                <c:pt idx="8">
                  <c:v>24.534400000000002</c:v>
                </c:pt>
                <c:pt idx="9">
                  <c:v>24.1599</c:v>
                </c:pt>
                <c:pt idx="10">
                  <c:v>22.813400000000001</c:v>
                </c:pt>
                <c:pt idx="11">
                  <c:v>26.235600000000002</c:v>
                </c:pt>
                <c:pt idx="12">
                  <c:v>29.758900000000001</c:v>
                </c:pt>
                <c:pt idx="13">
                  <c:v>37.4557</c:v>
                </c:pt>
                <c:pt idx="14">
                  <c:v>48.4709</c:v>
                </c:pt>
                <c:pt idx="15">
                  <c:v>60.185400000000001</c:v>
                </c:pt>
                <c:pt idx="16">
                  <c:v>75.368300000000005</c:v>
                </c:pt>
                <c:pt idx="17">
                  <c:v>94.062799999999996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95.342100000000002</c:v>
                </c:pt>
                <c:pt idx="40">
                  <c:v>83.402100000000004</c:v>
                </c:pt>
                <c:pt idx="41">
                  <c:v>79.777200000000008</c:v>
                </c:pt>
                <c:pt idx="42">
                  <c:v>73.203600000000009</c:v>
                </c:pt>
                <c:pt idx="43">
                  <c:v>54.429600000000001</c:v>
                </c:pt>
                <c:pt idx="44">
                  <c:v>51.951400000000007</c:v>
                </c:pt>
                <c:pt idx="45">
                  <c:v>49.527000000000001</c:v>
                </c:pt>
                <c:pt idx="46">
                  <c:v>47.573500000000003</c:v>
                </c:pt>
                <c:pt idx="47">
                  <c:v>46.9482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742D-4180-AC85-4408F677BA26}"/>
            </c:ext>
          </c:extLst>
        </c:ser>
        <c:ser>
          <c:idx val="78"/>
          <c:order val="78"/>
          <c:tx>
            <c:v>BES_TR8_five649_A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SOC_pct!$CC$2:$CC$49</c:f>
              <c:numCache>
                <c:formatCode>0.0</c:formatCode>
                <c:ptCount val="48"/>
                <c:pt idx="0">
                  <c:v>40</c:v>
                </c:pt>
                <c:pt idx="1">
                  <c:v>37.4238</c:v>
                </c:pt>
                <c:pt idx="2">
                  <c:v>36.7712</c:v>
                </c:pt>
                <c:pt idx="3">
                  <c:v>34.281999999999996</c:v>
                </c:pt>
                <c:pt idx="4">
                  <c:v>32.760899999999999</c:v>
                </c:pt>
                <c:pt idx="5">
                  <c:v>31.092400000000001</c:v>
                </c:pt>
                <c:pt idx="6">
                  <c:v>28.750599999999999</c:v>
                </c:pt>
                <c:pt idx="7">
                  <c:v>28.098099999999999</c:v>
                </c:pt>
                <c:pt idx="8">
                  <c:v>27.488700000000001</c:v>
                </c:pt>
                <c:pt idx="9">
                  <c:v>26.098600000000001</c:v>
                </c:pt>
                <c:pt idx="10">
                  <c:v>26.928699999999999</c:v>
                </c:pt>
                <c:pt idx="11">
                  <c:v>31.045999999999999</c:v>
                </c:pt>
                <c:pt idx="12">
                  <c:v>36.908299999999997</c:v>
                </c:pt>
                <c:pt idx="13">
                  <c:v>47.880299999999998</c:v>
                </c:pt>
                <c:pt idx="14">
                  <c:v>62.075599999999987</c:v>
                </c:pt>
                <c:pt idx="15">
                  <c:v>78.4495</c:v>
                </c:pt>
                <c:pt idx="16">
                  <c:v>99.887799999999999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96.5261</c:v>
                </c:pt>
                <c:pt idx="41">
                  <c:v>92.251300000000001</c:v>
                </c:pt>
                <c:pt idx="42">
                  <c:v>87.485799999999998</c:v>
                </c:pt>
                <c:pt idx="43">
                  <c:v>81.547300000000007</c:v>
                </c:pt>
                <c:pt idx="44">
                  <c:v>77.809799999999996</c:v>
                </c:pt>
                <c:pt idx="45">
                  <c:v>74.40870000000001</c:v>
                </c:pt>
                <c:pt idx="46">
                  <c:v>68.744900000000001</c:v>
                </c:pt>
                <c:pt idx="47">
                  <c:v>67.361899999999991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742D-4180-AC85-4408F677BA26}"/>
            </c:ext>
          </c:extLst>
        </c:ser>
        <c:ser>
          <c:idx val="79"/>
          <c:order val="79"/>
          <c:tx>
            <c:v>BES_TR8_five663_C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SOC_pct!$CD$2:$CD$49</c:f>
              <c:numCache>
                <c:formatCode>0.0</c:formatCode>
                <c:ptCount val="48"/>
                <c:pt idx="0">
                  <c:v>40</c:v>
                </c:pt>
                <c:pt idx="1">
                  <c:v>38.500500000000002</c:v>
                </c:pt>
                <c:pt idx="2">
                  <c:v>37.8354</c:v>
                </c:pt>
                <c:pt idx="3">
                  <c:v>33.994300000000003</c:v>
                </c:pt>
                <c:pt idx="4">
                  <c:v>33.329300000000003</c:v>
                </c:pt>
                <c:pt idx="5">
                  <c:v>32.664200000000001</c:v>
                </c:pt>
                <c:pt idx="6">
                  <c:v>28.8231</c:v>
                </c:pt>
                <c:pt idx="7">
                  <c:v>28.158100000000001</c:v>
                </c:pt>
                <c:pt idx="8">
                  <c:v>25.5581</c:v>
                </c:pt>
                <c:pt idx="9">
                  <c:v>24.1524</c:v>
                </c:pt>
                <c:pt idx="10">
                  <c:v>24.572500000000002</c:v>
                </c:pt>
                <c:pt idx="11">
                  <c:v>25.974499999999999</c:v>
                </c:pt>
                <c:pt idx="12">
                  <c:v>31.6599</c:v>
                </c:pt>
                <c:pt idx="13">
                  <c:v>39.9377</c:v>
                </c:pt>
                <c:pt idx="14">
                  <c:v>49.619199999999999</c:v>
                </c:pt>
                <c:pt idx="15">
                  <c:v>61.767499999999998</c:v>
                </c:pt>
                <c:pt idx="16">
                  <c:v>77.079399999999993</c:v>
                </c:pt>
                <c:pt idx="17">
                  <c:v>94.847099999999998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94.48830000000001</c:v>
                </c:pt>
                <c:pt idx="38">
                  <c:v>96.472700000000003</c:v>
                </c:pt>
                <c:pt idx="39">
                  <c:v>95.763900000000007</c:v>
                </c:pt>
                <c:pt idx="40">
                  <c:v>90.725400000000008</c:v>
                </c:pt>
                <c:pt idx="41">
                  <c:v>84.480999999999995</c:v>
                </c:pt>
                <c:pt idx="42">
                  <c:v>74.474099999999993</c:v>
                </c:pt>
                <c:pt idx="43">
                  <c:v>65.475300000000004</c:v>
                </c:pt>
                <c:pt idx="44">
                  <c:v>63.975700000000003</c:v>
                </c:pt>
                <c:pt idx="45">
                  <c:v>62.476200000000013</c:v>
                </c:pt>
                <c:pt idx="46">
                  <c:v>60.379399999999997</c:v>
                </c:pt>
                <c:pt idx="47">
                  <c:v>56.175899999999999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742D-4180-AC85-4408F677BA26}"/>
            </c:ext>
          </c:extLst>
        </c:ser>
        <c:ser>
          <c:idx val="80"/>
          <c:order val="80"/>
          <c:tx>
            <c:v>BES_TR8_five670_C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SOC_pct!$CE$2:$CE$49</c:f>
              <c:numCache>
                <c:formatCode>0.0</c:formatCode>
                <c:ptCount val="48"/>
                <c:pt idx="0">
                  <c:v>40</c:v>
                </c:pt>
                <c:pt idx="1">
                  <c:v>39.422800000000002</c:v>
                </c:pt>
                <c:pt idx="2">
                  <c:v>38.845500000000001</c:v>
                </c:pt>
                <c:pt idx="3">
                  <c:v>38.268300000000004</c:v>
                </c:pt>
                <c:pt idx="4">
                  <c:v>37.691099999999999</c:v>
                </c:pt>
                <c:pt idx="5">
                  <c:v>37.113799999999998</c:v>
                </c:pt>
                <c:pt idx="6">
                  <c:v>36.5366</c:v>
                </c:pt>
                <c:pt idx="7">
                  <c:v>35.959400000000002</c:v>
                </c:pt>
                <c:pt idx="8">
                  <c:v>35.409100000000002</c:v>
                </c:pt>
                <c:pt idx="9">
                  <c:v>35.221999999999987</c:v>
                </c:pt>
                <c:pt idx="10">
                  <c:v>36.344099999999997</c:v>
                </c:pt>
                <c:pt idx="11">
                  <c:v>39.081099999999999</c:v>
                </c:pt>
                <c:pt idx="12">
                  <c:v>43.798200000000001</c:v>
                </c:pt>
                <c:pt idx="13">
                  <c:v>50.675699999999999</c:v>
                </c:pt>
                <c:pt idx="14">
                  <c:v>59.740200000000002</c:v>
                </c:pt>
                <c:pt idx="15">
                  <c:v>69.3446</c:v>
                </c:pt>
                <c:pt idx="16">
                  <c:v>82.725499999999997</c:v>
                </c:pt>
                <c:pt idx="17">
                  <c:v>98.189400000000006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99.577800000000011</c:v>
                </c:pt>
                <c:pt idx="42">
                  <c:v>99.000500000000002</c:v>
                </c:pt>
                <c:pt idx="43">
                  <c:v>98.423299999999998</c:v>
                </c:pt>
                <c:pt idx="44">
                  <c:v>97.1601</c:v>
                </c:pt>
                <c:pt idx="45">
                  <c:v>94.221500000000006</c:v>
                </c:pt>
                <c:pt idx="46">
                  <c:v>89.809100000000001</c:v>
                </c:pt>
                <c:pt idx="47">
                  <c:v>88.162399999999991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742D-4180-AC85-4408F677BA26}"/>
            </c:ext>
          </c:extLst>
        </c:ser>
        <c:ser>
          <c:idx val="81"/>
          <c:order val="81"/>
          <c:tx>
            <c:v>BES_TR8_five704_A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SOC_pct!$CF$2:$CF$49</c:f>
              <c:numCache>
                <c:formatCode>0.0</c:formatCode>
                <c:ptCount val="48"/>
                <c:pt idx="0">
                  <c:v>40</c:v>
                </c:pt>
                <c:pt idx="1">
                  <c:v>31.4953</c:v>
                </c:pt>
                <c:pt idx="2">
                  <c:v>27.7624</c:v>
                </c:pt>
                <c:pt idx="3">
                  <c:v>26.0916</c:v>
                </c:pt>
                <c:pt idx="4">
                  <c:v>23.539000000000001</c:v>
                </c:pt>
                <c:pt idx="5">
                  <c:v>23.049700000000001</c:v>
                </c:pt>
                <c:pt idx="6">
                  <c:v>21.146000000000001</c:v>
                </c:pt>
                <c:pt idx="7">
                  <c:v>20.656600000000001</c:v>
                </c:pt>
                <c:pt idx="8">
                  <c:v>18.4633</c:v>
                </c:pt>
                <c:pt idx="9">
                  <c:v>17.171199999999999</c:v>
                </c:pt>
                <c:pt idx="10">
                  <c:v>19.069199999999999</c:v>
                </c:pt>
                <c:pt idx="11">
                  <c:v>22.352799999999998</c:v>
                </c:pt>
                <c:pt idx="12">
                  <c:v>29.081700000000001</c:v>
                </c:pt>
                <c:pt idx="13">
                  <c:v>38.765500000000003</c:v>
                </c:pt>
                <c:pt idx="14">
                  <c:v>52.450200000000002</c:v>
                </c:pt>
                <c:pt idx="15">
                  <c:v>67.985399999999998</c:v>
                </c:pt>
                <c:pt idx="16">
                  <c:v>86.633099999999999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93.963999999999999</c:v>
                </c:pt>
                <c:pt idx="37">
                  <c:v>97.4726</c:v>
                </c:pt>
                <c:pt idx="38">
                  <c:v>92.827800000000011</c:v>
                </c:pt>
                <c:pt idx="39">
                  <c:v>62.278399999999998</c:v>
                </c:pt>
                <c:pt idx="40">
                  <c:v>38.211500000000001</c:v>
                </c:pt>
                <c:pt idx="41">
                  <c:v>32.491</c:v>
                </c:pt>
                <c:pt idx="42">
                  <c:v>14.3438</c:v>
                </c:pt>
                <c:pt idx="43">
                  <c:v>13.1473</c:v>
                </c:pt>
                <c:pt idx="44">
                  <c:v>10.5364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742D-4180-AC85-4408F677BA26}"/>
            </c:ext>
          </c:extLst>
        </c:ser>
        <c:ser>
          <c:idx val="82"/>
          <c:order val="82"/>
          <c:tx>
            <c:v>BES_TR8_five719_A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SOC_pct!$CG$2:$CG$49</c:f>
              <c:numCache>
                <c:formatCode>0.0</c:formatCode>
                <c:ptCount val="48"/>
                <c:pt idx="0">
                  <c:v>40</c:v>
                </c:pt>
                <c:pt idx="1">
                  <c:v>37.330500000000001</c:v>
                </c:pt>
                <c:pt idx="2">
                  <c:v>33.765799999999999</c:v>
                </c:pt>
                <c:pt idx="3">
                  <c:v>32.074599999999997</c:v>
                </c:pt>
                <c:pt idx="4">
                  <c:v>31.560099999999998</c:v>
                </c:pt>
                <c:pt idx="5">
                  <c:v>28.306799999999999</c:v>
                </c:pt>
                <c:pt idx="6">
                  <c:v>27.792400000000001</c:v>
                </c:pt>
                <c:pt idx="7">
                  <c:v>27.277899999999999</c:v>
                </c:pt>
                <c:pt idx="8">
                  <c:v>26.8066</c:v>
                </c:pt>
                <c:pt idx="9">
                  <c:v>25.7394</c:v>
                </c:pt>
                <c:pt idx="10">
                  <c:v>27.902999999999999</c:v>
                </c:pt>
                <c:pt idx="11">
                  <c:v>32.650399999999998</c:v>
                </c:pt>
                <c:pt idx="12">
                  <c:v>40.4146</c:v>
                </c:pt>
                <c:pt idx="13">
                  <c:v>50.878999999999998</c:v>
                </c:pt>
                <c:pt idx="14">
                  <c:v>65.750299999999996</c:v>
                </c:pt>
                <c:pt idx="15">
                  <c:v>84.102699999999999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98.664400000000001</c:v>
                </c:pt>
                <c:pt idx="40">
                  <c:v>96.009900000000002</c:v>
                </c:pt>
                <c:pt idx="41">
                  <c:v>94.690799999999996</c:v>
                </c:pt>
                <c:pt idx="42">
                  <c:v>91.000399999999999</c:v>
                </c:pt>
                <c:pt idx="43">
                  <c:v>88.806799999999996</c:v>
                </c:pt>
                <c:pt idx="44">
                  <c:v>81.849000000000004</c:v>
                </c:pt>
                <c:pt idx="45">
                  <c:v>78.787999999999997</c:v>
                </c:pt>
                <c:pt idx="46">
                  <c:v>72.147999999999996</c:v>
                </c:pt>
                <c:pt idx="47">
                  <c:v>68.059200000000004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742D-4180-AC85-4408F677BA26}"/>
            </c:ext>
          </c:extLst>
        </c:ser>
        <c:ser>
          <c:idx val="83"/>
          <c:order val="83"/>
          <c:tx>
            <c:v>BES_TR8_five750_B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SOC_pct!$CH$2:$CH$49</c:f>
              <c:numCache>
                <c:formatCode>0.0</c:formatCode>
                <c:ptCount val="48"/>
                <c:pt idx="0">
                  <c:v>40</c:v>
                </c:pt>
                <c:pt idx="1">
                  <c:v>37.612099999999998</c:v>
                </c:pt>
                <c:pt idx="2">
                  <c:v>37.022300000000001</c:v>
                </c:pt>
                <c:pt idx="3">
                  <c:v>34.797899999999998</c:v>
                </c:pt>
                <c:pt idx="4">
                  <c:v>34.044600000000003</c:v>
                </c:pt>
                <c:pt idx="5">
                  <c:v>32.310600000000001</c:v>
                </c:pt>
                <c:pt idx="6">
                  <c:v>31.067</c:v>
                </c:pt>
                <c:pt idx="7">
                  <c:v>30.4772</c:v>
                </c:pt>
                <c:pt idx="8">
                  <c:v>28.1325</c:v>
                </c:pt>
                <c:pt idx="9">
                  <c:v>28.163399999999999</c:v>
                </c:pt>
                <c:pt idx="10">
                  <c:v>29.965</c:v>
                </c:pt>
                <c:pt idx="11">
                  <c:v>33.320500000000003</c:v>
                </c:pt>
                <c:pt idx="12">
                  <c:v>41.168199999999999</c:v>
                </c:pt>
                <c:pt idx="13">
                  <c:v>50.927799999999998</c:v>
                </c:pt>
                <c:pt idx="14">
                  <c:v>63.048800000000007</c:v>
                </c:pt>
                <c:pt idx="15">
                  <c:v>81.333399999999997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96.661500000000004</c:v>
                </c:pt>
                <c:pt idx="41">
                  <c:v>90.135000000000005</c:v>
                </c:pt>
                <c:pt idx="42">
                  <c:v>84.135300000000001</c:v>
                </c:pt>
                <c:pt idx="43">
                  <c:v>80.858699999999999</c:v>
                </c:pt>
                <c:pt idx="44">
                  <c:v>80.268900000000002</c:v>
                </c:pt>
                <c:pt idx="45">
                  <c:v>79.106999999999999</c:v>
                </c:pt>
                <c:pt idx="46">
                  <c:v>77.291299999999993</c:v>
                </c:pt>
                <c:pt idx="47">
                  <c:v>76.701499999999996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742D-4180-AC85-4408F677BA26}"/>
            </c:ext>
          </c:extLst>
        </c:ser>
        <c:ser>
          <c:idx val="84"/>
          <c:order val="84"/>
          <c:tx>
            <c:v>BES_TR8_five793_A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SOC_pct!$CI$2:$CI$49</c:f>
              <c:numCache>
                <c:formatCode>0.0</c:formatCode>
                <c:ptCount val="48"/>
                <c:pt idx="0">
                  <c:v>40</c:v>
                </c:pt>
                <c:pt idx="1">
                  <c:v>38.523099999999999</c:v>
                </c:pt>
                <c:pt idx="2">
                  <c:v>35.674700000000001</c:v>
                </c:pt>
                <c:pt idx="3">
                  <c:v>35.034700000000001</c:v>
                </c:pt>
                <c:pt idx="4">
                  <c:v>33.5578</c:v>
                </c:pt>
                <c:pt idx="5">
                  <c:v>32.616700000000002</c:v>
                </c:pt>
                <c:pt idx="6">
                  <c:v>29.232399999999998</c:v>
                </c:pt>
                <c:pt idx="7">
                  <c:v>28.592500000000001</c:v>
                </c:pt>
                <c:pt idx="8">
                  <c:v>25.557300000000001</c:v>
                </c:pt>
                <c:pt idx="9">
                  <c:v>24.517299999999999</c:v>
                </c:pt>
                <c:pt idx="10">
                  <c:v>24.926300000000001</c:v>
                </c:pt>
                <c:pt idx="11">
                  <c:v>23.411799999999999</c:v>
                </c:pt>
                <c:pt idx="12">
                  <c:v>25.977799999999998</c:v>
                </c:pt>
                <c:pt idx="13">
                  <c:v>28.4848</c:v>
                </c:pt>
                <c:pt idx="14">
                  <c:v>33.026699999999998</c:v>
                </c:pt>
                <c:pt idx="15">
                  <c:v>38.964399999999998</c:v>
                </c:pt>
                <c:pt idx="16">
                  <c:v>45.305900000000001</c:v>
                </c:pt>
                <c:pt idx="17">
                  <c:v>54.32</c:v>
                </c:pt>
                <c:pt idx="18">
                  <c:v>59.811899999999987</c:v>
                </c:pt>
                <c:pt idx="19">
                  <c:v>67.555099999999996</c:v>
                </c:pt>
                <c:pt idx="20">
                  <c:v>45.521500000000003</c:v>
                </c:pt>
                <c:pt idx="21">
                  <c:v>54.269100000000002</c:v>
                </c:pt>
                <c:pt idx="22">
                  <c:v>64.067399999999992</c:v>
                </c:pt>
                <c:pt idx="23">
                  <c:v>75.521000000000001</c:v>
                </c:pt>
                <c:pt idx="24">
                  <c:v>86.4876</c:v>
                </c:pt>
                <c:pt idx="25">
                  <c:v>99.738200000000006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95.063699999999997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99.0274</c:v>
                </c:pt>
                <c:pt idx="41">
                  <c:v>96.271900000000002</c:v>
                </c:pt>
                <c:pt idx="42">
                  <c:v>95.631999999999991</c:v>
                </c:pt>
                <c:pt idx="43">
                  <c:v>93.932099999999991</c:v>
                </c:pt>
                <c:pt idx="44">
                  <c:v>90.224299999999999</c:v>
                </c:pt>
                <c:pt idx="45">
                  <c:v>87.777500000000003</c:v>
                </c:pt>
                <c:pt idx="46">
                  <c:v>87.090999999999994</c:v>
                </c:pt>
                <c:pt idx="47">
                  <c:v>84.255200000000002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742D-4180-AC85-4408F677BA26}"/>
            </c:ext>
          </c:extLst>
        </c:ser>
        <c:ser>
          <c:idx val="85"/>
          <c:order val="85"/>
          <c:tx>
            <c:v>BES_TR8_five801_C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SOC_pct!$CJ$2:$CJ$49</c:f>
              <c:numCache>
                <c:formatCode>0.0</c:formatCode>
                <c:ptCount val="48"/>
                <c:pt idx="0">
                  <c:v>40</c:v>
                </c:pt>
                <c:pt idx="1">
                  <c:v>36.151499999999999</c:v>
                </c:pt>
                <c:pt idx="2">
                  <c:v>35.536700000000003</c:v>
                </c:pt>
                <c:pt idx="3">
                  <c:v>33.2562</c:v>
                </c:pt>
                <c:pt idx="4">
                  <c:v>32.641300000000001</c:v>
                </c:pt>
                <c:pt idx="5">
                  <c:v>30.9665</c:v>
                </c:pt>
                <c:pt idx="6">
                  <c:v>29.745899999999999</c:v>
                </c:pt>
                <c:pt idx="7">
                  <c:v>28.6768</c:v>
                </c:pt>
                <c:pt idx="8">
                  <c:v>26.888400000000001</c:v>
                </c:pt>
                <c:pt idx="9">
                  <c:v>26.819600000000001</c:v>
                </c:pt>
                <c:pt idx="10">
                  <c:v>28.564499999999999</c:v>
                </c:pt>
                <c:pt idx="11">
                  <c:v>31.48</c:v>
                </c:pt>
                <c:pt idx="12">
                  <c:v>37.848999999999997</c:v>
                </c:pt>
                <c:pt idx="13">
                  <c:v>47.651400000000002</c:v>
                </c:pt>
                <c:pt idx="14">
                  <c:v>59.152800000000013</c:v>
                </c:pt>
                <c:pt idx="15">
                  <c:v>74.926599999999993</c:v>
                </c:pt>
                <c:pt idx="16">
                  <c:v>93.682600000000008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95.9726</c:v>
                </c:pt>
                <c:pt idx="41">
                  <c:v>91.368300000000005</c:v>
                </c:pt>
                <c:pt idx="42">
                  <c:v>83.10990000000001</c:v>
                </c:pt>
                <c:pt idx="43">
                  <c:v>65.192599999999999</c:v>
                </c:pt>
                <c:pt idx="44">
                  <c:v>49.978299999999997</c:v>
                </c:pt>
                <c:pt idx="45">
                  <c:v>42.0443</c:v>
                </c:pt>
                <c:pt idx="46">
                  <c:v>36.942700000000002</c:v>
                </c:pt>
                <c:pt idx="47">
                  <c:v>32.008200000000002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742D-4180-AC85-4408F677BA26}"/>
            </c:ext>
          </c:extLst>
        </c:ser>
        <c:ser>
          <c:idx val="86"/>
          <c:order val="86"/>
          <c:tx>
            <c:v>BES_TR8_five905_B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SOC_pct!$CK$2:$CK$49</c:f>
              <c:numCache>
                <c:formatCode>0.0</c:formatCode>
                <c:ptCount val="48"/>
                <c:pt idx="0">
                  <c:v>40</c:v>
                </c:pt>
                <c:pt idx="1">
                  <c:v>37.271599999999999</c:v>
                </c:pt>
                <c:pt idx="2">
                  <c:v>34.902999999999999</c:v>
                </c:pt>
                <c:pt idx="3">
                  <c:v>34.2881</c:v>
                </c:pt>
                <c:pt idx="4">
                  <c:v>33.185299999999998</c:v>
                </c:pt>
                <c:pt idx="5">
                  <c:v>31.021100000000001</c:v>
                </c:pt>
                <c:pt idx="6">
                  <c:v>27.697299999999998</c:v>
                </c:pt>
                <c:pt idx="7">
                  <c:v>26.1496</c:v>
                </c:pt>
                <c:pt idx="8">
                  <c:v>25.561699999999998</c:v>
                </c:pt>
                <c:pt idx="9">
                  <c:v>22.650400000000001</c:v>
                </c:pt>
                <c:pt idx="10">
                  <c:v>23.738600000000002</c:v>
                </c:pt>
                <c:pt idx="11">
                  <c:v>25.028199999999998</c:v>
                </c:pt>
                <c:pt idx="12">
                  <c:v>28.707000000000001</c:v>
                </c:pt>
                <c:pt idx="13">
                  <c:v>34.710999999999999</c:v>
                </c:pt>
                <c:pt idx="14">
                  <c:v>43.311100000000003</c:v>
                </c:pt>
                <c:pt idx="15">
                  <c:v>52.529899999999998</c:v>
                </c:pt>
                <c:pt idx="16">
                  <c:v>65.914900000000003</c:v>
                </c:pt>
                <c:pt idx="17">
                  <c:v>75.554900000000004</c:v>
                </c:pt>
                <c:pt idx="18">
                  <c:v>92.114199999999997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90.760599999999997</c:v>
                </c:pt>
                <c:pt idx="39">
                  <c:v>92.329099999999997</c:v>
                </c:pt>
                <c:pt idx="40">
                  <c:v>87.067000000000007</c:v>
                </c:pt>
                <c:pt idx="41">
                  <c:v>85.290199999999999</c:v>
                </c:pt>
                <c:pt idx="42">
                  <c:v>83.854200000000006</c:v>
                </c:pt>
                <c:pt idx="43">
                  <c:v>81.373899999999992</c:v>
                </c:pt>
                <c:pt idx="44">
                  <c:v>80.7072</c:v>
                </c:pt>
                <c:pt idx="45">
                  <c:v>79.211299999999994</c:v>
                </c:pt>
                <c:pt idx="46">
                  <c:v>78.596500000000006</c:v>
                </c:pt>
                <c:pt idx="47">
                  <c:v>77.9816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742D-4180-AC85-4408F677BA26}"/>
            </c:ext>
          </c:extLst>
        </c:ser>
        <c:ser>
          <c:idx val="87"/>
          <c:order val="87"/>
          <c:tx>
            <c:v>BES_TR8_five118_B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SOC_pct!$CL$2:$CL$49</c:f>
              <c:numCache>
                <c:formatCode>0.0</c:formatCode>
                <c:ptCount val="48"/>
                <c:pt idx="0">
                  <c:v>40</c:v>
                </c:pt>
                <c:pt idx="1">
                  <c:v>39.372600000000013</c:v>
                </c:pt>
                <c:pt idx="2">
                  <c:v>38.745100000000001</c:v>
                </c:pt>
                <c:pt idx="3">
                  <c:v>38.117699999999999</c:v>
                </c:pt>
                <c:pt idx="4">
                  <c:v>37.490299999999998</c:v>
                </c:pt>
                <c:pt idx="5">
                  <c:v>36.862900000000003</c:v>
                </c:pt>
                <c:pt idx="6">
                  <c:v>36.235399999999998</c:v>
                </c:pt>
                <c:pt idx="7">
                  <c:v>35.607999999999997</c:v>
                </c:pt>
                <c:pt idx="8">
                  <c:v>35.012999999999998</c:v>
                </c:pt>
                <c:pt idx="9">
                  <c:v>34.8536</c:v>
                </c:pt>
                <c:pt idx="10">
                  <c:v>36.258899999999997</c:v>
                </c:pt>
                <c:pt idx="11">
                  <c:v>39.601999999999997</c:v>
                </c:pt>
                <c:pt idx="12">
                  <c:v>45.321300000000001</c:v>
                </c:pt>
                <c:pt idx="13">
                  <c:v>53.633000000000003</c:v>
                </c:pt>
                <c:pt idx="14">
                  <c:v>64.569100000000006</c:v>
                </c:pt>
                <c:pt idx="15">
                  <c:v>78.116</c:v>
                </c:pt>
                <c:pt idx="16">
                  <c:v>94.2774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98.952600000000004</c:v>
                </c:pt>
                <c:pt idx="41">
                  <c:v>98.511200000000002</c:v>
                </c:pt>
                <c:pt idx="42">
                  <c:v>97.883799999999994</c:v>
                </c:pt>
                <c:pt idx="43">
                  <c:v>97.256399999999999</c:v>
                </c:pt>
                <c:pt idx="44">
                  <c:v>96.628900000000002</c:v>
                </c:pt>
                <c:pt idx="45">
                  <c:v>96.001499999999993</c:v>
                </c:pt>
                <c:pt idx="46">
                  <c:v>95.374099999999999</c:v>
                </c:pt>
                <c:pt idx="47">
                  <c:v>94.74669999999999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742D-4180-AC85-4408F677BA26}"/>
            </c:ext>
          </c:extLst>
        </c:ser>
        <c:ser>
          <c:idx val="88"/>
          <c:order val="88"/>
          <c:tx>
            <c:v>BES_TR8_five123_B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SOC_pct!$CM$2:$CM$49</c:f>
              <c:numCache>
                <c:formatCode>0.0</c:formatCode>
                <c:ptCount val="48"/>
                <c:pt idx="0">
                  <c:v>40</c:v>
                </c:pt>
                <c:pt idx="1">
                  <c:v>39.372600000000013</c:v>
                </c:pt>
                <c:pt idx="2">
                  <c:v>37.753799999999998</c:v>
                </c:pt>
                <c:pt idx="3">
                  <c:v>35.305799999999998</c:v>
                </c:pt>
                <c:pt idx="4">
                  <c:v>33.9998</c:v>
                </c:pt>
                <c:pt idx="5">
                  <c:v>32.769300000000001</c:v>
                </c:pt>
                <c:pt idx="6">
                  <c:v>29.2545</c:v>
                </c:pt>
                <c:pt idx="7">
                  <c:v>28.627099999999999</c:v>
                </c:pt>
                <c:pt idx="8">
                  <c:v>26.213200000000001</c:v>
                </c:pt>
                <c:pt idx="9">
                  <c:v>24.382300000000001</c:v>
                </c:pt>
                <c:pt idx="10">
                  <c:v>25.219799999999999</c:v>
                </c:pt>
                <c:pt idx="11">
                  <c:v>25.989100000000001</c:v>
                </c:pt>
                <c:pt idx="12">
                  <c:v>31.627300000000002</c:v>
                </c:pt>
                <c:pt idx="13">
                  <c:v>38.235599999999998</c:v>
                </c:pt>
                <c:pt idx="14">
                  <c:v>49.171700000000001</c:v>
                </c:pt>
                <c:pt idx="15">
                  <c:v>59.577000000000012</c:v>
                </c:pt>
                <c:pt idx="16">
                  <c:v>75.183300000000003</c:v>
                </c:pt>
                <c:pt idx="17">
                  <c:v>88.723700000000008</c:v>
                </c:pt>
                <c:pt idx="18">
                  <c:v>94.811999999999998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95.571799999999996</c:v>
                </c:pt>
                <c:pt idx="41">
                  <c:v>89.422199999999989</c:v>
                </c:pt>
                <c:pt idx="42">
                  <c:v>83.393000000000001</c:v>
                </c:pt>
                <c:pt idx="43">
                  <c:v>75.821799999999996</c:v>
                </c:pt>
                <c:pt idx="44">
                  <c:v>68.592600000000004</c:v>
                </c:pt>
                <c:pt idx="45">
                  <c:v>62.3904</c:v>
                </c:pt>
                <c:pt idx="46">
                  <c:v>55.032099999999993</c:v>
                </c:pt>
                <c:pt idx="47">
                  <c:v>48.816299999999998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742D-4180-AC85-4408F677BA26}"/>
            </c:ext>
          </c:extLst>
        </c:ser>
        <c:ser>
          <c:idx val="89"/>
          <c:order val="89"/>
          <c:tx>
            <c:v>BES_TR8_six64_A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SOC_pct!$CN$2:$CN$49</c:f>
              <c:numCache>
                <c:formatCode>0.0</c:formatCode>
                <c:ptCount val="48"/>
                <c:pt idx="0">
                  <c:v>40</c:v>
                </c:pt>
                <c:pt idx="1">
                  <c:v>38.133800000000001</c:v>
                </c:pt>
                <c:pt idx="2">
                  <c:v>36.338099999999997</c:v>
                </c:pt>
                <c:pt idx="3">
                  <c:v>35.823599999999999</c:v>
                </c:pt>
                <c:pt idx="4">
                  <c:v>34.796700000000001</c:v>
                </c:pt>
                <c:pt idx="5">
                  <c:v>32.915599999999998</c:v>
                </c:pt>
                <c:pt idx="6">
                  <c:v>32.4011</c:v>
                </c:pt>
                <c:pt idx="7">
                  <c:v>30.0075</c:v>
                </c:pt>
                <c:pt idx="8">
                  <c:v>29.514600000000002</c:v>
                </c:pt>
                <c:pt idx="9">
                  <c:v>27.689299999999999</c:v>
                </c:pt>
                <c:pt idx="10">
                  <c:v>28.309000000000001</c:v>
                </c:pt>
                <c:pt idx="11">
                  <c:v>30.4511</c:v>
                </c:pt>
                <c:pt idx="12">
                  <c:v>34.177400000000013</c:v>
                </c:pt>
                <c:pt idx="13">
                  <c:v>38.401899999999998</c:v>
                </c:pt>
                <c:pt idx="14">
                  <c:v>45.144799999999996</c:v>
                </c:pt>
                <c:pt idx="15">
                  <c:v>53.974900000000012</c:v>
                </c:pt>
                <c:pt idx="16">
                  <c:v>51.250999999999998</c:v>
                </c:pt>
                <c:pt idx="17">
                  <c:v>61.737299999999998</c:v>
                </c:pt>
                <c:pt idx="18">
                  <c:v>75.5017</c:v>
                </c:pt>
                <c:pt idx="19">
                  <c:v>88.204499999999996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97.230499999999992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98.0398</c:v>
                </c:pt>
                <c:pt idx="39">
                  <c:v>98.359799999999993</c:v>
                </c:pt>
                <c:pt idx="40">
                  <c:v>93.421500000000009</c:v>
                </c:pt>
                <c:pt idx="41">
                  <c:v>85.4392</c:v>
                </c:pt>
                <c:pt idx="42">
                  <c:v>76.102699999999999</c:v>
                </c:pt>
                <c:pt idx="43">
                  <c:v>68.757599999999996</c:v>
                </c:pt>
                <c:pt idx="44">
                  <c:v>60.297199999999997</c:v>
                </c:pt>
                <c:pt idx="45">
                  <c:v>53.9848</c:v>
                </c:pt>
                <c:pt idx="46">
                  <c:v>30.3325</c:v>
                </c:pt>
                <c:pt idx="47">
                  <c:v>28.0243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742D-4180-AC85-4408F677BA26}"/>
            </c:ext>
          </c:extLst>
        </c:ser>
        <c:ser>
          <c:idx val="90"/>
          <c:order val="90"/>
          <c:tx>
            <c:v>BES_TR8_six154_C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SOC_pct!$CO$2:$CO$49</c:f>
              <c:numCache>
                <c:formatCode>0.0</c:formatCode>
                <c:ptCount val="48"/>
                <c:pt idx="0">
                  <c:v>40</c:v>
                </c:pt>
                <c:pt idx="1">
                  <c:v>37.549199999999999</c:v>
                </c:pt>
                <c:pt idx="2">
                  <c:v>35.6051</c:v>
                </c:pt>
                <c:pt idx="3">
                  <c:v>34.952500000000001</c:v>
                </c:pt>
                <c:pt idx="4">
                  <c:v>31.210100000000001</c:v>
                </c:pt>
                <c:pt idx="5">
                  <c:v>30.557600000000001</c:v>
                </c:pt>
                <c:pt idx="6">
                  <c:v>27.495200000000001</c:v>
                </c:pt>
                <c:pt idx="7">
                  <c:v>26.162700000000001</c:v>
                </c:pt>
                <c:pt idx="8">
                  <c:v>24.848800000000001</c:v>
                </c:pt>
                <c:pt idx="9">
                  <c:v>22.9437</c:v>
                </c:pt>
                <c:pt idx="10">
                  <c:v>23.718399999999999</c:v>
                </c:pt>
                <c:pt idx="11">
                  <c:v>25.321899999999999</c:v>
                </c:pt>
                <c:pt idx="12">
                  <c:v>29.954599999999999</c:v>
                </c:pt>
                <c:pt idx="13">
                  <c:v>38.243699999999997</c:v>
                </c:pt>
                <c:pt idx="14">
                  <c:v>47.440199999999997</c:v>
                </c:pt>
                <c:pt idx="15">
                  <c:v>59.6599</c:v>
                </c:pt>
                <c:pt idx="16">
                  <c:v>73.365700000000004</c:v>
                </c:pt>
                <c:pt idx="17">
                  <c:v>90.244900000000001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98.852199999999996</c:v>
                </c:pt>
                <c:pt idx="40">
                  <c:v>99.172600000000003</c:v>
                </c:pt>
                <c:pt idx="41">
                  <c:v>97.263800000000003</c:v>
                </c:pt>
                <c:pt idx="42">
                  <c:v>94.963699999999989</c:v>
                </c:pt>
                <c:pt idx="43">
                  <c:v>93.6357</c:v>
                </c:pt>
                <c:pt idx="44">
                  <c:v>88.0505</c:v>
                </c:pt>
                <c:pt idx="45">
                  <c:v>87.397999999999996</c:v>
                </c:pt>
                <c:pt idx="46">
                  <c:v>85.563400000000001</c:v>
                </c:pt>
                <c:pt idx="47">
                  <c:v>84.824200000000005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742D-4180-AC85-4408F677BA26}"/>
            </c:ext>
          </c:extLst>
        </c:ser>
        <c:ser>
          <c:idx val="91"/>
          <c:order val="91"/>
          <c:tx>
            <c:v>BES_TR8_six173_C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SOC_pct!$CP$2:$CP$49</c:f>
              <c:numCache>
                <c:formatCode>0.0</c:formatCode>
                <c:ptCount val="48"/>
                <c:pt idx="0">
                  <c:v>40</c:v>
                </c:pt>
                <c:pt idx="1">
                  <c:v>39.385100000000001</c:v>
                </c:pt>
                <c:pt idx="2">
                  <c:v>38.005299999999998</c:v>
                </c:pt>
                <c:pt idx="3">
                  <c:v>37.3904</c:v>
                </c:pt>
                <c:pt idx="4">
                  <c:v>36.010599999999997</c:v>
                </c:pt>
                <c:pt idx="5">
                  <c:v>35.395700000000012</c:v>
                </c:pt>
                <c:pt idx="6">
                  <c:v>34.313400000000001</c:v>
                </c:pt>
                <c:pt idx="7">
                  <c:v>33.401000000000003</c:v>
                </c:pt>
                <c:pt idx="8">
                  <c:v>32.829300000000003</c:v>
                </c:pt>
                <c:pt idx="9">
                  <c:v>32.837600000000002</c:v>
                </c:pt>
                <c:pt idx="10">
                  <c:v>34.2224</c:v>
                </c:pt>
                <c:pt idx="11">
                  <c:v>38.879399999999997</c:v>
                </c:pt>
                <c:pt idx="12">
                  <c:v>46.704599999999999</c:v>
                </c:pt>
                <c:pt idx="13">
                  <c:v>57.871399999999987</c:v>
                </c:pt>
                <c:pt idx="14">
                  <c:v>72.6524</c:v>
                </c:pt>
                <c:pt idx="15">
                  <c:v>90.22590000000001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96.042199999999994</c:v>
                </c:pt>
                <c:pt idx="41">
                  <c:v>86.768900000000002</c:v>
                </c:pt>
                <c:pt idx="42">
                  <c:v>52.516500000000001</c:v>
                </c:pt>
                <c:pt idx="43">
                  <c:v>15.4253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742D-4180-AC85-4408F677BA26}"/>
            </c:ext>
          </c:extLst>
        </c:ser>
        <c:ser>
          <c:idx val="92"/>
          <c:order val="92"/>
          <c:tx>
            <c:v>BES_TR8_six232_C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SOC_pct!$CQ$2:$CQ$49</c:f>
              <c:numCache>
                <c:formatCode>0.0</c:formatCode>
                <c:ptCount val="48"/>
                <c:pt idx="0">
                  <c:v>40</c:v>
                </c:pt>
                <c:pt idx="1">
                  <c:v>20.358899999999998</c:v>
                </c:pt>
                <c:pt idx="2">
                  <c:v>19.6311</c:v>
                </c:pt>
                <c:pt idx="3">
                  <c:v>18.360099999999999</c:v>
                </c:pt>
                <c:pt idx="4">
                  <c:v>16.184100000000001</c:v>
                </c:pt>
                <c:pt idx="5">
                  <c:v>15.456300000000001</c:v>
                </c:pt>
                <c:pt idx="6">
                  <c:v>12.7371</c:v>
                </c:pt>
                <c:pt idx="7">
                  <c:v>12.0093</c:v>
                </c:pt>
                <c:pt idx="8">
                  <c:v>10</c:v>
                </c:pt>
                <c:pt idx="9">
                  <c:v>10</c:v>
                </c:pt>
                <c:pt idx="10">
                  <c:v>10.658300000000001</c:v>
                </c:pt>
                <c:pt idx="11">
                  <c:v>10.8161</c:v>
                </c:pt>
                <c:pt idx="12">
                  <c:v>14.3504</c:v>
                </c:pt>
                <c:pt idx="13">
                  <c:v>18.065100000000001</c:v>
                </c:pt>
                <c:pt idx="14">
                  <c:v>24.832799999999999</c:v>
                </c:pt>
                <c:pt idx="15">
                  <c:v>33.585500000000003</c:v>
                </c:pt>
                <c:pt idx="16">
                  <c:v>44.081200000000003</c:v>
                </c:pt>
                <c:pt idx="17">
                  <c:v>54.8279</c:v>
                </c:pt>
                <c:pt idx="18">
                  <c:v>68.089999999999989</c:v>
                </c:pt>
                <c:pt idx="19">
                  <c:v>81.945800000000006</c:v>
                </c:pt>
                <c:pt idx="20">
                  <c:v>96.738500000000002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97.381</c:v>
                </c:pt>
                <c:pt idx="40">
                  <c:v>89.787300000000002</c:v>
                </c:pt>
                <c:pt idx="41">
                  <c:v>82.930099999999996</c:v>
                </c:pt>
                <c:pt idx="42">
                  <c:v>73.734999999999999</c:v>
                </c:pt>
                <c:pt idx="43">
                  <c:v>67.067399999999992</c:v>
                </c:pt>
                <c:pt idx="44">
                  <c:v>59.260199999999998</c:v>
                </c:pt>
                <c:pt idx="45">
                  <c:v>53.825800000000001</c:v>
                </c:pt>
                <c:pt idx="46">
                  <c:v>52.018300000000004</c:v>
                </c:pt>
                <c:pt idx="47">
                  <c:v>49.299199999999999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742D-4180-AC85-4408F677BA26}"/>
            </c:ext>
          </c:extLst>
        </c:ser>
        <c:ser>
          <c:idx val="93"/>
          <c:order val="93"/>
          <c:tx>
            <c:v>BES_TR8_six238_A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SOC_pct!$CR$2:$CR$49</c:f>
              <c:numCache>
                <c:formatCode>0.0</c:formatCode>
                <c:ptCount val="48"/>
                <c:pt idx="0">
                  <c:v>40</c:v>
                </c:pt>
                <c:pt idx="1">
                  <c:v>39.485500000000002</c:v>
                </c:pt>
                <c:pt idx="2">
                  <c:v>36.612699999999997</c:v>
                </c:pt>
                <c:pt idx="3">
                  <c:v>35.698500000000003</c:v>
                </c:pt>
                <c:pt idx="4">
                  <c:v>34.395800000000001</c:v>
                </c:pt>
                <c:pt idx="5">
                  <c:v>31.9116</c:v>
                </c:pt>
                <c:pt idx="6">
                  <c:v>31.397099999999998</c:v>
                </c:pt>
                <c:pt idx="7">
                  <c:v>30.7227</c:v>
                </c:pt>
                <c:pt idx="8">
                  <c:v>28.459099999999999</c:v>
                </c:pt>
                <c:pt idx="9">
                  <c:v>27.3459</c:v>
                </c:pt>
                <c:pt idx="10">
                  <c:v>26.886600000000001</c:v>
                </c:pt>
                <c:pt idx="11">
                  <c:v>27.729900000000001</c:v>
                </c:pt>
                <c:pt idx="12">
                  <c:v>29.8245</c:v>
                </c:pt>
                <c:pt idx="13">
                  <c:v>32.373899999999999</c:v>
                </c:pt>
                <c:pt idx="14">
                  <c:v>37.661299999999997</c:v>
                </c:pt>
                <c:pt idx="15">
                  <c:v>42.671100000000003</c:v>
                </c:pt>
                <c:pt idx="16">
                  <c:v>49.671799999999998</c:v>
                </c:pt>
                <c:pt idx="17">
                  <c:v>57.215899999999998</c:v>
                </c:pt>
                <c:pt idx="18">
                  <c:v>67.496200000000002</c:v>
                </c:pt>
                <c:pt idx="19">
                  <c:v>76.886099999999999</c:v>
                </c:pt>
                <c:pt idx="20">
                  <c:v>88.376900000000006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98.775800000000004</c:v>
                </c:pt>
                <c:pt idx="36">
                  <c:v>89.963999999999999</c:v>
                </c:pt>
                <c:pt idx="37">
                  <c:v>91.251999999999995</c:v>
                </c:pt>
                <c:pt idx="38">
                  <c:v>92.023299999999992</c:v>
                </c:pt>
                <c:pt idx="39">
                  <c:v>90.639300000000006</c:v>
                </c:pt>
                <c:pt idx="40">
                  <c:v>84.600799999999992</c:v>
                </c:pt>
                <c:pt idx="41">
                  <c:v>77.933099999999996</c:v>
                </c:pt>
                <c:pt idx="42">
                  <c:v>72.617800000000003</c:v>
                </c:pt>
                <c:pt idx="43">
                  <c:v>62.363</c:v>
                </c:pt>
                <c:pt idx="44">
                  <c:v>54.338600000000007</c:v>
                </c:pt>
                <c:pt idx="45">
                  <c:v>45.456699999999998</c:v>
                </c:pt>
                <c:pt idx="46">
                  <c:v>40.3337</c:v>
                </c:pt>
                <c:pt idx="47">
                  <c:v>36.1708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742D-4180-AC85-4408F677BA26}"/>
            </c:ext>
          </c:extLst>
        </c:ser>
        <c:ser>
          <c:idx val="94"/>
          <c:order val="94"/>
          <c:tx>
            <c:v>BES_TR8_six269_C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SOC_pct!$CS$2:$CS$49</c:f>
              <c:numCache>
                <c:formatCode>0.0</c:formatCode>
                <c:ptCount val="48"/>
                <c:pt idx="0">
                  <c:v>40</c:v>
                </c:pt>
                <c:pt idx="1">
                  <c:v>34.3369</c:v>
                </c:pt>
                <c:pt idx="2">
                  <c:v>30.280899999999999</c:v>
                </c:pt>
                <c:pt idx="3">
                  <c:v>26.859300000000001</c:v>
                </c:pt>
                <c:pt idx="4">
                  <c:v>25.148900000000001</c:v>
                </c:pt>
                <c:pt idx="5">
                  <c:v>24.433599999999998</c:v>
                </c:pt>
                <c:pt idx="6">
                  <c:v>22.723199999999999</c:v>
                </c:pt>
                <c:pt idx="7">
                  <c:v>22.007999999999999</c:v>
                </c:pt>
                <c:pt idx="8">
                  <c:v>21.335899999999999</c:v>
                </c:pt>
                <c:pt idx="9">
                  <c:v>21.1342</c:v>
                </c:pt>
                <c:pt idx="10">
                  <c:v>22.321000000000002</c:v>
                </c:pt>
                <c:pt idx="11">
                  <c:v>26.887599999999999</c:v>
                </c:pt>
                <c:pt idx="12">
                  <c:v>34.622399999999999</c:v>
                </c:pt>
                <c:pt idx="13">
                  <c:v>45.316299999999998</c:v>
                </c:pt>
                <c:pt idx="14">
                  <c:v>59.608899999999998</c:v>
                </c:pt>
                <c:pt idx="15">
                  <c:v>77.780599999999993</c:v>
                </c:pt>
                <c:pt idx="16">
                  <c:v>98.886700000000005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91.418800000000005</c:v>
                </c:pt>
                <c:pt idx="40">
                  <c:v>75.870999999999995</c:v>
                </c:pt>
                <c:pt idx="41">
                  <c:v>58.822800000000001</c:v>
                </c:pt>
                <c:pt idx="42">
                  <c:v>54.377899999999997</c:v>
                </c:pt>
                <c:pt idx="43">
                  <c:v>48.566299999999998</c:v>
                </c:pt>
                <c:pt idx="44">
                  <c:v>38.0503</c:v>
                </c:pt>
                <c:pt idx="45">
                  <c:v>30.038599999999999</c:v>
                </c:pt>
                <c:pt idx="46">
                  <c:v>22.946999999999999</c:v>
                </c:pt>
                <c:pt idx="47">
                  <c:v>17.4269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742D-4180-AC85-4408F677BA26}"/>
            </c:ext>
          </c:extLst>
        </c:ser>
        <c:ser>
          <c:idx val="95"/>
          <c:order val="95"/>
          <c:tx>
            <c:v>BES_TR8_six289_C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SOC_pct!$CT$2:$CT$49</c:f>
              <c:numCache>
                <c:formatCode>0.0</c:formatCode>
                <c:ptCount val="48"/>
                <c:pt idx="0">
                  <c:v>40</c:v>
                </c:pt>
                <c:pt idx="1">
                  <c:v>38.059199999999997</c:v>
                </c:pt>
                <c:pt idx="2">
                  <c:v>37.469499999999996</c:v>
                </c:pt>
                <c:pt idx="3">
                  <c:v>36.8797</c:v>
                </c:pt>
                <c:pt idx="4">
                  <c:v>34.938899999999997</c:v>
                </c:pt>
                <c:pt idx="5">
                  <c:v>34.110700000000001</c:v>
                </c:pt>
                <c:pt idx="6">
                  <c:v>33.123600000000003</c:v>
                </c:pt>
                <c:pt idx="7">
                  <c:v>31.341799999999999</c:v>
                </c:pt>
                <c:pt idx="8">
                  <c:v>30.7898</c:v>
                </c:pt>
                <c:pt idx="9">
                  <c:v>30.269300000000001</c:v>
                </c:pt>
                <c:pt idx="10">
                  <c:v>31.035399999999999</c:v>
                </c:pt>
                <c:pt idx="11">
                  <c:v>35.063699999999997</c:v>
                </c:pt>
                <c:pt idx="12">
                  <c:v>41.864199999999997</c:v>
                </c:pt>
                <c:pt idx="13">
                  <c:v>50.258699999999997</c:v>
                </c:pt>
                <c:pt idx="14">
                  <c:v>63.145400000000002</c:v>
                </c:pt>
                <c:pt idx="15">
                  <c:v>79.078099999999992</c:v>
                </c:pt>
                <c:pt idx="16">
                  <c:v>98.061099999999996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99.615399999999994</c:v>
                </c:pt>
                <c:pt idx="38">
                  <c:v>100</c:v>
                </c:pt>
                <c:pt idx="39">
                  <c:v>100</c:v>
                </c:pt>
                <c:pt idx="40">
                  <c:v>98.997399999999999</c:v>
                </c:pt>
                <c:pt idx="41">
                  <c:v>98.624700000000004</c:v>
                </c:pt>
                <c:pt idx="42">
                  <c:v>96.445499999999996</c:v>
                </c:pt>
                <c:pt idx="43">
                  <c:v>95.855699999999999</c:v>
                </c:pt>
                <c:pt idx="44">
                  <c:v>95.265900000000002</c:v>
                </c:pt>
                <c:pt idx="45">
                  <c:v>93.960900000000009</c:v>
                </c:pt>
                <c:pt idx="46">
                  <c:v>92.497</c:v>
                </c:pt>
                <c:pt idx="47">
                  <c:v>86.129000000000005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742D-4180-AC85-4408F677BA26}"/>
            </c:ext>
          </c:extLst>
        </c:ser>
        <c:ser>
          <c:idx val="96"/>
          <c:order val="96"/>
          <c:tx>
            <c:v>BES_TR8_six317_C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SOC_pct!$CU$2:$CU$49</c:f>
              <c:numCache>
                <c:formatCode>0.0</c:formatCode>
                <c:ptCount val="48"/>
                <c:pt idx="0">
                  <c:v>40</c:v>
                </c:pt>
                <c:pt idx="1">
                  <c:v>21.278500000000001</c:v>
                </c:pt>
                <c:pt idx="2">
                  <c:v>18.7941</c:v>
                </c:pt>
                <c:pt idx="3">
                  <c:v>18.116499999999998</c:v>
                </c:pt>
                <c:pt idx="4">
                  <c:v>14.736800000000001</c:v>
                </c:pt>
                <c:pt idx="5">
                  <c:v>12.391299999999999</c:v>
                </c:pt>
                <c:pt idx="6">
                  <c:v>11.713699999999999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10.454700000000001</c:v>
                </c:pt>
                <c:pt idx="11">
                  <c:v>12.521000000000001</c:v>
                </c:pt>
                <c:pt idx="12">
                  <c:v>17.721</c:v>
                </c:pt>
                <c:pt idx="13">
                  <c:v>26.766999999999999</c:v>
                </c:pt>
                <c:pt idx="14">
                  <c:v>37.046500000000002</c:v>
                </c:pt>
                <c:pt idx="15">
                  <c:v>49.789299999999997</c:v>
                </c:pt>
                <c:pt idx="16">
                  <c:v>54.990099999999998</c:v>
                </c:pt>
                <c:pt idx="17">
                  <c:v>74.757900000000006</c:v>
                </c:pt>
                <c:pt idx="18">
                  <c:v>97.693899999999999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97.724400000000003</c:v>
                </c:pt>
                <c:pt idx="39">
                  <c:v>79.668999999999997</c:v>
                </c:pt>
                <c:pt idx="40">
                  <c:v>75.307100000000005</c:v>
                </c:pt>
                <c:pt idx="41">
                  <c:v>70.068200000000004</c:v>
                </c:pt>
                <c:pt idx="42">
                  <c:v>63.575899999999997</c:v>
                </c:pt>
                <c:pt idx="43">
                  <c:v>54.142699999999998</c:v>
                </c:pt>
                <c:pt idx="44">
                  <c:v>47.632000000000012</c:v>
                </c:pt>
                <c:pt idx="45">
                  <c:v>36.488599999999998</c:v>
                </c:pt>
                <c:pt idx="46">
                  <c:v>31.1493</c:v>
                </c:pt>
                <c:pt idx="47">
                  <c:v>29.1234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742D-4180-AC85-4408F677BA26}"/>
            </c:ext>
          </c:extLst>
        </c:ser>
        <c:ser>
          <c:idx val="97"/>
          <c:order val="97"/>
          <c:tx>
            <c:v>BES_TR8_six326_A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SOC_pct!$CV$2:$CV$49</c:f>
              <c:numCache>
                <c:formatCode>0.0</c:formatCode>
                <c:ptCount val="48"/>
                <c:pt idx="0">
                  <c:v>40</c:v>
                </c:pt>
                <c:pt idx="1">
                  <c:v>39.322400000000002</c:v>
                </c:pt>
                <c:pt idx="2">
                  <c:v>36.9587</c:v>
                </c:pt>
                <c:pt idx="3">
                  <c:v>36.281100000000002</c:v>
                </c:pt>
                <c:pt idx="4">
                  <c:v>33.917499999999997</c:v>
                </c:pt>
                <c:pt idx="5">
                  <c:v>33.239899999999999</c:v>
                </c:pt>
                <c:pt idx="6">
                  <c:v>31.297699999999999</c:v>
                </c:pt>
                <c:pt idx="7">
                  <c:v>30.198599999999999</c:v>
                </c:pt>
                <c:pt idx="8">
                  <c:v>28.884399999999999</c:v>
                </c:pt>
                <c:pt idx="9">
                  <c:v>27.741199999999999</c:v>
                </c:pt>
                <c:pt idx="10">
                  <c:v>29.4297</c:v>
                </c:pt>
                <c:pt idx="11">
                  <c:v>33.378900000000002</c:v>
                </c:pt>
                <c:pt idx="12">
                  <c:v>40.100299999999997</c:v>
                </c:pt>
                <c:pt idx="13">
                  <c:v>48.328800000000001</c:v>
                </c:pt>
                <c:pt idx="14">
                  <c:v>61.136500000000012</c:v>
                </c:pt>
                <c:pt idx="15">
                  <c:v>76.610799999999998</c:v>
                </c:pt>
                <c:pt idx="16">
                  <c:v>93.601299999999995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98.968299999999999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96.626100000000008</c:v>
                </c:pt>
                <c:pt idx="41">
                  <c:v>93.287099999999995</c:v>
                </c:pt>
                <c:pt idx="42">
                  <c:v>88.865899999999996</c:v>
                </c:pt>
                <c:pt idx="43">
                  <c:v>82.580399999999997</c:v>
                </c:pt>
                <c:pt idx="44">
                  <c:v>75.232299999999995</c:v>
                </c:pt>
                <c:pt idx="45">
                  <c:v>66.5</c:v>
                </c:pt>
                <c:pt idx="46">
                  <c:v>60.7166</c:v>
                </c:pt>
                <c:pt idx="47">
                  <c:v>56.070799999999998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742D-4180-AC85-4408F677BA26}"/>
            </c:ext>
          </c:extLst>
        </c:ser>
        <c:ser>
          <c:idx val="98"/>
          <c:order val="98"/>
          <c:tx>
            <c:v>BES_TR8_six329_A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SOC_pct!$CW$2:$CW$49</c:f>
              <c:numCache>
                <c:formatCode>0.0</c:formatCode>
                <c:ptCount val="48"/>
                <c:pt idx="0">
                  <c:v>40</c:v>
                </c:pt>
                <c:pt idx="1">
                  <c:v>39.498100000000001</c:v>
                </c:pt>
                <c:pt idx="2">
                  <c:v>38.2973</c:v>
                </c:pt>
                <c:pt idx="3">
                  <c:v>36.297800000000002</c:v>
                </c:pt>
                <c:pt idx="4">
                  <c:v>35.795900000000003</c:v>
                </c:pt>
                <c:pt idx="5">
                  <c:v>33.596699999999998</c:v>
                </c:pt>
                <c:pt idx="6">
                  <c:v>32.595599999999997</c:v>
                </c:pt>
                <c:pt idx="7">
                  <c:v>32.093600000000002</c:v>
                </c:pt>
                <c:pt idx="8">
                  <c:v>30.809200000000001</c:v>
                </c:pt>
                <c:pt idx="9">
                  <c:v>29.143599999999999</c:v>
                </c:pt>
                <c:pt idx="10">
                  <c:v>29.6768</c:v>
                </c:pt>
                <c:pt idx="11">
                  <c:v>31.178999999999998</c:v>
                </c:pt>
                <c:pt idx="12">
                  <c:v>33.869199999999999</c:v>
                </c:pt>
                <c:pt idx="13">
                  <c:v>36.417999999999999</c:v>
                </c:pt>
                <c:pt idx="14">
                  <c:v>41.177500000000002</c:v>
                </c:pt>
                <c:pt idx="15">
                  <c:v>47.242400000000004</c:v>
                </c:pt>
                <c:pt idx="16">
                  <c:v>53.715999999999987</c:v>
                </c:pt>
                <c:pt idx="17">
                  <c:v>62.854299999999988</c:v>
                </c:pt>
                <c:pt idx="18">
                  <c:v>71.1691</c:v>
                </c:pt>
                <c:pt idx="19">
                  <c:v>82.442999999999998</c:v>
                </c:pt>
                <c:pt idx="20">
                  <c:v>94.554599999999994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99.362099999999998</c:v>
                </c:pt>
                <c:pt idx="39">
                  <c:v>99.641400000000004</c:v>
                </c:pt>
                <c:pt idx="40">
                  <c:v>98.436400000000006</c:v>
                </c:pt>
                <c:pt idx="41">
                  <c:v>94.307500000000005</c:v>
                </c:pt>
                <c:pt idx="42">
                  <c:v>89.954800000000006</c:v>
                </c:pt>
                <c:pt idx="43">
                  <c:v>83.845500000000001</c:v>
                </c:pt>
                <c:pt idx="44">
                  <c:v>80.256500000000003</c:v>
                </c:pt>
                <c:pt idx="45">
                  <c:v>74.8078</c:v>
                </c:pt>
                <c:pt idx="46">
                  <c:v>65.206000000000003</c:v>
                </c:pt>
                <c:pt idx="47">
                  <c:v>64.50439999999999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742D-4180-AC85-4408F677BA26}"/>
            </c:ext>
          </c:extLst>
        </c:ser>
        <c:ser>
          <c:idx val="99"/>
          <c:order val="99"/>
          <c:tx>
            <c:v>BES_TR8_six342_A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SOC_pct!$CX$2:$CX$49</c:f>
              <c:numCache>
                <c:formatCode>0.0</c:formatCode>
                <c:ptCount val="48"/>
                <c:pt idx="0">
                  <c:v>40</c:v>
                </c:pt>
                <c:pt idx="1">
                  <c:v>39.272199999999998</c:v>
                </c:pt>
                <c:pt idx="2">
                  <c:v>35.4681</c:v>
                </c:pt>
                <c:pt idx="3">
                  <c:v>34.2164</c:v>
                </c:pt>
                <c:pt idx="4">
                  <c:v>31.471399999999999</c:v>
                </c:pt>
                <c:pt idx="5">
                  <c:v>28.968499999999999</c:v>
                </c:pt>
                <c:pt idx="6">
                  <c:v>27.200199999999999</c:v>
                </c:pt>
                <c:pt idx="7">
                  <c:v>24.135899999999999</c:v>
                </c:pt>
                <c:pt idx="8">
                  <c:v>21.536100000000001</c:v>
                </c:pt>
                <c:pt idx="9">
                  <c:v>20.114999999999998</c:v>
                </c:pt>
                <c:pt idx="10">
                  <c:v>17.360399999999998</c:v>
                </c:pt>
                <c:pt idx="11">
                  <c:v>18.659300000000002</c:v>
                </c:pt>
                <c:pt idx="12">
                  <c:v>18.671500000000002</c:v>
                </c:pt>
                <c:pt idx="13">
                  <c:v>22.372699999999998</c:v>
                </c:pt>
                <c:pt idx="14">
                  <c:v>24.709499999999998</c:v>
                </c:pt>
                <c:pt idx="15">
                  <c:v>31.110199999999999</c:v>
                </c:pt>
                <c:pt idx="16">
                  <c:v>36.631799999999998</c:v>
                </c:pt>
                <c:pt idx="17">
                  <c:v>43.885300000000001</c:v>
                </c:pt>
                <c:pt idx="18">
                  <c:v>51.476200000000013</c:v>
                </c:pt>
                <c:pt idx="19">
                  <c:v>61.302799999999998</c:v>
                </c:pt>
                <c:pt idx="20">
                  <c:v>70.126300000000001</c:v>
                </c:pt>
                <c:pt idx="21">
                  <c:v>81.188199999999995</c:v>
                </c:pt>
                <c:pt idx="22">
                  <c:v>91.814599999999999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99.018100000000004</c:v>
                </c:pt>
                <c:pt idx="37">
                  <c:v>88.222300000000004</c:v>
                </c:pt>
                <c:pt idx="38">
                  <c:v>82.051900000000003</c:v>
                </c:pt>
                <c:pt idx="39">
                  <c:v>44.3172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742D-4180-AC85-4408F677BA26}"/>
            </c:ext>
          </c:extLst>
        </c:ser>
        <c:ser>
          <c:idx val="100"/>
          <c:order val="100"/>
          <c:tx>
            <c:v>BES_TR8_six350_B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SOC_pct!$CY$2:$CY$49</c:f>
              <c:numCache>
                <c:formatCode>0.0</c:formatCode>
                <c:ptCount val="48"/>
                <c:pt idx="0">
                  <c:v>40</c:v>
                </c:pt>
                <c:pt idx="1">
                  <c:v>38.875</c:v>
                </c:pt>
                <c:pt idx="2">
                  <c:v>38.448300000000003</c:v>
                </c:pt>
                <c:pt idx="3">
                  <c:v>38.021700000000003</c:v>
                </c:pt>
                <c:pt idx="4">
                  <c:v>36.789200000000001</c:v>
                </c:pt>
                <c:pt idx="5">
                  <c:v>36.2014</c:v>
                </c:pt>
                <c:pt idx="6">
                  <c:v>35.171199999999999</c:v>
                </c:pt>
                <c:pt idx="7">
                  <c:v>34.314799999999998</c:v>
                </c:pt>
                <c:pt idx="8">
                  <c:v>33.394199999999998</c:v>
                </c:pt>
                <c:pt idx="9">
                  <c:v>33.571899999999999</c:v>
                </c:pt>
                <c:pt idx="10">
                  <c:v>35.282699999999998</c:v>
                </c:pt>
                <c:pt idx="11">
                  <c:v>39.770699999999998</c:v>
                </c:pt>
                <c:pt idx="12">
                  <c:v>47.7652</c:v>
                </c:pt>
                <c:pt idx="13">
                  <c:v>59.216500000000003</c:v>
                </c:pt>
                <c:pt idx="14">
                  <c:v>73.296599999999998</c:v>
                </c:pt>
                <c:pt idx="15">
                  <c:v>88.816199999999995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92.919700000000006</c:v>
                </c:pt>
                <c:pt idx="37">
                  <c:v>90.637699999999995</c:v>
                </c:pt>
                <c:pt idx="38">
                  <c:v>95.562600000000003</c:v>
                </c:pt>
                <c:pt idx="39">
                  <c:v>87.358999999999995</c:v>
                </c:pt>
                <c:pt idx="40">
                  <c:v>84.332599999999999</c:v>
                </c:pt>
                <c:pt idx="41">
                  <c:v>81.589999999999989</c:v>
                </c:pt>
                <c:pt idx="42">
                  <c:v>76.133300000000006</c:v>
                </c:pt>
                <c:pt idx="43">
                  <c:v>72.546999999999997</c:v>
                </c:pt>
                <c:pt idx="44">
                  <c:v>68.966899999999995</c:v>
                </c:pt>
                <c:pt idx="45">
                  <c:v>68.540300000000002</c:v>
                </c:pt>
                <c:pt idx="46">
                  <c:v>66.837400000000002</c:v>
                </c:pt>
                <c:pt idx="47">
                  <c:v>64.12639999999999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742D-4180-AC85-4408F677BA26}"/>
            </c:ext>
          </c:extLst>
        </c:ser>
        <c:ser>
          <c:idx val="101"/>
          <c:order val="101"/>
          <c:tx>
            <c:v>BES_TR8_six365_C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SOC_pct!$CZ$2:$CZ$49</c:f>
              <c:numCache>
                <c:formatCode>0.0</c:formatCode>
                <c:ptCount val="48"/>
                <c:pt idx="0">
                  <c:v>40</c:v>
                </c:pt>
                <c:pt idx="1">
                  <c:v>38.426100000000012</c:v>
                </c:pt>
                <c:pt idx="2">
                  <c:v>37.773600000000002</c:v>
                </c:pt>
                <c:pt idx="3">
                  <c:v>36.199800000000003</c:v>
                </c:pt>
                <c:pt idx="4">
                  <c:v>35.547199999999997</c:v>
                </c:pt>
                <c:pt idx="5">
                  <c:v>33.973399999999998</c:v>
                </c:pt>
                <c:pt idx="6">
                  <c:v>33.320899999999988</c:v>
                </c:pt>
                <c:pt idx="7">
                  <c:v>32.412400000000012</c:v>
                </c:pt>
                <c:pt idx="8">
                  <c:v>31.116099999999999</c:v>
                </c:pt>
                <c:pt idx="9">
                  <c:v>30.775600000000001</c:v>
                </c:pt>
                <c:pt idx="10">
                  <c:v>31.5016</c:v>
                </c:pt>
                <c:pt idx="11">
                  <c:v>33.519599999999997</c:v>
                </c:pt>
                <c:pt idx="12">
                  <c:v>37.121600000000001</c:v>
                </c:pt>
                <c:pt idx="13">
                  <c:v>42.313699999999997</c:v>
                </c:pt>
                <c:pt idx="14">
                  <c:v>48.702599999999997</c:v>
                </c:pt>
                <c:pt idx="15">
                  <c:v>57.523000000000003</c:v>
                </c:pt>
                <c:pt idx="16">
                  <c:v>67.257199999999997</c:v>
                </c:pt>
                <c:pt idx="17">
                  <c:v>79.456699999999998</c:v>
                </c:pt>
                <c:pt idx="18">
                  <c:v>91.34020000000001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99.651199999999989</c:v>
                </c:pt>
                <c:pt idx="37">
                  <c:v>85.3446</c:v>
                </c:pt>
                <c:pt idx="38">
                  <c:v>87.712599999999995</c:v>
                </c:pt>
                <c:pt idx="39">
                  <c:v>88.624300000000005</c:v>
                </c:pt>
                <c:pt idx="40">
                  <c:v>72.506199999999993</c:v>
                </c:pt>
                <c:pt idx="41">
                  <c:v>61.746199999999988</c:v>
                </c:pt>
                <c:pt idx="42">
                  <c:v>54.4191</c:v>
                </c:pt>
                <c:pt idx="43">
                  <c:v>48.957500000000003</c:v>
                </c:pt>
                <c:pt idx="44">
                  <c:v>44.887700000000002</c:v>
                </c:pt>
                <c:pt idx="45">
                  <c:v>40.918900000000001</c:v>
                </c:pt>
                <c:pt idx="46">
                  <c:v>35.7333</c:v>
                </c:pt>
                <c:pt idx="47">
                  <c:v>17.6738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742D-4180-AC85-4408F677BA26}"/>
            </c:ext>
          </c:extLst>
        </c:ser>
        <c:ser>
          <c:idx val="102"/>
          <c:order val="102"/>
          <c:tx>
            <c:v>BES_TR8_six75_A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SOC_pct!$DA$2:$DA$49</c:f>
              <c:numCache>
                <c:formatCode>0.0</c:formatCode>
                <c:ptCount val="48"/>
                <c:pt idx="0">
                  <c:v>40</c:v>
                </c:pt>
                <c:pt idx="1">
                  <c:v>39.284700000000001</c:v>
                </c:pt>
                <c:pt idx="2">
                  <c:v>38.569499999999998</c:v>
                </c:pt>
                <c:pt idx="3">
                  <c:v>37.854199999999999</c:v>
                </c:pt>
                <c:pt idx="4">
                  <c:v>37.1389</c:v>
                </c:pt>
                <c:pt idx="5">
                  <c:v>36.423699999999997</c:v>
                </c:pt>
                <c:pt idx="6">
                  <c:v>35.708399999999997</c:v>
                </c:pt>
                <c:pt idx="7">
                  <c:v>34.993099999999998</c:v>
                </c:pt>
                <c:pt idx="8">
                  <c:v>34.321100000000001</c:v>
                </c:pt>
                <c:pt idx="9">
                  <c:v>34.229900000000001</c:v>
                </c:pt>
                <c:pt idx="10">
                  <c:v>36.212800000000001</c:v>
                </c:pt>
                <c:pt idx="11">
                  <c:v>40.779499999999999</c:v>
                </c:pt>
                <c:pt idx="12">
                  <c:v>48.514299999999999</c:v>
                </c:pt>
                <c:pt idx="13">
                  <c:v>59.705800000000004</c:v>
                </c:pt>
                <c:pt idx="14">
                  <c:v>73.9589</c:v>
                </c:pt>
                <c:pt idx="15">
                  <c:v>90.490099999999998</c:v>
                </c:pt>
                <c:pt idx="16">
                  <c:v>94.878900000000002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98.973199999999991</c:v>
                </c:pt>
                <c:pt idx="40">
                  <c:v>83.983500000000006</c:v>
                </c:pt>
                <c:pt idx="41">
                  <c:v>79.737099999999998</c:v>
                </c:pt>
                <c:pt idx="42">
                  <c:v>75.930299999999988</c:v>
                </c:pt>
                <c:pt idx="43">
                  <c:v>71.045699999999997</c:v>
                </c:pt>
                <c:pt idx="44">
                  <c:v>63.349200000000003</c:v>
                </c:pt>
                <c:pt idx="45">
                  <c:v>54.833200000000012</c:v>
                </c:pt>
                <c:pt idx="46">
                  <c:v>48.7956</c:v>
                </c:pt>
                <c:pt idx="47">
                  <c:v>44.904699999999998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742D-4180-AC85-4408F677BA26}"/>
            </c:ext>
          </c:extLst>
        </c:ser>
        <c:ser>
          <c:idx val="103"/>
          <c:order val="103"/>
          <c:tx>
            <c:v>BES_TR8_six385_B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SOC_pct!$DB$2:$DB$49</c:f>
              <c:numCache>
                <c:formatCode>0.0</c:formatCode>
                <c:ptCount val="48"/>
                <c:pt idx="0">
                  <c:v>40</c:v>
                </c:pt>
                <c:pt idx="1">
                  <c:v>38.745100000000001</c:v>
                </c:pt>
                <c:pt idx="2">
                  <c:v>38.255800000000001</c:v>
                </c:pt>
                <c:pt idx="3">
                  <c:v>36.235399999999998</c:v>
                </c:pt>
                <c:pt idx="4">
                  <c:v>35.746000000000002</c:v>
                </c:pt>
                <c:pt idx="5">
                  <c:v>35.256700000000002</c:v>
                </c:pt>
                <c:pt idx="6">
                  <c:v>34.767299999999999</c:v>
                </c:pt>
                <c:pt idx="7">
                  <c:v>32.746899999999997</c:v>
                </c:pt>
                <c:pt idx="8">
                  <c:v>32.284500000000001</c:v>
                </c:pt>
                <c:pt idx="9">
                  <c:v>32.185200000000002</c:v>
                </c:pt>
                <c:pt idx="10">
                  <c:v>31.988900000000001</c:v>
                </c:pt>
                <c:pt idx="11">
                  <c:v>34.805</c:v>
                </c:pt>
                <c:pt idx="12">
                  <c:v>38.715299999999999</c:v>
                </c:pt>
                <c:pt idx="13">
                  <c:v>45.1798</c:v>
                </c:pt>
                <c:pt idx="14">
                  <c:v>54.323300000000003</c:v>
                </c:pt>
                <c:pt idx="15">
                  <c:v>64.756699999999995</c:v>
                </c:pt>
                <c:pt idx="16">
                  <c:v>77.762600000000006</c:v>
                </c:pt>
                <c:pt idx="17">
                  <c:v>93.305499999999995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96.656300000000002</c:v>
                </c:pt>
                <c:pt idx="40">
                  <c:v>90.1845</c:v>
                </c:pt>
                <c:pt idx="41">
                  <c:v>79.8857</c:v>
                </c:pt>
                <c:pt idx="42">
                  <c:v>70.56219999999999</c:v>
                </c:pt>
                <c:pt idx="43">
                  <c:v>58.528399999999998</c:v>
                </c:pt>
                <c:pt idx="44">
                  <c:v>52.169699999999999</c:v>
                </c:pt>
                <c:pt idx="45">
                  <c:v>44.3613</c:v>
                </c:pt>
                <c:pt idx="46">
                  <c:v>24.962800000000001</c:v>
                </c:pt>
                <c:pt idx="47">
                  <c:v>18.733000000000001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742D-4180-AC85-4408F677BA26}"/>
            </c:ext>
          </c:extLst>
        </c:ser>
        <c:ser>
          <c:idx val="104"/>
          <c:order val="104"/>
          <c:tx>
            <c:v>BES_TR8_six431_C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SOC_pct!$DC$2:$DC$49</c:f>
              <c:numCache>
                <c:formatCode>0.0</c:formatCode>
                <c:ptCount val="48"/>
                <c:pt idx="0">
                  <c:v>40</c:v>
                </c:pt>
                <c:pt idx="1">
                  <c:v>36.041400000000003</c:v>
                </c:pt>
                <c:pt idx="2">
                  <c:v>34.872199999999999</c:v>
                </c:pt>
                <c:pt idx="3">
                  <c:v>33.703000000000003</c:v>
                </c:pt>
                <c:pt idx="4">
                  <c:v>30.6524</c:v>
                </c:pt>
                <c:pt idx="5">
                  <c:v>28.845199999999998</c:v>
                </c:pt>
                <c:pt idx="6">
                  <c:v>25.361499999999999</c:v>
                </c:pt>
                <c:pt idx="7">
                  <c:v>23.867000000000001</c:v>
                </c:pt>
                <c:pt idx="8">
                  <c:v>22.021699999999999</c:v>
                </c:pt>
                <c:pt idx="9">
                  <c:v>20.4544</c:v>
                </c:pt>
                <c:pt idx="10">
                  <c:v>19.016100000000002</c:v>
                </c:pt>
                <c:pt idx="11">
                  <c:v>18.265799999999999</c:v>
                </c:pt>
                <c:pt idx="12">
                  <c:v>20.011399999999998</c:v>
                </c:pt>
                <c:pt idx="13">
                  <c:v>22.725300000000001</c:v>
                </c:pt>
                <c:pt idx="14">
                  <c:v>26.721900000000002</c:v>
                </c:pt>
                <c:pt idx="15">
                  <c:v>31.679600000000001</c:v>
                </c:pt>
                <c:pt idx="16">
                  <c:v>38.567900000000002</c:v>
                </c:pt>
                <c:pt idx="17">
                  <c:v>45.886500000000012</c:v>
                </c:pt>
                <c:pt idx="18">
                  <c:v>52.101399999999998</c:v>
                </c:pt>
                <c:pt idx="19">
                  <c:v>60.103200000000001</c:v>
                </c:pt>
                <c:pt idx="20">
                  <c:v>46.416899999999998</c:v>
                </c:pt>
                <c:pt idx="21">
                  <c:v>55.533799999999999</c:v>
                </c:pt>
                <c:pt idx="22">
                  <c:v>66.201499999999996</c:v>
                </c:pt>
                <c:pt idx="23">
                  <c:v>76.7851</c:v>
                </c:pt>
                <c:pt idx="24">
                  <c:v>88.819499999999991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87.207599999999999</c:v>
                </c:pt>
                <c:pt idx="37">
                  <c:v>83.296099999999996</c:v>
                </c:pt>
                <c:pt idx="38">
                  <c:v>82.469499999999996</c:v>
                </c:pt>
                <c:pt idx="39">
                  <c:v>78.780500000000004</c:v>
                </c:pt>
                <c:pt idx="40">
                  <c:v>72.615300000000005</c:v>
                </c:pt>
                <c:pt idx="41">
                  <c:v>71.127600000000001</c:v>
                </c:pt>
                <c:pt idx="42">
                  <c:v>68.252300000000005</c:v>
                </c:pt>
                <c:pt idx="43">
                  <c:v>61.761000000000003</c:v>
                </c:pt>
                <c:pt idx="44">
                  <c:v>57.738300000000002</c:v>
                </c:pt>
                <c:pt idx="45">
                  <c:v>50.535400000000003</c:v>
                </c:pt>
                <c:pt idx="46">
                  <c:v>45.345300000000002</c:v>
                </c:pt>
                <c:pt idx="47">
                  <c:v>40.174599999999998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742D-4180-AC85-4408F677BA26}"/>
            </c:ext>
          </c:extLst>
        </c:ser>
        <c:ser>
          <c:idx val="105"/>
          <c:order val="105"/>
          <c:tx>
            <c:v>BES_TR8_six571_C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SOC_pct!$DD$2:$DD$49</c:f>
              <c:numCache>
                <c:formatCode>0.0</c:formatCode>
                <c:ptCount val="48"/>
                <c:pt idx="0">
                  <c:v>40</c:v>
                </c:pt>
                <c:pt idx="1">
                  <c:v>39.472999999999999</c:v>
                </c:pt>
                <c:pt idx="2">
                  <c:v>38.030099999999997</c:v>
                </c:pt>
                <c:pt idx="3">
                  <c:v>37.503</c:v>
                </c:pt>
                <c:pt idx="4">
                  <c:v>36.975999999999999</c:v>
                </c:pt>
                <c:pt idx="5">
                  <c:v>36.448999999999998</c:v>
                </c:pt>
                <c:pt idx="6">
                  <c:v>35.057000000000002</c:v>
                </c:pt>
                <c:pt idx="7">
                  <c:v>34.479100000000003</c:v>
                </c:pt>
                <c:pt idx="8">
                  <c:v>33.973599999999998</c:v>
                </c:pt>
                <c:pt idx="9">
                  <c:v>33.758600000000001</c:v>
                </c:pt>
                <c:pt idx="10">
                  <c:v>34.5976</c:v>
                </c:pt>
                <c:pt idx="11">
                  <c:v>35.950000000000003</c:v>
                </c:pt>
                <c:pt idx="12">
                  <c:v>39.619100000000003</c:v>
                </c:pt>
                <c:pt idx="13">
                  <c:v>45.062399999999997</c:v>
                </c:pt>
                <c:pt idx="14">
                  <c:v>52.255200000000002</c:v>
                </c:pt>
                <c:pt idx="15">
                  <c:v>60.593300000000013</c:v>
                </c:pt>
                <c:pt idx="16">
                  <c:v>70.592200000000005</c:v>
                </c:pt>
                <c:pt idx="17">
                  <c:v>82.904599999999988</c:v>
                </c:pt>
                <c:pt idx="18">
                  <c:v>96.754800000000003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87.304000000000002</c:v>
                </c:pt>
                <c:pt idx="39">
                  <c:v>88.909499999999994</c:v>
                </c:pt>
                <c:pt idx="40">
                  <c:v>89.040299999999988</c:v>
                </c:pt>
                <c:pt idx="41">
                  <c:v>87.721400000000003</c:v>
                </c:pt>
                <c:pt idx="42">
                  <c:v>87.194400000000002</c:v>
                </c:pt>
                <c:pt idx="43">
                  <c:v>85.751500000000007</c:v>
                </c:pt>
                <c:pt idx="44">
                  <c:v>85.224500000000006</c:v>
                </c:pt>
                <c:pt idx="45">
                  <c:v>84.646600000000007</c:v>
                </c:pt>
                <c:pt idx="46">
                  <c:v>83.254599999999996</c:v>
                </c:pt>
                <c:pt idx="47">
                  <c:v>82.371399999999994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742D-4180-AC85-4408F677BA26}"/>
            </c:ext>
          </c:extLst>
        </c:ser>
        <c:ser>
          <c:idx val="106"/>
          <c:order val="106"/>
          <c:tx>
            <c:v>BES_TR8_six595_B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SOC_pct!$DE$2:$DE$49</c:f>
              <c:numCache>
                <c:formatCode>0.0</c:formatCode>
                <c:ptCount val="48"/>
                <c:pt idx="0">
                  <c:v>40</c:v>
                </c:pt>
                <c:pt idx="1">
                  <c:v>38.058399999999999</c:v>
                </c:pt>
                <c:pt idx="2">
                  <c:v>35.758899999999997</c:v>
                </c:pt>
                <c:pt idx="3">
                  <c:v>35.056199999999997</c:v>
                </c:pt>
                <c:pt idx="4">
                  <c:v>34.353499999999997</c:v>
                </c:pt>
                <c:pt idx="5">
                  <c:v>31.103999999999999</c:v>
                </c:pt>
                <c:pt idx="6">
                  <c:v>30.112300000000001</c:v>
                </c:pt>
                <c:pt idx="7">
                  <c:v>29.230599999999999</c:v>
                </c:pt>
                <c:pt idx="8">
                  <c:v>25.892800000000001</c:v>
                </c:pt>
                <c:pt idx="9">
                  <c:v>25.502199999999998</c:v>
                </c:pt>
                <c:pt idx="10">
                  <c:v>26.183</c:v>
                </c:pt>
                <c:pt idx="11">
                  <c:v>28.155799999999999</c:v>
                </c:pt>
                <c:pt idx="12">
                  <c:v>29.3215</c:v>
                </c:pt>
                <c:pt idx="13">
                  <c:v>34.445599999999999</c:v>
                </c:pt>
                <c:pt idx="14">
                  <c:v>40.296999999999997</c:v>
                </c:pt>
                <c:pt idx="15">
                  <c:v>47.703299999999999</c:v>
                </c:pt>
                <c:pt idx="16">
                  <c:v>57.507399999999997</c:v>
                </c:pt>
                <c:pt idx="17">
                  <c:v>65.707800000000006</c:v>
                </c:pt>
                <c:pt idx="18">
                  <c:v>60.975499999999997</c:v>
                </c:pt>
                <c:pt idx="19">
                  <c:v>43.688600000000001</c:v>
                </c:pt>
                <c:pt idx="20">
                  <c:v>48.080500000000001</c:v>
                </c:pt>
                <c:pt idx="21">
                  <c:v>65.179699999999997</c:v>
                </c:pt>
                <c:pt idx="22">
                  <c:v>81.229799999999997</c:v>
                </c:pt>
                <c:pt idx="23">
                  <c:v>99.018500000000003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90.074100000000001</c:v>
                </c:pt>
                <c:pt idx="34">
                  <c:v>93.002399999999994</c:v>
                </c:pt>
                <c:pt idx="35">
                  <c:v>97.146200000000007</c:v>
                </c:pt>
                <c:pt idx="36">
                  <c:v>99.658100000000005</c:v>
                </c:pt>
                <c:pt idx="37">
                  <c:v>100</c:v>
                </c:pt>
                <c:pt idx="38">
                  <c:v>99.761399999999995</c:v>
                </c:pt>
                <c:pt idx="39">
                  <c:v>97.385900000000007</c:v>
                </c:pt>
                <c:pt idx="40">
                  <c:v>90.194000000000003</c:v>
                </c:pt>
                <c:pt idx="41">
                  <c:v>81.2333</c:v>
                </c:pt>
                <c:pt idx="42">
                  <c:v>73.254099999999994</c:v>
                </c:pt>
                <c:pt idx="43">
                  <c:v>66.950299999999999</c:v>
                </c:pt>
                <c:pt idx="44">
                  <c:v>60.834500000000013</c:v>
                </c:pt>
                <c:pt idx="45">
                  <c:v>56.2789</c:v>
                </c:pt>
                <c:pt idx="46">
                  <c:v>44.456499999999998</c:v>
                </c:pt>
                <c:pt idx="47">
                  <c:v>39.208500000000001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742D-4180-AC85-4408F677BA26}"/>
            </c:ext>
          </c:extLst>
        </c:ser>
        <c:ser>
          <c:idx val="107"/>
          <c:order val="107"/>
          <c:tx>
            <c:v>BES_TR8_six643_A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SOC_pct!$DF$2:$DF$49</c:f>
              <c:numCache>
                <c:formatCode>0.0</c:formatCode>
                <c:ptCount val="48"/>
                <c:pt idx="0">
                  <c:v>40</c:v>
                </c:pt>
                <c:pt idx="1">
                  <c:v>30.973199999999999</c:v>
                </c:pt>
                <c:pt idx="2">
                  <c:v>24.600999999999999</c:v>
                </c:pt>
                <c:pt idx="3">
                  <c:v>18.253299999999999</c:v>
                </c:pt>
                <c:pt idx="4">
                  <c:v>12.1907</c:v>
                </c:pt>
                <c:pt idx="5">
                  <c:v>10.3908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10.503</c:v>
                </c:pt>
                <c:pt idx="11">
                  <c:v>13.385199999999999</c:v>
                </c:pt>
                <c:pt idx="12">
                  <c:v>18.053000000000001</c:v>
                </c:pt>
                <c:pt idx="13">
                  <c:v>27.753799999999998</c:v>
                </c:pt>
                <c:pt idx="14">
                  <c:v>40.359099999999998</c:v>
                </c:pt>
                <c:pt idx="15">
                  <c:v>52.745800000000003</c:v>
                </c:pt>
                <c:pt idx="16">
                  <c:v>71.604599999999991</c:v>
                </c:pt>
                <c:pt idx="17">
                  <c:v>91.778099999999995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93.629099999999994</c:v>
                </c:pt>
                <c:pt idx="31">
                  <c:v>86.064599999999999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81.118400000000008</c:v>
                </c:pt>
                <c:pt idx="39">
                  <c:v>63.401300000000013</c:v>
                </c:pt>
                <c:pt idx="40">
                  <c:v>56.010800000000003</c:v>
                </c:pt>
                <c:pt idx="41">
                  <c:v>48.720799999999997</c:v>
                </c:pt>
                <c:pt idx="42">
                  <c:v>37.1877</c:v>
                </c:pt>
                <c:pt idx="43">
                  <c:v>27.933199999999999</c:v>
                </c:pt>
                <c:pt idx="44">
                  <c:v>19.856200000000001</c:v>
                </c:pt>
                <c:pt idx="45">
                  <c:v>10.6328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742D-4180-AC85-4408F677BA26}"/>
            </c:ext>
          </c:extLst>
        </c:ser>
        <c:ser>
          <c:idx val="108"/>
          <c:order val="108"/>
          <c:tx>
            <c:v>BES_TR8_six652_A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SOC_pct!$DG$2:$DG$49</c:f>
              <c:numCache>
                <c:formatCode>0.0</c:formatCode>
                <c:ptCount val="48"/>
                <c:pt idx="0">
                  <c:v>40</c:v>
                </c:pt>
                <c:pt idx="1">
                  <c:v>39.272199999999998</c:v>
                </c:pt>
                <c:pt idx="2">
                  <c:v>38.544400000000003</c:v>
                </c:pt>
                <c:pt idx="3">
                  <c:v>36.527500000000003</c:v>
                </c:pt>
                <c:pt idx="4">
                  <c:v>35.198099999999997</c:v>
                </c:pt>
                <c:pt idx="5">
                  <c:v>34.040700000000001</c:v>
                </c:pt>
                <c:pt idx="6">
                  <c:v>31.851900000000001</c:v>
                </c:pt>
                <c:pt idx="7">
                  <c:v>31.124099999999999</c:v>
                </c:pt>
                <c:pt idx="8">
                  <c:v>28.634799999999998</c:v>
                </c:pt>
                <c:pt idx="9">
                  <c:v>28.4452</c:v>
                </c:pt>
                <c:pt idx="10">
                  <c:v>29.411300000000001</c:v>
                </c:pt>
                <c:pt idx="11">
                  <c:v>33.270499999999998</c:v>
                </c:pt>
                <c:pt idx="12">
                  <c:v>40.994100000000003</c:v>
                </c:pt>
                <c:pt idx="13">
                  <c:v>51.323500000000003</c:v>
                </c:pt>
                <c:pt idx="14">
                  <c:v>65.152000000000001</c:v>
                </c:pt>
                <c:pt idx="15">
                  <c:v>83.312399999999997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89.942800000000005</c:v>
                </c:pt>
                <c:pt idx="25">
                  <c:v>92.418999999999997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98.231099999999998</c:v>
                </c:pt>
                <c:pt idx="42">
                  <c:v>96.901800000000009</c:v>
                </c:pt>
                <c:pt idx="43">
                  <c:v>84.239500000000007</c:v>
                </c:pt>
                <c:pt idx="44">
                  <c:v>70.916199999999989</c:v>
                </c:pt>
                <c:pt idx="45">
                  <c:v>70.188400000000001</c:v>
                </c:pt>
                <c:pt idx="46">
                  <c:v>67.827800000000011</c:v>
                </c:pt>
                <c:pt idx="47">
                  <c:v>66.842199999999991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742D-4180-AC85-4408F677BA26}"/>
            </c:ext>
          </c:extLst>
        </c:ser>
        <c:ser>
          <c:idx val="109"/>
          <c:order val="109"/>
          <c:tx>
            <c:v>BES_TR8_six667_A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SOC_pct!$DH$2:$DH$49</c:f>
              <c:numCache>
                <c:formatCode>0.0</c:formatCode>
                <c:ptCount val="48"/>
                <c:pt idx="0">
                  <c:v>40</c:v>
                </c:pt>
                <c:pt idx="1">
                  <c:v>39.372600000000013</c:v>
                </c:pt>
                <c:pt idx="2">
                  <c:v>37.851300000000002</c:v>
                </c:pt>
                <c:pt idx="3">
                  <c:v>36.552799999999998</c:v>
                </c:pt>
                <c:pt idx="4">
                  <c:v>35.478499999999997</c:v>
                </c:pt>
                <c:pt idx="5">
                  <c:v>34.4041</c:v>
                </c:pt>
                <c:pt idx="6">
                  <c:v>33.776699999999998</c:v>
                </c:pt>
                <c:pt idx="7">
                  <c:v>32.255400000000002</c:v>
                </c:pt>
                <c:pt idx="8">
                  <c:v>31.5718</c:v>
                </c:pt>
                <c:pt idx="9">
                  <c:v>30.774000000000001</c:v>
                </c:pt>
                <c:pt idx="10">
                  <c:v>32.657200000000003</c:v>
                </c:pt>
                <c:pt idx="11">
                  <c:v>36.677199999999999</c:v>
                </c:pt>
                <c:pt idx="12">
                  <c:v>44.491</c:v>
                </c:pt>
                <c:pt idx="13">
                  <c:v>54.957099999999997</c:v>
                </c:pt>
                <c:pt idx="14">
                  <c:v>69.726799999999997</c:v>
                </c:pt>
                <c:pt idx="15">
                  <c:v>87.173000000000002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99.240099999999998</c:v>
                </c:pt>
                <c:pt idx="41">
                  <c:v>97.524599999999992</c:v>
                </c:pt>
                <c:pt idx="42">
                  <c:v>93.633899999999997</c:v>
                </c:pt>
                <c:pt idx="43">
                  <c:v>88.827699999999993</c:v>
                </c:pt>
                <c:pt idx="44">
                  <c:v>83.022499999999994</c:v>
                </c:pt>
                <c:pt idx="45">
                  <c:v>78.892600000000002</c:v>
                </c:pt>
                <c:pt idx="46">
                  <c:v>77.481800000000007</c:v>
                </c:pt>
                <c:pt idx="47">
                  <c:v>75.960499999999996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742D-4180-AC85-4408F677BA26}"/>
            </c:ext>
          </c:extLst>
        </c:ser>
        <c:ser>
          <c:idx val="110"/>
          <c:order val="110"/>
          <c:tx>
            <c:v>BES_TR8_six699_C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SOC_pct!$DI$2:$DI$49</c:f>
              <c:numCache>
                <c:formatCode>0.0</c:formatCode>
                <c:ptCount val="48"/>
                <c:pt idx="0">
                  <c:v>40</c:v>
                </c:pt>
                <c:pt idx="1">
                  <c:v>37.052100000000003</c:v>
                </c:pt>
                <c:pt idx="2">
                  <c:v>34.508200000000002</c:v>
                </c:pt>
                <c:pt idx="3">
                  <c:v>33.257599999999996</c:v>
                </c:pt>
                <c:pt idx="4">
                  <c:v>30.715</c:v>
                </c:pt>
                <c:pt idx="5">
                  <c:v>27.318100000000001</c:v>
                </c:pt>
                <c:pt idx="6">
                  <c:v>24.205300000000001</c:v>
                </c:pt>
                <c:pt idx="7">
                  <c:v>23.4255</c:v>
                </c:pt>
                <c:pt idx="8">
                  <c:v>19.354199999999999</c:v>
                </c:pt>
                <c:pt idx="9">
                  <c:v>17.827300000000001</c:v>
                </c:pt>
                <c:pt idx="10">
                  <c:v>17.310300000000002</c:v>
                </c:pt>
                <c:pt idx="11">
                  <c:v>20.1203</c:v>
                </c:pt>
                <c:pt idx="12">
                  <c:v>24.987100000000002</c:v>
                </c:pt>
                <c:pt idx="13">
                  <c:v>34.094200000000001</c:v>
                </c:pt>
                <c:pt idx="14">
                  <c:v>45.798699999999997</c:v>
                </c:pt>
                <c:pt idx="15">
                  <c:v>59.032600000000002</c:v>
                </c:pt>
                <c:pt idx="16">
                  <c:v>77.224299999999999</c:v>
                </c:pt>
                <c:pt idx="17">
                  <c:v>89.073700000000002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99.667699999999996</c:v>
                </c:pt>
                <c:pt idx="40">
                  <c:v>90.995999999999995</c:v>
                </c:pt>
                <c:pt idx="41">
                  <c:v>79.701999999999998</c:v>
                </c:pt>
                <c:pt idx="42">
                  <c:v>71.733800000000002</c:v>
                </c:pt>
                <c:pt idx="43">
                  <c:v>60.711599999999997</c:v>
                </c:pt>
                <c:pt idx="44">
                  <c:v>52.778799999999997</c:v>
                </c:pt>
                <c:pt idx="45">
                  <c:v>44.082700000000003</c:v>
                </c:pt>
                <c:pt idx="46">
                  <c:v>33.506300000000003</c:v>
                </c:pt>
                <c:pt idx="47">
                  <c:v>24.703800000000001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742D-4180-AC85-4408F677BA26}"/>
            </c:ext>
          </c:extLst>
        </c:ser>
        <c:ser>
          <c:idx val="111"/>
          <c:order val="111"/>
          <c:tx>
            <c:v>BES_TR8_six723_B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SOC_pct!$DJ$2:$DJ$49</c:f>
              <c:numCache>
                <c:formatCode>0.0</c:formatCode>
                <c:ptCount val="48"/>
                <c:pt idx="0">
                  <c:v>40</c:v>
                </c:pt>
                <c:pt idx="1">
                  <c:v>36.572500000000012</c:v>
                </c:pt>
                <c:pt idx="2">
                  <c:v>33.44</c:v>
                </c:pt>
                <c:pt idx="3">
                  <c:v>31.345600000000001</c:v>
                </c:pt>
                <c:pt idx="4">
                  <c:v>30.386900000000001</c:v>
                </c:pt>
                <c:pt idx="5">
                  <c:v>25.4634</c:v>
                </c:pt>
                <c:pt idx="6">
                  <c:v>23.826899999999998</c:v>
                </c:pt>
                <c:pt idx="7">
                  <c:v>22.286100000000001</c:v>
                </c:pt>
                <c:pt idx="8">
                  <c:v>18.9328</c:v>
                </c:pt>
                <c:pt idx="9">
                  <c:v>17.219000000000001</c:v>
                </c:pt>
                <c:pt idx="10">
                  <c:v>16.7103</c:v>
                </c:pt>
                <c:pt idx="11">
                  <c:v>20.561399999999999</c:v>
                </c:pt>
                <c:pt idx="12">
                  <c:v>28.296299999999999</c:v>
                </c:pt>
                <c:pt idx="13">
                  <c:v>37.717599999999997</c:v>
                </c:pt>
                <c:pt idx="14">
                  <c:v>50.490499999999997</c:v>
                </c:pt>
                <c:pt idx="15">
                  <c:v>67.176899999999989</c:v>
                </c:pt>
                <c:pt idx="16">
                  <c:v>88.205199999999991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98.359099999999998</c:v>
                </c:pt>
                <c:pt idx="41">
                  <c:v>97.221299999999999</c:v>
                </c:pt>
                <c:pt idx="42">
                  <c:v>92.150400000000005</c:v>
                </c:pt>
                <c:pt idx="43">
                  <c:v>91.007400000000004</c:v>
                </c:pt>
                <c:pt idx="44">
                  <c:v>87.757499999999993</c:v>
                </c:pt>
                <c:pt idx="45">
                  <c:v>84.772000000000006</c:v>
                </c:pt>
                <c:pt idx="46">
                  <c:v>82.154700000000005</c:v>
                </c:pt>
                <c:pt idx="47">
                  <c:v>78.831199999999995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742D-4180-AC85-4408F677BA26}"/>
            </c:ext>
          </c:extLst>
        </c:ser>
        <c:ser>
          <c:idx val="112"/>
          <c:order val="112"/>
          <c:tx>
            <c:v>BES_TR8_six740_A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SOC_pct!$DK$2:$DK$49</c:f>
              <c:numCache>
                <c:formatCode>0.0</c:formatCode>
                <c:ptCount val="48"/>
                <c:pt idx="0">
                  <c:v>40</c:v>
                </c:pt>
                <c:pt idx="1">
                  <c:v>38.040400000000012</c:v>
                </c:pt>
                <c:pt idx="2">
                  <c:v>37.3628</c:v>
                </c:pt>
                <c:pt idx="3">
                  <c:v>36.685200000000002</c:v>
                </c:pt>
                <c:pt idx="4">
                  <c:v>34.626899999999999</c:v>
                </c:pt>
                <c:pt idx="5">
                  <c:v>33.949300000000001</c:v>
                </c:pt>
                <c:pt idx="6">
                  <c:v>31.891100000000002</c:v>
                </c:pt>
                <c:pt idx="7">
                  <c:v>31.2135</c:v>
                </c:pt>
                <c:pt idx="8">
                  <c:v>30.573599999999999</c:v>
                </c:pt>
                <c:pt idx="9">
                  <c:v>29.751799999999999</c:v>
                </c:pt>
                <c:pt idx="10">
                  <c:v>30.818999999999999</c:v>
                </c:pt>
                <c:pt idx="11">
                  <c:v>34.7682</c:v>
                </c:pt>
                <c:pt idx="12">
                  <c:v>40.247</c:v>
                </c:pt>
                <c:pt idx="13">
                  <c:v>49.992999999999988</c:v>
                </c:pt>
                <c:pt idx="14">
                  <c:v>62.800699999999999</c:v>
                </c:pt>
                <c:pt idx="15">
                  <c:v>74.746800000000007</c:v>
                </c:pt>
                <c:pt idx="16">
                  <c:v>91.254900000000006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85.218599999999995</c:v>
                </c:pt>
                <c:pt idx="39">
                  <c:v>60.263300000000001</c:v>
                </c:pt>
                <c:pt idx="40">
                  <c:v>48.494100000000003</c:v>
                </c:pt>
                <c:pt idx="41">
                  <c:v>43.573399999999999</c:v>
                </c:pt>
                <c:pt idx="42">
                  <c:v>27.555900000000001</c:v>
                </c:pt>
                <c:pt idx="43">
                  <c:v>19.2193</c:v>
                </c:pt>
                <c:pt idx="44">
                  <c:v>10.6126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742D-4180-AC85-4408F677BA26}"/>
            </c:ext>
          </c:extLst>
        </c:ser>
        <c:ser>
          <c:idx val="113"/>
          <c:order val="113"/>
          <c:tx>
            <c:v>BES_TR8_six90_B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SOC_pct!$DL$2:$DL$49</c:f>
              <c:numCache>
                <c:formatCode>0.0</c:formatCode>
                <c:ptCount val="48"/>
                <c:pt idx="0">
                  <c:v>40</c:v>
                </c:pt>
                <c:pt idx="1">
                  <c:v>37.906500000000001</c:v>
                </c:pt>
                <c:pt idx="2">
                  <c:v>34.618200000000002</c:v>
                </c:pt>
                <c:pt idx="3">
                  <c:v>32.256</c:v>
                </c:pt>
                <c:pt idx="4">
                  <c:v>29.2834</c:v>
                </c:pt>
                <c:pt idx="5">
                  <c:v>28.5305</c:v>
                </c:pt>
                <c:pt idx="6">
                  <c:v>27.7776</c:v>
                </c:pt>
                <c:pt idx="7">
                  <c:v>27.024699999999999</c:v>
                </c:pt>
                <c:pt idx="8">
                  <c:v>26.304200000000002</c:v>
                </c:pt>
                <c:pt idx="9">
                  <c:v>26.019300000000001</c:v>
                </c:pt>
                <c:pt idx="10">
                  <c:v>27.311699999999998</c:v>
                </c:pt>
                <c:pt idx="11">
                  <c:v>30.541899999999998</c:v>
                </c:pt>
                <c:pt idx="12">
                  <c:v>36.148200000000003</c:v>
                </c:pt>
                <c:pt idx="13">
                  <c:v>44.346999999999987</c:v>
                </c:pt>
                <c:pt idx="14">
                  <c:v>55.170099999999998</c:v>
                </c:pt>
                <c:pt idx="15">
                  <c:v>68.603999999999999</c:v>
                </c:pt>
                <c:pt idx="16">
                  <c:v>84.652500000000003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96.244900000000001</c:v>
                </c:pt>
                <c:pt idx="41">
                  <c:v>90.104100000000003</c:v>
                </c:pt>
                <c:pt idx="42">
                  <c:v>83.345399999999998</c:v>
                </c:pt>
                <c:pt idx="43">
                  <c:v>74.149200000000008</c:v>
                </c:pt>
                <c:pt idx="44">
                  <c:v>69.522300000000001</c:v>
                </c:pt>
                <c:pt idx="45">
                  <c:v>63.394300000000001</c:v>
                </c:pt>
                <c:pt idx="46">
                  <c:v>55.890300000000003</c:v>
                </c:pt>
                <c:pt idx="47">
                  <c:v>48.927999999999997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742D-4180-AC85-4408F677BA26}"/>
            </c:ext>
          </c:extLst>
        </c:ser>
        <c:ser>
          <c:idx val="114"/>
          <c:order val="114"/>
          <c:tx>
            <c:v>BES_TR8_six801_C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SOC_pct!$DM$2:$DM$49</c:f>
              <c:numCache>
                <c:formatCode>0.0</c:formatCode>
                <c:ptCount val="48"/>
                <c:pt idx="0">
                  <c:v>40</c:v>
                </c:pt>
                <c:pt idx="1">
                  <c:v>37.909399999999998</c:v>
                </c:pt>
                <c:pt idx="2">
                  <c:v>36.293100000000003</c:v>
                </c:pt>
                <c:pt idx="3">
                  <c:v>35.659500000000001</c:v>
                </c:pt>
                <c:pt idx="4">
                  <c:v>34.2943</c:v>
                </c:pt>
                <c:pt idx="5">
                  <c:v>31.937100000000001</c:v>
                </c:pt>
                <c:pt idx="6">
                  <c:v>31.1234</c:v>
                </c:pt>
                <c:pt idx="7">
                  <c:v>29.626100000000001</c:v>
                </c:pt>
                <c:pt idx="8">
                  <c:v>28.254799999999999</c:v>
                </c:pt>
                <c:pt idx="9">
                  <c:v>28.342199999999998</c:v>
                </c:pt>
                <c:pt idx="10">
                  <c:v>28.589300000000001</c:v>
                </c:pt>
                <c:pt idx="11">
                  <c:v>32.526600000000002</c:v>
                </c:pt>
                <c:pt idx="12">
                  <c:v>39.398800000000001</c:v>
                </c:pt>
                <c:pt idx="13">
                  <c:v>49.487099999999998</c:v>
                </c:pt>
                <c:pt idx="14">
                  <c:v>63.277000000000008</c:v>
                </c:pt>
                <c:pt idx="15">
                  <c:v>80.383700000000005</c:v>
                </c:pt>
                <c:pt idx="16">
                  <c:v>99.642899999999997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99.468400000000003</c:v>
                </c:pt>
                <c:pt idx="40">
                  <c:v>96.978899999999996</c:v>
                </c:pt>
                <c:pt idx="41">
                  <c:v>90.678600000000003</c:v>
                </c:pt>
                <c:pt idx="42">
                  <c:v>81.780100000000004</c:v>
                </c:pt>
                <c:pt idx="43">
                  <c:v>74.085999999999999</c:v>
                </c:pt>
                <c:pt idx="44">
                  <c:v>72.371399999999994</c:v>
                </c:pt>
                <c:pt idx="45">
                  <c:v>71.040099999999995</c:v>
                </c:pt>
                <c:pt idx="46">
                  <c:v>68.6554</c:v>
                </c:pt>
                <c:pt idx="47">
                  <c:v>66.981800000000007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742D-4180-AC85-4408F677BA26}"/>
            </c:ext>
          </c:extLst>
        </c:ser>
        <c:ser>
          <c:idx val="115"/>
          <c:order val="115"/>
          <c:tx>
            <c:v>BES_TR8_six807_A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SOC_pct!$DN$2:$DN$49</c:f>
              <c:numCache>
                <c:formatCode>0.0</c:formatCode>
                <c:ptCount val="48"/>
                <c:pt idx="0">
                  <c:v>40</c:v>
                </c:pt>
                <c:pt idx="1">
                  <c:v>39.573399999999999</c:v>
                </c:pt>
                <c:pt idx="2">
                  <c:v>39.146700000000003</c:v>
                </c:pt>
                <c:pt idx="3">
                  <c:v>37.252899999999997</c:v>
                </c:pt>
                <c:pt idx="4">
                  <c:v>36.141599999999997</c:v>
                </c:pt>
                <c:pt idx="5">
                  <c:v>35.715000000000003</c:v>
                </c:pt>
                <c:pt idx="6">
                  <c:v>35.2883</c:v>
                </c:pt>
                <c:pt idx="7">
                  <c:v>34.861699999999999</c:v>
                </c:pt>
                <c:pt idx="8">
                  <c:v>32.619900000000001</c:v>
                </c:pt>
                <c:pt idx="9">
                  <c:v>32.523899999999998</c:v>
                </c:pt>
                <c:pt idx="10">
                  <c:v>34.238399999999999</c:v>
                </c:pt>
                <c:pt idx="11">
                  <c:v>37.656399999999998</c:v>
                </c:pt>
                <c:pt idx="12">
                  <c:v>45.6509</c:v>
                </c:pt>
                <c:pt idx="13">
                  <c:v>57.102200000000003</c:v>
                </c:pt>
                <c:pt idx="14">
                  <c:v>70.115899999999996</c:v>
                </c:pt>
                <c:pt idx="15">
                  <c:v>88.547399999999996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99.131499999999988</c:v>
                </c:pt>
                <c:pt idx="37">
                  <c:v>98.482900000000001</c:v>
                </c:pt>
                <c:pt idx="38">
                  <c:v>85.479100000000003</c:v>
                </c:pt>
                <c:pt idx="39">
                  <c:v>84.310600000000008</c:v>
                </c:pt>
                <c:pt idx="40">
                  <c:v>82.389399999999995</c:v>
                </c:pt>
                <c:pt idx="41">
                  <c:v>77.191299999999998</c:v>
                </c:pt>
                <c:pt idx="42">
                  <c:v>72.735500000000002</c:v>
                </c:pt>
                <c:pt idx="43">
                  <c:v>65.761899999999997</c:v>
                </c:pt>
                <c:pt idx="44">
                  <c:v>56.238100000000003</c:v>
                </c:pt>
                <c:pt idx="45">
                  <c:v>49.9527</c:v>
                </c:pt>
                <c:pt idx="46">
                  <c:v>45.291800000000002</c:v>
                </c:pt>
                <c:pt idx="47">
                  <c:v>40.406300000000002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742D-4180-AC85-4408F677BA26}"/>
            </c:ext>
          </c:extLst>
        </c:ser>
        <c:ser>
          <c:idx val="116"/>
          <c:order val="116"/>
          <c:tx>
            <c:v>BES_TR8_six844_C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SOC_pct!$DO$2:$DO$49</c:f>
              <c:numCache>
                <c:formatCode>0.0</c:formatCode>
                <c:ptCount val="48"/>
                <c:pt idx="0">
                  <c:v>40</c:v>
                </c:pt>
                <c:pt idx="1">
                  <c:v>39.523200000000003</c:v>
                </c:pt>
                <c:pt idx="2">
                  <c:v>37.788200000000003</c:v>
                </c:pt>
                <c:pt idx="3">
                  <c:v>36.7331</c:v>
                </c:pt>
                <c:pt idx="4">
                  <c:v>33.456200000000003</c:v>
                </c:pt>
                <c:pt idx="5">
                  <c:v>32.979300000000002</c:v>
                </c:pt>
                <c:pt idx="6">
                  <c:v>30.382200000000001</c:v>
                </c:pt>
                <c:pt idx="7">
                  <c:v>28.647300000000001</c:v>
                </c:pt>
                <c:pt idx="8">
                  <c:v>26.4788</c:v>
                </c:pt>
                <c:pt idx="9">
                  <c:v>25.252099999999999</c:v>
                </c:pt>
                <c:pt idx="10">
                  <c:v>27.206900000000001</c:v>
                </c:pt>
                <c:pt idx="11">
                  <c:v>30.606200000000001</c:v>
                </c:pt>
                <c:pt idx="12">
                  <c:v>36.896900000000002</c:v>
                </c:pt>
                <c:pt idx="13">
                  <c:v>48.302999999999997</c:v>
                </c:pt>
                <c:pt idx="14">
                  <c:v>62.075899999999997</c:v>
                </c:pt>
                <c:pt idx="15">
                  <c:v>78.553799999999995</c:v>
                </c:pt>
                <c:pt idx="16">
                  <c:v>99.999899999999997</c:v>
                </c:pt>
                <c:pt idx="17">
                  <c:v>99.999899999999997</c:v>
                </c:pt>
                <c:pt idx="18">
                  <c:v>99.999899999999997</c:v>
                </c:pt>
                <c:pt idx="19">
                  <c:v>99.999899999999997</c:v>
                </c:pt>
                <c:pt idx="20">
                  <c:v>99.999899999999997</c:v>
                </c:pt>
                <c:pt idx="21">
                  <c:v>99.999899999999997</c:v>
                </c:pt>
                <c:pt idx="22">
                  <c:v>99.999899999999997</c:v>
                </c:pt>
                <c:pt idx="23">
                  <c:v>99.999899999999997</c:v>
                </c:pt>
                <c:pt idx="24">
                  <c:v>99.999899999999997</c:v>
                </c:pt>
                <c:pt idx="25">
                  <c:v>99.999899999999997</c:v>
                </c:pt>
                <c:pt idx="26">
                  <c:v>99.999899999999997</c:v>
                </c:pt>
                <c:pt idx="27">
                  <c:v>99.999899999999997</c:v>
                </c:pt>
                <c:pt idx="28">
                  <c:v>99.999899999999997</c:v>
                </c:pt>
                <c:pt idx="29">
                  <c:v>99.999899999999997</c:v>
                </c:pt>
                <c:pt idx="30">
                  <c:v>99.999899999999997</c:v>
                </c:pt>
                <c:pt idx="31">
                  <c:v>99.999899999999997</c:v>
                </c:pt>
                <c:pt idx="32">
                  <c:v>99.999899999999997</c:v>
                </c:pt>
                <c:pt idx="33">
                  <c:v>99.999899999999997</c:v>
                </c:pt>
                <c:pt idx="34">
                  <c:v>99.999899999999997</c:v>
                </c:pt>
                <c:pt idx="35">
                  <c:v>99.999899999999997</c:v>
                </c:pt>
                <c:pt idx="36">
                  <c:v>99.999899999999997</c:v>
                </c:pt>
                <c:pt idx="37">
                  <c:v>99.999899999999997</c:v>
                </c:pt>
                <c:pt idx="38">
                  <c:v>99.999899999999997</c:v>
                </c:pt>
                <c:pt idx="39">
                  <c:v>99.132500000000007</c:v>
                </c:pt>
                <c:pt idx="40">
                  <c:v>93.392399999999995</c:v>
                </c:pt>
                <c:pt idx="41">
                  <c:v>88.928899999999999</c:v>
                </c:pt>
                <c:pt idx="42">
                  <c:v>85.844699999999989</c:v>
                </c:pt>
                <c:pt idx="43">
                  <c:v>85.367899999999992</c:v>
                </c:pt>
                <c:pt idx="44">
                  <c:v>84.531599999999997</c:v>
                </c:pt>
                <c:pt idx="45">
                  <c:v>81.517700000000005</c:v>
                </c:pt>
                <c:pt idx="46">
                  <c:v>80.558999999999997</c:v>
                </c:pt>
                <c:pt idx="47">
                  <c:v>78.824000000000012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742D-4180-AC85-4408F677BA26}"/>
            </c:ext>
          </c:extLst>
        </c:ser>
        <c:ser>
          <c:idx val="117"/>
          <c:order val="117"/>
          <c:tx>
            <c:v>BES_TR8_six860_C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SOC_pct!$DP$2:$DP$49</c:f>
              <c:numCache>
                <c:formatCode>0.0</c:formatCode>
                <c:ptCount val="48"/>
                <c:pt idx="0">
                  <c:v>40</c:v>
                </c:pt>
                <c:pt idx="1">
                  <c:v>37.762099999999997</c:v>
                </c:pt>
                <c:pt idx="2">
                  <c:v>36.491600000000012</c:v>
                </c:pt>
                <c:pt idx="3">
                  <c:v>34.8872</c:v>
                </c:pt>
                <c:pt idx="4">
                  <c:v>32.068899999999999</c:v>
                </c:pt>
                <c:pt idx="5">
                  <c:v>31.277200000000001</c:v>
                </c:pt>
                <c:pt idx="6">
                  <c:v>29.7744</c:v>
                </c:pt>
                <c:pt idx="7">
                  <c:v>26.702200000000001</c:v>
                </c:pt>
                <c:pt idx="8">
                  <c:v>25.378799999999998</c:v>
                </c:pt>
                <c:pt idx="9">
                  <c:v>22.7788</c:v>
                </c:pt>
                <c:pt idx="10">
                  <c:v>23.1311</c:v>
                </c:pt>
                <c:pt idx="11">
                  <c:v>25.5379</c:v>
                </c:pt>
                <c:pt idx="12">
                  <c:v>27.992000000000001</c:v>
                </c:pt>
                <c:pt idx="13">
                  <c:v>34.419600000000003</c:v>
                </c:pt>
                <c:pt idx="14">
                  <c:v>43.034100000000002</c:v>
                </c:pt>
                <c:pt idx="15">
                  <c:v>51.782700000000013</c:v>
                </c:pt>
                <c:pt idx="16">
                  <c:v>65.100000000000009</c:v>
                </c:pt>
                <c:pt idx="17">
                  <c:v>78.521000000000001</c:v>
                </c:pt>
                <c:pt idx="18">
                  <c:v>91.531599999999997</c:v>
                </c:pt>
                <c:pt idx="19">
                  <c:v>99.999899999999997</c:v>
                </c:pt>
                <c:pt idx="20">
                  <c:v>99.999899999999997</c:v>
                </c:pt>
                <c:pt idx="21">
                  <c:v>99.999899999999997</c:v>
                </c:pt>
                <c:pt idx="22">
                  <c:v>99.999899999999997</c:v>
                </c:pt>
                <c:pt idx="23">
                  <c:v>99.999899999999997</c:v>
                </c:pt>
                <c:pt idx="24">
                  <c:v>99.999899999999997</c:v>
                </c:pt>
                <c:pt idx="25">
                  <c:v>99.796899999999994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92.70620000000001</c:v>
                </c:pt>
                <c:pt idx="31">
                  <c:v>90.759799999999998</c:v>
                </c:pt>
                <c:pt idx="32">
                  <c:v>99.754099999999994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99.806799999999996</c:v>
                </c:pt>
                <c:pt idx="40">
                  <c:v>99.941999999999993</c:v>
                </c:pt>
                <c:pt idx="41">
                  <c:v>96.557999999999993</c:v>
                </c:pt>
                <c:pt idx="42">
                  <c:v>95.674400000000006</c:v>
                </c:pt>
                <c:pt idx="43">
                  <c:v>93.905600000000007</c:v>
                </c:pt>
                <c:pt idx="44">
                  <c:v>91.251800000000003</c:v>
                </c:pt>
                <c:pt idx="45">
                  <c:v>90.561599999999999</c:v>
                </c:pt>
                <c:pt idx="46">
                  <c:v>87.286200000000008</c:v>
                </c:pt>
                <c:pt idx="47">
                  <c:v>86.138999999999996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742D-4180-AC85-4408F677BA26}"/>
            </c:ext>
          </c:extLst>
        </c:ser>
        <c:ser>
          <c:idx val="118"/>
          <c:order val="118"/>
          <c:tx>
            <c:v>BES_TR8_six909_C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SOC_pct!$DQ$2:$DQ$49</c:f>
              <c:numCache>
                <c:formatCode>0.0</c:formatCode>
                <c:ptCount val="48"/>
                <c:pt idx="0">
                  <c:v>40</c:v>
                </c:pt>
                <c:pt idx="1">
                  <c:v>38.176200000000001</c:v>
                </c:pt>
                <c:pt idx="2">
                  <c:v>37.586399999999998</c:v>
                </c:pt>
                <c:pt idx="3">
                  <c:v>36.152200000000001</c:v>
                </c:pt>
                <c:pt idx="4">
                  <c:v>33.854299999999988</c:v>
                </c:pt>
                <c:pt idx="5">
                  <c:v>32.809899999999999</c:v>
                </c:pt>
                <c:pt idx="6">
                  <c:v>30.122299999999999</c:v>
                </c:pt>
                <c:pt idx="7">
                  <c:v>29.532499999999999</c:v>
                </c:pt>
                <c:pt idx="8">
                  <c:v>28.273</c:v>
                </c:pt>
                <c:pt idx="9">
                  <c:v>26.217500000000001</c:v>
                </c:pt>
                <c:pt idx="10">
                  <c:v>27.328399999999998</c:v>
                </c:pt>
                <c:pt idx="11">
                  <c:v>30.053999999999998</c:v>
                </c:pt>
                <c:pt idx="12">
                  <c:v>33.748600000000003</c:v>
                </c:pt>
                <c:pt idx="13">
                  <c:v>39.328699999999998</c:v>
                </c:pt>
                <c:pt idx="14">
                  <c:v>48.381900000000002</c:v>
                </c:pt>
                <c:pt idx="15">
                  <c:v>58.792299999999997</c:v>
                </c:pt>
                <c:pt idx="16">
                  <c:v>70.833399999999997</c:v>
                </c:pt>
                <c:pt idx="17">
                  <c:v>85.939800000000005</c:v>
                </c:pt>
                <c:pt idx="18">
                  <c:v>99.999899999999997</c:v>
                </c:pt>
                <c:pt idx="19">
                  <c:v>99.999899999999997</c:v>
                </c:pt>
                <c:pt idx="20">
                  <c:v>99.999899999999997</c:v>
                </c:pt>
                <c:pt idx="21">
                  <c:v>99.999899999999997</c:v>
                </c:pt>
                <c:pt idx="22">
                  <c:v>99.999899999999997</c:v>
                </c:pt>
                <c:pt idx="23">
                  <c:v>99.999899999999997</c:v>
                </c:pt>
                <c:pt idx="24">
                  <c:v>99.999899999999997</c:v>
                </c:pt>
                <c:pt idx="25">
                  <c:v>99.999899999999997</c:v>
                </c:pt>
                <c:pt idx="26">
                  <c:v>99.999899999999997</c:v>
                </c:pt>
                <c:pt idx="27">
                  <c:v>99.999899999999997</c:v>
                </c:pt>
                <c:pt idx="28">
                  <c:v>99.999899999999997</c:v>
                </c:pt>
                <c:pt idx="29">
                  <c:v>99.999899999999997</c:v>
                </c:pt>
                <c:pt idx="30">
                  <c:v>99.999899999999997</c:v>
                </c:pt>
                <c:pt idx="31">
                  <c:v>99.999899999999997</c:v>
                </c:pt>
                <c:pt idx="32">
                  <c:v>99.999899999999997</c:v>
                </c:pt>
                <c:pt idx="33">
                  <c:v>99.999899999999997</c:v>
                </c:pt>
                <c:pt idx="34">
                  <c:v>99.999899999999997</c:v>
                </c:pt>
                <c:pt idx="35">
                  <c:v>99.999899999999997</c:v>
                </c:pt>
                <c:pt idx="36">
                  <c:v>99.999899999999997</c:v>
                </c:pt>
                <c:pt idx="37">
                  <c:v>99.999899999999997</c:v>
                </c:pt>
                <c:pt idx="38">
                  <c:v>99.999899999999997</c:v>
                </c:pt>
                <c:pt idx="39">
                  <c:v>99.6798</c:v>
                </c:pt>
                <c:pt idx="40">
                  <c:v>95.398200000000003</c:v>
                </c:pt>
                <c:pt idx="41">
                  <c:v>88.167100000000005</c:v>
                </c:pt>
                <c:pt idx="42">
                  <c:v>80.320400000000006</c:v>
                </c:pt>
                <c:pt idx="43">
                  <c:v>79.730599999999995</c:v>
                </c:pt>
                <c:pt idx="44">
                  <c:v>78.231499999999997</c:v>
                </c:pt>
                <c:pt idx="45">
                  <c:v>77.122100000000003</c:v>
                </c:pt>
                <c:pt idx="46">
                  <c:v>76.345100000000002</c:v>
                </c:pt>
                <c:pt idx="47">
                  <c:v>73.390100000000004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742D-4180-AC85-4408F677BA26}"/>
            </c:ext>
          </c:extLst>
        </c:ser>
        <c:ser>
          <c:idx val="119"/>
          <c:order val="119"/>
          <c:tx>
            <c:v>BES_TR8_six914_A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SOC_pct!$DR$2:$DR$49</c:f>
              <c:numCache>
                <c:formatCode>0.0</c:formatCode>
                <c:ptCount val="48"/>
                <c:pt idx="0">
                  <c:v>40</c:v>
                </c:pt>
                <c:pt idx="1">
                  <c:v>35.392099999999999</c:v>
                </c:pt>
                <c:pt idx="2">
                  <c:v>29.781199999999998</c:v>
                </c:pt>
                <c:pt idx="3">
                  <c:v>27.618600000000001</c:v>
                </c:pt>
                <c:pt idx="4">
                  <c:v>20.7867</c:v>
                </c:pt>
                <c:pt idx="5">
                  <c:v>17.885000000000002</c:v>
                </c:pt>
                <c:pt idx="6">
                  <c:v>13.7012</c:v>
                </c:pt>
                <c:pt idx="7">
                  <c:v>10</c:v>
                </c:pt>
                <c:pt idx="8">
                  <c:v>10</c:v>
                </c:pt>
                <c:pt idx="9">
                  <c:v>10.019600000000001</c:v>
                </c:pt>
                <c:pt idx="10">
                  <c:v>12.104200000000001</c:v>
                </c:pt>
                <c:pt idx="11">
                  <c:v>15.0565</c:v>
                </c:pt>
                <c:pt idx="12">
                  <c:v>22.893000000000001</c:v>
                </c:pt>
                <c:pt idx="13">
                  <c:v>32.860199999999999</c:v>
                </c:pt>
                <c:pt idx="14">
                  <c:v>47.262500000000003</c:v>
                </c:pt>
                <c:pt idx="15">
                  <c:v>64.677799999999991</c:v>
                </c:pt>
                <c:pt idx="16">
                  <c:v>85.579300000000003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98.767300000000006</c:v>
                </c:pt>
                <c:pt idx="41">
                  <c:v>95.53540000000001</c:v>
                </c:pt>
                <c:pt idx="42">
                  <c:v>93.073899999999995</c:v>
                </c:pt>
                <c:pt idx="43">
                  <c:v>88.442099999999996</c:v>
                </c:pt>
                <c:pt idx="44">
                  <c:v>83.831000000000003</c:v>
                </c:pt>
                <c:pt idx="45">
                  <c:v>78.197599999999994</c:v>
                </c:pt>
                <c:pt idx="46">
                  <c:v>72.683700000000002</c:v>
                </c:pt>
                <c:pt idx="47">
                  <c:v>67.162300000000002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742D-4180-AC85-4408F677BA26}"/>
            </c:ext>
          </c:extLst>
        </c:ser>
        <c:ser>
          <c:idx val="120"/>
          <c:order val="120"/>
          <c:tx>
            <c:v>BES_TR8_six111_C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SOC_pct!$DS$2:$DS$49</c:f>
              <c:numCache>
                <c:formatCode>0.0</c:formatCode>
                <c:ptCount val="48"/>
                <c:pt idx="0">
                  <c:v>40</c:v>
                </c:pt>
                <c:pt idx="1">
                  <c:v>30.502700000000001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10.906700000000001</c:v>
                </c:pt>
                <c:pt idx="11">
                  <c:v>12.551</c:v>
                </c:pt>
                <c:pt idx="12">
                  <c:v>15.304500000000001</c:v>
                </c:pt>
                <c:pt idx="13">
                  <c:v>20.894600000000001</c:v>
                </c:pt>
                <c:pt idx="14">
                  <c:v>26.492699999999999</c:v>
                </c:pt>
                <c:pt idx="15">
                  <c:v>35.572800000000001</c:v>
                </c:pt>
                <c:pt idx="16">
                  <c:v>46.0794</c:v>
                </c:pt>
                <c:pt idx="17">
                  <c:v>57.113700000000001</c:v>
                </c:pt>
                <c:pt idx="18">
                  <c:v>71.110700000000008</c:v>
                </c:pt>
                <c:pt idx="19">
                  <c:v>86.417299999999997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96.326599999999999</c:v>
                </c:pt>
                <c:pt idx="38">
                  <c:v>92.880099999999999</c:v>
                </c:pt>
                <c:pt idx="39">
                  <c:v>89.6952</c:v>
                </c:pt>
                <c:pt idx="40">
                  <c:v>72.839200000000005</c:v>
                </c:pt>
                <c:pt idx="41">
                  <c:v>65.053799999999995</c:v>
                </c:pt>
                <c:pt idx="42">
                  <c:v>61.356400000000001</c:v>
                </c:pt>
                <c:pt idx="43">
                  <c:v>57.789299999999997</c:v>
                </c:pt>
                <c:pt idx="44">
                  <c:v>53.278799999999997</c:v>
                </c:pt>
                <c:pt idx="45">
                  <c:v>49.438099999999999</c:v>
                </c:pt>
                <c:pt idx="46">
                  <c:v>44.594900000000003</c:v>
                </c:pt>
                <c:pt idx="47">
                  <c:v>41.120899999999999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742D-4180-AC85-4408F677BA26}"/>
            </c:ext>
          </c:extLst>
        </c:ser>
        <c:ser>
          <c:idx val="121"/>
          <c:order val="121"/>
          <c:tx>
            <c:v>BES_TR8_six1006_C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SOC_pct!$DT$2:$DT$49</c:f>
              <c:numCache>
                <c:formatCode>0.0</c:formatCode>
                <c:ptCount val="48"/>
                <c:pt idx="0">
                  <c:v>40</c:v>
                </c:pt>
                <c:pt idx="1">
                  <c:v>37.768900000000002</c:v>
                </c:pt>
                <c:pt idx="2">
                  <c:v>37.116399999999999</c:v>
                </c:pt>
                <c:pt idx="3">
                  <c:v>34.534500000000001</c:v>
                </c:pt>
                <c:pt idx="4">
                  <c:v>33.881999999999998</c:v>
                </c:pt>
                <c:pt idx="5">
                  <c:v>32.527900000000002</c:v>
                </c:pt>
                <c:pt idx="6">
                  <c:v>30.647600000000001</c:v>
                </c:pt>
                <c:pt idx="7">
                  <c:v>29.995100000000001</c:v>
                </c:pt>
                <c:pt idx="8">
                  <c:v>29.3642</c:v>
                </c:pt>
                <c:pt idx="9">
                  <c:v>28.146699999999999</c:v>
                </c:pt>
                <c:pt idx="10">
                  <c:v>27.9011</c:v>
                </c:pt>
                <c:pt idx="11">
                  <c:v>29.919</c:v>
                </c:pt>
                <c:pt idx="12">
                  <c:v>33.521000000000001</c:v>
                </c:pt>
                <c:pt idx="13">
                  <c:v>37.114800000000002</c:v>
                </c:pt>
                <c:pt idx="14">
                  <c:v>27.686</c:v>
                </c:pt>
                <c:pt idx="15">
                  <c:v>28.491900000000001</c:v>
                </c:pt>
                <c:pt idx="16">
                  <c:v>32.395600000000002</c:v>
                </c:pt>
                <c:pt idx="17">
                  <c:v>40.258300000000013</c:v>
                </c:pt>
                <c:pt idx="18">
                  <c:v>50.0931</c:v>
                </c:pt>
                <c:pt idx="19">
                  <c:v>62.882499999999993</c:v>
                </c:pt>
                <c:pt idx="20">
                  <c:v>75.459000000000003</c:v>
                </c:pt>
                <c:pt idx="21">
                  <c:v>76.309100000000001</c:v>
                </c:pt>
                <c:pt idx="22">
                  <c:v>92.377799999999993</c:v>
                </c:pt>
                <c:pt idx="23">
                  <c:v>100</c:v>
                </c:pt>
                <c:pt idx="24">
                  <c:v>97.914100000000005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99.243400000000008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97.760300000000001</c:v>
                </c:pt>
                <c:pt idx="38">
                  <c:v>62.871299999999998</c:v>
                </c:pt>
                <c:pt idx="39">
                  <c:v>18.790099999999999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742D-4180-AC85-4408F677BA26}"/>
            </c:ext>
          </c:extLst>
        </c:ser>
        <c:ser>
          <c:idx val="122"/>
          <c:order val="122"/>
          <c:tx>
            <c:v>BES_TR8_six1020_A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SOC_pct!$DU$2:$DU$49</c:f>
              <c:numCache>
                <c:formatCode>0.0</c:formatCode>
                <c:ptCount val="48"/>
                <c:pt idx="0">
                  <c:v>40</c:v>
                </c:pt>
                <c:pt idx="1">
                  <c:v>37.8994</c:v>
                </c:pt>
                <c:pt idx="2">
                  <c:v>37.052500000000002</c:v>
                </c:pt>
                <c:pt idx="3">
                  <c:v>36.362400000000001</c:v>
                </c:pt>
                <c:pt idx="4">
                  <c:v>35.672199999999997</c:v>
                </c:pt>
                <c:pt idx="5">
                  <c:v>33.414900000000003</c:v>
                </c:pt>
                <c:pt idx="6">
                  <c:v>32.724699999999999</c:v>
                </c:pt>
                <c:pt idx="7">
                  <c:v>30.5458</c:v>
                </c:pt>
                <c:pt idx="8">
                  <c:v>29.7988</c:v>
                </c:pt>
                <c:pt idx="9">
                  <c:v>29.4207</c:v>
                </c:pt>
                <c:pt idx="10">
                  <c:v>30.1129</c:v>
                </c:pt>
                <c:pt idx="11">
                  <c:v>31.3917</c:v>
                </c:pt>
                <c:pt idx="12">
                  <c:v>34.2545</c:v>
                </c:pt>
                <c:pt idx="13">
                  <c:v>39.550999999999988</c:v>
                </c:pt>
                <c:pt idx="14">
                  <c:v>46.597000000000001</c:v>
                </c:pt>
                <c:pt idx="15">
                  <c:v>54.325699999999998</c:v>
                </c:pt>
                <c:pt idx="16">
                  <c:v>64.502700000000004</c:v>
                </c:pt>
                <c:pt idx="17">
                  <c:v>74.6524</c:v>
                </c:pt>
                <c:pt idx="18">
                  <c:v>86.102400000000003</c:v>
                </c:pt>
                <c:pt idx="19">
                  <c:v>94.250999999999991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80.967999999999989</c:v>
                </c:pt>
                <c:pt idx="33">
                  <c:v>61.357799999999997</c:v>
                </c:pt>
                <c:pt idx="34">
                  <c:v>69.856799999999993</c:v>
                </c:pt>
                <c:pt idx="35">
                  <c:v>77.927599999999998</c:v>
                </c:pt>
                <c:pt idx="36">
                  <c:v>84.229399999999998</c:v>
                </c:pt>
                <c:pt idx="37">
                  <c:v>87.903099999999995</c:v>
                </c:pt>
                <c:pt idx="38">
                  <c:v>90.350099999999998</c:v>
                </c:pt>
                <c:pt idx="39">
                  <c:v>91.808900000000008</c:v>
                </c:pt>
                <c:pt idx="40">
                  <c:v>90.2239</c:v>
                </c:pt>
                <c:pt idx="41">
                  <c:v>83.615799999999993</c:v>
                </c:pt>
                <c:pt idx="42">
                  <c:v>77.849100000000007</c:v>
                </c:pt>
                <c:pt idx="43">
                  <c:v>72.280500000000004</c:v>
                </c:pt>
                <c:pt idx="44">
                  <c:v>65.326599999999999</c:v>
                </c:pt>
                <c:pt idx="45">
                  <c:v>46.572699999999998</c:v>
                </c:pt>
                <c:pt idx="46">
                  <c:v>31.1556</c:v>
                </c:pt>
                <c:pt idx="47">
                  <c:v>24.776499999999999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742D-4180-AC85-4408F677BA26}"/>
            </c:ext>
          </c:extLst>
        </c:ser>
        <c:ser>
          <c:idx val="123"/>
          <c:order val="123"/>
          <c:tx>
            <c:v>BES_TR8_six1064_C</c:v>
          </c:tx>
          <c:spPr>
            <a:ln w="4286">
              <a:solidFill>
                <a:srgbClr val="EFF2F5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SOC_pct!$DV$2:$DV$49</c:f>
              <c:numCache>
                <c:formatCode>0.0</c:formatCode>
                <c:ptCount val="48"/>
                <c:pt idx="0">
                  <c:v>40</c:v>
                </c:pt>
                <c:pt idx="1">
                  <c:v>38.865000000000002</c:v>
                </c:pt>
                <c:pt idx="2">
                  <c:v>38.2502</c:v>
                </c:pt>
                <c:pt idx="3">
                  <c:v>35.479100000000003</c:v>
                </c:pt>
                <c:pt idx="4">
                  <c:v>33.542299999999997</c:v>
                </c:pt>
                <c:pt idx="5">
                  <c:v>32.361199999999997</c:v>
                </c:pt>
                <c:pt idx="6">
                  <c:v>28.834399999999999</c:v>
                </c:pt>
                <c:pt idx="7">
                  <c:v>28.2195</c:v>
                </c:pt>
                <c:pt idx="8">
                  <c:v>24.570699999999999</c:v>
                </c:pt>
                <c:pt idx="9">
                  <c:v>23.6784</c:v>
                </c:pt>
                <c:pt idx="10">
                  <c:v>21.528500000000001</c:v>
                </c:pt>
                <c:pt idx="11">
                  <c:v>21.147300000000001</c:v>
                </c:pt>
                <c:pt idx="12">
                  <c:v>21.2744</c:v>
                </c:pt>
                <c:pt idx="13">
                  <c:v>22.977699999999999</c:v>
                </c:pt>
                <c:pt idx="14">
                  <c:v>24.112300000000001</c:v>
                </c:pt>
                <c:pt idx="15">
                  <c:v>27.979900000000001</c:v>
                </c:pt>
                <c:pt idx="16">
                  <c:v>30.346</c:v>
                </c:pt>
                <c:pt idx="17">
                  <c:v>33.927999999999997</c:v>
                </c:pt>
                <c:pt idx="18">
                  <c:v>35.350099999999998</c:v>
                </c:pt>
                <c:pt idx="19">
                  <c:v>34.362699999999997</c:v>
                </c:pt>
                <c:pt idx="20">
                  <c:v>38.858699999999999</c:v>
                </c:pt>
                <c:pt idx="21">
                  <c:v>42.898000000000003</c:v>
                </c:pt>
                <c:pt idx="22">
                  <c:v>46.0959</c:v>
                </c:pt>
                <c:pt idx="23">
                  <c:v>50.273899999999998</c:v>
                </c:pt>
                <c:pt idx="24">
                  <c:v>52.741199999999999</c:v>
                </c:pt>
                <c:pt idx="25">
                  <c:v>36.5916</c:v>
                </c:pt>
                <c:pt idx="26">
                  <c:v>41.454000000000001</c:v>
                </c:pt>
                <c:pt idx="27">
                  <c:v>49.621000000000002</c:v>
                </c:pt>
                <c:pt idx="28">
                  <c:v>52.749299999999998</c:v>
                </c:pt>
                <c:pt idx="29">
                  <c:v>60.182299999999998</c:v>
                </c:pt>
                <c:pt idx="30">
                  <c:v>64.277299999999997</c:v>
                </c:pt>
                <c:pt idx="31">
                  <c:v>67.908100000000005</c:v>
                </c:pt>
                <c:pt idx="32">
                  <c:v>68.261099999999999</c:v>
                </c:pt>
                <c:pt idx="33">
                  <c:v>68.951499999999996</c:v>
                </c:pt>
                <c:pt idx="34">
                  <c:v>56.208000000000013</c:v>
                </c:pt>
                <c:pt idx="35">
                  <c:v>48.636000000000003</c:v>
                </c:pt>
                <c:pt idx="36">
                  <c:v>47.098199999999999</c:v>
                </c:pt>
                <c:pt idx="37">
                  <c:v>48.868699999999997</c:v>
                </c:pt>
                <c:pt idx="38">
                  <c:v>46.279299999999999</c:v>
                </c:pt>
                <c:pt idx="39">
                  <c:v>42.365600000000001</c:v>
                </c:pt>
                <c:pt idx="40">
                  <c:v>41.065600000000003</c:v>
                </c:pt>
                <c:pt idx="41">
                  <c:v>38.662500000000001</c:v>
                </c:pt>
                <c:pt idx="42">
                  <c:v>37.440899999999999</c:v>
                </c:pt>
                <c:pt idx="43">
                  <c:v>30.317</c:v>
                </c:pt>
                <c:pt idx="44">
                  <c:v>21.0611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742D-4180-AC85-4408F677BA26}"/>
            </c:ext>
          </c:extLst>
        </c:ser>
        <c:ser>
          <c:idx val="124"/>
          <c:order val="124"/>
          <c:tx>
            <c:v>SOC max</c:v>
          </c:tx>
          <c:spPr>
            <a:ln w="9525"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ChartData!$AF$2:$AF$49</c:f>
              <c:numCache>
                <c:formatCode>0.0</c:formatCode>
                <c:ptCount val="4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742D-4180-AC85-4408F677BA26}"/>
            </c:ext>
          </c:extLst>
        </c:ser>
        <c:ser>
          <c:idx val="125"/>
          <c:order val="125"/>
          <c:tx>
            <c:v>fleet-average SOC</c:v>
          </c:tx>
          <c:spPr>
            <a:ln w="28575">
              <a:solidFill>
                <a:srgbClr val="167A68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ChartData!$AG$2:$AG$49</c:f>
              <c:numCache>
                <c:formatCode>0.0</c:formatCode>
                <c:ptCount val="48"/>
                <c:pt idx="0">
                  <c:v>40</c:v>
                </c:pt>
                <c:pt idx="1">
                  <c:v>36.998768548387091</c:v>
                </c:pt>
                <c:pt idx="2">
                  <c:v>34.991258064516146</c:v>
                </c:pt>
                <c:pt idx="3">
                  <c:v>33.467017741935486</c:v>
                </c:pt>
                <c:pt idx="4">
                  <c:v>31.8379241935484</c:v>
                </c:pt>
                <c:pt idx="5">
                  <c:v>30.54495080645161</c:v>
                </c:pt>
                <c:pt idx="6">
                  <c:v>29.005632258064516</c:v>
                </c:pt>
                <c:pt idx="7">
                  <c:v>27.73796370967743</c:v>
                </c:pt>
                <c:pt idx="8">
                  <c:v>26.179534677419372</c:v>
                </c:pt>
                <c:pt idx="9">
                  <c:v>25.330334677419341</c:v>
                </c:pt>
                <c:pt idx="10">
                  <c:v>26.012711290322596</c:v>
                </c:pt>
                <c:pt idx="11">
                  <c:v>28.731836290322583</c:v>
                </c:pt>
                <c:pt idx="12">
                  <c:v>33.946454838709684</c:v>
                </c:pt>
                <c:pt idx="13">
                  <c:v>41.726845161290314</c:v>
                </c:pt>
                <c:pt idx="14">
                  <c:v>51.859936290322551</c:v>
                </c:pt>
                <c:pt idx="15">
                  <c:v>64.610875806451659</c:v>
                </c:pt>
                <c:pt idx="16">
                  <c:v>78.530950000000018</c:v>
                </c:pt>
                <c:pt idx="17">
                  <c:v>86.552554838709696</c:v>
                </c:pt>
                <c:pt idx="18">
                  <c:v>90.809050000000013</c:v>
                </c:pt>
                <c:pt idx="19">
                  <c:v>93.557691129032236</c:v>
                </c:pt>
                <c:pt idx="20">
                  <c:v>95.441881451612915</c:v>
                </c:pt>
                <c:pt idx="21">
                  <c:v>96.607210483870972</c:v>
                </c:pt>
                <c:pt idx="22">
                  <c:v>97.008322580645171</c:v>
                </c:pt>
                <c:pt idx="23">
                  <c:v>97.787419354838718</c:v>
                </c:pt>
                <c:pt idx="24">
                  <c:v>97.751525806451639</c:v>
                </c:pt>
                <c:pt idx="25">
                  <c:v>98.125580645161293</c:v>
                </c:pt>
                <c:pt idx="26">
                  <c:v>98.492450806451629</c:v>
                </c:pt>
                <c:pt idx="27">
                  <c:v>98.874781451612904</c:v>
                </c:pt>
                <c:pt idx="28">
                  <c:v>99.00372741935486</c:v>
                </c:pt>
                <c:pt idx="29">
                  <c:v>99.029862903225819</c:v>
                </c:pt>
                <c:pt idx="30">
                  <c:v>99.018552419354862</c:v>
                </c:pt>
                <c:pt idx="31">
                  <c:v>98.928673387096779</c:v>
                </c:pt>
                <c:pt idx="32">
                  <c:v>99.177141129032265</c:v>
                </c:pt>
                <c:pt idx="33">
                  <c:v>98.893501612903222</c:v>
                </c:pt>
                <c:pt idx="34">
                  <c:v>98.852770161290323</c:v>
                </c:pt>
                <c:pt idx="35">
                  <c:v>98.669604032258079</c:v>
                </c:pt>
                <c:pt idx="36">
                  <c:v>98.078334677419349</c:v>
                </c:pt>
                <c:pt idx="37">
                  <c:v>97.199092741935502</c:v>
                </c:pt>
                <c:pt idx="38">
                  <c:v>95.681901612903232</c:v>
                </c:pt>
                <c:pt idx="39">
                  <c:v>93.128699193548371</c:v>
                </c:pt>
                <c:pt idx="40">
                  <c:v>88.351295967741919</c:v>
                </c:pt>
                <c:pt idx="41">
                  <c:v>82.798939516129053</c:v>
                </c:pt>
                <c:pt idx="42">
                  <c:v>76.228954032258059</c:v>
                </c:pt>
                <c:pt idx="43">
                  <c:v>69.912295967741969</c:v>
                </c:pt>
                <c:pt idx="44">
                  <c:v>64.257661290322574</c:v>
                </c:pt>
                <c:pt idx="45">
                  <c:v>59.343408064516112</c:v>
                </c:pt>
                <c:pt idx="46">
                  <c:v>54.730375000000024</c:v>
                </c:pt>
                <c:pt idx="47">
                  <c:v>51.675613709677421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742D-4180-AC85-4408F677BA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Hour of day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112"/>
          <c:min val="0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SOC (%)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75"/>
              <a:t>Net result per prosumer -  TR8   (+ import / - export)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BES_TR8_one223_B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Net_kW!$C$2:$C$49</c:f>
              <c:numCache>
                <c:formatCode>#,##0.000</c:formatCode>
                <c:ptCount val="48"/>
                <c:pt idx="0">
                  <c:v>-7.1999999999905473E-5</c:v>
                </c:pt>
                <c:pt idx="1">
                  <c:v>-6.9388939039072284E-18</c:v>
                </c:pt>
                <c:pt idx="2">
                  <c:v>3.1999999999998702E-4</c:v>
                </c:pt>
                <c:pt idx="3">
                  <c:v>-6.9388939039072284E-18</c:v>
                </c:pt>
                <c:pt idx="4">
                  <c:v>-1.340000000000022E-4</c:v>
                </c:pt>
                <c:pt idx="5">
                  <c:v>4.539999999999822E-4</c:v>
                </c:pt>
                <c:pt idx="6">
                  <c:v>-6.9388939039072284E-18</c:v>
                </c:pt>
                <c:pt idx="7">
                  <c:v>-1.9440173333332139E-4</c:v>
                </c:pt>
                <c:pt idx="8">
                  <c:v>-7.3246266666604498E-5</c:v>
                </c:pt>
                <c:pt idx="9">
                  <c:v>-2.8677860000000938E-4</c:v>
                </c:pt>
                <c:pt idx="10">
                  <c:v>3.2985586666600669E-4</c:v>
                </c:pt>
                <c:pt idx="11">
                  <c:v>3.9101173333402911E-4</c:v>
                </c:pt>
                <c:pt idx="12">
                  <c:v>4.0703666665919958E-5</c:v>
                </c:pt>
                <c:pt idx="13">
                  <c:v>1.294161333340593E-4</c:v>
                </c:pt>
                <c:pt idx="14">
                  <c:v>2.02726000000375E-5</c:v>
                </c:pt>
                <c:pt idx="15">
                  <c:v>-3.1304499999995627E-4</c:v>
                </c:pt>
                <c:pt idx="16">
                  <c:v>-1.6469913333416741E-4</c:v>
                </c:pt>
                <c:pt idx="17">
                  <c:v>3.9653319999999331E-4</c:v>
                </c:pt>
                <c:pt idx="18">
                  <c:v>-0.57846201466666736</c:v>
                </c:pt>
                <c:pt idx="19">
                  <c:v>-1.3122420363999989</c:v>
                </c:pt>
                <c:pt idx="20">
                  <c:v>-1.5064064715333341</c:v>
                </c:pt>
                <c:pt idx="21">
                  <c:v>-1.5986525605999999</c:v>
                </c:pt>
                <c:pt idx="22">
                  <c:v>-1.573962962333334</c:v>
                </c:pt>
                <c:pt idx="23">
                  <c:v>-1.6099893543999999</c:v>
                </c:pt>
                <c:pt idx="24">
                  <c:v>-1.623312664533334</c:v>
                </c:pt>
                <c:pt idx="25">
                  <c:v>-1.583768836</c:v>
                </c:pt>
                <c:pt idx="26">
                  <c:v>-1.5981152409999999</c:v>
                </c:pt>
                <c:pt idx="27">
                  <c:v>-1.453811163733334</c:v>
                </c:pt>
                <c:pt idx="28">
                  <c:v>-1.4897539466</c:v>
                </c:pt>
                <c:pt idx="29">
                  <c:v>-1.3960950865333339</c:v>
                </c:pt>
                <c:pt idx="30">
                  <c:v>-1.2965642474000001</c:v>
                </c:pt>
                <c:pt idx="31">
                  <c:v>-1.176791926933334</c:v>
                </c:pt>
                <c:pt idx="32">
                  <c:v>-0.95264202866666592</c:v>
                </c:pt>
                <c:pt idx="33">
                  <c:v>-0.83097363646666589</c:v>
                </c:pt>
                <c:pt idx="34">
                  <c:v>-0.72660586366666591</c:v>
                </c:pt>
                <c:pt idx="35">
                  <c:v>-0.43265481059999999</c:v>
                </c:pt>
                <c:pt idx="36">
                  <c:v>-0.41845846733333403</c:v>
                </c:pt>
                <c:pt idx="37">
                  <c:v>-0.23804536300000001</c:v>
                </c:pt>
                <c:pt idx="38">
                  <c:v>-3.8170373866666579E-2</c:v>
                </c:pt>
                <c:pt idx="39">
                  <c:v>-1.05799742E-2</c:v>
                </c:pt>
                <c:pt idx="40">
                  <c:v>4.3811186666664609E-4</c:v>
                </c:pt>
                <c:pt idx="41">
                  <c:v>-6.9388939039072284E-18</c:v>
                </c:pt>
                <c:pt idx="42">
                  <c:v>-4.1199999999996789E-4</c:v>
                </c:pt>
                <c:pt idx="43">
                  <c:v>-2.6800000000000429E-4</c:v>
                </c:pt>
                <c:pt idx="44">
                  <c:v>4.0586666666703192E-4</c:v>
                </c:pt>
                <c:pt idx="45">
                  <c:v>-2.8999999999990139E-4</c:v>
                </c:pt>
                <c:pt idx="46">
                  <c:v>3.0733333333299312E-4</c:v>
                </c:pt>
                <c:pt idx="47">
                  <c:v>4.4666666666914878E-5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7C-41CE-86FB-8720DE7EBF17}"/>
            </c:ext>
          </c:extLst>
        </c:ser>
        <c:ser>
          <c:idx val="1"/>
          <c:order val="1"/>
          <c:tx>
            <c:v>BES_TR8_one252_C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Net_kW!$D$2:$D$49</c:f>
              <c:numCache>
                <c:formatCode>#,##0.000</c:formatCode>
                <c:ptCount val="48"/>
                <c:pt idx="0">
                  <c:v>0</c:v>
                </c:pt>
                <c:pt idx="1">
                  <c:v>-4.0400000000001551E-4</c:v>
                </c:pt>
                <c:pt idx="2">
                  <c:v>0</c:v>
                </c:pt>
                <c:pt idx="3">
                  <c:v>1.2400000000001299E-4</c:v>
                </c:pt>
                <c:pt idx="4">
                  <c:v>4.720000000000002E-4</c:v>
                </c:pt>
                <c:pt idx="5">
                  <c:v>0</c:v>
                </c:pt>
                <c:pt idx="6">
                  <c:v>1.799999999999857E-4</c:v>
                </c:pt>
                <c:pt idx="7">
                  <c:v>2.6549783333332239E-4</c:v>
                </c:pt>
                <c:pt idx="8">
                  <c:v>-8.4057833333251591E-5</c:v>
                </c:pt>
                <c:pt idx="9">
                  <c:v>2.3752674999999451E-4</c:v>
                </c:pt>
                <c:pt idx="10">
                  <c:v>-3.3768016666749218E-4</c:v>
                </c:pt>
                <c:pt idx="11">
                  <c:v>-9.923533333244805E-5</c:v>
                </c:pt>
                <c:pt idx="12">
                  <c:v>8.4879583332475583E-5</c:v>
                </c:pt>
                <c:pt idx="13">
                  <c:v>4.1177016666760208E-4</c:v>
                </c:pt>
                <c:pt idx="14">
                  <c:v>-3.366592500000376E-4</c:v>
                </c:pt>
                <c:pt idx="15">
                  <c:v>-4.3330625000015388E-4</c:v>
                </c:pt>
                <c:pt idx="16">
                  <c:v>-2.6187391666798732E-4</c:v>
                </c:pt>
                <c:pt idx="17">
                  <c:v>-6.9754833500000002E-2</c:v>
                </c:pt>
                <c:pt idx="18">
                  <c:v>-1.6813596016666681</c:v>
                </c:pt>
                <c:pt idx="19">
                  <c:v>-1.770517628833332</c:v>
                </c:pt>
                <c:pt idx="20">
                  <c:v>-1.758381589416667</c:v>
                </c:pt>
                <c:pt idx="21">
                  <c:v>-2.0030657007500001</c:v>
                </c:pt>
                <c:pt idx="22">
                  <c:v>-1.8770152029166669</c:v>
                </c:pt>
                <c:pt idx="23">
                  <c:v>-2.0944791930000002</c:v>
                </c:pt>
                <c:pt idx="24">
                  <c:v>-2.0594608306666671</c:v>
                </c:pt>
                <c:pt idx="25">
                  <c:v>-1.9366853783333331</c:v>
                </c:pt>
                <c:pt idx="26">
                  <c:v>-1.6786442512499999</c:v>
                </c:pt>
                <c:pt idx="27">
                  <c:v>-1.277845621333334</c:v>
                </c:pt>
                <c:pt idx="28">
                  <c:v>-1.7366564332500001</c:v>
                </c:pt>
                <c:pt idx="29">
                  <c:v>-1.6970288581666679</c:v>
                </c:pt>
                <c:pt idx="30">
                  <c:v>-1.3538413092499999</c:v>
                </c:pt>
                <c:pt idx="31">
                  <c:v>-1.375739908666668</c:v>
                </c:pt>
                <c:pt idx="32">
                  <c:v>-0.70816636916666509</c:v>
                </c:pt>
                <c:pt idx="33">
                  <c:v>-1.086308545583333</c:v>
                </c:pt>
                <c:pt idx="34">
                  <c:v>-0.74952099624999946</c:v>
                </c:pt>
                <c:pt idx="35">
                  <c:v>-0.461802179916667</c:v>
                </c:pt>
                <c:pt idx="36">
                  <c:v>-0.51058708416666754</c:v>
                </c:pt>
                <c:pt idx="37">
                  <c:v>-0.17285920375</c:v>
                </c:pt>
                <c:pt idx="38">
                  <c:v>-0.1812004673333332</c:v>
                </c:pt>
                <c:pt idx="39">
                  <c:v>-9.3569677500000004E-3</c:v>
                </c:pt>
                <c:pt idx="40">
                  <c:v>-3.7436016666669852E-4</c:v>
                </c:pt>
                <c:pt idx="41">
                  <c:v>0</c:v>
                </c:pt>
                <c:pt idx="42">
                  <c:v>1.2400000000001299E-4</c:v>
                </c:pt>
                <c:pt idx="43">
                  <c:v>4.720000000000002E-4</c:v>
                </c:pt>
                <c:pt idx="44">
                  <c:v>0</c:v>
                </c:pt>
                <c:pt idx="45">
                  <c:v>0</c:v>
                </c:pt>
                <c:pt idx="46">
                  <c:v>-4.0400000000001551E-4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7C-41CE-86FB-8720DE7EBF17}"/>
            </c:ext>
          </c:extLst>
        </c:ser>
        <c:ser>
          <c:idx val="2"/>
          <c:order val="2"/>
          <c:tx>
            <c:v>BES_TR8_one280_A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Net_kW!$E$2:$E$49</c:f>
              <c:numCache>
                <c:formatCode>#,##0.000</c:formatCode>
                <c:ptCount val="48"/>
                <c:pt idx="0">
                  <c:v>-3.7566666666660059E-4</c:v>
                </c:pt>
                <c:pt idx="1">
                  <c:v>3.0973333333300662E-4</c:v>
                </c:pt>
                <c:pt idx="2">
                  <c:v>1.786666666660219E-5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-1.505021666666703E-4</c:v>
                </c:pt>
                <c:pt idx="8">
                  <c:v>-8.4057833333255061E-5</c:v>
                </c:pt>
                <c:pt idx="9">
                  <c:v>-3.5847325000001867E-4</c:v>
                </c:pt>
                <c:pt idx="10">
                  <c:v>-3.3768016666751999E-4</c:v>
                </c:pt>
                <c:pt idx="11">
                  <c:v>3.387646666675459E-4</c:v>
                </c:pt>
                <c:pt idx="12">
                  <c:v>5.0879583332608107E-5</c:v>
                </c:pt>
                <c:pt idx="13">
                  <c:v>4.1177016666760208E-4</c:v>
                </c:pt>
                <c:pt idx="14">
                  <c:v>-2.2465925000003659E-4</c:v>
                </c:pt>
                <c:pt idx="15">
                  <c:v>-1.413062499999729E-4</c:v>
                </c:pt>
                <c:pt idx="16">
                  <c:v>-2.0587391666815341E-4</c:v>
                </c:pt>
                <c:pt idx="17">
                  <c:v>-1.3314068335</c:v>
                </c:pt>
                <c:pt idx="18">
                  <c:v>-1.666094601666668</c:v>
                </c:pt>
                <c:pt idx="19">
                  <c:v>-1.793389628833332</c:v>
                </c:pt>
                <c:pt idx="20">
                  <c:v>-1.9070055894166671</c:v>
                </c:pt>
                <c:pt idx="21">
                  <c:v>-1.98606570075</c:v>
                </c:pt>
                <c:pt idx="22">
                  <c:v>-2.0646112029166672</c:v>
                </c:pt>
                <c:pt idx="23">
                  <c:v>-2.092479193</c:v>
                </c:pt>
                <c:pt idx="24">
                  <c:v>-2.1005508306666671</c:v>
                </c:pt>
                <c:pt idx="25">
                  <c:v>-2.0854510450000001</c:v>
                </c:pt>
                <c:pt idx="26">
                  <c:v>-1.09331805125</c:v>
                </c:pt>
                <c:pt idx="27">
                  <c:v>-1.890831221333334</c:v>
                </c:pt>
                <c:pt idx="28">
                  <c:v>-1.86494243325</c:v>
                </c:pt>
                <c:pt idx="29">
                  <c:v>-1.7478688581666679</c:v>
                </c:pt>
                <c:pt idx="30">
                  <c:v>-1.6198309759166669</c:v>
                </c:pt>
                <c:pt idx="31">
                  <c:v>-1.470115575333335</c:v>
                </c:pt>
                <c:pt idx="32">
                  <c:v>-1.3051250358333319</c:v>
                </c:pt>
                <c:pt idx="33">
                  <c:v>-1.101544545583333</c:v>
                </c:pt>
                <c:pt idx="34">
                  <c:v>-0.91100732958333241</c:v>
                </c:pt>
                <c:pt idx="35">
                  <c:v>-0.71521851324999997</c:v>
                </c:pt>
                <c:pt idx="36">
                  <c:v>-0.52582308416666745</c:v>
                </c:pt>
                <c:pt idx="37">
                  <c:v>-0.34321920374999998</c:v>
                </c:pt>
                <c:pt idx="38">
                  <c:v>-0.1792004673333332</c:v>
                </c:pt>
                <c:pt idx="39">
                  <c:v>-1.597496775000001E-2</c:v>
                </c:pt>
                <c:pt idx="40">
                  <c:v>-3.5236016666666947E-4</c:v>
                </c:pt>
                <c:pt idx="41">
                  <c:v>0</c:v>
                </c:pt>
                <c:pt idx="42">
                  <c:v>0</c:v>
                </c:pt>
                <c:pt idx="43">
                  <c:v>1.702666666670016E-4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7C-41CE-86FB-8720DE7EBF17}"/>
            </c:ext>
          </c:extLst>
        </c:ser>
        <c:ser>
          <c:idx val="3"/>
          <c:order val="3"/>
          <c:tx>
            <c:v>BES_TR8_one313_A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Net_kW!$F$2:$F$49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2.7959826666665988E-4</c:v>
                </c:pt>
                <c:pt idx="8">
                  <c:v>1.3275373333339341E-4</c:v>
                </c:pt>
                <c:pt idx="9">
                  <c:v>-2.8677860000000249E-4</c:v>
                </c:pt>
                <c:pt idx="10">
                  <c:v>3.2985586666600669E-4</c:v>
                </c:pt>
                <c:pt idx="11">
                  <c:v>7.1011733334014338E-5</c:v>
                </c:pt>
                <c:pt idx="12">
                  <c:v>4.0703666665975469E-5</c:v>
                </c:pt>
                <c:pt idx="13">
                  <c:v>1.294161333339483E-4</c:v>
                </c:pt>
                <c:pt idx="14">
                  <c:v>2.0272599999926481E-5</c:v>
                </c:pt>
                <c:pt idx="15">
                  <c:v>-3.1304499999984531E-4</c:v>
                </c:pt>
                <c:pt idx="16">
                  <c:v>4.936341999990379E-4</c:v>
                </c:pt>
                <c:pt idx="17">
                  <c:v>3.485332000001673E-4</c:v>
                </c:pt>
                <c:pt idx="18">
                  <c:v>4.603186666660708E-4</c:v>
                </c:pt>
                <c:pt idx="19">
                  <c:v>-1.880363999988699E-4</c:v>
                </c:pt>
                <c:pt idx="20">
                  <c:v>-2.484715333337939E-4</c:v>
                </c:pt>
                <c:pt idx="21">
                  <c:v>-1.4098289272666671</c:v>
                </c:pt>
                <c:pt idx="22">
                  <c:v>-4.26762333334052E-4</c:v>
                </c:pt>
                <c:pt idx="23">
                  <c:v>-4.4002106665974589E-4</c:v>
                </c:pt>
                <c:pt idx="24">
                  <c:v>3.9933546666603981E-4</c:v>
                </c:pt>
                <c:pt idx="25">
                  <c:v>-1.6083600000005299E-4</c:v>
                </c:pt>
                <c:pt idx="26">
                  <c:v>-0.75957924100000007</c:v>
                </c:pt>
                <c:pt idx="27">
                  <c:v>-1.5476671637333339</c:v>
                </c:pt>
                <c:pt idx="28">
                  <c:v>-1.4737539466</c:v>
                </c:pt>
                <c:pt idx="29">
                  <c:v>-1.3800950865333339</c:v>
                </c:pt>
                <c:pt idx="30">
                  <c:v>-1.2805642474000001</c:v>
                </c:pt>
                <c:pt idx="31">
                  <c:v>-1.160791926933334</c:v>
                </c:pt>
                <c:pt idx="32">
                  <c:v>-1.025900028666666</c:v>
                </c:pt>
                <c:pt idx="33">
                  <c:v>-0.86303563646666603</c:v>
                </c:pt>
                <c:pt idx="34">
                  <c:v>-0.71060586366666589</c:v>
                </c:pt>
                <c:pt idx="35">
                  <c:v>-0.55397481059999998</c:v>
                </c:pt>
                <c:pt idx="36">
                  <c:v>-0.40245846733333401</c:v>
                </c:pt>
                <c:pt idx="37">
                  <c:v>-0.25637536300000002</c:v>
                </c:pt>
                <c:pt idx="38">
                  <c:v>-0.1211603738666666</c:v>
                </c:pt>
                <c:pt idx="39">
                  <c:v>6.0692466666983913E-5</c:v>
                </c:pt>
                <c:pt idx="40">
                  <c:v>4.5445199999605279E-5</c:v>
                </c:pt>
                <c:pt idx="41">
                  <c:v>1.5266666666702289E-4</c:v>
                </c:pt>
                <c:pt idx="42">
                  <c:v>1.8300000000004421E-4</c:v>
                </c:pt>
                <c:pt idx="43">
                  <c:v>9.3333333340828162E-6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7C-41CE-86FB-8720DE7EBF17}"/>
            </c:ext>
          </c:extLst>
        </c:ser>
        <c:ser>
          <c:idx val="4"/>
          <c:order val="4"/>
          <c:tx>
            <c:v>BES_TR8_one321_C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Net_kW!$G$2:$G$49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2.3986320000335401E-4</c:v>
                </c:pt>
                <c:pt idx="8">
                  <c:v>2.6550746666679798E-4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2.115234666680843E-4</c:v>
                </c:pt>
                <c:pt idx="12">
                  <c:v>-1.452593333349794E-4</c:v>
                </c:pt>
                <c:pt idx="13">
                  <c:v>2.5883226666811859E-4</c:v>
                </c:pt>
                <c:pt idx="14">
                  <c:v>4.0545199999852948E-5</c:v>
                </c:pt>
                <c:pt idx="15">
                  <c:v>3.7390999999997732E-4</c:v>
                </c:pt>
                <c:pt idx="16">
                  <c:v>-2.1493293982666679</c:v>
                </c:pt>
                <c:pt idx="17">
                  <c:v>-2.4896509336000001</c:v>
                </c:pt>
                <c:pt idx="18">
                  <c:v>-2.6781895293333351</c:v>
                </c:pt>
                <c:pt idx="19">
                  <c:v>-2.665784072799998</c:v>
                </c:pt>
                <c:pt idx="20">
                  <c:v>-3.0930089430666681</c:v>
                </c:pt>
                <c:pt idx="21">
                  <c:v>-3.2363051212</c:v>
                </c:pt>
                <c:pt idx="22">
                  <c:v>-3.3379779246666681</c:v>
                </c:pt>
                <c:pt idx="23">
                  <c:v>-3.377023375466667</c:v>
                </c:pt>
                <c:pt idx="24">
                  <c:v>-3.3954813290666679</c:v>
                </c:pt>
                <c:pt idx="25">
                  <c:v>-3.3713216720000001</c:v>
                </c:pt>
                <c:pt idx="26">
                  <c:v>-3.2901584819999998</c:v>
                </c:pt>
                <c:pt idx="27">
                  <c:v>-3.166334327466668</c:v>
                </c:pt>
                <c:pt idx="28">
                  <c:v>-3.0185078931999998</c:v>
                </c:pt>
                <c:pt idx="29">
                  <c:v>-2.831190173066668</c:v>
                </c:pt>
                <c:pt idx="30">
                  <c:v>-2.6321284947999999</c:v>
                </c:pt>
                <c:pt idx="31">
                  <c:v>-2.3925838538666682</c:v>
                </c:pt>
                <c:pt idx="32">
                  <c:v>-2.1228000573333321</c:v>
                </c:pt>
                <c:pt idx="33">
                  <c:v>-1.797071272933332</c:v>
                </c:pt>
                <c:pt idx="34">
                  <c:v>-1.492211727333332</c:v>
                </c:pt>
                <c:pt idx="35">
                  <c:v>-1.1789496211999999</c:v>
                </c:pt>
                <c:pt idx="36">
                  <c:v>-0.87591693466666798</c:v>
                </c:pt>
                <c:pt idx="37">
                  <c:v>-0.583750726</c:v>
                </c:pt>
                <c:pt idx="38">
                  <c:v>-0.32132074773333319</c:v>
                </c:pt>
                <c:pt idx="39">
                  <c:v>-6.0159948400000003E-2</c:v>
                </c:pt>
                <c:pt idx="40">
                  <c:v>-1.1810959999969389E-4</c:v>
                </c:pt>
                <c:pt idx="41">
                  <c:v>4.3666666666997138E-5</c:v>
                </c:pt>
                <c:pt idx="42">
                  <c:v>-1.133333333330211E-4</c:v>
                </c:pt>
                <c:pt idx="43">
                  <c:v>0</c:v>
                </c:pt>
                <c:pt idx="44">
                  <c:v>-4.7999999999992493E-5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7C-41CE-86FB-8720DE7EBF17}"/>
            </c:ext>
          </c:extLst>
        </c:ser>
        <c:ser>
          <c:idx val="5"/>
          <c:order val="5"/>
          <c:tx>
            <c:v>BES_TR8_one345_A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Net_kW!$H$2:$H$49</c:f>
              <c:numCache>
                <c:formatCode>#,##0.000</c:formatCode>
                <c:ptCount val="48"/>
                <c:pt idx="0">
                  <c:v>3.7666666666699711E-4</c:v>
                </c:pt>
                <c:pt idx="1">
                  <c:v>-2.133333333329962E-4</c:v>
                </c:pt>
                <c:pt idx="2">
                  <c:v>-3.3800000000000502E-4</c:v>
                </c:pt>
                <c:pt idx="3">
                  <c:v>3.1333333332994602E-5</c:v>
                </c:pt>
                <c:pt idx="4">
                  <c:v>-4.389999999999949E-4</c:v>
                </c:pt>
                <c:pt idx="5">
                  <c:v>2.9266666666702412E-4</c:v>
                </c:pt>
                <c:pt idx="6">
                  <c:v>0</c:v>
                </c:pt>
                <c:pt idx="7">
                  <c:v>4.1052986666634261E-4</c:v>
                </c:pt>
                <c:pt idx="8">
                  <c:v>2.6550746666679451E-4</c:v>
                </c:pt>
                <c:pt idx="9">
                  <c:v>1.1977613333298549E-4</c:v>
                </c:pt>
                <c:pt idx="10">
                  <c:v>-2.419549333347315E-4</c:v>
                </c:pt>
                <c:pt idx="11">
                  <c:v>2.0702346666789939E-4</c:v>
                </c:pt>
                <c:pt idx="12">
                  <c:v>3.7407399999866969E-4</c:v>
                </c:pt>
                <c:pt idx="13">
                  <c:v>-4.7283439999801219E-4</c:v>
                </c:pt>
                <c:pt idx="14">
                  <c:v>-3.7178813333316191E-4</c:v>
                </c:pt>
                <c:pt idx="15">
                  <c:v>2.6624333333313821E-4</c:v>
                </c:pt>
                <c:pt idx="16">
                  <c:v>-1.924473064933335</c:v>
                </c:pt>
                <c:pt idx="17">
                  <c:v>-2.3871422669333331</c:v>
                </c:pt>
                <c:pt idx="18">
                  <c:v>-2.2688376960000012</c:v>
                </c:pt>
                <c:pt idx="19">
                  <c:v>-2.6125727394666649</c:v>
                </c:pt>
                <c:pt idx="20">
                  <c:v>-2.989632276400001</c:v>
                </c:pt>
                <c:pt idx="21">
                  <c:v>-3.1495951212</c:v>
                </c:pt>
                <c:pt idx="22">
                  <c:v>-3.2136179246666678</c:v>
                </c:pt>
                <c:pt idx="23">
                  <c:v>-3.2649933754666671</c:v>
                </c:pt>
                <c:pt idx="24">
                  <c:v>-3.2877879957333351</c:v>
                </c:pt>
                <c:pt idx="25">
                  <c:v>-3.2111583386666669</c:v>
                </c:pt>
                <c:pt idx="26">
                  <c:v>-3.270604482</c:v>
                </c:pt>
                <c:pt idx="27">
                  <c:v>-3.0741949941333351</c:v>
                </c:pt>
                <c:pt idx="28">
                  <c:v>-2.858344559866667</c:v>
                </c:pt>
                <c:pt idx="29">
                  <c:v>-2.7234968397333348</c:v>
                </c:pt>
                <c:pt idx="30">
                  <c:v>-2.6281284947999999</c:v>
                </c:pt>
                <c:pt idx="31">
                  <c:v>-2.2395188538666679</c:v>
                </c:pt>
                <c:pt idx="32">
                  <c:v>-2.0080087239999989</c:v>
                </c:pt>
                <c:pt idx="33">
                  <c:v>-1.736284606266665</c:v>
                </c:pt>
                <c:pt idx="34">
                  <c:v>-1.285145727333332</c:v>
                </c:pt>
                <c:pt idx="35">
                  <c:v>-1.1749496211999999</c:v>
                </c:pt>
                <c:pt idx="36">
                  <c:v>-0.64045960133333502</c:v>
                </c:pt>
                <c:pt idx="37">
                  <c:v>-0.47135739266666699</c:v>
                </c:pt>
                <c:pt idx="38">
                  <c:v>-0.10043674773333321</c:v>
                </c:pt>
                <c:pt idx="39">
                  <c:v>2.1338493333303291E-4</c:v>
                </c:pt>
                <c:pt idx="40">
                  <c:v>-2.2144293333270501E-4</c:v>
                </c:pt>
                <c:pt idx="41">
                  <c:v>-3.9900000000026031E-4</c:v>
                </c:pt>
                <c:pt idx="42">
                  <c:v>-1.1233333333299229E-4</c:v>
                </c:pt>
                <c:pt idx="43">
                  <c:v>-9.099999999995223E-5</c:v>
                </c:pt>
                <c:pt idx="44">
                  <c:v>4.916666666670011E-4</c:v>
                </c:pt>
                <c:pt idx="45">
                  <c:v>-2.5633333333299762E-4</c:v>
                </c:pt>
                <c:pt idx="46">
                  <c:v>3.1333333332994602E-5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A7C-41CE-86FB-8720DE7EBF17}"/>
            </c:ext>
          </c:extLst>
        </c:ser>
        <c:ser>
          <c:idx val="6"/>
          <c:order val="6"/>
          <c:tx>
            <c:v>BES_TR8_one375_C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Net_kW!$I$2:$I$49</c:f>
              <c:numCache>
                <c:formatCode>#,##0.000</c:formatCode>
                <c:ptCount val="48"/>
                <c:pt idx="0">
                  <c:v>-1.173333333329973E-4</c:v>
                </c:pt>
                <c:pt idx="1">
                  <c:v>-4.740000000000022E-4</c:v>
                </c:pt>
                <c:pt idx="2">
                  <c:v>0</c:v>
                </c:pt>
                <c:pt idx="3">
                  <c:v>2.6366666666696742E-4</c:v>
                </c:pt>
                <c:pt idx="4">
                  <c:v>1.4500000000000621E-4</c:v>
                </c:pt>
                <c:pt idx="5">
                  <c:v>-1.2166666666670051E-4</c:v>
                </c:pt>
                <c:pt idx="6">
                  <c:v>-6.8333333333003843E-5</c:v>
                </c:pt>
                <c:pt idx="7">
                  <c:v>1.578632000003855E-4</c:v>
                </c:pt>
                <c:pt idx="8">
                  <c:v>2.6550746666679619E-4</c:v>
                </c:pt>
                <c:pt idx="9">
                  <c:v>1.2109466666992971E-5</c:v>
                </c:pt>
                <c:pt idx="10">
                  <c:v>4.8271173333197531E-4</c:v>
                </c:pt>
                <c:pt idx="11">
                  <c:v>1.420234666681397E-4</c:v>
                </c:pt>
                <c:pt idx="12">
                  <c:v>8.1407333331950937E-5</c:v>
                </c:pt>
                <c:pt idx="13">
                  <c:v>-3.8116773333207732E-4</c:v>
                </c:pt>
                <c:pt idx="14">
                  <c:v>8.9211866666882855E-5</c:v>
                </c:pt>
                <c:pt idx="15">
                  <c:v>3.7391000000019941E-4</c:v>
                </c:pt>
                <c:pt idx="16">
                  <c:v>-2.0932567316000008</c:v>
                </c:pt>
                <c:pt idx="17">
                  <c:v>-2.2931249336000001</c:v>
                </c:pt>
                <c:pt idx="18">
                  <c:v>-2.7155753626666681</c:v>
                </c:pt>
                <c:pt idx="19">
                  <c:v>-2.7955780727999988</c:v>
                </c:pt>
                <c:pt idx="20">
                  <c:v>-2.9354056097333352</c:v>
                </c:pt>
                <c:pt idx="21">
                  <c:v>-3.1760084545333331</c:v>
                </c:pt>
                <c:pt idx="22">
                  <c:v>-3.1168659246666679</c:v>
                </c:pt>
                <c:pt idx="23">
                  <c:v>-3.3392333754666672</c:v>
                </c:pt>
                <c:pt idx="24">
                  <c:v>-3.163598662400001</c:v>
                </c:pt>
                <c:pt idx="25">
                  <c:v>-3.1835436719999999</c:v>
                </c:pt>
                <c:pt idx="26">
                  <c:v>-0.69512348200000007</c:v>
                </c:pt>
                <c:pt idx="27">
                  <c:v>-2.1897516607999981</c:v>
                </c:pt>
                <c:pt idx="28">
                  <c:v>-1.6180378931999999</c:v>
                </c:pt>
                <c:pt idx="29">
                  <c:v>-2.728022839733335</c:v>
                </c:pt>
                <c:pt idx="30">
                  <c:v>-2.5081838281333328</c:v>
                </c:pt>
                <c:pt idx="31">
                  <c:v>-2.1297938538666679</c:v>
                </c:pt>
                <c:pt idx="32">
                  <c:v>-1.9949387906666649</c:v>
                </c:pt>
                <c:pt idx="33">
                  <c:v>-1.5927040062666651</c:v>
                </c:pt>
                <c:pt idx="34">
                  <c:v>-1.252014727333332</c:v>
                </c:pt>
                <c:pt idx="35">
                  <c:v>-1.1289932878666671</c:v>
                </c:pt>
                <c:pt idx="36">
                  <c:v>-0.60704326800000108</c:v>
                </c:pt>
                <c:pt idx="37">
                  <c:v>-0.44855122600000008</c:v>
                </c:pt>
                <c:pt idx="38">
                  <c:v>-6.8016414400000169E-2</c:v>
                </c:pt>
                <c:pt idx="39">
                  <c:v>-1.8615066665950138E-5</c:v>
                </c:pt>
                <c:pt idx="40">
                  <c:v>1.1557066666334491E-5</c:v>
                </c:pt>
                <c:pt idx="41">
                  <c:v>-4.3166666666971659E-4</c:v>
                </c:pt>
                <c:pt idx="42">
                  <c:v>3.4166666666601841E-4</c:v>
                </c:pt>
                <c:pt idx="43">
                  <c:v>-8.933333333399629E-5</c:v>
                </c:pt>
                <c:pt idx="44">
                  <c:v>-1.4866666666701889E-4</c:v>
                </c:pt>
                <c:pt idx="45">
                  <c:v>2.6666666666702588E-4</c:v>
                </c:pt>
                <c:pt idx="46">
                  <c:v>-6.7999999999956984E-5</c:v>
                </c:pt>
                <c:pt idx="47">
                  <c:v>4.7666666666698609E-4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A7C-41CE-86FB-8720DE7EBF17}"/>
            </c:ext>
          </c:extLst>
        </c:ser>
        <c:ser>
          <c:idx val="7"/>
          <c:order val="7"/>
          <c:tx>
            <c:v>BES_TR8_one410_B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Net_kW!$J$2:$J$49</c:f>
              <c:numCache>
                <c:formatCode>#,##0.000</c:formatCode>
                <c:ptCount val="48"/>
                <c:pt idx="0">
                  <c:v>2.203333333329893E-4</c:v>
                </c:pt>
                <c:pt idx="1">
                  <c:v>0</c:v>
                </c:pt>
                <c:pt idx="2">
                  <c:v>0</c:v>
                </c:pt>
                <c:pt idx="3">
                  <c:v>-3.5066666666697111E-4</c:v>
                </c:pt>
                <c:pt idx="4">
                  <c:v>4.539999999999822E-4</c:v>
                </c:pt>
                <c:pt idx="5">
                  <c:v>-4.639999999999922E-4</c:v>
                </c:pt>
                <c:pt idx="6">
                  <c:v>-4.2666666666996138E-5</c:v>
                </c:pt>
                <c:pt idx="7">
                  <c:v>2.9397400000005791E-5</c:v>
                </c:pt>
                <c:pt idx="8">
                  <c:v>2.3513060000010519E-4</c:v>
                </c:pt>
                <c:pt idx="9">
                  <c:v>1.3716543333299949E-4</c:v>
                </c:pt>
                <c:pt idx="10">
                  <c:v>-5.2162000009903231E-6</c:v>
                </c:pt>
                <c:pt idx="11">
                  <c:v>2.5585093333402309E-4</c:v>
                </c:pt>
                <c:pt idx="12">
                  <c:v>-5.5944500001126052E-5</c:v>
                </c:pt>
                <c:pt idx="13">
                  <c:v>2.6479086666808538E-4</c:v>
                </c:pt>
                <c:pt idx="14">
                  <c:v>2.9400890000008673E-4</c:v>
                </c:pt>
                <c:pt idx="15">
                  <c:v>-9.3067500000154624E-5</c:v>
                </c:pt>
                <c:pt idx="16">
                  <c:v>-5.7715366670887953E-5</c:v>
                </c:pt>
                <c:pt idx="17">
                  <c:v>-4.8820019999995518E-4</c:v>
                </c:pt>
                <c:pt idx="18">
                  <c:v>-1.065536855333334</c:v>
                </c:pt>
                <c:pt idx="19">
                  <c:v>-1.970374887933332</c:v>
                </c:pt>
                <c:pt idx="20">
                  <c:v>-1.877146707300001</c:v>
                </c:pt>
                <c:pt idx="21">
                  <c:v>-0.5344355075666698</c:v>
                </c:pt>
                <c:pt idx="22">
                  <c:v>-2.2124987768333351</c:v>
                </c:pt>
                <c:pt idx="23">
                  <c:v>-2.4751343649333331</c:v>
                </c:pt>
                <c:pt idx="24">
                  <c:v>-2.281080663466668</c:v>
                </c:pt>
                <c:pt idx="25">
                  <c:v>-2.3898809206666671</c:v>
                </c:pt>
                <c:pt idx="26">
                  <c:v>-2.3732355281666671</c:v>
                </c:pt>
                <c:pt idx="27">
                  <c:v>-1.832447078933334</c:v>
                </c:pt>
                <c:pt idx="28">
                  <c:v>-2.2240235865666671</c:v>
                </c:pt>
                <c:pt idx="29">
                  <c:v>-2.1276426298000009</c:v>
                </c:pt>
                <c:pt idx="30">
                  <c:v>-1.9783463711</c:v>
                </c:pt>
                <c:pt idx="31">
                  <c:v>-1.687233890400001</c:v>
                </c:pt>
                <c:pt idx="32">
                  <c:v>-1.496968709666666</c:v>
                </c:pt>
                <c:pt idx="33">
                  <c:v>-1.273547854699999</c:v>
                </c:pt>
                <c:pt idx="34">
                  <c:v>-0.98701639549999909</c:v>
                </c:pt>
                <c:pt idx="35">
                  <c:v>-0.74932954923333317</c:v>
                </c:pt>
                <c:pt idx="36">
                  <c:v>-0.44336670100000108</c:v>
                </c:pt>
                <c:pt idx="37">
                  <c:v>-0.18450047783333301</c:v>
                </c:pt>
                <c:pt idx="38">
                  <c:v>-0.12587599413333289</c:v>
                </c:pt>
                <c:pt idx="39">
                  <c:v>-1.1862796666700651E-4</c:v>
                </c:pt>
                <c:pt idx="40">
                  <c:v>-6.8322000000287098E-6</c:v>
                </c:pt>
                <c:pt idx="41">
                  <c:v>-1.17000000000006E-4</c:v>
                </c:pt>
                <c:pt idx="42">
                  <c:v>-4.656666666670306E-4</c:v>
                </c:pt>
                <c:pt idx="43">
                  <c:v>-3.0399999999997101E-4</c:v>
                </c:pt>
                <c:pt idx="44">
                  <c:v>-2.7933333333302063E-4</c:v>
                </c:pt>
                <c:pt idx="45">
                  <c:v>-8.5999999999974985E-5</c:v>
                </c:pt>
                <c:pt idx="46">
                  <c:v>-3.7100000000001021E-4</c:v>
                </c:pt>
                <c:pt idx="47">
                  <c:v>-2.7299999999989832E-4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A7C-41CE-86FB-8720DE7EBF17}"/>
            </c:ext>
          </c:extLst>
        </c:ser>
        <c:ser>
          <c:idx val="8"/>
          <c:order val="8"/>
          <c:tx>
            <c:v>BES_TR8_one416_C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Net_kW!$K$2:$K$49</c:f>
              <c:numCache>
                <c:formatCode>#,##0.000</c:formatCode>
                <c:ptCount val="48"/>
                <c:pt idx="0">
                  <c:v>3.7333333333300361E-4</c:v>
                </c:pt>
                <c:pt idx="1">
                  <c:v>-1.739999999999797E-4</c:v>
                </c:pt>
                <c:pt idx="2">
                  <c:v>2.9466666666669311E-4</c:v>
                </c:pt>
                <c:pt idx="3">
                  <c:v>3.7333333333300361E-4</c:v>
                </c:pt>
                <c:pt idx="4">
                  <c:v>0</c:v>
                </c:pt>
                <c:pt idx="5">
                  <c:v>-4.2300000000006222E-4</c:v>
                </c:pt>
                <c:pt idx="6">
                  <c:v>-8.3000000000096885E-5</c:v>
                </c:pt>
                <c:pt idx="7">
                  <c:v>-4.3973506666630802E-4</c:v>
                </c:pt>
                <c:pt idx="8">
                  <c:v>3.4608706666741651E-4</c:v>
                </c:pt>
                <c:pt idx="9">
                  <c:v>-2.8677860000000249E-4</c:v>
                </c:pt>
                <c:pt idx="10">
                  <c:v>-1.761441333339997E-4</c:v>
                </c:pt>
                <c:pt idx="11">
                  <c:v>7.1011733334014338E-5</c:v>
                </c:pt>
                <c:pt idx="12">
                  <c:v>-4.2862966666734609E-4</c:v>
                </c:pt>
                <c:pt idx="13">
                  <c:v>9.2749466666985914E-5</c:v>
                </c:pt>
                <c:pt idx="14">
                  <c:v>4.5760593333332711E-4</c:v>
                </c:pt>
                <c:pt idx="15">
                  <c:v>-3.7704500000002028E-4</c:v>
                </c:pt>
                <c:pt idx="16">
                  <c:v>4.1730086666591498E-4</c:v>
                </c:pt>
                <c:pt idx="17">
                  <c:v>-3.9913346666686778E-4</c:v>
                </c:pt>
                <c:pt idx="18">
                  <c:v>-4.84348000001189E-4</c:v>
                </c:pt>
                <c:pt idx="19">
                  <c:v>-4.8436973333298988E-4</c:v>
                </c:pt>
                <c:pt idx="20">
                  <c:v>-1.194631138200001</c:v>
                </c:pt>
                <c:pt idx="21">
                  <c:v>-1.437531893933333</c:v>
                </c:pt>
                <c:pt idx="22">
                  <c:v>-1.5288336290000011</c:v>
                </c:pt>
                <c:pt idx="23">
                  <c:v>-1.351358687733333</c:v>
                </c:pt>
                <c:pt idx="24">
                  <c:v>-1.246054331200001</c:v>
                </c:pt>
                <c:pt idx="25">
                  <c:v>-1.366570169333333</c:v>
                </c:pt>
                <c:pt idx="26">
                  <c:v>-1.351735907666666</c:v>
                </c:pt>
                <c:pt idx="27">
                  <c:v>-1.401880163733334</c:v>
                </c:pt>
                <c:pt idx="28">
                  <c:v>-0.89114761326666603</c:v>
                </c:pt>
                <c:pt idx="29">
                  <c:v>-1.0749720865333341</c:v>
                </c:pt>
                <c:pt idx="30">
                  <c:v>-1.2855642474</c:v>
                </c:pt>
                <c:pt idx="31">
                  <c:v>-0.89812159360000088</c:v>
                </c:pt>
                <c:pt idx="32">
                  <c:v>-1.0240763619999991</c:v>
                </c:pt>
                <c:pt idx="33">
                  <c:v>-0.84756463646666602</c:v>
                </c:pt>
                <c:pt idx="34">
                  <c:v>-0.41411953033333287</c:v>
                </c:pt>
                <c:pt idx="35">
                  <c:v>-0.46248414393333298</c:v>
                </c:pt>
                <c:pt idx="36">
                  <c:v>-0.33065313400000101</c:v>
                </c:pt>
                <c:pt idx="37">
                  <c:v>-2.8414696333333041E-2</c:v>
                </c:pt>
                <c:pt idx="38">
                  <c:v>-8.7038373866666588E-2</c:v>
                </c:pt>
                <c:pt idx="39">
                  <c:v>-1.619742000000812E-4</c:v>
                </c:pt>
                <c:pt idx="40">
                  <c:v>-3.4255480000033872E-4</c:v>
                </c:pt>
                <c:pt idx="41">
                  <c:v>-1.16000000000005E-4</c:v>
                </c:pt>
                <c:pt idx="42">
                  <c:v>4.2066666666706892E-4</c:v>
                </c:pt>
                <c:pt idx="43">
                  <c:v>1.4066666666701089E-4</c:v>
                </c:pt>
                <c:pt idx="44">
                  <c:v>1.5033333333303031E-4</c:v>
                </c:pt>
                <c:pt idx="45">
                  <c:v>3.4999999999951743E-5</c:v>
                </c:pt>
                <c:pt idx="46">
                  <c:v>-1.3233333333301231E-4</c:v>
                </c:pt>
                <c:pt idx="47">
                  <c:v>-2.9400000000001652E-4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A7C-41CE-86FB-8720DE7EBF17}"/>
            </c:ext>
          </c:extLst>
        </c:ser>
        <c:ser>
          <c:idx val="9"/>
          <c:order val="9"/>
          <c:tx>
            <c:v>BES_TR8_one423_B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Net_kW!$L$2:$L$49</c:f>
              <c:numCache>
                <c:formatCode>#,##0.000</c:formatCode>
                <c:ptCount val="48"/>
                <c:pt idx="0">
                  <c:v>-4.4333333333007603E-5</c:v>
                </c:pt>
                <c:pt idx="1">
                  <c:v>0</c:v>
                </c:pt>
                <c:pt idx="2">
                  <c:v>6.6666666670156527E-6</c:v>
                </c:pt>
                <c:pt idx="3">
                  <c:v>0</c:v>
                </c:pt>
                <c:pt idx="4">
                  <c:v>4.0133333333329518E-4</c:v>
                </c:pt>
                <c:pt idx="5">
                  <c:v>-3.9466666666698741E-4</c:v>
                </c:pt>
                <c:pt idx="6">
                  <c:v>3.5033333333329969E-4</c:v>
                </c:pt>
                <c:pt idx="7">
                  <c:v>7.573073333300151E-5</c:v>
                </c:pt>
                <c:pt idx="8">
                  <c:v>-3.0086939999990521E-4</c:v>
                </c:pt>
                <c:pt idx="9">
                  <c:v>-4.2350123333298109E-4</c:v>
                </c:pt>
                <c:pt idx="10">
                  <c:v>-5.2162000009903231E-6</c:v>
                </c:pt>
                <c:pt idx="11">
                  <c:v>-3.9348239999892343E-4</c:v>
                </c:pt>
                <c:pt idx="12">
                  <c:v>6.7722166665840078E-5</c:v>
                </c:pt>
                <c:pt idx="13">
                  <c:v>-3.0587579999896702E-4</c:v>
                </c:pt>
                <c:pt idx="14">
                  <c:v>-4.629244333329563E-4</c:v>
                </c:pt>
                <c:pt idx="15">
                  <c:v>3.0432500000010521E-5</c:v>
                </c:pt>
                <c:pt idx="16">
                  <c:v>-7.859071536666784E-2</c:v>
                </c:pt>
                <c:pt idx="17">
                  <c:v>-1.8451378668666669</c:v>
                </c:pt>
                <c:pt idx="18">
                  <c:v>-1.798283855333334</c:v>
                </c:pt>
                <c:pt idx="19">
                  <c:v>-1.9591668879333319</c:v>
                </c:pt>
                <c:pt idx="20">
                  <c:v>-1.9373127073000009</c:v>
                </c:pt>
                <c:pt idx="21">
                  <c:v>-2.2377968409000002</c:v>
                </c:pt>
                <c:pt idx="22">
                  <c:v>-2.233672443500001</c:v>
                </c:pt>
                <c:pt idx="23">
                  <c:v>-2.0517310316000001</c:v>
                </c:pt>
                <c:pt idx="24">
                  <c:v>-2.0621009968000008</c:v>
                </c:pt>
                <c:pt idx="25">
                  <c:v>-2.4936902540000001</c:v>
                </c:pt>
                <c:pt idx="26">
                  <c:v>-2.3439131948333332</c:v>
                </c:pt>
                <c:pt idx="27">
                  <c:v>-2.3590007456000008</c:v>
                </c:pt>
                <c:pt idx="28">
                  <c:v>-2.222729586566667</c:v>
                </c:pt>
                <c:pt idx="29">
                  <c:v>-2.0060372964666682</c:v>
                </c:pt>
                <c:pt idx="30">
                  <c:v>-1.6525063711000001</c:v>
                </c:pt>
                <c:pt idx="31">
                  <c:v>-1.3132612237333341</c:v>
                </c:pt>
                <c:pt idx="32">
                  <c:v>-1.3263287096666661</c:v>
                </c:pt>
                <c:pt idx="33">
                  <c:v>-0.80908945469999904</c:v>
                </c:pt>
                <c:pt idx="34">
                  <c:v>-0.70907946216666606</c:v>
                </c:pt>
                <c:pt idx="35">
                  <c:v>-0.57919808256666716</c:v>
                </c:pt>
                <c:pt idx="36">
                  <c:v>-0.29488770100000111</c:v>
                </c:pt>
                <c:pt idx="37">
                  <c:v>-3.2437783333296583E-4</c:v>
                </c:pt>
                <c:pt idx="38">
                  <c:v>-2.5522746666695179E-4</c:v>
                </c:pt>
                <c:pt idx="39">
                  <c:v>-7.4961299999953823E-5</c:v>
                </c:pt>
                <c:pt idx="40">
                  <c:v>3.1850113332998481E-4</c:v>
                </c:pt>
                <c:pt idx="41">
                  <c:v>-2.2766666666707011E-4</c:v>
                </c:pt>
                <c:pt idx="42">
                  <c:v>-1.186666666660452E-4</c:v>
                </c:pt>
                <c:pt idx="43">
                  <c:v>-4.2133333333305162E-4</c:v>
                </c:pt>
                <c:pt idx="44">
                  <c:v>-4.1599999999997189E-4</c:v>
                </c:pt>
                <c:pt idx="45">
                  <c:v>-4.7399999999997439E-4</c:v>
                </c:pt>
                <c:pt idx="46">
                  <c:v>4.786666666670158E-4</c:v>
                </c:pt>
                <c:pt idx="47">
                  <c:v>-3.9466666666698741E-4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A7C-41CE-86FB-8720DE7EBF17}"/>
            </c:ext>
          </c:extLst>
        </c:ser>
        <c:ser>
          <c:idx val="10"/>
          <c:order val="10"/>
          <c:tx>
            <c:v>BES_TR8_one446_B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Net_kW!$M$2:$M$49</c:f>
              <c:numCache>
                <c:formatCode>#,##0.000</c:formatCode>
                <c:ptCount val="48"/>
                <c:pt idx="0">
                  <c:v>-4.200000000000037E-4</c:v>
                </c:pt>
                <c:pt idx="1">
                  <c:v>0</c:v>
                </c:pt>
                <c:pt idx="2">
                  <c:v>-4.200000000000037E-4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-4.200000000000037E-4</c:v>
                </c:pt>
                <c:pt idx="7">
                  <c:v>-4.4080346666667408E-4</c:v>
                </c:pt>
                <c:pt idx="8">
                  <c:v>2.655074666667988E-4</c:v>
                </c:pt>
                <c:pt idx="9">
                  <c:v>4.2644279999998203E-4</c:v>
                </c:pt>
                <c:pt idx="10">
                  <c:v>-3.4288266668014433E-5</c:v>
                </c:pt>
                <c:pt idx="11">
                  <c:v>4.1602346666791412E-4</c:v>
                </c:pt>
                <c:pt idx="12">
                  <c:v>8.1407333331950937E-5</c:v>
                </c:pt>
                <c:pt idx="13">
                  <c:v>-1.6116773333196829E-4</c:v>
                </c:pt>
                <c:pt idx="14">
                  <c:v>3.9454519999981841E-4</c:v>
                </c:pt>
                <c:pt idx="15">
                  <c:v>-0.75340928999999979</c:v>
                </c:pt>
                <c:pt idx="16">
                  <c:v>-1.955563064933334</c:v>
                </c:pt>
                <c:pt idx="17">
                  <c:v>-2.4122239336</c:v>
                </c:pt>
                <c:pt idx="18">
                  <c:v>-2.6784223626666681</c:v>
                </c:pt>
                <c:pt idx="19">
                  <c:v>-2.841956406133332</c:v>
                </c:pt>
                <c:pt idx="20">
                  <c:v>-2.8777289430666682</c:v>
                </c:pt>
                <c:pt idx="21">
                  <c:v>-3.1177251211999999</c:v>
                </c:pt>
                <c:pt idx="22">
                  <c:v>-3.3369779246666682</c:v>
                </c:pt>
                <c:pt idx="23">
                  <c:v>-3.3404137087999999</c:v>
                </c:pt>
                <c:pt idx="24">
                  <c:v>-3.3180543290666682</c:v>
                </c:pt>
                <c:pt idx="25">
                  <c:v>-3.3703216720000002</c:v>
                </c:pt>
                <c:pt idx="26">
                  <c:v>-3.2127314820000001</c:v>
                </c:pt>
                <c:pt idx="27">
                  <c:v>-3.1241813274666681</c:v>
                </c:pt>
                <c:pt idx="28">
                  <c:v>-2.9528388932</c:v>
                </c:pt>
                <c:pt idx="29">
                  <c:v>-2.7772791730666682</c:v>
                </c:pt>
                <c:pt idx="30">
                  <c:v>-2.6311284948</c:v>
                </c:pt>
                <c:pt idx="31">
                  <c:v>-2.274003853866668</c:v>
                </c:pt>
                <c:pt idx="32">
                  <c:v>-2.1218000573333322</c:v>
                </c:pt>
                <c:pt idx="33">
                  <c:v>-1.7960712729333319</c:v>
                </c:pt>
                <c:pt idx="34">
                  <c:v>-1.3474417273333319</c:v>
                </c:pt>
                <c:pt idx="35">
                  <c:v>-1.1661916212000001</c:v>
                </c:pt>
                <c:pt idx="36">
                  <c:v>-0.87491693466666798</c:v>
                </c:pt>
                <c:pt idx="37">
                  <c:v>-0.46517072599999998</c:v>
                </c:pt>
                <c:pt idx="38">
                  <c:v>-0.14246974773333321</c:v>
                </c:pt>
                <c:pt idx="39">
                  <c:v>1.050516000000168E-4</c:v>
                </c:pt>
                <c:pt idx="40">
                  <c:v>5.8223733333306882E-5</c:v>
                </c:pt>
                <c:pt idx="41">
                  <c:v>-3.9733333333299981E-4</c:v>
                </c:pt>
                <c:pt idx="42">
                  <c:v>-1.970000000000027E-4</c:v>
                </c:pt>
                <c:pt idx="43">
                  <c:v>-4.3650000000000627E-4</c:v>
                </c:pt>
                <c:pt idx="44">
                  <c:v>-4.409999999999969E-4</c:v>
                </c:pt>
                <c:pt idx="45">
                  <c:v>-2.5333333333299462E-4</c:v>
                </c:pt>
                <c:pt idx="46">
                  <c:v>8.5333333333020844E-5</c:v>
                </c:pt>
                <c:pt idx="47">
                  <c:v>-3.4000000000000702E-4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A7C-41CE-86FB-8720DE7EBF17}"/>
            </c:ext>
          </c:extLst>
        </c:ser>
        <c:ser>
          <c:idx val="11"/>
          <c:order val="11"/>
          <c:tx>
            <c:v>BES_TR8_one469_A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Net_kW!$N$2:$N$49</c:f>
              <c:numCache>
                <c:formatCode>#,##0.000</c:formatCode>
                <c:ptCount val="48"/>
                <c:pt idx="0">
                  <c:v>-3.9000000000000151E-4</c:v>
                </c:pt>
                <c:pt idx="1">
                  <c:v>-2.3999999999999019E-4</c:v>
                </c:pt>
                <c:pt idx="2">
                  <c:v>0</c:v>
                </c:pt>
                <c:pt idx="3">
                  <c:v>-7.999999999999674E-5</c:v>
                </c:pt>
                <c:pt idx="4">
                  <c:v>4.5333333333302811E-4</c:v>
                </c:pt>
                <c:pt idx="5">
                  <c:v>0</c:v>
                </c:pt>
                <c:pt idx="6">
                  <c:v>0</c:v>
                </c:pt>
                <c:pt idx="7">
                  <c:v>1.5559653333332979E-4</c:v>
                </c:pt>
                <c:pt idx="8">
                  <c:v>3.7217413333379129E-4</c:v>
                </c:pt>
                <c:pt idx="9">
                  <c:v>4.2644279999998203E-4</c:v>
                </c:pt>
                <c:pt idx="10">
                  <c:v>3.3045066665016172E-5</c:v>
                </c:pt>
                <c:pt idx="11">
                  <c:v>1.420234666680287E-4</c:v>
                </c:pt>
                <c:pt idx="12">
                  <c:v>8.1407333331728893E-5</c:v>
                </c:pt>
                <c:pt idx="13">
                  <c:v>-1.657677333319896E-4</c:v>
                </c:pt>
                <c:pt idx="14">
                  <c:v>-3.0945480000021952E-4</c:v>
                </c:pt>
                <c:pt idx="15">
                  <c:v>-0.28405275666666691</c:v>
                </c:pt>
                <c:pt idx="16">
                  <c:v>-2.2096760649333351</c:v>
                </c:pt>
                <c:pt idx="17">
                  <c:v>-2.3289309336000001</c:v>
                </c:pt>
                <c:pt idx="18">
                  <c:v>-2.7215753626666679</c:v>
                </c:pt>
                <c:pt idx="19">
                  <c:v>-2.2561910727999992</c:v>
                </c:pt>
                <c:pt idx="20">
                  <c:v>-1.9840932097333379</c:v>
                </c:pt>
                <c:pt idx="21">
                  <c:v>-1.69830085453333</c:v>
                </c:pt>
                <c:pt idx="22">
                  <c:v>-2.0831445913333382</c:v>
                </c:pt>
                <c:pt idx="23">
                  <c:v>-2.8710400421333331</c:v>
                </c:pt>
                <c:pt idx="24">
                  <c:v>-3.2883346624000009</c:v>
                </c:pt>
                <c:pt idx="25">
                  <c:v>-3.3713216720000001</c:v>
                </c:pt>
                <c:pt idx="26">
                  <c:v>-3.2901584819999998</c:v>
                </c:pt>
                <c:pt idx="27">
                  <c:v>-2.9979609941333352</c:v>
                </c:pt>
                <c:pt idx="28">
                  <c:v>-3.0185078931999998</c:v>
                </c:pt>
                <c:pt idx="29">
                  <c:v>-2.831190173066668</c:v>
                </c:pt>
                <c:pt idx="30">
                  <c:v>-2.4790618281333332</c:v>
                </c:pt>
                <c:pt idx="31">
                  <c:v>-2.3772771872000011</c:v>
                </c:pt>
                <c:pt idx="32">
                  <c:v>-2.0156533906666652</c:v>
                </c:pt>
                <c:pt idx="33">
                  <c:v>-1.735844606266665</c:v>
                </c:pt>
                <c:pt idx="34">
                  <c:v>-1.4281873939999989</c:v>
                </c:pt>
                <c:pt idx="35">
                  <c:v>-4.9482119999999519E-4</c:v>
                </c:pt>
                <c:pt idx="36">
                  <c:v>-0.29442360133333467</c:v>
                </c:pt>
                <c:pt idx="37">
                  <c:v>-0.38558872599999999</c:v>
                </c:pt>
                <c:pt idx="38">
                  <c:v>-0.2020918810666662</c:v>
                </c:pt>
                <c:pt idx="39">
                  <c:v>-4.4828173333000271E-4</c:v>
                </c:pt>
                <c:pt idx="40">
                  <c:v>2.7955706666338292E-4</c:v>
                </c:pt>
                <c:pt idx="41">
                  <c:v>-1.8000000000073509E-5</c:v>
                </c:pt>
                <c:pt idx="42">
                  <c:v>-2.1000000000004351E-4</c:v>
                </c:pt>
                <c:pt idx="43">
                  <c:v>1.3299999999999421E-4</c:v>
                </c:pt>
                <c:pt idx="44">
                  <c:v>4.9333333333301255E-4</c:v>
                </c:pt>
                <c:pt idx="45">
                  <c:v>0</c:v>
                </c:pt>
                <c:pt idx="46">
                  <c:v>-2.3999999999999019E-4</c:v>
                </c:pt>
                <c:pt idx="47">
                  <c:v>-3.866666666667018E-4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A7C-41CE-86FB-8720DE7EBF17}"/>
            </c:ext>
          </c:extLst>
        </c:ser>
        <c:ser>
          <c:idx val="12"/>
          <c:order val="12"/>
          <c:tx>
            <c:v>BES_TR8_one477_A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Net_kW!$O$2:$O$49</c:f>
              <c:numCache>
                <c:formatCode>#,##0.000</c:formatCode>
                <c:ptCount val="48"/>
                <c:pt idx="0">
                  <c:v>1.24333333333948E-4</c:v>
                </c:pt>
                <c:pt idx="1">
                  <c:v>-2.5266666666601267E-4</c:v>
                </c:pt>
                <c:pt idx="2">
                  <c:v>-3.6333333333299361E-4</c:v>
                </c:pt>
                <c:pt idx="3">
                  <c:v>1.899999999999125E-5</c:v>
                </c:pt>
                <c:pt idx="4">
                  <c:v>-3.903333333329928E-4</c:v>
                </c:pt>
                <c:pt idx="5">
                  <c:v>2.800000000000025E-5</c:v>
                </c:pt>
                <c:pt idx="6">
                  <c:v>-3.0133333333298712E-4</c:v>
                </c:pt>
                <c:pt idx="7">
                  <c:v>0.3458051965333333</c:v>
                </c:pt>
                <c:pt idx="8">
                  <c:v>0.1199055074666668</c:v>
                </c:pt>
                <c:pt idx="9">
                  <c:v>-2.215571999999999E-4</c:v>
                </c:pt>
                <c:pt idx="10">
                  <c:v>2.6037839999898388E-4</c:v>
                </c:pt>
                <c:pt idx="11">
                  <c:v>1.420234666680287E-4</c:v>
                </c:pt>
                <c:pt idx="12">
                  <c:v>3.407399999888483E-5</c:v>
                </c:pt>
                <c:pt idx="13">
                  <c:v>-6.5167733331872313E-5</c:v>
                </c:pt>
                <c:pt idx="14">
                  <c:v>-3.2278813333319611E-4</c:v>
                </c:pt>
                <c:pt idx="15">
                  <c:v>3.3791000000005228E-4</c:v>
                </c:pt>
                <c:pt idx="16">
                  <c:v>-0.69667473160000148</c:v>
                </c:pt>
                <c:pt idx="17">
                  <c:v>-2.2696769336</c:v>
                </c:pt>
                <c:pt idx="18">
                  <c:v>-2.643118696000001</c:v>
                </c:pt>
                <c:pt idx="19">
                  <c:v>-2.7597634061333318</c:v>
                </c:pt>
                <c:pt idx="20">
                  <c:v>-2.9069079430666682</c:v>
                </c:pt>
                <c:pt idx="21">
                  <c:v>-2.6534801211999999</c:v>
                </c:pt>
                <c:pt idx="22">
                  <c:v>-3.1853449246666679</c:v>
                </c:pt>
                <c:pt idx="23">
                  <c:v>-1.8640547087999999</c:v>
                </c:pt>
                <c:pt idx="24">
                  <c:v>-2.762023995733335</c:v>
                </c:pt>
                <c:pt idx="25">
                  <c:v>-2.863358338666667</c:v>
                </c:pt>
                <c:pt idx="26">
                  <c:v>-3.1165578153333331</c:v>
                </c:pt>
                <c:pt idx="27">
                  <c:v>-2.4493569941333351</c:v>
                </c:pt>
                <c:pt idx="28">
                  <c:v>-2.8107998932</c:v>
                </c:pt>
                <c:pt idx="29">
                  <c:v>-2.4845748397333338</c:v>
                </c:pt>
                <c:pt idx="30">
                  <c:v>-2.605731828133333</c:v>
                </c:pt>
                <c:pt idx="31">
                  <c:v>-2.316625187200001</c:v>
                </c:pt>
                <c:pt idx="32">
                  <c:v>-1.9645267239999991</c:v>
                </c:pt>
                <c:pt idx="33">
                  <c:v>-7.034327293333198E-2</c:v>
                </c:pt>
                <c:pt idx="34">
                  <c:v>-0.83536172733333092</c:v>
                </c:pt>
                <c:pt idx="35">
                  <c:v>-0.88386128786666607</c:v>
                </c:pt>
                <c:pt idx="36">
                  <c:v>-0.67759960133333497</c:v>
                </c:pt>
                <c:pt idx="37">
                  <c:v>-0.22197872599999999</c:v>
                </c:pt>
                <c:pt idx="38">
                  <c:v>-1.7541439999915751E-4</c:v>
                </c:pt>
                <c:pt idx="39">
                  <c:v>1.3005160000004179E-4</c:v>
                </c:pt>
                <c:pt idx="40">
                  <c:v>-1.084429333336745E-4</c:v>
                </c:pt>
                <c:pt idx="41">
                  <c:v>-3.5066666666705443E-4</c:v>
                </c:pt>
                <c:pt idx="42">
                  <c:v>-3.999999999999837E-4</c:v>
                </c:pt>
                <c:pt idx="43">
                  <c:v>2.9533333333298112E-4</c:v>
                </c:pt>
                <c:pt idx="44">
                  <c:v>3.816666666659474E-4</c:v>
                </c:pt>
                <c:pt idx="45">
                  <c:v>-1.8666666666700141E-4</c:v>
                </c:pt>
                <c:pt idx="46">
                  <c:v>8.8000000000004741E-5</c:v>
                </c:pt>
                <c:pt idx="47">
                  <c:v>-4.5933333333299242E-4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A7C-41CE-86FB-8720DE7EBF17}"/>
            </c:ext>
          </c:extLst>
        </c:ser>
        <c:ser>
          <c:idx val="13"/>
          <c:order val="13"/>
          <c:tx>
            <c:v>BES_TR8_one482_B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Net_kW!$P$2:$P$49</c:f>
              <c:numCache>
                <c:formatCode>#,##0.000</c:formatCode>
                <c:ptCount val="48"/>
                <c:pt idx="0">
                  <c:v>-1.106666666670086E-4</c:v>
                </c:pt>
                <c:pt idx="1">
                  <c:v>-6.9388939039072284E-18</c:v>
                </c:pt>
                <c:pt idx="2">
                  <c:v>-4.3733333333301211E-4</c:v>
                </c:pt>
                <c:pt idx="3">
                  <c:v>-1.719999999999916E-4</c:v>
                </c:pt>
                <c:pt idx="4">
                  <c:v>-6.9388939039072284E-18</c:v>
                </c:pt>
                <c:pt idx="5">
                  <c:v>1.5066666666702089E-4</c:v>
                </c:pt>
                <c:pt idx="6">
                  <c:v>4.119999999999957E-4</c:v>
                </c:pt>
                <c:pt idx="7">
                  <c:v>-4.2736970000034619E-4</c:v>
                </c:pt>
                <c:pt idx="8">
                  <c:v>2.8631903333345421E-4</c:v>
                </c:pt>
                <c:pt idx="9">
                  <c:v>-3.1186255000000001E-4</c:v>
                </c:pt>
                <c:pt idx="10">
                  <c:v>-3.4752233334434113E-5</c:v>
                </c:pt>
                <c:pt idx="11">
                  <c:v>-1.2572946666533641E-4</c:v>
                </c:pt>
                <c:pt idx="12">
                  <c:v>-1.5768583334518919E-5</c:v>
                </c:pt>
                <c:pt idx="13">
                  <c:v>-1.3485509999788811E-4</c:v>
                </c:pt>
                <c:pt idx="14">
                  <c:v>-3.3652295000008442E-4</c:v>
                </c:pt>
                <c:pt idx="15">
                  <c:v>4.1483791666663272E-4</c:v>
                </c:pt>
                <c:pt idx="16">
                  <c:v>-0.1887258901500011</c:v>
                </c:pt>
                <c:pt idx="17">
                  <c:v>-2.1745695668999998</c:v>
                </c:pt>
                <c:pt idx="18">
                  <c:v>-2.3016754423333352</c:v>
                </c:pt>
                <c:pt idx="19">
                  <c:v>-2.5106508136999981</c:v>
                </c:pt>
                <c:pt idx="20">
                  <c:v>-2.455879825183334</c:v>
                </c:pt>
                <c:pt idx="21">
                  <c:v>-2.8278919810500001</c:v>
                </c:pt>
                <c:pt idx="22">
                  <c:v>-2.8174273507500009</c:v>
                </c:pt>
                <c:pt idx="23">
                  <c:v>-2.8049122035333331</c:v>
                </c:pt>
                <c:pt idx="24">
                  <c:v>-2.9671711629333348</c:v>
                </c:pt>
                <c:pt idx="25">
                  <c:v>-2.7199407963333329</c:v>
                </c:pt>
                <c:pt idx="26">
                  <c:v>-2.8507196717499999</c:v>
                </c:pt>
                <c:pt idx="27">
                  <c:v>-2.749816869866669</c:v>
                </c:pt>
                <c:pt idx="28">
                  <c:v>-2.5783420732166671</c:v>
                </c:pt>
                <c:pt idx="29">
                  <c:v>-2.3254000681000022</c:v>
                </c:pt>
                <c:pt idx="30">
                  <c:v>-2.1968667662833332</c:v>
                </c:pt>
                <c:pt idx="31">
                  <c:v>-1.881390538800001</c:v>
                </c:pt>
                <c:pt idx="32">
                  <c:v>-1.6174170501666649</c:v>
                </c:pt>
                <c:pt idx="33">
                  <c:v>-0.63008969714999696</c:v>
                </c:pt>
                <c:pt idx="34">
                  <c:v>-1.2933572614166651</c:v>
                </c:pt>
                <c:pt idx="35">
                  <c:v>-0.78401658521666706</c:v>
                </c:pt>
                <c:pt idx="36">
                  <c:v>-0.49527998450000149</c:v>
                </c:pt>
                <c:pt idx="37">
                  <c:v>-1.845519166669557E-4</c:v>
                </c:pt>
                <c:pt idx="38">
                  <c:v>1.540124000004583E-4</c:v>
                </c:pt>
                <c:pt idx="39">
                  <c:v>-1.4262151666699641E-4</c:v>
                </c:pt>
                <c:pt idx="40">
                  <c:v>-2.3530423333334441E-4</c:v>
                </c:pt>
                <c:pt idx="41">
                  <c:v>-4.5633333333305881E-4</c:v>
                </c:pt>
                <c:pt idx="42">
                  <c:v>3.8533333333301561E-4</c:v>
                </c:pt>
                <c:pt idx="43">
                  <c:v>-4.9300000000007671E-4</c:v>
                </c:pt>
                <c:pt idx="44">
                  <c:v>3.2666666667013899E-5</c:v>
                </c:pt>
                <c:pt idx="45">
                  <c:v>-1.099999999999435E-4</c:v>
                </c:pt>
                <c:pt idx="46">
                  <c:v>3.8533333333295999E-4</c:v>
                </c:pt>
                <c:pt idx="47">
                  <c:v>-6.9388939039072284E-18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A7C-41CE-86FB-8720DE7EBF17}"/>
            </c:ext>
          </c:extLst>
        </c:ser>
        <c:ser>
          <c:idx val="14"/>
          <c:order val="14"/>
          <c:tx>
            <c:v>BES_TR8_one61_A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Net_kW!$Q$2:$Q$49</c:f>
              <c:numCache>
                <c:formatCode>#,##0.000</c:formatCode>
                <c:ptCount val="48"/>
                <c:pt idx="0">
                  <c:v>3.4800000000000109E-4</c:v>
                </c:pt>
                <c:pt idx="1">
                  <c:v>-2.066666666669936E-4</c:v>
                </c:pt>
                <c:pt idx="2">
                  <c:v>4.3800000000002171E-4</c:v>
                </c:pt>
                <c:pt idx="3">
                  <c:v>4.4000000000016248E-5</c:v>
                </c:pt>
                <c:pt idx="4">
                  <c:v>4.1366666666700641E-4</c:v>
                </c:pt>
                <c:pt idx="5">
                  <c:v>2.5966666666699112E-4</c:v>
                </c:pt>
                <c:pt idx="6">
                  <c:v>-9.3999999999996864E-5</c:v>
                </c:pt>
                <c:pt idx="7">
                  <c:v>-2.3373506666632399E-4</c:v>
                </c:pt>
                <c:pt idx="8">
                  <c:v>2.254204000003979E-4</c:v>
                </c:pt>
                <c:pt idx="9">
                  <c:v>-2.8677859999999561E-4</c:v>
                </c:pt>
                <c:pt idx="10">
                  <c:v>-1.4381080000102489E-4</c:v>
                </c:pt>
                <c:pt idx="11">
                  <c:v>1.196784000007112E-4</c:v>
                </c:pt>
                <c:pt idx="12">
                  <c:v>2.7270366666598539E-4</c:v>
                </c:pt>
                <c:pt idx="13">
                  <c:v>3.0641613333404211E-4</c:v>
                </c:pt>
                <c:pt idx="14">
                  <c:v>-9.3940666671121775E-6</c:v>
                </c:pt>
                <c:pt idx="15">
                  <c:v>-4.1304499999994532E-4</c:v>
                </c:pt>
                <c:pt idx="16">
                  <c:v>-1.840324666640136E-4</c:v>
                </c:pt>
                <c:pt idx="17">
                  <c:v>1.6253320000014779E-4</c:v>
                </c:pt>
                <c:pt idx="18">
                  <c:v>-2.6334800000391711E-4</c:v>
                </c:pt>
                <c:pt idx="19">
                  <c:v>-2.8203639999890839E-4</c:v>
                </c:pt>
                <c:pt idx="20">
                  <c:v>8.8195133332691356E-5</c:v>
                </c:pt>
                <c:pt idx="21">
                  <c:v>-0.93509256060000001</c:v>
                </c:pt>
                <c:pt idx="22">
                  <c:v>-1.238329566666385E-2</c:v>
                </c:pt>
                <c:pt idx="23">
                  <c:v>-1.5295533544</c:v>
                </c:pt>
                <c:pt idx="24">
                  <c:v>-1.367604331200001</c:v>
                </c:pt>
                <c:pt idx="25">
                  <c:v>-1.569953836</c:v>
                </c:pt>
                <c:pt idx="26">
                  <c:v>-1.5524035743333331</c:v>
                </c:pt>
                <c:pt idx="27">
                  <c:v>-1.349047497066667</c:v>
                </c:pt>
                <c:pt idx="28">
                  <c:v>-1.2277339465999999</c:v>
                </c:pt>
                <c:pt idx="29">
                  <c:v>1.789134666658754E-4</c:v>
                </c:pt>
                <c:pt idx="30">
                  <c:v>-0.78735221406666711</c:v>
                </c:pt>
                <c:pt idx="31">
                  <c:v>-0.88255109360000095</c:v>
                </c:pt>
                <c:pt idx="32">
                  <c:v>-0.29019936199999891</c:v>
                </c:pt>
                <c:pt idx="33">
                  <c:v>-7.363396980000092E-2</c:v>
                </c:pt>
                <c:pt idx="34">
                  <c:v>-0.70755719699999919</c:v>
                </c:pt>
                <c:pt idx="35">
                  <c:v>-0.383466143933333</c:v>
                </c:pt>
                <c:pt idx="36">
                  <c:v>-0.16220646733333399</c:v>
                </c:pt>
                <c:pt idx="37">
                  <c:v>-5.6338363000000002E-2</c:v>
                </c:pt>
                <c:pt idx="38">
                  <c:v>-3.2637386666659052E-4</c:v>
                </c:pt>
                <c:pt idx="39">
                  <c:v>-3.4364086666699428E-4</c:v>
                </c:pt>
                <c:pt idx="40">
                  <c:v>4.7644519999961998E-4</c:v>
                </c:pt>
                <c:pt idx="41">
                  <c:v>2.5133333333299262E-4</c:v>
                </c:pt>
                <c:pt idx="42">
                  <c:v>-1.116666666660104E-4</c:v>
                </c:pt>
                <c:pt idx="43">
                  <c:v>-4.3900000000002271E-4</c:v>
                </c:pt>
                <c:pt idx="44">
                  <c:v>7.3000000000003618E-5</c:v>
                </c:pt>
                <c:pt idx="45">
                  <c:v>-4.9833333333298979E-4</c:v>
                </c:pt>
                <c:pt idx="46">
                  <c:v>0</c:v>
                </c:pt>
                <c:pt idx="47">
                  <c:v>-4.6466666666700179E-4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A7C-41CE-86FB-8720DE7EBF17}"/>
            </c:ext>
          </c:extLst>
        </c:ser>
        <c:ser>
          <c:idx val="15"/>
          <c:order val="15"/>
          <c:tx>
            <c:v>BES_TR8_one552_B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Net_kW!$R$2:$R$49</c:f>
              <c:numCache>
                <c:formatCode>#,##0.000</c:formatCode>
                <c:ptCount val="48"/>
                <c:pt idx="0">
                  <c:v>2.3333333333042109E-5</c:v>
                </c:pt>
                <c:pt idx="1">
                  <c:v>4.5066666666698779E-4</c:v>
                </c:pt>
                <c:pt idx="2">
                  <c:v>-3.8333333333306912E-4</c:v>
                </c:pt>
                <c:pt idx="3">
                  <c:v>5.6333333332991842E-5</c:v>
                </c:pt>
                <c:pt idx="4">
                  <c:v>1.8600000000000561E-4</c:v>
                </c:pt>
                <c:pt idx="5">
                  <c:v>-4.200000000000037E-4</c:v>
                </c:pt>
                <c:pt idx="6">
                  <c:v>0</c:v>
                </c:pt>
                <c:pt idx="7">
                  <c:v>2.042069869999999E-2</c:v>
                </c:pt>
                <c:pt idx="8">
                  <c:v>8.7404565300000042E-2</c:v>
                </c:pt>
                <c:pt idx="9">
                  <c:v>3.1063916050000001E-2</c:v>
                </c:pt>
                <c:pt idx="10">
                  <c:v>4.0039189999949848E-4</c:v>
                </c:pt>
                <c:pt idx="11">
                  <c:v>5.7758800000501383E-5</c:v>
                </c:pt>
                <c:pt idx="12">
                  <c:v>0.92715119441666949</c:v>
                </c:pt>
                <c:pt idx="13">
                  <c:v>4.7056210000050169E-4</c:v>
                </c:pt>
                <c:pt idx="14">
                  <c:v>-3.22462216667041E-4</c:v>
                </c:pt>
                <c:pt idx="15">
                  <c:v>2.5221625000015901E-4</c:v>
                </c:pt>
                <c:pt idx="16">
                  <c:v>-5.38576833305493E-5</c:v>
                </c:pt>
                <c:pt idx="17">
                  <c:v>-1.1000999999843939E-6</c:v>
                </c:pt>
                <c:pt idx="18">
                  <c:v>-4.3942766666704708E-4</c:v>
                </c:pt>
                <c:pt idx="19">
                  <c:v>-1.177729999901622E-5</c:v>
                </c:pt>
                <c:pt idx="20">
                  <c:v>-4.5068698333294849E-4</c:v>
                </c:pt>
                <c:pt idx="21">
                  <c:v>1.8124621667003901E-4</c:v>
                </c:pt>
                <c:pt idx="22">
                  <c:v>-9.7055083332797665E-5</c:v>
                </c:pt>
                <c:pt idx="23">
                  <c:v>4.1181753332997229E-4</c:v>
                </c:pt>
                <c:pt idx="24">
                  <c:v>4.3283493333201578E-4</c:v>
                </c:pt>
                <c:pt idx="25">
                  <c:v>2.9963966667001518E-4</c:v>
                </c:pt>
                <c:pt idx="26">
                  <c:v>1.561025833329843E-4</c:v>
                </c:pt>
                <c:pt idx="27">
                  <c:v>-4.3237280000008038E-4</c:v>
                </c:pt>
                <c:pt idx="28">
                  <c:v>-4.4545995000000449E-4</c:v>
                </c:pt>
                <c:pt idx="29">
                  <c:v>-3.2798156666702377E-4</c:v>
                </c:pt>
                <c:pt idx="30">
                  <c:v>-3.2518883332999238E-5</c:v>
                </c:pt>
                <c:pt idx="31">
                  <c:v>-1.9394520000048929E-4</c:v>
                </c:pt>
                <c:pt idx="32">
                  <c:v>-1.550214999994082E-4</c:v>
                </c:pt>
                <c:pt idx="33">
                  <c:v>3.6927265000052939E-4</c:v>
                </c:pt>
                <c:pt idx="34">
                  <c:v>-0.35877606441666637</c:v>
                </c:pt>
                <c:pt idx="35">
                  <c:v>-0.20471010795000011</c:v>
                </c:pt>
                <c:pt idx="36">
                  <c:v>-4.7612850500000532E-2</c:v>
                </c:pt>
                <c:pt idx="37">
                  <c:v>-1.837585558333299E-2</c:v>
                </c:pt>
                <c:pt idx="38">
                  <c:v>-4.6694706666690339E-4</c:v>
                </c:pt>
                <c:pt idx="39">
                  <c:v>-4.6264731666700859E-4</c:v>
                </c:pt>
                <c:pt idx="40">
                  <c:v>1.6250566666098362E-5</c:v>
                </c:pt>
                <c:pt idx="41">
                  <c:v>3.9333333334001803E-5</c:v>
                </c:pt>
                <c:pt idx="42">
                  <c:v>-4.6833333333295979E-4</c:v>
                </c:pt>
                <c:pt idx="43">
                  <c:v>4.1666666666706492E-4</c:v>
                </c:pt>
                <c:pt idx="44">
                  <c:v>6.6666666598269586E-7</c:v>
                </c:pt>
                <c:pt idx="45">
                  <c:v>-4.9699999999996969E-4</c:v>
                </c:pt>
                <c:pt idx="46">
                  <c:v>8.4000000000084007E-5</c:v>
                </c:pt>
                <c:pt idx="47">
                  <c:v>2.6999999999999252E-4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A7C-41CE-86FB-8720DE7EBF17}"/>
            </c:ext>
          </c:extLst>
        </c:ser>
        <c:ser>
          <c:idx val="16"/>
          <c:order val="16"/>
          <c:tx>
            <c:v>BES_TR8_one560_C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Net_kW!$S$2:$S$49</c:f>
              <c:numCache>
                <c:formatCode>#,##0.000</c:formatCode>
                <c:ptCount val="48"/>
                <c:pt idx="0">
                  <c:v>2.2399999999989101E-4</c:v>
                </c:pt>
                <c:pt idx="1">
                  <c:v>-6.6666666665993191E-5</c:v>
                </c:pt>
                <c:pt idx="2">
                  <c:v>5.9088666666667011E-2</c:v>
                </c:pt>
                <c:pt idx="3">
                  <c:v>0.35930333333333297</c:v>
                </c:pt>
                <c:pt idx="4">
                  <c:v>0.52779666666666702</c:v>
                </c:pt>
                <c:pt idx="5">
                  <c:v>0.38999733333333297</c:v>
                </c:pt>
                <c:pt idx="6">
                  <c:v>0.30843466666666702</c:v>
                </c:pt>
                <c:pt idx="7">
                  <c:v>1.198090931599997</c:v>
                </c:pt>
                <c:pt idx="8">
                  <c:v>7.8436753733333406E-2</c:v>
                </c:pt>
                <c:pt idx="9">
                  <c:v>-2.8677860000000249E-4</c:v>
                </c:pt>
                <c:pt idx="10">
                  <c:v>-4.0144133334002463E-5</c:v>
                </c:pt>
                <c:pt idx="11">
                  <c:v>3.970117333340073E-4</c:v>
                </c:pt>
                <c:pt idx="12">
                  <c:v>4.7537033333261419E-4</c:v>
                </c:pt>
                <c:pt idx="13">
                  <c:v>1.094946666702068E-5</c:v>
                </c:pt>
                <c:pt idx="14">
                  <c:v>-4.3639406666662328E-4</c:v>
                </c:pt>
                <c:pt idx="15">
                  <c:v>9.9621666667104591E-5</c:v>
                </c:pt>
                <c:pt idx="16">
                  <c:v>-1.8669913333391189E-4</c:v>
                </c:pt>
                <c:pt idx="17">
                  <c:v>-3.4746679999986258E-4</c:v>
                </c:pt>
                <c:pt idx="18">
                  <c:v>-2.8768133333390011E-4</c:v>
                </c:pt>
                <c:pt idx="19">
                  <c:v>-5.8191703066665879E-2</c:v>
                </c:pt>
                <c:pt idx="20">
                  <c:v>-1.5160044715333341</c:v>
                </c:pt>
                <c:pt idx="21">
                  <c:v>-1.5136965605999999</c:v>
                </c:pt>
                <c:pt idx="22">
                  <c:v>-1.376670295666667</c:v>
                </c:pt>
                <c:pt idx="23">
                  <c:v>-1.3709826877333331</c:v>
                </c:pt>
                <c:pt idx="24">
                  <c:v>-0.99040333120000101</c:v>
                </c:pt>
                <c:pt idx="25">
                  <c:v>-1.553794169333333</c:v>
                </c:pt>
                <c:pt idx="26">
                  <c:v>-1.498723241</c:v>
                </c:pt>
                <c:pt idx="27">
                  <c:v>-1.552667163733334</c:v>
                </c:pt>
                <c:pt idx="28">
                  <c:v>-1.4456259466000001</c:v>
                </c:pt>
                <c:pt idx="29">
                  <c:v>-1.2128944198666669</c:v>
                </c:pt>
                <c:pt idx="30">
                  <c:v>-1.0873782474</c:v>
                </c:pt>
                <c:pt idx="31">
                  <c:v>-1.041561926933334</c:v>
                </c:pt>
                <c:pt idx="32">
                  <c:v>-2.5329028666665861E-2</c:v>
                </c:pt>
                <c:pt idx="33">
                  <c:v>-0.120668969799999</c:v>
                </c:pt>
                <c:pt idx="34">
                  <c:v>-0.37484553033333301</c:v>
                </c:pt>
                <c:pt idx="35">
                  <c:v>-0.41234347726666698</c:v>
                </c:pt>
                <c:pt idx="36">
                  <c:v>-0.16151246733333399</c:v>
                </c:pt>
                <c:pt idx="37">
                  <c:v>-0.104924029666667</c:v>
                </c:pt>
                <c:pt idx="38">
                  <c:v>4.6295946666640581E-4</c:v>
                </c:pt>
                <c:pt idx="39">
                  <c:v>2.2535913333299179E-4</c:v>
                </c:pt>
                <c:pt idx="40">
                  <c:v>-3.5055480000356631E-4</c:v>
                </c:pt>
                <c:pt idx="41">
                  <c:v>-2.3133333332991951E-4</c:v>
                </c:pt>
                <c:pt idx="42">
                  <c:v>-3.1733333333300312E-4</c:v>
                </c:pt>
                <c:pt idx="43">
                  <c:v>2.6733333333300863E-4</c:v>
                </c:pt>
                <c:pt idx="44">
                  <c:v>-1.259999999999595E-4</c:v>
                </c:pt>
                <c:pt idx="45">
                  <c:v>9.933333333300709E-5</c:v>
                </c:pt>
                <c:pt idx="46">
                  <c:v>3.3933333333302512E-4</c:v>
                </c:pt>
                <c:pt idx="47">
                  <c:v>-3.9733333333299981E-4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A7C-41CE-86FB-8720DE7EBF17}"/>
            </c:ext>
          </c:extLst>
        </c:ser>
        <c:ser>
          <c:idx val="17"/>
          <c:order val="17"/>
          <c:tx>
            <c:v>BES_TR8_one73_A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Net_kW!$T$2:$T$49</c:f>
              <c:numCache>
                <c:formatCode>#,##0.000</c:formatCode>
                <c:ptCount val="48"/>
                <c:pt idx="0">
                  <c:v>3.0066666666700442E-4</c:v>
                </c:pt>
                <c:pt idx="1">
                  <c:v>4.019999999999857E-4</c:v>
                </c:pt>
                <c:pt idx="2">
                  <c:v>-3.4699999999998621E-4</c:v>
                </c:pt>
                <c:pt idx="3">
                  <c:v>1.5666666666996901E-5</c:v>
                </c:pt>
                <c:pt idx="4">
                  <c:v>-9.8000000000014742E-5</c:v>
                </c:pt>
                <c:pt idx="5">
                  <c:v>3.6266666666701092E-4</c:v>
                </c:pt>
                <c:pt idx="6">
                  <c:v>-1.3600000000002499E-4</c:v>
                </c:pt>
                <c:pt idx="7">
                  <c:v>1.397991333333265E-4</c:v>
                </c:pt>
                <c:pt idx="8">
                  <c:v>4.7043533333707137E-5</c:v>
                </c:pt>
                <c:pt idx="9">
                  <c:v>-2.7338930000000977E-4</c:v>
                </c:pt>
                <c:pt idx="10">
                  <c:v>-4.3072066666996478E-5</c:v>
                </c:pt>
                <c:pt idx="11">
                  <c:v>-3.7616079999999719E-4</c:v>
                </c:pt>
                <c:pt idx="12">
                  <c:v>-1.296481666670235E-4</c:v>
                </c:pt>
                <c:pt idx="13">
                  <c:v>-1.9062526666599469E-4</c:v>
                </c:pt>
                <c:pt idx="14">
                  <c:v>-9.2863700000028748E-5</c:v>
                </c:pt>
                <c:pt idx="15">
                  <c:v>-6.4855833332960744E-5</c:v>
                </c:pt>
                <c:pt idx="16">
                  <c:v>7.4517099999948933E-5</c:v>
                </c:pt>
                <c:pt idx="17">
                  <c:v>-2.3606673332993161E-4</c:v>
                </c:pt>
                <c:pt idx="18">
                  <c:v>-4.6384066666699248E-4</c:v>
                </c:pt>
                <c:pt idx="19">
                  <c:v>-2.4518486666597061E-4</c:v>
                </c:pt>
                <c:pt idx="20">
                  <c:v>-7.8235766666934214E-5</c:v>
                </c:pt>
                <c:pt idx="21">
                  <c:v>4.4938636666985721E-4</c:v>
                </c:pt>
                <c:pt idx="22">
                  <c:v>1.9051883333304209E-4</c:v>
                </c:pt>
                <c:pt idx="23">
                  <c:v>-3.3567719999993972E-4</c:v>
                </c:pt>
                <c:pt idx="24">
                  <c:v>-4.4333226666692932E-4</c:v>
                </c:pt>
                <c:pt idx="25">
                  <c:v>4.1324866666669902E-4</c:v>
                </c:pt>
                <c:pt idx="26">
                  <c:v>2.9537950000002589E-4</c:v>
                </c:pt>
                <c:pt idx="27">
                  <c:v>7.8084799999933452E-5</c:v>
                </c:pt>
                <c:pt idx="28">
                  <c:v>-1.4697329999990849E-4</c:v>
                </c:pt>
                <c:pt idx="29">
                  <c:v>-4.0520993333403871E-4</c:v>
                </c:pt>
                <c:pt idx="30">
                  <c:v>3.0387630000000548E-4</c:v>
                </c:pt>
                <c:pt idx="31">
                  <c:v>1.040365333331295E-4</c:v>
                </c:pt>
                <c:pt idx="32">
                  <c:v>-7.63476666669205E-5</c:v>
                </c:pt>
                <c:pt idx="33">
                  <c:v>-4.2151823333291821E-4</c:v>
                </c:pt>
                <c:pt idx="34">
                  <c:v>-0.26047809849999998</c:v>
                </c:pt>
                <c:pt idx="35">
                  <c:v>-5.7533338633333007E-2</c:v>
                </c:pt>
                <c:pt idx="36">
                  <c:v>1.434329999999914E-4</c:v>
                </c:pt>
                <c:pt idx="37">
                  <c:v>4.4651833332999553E-5</c:v>
                </c:pt>
                <c:pt idx="38">
                  <c:v>-3.3518693333331462E-4</c:v>
                </c:pt>
                <c:pt idx="39">
                  <c:v>-1.5732043333299689E-4</c:v>
                </c:pt>
                <c:pt idx="40">
                  <c:v>4.9838926666345706E-4</c:v>
                </c:pt>
                <c:pt idx="41">
                  <c:v>2.7633333333298982E-4</c:v>
                </c:pt>
                <c:pt idx="42">
                  <c:v>3.3566666666706713E-4</c:v>
                </c:pt>
                <c:pt idx="43">
                  <c:v>-2.8633333333294431E-4</c:v>
                </c:pt>
                <c:pt idx="44">
                  <c:v>3.3666666670040257E-5</c:v>
                </c:pt>
                <c:pt idx="45">
                  <c:v>9.3333333330836155E-6</c:v>
                </c:pt>
                <c:pt idx="46">
                  <c:v>3.219999999999335E-4</c:v>
                </c:pt>
                <c:pt idx="47">
                  <c:v>0.30006766666666712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A7C-41CE-86FB-8720DE7EBF17}"/>
            </c:ext>
          </c:extLst>
        </c:ser>
        <c:ser>
          <c:idx val="18"/>
          <c:order val="18"/>
          <c:tx>
            <c:v>BES_TR8_one137_A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Net_kW!$U$2:$U$49</c:f>
              <c:numCache>
                <c:formatCode>#,##0.000</c:formatCode>
                <c:ptCount val="48"/>
                <c:pt idx="0">
                  <c:v>-2.7066666666659972E-4</c:v>
                </c:pt>
                <c:pt idx="1">
                  <c:v>-4.4733333333300818E-4</c:v>
                </c:pt>
                <c:pt idx="2">
                  <c:v>4.5866666666670441E-4</c:v>
                </c:pt>
                <c:pt idx="3">
                  <c:v>3.2933333333301512E-4</c:v>
                </c:pt>
                <c:pt idx="4">
                  <c:v>-4.9133333333298279E-4</c:v>
                </c:pt>
                <c:pt idx="5">
                  <c:v>2.8200000000000452E-4</c:v>
                </c:pt>
                <c:pt idx="6">
                  <c:v>1.3333333333004351E-5</c:v>
                </c:pt>
                <c:pt idx="7">
                  <c:v>1.1319653333333179E-4</c:v>
                </c:pt>
                <c:pt idx="8">
                  <c:v>-4.964925333331982E-4</c:v>
                </c:pt>
                <c:pt idx="9">
                  <c:v>-6.7557199999998541E-5</c:v>
                </c:pt>
                <c:pt idx="10">
                  <c:v>1.6437839999894341E-4</c:v>
                </c:pt>
                <c:pt idx="11">
                  <c:v>-3.4797653333207279E-4</c:v>
                </c:pt>
                <c:pt idx="12">
                  <c:v>8.140733333206196E-5</c:v>
                </c:pt>
                <c:pt idx="13">
                  <c:v>-2.2716773333186779E-4</c:v>
                </c:pt>
                <c:pt idx="14">
                  <c:v>-4.5878813333355423E-4</c:v>
                </c:pt>
                <c:pt idx="15">
                  <c:v>-4.4896756666666482E-2</c:v>
                </c:pt>
                <c:pt idx="16">
                  <c:v>-1.968506064933335</c:v>
                </c:pt>
                <c:pt idx="17">
                  <c:v>-2.048997600266667</c:v>
                </c:pt>
                <c:pt idx="18">
                  <c:v>-2.516656362666668</c:v>
                </c:pt>
                <c:pt idx="19">
                  <c:v>-2.6920127394666649</c:v>
                </c:pt>
                <c:pt idx="20">
                  <c:v>-2.765111609733335</c:v>
                </c:pt>
                <c:pt idx="21">
                  <c:v>-1.6692097878666701</c:v>
                </c:pt>
                <c:pt idx="22">
                  <c:v>-2.9916012580000011</c:v>
                </c:pt>
                <c:pt idx="23">
                  <c:v>-2.8431390421333331</c:v>
                </c:pt>
                <c:pt idx="24">
                  <c:v>-2.0282886623999978</c:v>
                </c:pt>
                <c:pt idx="25">
                  <c:v>-2.5439256719999999</c:v>
                </c:pt>
                <c:pt idx="26">
                  <c:v>-2.9180551486666659</c:v>
                </c:pt>
                <c:pt idx="27">
                  <c:v>-2.9014729941333348</c:v>
                </c:pt>
                <c:pt idx="28">
                  <c:v>-2.8329275598666661</c:v>
                </c:pt>
                <c:pt idx="29">
                  <c:v>-2.5310951730666682</c:v>
                </c:pt>
                <c:pt idx="30">
                  <c:v>-2.5642581614666669</c:v>
                </c:pt>
                <c:pt idx="31">
                  <c:v>-2.2018725205333349</c:v>
                </c:pt>
                <c:pt idx="32">
                  <c:v>-1.957318723999999</c:v>
                </c:pt>
                <c:pt idx="33">
                  <c:v>-1.606596606266665</c:v>
                </c:pt>
                <c:pt idx="34">
                  <c:v>-1.349214393999999</c:v>
                </c:pt>
                <c:pt idx="35">
                  <c:v>-1.089442287866667</c:v>
                </c:pt>
                <c:pt idx="36">
                  <c:v>-0.80804660133333506</c:v>
                </c:pt>
                <c:pt idx="37">
                  <c:v>-0.41832705933333297</c:v>
                </c:pt>
                <c:pt idx="38">
                  <c:v>-2.5808106666713743E-4</c:v>
                </c:pt>
                <c:pt idx="39">
                  <c:v>-4.912817333330155E-4</c:v>
                </c:pt>
                <c:pt idx="40">
                  <c:v>1.8055706666725291E-4</c:v>
                </c:pt>
                <c:pt idx="41">
                  <c:v>-1.199999999999535E-4</c:v>
                </c:pt>
                <c:pt idx="42">
                  <c:v>1.4566666666693259E-4</c:v>
                </c:pt>
                <c:pt idx="43">
                  <c:v>-2.1633333333304081E-4</c:v>
                </c:pt>
                <c:pt idx="44">
                  <c:v>-4.616666666660274E-4</c:v>
                </c:pt>
                <c:pt idx="45">
                  <c:v>-3.7166666667021181E-4</c:v>
                </c:pt>
                <c:pt idx="46">
                  <c:v>-1.4733333333299961E-4</c:v>
                </c:pt>
                <c:pt idx="47">
                  <c:v>3.6666666666698711E-4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A7C-41CE-86FB-8720DE7EBF17}"/>
            </c:ext>
          </c:extLst>
        </c:ser>
        <c:ser>
          <c:idx val="19"/>
          <c:order val="19"/>
          <c:tx>
            <c:v>BES_TR8_four50_C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Net_kW!$V$2:$V$49</c:f>
              <c:numCache>
                <c:formatCode>#,##0.000</c:formatCode>
                <c:ptCount val="48"/>
                <c:pt idx="0">
                  <c:v>-3.4999999999998921E-4</c:v>
                </c:pt>
                <c:pt idx="1">
                  <c:v>1.2399999999998521E-4</c:v>
                </c:pt>
                <c:pt idx="2">
                  <c:v>0</c:v>
                </c:pt>
                <c:pt idx="3">
                  <c:v>3.939999999999777E-4</c:v>
                </c:pt>
                <c:pt idx="4">
                  <c:v>0</c:v>
                </c:pt>
                <c:pt idx="5">
                  <c:v>4.159999999999997E-4</c:v>
                </c:pt>
                <c:pt idx="6">
                  <c:v>-2.199999999999425E-5</c:v>
                </c:pt>
                <c:pt idx="7">
                  <c:v>-4.4080346666667408E-4</c:v>
                </c:pt>
                <c:pt idx="8">
                  <c:v>-3.4049253333323648E-4</c:v>
                </c:pt>
                <c:pt idx="9">
                  <c:v>4.2644279999998203E-4</c:v>
                </c:pt>
                <c:pt idx="10">
                  <c:v>1.99711733331942E-4</c:v>
                </c:pt>
                <c:pt idx="11">
                  <c:v>-3.9765333319508036E-6</c:v>
                </c:pt>
                <c:pt idx="12">
                  <c:v>8.1407333331950937E-5</c:v>
                </c:pt>
                <c:pt idx="13">
                  <c:v>2.588322666678966E-4</c:v>
                </c:pt>
                <c:pt idx="14">
                  <c:v>3.3154520000011622E-4</c:v>
                </c:pt>
                <c:pt idx="15">
                  <c:v>-5.0089999999780588E-5</c:v>
                </c:pt>
                <c:pt idx="16">
                  <c:v>-1.9280693982666679</c:v>
                </c:pt>
                <c:pt idx="17">
                  <c:v>-2.1777109335999998</c:v>
                </c:pt>
                <c:pt idx="18">
                  <c:v>-2.5363273626666678</c:v>
                </c:pt>
                <c:pt idx="19">
                  <c:v>-2.6740527394666649</c:v>
                </c:pt>
                <c:pt idx="20">
                  <c:v>-2.238534943066667</c:v>
                </c:pt>
                <c:pt idx="21">
                  <c:v>-2.7368304545333331</c:v>
                </c:pt>
                <c:pt idx="22">
                  <c:v>-3.2167189246666679</c:v>
                </c:pt>
                <c:pt idx="23">
                  <c:v>-3.3384317088</c:v>
                </c:pt>
                <c:pt idx="24">
                  <c:v>-3.3127843290666679</c:v>
                </c:pt>
                <c:pt idx="25">
                  <c:v>-3.2886246720000001</c:v>
                </c:pt>
                <c:pt idx="26">
                  <c:v>-3.2781584819999998</c:v>
                </c:pt>
                <c:pt idx="27">
                  <c:v>-3.154334327466668</c:v>
                </c:pt>
                <c:pt idx="28">
                  <c:v>-2.8325635598666672</c:v>
                </c:pt>
                <c:pt idx="29">
                  <c:v>-2.588390506400001</c:v>
                </c:pt>
                <c:pt idx="30">
                  <c:v>-2.6053018281333329</c:v>
                </c:pt>
                <c:pt idx="31">
                  <c:v>-2.0902590538666681</c:v>
                </c:pt>
                <c:pt idx="32">
                  <c:v>-1.832010323999999</c:v>
                </c:pt>
                <c:pt idx="33">
                  <c:v>-1.6636010729333319</c:v>
                </c:pt>
                <c:pt idx="34">
                  <c:v>-1.3173775273333319</c:v>
                </c:pt>
                <c:pt idx="35">
                  <c:v>-0.76241635453333312</c:v>
                </c:pt>
                <c:pt idx="36">
                  <c:v>-0.47908693466666802</c:v>
                </c:pt>
                <c:pt idx="37">
                  <c:v>3.0660733332998902E-4</c:v>
                </c:pt>
                <c:pt idx="38">
                  <c:v>7.0918933333802281E-5</c:v>
                </c:pt>
                <c:pt idx="39">
                  <c:v>3.4838493333311238E-4</c:v>
                </c:pt>
                <c:pt idx="40">
                  <c:v>3.132237333333121E-4</c:v>
                </c:pt>
                <c:pt idx="41">
                  <c:v>2.7133333333301263E-4</c:v>
                </c:pt>
                <c:pt idx="42">
                  <c:v>2.3599999999990301E-4</c:v>
                </c:pt>
                <c:pt idx="43">
                  <c:v>4.7799999999997839E-4</c:v>
                </c:pt>
                <c:pt idx="44">
                  <c:v>-3.2633333333298431E-4</c:v>
                </c:pt>
                <c:pt idx="45">
                  <c:v>-3.4666666666699491E-4</c:v>
                </c:pt>
                <c:pt idx="46">
                  <c:v>-2.9200000000000059E-4</c:v>
                </c:pt>
                <c:pt idx="47">
                  <c:v>-3.1399999999998102E-4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A7C-41CE-86FB-8720DE7EBF17}"/>
            </c:ext>
          </c:extLst>
        </c:ser>
        <c:ser>
          <c:idx val="20"/>
          <c:order val="20"/>
          <c:tx>
            <c:v>BES_TR8_four171_A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Net_kW!$W$2:$W$49</c:f>
              <c:numCache>
                <c:formatCode>#,##0.000</c:formatCode>
                <c:ptCount val="48"/>
                <c:pt idx="0">
                  <c:v>-4.139999999999977E-4</c:v>
                </c:pt>
                <c:pt idx="1">
                  <c:v>0</c:v>
                </c:pt>
                <c:pt idx="2">
                  <c:v>2.276666666670146E-4</c:v>
                </c:pt>
                <c:pt idx="3">
                  <c:v>4.45000000000001E-4</c:v>
                </c:pt>
                <c:pt idx="4">
                  <c:v>8.6666666666984638E-5</c:v>
                </c:pt>
                <c:pt idx="5">
                  <c:v>-4.139999999999977E-4</c:v>
                </c:pt>
                <c:pt idx="6">
                  <c:v>0</c:v>
                </c:pt>
                <c:pt idx="7">
                  <c:v>1.3726493333365841E-4</c:v>
                </c:pt>
                <c:pt idx="8">
                  <c:v>-5.2246266666597367E-5</c:v>
                </c:pt>
                <c:pt idx="9">
                  <c:v>1.722140000000056E-5</c:v>
                </c:pt>
                <c:pt idx="10">
                  <c:v>-3.0147746666701197E-4</c:v>
                </c:pt>
                <c:pt idx="11">
                  <c:v>7.1011733334014338E-5</c:v>
                </c:pt>
                <c:pt idx="12">
                  <c:v>3.6670366666596838E-4</c:v>
                </c:pt>
                <c:pt idx="13">
                  <c:v>1.6308280000099101E-4</c:v>
                </c:pt>
                <c:pt idx="14">
                  <c:v>3.3327259999993419E-4</c:v>
                </c:pt>
                <c:pt idx="15">
                  <c:v>2.886216666669883E-4</c:v>
                </c:pt>
                <c:pt idx="16">
                  <c:v>-9.369913333401314E-5</c:v>
                </c:pt>
                <c:pt idx="17">
                  <c:v>-3.8646679999976291E-4</c:v>
                </c:pt>
                <c:pt idx="18">
                  <c:v>-2.0601466666714249E-4</c:v>
                </c:pt>
                <c:pt idx="19">
                  <c:v>-0.30053970306666611</c:v>
                </c:pt>
                <c:pt idx="20">
                  <c:v>1.388617999964481E-4</c:v>
                </c:pt>
                <c:pt idx="21">
                  <c:v>-2.3922726667024999E-4</c:v>
                </c:pt>
                <c:pt idx="22">
                  <c:v>3.8303766666603067E-4</c:v>
                </c:pt>
                <c:pt idx="23">
                  <c:v>4.1597893333311648E-4</c:v>
                </c:pt>
                <c:pt idx="24">
                  <c:v>-1.3227516645333339</c:v>
                </c:pt>
                <c:pt idx="25">
                  <c:v>-1.6611608360000001</c:v>
                </c:pt>
                <c:pt idx="26">
                  <c:v>-1.4409932409999999</c:v>
                </c:pt>
                <c:pt idx="27">
                  <c:v>-1.4365804970666669</c:v>
                </c:pt>
                <c:pt idx="28">
                  <c:v>-1.4439389466000001</c:v>
                </c:pt>
                <c:pt idx="29">
                  <c:v>-1.252324086533334</c:v>
                </c:pt>
                <c:pt idx="30">
                  <c:v>-1.1694775807333331</c:v>
                </c:pt>
                <c:pt idx="31">
                  <c:v>-0.99220592693333387</c:v>
                </c:pt>
                <c:pt idx="32">
                  <c:v>-1.0246913619999991</c:v>
                </c:pt>
                <c:pt idx="33">
                  <c:v>-0.552238303133333</c:v>
                </c:pt>
                <c:pt idx="34">
                  <c:v>-0.62318186366666595</c:v>
                </c:pt>
                <c:pt idx="35">
                  <c:v>-0.43488814393333303</c:v>
                </c:pt>
                <c:pt idx="36">
                  <c:v>-0.23253913400000101</c:v>
                </c:pt>
                <c:pt idx="37">
                  <c:v>-0.13582179633333299</c:v>
                </c:pt>
                <c:pt idx="38">
                  <c:v>-9.7893040533333295E-2</c:v>
                </c:pt>
                <c:pt idx="39">
                  <c:v>4.1802579999999923E-4</c:v>
                </c:pt>
                <c:pt idx="40">
                  <c:v>1.527785333336196E-4</c:v>
                </c:pt>
                <c:pt idx="41">
                  <c:v>-3.8100000000002021E-4</c:v>
                </c:pt>
                <c:pt idx="42">
                  <c:v>-2.4433333333295781E-4</c:v>
                </c:pt>
                <c:pt idx="43">
                  <c:v>-4.3333333332951092E-5</c:v>
                </c:pt>
                <c:pt idx="44">
                  <c:v>-4.683333333330153E-4</c:v>
                </c:pt>
                <c:pt idx="45">
                  <c:v>1.4099999999998841E-4</c:v>
                </c:pt>
                <c:pt idx="46">
                  <c:v>0</c:v>
                </c:pt>
                <c:pt idx="47">
                  <c:v>1.7366666666700231E-4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A7C-41CE-86FB-8720DE7EBF17}"/>
            </c:ext>
          </c:extLst>
        </c:ser>
        <c:ser>
          <c:idx val="21"/>
          <c:order val="21"/>
          <c:tx>
            <c:v>BES_TR8_four180_A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Net_kW!$X$2:$X$49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4.533333333330003E-4</c:v>
                </c:pt>
                <c:pt idx="4">
                  <c:v>0</c:v>
                </c:pt>
                <c:pt idx="5">
                  <c:v>4.533333333330003E-4</c:v>
                </c:pt>
                <c:pt idx="6">
                  <c:v>0</c:v>
                </c:pt>
                <c:pt idx="7">
                  <c:v>4.5749783333332022E-4</c:v>
                </c:pt>
                <c:pt idx="8">
                  <c:v>-2.3872449999994691E-4</c:v>
                </c:pt>
                <c:pt idx="9">
                  <c:v>2.4952674999999258E-4</c:v>
                </c:pt>
                <c:pt idx="10">
                  <c:v>-4.9234683333418405E-4</c:v>
                </c:pt>
                <c:pt idx="11">
                  <c:v>3.387646666675459E-4</c:v>
                </c:pt>
                <c:pt idx="12">
                  <c:v>-4.9045375000089653E-4</c:v>
                </c:pt>
                <c:pt idx="13">
                  <c:v>4.0643683333463349E-4</c:v>
                </c:pt>
                <c:pt idx="14">
                  <c:v>-2.2465924999992559E-4</c:v>
                </c:pt>
                <c:pt idx="15">
                  <c:v>4.7202708333315968E-4</c:v>
                </c:pt>
                <c:pt idx="16">
                  <c:v>-2.187391666796934E-5</c:v>
                </c:pt>
                <c:pt idx="17">
                  <c:v>-1.4083350000004821E-4</c:v>
                </c:pt>
                <c:pt idx="18">
                  <c:v>-1.178458935000001</c:v>
                </c:pt>
                <c:pt idx="19">
                  <c:v>-1.535277962166665</c:v>
                </c:pt>
                <c:pt idx="20">
                  <c:v>-1.696019256083334</c:v>
                </c:pt>
                <c:pt idx="21">
                  <c:v>-1.849001767416667</c:v>
                </c:pt>
                <c:pt idx="22">
                  <c:v>-1.995485202916667</c:v>
                </c:pt>
                <c:pt idx="23">
                  <c:v>-1.927791859666667</c:v>
                </c:pt>
                <c:pt idx="24">
                  <c:v>-2.0945508306666669</c:v>
                </c:pt>
                <c:pt idx="25">
                  <c:v>-1.960997711666667</c:v>
                </c:pt>
                <c:pt idx="26">
                  <c:v>-1.97799505125</c:v>
                </c:pt>
                <c:pt idx="27">
                  <c:v>-1.643937954666667</c:v>
                </c:pt>
                <c:pt idx="28">
                  <c:v>-1.6124247665833329</c:v>
                </c:pt>
                <c:pt idx="29">
                  <c:v>-1.4315498581666679</c:v>
                </c:pt>
                <c:pt idx="30">
                  <c:v>-1.2836109759166661</c:v>
                </c:pt>
                <c:pt idx="31">
                  <c:v>-1.3794579086666681</c:v>
                </c:pt>
                <c:pt idx="32">
                  <c:v>-1.157434569166665</c:v>
                </c:pt>
                <c:pt idx="33">
                  <c:v>-0.85048521224999996</c:v>
                </c:pt>
                <c:pt idx="34">
                  <c:v>-0.90500732958333241</c:v>
                </c:pt>
                <c:pt idx="35">
                  <c:v>-0.47891651325000001</c:v>
                </c:pt>
                <c:pt idx="36">
                  <c:v>-0.35195275083333449</c:v>
                </c:pt>
                <c:pt idx="37">
                  <c:v>-0.31945120375000002</c:v>
                </c:pt>
                <c:pt idx="38">
                  <c:v>-0.17320046733333319</c:v>
                </c:pt>
                <c:pt idx="39">
                  <c:v>-3.6696775000000242E-4</c:v>
                </c:pt>
                <c:pt idx="40">
                  <c:v>4.9297316666662566E-4</c:v>
                </c:pt>
                <c:pt idx="41">
                  <c:v>-4.6400000000000607E-4</c:v>
                </c:pt>
                <c:pt idx="42">
                  <c:v>-8.2666666666980637E-5</c:v>
                </c:pt>
                <c:pt idx="43">
                  <c:v>-4.6400000000000607E-4</c:v>
                </c:pt>
                <c:pt idx="44">
                  <c:v>-8.2666666666980637E-5</c:v>
                </c:pt>
                <c:pt idx="45">
                  <c:v>0</c:v>
                </c:pt>
                <c:pt idx="46">
                  <c:v>0</c:v>
                </c:pt>
                <c:pt idx="47">
                  <c:v>-8.2666666666980637E-5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A7C-41CE-86FB-8720DE7EBF17}"/>
            </c:ext>
          </c:extLst>
        </c:ser>
        <c:ser>
          <c:idx val="22"/>
          <c:order val="22"/>
          <c:tx>
            <c:v>BES_TR8_four200_A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Net_kW!$Y$2:$Y$49</c:f>
              <c:numCache>
                <c:formatCode>#,##0.000</c:formatCode>
                <c:ptCount val="48"/>
                <c:pt idx="0">
                  <c:v>0</c:v>
                </c:pt>
                <c:pt idx="1">
                  <c:v>-3.4666666666699491E-4</c:v>
                </c:pt>
                <c:pt idx="2">
                  <c:v>-1.20000000000002E-4</c:v>
                </c:pt>
                <c:pt idx="3">
                  <c:v>-3.5999999999999921E-4</c:v>
                </c:pt>
                <c:pt idx="4">
                  <c:v>-1.066666666666022E-4</c:v>
                </c:pt>
                <c:pt idx="5">
                  <c:v>0</c:v>
                </c:pt>
                <c:pt idx="6">
                  <c:v>0</c:v>
                </c:pt>
                <c:pt idx="7">
                  <c:v>5.9397400000008038E-5</c:v>
                </c:pt>
                <c:pt idx="8">
                  <c:v>-4.0753606666650571E-4</c:v>
                </c:pt>
                <c:pt idx="9">
                  <c:v>-4.3016789999997251E-4</c:v>
                </c:pt>
                <c:pt idx="10">
                  <c:v>-4.7188286666799423E-4</c:v>
                </c:pt>
                <c:pt idx="11">
                  <c:v>-3.9348239999892343E-4</c:v>
                </c:pt>
                <c:pt idx="12">
                  <c:v>-4.0561116666804059E-4</c:v>
                </c:pt>
                <c:pt idx="13">
                  <c:v>-3.0587579999896702E-4</c:v>
                </c:pt>
                <c:pt idx="14">
                  <c:v>5.0408899999743177E-5</c:v>
                </c:pt>
                <c:pt idx="15">
                  <c:v>4.3765833333209159E-5</c:v>
                </c:pt>
                <c:pt idx="16">
                  <c:v>-0.77124704870000105</c:v>
                </c:pt>
                <c:pt idx="17">
                  <c:v>-1.8714882002</c:v>
                </c:pt>
                <c:pt idx="18">
                  <c:v>-1.9328981886666681</c:v>
                </c:pt>
                <c:pt idx="19">
                  <c:v>-2.1937875545999992</c:v>
                </c:pt>
                <c:pt idx="20">
                  <c:v>-2.2508600406333339</c:v>
                </c:pt>
                <c:pt idx="21">
                  <c:v>-2.392092174233333</c:v>
                </c:pt>
                <c:pt idx="22">
                  <c:v>-2.5077334435000012</c:v>
                </c:pt>
                <c:pt idx="23">
                  <c:v>-2.4498453649333332</c:v>
                </c:pt>
                <c:pt idx="24">
                  <c:v>-2.5153173968000009</c:v>
                </c:pt>
                <c:pt idx="25">
                  <c:v>-2.4764745873333331</c:v>
                </c:pt>
                <c:pt idx="26">
                  <c:v>-2.4156021948333328</c:v>
                </c:pt>
                <c:pt idx="27">
                  <c:v>-2.3790007456000009</c:v>
                </c:pt>
                <c:pt idx="28">
                  <c:v>-2.206237586566667</c:v>
                </c:pt>
                <c:pt idx="29">
                  <c:v>-2.0770026298000008</c:v>
                </c:pt>
                <c:pt idx="30">
                  <c:v>-1.7277781711</c:v>
                </c:pt>
                <c:pt idx="31">
                  <c:v>-1.644692957066668</c:v>
                </c:pt>
                <c:pt idx="32">
                  <c:v>-1.5963500429999991</c:v>
                </c:pt>
                <c:pt idx="33">
                  <c:v>-1.239520121366666</c:v>
                </c:pt>
                <c:pt idx="34">
                  <c:v>-1.114870795499999</c:v>
                </c:pt>
                <c:pt idx="35">
                  <c:v>-0.61800221590000004</c:v>
                </c:pt>
                <c:pt idx="36">
                  <c:v>-0.51857903433333408</c:v>
                </c:pt>
                <c:pt idx="37">
                  <c:v>-0.33390131116666699</c:v>
                </c:pt>
                <c:pt idx="38">
                  <c:v>-1.4622746666694E-4</c:v>
                </c:pt>
                <c:pt idx="39">
                  <c:v>4.8003869999996279E-4</c:v>
                </c:pt>
                <c:pt idx="40">
                  <c:v>2.1583446666695319E-4</c:v>
                </c:pt>
                <c:pt idx="41">
                  <c:v>-4.250000000000087E-4</c:v>
                </c:pt>
                <c:pt idx="42">
                  <c:v>4.9333333333301255E-4</c:v>
                </c:pt>
                <c:pt idx="43">
                  <c:v>-2.8566666666696161E-4</c:v>
                </c:pt>
                <c:pt idx="44">
                  <c:v>-4.6666666666700379E-4</c:v>
                </c:pt>
                <c:pt idx="45">
                  <c:v>0</c:v>
                </c:pt>
                <c:pt idx="46">
                  <c:v>0</c:v>
                </c:pt>
                <c:pt idx="47">
                  <c:v>-4.6666666666700379E-4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A7C-41CE-86FB-8720DE7EBF17}"/>
            </c:ext>
          </c:extLst>
        </c:ser>
        <c:ser>
          <c:idx val="23"/>
          <c:order val="23"/>
          <c:tx>
            <c:v>BES_TR8_four239_A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Net_kW!$Z$2:$Z$49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2.5800000000000822E-4</c:v>
                </c:pt>
                <c:pt idx="3">
                  <c:v>0</c:v>
                </c:pt>
                <c:pt idx="4">
                  <c:v>-4.149999999999987E-4</c:v>
                </c:pt>
                <c:pt idx="5">
                  <c:v>-3.2699999999999402E-4</c:v>
                </c:pt>
                <c:pt idx="6">
                  <c:v>-2.8300000000000552E-4</c:v>
                </c:pt>
                <c:pt idx="7">
                  <c:v>1.0019653333331879E-4</c:v>
                </c:pt>
                <c:pt idx="8">
                  <c:v>2.6550746666679798E-4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1.0023466668007691E-5</c:v>
                </c:pt>
                <c:pt idx="12">
                  <c:v>4.7140733333195239E-4</c:v>
                </c:pt>
                <c:pt idx="13">
                  <c:v>-2.6316773333201482E-4</c:v>
                </c:pt>
                <c:pt idx="14">
                  <c:v>-1.79454800000034E-4</c:v>
                </c:pt>
                <c:pt idx="15">
                  <c:v>-0.44462609000000008</c:v>
                </c:pt>
                <c:pt idx="16">
                  <c:v>-2.093505398266668</c:v>
                </c:pt>
                <c:pt idx="17">
                  <c:v>-2.4382169336000001</c:v>
                </c:pt>
                <c:pt idx="18">
                  <c:v>-2.7135753626666679</c:v>
                </c:pt>
                <c:pt idx="19">
                  <c:v>-2.9113834061333321</c:v>
                </c:pt>
                <c:pt idx="20">
                  <c:v>-2.9294432764000011</c:v>
                </c:pt>
                <c:pt idx="21">
                  <c:v>-3.2210661211999998</c:v>
                </c:pt>
                <c:pt idx="22">
                  <c:v>-3.3299779246666681</c:v>
                </c:pt>
                <c:pt idx="23">
                  <c:v>-3.3383717088</c:v>
                </c:pt>
                <c:pt idx="24">
                  <c:v>-3.2644183290666682</c:v>
                </c:pt>
                <c:pt idx="25">
                  <c:v>-3.3633216720000001</c:v>
                </c:pt>
                <c:pt idx="26">
                  <c:v>-3.2821584819999998</c:v>
                </c:pt>
                <c:pt idx="27">
                  <c:v>-3.0207933274666678</c:v>
                </c:pt>
                <c:pt idx="28">
                  <c:v>-2.9887908932</c:v>
                </c:pt>
                <c:pt idx="29">
                  <c:v>-2.823190173066668</c:v>
                </c:pt>
                <c:pt idx="30">
                  <c:v>-2.6241284947999999</c:v>
                </c:pt>
                <c:pt idx="31">
                  <c:v>-2.2253258538666678</c:v>
                </c:pt>
                <c:pt idx="32">
                  <c:v>-2.1043089906666652</c:v>
                </c:pt>
                <c:pt idx="33">
                  <c:v>-1.6370522729333321</c:v>
                </c:pt>
                <c:pt idx="34">
                  <c:v>-1.476972727333332</c:v>
                </c:pt>
                <c:pt idx="35">
                  <c:v>-1.1709496211999999</c:v>
                </c:pt>
                <c:pt idx="36">
                  <c:v>-0.75933193466666804</c:v>
                </c:pt>
                <c:pt idx="37">
                  <c:v>-0.52507772600000002</c:v>
                </c:pt>
                <c:pt idx="38">
                  <c:v>-0.26264774773333321</c:v>
                </c:pt>
                <c:pt idx="39">
                  <c:v>4.2505160000001069E-4</c:v>
                </c:pt>
                <c:pt idx="40">
                  <c:v>2.362237333333253E-4</c:v>
                </c:pt>
                <c:pt idx="41">
                  <c:v>2.390000000000031E-4</c:v>
                </c:pt>
                <c:pt idx="42">
                  <c:v>1.9000000000019002E-5</c:v>
                </c:pt>
                <c:pt idx="43">
                  <c:v>0</c:v>
                </c:pt>
                <c:pt idx="44">
                  <c:v>2.5800000000000822E-4</c:v>
                </c:pt>
                <c:pt idx="45">
                  <c:v>0</c:v>
                </c:pt>
                <c:pt idx="46">
                  <c:v>-4.3999999999988493E-5</c:v>
                </c:pt>
                <c:pt idx="47">
                  <c:v>3.0199999999999672E-4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A7C-41CE-86FB-8720DE7EBF17}"/>
            </c:ext>
          </c:extLst>
        </c:ser>
        <c:ser>
          <c:idx val="24"/>
          <c:order val="24"/>
          <c:tx>
            <c:v>BES_TR8_four259_B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Net_kW!$AA$2:$AA$49</c:f>
              <c:numCache>
                <c:formatCode>#,##0.000</c:formatCode>
                <c:ptCount val="48"/>
                <c:pt idx="0">
                  <c:v>3.4199999999999509E-4</c:v>
                </c:pt>
                <c:pt idx="1">
                  <c:v>7.799999999999474E-5</c:v>
                </c:pt>
                <c:pt idx="2">
                  <c:v>0</c:v>
                </c:pt>
                <c:pt idx="3">
                  <c:v>0</c:v>
                </c:pt>
                <c:pt idx="4">
                  <c:v>4.200000000000037E-4</c:v>
                </c:pt>
                <c:pt idx="5">
                  <c:v>0</c:v>
                </c:pt>
                <c:pt idx="6">
                  <c:v>3.9000000000011248E-5</c:v>
                </c:pt>
                <c:pt idx="7">
                  <c:v>3.7029696666665562E-4</c:v>
                </c:pt>
                <c:pt idx="8">
                  <c:v>4.8231903333343512E-4</c:v>
                </c:pt>
                <c:pt idx="9">
                  <c:v>-8.1862549999985046E-5</c:v>
                </c:pt>
                <c:pt idx="10">
                  <c:v>3.2724776666553929E-4</c:v>
                </c:pt>
                <c:pt idx="11">
                  <c:v>-3.8972946666548941E-4</c:v>
                </c:pt>
                <c:pt idx="12">
                  <c:v>-2.4476858333466472E-4</c:v>
                </c:pt>
                <c:pt idx="13">
                  <c:v>-1.6188433332064989E-5</c:v>
                </c:pt>
                <c:pt idx="14">
                  <c:v>-2.5318961666598311E-4</c:v>
                </c:pt>
                <c:pt idx="15">
                  <c:v>-4.0382874999989049E-4</c:v>
                </c:pt>
                <c:pt idx="16">
                  <c:v>-0.59326222348333491</c:v>
                </c:pt>
                <c:pt idx="17">
                  <c:v>-2.1659029002333341</c:v>
                </c:pt>
                <c:pt idx="18">
                  <c:v>-1.302706442333335</c:v>
                </c:pt>
                <c:pt idx="19">
                  <c:v>-2.462862480366665</c:v>
                </c:pt>
                <c:pt idx="20">
                  <c:v>-2.6945078251833339</c:v>
                </c:pt>
                <c:pt idx="21">
                  <c:v>-2.8198919810500001</c:v>
                </c:pt>
                <c:pt idx="22">
                  <c:v>-2.9088556840833339</c:v>
                </c:pt>
                <c:pt idx="23">
                  <c:v>-2.8628058701999999</c:v>
                </c:pt>
                <c:pt idx="24">
                  <c:v>-2.6805224962666681</c:v>
                </c:pt>
                <c:pt idx="25">
                  <c:v>-2.9081964963333329</c:v>
                </c:pt>
                <c:pt idx="26">
                  <c:v>-2.7513418050833329</c:v>
                </c:pt>
                <c:pt idx="27">
                  <c:v>-2.6821080698666679</c:v>
                </c:pt>
                <c:pt idx="28">
                  <c:v>-2.6066354065500001</c:v>
                </c:pt>
                <c:pt idx="29">
                  <c:v>-2.3746804014333351</c:v>
                </c:pt>
                <c:pt idx="30">
                  <c:v>-2.29123743295</c:v>
                </c:pt>
                <c:pt idx="31">
                  <c:v>-1.985228872133334</c:v>
                </c:pt>
                <c:pt idx="32">
                  <c:v>-1.7931420501666651</c:v>
                </c:pt>
                <c:pt idx="33">
                  <c:v>-1.536949030483332</c:v>
                </c:pt>
                <c:pt idx="34">
                  <c:v>-1.2938102614166651</c:v>
                </c:pt>
                <c:pt idx="35">
                  <c:v>-1.0197059185499999</c:v>
                </c:pt>
                <c:pt idx="36">
                  <c:v>-0.65704565116666747</c:v>
                </c:pt>
                <c:pt idx="37">
                  <c:v>-0.38548688525000002</c:v>
                </c:pt>
                <c:pt idx="38">
                  <c:v>-0.26928065426666647</c:v>
                </c:pt>
                <c:pt idx="39">
                  <c:v>-4.076495485E-2</c:v>
                </c:pt>
                <c:pt idx="40">
                  <c:v>-2.9330423333334688E-4</c:v>
                </c:pt>
                <c:pt idx="41">
                  <c:v>-2.7699999999999952E-4</c:v>
                </c:pt>
                <c:pt idx="42">
                  <c:v>-3.0299999999999772E-4</c:v>
                </c:pt>
                <c:pt idx="43">
                  <c:v>0</c:v>
                </c:pt>
                <c:pt idx="44">
                  <c:v>0</c:v>
                </c:pt>
                <c:pt idx="45">
                  <c:v>-3.0299999999999772E-4</c:v>
                </c:pt>
                <c:pt idx="46">
                  <c:v>-2.7699999999999952E-4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A7C-41CE-86FB-8720DE7EBF17}"/>
            </c:ext>
          </c:extLst>
        </c:ser>
        <c:ser>
          <c:idx val="25"/>
          <c:order val="25"/>
          <c:tx>
            <c:v>BES_TR8_four265_C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Net_kW!$AB$2:$AB$49</c:f>
              <c:numCache>
                <c:formatCode>#,##0.000</c:formatCode>
                <c:ptCount val="48"/>
                <c:pt idx="0">
                  <c:v>-3.7266666666699311E-4</c:v>
                </c:pt>
                <c:pt idx="1">
                  <c:v>-1.2766666666702559E-4</c:v>
                </c:pt>
                <c:pt idx="2">
                  <c:v>1.3333333333340189E-4</c:v>
                </c:pt>
                <c:pt idx="3">
                  <c:v>-3.99333333332974E-4</c:v>
                </c:pt>
                <c:pt idx="4">
                  <c:v>-1.5500000000001621E-4</c:v>
                </c:pt>
                <c:pt idx="5">
                  <c:v>-2.9933333333298512E-4</c:v>
                </c:pt>
                <c:pt idx="6">
                  <c:v>-4.9066666666702785E-4</c:v>
                </c:pt>
                <c:pt idx="7">
                  <c:v>4.3549783333343689E-4</c:v>
                </c:pt>
                <c:pt idx="8">
                  <c:v>2.7027549999975031E-4</c:v>
                </c:pt>
                <c:pt idx="9">
                  <c:v>-8.880658333300373E-5</c:v>
                </c:pt>
                <c:pt idx="10">
                  <c:v>-3.3768016666751999E-4</c:v>
                </c:pt>
                <c:pt idx="11">
                  <c:v>-2.6656866666546758E-4</c:v>
                </c:pt>
                <c:pt idx="12">
                  <c:v>-1.337870833345578E-4</c:v>
                </c:pt>
                <c:pt idx="13">
                  <c:v>-1.258964999995005E-4</c:v>
                </c:pt>
                <c:pt idx="14">
                  <c:v>-2.9232591666705782E-4</c:v>
                </c:pt>
                <c:pt idx="15">
                  <c:v>6.4027083333084711E-5</c:v>
                </c:pt>
                <c:pt idx="16">
                  <c:v>-4.8287391666801399E-4</c:v>
                </c:pt>
                <c:pt idx="17">
                  <c:v>3.3149983333302663E-4</c:v>
                </c:pt>
                <c:pt idx="18">
                  <c:v>-0.24323126833333419</c:v>
                </c:pt>
                <c:pt idx="19">
                  <c:v>-1.6837756288333321</c:v>
                </c:pt>
                <c:pt idx="20">
                  <c:v>-1.1238309227500001</c:v>
                </c:pt>
                <c:pt idx="21">
                  <c:v>-1.8215570340833329</c:v>
                </c:pt>
                <c:pt idx="22">
                  <c:v>-1.54253453625</c:v>
                </c:pt>
                <c:pt idx="23">
                  <c:v>-1.832783193</c:v>
                </c:pt>
                <c:pt idx="24">
                  <c:v>-1.8246968306666671</c:v>
                </c:pt>
                <c:pt idx="25">
                  <c:v>-1.6338773783333329</c:v>
                </c:pt>
                <c:pt idx="26">
                  <c:v>-1.79539905125</c:v>
                </c:pt>
                <c:pt idx="27">
                  <c:v>-1.513675288</c:v>
                </c:pt>
                <c:pt idx="28">
                  <c:v>-1.762529766583333</c:v>
                </c:pt>
                <c:pt idx="29">
                  <c:v>-1.463527191500001</c:v>
                </c:pt>
                <c:pt idx="30">
                  <c:v>-1.217562642583333</c:v>
                </c:pt>
                <c:pt idx="31">
                  <c:v>-1.189276575333335</c:v>
                </c:pt>
                <c:pt idx="32">
                  <c:v>-0.77286603583333213</c:v>
                </c:pt>
                <c:pt idx="33">
                  <c:v>-0.73068254558333301</c:v>
                </c:pt>
                <c:pt idx="34">
                  <c:v>-0.32609832958333251</c:v>
                </c:pt>
                <c:pt idx="35">
                  <c:v>-4.3914846583333E-2</c:v>
                </c:pt>
                <c:pt idx="36">
                  <c:v>2.6491583333254631E-4</c:v>
                </c:pt>
                <c:pt idx="37">
                  <c:v>-1.172037500000445E-4</c:v>
                </c:pt>
                <c:pt idx="38">
                  <c:v>-4.7746733333317581E-4</c:v>
                </c:pt>
                <c:pt idx="39">
                  <c:v>4.9969891666701294E-4</c:v>
                </c:pt>
                <c:pt idx="40">
                  <c:v>3.4397316666634481E-4</c:v>
                </c:pt>
                <c:pt idx="41">
                  <c:v>2.12000000000101E-4</c:v>
                </c:pt>
                <c:pt idx="42">
                  <c:v>6.8666666670047505E-5</c:v>
                </c:pt>
                <c:pt idx="43">
                  <c:v>-2.2266666666703741E-4</c:v>
                </c:pt>
                <c:pt idx="44">
                  <c:v>1.3631356666666701</c:v>
                </c:pt>
                <c:pt idx="45">
                  <c:v>0.75827966666666702</c:v>
                </c:pt>
                <c:pt idx="46">
                  <c:v>2.2277830000000001</c:v>
                </c:pt>
                <c:pt idx="47">
                  <c:v>0.21694833333333399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A7C-41CE-86FB-8720DE7EBF17}"/>
            </c:ext>
          </c:extLst>
        </c:ser>
        <c:ser>
          <c:idx val="26"/>
          <c:order val="26"/>
          <c:tx>
            <c:v>BES_TR8_four54_C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Net_kW!$AC$2:$AC$49</c:f>
              <c:numCache>
                <c:formatCode>#,##0.000</c:formatCode>
                <c:ptCount val="48"/>
                <c:pt idx="0">
                  <c:v>2.9200000000001452E-4</c:v>
                </c:pt>
                <c:pt idx="1">
                  <c:v>1.4933333333300161E-4</c:v>
                </c:pt>
                <c:pt idx="2">
                  <c:v>0</c:v>
                </c:pt>
                <c:pt idx="3">
                  <c:v>-8.2666666666980637E-5</c:v>
                </c:pt>
                <c:pt idx="4">
                  <c:v>3.0066666666700442E-4</c:v>
                </c:pt>
                <c:pt idx="5">
                  <c:v>4.666666666697239E-5</c:v>
                </c:pt>
                <c:pt idx="6">
                  <c:v>3.9466666666698741E-4</c:v>
                </c:pt>
                <c:pt idx="7">
                  <c:v>-2.1747013333366089E-4</c:v>
                </c:pt>
                <c:pt idx="8">
                  <c:v>2.7684079999978911E-4</c:v>
                </c:pt>
                <c:pt idx="9">
                  <c:v>-1.4355720000000521E-4</c:v>
                </c:pt>
                <c:pt idx="10">
                  <c:v>-3.4028826666798739E-4</c:v>
                </c:pt>
                <c:pt idx="11">
                  <c:v>-1.4597653333192631E-4</c:v>
                </c:pt>
                <c:pt idx="12">
                  <c:v>-1.8925933333480141E-4</c:v>
                </c:pt>
                <c:pt idx="13">
                  <c:v>-7.5834399999141766E-5</c:v>
                </c:pt>
                <c:pt idx="14">
                  <c:v>-1.83454799999927E-4</c:v>
                </c:pt>
                <c:pt idx="15">
                  <c:v>3.9057666666675322E-4</c:v>
                </c:pt>
                <c:pt idx="16">
                  <c:v>-2.1241867316000009</c:v>
                </c:pt>
                <c:pt idx="17">
                  <c:v>-2.3753689335999999</c:v>
                </c:pt>
                <c:pt idx="18">
                  <c:v>-2.6947603626666679</c:v>
                </c:pt>
                <c:pt idx="19">
                  <c:v>-2.2850234061333321</c:v>
                </c:pt>
                <c:pt idx="20">
                  <c:v>-1.029008943066668</c:v>
                </c:pt>
                <c:pt idx="21">
                  <c:v>-2.4553117878666662</c:v>
                </c:pt>
                <c:pt idx="22">
                  <c:v>-3.3263745913333338</c:v>
                </c:pt>
                <c:pt idx="23">
                  <c:v>-3.2435553754666668</c:v>
                </c:pt>
                <c:pt idx="24">
                  <c:v>-3.3150513290666681</c:v>
                </c:pt>
                <c:pt idx="25">
                  <c:v>-3.368321672</c:v>
                </c:pt>
                <c:pt idx="26">
                  <c:v>-3.154087482</c:v>
                </c:pt>
                <c:pt idx="27">
                  <c:v>-2.5686658608000008</c:v>
                </c:pt>
                <c:pt idx="28">
                  <c:v>-2.9903725598666671</c:v>
                </c:pt>
                <c:pt idx="29">
                  <c:v>-2.742312239733335</c:v>
                </c:pt>
                <c:pt idx="30">
                  <c:v>-2.5562808281333331</c:v>
                </c:pt>
                <c:pt idx="31">
                  <c:v>-2.2922665205333348</c:v>
                </c:pt>
                <c:pt idx="32">
                  <c:v>-2.0208827239999989</c:v>
                </c:pt>
                <c:pt idx="33">
                  <c:v>-1.7940712729333319</c:v>
                </c:pt>
                <c:pt idx="34">
                  <c:v>-1.2757703939999989</c:v>
                </c:pt>
                <c:pt idx="35">
                  <c:v>-1.1759496212</c:v>
                </c:pt>
                <c:pt idx="36">
                  <c:v>-0.79298293466666803</c:v>
                </c:pt>
                <c:pt idx="37">
                  <c:v>-0.24276502600000011</c:v>
                </c:pt>
                <c:pt idx="38">
                  <c:v>2.2191893333381449E-4</c:v>
                </c:pt>
                <c:pt idx="39">
                  <c:v>1.7238493333293639E-4</c:v>
                </c:pt>
                <c:pt idx="40">
                  <c:v>-1.9144293333273049E-4</c:v>
                </c:pt>
                <c:pt idx="41">
                  <c:v>-3.7999999999993589E-4</c:v>
                </c:pt>
                <c:pt idx="42">
                  <c:v>-2.6633333333303533E-4</c:v>
                </c:pt>
                <c:pt idx="43">
                  <c:v>1.4900000000001021E-4</c:v>
                </c:pt>
                <c:pt idx="44">
                  <c:v>-1.4100000000000221E-4</c:v>
                </c:pt>
                <c:pt idx="45">
                  <c:v>-1.316666666659749E-4</c:v>
                </c:pt>
                <c:pt idx="46">
                  <c:v>3.9996666666608499E-4</c:v>
                </c:pt>
                <c:pt idx="47">
                  <c:v>-3.9666666666659378E-4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A7C-41CE-86FB-8720DE7EBF17}"/>
            </c:ext>
          </c:extLst>
        </c:ser>
        <c:ser>
          <c:idx val="27"/>
          <c:order val="27"/>
          <c:tx>
            <c:v>BES_TR8_four288_B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Net_kW!$AD$2:$AD$49</c:f>
              <c:numCache>
                <c:formatCode>#,##0.000</c:formatCode>
                <c:ptCount val="48"/>
                <c:pt idx="0">
                  <c:v>1.683333333329928E-4</c:v>
                </c:pt>
                <c:pt idx="1">
                  <c:v>-3.5966666666660541E-4</c:v>
                </c:pt>
                <c:pt idx="2">
                  <c:v>0</c:v>
                </c:pt>
                <c:pt idx="3">
                  <c:v>-1.913333333329881E-4</c:v>
                </c:pt>
                <c:pt idx="4">
                  <c:v>0</c:v>
                </c:pt>
                <c:pt idx="5">
                  <c:v>-1.043333333329982E-4</c:v>
                </c:pt>
                <c:pt idx="6">
                  <c:v>-8.6999999999975985E-5</c:v>
                </c:pt>
                <c:pt idx="7">
                  <c:v>2.2052986666673549E-4</c:v>
                </c:pt>
                <c:pt idx="8">
                  <c:v>4.7550746666677468E-4</c:v>
                </c:pt>
                <c:pt idx="9">
                  <c:v>2.5109466667005979E-5</c:v>
                </c:pt>
                <c:pt idx="10">
                  <c:v>-1.766216000010368E-4</c:v>
                </c:pt>
                <c:pt idx="11">
                  <c:v>1.2569013333496579E-4</c:v>
                </c:pt>
                <c:pt idx="12">
                  <c:v>-2.5859266666805603E-4</c:v>
                </c:pt>
                <c:pt idx="13">
                  <c:v>-8.78343999988207E-5</c:v>
                </c:pt>
                <c:pt idx="14">
                  <c:v>4.0545199999852948E-5</c:v>
                </c:pt>
                <c:pt idx="15">
                  <c:v>-3.034233333329972E-4</c:v>
                </c:pt>
                <c:pt idx="16">
                  <c:v>-1.6297180649333349</c:v>
                </c:pt>
                <c:pt idx="17">
                  <c:v>-2.4357762669333329</c:v>
                </c:pt>
                <c:pt idx="18">
                  <c:v>-2.6877070293333349</c:v>
                </c:pt>
                <c:pt idx="19">
                  <c:v>-2.2580764061333318</c:v>
                </c:pt>
                <c:pt idx="20">
                  <c:v>-2.2170026097333349</c:v>
                </c:pt>
                <c:pt idx="21">
                  <c:v>-2.7004691211999998</c:v>
                </c:pt>
                <c:pt idx="22">
                  <c:v>-1.982957924666668</c:v>
                </c:pt>
                <c:pt idx="23">
                  <c:v>-3.218656042133333</c:v>
                </c:pt>
                <c:pt idx="24">
                  <c:v>-3.2240883290666682</c:v>
                </c:pt>
                <c:pt idx="25">
                  <c:v>-3.3361500053333328</c:v>
                </c:pt>
                <c:pt idx="26">
                  <c:v>-3.2861584819999998</c:v>
                </c:pt>
                <c:pt idx="27">
                  <c:v>-3.0251789941333351</c:v>
                </c:pt>
                <c:pt idx="28">
                  <c:v>-2.9084372265333331</c:v>
                </c:pt>
                <c:pt idx="29">
                  <c:v>-2.8216075064000008</c:v>
                </c:pt>
                <c:pt idx="30">
                  <c:v>-2.6281284947999999</c:v>
                </c:pt>
                <c:pt idx="31">
                  <c:v>-2.265482853866668</c:v>
                </c:pt>
                <c:pt idx="32">
                  <c:v>-1.9930923906666651</c:v>
                </c:pt>
                <c:pt idx="33">
                  <c:v>-1.759575272933332</c:v>
                </c:pt>
                <c:pt idx="34">
                  <c:v>-1.2754490606666651</c:v>
                </c:pt>
                <c:pt idx="35">
                  <c:v>-0.90849095453333306</c:v>
                </c:pt>
                <c:pt idx="36">
                  <c:v>-0.50970193466666802</c:v>
                </c:pt>
                <c:pt idx="37">
                  <c:v>-0.42569072600000002</c:v>
                </c:pt>
                <c:pt idx="38">
                  <c:v>-8.3790081066666189E-2</c:v>
                </c:pt>
                <c:pt idx="39">
                  <c:v>-5.61599484E-2</c:v>
                </c:pt>
                <c:pt idx="40">
                  <c:v>-1.204429333336865E-4</c:v>
                </c:pt>
                <c:pt idx="41">
                  <c:v>1.6533333333330211E-4</c:v>
                </c:pt>
                <c:pt idx="42">
                  <c:v>4.0433333333300681E-4</c:v>
                </c:pt>
                <c:pt idx="43">
                  <c:v>-5.900000000003125E-5</c:v>
                </c:pt>
                <c:pt idx="44">
                  <c:v>1.7166666666669489E-4</c:v>
                </c:pt>
                <c:pt idx="45">
                  <c:v>-3.629999999999467E-4</c:v>
                </c:pt>
                <c:pt idx="46">
                  <c:v>0</c:v>
                </c:pt>
                <c:pt idx="47">
                  <c:v>-1.3833333333301831E-4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A7C-41CE-86FB-8720DE7EBF17}"/>
            </c:ext>
          </c:extLst>
        </c:ser>
        <c:ser>
          <c:idx val="28"/>
          <c:order val="28"/>
          <c:tx>
            <c:v>BES_TR8_four289_B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Net_kW!$AE$2:$AE$49</c:f>
              <c:numCache>
                <c:formatCode>#,##0.000</c:formatCode>
                <c:ptCount val="48"/>
                <c:pt idx="0">
                  <c:v>-2.8333333332963839E-5</c:v>
                </c:pt>
                <c:pt idx="1">
                  <c:v>-4.5133333333291498E-4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-4.4080346666666709E-4</c:v>
                </c:pt>
                <c:pt idx="8">
                  <c:v>2.6550746666679798E-4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1.420234666681397E-4</c:v>
                </c:pt>
                <c:pt idx="12">
                  <c:v>3.2500733333185039E-4</c:v>
                </c:pt>
                <c:pt idx="13">
                  <c:v>-4.9383440000197454E-4</c:v>
                </c:pt>
                <c:pt idx="14">
                  <c:v>4.0545199999852948E-5</c:v>
                </c:pt>
                <c:pt idx="15">
                  <c:v>8.6576666667115276E-5</c:v>
                </c:pt>
                <c:pt idx="16">
                  <c:v>-1.0022950649333351</c:v>
                </c:pt>
                <c:pt idx="17">
                  <c:v>-2.3101409336000001</c:v>
                </c:pt>
                <c:pt idx="18">
                  <c:v>-2.5420653626666678</c:v>
                </c:pt>
                <c:pt idx="19">
                  <c:v>-2.7398734061333321</c:v>
                </c:pt>
                <c:pt idx="20">
                  <c:v>-2.913498943066668</c:v>
                </c:pt>
                <c:pt idx="21">
                  <c:v>-3.2283051212</c:v>
                </c:pt>
                <c:pt idx="22">
                  <c:v>-3.3299779246666681</c:v>
                </c:pt>
                <c:pt idx="23">
                  <c:v>-3.3745667088000002</c:v>
                </c:pt>
                <c:pt idx="24">
                  <c:v>-3.3874813290666679</c:v>
                </c:pt>
                <c:pt idx="25">
                  <c:v>-3.3633216720000001</c:v>
                </c:pt>
                <c:pt idx="26">
                  <c:v>-3.2821584819999998</c:v>
                </c:pt>
                <c:pt idx="27">
                  <c:v>-3.158334327466668</c:v>
                </c:pt>
                <c:pt idx="28">
                  <c:v>-3.0105078931999998</c:v>
                </c:pt>
                <c:pt idx="29">
                  <c:v>-2.823190173066668</c:v>
                </c:pt>
                <c:pt idx="30">
                  <c:v>-2.6241284947999999</c:v>
                </c:pt>
                <c:pt idx="31">
                  <c:v>-2.3845838538666682</c:v>
                </c:pt>
                <c:pt idx="32">
                  <c:v>-2.1148000573333321</c:v>
                </c:pt>
                <c:pt idx="33">
                  <c:v>-1.617561272933332</c:v>
                </c:pt>
                <c:pt idx="34">
                  <c:v>-1.3127017273333319</c:v>
                </c:pt>
                <c:pt idx="35">
                  <c:v>-0.91265295453333306</c:v>
                </c:pt>
                <c:pt idx="36">
                  <c:v>-0.52118260133333494</c:v>
                </c:pt>
                <c:pt idx="37">
                  <c:v>-0.16446139266666701</c:v>
                </c:pt>
                <c:pt idx="38">
                  <c:v>-0.22225541440000021</c:v>
                </c:pt>
                <c:pt idx="39">
                  <c:v>-1.7661506666698251E-4</c:v>
                </c:pt>
                <c:pt idx="40">
                  <c:v>3.032237333333021E-4</c:v>
                </c:pt>
                <c:pt idx="41">
                  <c:v>8.4999999999890719E-5</c:v>
                </c:pt>
                <c:pt idx="42">
                  <c:v>2.8766666666701912E-4</c:v>
                </c:pt>
                <c:pt idx="43">
                  <c:v>-4.4033333333404201E-4</c:v>
                </c:pt>
                <c:pt idx="44">
                  <c:v>-4.5633333333305881E-4</c:v>
                </c:pt>
                <c:pt idx="45">
                  <c:v>3.7433333333392049E-4</c:v>
                </c:pt>
                <c:pt idx="46">
                  <c:v>2.8666666666699042E-4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A7C-41CE-86FB-8720DE7EBF17}"/>
            </c:ext>
          </c:extLst>
        </c:ser>
        <c:ser>
          <c:idx val="29"/>
          <c:order val="29"/>
          <c:tx>
            <c:v>BES_TR8_four292_C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Net_kW!$AF$2:$AF$49</c:f>
              <c:numCache>
                <c:formatCode>#,##0.000</c:formatCode>
                <c:ptCount val="48"/>
                <c:pt idx="0">
                  <c:v>-3.8000000000010248E-5</c:v>
                </c:pt>
                <c:pt idx="1">
                  <c:v>0</c:v>
                </c:pt>
                <c:pt idx="2">
                  <c:v>1.909999999999967E-4</c:v>
                </c:pt>
                <c:pt idx="3">
                  <c:v>-2.2900000000000001E-4</c:v>
                </c:pt>
                <c:pt idx="4">
                  <c:v>-1.4499999999999241E-4</c:v>
                </c:pt>
                <c:pt idx="5">
                  <c:v>1.06999999999996E-4</c:v>
                </c:pt>
                <c:pt idx="6">
                  <c:v>0</c:v>
                </c:pt>
                <c:pt idx="7">
                  <c:v>3.8139739999995542E-4</c:v>
                </c:pt>
                <c:pt idx="8">
                  <c:v>1.9463933334074038E-5</c:v>
                </c:pt>
                <c:pt idx="9">
                  <c:v>-3.2316789999999729E-4</c:v>
                </c:pt>
                <c:pt idx="10">
                  <c:v>-1.5021620000110761E-4</c:v>
                </c:pt>
                <c:pt idx="11">
                  <c:v>3.1651760000100948E-4</c:v>
                </c:pt>
                <c:pt idx="12">
                  <c:v>3.1305549999882659E-4</c:v>
                </c:pt>
                <c:pt idx="13">
                  <c:v>-3.0587579999896702E-4</c:v>
                </c:pt>
                <c:pt idx="14">
                  <c:v>4.9240890000001869E-4</c:v>
                </c:pt>
                <c:pt idx="15">
                  <c:v>3.0432500000010521E-5</c:v>
                </c:pt>
                <c:pt idx="16">
                  <c:v>4.9512999988898798E-6</c:v>
                </c:pt>
                <c:pt idx="17">
                  <c:v>-1.2277782001999999</c:v>
                </c:pt>
                <c:pt idx="18">
                  <c:v>-1.765494188666668</c:v>
                </c:pt>
                <c:pt idx="19">
                  <c:v>-1.885738554599999</c:v>
                </c:pt>
                <c:pt idx="20">
                  <c:v>-2.3050067073000009</c:v>
                </c:pt>
                <c:pt idx="21">
                  <c:v>-2.1880488409000001</c:v>
                </c:pt>
                <c:pt idx="22">
                  <c:v>-2.3475351101666679</c:v>
                </c:pt>
                <c:pt idx="23">
                  <c:v>-2.4366940316000001</c:v>
                </c:pt>
                <c:pt idx="24">
                  <c:v>-2.5007769968000009</c:v>
                </c:pt>
                <c:pt idx="25">
                  <c:v>-2.1494332539999998</c:v>
                </c:pt>
                <c:pt idx="26">
                  <c:v>-2.4528688614999998</c:v>
                </c:pt>
                <c:pt idx="27">
                  <c:v>-2.2045807456000008</c:v>
                </c:pt>
                <c:pt idx="28">
                  <c:v>-2.2335889198999999</c:v>
                </c:pt>
                <c:pt idx="29">
                  <c:v>-2.0464746298000009</c:v>
                </c:pt>
                <c:pt idx="30">
                  <c:v>-1.8505523711</c:v>
                </c:pt>
                <c:pt idx="31">
                  <c:v>-1.7796878904000011</c:v>
                </c:pt>
                <c:pt idx="32">
                  <c:v>-1.5773500429999989</c:v>
                </c:pt>
                <c:pt idx="33">
                  <c:v>-1.162091454699999</c:v>
                </c:pt>
                <c:pt idx="34">
                  <c:v>-1.104408795499999</c:v>
                </c:pt>
                <c:pt idx="35">
                  <c:v>-0.73735521590000008</c:v>
                </c:pt>
                <c:pt idx="36">
                  <c:v>-0.60333270100000114</c:v>
                </c:pt>
                <c:pt idx="37">
                  <c:v>-0.42306304449999999</c:v>
                </c:pt>
                <c:pt idx="38">
                  <c:v>-5.5278560799999932E-2</c:v>
                </c:pt>
                <c:pt idx="39">
                  <c:v>-3.0369961300000001E-2</c:v>
                </c:pt>
                <c:pt idx="40">
                  <c:v>1.7716779999999571E-4</c:v>
                </c:pt>
                <c:pt idx="41">
                  <c:v>-6.1000000000005487E-5</c:v>
                </c:pt>
                <c:pt idx="42">
                  <c:v>2.2999999999967491E-5</c:v>
                </c:pt>
                <c:pt idx="43">
                  <c:v>0</c:v>
                </c:pt>
                <c:pt idx="44">
                  <c:v>-3.8000000000010248E-5</c:v>
                </c:pt>
                <c:pt idx="45">
                  <c:v>0</c:v>
                </c:pt>
                <c:pt idx="46">
                  <c:v>-6.1000000000005487E-5</c:v>
                </c:pt>
                <c:pt idx="47">
                  <c:v>2.2999999999967491E-5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A7C-41CE-86FB-8720DE7EBF17}"/>
            </c:ext>
          </c:extLst>
        </c:ser>
        <c:ser>
          <c:idx val="30"/>
          <c:order val="30"/>
          <c:tx>
            <c:v>BES_TR8_four301_C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Net_kW!$AG$2:$AG$49</c:f>
              <c:numCache>
                <c:formatCode>#,##0.000</c:formatCode>
                <c:ptCount val="48"/>
                <c:pt idx="0">
                  <c:v>2.8833333333300182E-4</c:v>
                </c:pt>
                <c:pt idx="1">
                  <c:v>1.16000000000005E-4</c:v>
                </c:pt>
                <c:pt idx="2">
                  <c:v>0</c:v>
                </c:pt>
                <c:pt idx="3">
                  <c:v>-1.073333333330151E-4</c:v>
                </c:pt>
                <c:pt idx="4">
                  <c:v>0</c:v>
                </c:pt>
                <c:pt idx="5">
                  <c:v>0</c:v>
                </c:pt>
                <c:pt idx="6">
                  <c:v>-6.6666666670156527E-6</c:v>
                </c:pt>
                <c:pt idx="7">
                  <c:v>-2.5116883333335671E-4</c:v>
                </c:pt>
                <c:pt idx="8">
                  <c:v>-8.4057833333255061E-5</c:v>
                </c:pt>
                <c:pt idx="9">
                  <c:v>-4.6580658333301989E-4</c:v>
                </c:pt>
                <c:pt idx="10">
                  <c:v>-3.3768016666751999E-4</c:v>
                </c:pt>
                <c:pt idx="11">
                  <c:v>3.3876466666749039E-4</c:v>
                </c:pt>
                <c:pt idx="12">
                  <c:v>-5.645375000057351E-5</c:v>
                </c:pt>
                <c:pt idx="13">
                  <c:v>4.1177016666738009E-4</c:v>
                </c:pt>
                <c:pt idx="14">
                  <c:v>-4.7965925000004178E-4</c:v>
                </c:pt>
                <c:pt idx="15">
                  <c:v>-4.0030624999976011E-4</c:v>
                </c:pt>
                <c:pt idx="16">
                  <c:v>-2.0587391666815341E-4</c:v>
                </c:pt>
                <c:pt idx="17">
                  <c:v>9.9166500000080759E-5</c:v>
                </c:pt>
                <c:pt idx="18">
                  <c:v>-0.9311269350000011</c:v>
                </c:pt>
                <c:pt idx="19">
                  <c:v>-1.4232112954999989</c:v>
                </c:pt>
                <c:pt idx="20">
                  <c:v>-1.4570165894166669</c:v>
                </c:pt>
                <c:pt idx="21">
                  <c:v>-1.8535200340833331</c:v>
                </c:pt>
                <c:pt idx="22">
                  <c:v>-1.793701202916667</c:v>
                </c:pt>
                <c:pt idx="23">
                  <c:v>-1.5697405263333339</c:v>
                </c:pt>
                <c:pt idx="24">
                  <c:v>-1.855048830666667</c:v>
                </c:pt>
                <c:pt idx="25">
                  <c:v>-1.810812045</c:v>
                </c:pt>
                <c:pt idx="26">
                  <c:v>-1.7586043845833339</c:v>
                </c:pt>
                <c:pt idx="27">
                  <c:v>-1.750144954666667</c:v>
                </c:pt>
                <c:pt idx="28">
                  <c:v>-1.1208327665833331</c:v>
                </c:pt>
                <c:pt idx="29">
                  <c:v>-0.6952031914999981</c:v>
                </c:pt>
                <c:pt idx="30">
                  <c:v>-1.6134553092499999</c:v>
                </c:pt>
                <c:pt idx="31">
                  <c:v>-1.2998472420000009</c:v>
                </c:pt>
                <c:pt idx="32">
                  <c:v>-1.1059950358333319</c:v>
                </c:pt>
                <c:pt idx="33">
                  <c:v>-0.84806187891666596</c:v>
                </c:pt>
                <c:pt idx="34">
                  <c:v>-0.74456432958333241</c:v>
                </c:pt>
                <c:pt idx="35">
                  <c:v>-0.70521851324999996</c:v>
                </c:pt>
                <c:pt idx="36">
                  <c:v>-5.97374175000015E-2</c:v>
                </c:pt>
                <c:pt idx="37">
                  <c:v>-2.105287041666604E-2</c:v>
                </c:pt>
                <c:pt idx="38">
                  <c:v>-2.2046733333319629E-4</c:v>
                </c:pt>
                <c:pt idx="39">
                  <c:v>-2.063441666699806E-5</c:v>
                </c:pt>
                <c:pt idx="40">
                  <c:v>-1.0669349999670171E-4</c:v>
                </c:pt>
                <c:pt idx="41">
                  <c:v>-4.0999999999957737E-5</c:v>
                </c:pt>
                <c:pt idx="42">
                  <c:v>1.173333333340798E-4</c:v>
                </c:pt>
                <c:pt idx="43">
                  <c:v>-3.4466666667021251E-4</c:v>
                </c:pt>
                <c:pt idx="44">
                  <c:v>4.1333333333004603E-5</c:v>
                </c:pt>
                <c:pt idx="45">
                  <c:v>0.50363899999999995</c:v>
                </c:pt>
                <c:pt idx="46">
                  <c:v>6.0999999999999999E-2</c:v>
                </c:pt>
                <c:pt idx="47">
                  <c:v>0.16529533333333299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A7C-41CE-86FB-8720DE7EBF17}"/>
            </c:ext>
          </c:extLst>
        </c:ser>
        <c:ser>
          <c:idx val="31"/>
          <c:order val="31"/>
          <c:tx>
            <c:v>BES_TR8_four326_A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Net_kW!$AH$2:$AH$49</c:f>
              <c:numCache>
                <c:formatCode>#,##0.000</c:formatCode>
                <c:ptCount val="48"/>
                <c:pt idx="0">
                  <c:v>3.7799999999998951E-4</c:v>
                </c:pt>
                <c:pt idx="1">
                  <c:v>3.0900000000000372E-4</c:v>
                </c:pt>
                <c:pt idx="2">
                  <c:v>2.6999999999999252E-4</c:v>
                </c:pt>
                <c:pt idx="3">
                  <c:v>-1.4333333333299561E-4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-4.4080346666667408E-4</c:v>
                </c:pt>
                <c:pt idx="8">
                  <c:v>2.6550746666679712E-4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2.5883226666811859E-4</c:v>
                </c:pt>
                <c:pt idx="14">
                  <c:v>4.0545199999852948E-5</c:v>
                </c:pt>
                <c:pt idx="15">
                  <c:v>3.7391000000019941E-4</c:v>
                </c:pt>
                <c:pt idx="16">
                  <c:v>-2.156329398266668</c:v>
                </c:pt>
                <c:pt idx="17">
                  <c:v>-2.4906509336</c:v>
                </c:pt>
                <c:pt idx="18">
                  <c:v>-2.7225753626666682</c:v>
                </c:pt>
                <c:pt idx="19">
                  <c:v>-2.920383406133332</c:v>
                </c:pt>
                <c:pt idx="20">
                  <c:v>-3.090008943066668</c:v>
                </c:pt>
                <c:pt idx="21">
                  <c:v>-3.0663204545333329</c:v>
                </c:pt>
                <c:pt idx="22">
                  <c:v>-2.6267295913333348</c:v>
                </c:pt>
                <c:pt idx="23">
                  <c:v>-2.8599867088000002</c:v>
                </c:pt>
                <c:pt idx="24">
                  <c:v>-3.2818146624000009</c:v>
                </c:pt>
                <c:pt idx="25">
                  <c:v>-3.3503216720000002</c:v>
                </c:pt>
                <c:pt idx="26">
                  <c:v>-3.2908333153333329</c:v>
                </c:pt>
                <c:pt idx="27">
                  <c:v>-3.1673343274666679</c:v>
                </c:pt>
                <c:pt idx="28">
                  <c:v>-2.8840278931999999</c:v>
                </c:pt>
                <c:pt idx="29">
                  <c:v>-1.6037948397333379</c:v>
                </c:pt>
                <c:pt idx="30">
                  <c:v>-2.5887479947999998</c:v>
                </c:pt>
                <c:pt idx="31">
                  <c:v>-2.363697187200001</c:v>
                </c:pt>
                <c:pt idx="32">
                  <c:v>-2.123800057333332</c:v>
                </c:pt>
                <c:pt idx="33">
                  <c:v>-1.7980712729333319</c:v>
                </c:pt>
                <c:pt idx="34">
                  <c:v>-1.4932117273333321</c:v>
                </c:pt>
                <c:pt idx="35">
                  <c:v>-1.1799496212</c:v>
                </c:pt>
                <c:pt idx="36">
                  <c:v>-0.87691693466666798</c:v>
                </c:pt>
                <c:pt idx="37">
                  <c:v>-0.55649072600000005</c:v>
                </c:pt>
                <c:pt idx="38">
                  <c:v>-0.2457440810666662</c:v>
                </c:pt>
                <c:pt idx="39">
                  <c:v>-2.7561506666701208E-4</c:v>
                </c:pt>
                <c:pt idx="40">
                  <c:v>-4.3044293333366351E-4</c:v>
                </c:pt>
                <c:pt idx="41">
                  <c:v>7.7666666666975637E-5</c:v>
                </c:pt>
                <c:pt idx="42">
                  <c:v>1.6999999999989249E-5</c:v>
                </c:pt>
                <c:pt idx="43">
                  <c:v>-1.7800000000001151E-4</c:v>
                </c:pt>
                <c:pt idx="44">
                  <c:v>3.0766666666703912E-4</c:v>
                </c:pt>
                <c:pt idx="45">
                  <c:v>-3.0200000000002453E-4</c:v>
                </c:pt>
                <c:pt idx="46">
                  <c:v>-4.009999999999847E-4</c:v>
                </c:pt>
                <c:pt idx="47">
                  <c:v>-2.666666666595319E-5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A7C-41CE-86FB-8720DE7EBF17}"/>
            </c:ext>
          </c:extLst>
        </c:ser>
        <c:ser>
          <c:idx val="32"/>
          <c:order val="32"/>
          <c:tx>
            <c:v>BES_TR8_four352_A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Net_kW!$AI$2:$AI$49</c:f>
              <c:numCache>
                <c:formatCode>#,##0.000</c:formatCode>
                <c:ptCount val="48"/>
                <c:pt idx="0">
                  <c:v>-6.4000000000001556E-5</c:v>
                </c:pt>
                <c:pt idx="1">
                  <c:v>-4.48000000000004E-4</c:v>
                </c:pt>
                <c:pt idx="2">
                  <c:v>-8.5333333333006967E-5</c:v>
                </c:pt>
                <c:pt idx="3">
                  <c:v>-2.5600000000000622E-4</c:v>
                </c:pt>
                <c:pt idx="4">
                  <c:v>-3.3933333333296961E-4</c:v>
                </c:pt>
                <c:pt idx="5">
                  <c:v>0</c:v>
                </c:pt>
                <c:pt idx="6">
                  <c:v>9.733333333300509E-5</c:v>
                </c:pt>
                <c:pt idx="7">
                  <c:v>4.3363030000005692E-4</c:v>
                </c:pt>
                <c:pt idx="8">
                  <c:v>3.4631903333343442E-4</c:v>
                </c:pt>
                <c:pt idx="9">
                  <c:v>-3.5552921666698317E-4</c:v>
                </c:pt>
                <c:pt idx="10">
                  <c:v>-4.1608556666750118E-4</c:v>
                </c:pt>
                <c:pt idx="11">
                  <c:v>-2.5062799998476489E-5</c:v>
                </c:pt>
                <c:pt idx="12">
                  <c:v>3.7323141666545379E-4</c:v>
                </c:pt>
                <c:pt idx="13">
                  <c:v>-1.5918843333162511E-4</c:v>
                </c:pt>
                <c:pt idx="14">
                  <c:v>4.491437166669332E-4</c:v>
                </c:pt>
                <c:pt idx="15">
                  <c:v>5.4837916666938817E-5</c:v>
                </c:pt>
                <c:pt idx="16">
                  <c:v>-0.21483669015000209</c:v>
                </c:pt>
                <c:pt idx="17">
                  <c:v>-1.946156900233333</c:v>
                </c:pt>
                <c:pt idx="18">
                  <c:v>-2.2251161090000018</c:v>
                </c:pt>
                <c:pt idx="19">
                  <c:v>-2.3963008136999981</c:v>
                </c:pt>
                <c:pt idx="20">
                  <c:v>-2.4913758251833338</c:v>
                </c:pt>
                <c:pt idx="21">
                  <c:v>-1.6155826477166699</c:v>
                </c:pt>
                <c:pt idx="22">
                  <c:v>-2.2609133507500001</c:v>
                </c:pt>
                <c:pt idx="23">
                  <c:v>-2.7861470368666672</c:v>
                </c:pt>
                <c:pt idx="24">
                  <c:v>-2.750303162933335</c:v>
                </c:pt>
                <c:pt idx="25">
                  <c:v>-2.7402464630000001</c:v>
                </c:pt>
                <c:pt idx="26">
                  <c:v>-2.8796060050833332</c:v>
                </c:pt>
                <c:pt idx="27">
                  <c:v>-2.6635668698666679</c:v>
                </c:pt>
                <c:pt idx="28">
                  <c:v>-2.2699114065499999</c:v>
                </c:pt>
                <c:pt idx="29">
                  <c:v>-2.0354394014333348</c:v>
                </c:pt>
                <c:pt idx="30">
                  <c:v>-2.0726254329499998</c:v>
                </c:pt>
                <c:pt idx="31">
                  <c:v>-2.028435538800001</c:v>
                </c:pt>
                <c:pt idx="32">
                  <c:v>-1.472969383499998</c:v>
                </c:pt>
                <c:pt idx="33">
                  <c:v>-1.2545952971499981</c:v>
                </c:pt>
                <c:pt idx="34">
                  <c:v>-1.043545794749998</c:v>
                </c:pt>
                <c:pt idx="35">
                  <c:v>-0.77092425188333302</c:v>
                </c:pt>
                <c:pt idx="36">
                  <c:v>-0.58140965116666754</c:v>
                </c:pt>
                <c:pt idx="37">
                  <c:v>-8.5757551916666952E-2</c:v>
                </c:pt>
                <c:pt idx="38">
                  <c:v>1.116790666674805E-4</c:v>
                </c:pt>
                <c:pt idx="39">
                  <c:v>-1.162151666705968E-5</c:v>
                </c:pt>
                <c:pt idx="40">
                  <c:v>2.6957666666577169E-6</c:v>
                </c:pt>
                <c:pt idx="41">
                  <c:v>2.4866666666700787E-4</c:v>
                </c:pt>
                <c:pt idx="42">
                  <c:v>3.0399999999999872E-4</c:v>
                </c:pt>
                <c:pt idx="43">
                  <c:v>-4.399999999999959E-4</c:v>
                </c:pt>
                <c:pt idx="44">
                  <c:v>-2.5900000000000922E-4</c:v>
                </c:pt>
                <c:pt idx="45">
                  <c:v>1.6033333333287381E-4</c:v>
                </c:pt>
                <c:pt idx="46">
                  <c:v>7.4000000000004618E-5</c:v>
                </c:pt>
                <c:pt idx="47">
                  <c:v>4.156666666669806E-4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A7C-41CE-86FB-8720DE7EBF17}"/>
            </c:ext>
          </c:extLst>
        </c:ser>
        <c:ser>
          <c:idx val="33"/>
          <c:order val="33"/>
          <c:tx>
            <c:v>BES_TR8_four358_C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Net_kW!$AJ$2:$AJ$49</c:f>
              <c:numCache>
                <c:formatCode>#,##0.000</c:formatCode>
                <c:ptCount val="48"/>
                <c:pt idx="0">
                  <c:v>2.6000000000001022E-4</c:v>
                </c:pt>
                <c:pt idx="1">
                  <c:v>0</c:v>
                </c:pt>
                <c:pt idx="2">
                  <c:v>-4.4000000000000977E-4</c:v>
                </c:pt>
                <c:pt idx="3">
                  <c:v>-3.999999999999837E-4</c:v>
                </c:pt>
                <c:pt idx="4">
                  <c:v>0</c:v>
                </c:pt>
                <c:pt idx="5">
                  <c:v>-3.999999999999837E-4</c:v>
                </c:pt>
                <c:pt idx="6">
                  <c:v>-4.4000000000000977E-4</c:v>
                </c:pt>
                <c:pt idx="7">
                  <c:v>-1.070303333333689E-5</c:v>
                </c:pt>
                <c:pt idx="8">
                  <c:v>-3.5768096666655152E-4</c:v>
                </c:pt>
                <c:pt idx="9">
                  <c:v>4.9813744999999132E-4</c:v>
                </c:pt>
                <c:pt idx="10">
                  <c:v>-1.927522333344811E-4</c:v>
                </c:pt>
                <c:pt idx="11">
                  <c:v>-4.4572946666543428E-4</c:v>
                </c:pt>
                <c:pt idx="12">
                  <c:v>7.1231416665429315E-5</c:v>
                </c:pt>
                <c:pt idx="13">
                  <c:v>3.3647823333504689E-4</c:v>
                </c:pt>
                <c:pt idx="14">
                  <c:v>8.5477050000282162E-5</c:v>
                </c:pt>
                <c:pt idx="15">
                  <c:v>4.9017124999983785E-4</c:v>
                </c:pt>
                <c:pt idx="16">
                  <c:v>-1.0599490234833351</c:v>
                </c:pt>
                <c:pt idx="17">
                  <c:v>-0.85818770023333024</c:v>
                </c:pt>
                <c:pt idx="18">
                  <c:v>-1.6195701090000021</c:v>
                </c:pt>
                <c:pt idx="19">
                  <c:v>-1.3042988136999949</c:v>
                </c:pt>
                <c:pt idx="20">
                  <c:v>-2.5564678251833342</c:v>
                </c:pt>
                <c:pt idx="21">
                  <c:v>-2.8218919810499998</c:v>
                </c:pt>
                <c:pt idx="22">
                  <c:v>-2.755255684083334</c:v>
                </c:pt>
                <c:pt idx="23">
                  <c:v>-2.9343108702</c:v>
                </c:pt>
                <c:pt idx="24">
                  <c:v>-2.9533911629333351</c:v>
                </c:pt>
                <c:pt idx="25">
                  <c:v>-2.7766514629999999</c:v>
                </c:pt>
                <c:pt idx="26">
                  <c:v>-2.8690136717499999</c:v>
                </c:pt>
                <c:pt idx="27">
                  <c:v>-2.716499203200001</c:v>
                </c:pt>
                <c:pt idx="28">
                  <c:v>-2.5689201398833328</c:v>
                </c:pt>
                <c:pt idx="29">
                  <c:v>-2.459786001433335</c:v>
                </c:pt>
                <c:pt idx="30">
                  <c:v>-2.1244314329499998</c:v>
                </c:pt>
                <c:pt idx="31">
                  <c:v>-2.0487268387999999</c:v>
                </c:pt>
                <c:pt idx="32">
                  <c:v>-1.799919216833332</c:v>
                </c:pt>
                <c:pt idx="33">
                  <c:v>-1.336154297149998</c:v>
                </c:pt>
                <c:pt idx="34">
                  <c:v>-1.2837622614166651</c:v>
                </c:pt>
                <c:pt idx="35">
                  <c:v>-0.77356591855000012</c:v>
                </c:pt>
                <c:pt idx="36">
                  <c:v>-0.41443031783333439</c:v>
                </c:pt>
                <c:pt idx="37">
                  <c:v>-0.34172688524999989</c:v>
                </c:pt>
                <c:pt idx="38">
                  <c:v>-0.13750398759999949</c:v>
                </c:pt>
                <c:pt idx="39">
                  <c:v>-2.8828818333301309E-4</c:v>
                </c:pt>
                <c:pt idx="40">
                  <c:v>-1.3797089999934009E-4</c:v>
                </c:pt>
                <c:pt idx="41">
                  <c:v>3.2600000000004847E-4</c:v>
                </c:pt>
                <c:pt idx="42">
                  <c:v>2.9999999999974492E-5</c:v>
                </c:pt>
                <c:pt idx="43">
                  <c:v>-4.376666666670026E-4</c:v>
                </c:pt>
                <c:pt idx="44">
                  <c:v>3.7399999999998551E-4</c:v>
                </c:pt>
                <c:pt idx="45">
                  <c:v>-2.6099999999995571E-4</c:v>
                </c:pt>
                <c:pt idx="46">
                  <c:v>-2.8333333333302457E-4</c:v>
                </c:pt>
                <c:pt idx="47">
                  <c:v>2.9833333333301182E-4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EA7C-41CE-86FB-8720DE7EBF17}"/>
            </c:ext>
          </c:extLst>
        </c:ser>
        <c:ser>
          <c:idx val="34"/>
          <c:order val="34"/>
          <c:tx>
            <c:v>BES_TR8_four368_C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Net_kW!$AK$2:$AK$49</c:f>
              <c:numCache>
                <c:formatCode>#,##0.000</c:formatCode>
                <c:ptCount val="48"/>
                <c:pt idx="0">
                  <c:v>-2.296666666669889E-4</c:v>
                </c:pt>
                <c:pt idx="1">
                  <c:v>-2.296666666669889E-4</c:v>
                </c:pt>
                <c:pt idx="2">
                  <c:v>2.293333333329983E-4</c:v>
                </c:pt>
                <c:pt idx="3">
                  <c:v>4.6933333333300242E-4</c:v>
                </c:pt>
                <c:pt idx="4">
                  <c:v>7.1333333333006843E-5</c:v>
                </c:pt>
                <c:pt idx="5">
                  <c:v>0</c:v>
                </c:pt>
                <c:pt idx="6">
                  <c:v>-1.326666666666976E-4</c:v>
                </c:pt>
                <c:pt idx="7">
                  <c:v>9.2730733332990756E-5</c:v>
                </c:pt>
                <c:pt idx="8">
                  <c:v>-3.0086939999990001E-4</c:v>
                </c:pt>
                <c:pt idx="9">
                  <c:v>2.4316543333301879E-4</c:v>
                </c:pt>
                <c:pt idx="10">
                  <c:v>-1.3788286666766009E-4</c:v>
                </c:pt>
                <c:pt idx="11">
                  <c:v>-3.9348239999892343E-4</c:v>
                </c:pt>
                <c:pt idx="12">
                  <c:v>3.1638883333229279E-4</c:v>
                </c:pt>
                <c:pt idx="13">
                  <c:v>2.3479086666799989E-4</c:v>
                </c:pt>
                <c:pt idx="14">
                  <c:v>-4.6959109999988868E-4</c:v>
                </c:pt>
                <c:pt idx="15">
                  <c:v>3.0432500000010521E-5</c:v>
                </c:pt>
                <c:pt idx="16">
                  <c:v>-5.9706382033333887E-2</c:v>
                </c:pt>
                <c:pt idx="17">
                  <c:v>-1.8544882002</c:v>
                </c:pt>
                <c:pt idx="18">
                  <c:v>-1.7058127886666681</c:v>
                </c:pt>
                <c:pt idx="19">
                  <c:v>-1.7596628879333329</c:v>
                </c:pt>
                <c:pt idx="20">
                  <c:v>-1.6940733739666669</c:v>
                </c:pt>
                <c:pt idx="21">
                  <c:v>-0.92076784089999975</c:v>
                </c:pt>
                <c:pt idx="22">
                  <c:v>-2.0721067768333339</c:v>
                </c:pt>
                <c:pt idx="23">
                  <c:v>-2.469187098266667</c:v>
                </c:pt>
                <c:pt idx="24">
                  <c:v>-2.0007523301333339</c:v>
                </c:pt>
                <c:pt idx="25">
                  <c:v>-1.1701905206666701</c:v>
                </c:pt>
                <c:pt idx="26">
                  <c:v>-1.6060288615</c:v>
                </c:pt>
                <c:pt idx="27">
                  <c:v>-2.3057760789333339</c:v>
                </c:pt>
                <c:pt idx="28">
                  <c:v>-1.562289253233333</c:v>
                </c:pt>
                <c:pt idx="29">
                  <c:v>-1.364925629800001</c:v>
                </c:pt>
                <c:pt idx="30">
                  <c:v>-1.4234130377666669</c:v>
                </c:pt>
                <c:pt idx="31">
                  <c:v>-1.707218557066668</c:v>
                </c:pt>
                <c:pt idx="32">
                  <c:v>-1.1841747096666659</c:v>
                </c:pt>
                <c:pt idx="33">
                  <c:v>-0.26861712136666899</c:v>
                </c:pt>
                <c:pt idx="34">
                  <c:v>-0.39384712883333212</c:v>
                </c:pt>
                <c:pt idx="35">
                  <c:v>-0.7219265492333331</c:v>
                </c:pt>
                <c:pt idx="36">
                  <c:v>-8.8453367666668004E-2</c:v>
                </c:pt>
                <c:pt idx="37">
                  <c:v>-0.27575434450000003</c:v>
                </c:pt>
                <c:pt idx="38">
                  <c:v>3.9250586666705889E-4</c:v>
                </c:pt>
                <c:pt idx="39">
                  <c:v>-1.3929463333295369E-4</c:v>
                </c:pt>
                <c:pt idx="40">
                  <c:v>-4.4749886666983762E-4</c:v>
                </c:pt>
                <c:pt idx="41">
                  <c:v>-3.9599999999995189E-4</c:v>
                </c:pt>
                <c:pt idx="42">
                  <c:v>-2.5133333333293711E-4</c:v>
                </c:pt>
                <c:pt idx="43">
                  <c:v>-3.0033333333001622E-4</c:v>
                </c:pt>
                <c:pt idx="44">
                  <c:v>3.8266666666703092E-4</c:v>
                </c:pt>
                <c:pt idx="45">
                  <c:v>-4.8599999999998639E-4</c:v>
                </c:pt>
                <c:pt idx="46">
                  <c:v>0.31225233333333302</c:v>
                </c:pt>
                <c:pt idx="47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A7C-41CE-86FB-8720DE7EBF17}"/>
            </c:ext>
          </c:extLst>
        </c:ser>
        <c:ser>
          <c:idx val="35"/>
          <c:order val="35"/>
          <c:tx>
            <c:v>BES_TR8_four372_C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Net_kW!$AL$2:$AL$49</c:f>
              <c:numCache>
                <c:formatCode>#,##0.000</c:formatCode>
                <c:ptCount val="48"/>
                <c:pt idx="0">
                  <c:v>-6.9388939039072284E-18</c:v>
                </c:pt>
                <c:pt idx="1">
                  <c:v>-6.9388939039072284E-18</c:v>
                </c:pt>
                <c:pt idx="2">
                  <c:v>1.3733333333329489E-4</c:v>
                </c:pt>
                <c:pt idx="3">
                  <c:v>3.7333333333300361E-4</c:v>
                </c:pt>
                <c:pt idx="4">
                  <c:v>-6.9388939039072284E-18</c:v>
                </c:pt>
                <c:pt idx="5">
                  <c:v>2.7466666666670081E-4</c:v>
                </c:pt>
                <c:pt idx="6">
                  <c:v>2.3599999999998619E-4</c:v>
                </c:pt>
                <c:pt idx="7">
                  <c:v>-1.505021666666703E-4</c:v>
                </c:pt>
                <c:pt idx="8">
                  <c:v>4.2660883333373029E-4</c:v>
                </c:pt>
                <c:pt idx="9">
                  <c:v>-3.584732500000049E-4</c:v>
                </c:pt>
                <c:pt idx="10">
                  <c:v>-3.3768016666751999E-4</c:v>
                </c:pt>
                <c:pt idx="11">
                  <c:v>-1.5056866666546259E-4</c:v>
                </c:pt>
                <c:pt idx="12">
                  <c:v>5.0879583332497091E-5</c:v>
                </c:pt>
                <c:pt idx="13">
                  <c:v>4.1177016666760208E-4</c:v>
                </c:pt>
                <c:pt idx="14">
                  <c:v>3.4400741666673618E-4</c:v>
                </c:pt>
                <c:pt idx="15">
                  <c:v>-1.7810624999992089E-4</c:v>
                </c:pt>
                <c:pt idx="16">
                  <c:v>-5.0273916668119867E-5</c:v>
                </c:pt>
                <c:pt idx="17">
                  <c:v>-1.581668333300798E-4</c:v>
                </c:pt>
                <c:pt idx="18">
                  <c:v>-0.31315926833333507</c:v>
                </c:pt>
                <c:pt idx="19">
                  <c:v>-1.4572896288333319</c:v>
                </c:pt>
                <c:pt idx="20">
                  <c:v>-1.781464256083334</c:v>
                </c:pt>
                <c:pt idx="21">
                  <c:v>-2.0070657007500001</c:v>
                </c:pt>
                <c:pt idx="22">
                  <c:v>-1.9041005362500001</c:v>
                </c:pt>
                <c:pt idx="23">
                  <c:v>-2.0984791930000002</c:v>
                </c:pt>
                <c:pt idx="24">
                  <c:v>-2.1065508306666669</c:v>
                </c:pt>
                <c:pt idx="25">
                  <c:v>-1.709413311666667</c:v>
                </c:pt>
                <c:pt idx="26">
                  <c:v>-1.97948325125</c:v>
                </c:pt>
                <c:pt idx="27">
                  <c:v>-1.9050439546666671</c:v>
                </c:pt>
                <c:pt idx="28">
                  <c:v>-1.6512704332499999</c:v>
                </c:pt>
                <c:pt idx="29">
                  <c:v>-1.5901195248333351</c:v>
                </c:pt>
                <c:pt idx="30">
                  <c:v>-1.3307089759166659</c:v>
                </c:pt>
                <c:pt idx="31">
                  <c:v>-1.028636908666668</c:v>
                </c:pt>
                <c:pt idx="32">
                  <c:v>-1.123746702499999</c:v>
                </c:pt>
                <c:pt idx="33">
                  <c:v>-0.36808921225000002</c:v>
                </c:pt>
                <c:pt idx="34">
                  <c:v>-1.3199625000259729E-4</c:v>
                </c:pt>
                <c:pt idx="35">
                  <c:v>4.5215341666599018E-4</c:v>
                </c:pt>
                <c:pt idx="36">
                  <c:v>-4.7841750000045079E-4</c:v>
                </c:pt>
                <c:pt idx="37">
                  <c:v>-4.9453708333302426E-4</c:v>
                </c:pt>
                <c:pt idx="38">
                  <c:v>-2.2646733333320229E-4</c:v>
                </c:pt>
                <c:pt idx="39">
                  <c:v>4.1103224999999849E-4</c:v>
                </c:pt>
                <c:pt idx="40">
                  <c:v>-2.4469349999972628E-4</c:v>
                </c:pt>
                <c:pt idx="41">
                  <c:v>2.2133333333007599E-4</c:v>
                </c:pt>
                <c:pt idx="42">
                  <c:v>-1.3499999999999621E-4</c:v>
                </c:pt>
                <c:pt idx="43">
                  <c:v>2.1000000000048761E-5</c:v>
                </c:pt>
                <c:pt idx="44">
                  <c:v>3.7433333333303231E-4</c:v>
                </c:pt>
                <c:pt idx="45">
                  <c:v>0.72793233333333407</c:v>
                </c:pt>
                <c:pt idx="46">
                  <c:v>0.18880466666666701</c:v>
                </c:pt>
                <c:pt idx="47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EA7C-41CE-86FB-8720DE7EBF17}"/>
            </c:ext>
          </c:extLst>
        </c:ser>
        <c:ser>
          <c:idx val="36"/>
          <c:order val="36"/>
          <c:tx>
            <c:v>BES_TR8_four381_A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Net_kW!$AM$2:$AM$49</c:f>
              <c:numCache>
                <c:formatCode>#,##0.000</c:formatCode>
                <c:ptCount val="48"/>
                <c:pt idx="0">
                  <c:v>-1.7200000000000551E-4</c:v>
                </c:pt>
                <c:pt idx="1">
                  <c:v>-2.8733333333302857E-4</c:v>
                </c:pt>
                <c:pt idx="2">
                  <c:v>0</c:v>
                </c:pt>
                <c:pt idx="3">
                  <c:v>0</c:v>
                </c:pt>
                <c:pt idx="4">
                  <c:v>-8.0333333333015844E-5</c:v>
                </c:pt>
                <c:pt idx="5">
                  <c:v>-3.7900000000000428E-4</c:v>
                </c:pt>
                <c:pt idx="6">
                  <c:v>1.3333333333298561E-4</c:v>
                </c:pt>
                <c:pt idx="7">
                  <c:v>2.729315999996651E-4</c:v>
                </c:pt>
                <c:pt idx="8">
                  <c:v>-4.5324626666660289E-4</c:v>
                </c:pt>
                <c:pt idx="9">
                  <c:v>-3.001119333329999E-4</c:v>
                </c:pt>
                <c:pt idx="10">
                  <c:v>-1.1614413333401601E-4</c:v>
                </c:pt>
                <c:pt idx="11">
                  <c:v>3.5101173333407232E-4</c:v>
                </c:pt>
                <c:pt idx="12">
                  <c:v>2.6637033333293259E-4</c:v>
                </c:pt>
                <c:pt idx="13">
                  <c:v>1.644161333338445E-4</c:v>
                </c:pt>
                <c:pt idx="14">
                  <c:v>2.4893926666702543E-4</c:v>
                </c:pt>
                <c:pt idx="15">
                  <c:v>-1.044999999866292E-6</c:v>
                </c:pt>
                <c:pt idx="16">
                  <c:v>-4.3469913333404891E-4</c:v>
                </c:pt>
                <c:pt idx="17">
                  <c:v>-6.6800133329852907E-5</c:v>
                </c:pt>
                <c:pt idx="18">
                  <c:v>3.3965199999996809E-4</c:v>
                </c:pt>
                <c:pt idx="19">
                  <c:v>-3.7703639999886462E-4</c:v>
                </c:pt>
                <c:pt idx="20">
                  <c:v>-0.30427847153333398</c:v>
                </c:pt>
                <c:pt idx="21">
                  <c:v>-1.492185893933333</c:v>
                </c:pt>
                <c:pt idx="22">
                  <c:v>-1.297349962333334</c:v>
                </c:pt>
                <c:pt idx="23">
                  <c:v>-0.43192202106666988</c:v>
                </c:pt>
                <c:pt idx="24">
                  <c:v>-1.522040664533334</c:v>
                </c:pt>
                <c:pt idx="25">
                  <c:v>-1.346073502666667</c:v>
                </c:pt>
                <c:pt idx="26">
                  <c:v>-1.3101205743333331</c:v>
                </c:pt>
                <c:pt idx="27">
                  <c:v>-1.3225234970666671</c:v>
                </c:pt>
                <c:pt idx="28">
                  <c:v>-0.88427461326666601</c:v>
                </c:pt>
                <c:pt idx="29">
                  <c:v>-1.2568652865333341</c:v>
                </c:pt>
                <c:pt idx="30">
                  <c:v>-1.1734592474000001</c:v>
                </c:pt>
                <c:pt idx="31">
                  <c:v>-0.95754026026666694</c:v>
                </c:pt>
                <c:pt idx="32">
                  <c:v>-0.91496236199999892</c:v>
                </c:pt>
                <c:pt idx="33">
                  <c:v>-0.65709796979999902</c:v>
                </c:pt>
                <c:pt idx="34">
                  <c:v>-0.61067586366666593</c:v>
                </c:pt>
                <c:pt idx="35">
                  <c:v>-0.45498814393333298</c:v>
                </c:pt>
                <c:pt idx="36">
                  <c:v>-0.17484113400000101</c:v>
                </c:pt>
                <c:pt idx="37">
                  <c:v>-3.2102966666699978E-4</c:v>
                </c:pt>
                <c:pt idx="38">
                  <c:v>-3.6537386666658789E-4</c:v>
                </c:pt>
                <c:pt idx="39">
                  <c:v>-3.4397419999998569E-4</c:v>
                </c:pt>
                <c:pt idx="40">
                  <c:v>2.2344519999673021E-4</c:v>
                </c:pt>
                <c:pt idx="41">
                  <c:v>1.8266666666699741E-4</c:v>
                </c:pt>
                <c:pt idx="42">
                  <c:v>-3.4633333333300431E-4</c:v>
                </c:pt>
                <c:pt idx="43">
                  <c:v>-4.2800000000009503E-4</c:v>
                </c:pt>
                <c:pt idx="44">
                  <c:v>4.4866666666698579E-4</c:v>
                </c:pt>
                <c:pt idx="45">
                  <c:v>-1.5166666666699411E-4</c:v>
                </c:pt>
                <c:pt idx="46">
                  <c:v>4.399999999999959E-4</c:v>
                </c:pt>
                <c:pt idx="47">
                  <c:v>-2.3333333329933481E-6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A7C-41CE-86FB-8720DE7EBF17}"/>
            </c:ext>
          </c:extLst>
        </c:ser>
        <c:ser>
          <c:idx val="37"/>
          <c:order val="37"/>
          <c:tx>
            <c:v>BES_TR8_four385_A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Net_kW!$AN$2:$AN$49</c:f>
              <c:numCache>
                <c:formatCode>#,##0.000</c:formatCode>
                <c:ptCount val="48"/>
                <c:pt idx="0">
                  <c:v>7.2000000000002617E-5</c:v>
                </c:pt>
                <c:pt idx="1">
                  <c:v>0</c:v>
                </c:pt>
                <c:pt idx="2">
                  <c:v>-3.6500000000000421E-4</c:v>
                </c:pt>
                <c:pt idx="3">
                  <c:v>-4.3699999999990968E-4</c:v>
                </c:pt>
                <c:pt idx="4">
                  <c:v>4.8966666666670072E-4</c:v>
                </c:pt>
                <c:pt idx="5">
                  <c:v>-1.960666666669941E-4</c:v>
                </c:pt>
                <c:pt idx="6">
                  <c:v>-3.6500000000000421E-4</c:v>
                </c:pt>
                <c:pt idx="7">
                  <c:v>-4.4080346666666709E-4</c:v>
                </c:pt>
                <c:pt idx="8">
                  <c:v>4.6350746666679038E-4</c:v>
                </c:pt>
                <c:pt idx="9">
                  <c:v>4.2644279999998203E-4</c:v>
                </c:pt>
                <c:pt idx="10">
                  <c:v>-2.8628826666793339E-4</c:v>
                </c:pt>
                <c:pt idx="11">
                  <c:v>2.8602346666795059E-4</c:v>
                </c:pt>
                <c:pt idx="12">
                  <c:v>8.1407333331728893E-5</c:v>
                </c:pt>
                <c:pt idx="13">
                  <c:v>4.5683226666803911E-4</c:v>
                </c:pt>
                <c:pt idx="14">
                  <c:v>4.0545199999852948E-5</c:v>
                </c:pt>
                <c:pt idx="15">
                  <c:v>-0.25899108999999992</c:v>
                </c:pt>
                <c:pt idx="16">
                  <c:v>-2.1647663982666678</c:v>
                </c:pt>
                <c:pt idx="17">
                  <c:v>-2.4596149336000002</c:v>
                </c:pt>
                <c:pt idx="18">
                  <c:v>-2.5864133626666681</c:v>
                </c:pt>
                <c:pt idx="19">
                  <c:v>-2.9193834061333321</c:v>
                </c:pt>
                <c:pt idx="20">
                  <c:v>-2.980373943066668</c:v>
                </c:pt>
                <c:pt idx="21">
                  <c:v>-3.1837421211999999</c:v>
                </c:pt>
                <c:pt idx="22">
                  <c:v>-3.2779059246666682</c:v>
                </c:pt>
                <c:pt idx="23">
                  <c:v>-3.2774407087999999</c:v>
                </c:pt>
                <c:pt idx="24">
                  <c:v>-3.3954813290666679</c:v>
                </c:pt>
                <c:pt idx="25">
                  <c:v>-3.288722672</c:v>
                </c:pt>
                <c:pt idx="26">
                  <c:v>-3.2075594820000002</c:v>
                </c:pt>
                <c:pt idx="27">
                  <c:v>-3.166334327466668</c:v>
                </c:pt>
                <c:pt idx="28">
                  <c:v>-2.9884718931999998</c:v>
                </c:pt>
                <c:pt idx="29">
                  <c:v>-2.6960281730666682</c:v>
                </c:pt>
                <c:pt idx="30">
                  <c:v>-2.6321284947999999</c:v>
                </c:pt>
                <c:pt idx="31">
                  <c:v>-2.242403853866668</c:v>
                </c:pt>
                <c:pt idx="32">
                  <c:v>-2.1077820573333321</c:v>
                </c:pt>
                <c:pt idx="33">
                  <c:v>-1.797071272933332</c:v>
                </c:pt>
                <c:pt idx="34">
                  <c:v>-1.454666727333332</c:v>
                </c:pt>
                <c:pt idx="35">
                  <c:v>-1.0512966211999999</c:v>
                </c:pt>
                <c:pt idx="36">
                  <c:v>-0.87591693466666798</c:v>
                </c:pt>
                <c:pt idx="37">
                  <c:v>-0.583750726</c:v>
                </c:pt>
                <c:pt idx="38">
                  <c:v>-0.32132074773333319</c:v>
                </c:pt>
                <c:pt idx="39">
                  <c:v>3.8051599999991408E-5</c:v>
                </c:pt>
                <c:pt idx="40">
                  <c:v>2.3622373333332181E-4</c:v>
                </c:pt>
                <c:pt idx="41">
                  <c:v>2.9599999999999071E-4</c:v>
                </c:pt>
                <c:pt idx="42">
                  <c:v>-3.6983333333298618E-4</c:v>
                </c:pt>
                <c:pt idx="43">
                  <c:v>-2.5433333333302333E-4</c:v>
                </c:pt>
                <c:pt idx="44">
                  <c:v>3.956666666669606E-4</c:v>
                </c:pt>
                <c:pt idx="45">
                  <c:v>2.4566666666697712E-4</c:v>
                </c:pt>
                <c:pt idx="46">
                  <c:v>2.6666666666697042E-4</c:v>
                </c:pt>
                <c:pt idx="47">
                  <c:v>9.666666667018653E-6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EA7C-41CE-86FB-8720DE7EBF17}"/>
            </c:ext>
          </c:extLst>
        </c:ser>
        <c:ser>
          <c:idx val="38"/>
          <c:order val="38"/>
          <c:tx>
            <c:v>BES_TR8_four423_C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Net_kW!$AO$2:$AO$49</c:f>
              <c:numCache>
                <c:formatCode>#,##0.000</c:formatCode>
                <c:ptCount val="48"/>
                <c:pt idx="0">
                  <c:v>1.983333333329951E-4</c:v>
                </c:pt>
                <c:pt idx="1">
                  <c:v>3.1666666666985137E-5</c:v>
                </c:pt>
                <c:pt idx="2">
                  <c:v>-3.4533333333330168E-4</c:v>
                </c:pt>
                <c:pt idx="3">
                  <c:v>7.4000000000018495E-5</c:v>
                </c:pt>
                <c:pt idx="4">
                  <c:v>7.0000000000070006E-6</c:v>
                </c:pt>
                <c:pt idx="5">
                  <c:v>-3.3833333333299631E-4</c:v>
                </c:pt>
                <c:pt idx="6">
                  <c:v>3.0133333333298712E-4</c:v>
                </c:pt>
                <c:pt idx="7">
                  <c:v>4.5119653333333681E-4</c:v>
                </c:pt>
                <c:pt idx="8">
                  <c:v>-4.6049253333321771E-4</c:v>
                </c:pt>
                <c:pt idx="9">
                  <c:v>-3.0589053333299199E-4</c:v>
                </c:pt>
                <c:pt idx="10">
                  <c:v>4.4704506666498611E-4</c:v>
                </c:pt>
                <c:pt idx="11">
                  <c:v>2.863568000009975E-4</c:v>
                </c:pt>
                <c:pt idx="12">
                  <c:v>4.3140733333180142E-4</c:v>
                </c:pt>
                <c:pt idx="13">
                  <c:v>1.5083226666812169E-4</c:v>
                </c:pt>
                <c:pt idx="14">
                  <c:v>3.0621186666679462E-4</c:v>
                </c:pt>
                <c:pt idx="15">
                  <c:v>-4.9089999999862848E-5</c:v>
                </c:pt>
                <c:pt idx="16">
                  <c:v>-1.273329398266668</c:v>
                </c:pt>
                <c:pt idx="17">
                  <c:v>-2.1291079335999998</c:v>
                </c:pt>
                <c:pt idx="18">
                  <c:v>-2.3937196960000011</c:v>
                </c:pt>
                <c:pt idx="19">
                  <c:v>-2.0150557061333312</c:v>
                </c:pt>
                <c:pt idx="20">
                  <c:v>-2.892000243066668</c:v>
                </c:pt>
                <c:pt idx="21">
                  <c:v>-2.6351431212</c:v>
                </c:pt>
                <c:pt idx="22">
                  <c:v>-1.9729445913333381</c:v>
                </c:pt>
                <c:pt idx="23">
                  <c:v>-0.91852730879999989</c:v>
                </c:pt>
                <c:pt idx="24">
                  <c:v>-2.9841843290666681</c:v>
                </c:pt>
                <c:pt idx="25">
                  <c:v>-3.2652443386666672</c:v>
                </c:pt>
                <c:pt idx="26">
                  <c:v>-3.2102664820000002</c:v>
                </c:pt>
                <c:pt idx="27">
                  <c:v>-3.0032286608000009</c:v>
                </c:pt>
                <c:pt idx="28">
                  <c:v>-2.7584782265333332</c:v>
                </c:pt>
                <c:pt idx="29">
                  <c:v>-1.4123076730666679</c:v>
                </c:pt>
                <c:pt idx="30">
                  <c:v>-2.4162624948000002</c:v>
                </c:pt>
                <c:pt idx="31">
                  <c:v>-2.2089331872000009</c:v>
                </c:pt>
                <c:pt idx="32">
                  <c:v>-1.2457903906666661</c:v>
                </c:pt>
                <c:pt idx="33">
                  <c:v>-1.3641359395999979</c:v>
                </c:pt>
                <c:pt idx="34">
                  <c:v>-1.1893560606666651</c:v>
                </c:pt>
                <c:pt idx="35">
                  <c:v>-0.98302862120000012</c:v>
                </c:pt>
                <c:pt idx="36">
                  <c:v>-0.73092493466666797</c:v>
                </c:pt>
                <c:pt idx="37">
                  <c:v>-0.38859705933333311</c:v>
                </c:pt>
                <c:pt idx="38">
                  <c:v>-0.24289574773333319</c:v>
                </c:pt>
                <c:pt idx="39">
                  <c:v>-2.7628173333293932E-4</c:v>
                </c:pt>
                <c:pt idx="40">
                  <c:v>-4.3844293333361589E-4</c:v>
                </c:pt>
                <c:pt idx="41">
                  <c:v>1.9199999999997E-4</c:v>
                </c:pt>
                <c:pt idx="42">
                  <c:v>-2.8800000000001052E-4</c:v>
                </c:pt>
                <c:pt idx="43">
                  <c:v>-4.0666666666699941E-4</c:v>
                </c:pt>
                <c:pt idx="44">
                  <c:v>-3.4533333333330168E-4</c:v>
                </c:pt>
                <c:pt idx="45">
                  <c:v>4.7600000000003201E-4</c:v>
                </c:pt>
                <c:pt idx="46">
                  <c:v>-2.8233333333302363E-4</c:v>
                </c:pt>
                <c:pt idx="47">
                  <c:v>-1.7999999999997182E-5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A7C-41CE-86FB-8720DE7EBF17}"/>
            </c:ext>
          </c:extLst>
        </c:ser>
        <c:ser>
          <c:idx val="39"/>
          <c:order val="39"/>
          <c:tx>
            <c:v>BES_TR8_four437_A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Net_kW!$AP$2:$AP$49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-1.070303333333689E-5</c:v>
                </c:pt>
                <c:pt idx="8">
                  <c:v>4.8231903333343691E-4</c:v>
                </c:pt>
                <c:pt idx="9">
                  <c:v>4.9813745000001908E-4</c:v>
                </c:pt>
                <c:pt idx="10">
                  <c:v>3.7758109999853911E-4</c:v>
                </c:pt>
                <c:pt idx="11">
                  <c:v>-1.257294666654474E-4</c:v>
                </c:pt>
                <c:pt idx="12">
                  <c:v>7.1231416665429315E-5</c:v>
                </c:pt>
                <c:pt idx="13">
                  <c:v>-2.3521766665091089E-5</c:v>
                </c:pt>
                <c:pt idx="14">
                  <c:v>2.8547705000026008E-4</c:v>
                </c:pt>
                <c:pt idx="15">
                  <c:v>-0.25579782875000001</c:v>
                </c:pt>
                <c:pt idx="16">
                  <c:v>-1.9352882234833351</c:v>
                </c:pt>
                <c:pt idx="17">
                  <c:v>-2.1335462335666668</c:v>
                </c:pt>
                <c:pt idx="18">
                  <c:v>-2.2203747756666679</c:v>
                </c:pt>
                <c:pt idx="19">
                  <c:v>-2.5495854803666651</c:v>
                </c:pt>
                <c:pt idx="20">
                  <c:v>-2.701507825183334</c:v>
                </c:pt>
                <c:pt idx="21">
                  <c:v>-2.8268919810500002</c:v>
                </c:pt>
                <c:pt idx="22">
                  <c:v>-2.9158556840833341</c:v>
                </c:pt>
                <c:pt idx="23">
                  <c:v>-2.9548708702000002</c:v>
                </c:pt>
                <c:pt idx="24">
                  <c:v>-2.9661711629333349</c:v>
                </c:pt>
                <c:pt idx="25">
                  <c:v>-2.9450314629999998</c:v>
                </c:pt>
                <c:pt idx="26">
                  <c:v>-2.8740136717500002</c:v>
                </c:pt>
                <c:pt idx="27">
                  <c:v>-2.7656675365333352</c:v>
                </c:pt>
                <c:pt idx="28">
                  <c:v>-2.6363194065500002</c:v>
                </c:pt>
                <c:pt idx="29">
                  <c:v>-2.472416401433335</c:v>
                </c:pt>
                <c:pt idx="30">
                  <c:v>-2.2982374329500002</c:v>
                </c:pt>
                <c:pt idx="31">
                  <c:v>-1.118718205466664</c:v>
                </c:pt>
                <c:pt idx="32">
                  <c:v>-1.152595716833331</c:v>
                </c:pt>
                <c:pt idx="33">
                  <c:v>-1.4347333638166651</c:v>
                </c:pt>
                <c:pt idx="34">
                  <c:v>-1.2031999280833321</c:v>
                </c:pt>
                <c:pt idx="35">
                  <c:v>-0.97848798521666669</c:v>
                </c:pt>
                <c:pt idx="36">
                  <c:v>-0.64050231783333444</c:v>
                </c:pt>
                <c:pt idx="37">
                  <c:v>-0.30661688525000003</c:v>
                </c:pt>
                <c:pt idx="38">
                  <c:v>-4.2260654266666531E-2</c:v>
                </c:pt>
                <c:pt idx="39">
                  <c:v>-1.7828818333304189E-4</c:v>
                </c:pt>
                <c:pt idx="40">
                  <c:v>-2.9330423333334341E-4</c:v>
                </c:pt>
                <c:pt idx="41">
                  <c:v>0</c:v>
                </c:pt>
                <c:pt idx="42">
                  <c:v>-2.4866666666700787E-4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EA7C-41CE-86FB-8720DE7EBF17}"/>
            </c:ext>
          </c:extLst>
        </c:ser>
        <c:ser>
          <c:idx val="40"/>
          <c:order val="40"/>
          <c:tx>
            <c:v>BES_TR8_four446_B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Net_kW!$AQ$2:$AQ$49</c:f>
              <c:numCache>
                <c:formatCode>#,##0.000</c:formatCode>
                <c:ptCount val="48"/>
                <c:pt idx="0">
                  <c:v>-1.899999999999957E-4</c:v>
                </c:pt>
                <c:pt idx="1">
                  <c:v>0</c:v>
                </c:pt>
                <c:pt idx="2">
                  <c:v>3.8666666666699318E-4</c:v>
                </c:pt>
                <c:pt idx="3">
                  <c:v>4.2333333333330342E-4</c:v>
                </c:pt>
                <c:pt idx="4">
                  <c:v>1.1666666666669551E-4</c:v>
                </c:pt>
                <c:pt idx="5">
                  <c:v>-3.0666666666669118E-4</c:v>
                </c:pt>
                <c:pt idx="6">
                  <c:v>0</c:v>
                </c:pt>
                <c:pt idx="7">
                  <c:v>-2.0070303333333259E-4</c:v>
                </c:pt>
                <c:pt idx="8">
                  <c:v>4.8231903333343512E-4</c:v>
                </c:pt>
                <c:pt idx="9">
                  <c:v>4.9813745000001908E-4</c:v>
                </c:pt>
                <c:pt idx="10">
                  <c:v>1.372477666655714E-4</c:v>
                </c:pt>
                <c:pt idx="11">
                  <c:v>-1.257294666654474E-4</c:v>
                </c:pt>
                <c:pt idx="12">
                  <c:v>-1.187685833347052E-4</c:v>
                </c:pt>
                <c:pt idx="13">
                  <c:v>-2.3521766665091089E-5</c:v>
                </c:pt>
                <c:pt idx="14">
                  <c:v>2.8547705000003809E-4</c:v>
                </c:pt>
                <c:pt idx="15">
                  <c:v>1.2171250000081461E-5</c:v>
                </c:pt>
                <c:pt idx="16">
                  <c:v>-1.7492882234833349</c:v>
                </c:pt>
                <c:pt idx="17">
                  <c:v>-2.0288361002333328</c:v>
                </c:pt>
                <c:pt idx="18">
                  <c:v>-2.2393258423333351</c:v>
                </c:pt>
                <c:pt idx="19">
                  <c:v>-2.4641504803666652</c:v>
                </c:pt>
                <c:pt idx="20">
                  <c:v>-2.686466225183334</c:v>
                </c:pt>
                <c:pt idx="21">
                  <c:v>-2.555688914383333</c:v>
                </c:pt>
                <c:pt idx="22">
                  <c:v>-2.8960354174166669</c:v>
                </c:pt>
                <c:pt idx="23">
                  <c:v>-2.8460608702000001</c:v>
                </c:pt>
                <c:pt idx="24">
                  <c:v>-2.1447011629333348</c:v>
                </c:pt>
                <c:pt idx="25">
                  <c:v>-2.8701564629999998</c:v>
                </c:pt>
                <c:pt idx="26">
                  <c:v>-2.618047338416666</c:v>
                </c:pt>
                <c:pt idx="27">
                  <c:v>-2.3593588698666679</c:v>
                </c:pt>
                <c:pt idx="28">
                  <c:v>-3.3640654999989028E-4</c:v>
                </c:pt>
                <c:pt idx="29">
                  <c:v>-0.71765073476666796</c:v>
                </c:pt>
                <c:pt idx="30">
                  <c:v>-8.6044432950000083E-2</c:v>
                </c:pt>
                <c:pt idx="31">
                  <c:v>-1.8341058721333341</c:v>
                </c:pt>
                <c:pt idx="32">
                  <c:v>-1.689046383499998</c:v>
                </c:pt>
                <c:pt idx="33">
                  <c:v>-1.4256723638166651</c:v>
                </c:pt>
                <c:pt idx="34">
                  <c:v>-1.123062928083332</c:v>
                </c:pt>
                <c:pt idx="35">
                  <c:v>-0.83109591855000009</c:v>
                </c:pt>
                <c:pt idx="36">
                  <c:v>-0.67442251783333451</c:v>
                </c:pt>
                <c:pt idx="37">
                  <c:v>-0.16142788525000001</c:v>
                </c:pt>
                <c:pt idx="38">
                  <c:v>-0.1622586542666665</c:v>
                </c:pt>
                <c:pt idx="39">
                  <c:v>-6.8288183332987362E-5</c:v>
                </c:pt>
                <c:pt idx="40">
                  <c:v>-4.0497089999924629E-4</c:v>
                </c:pt>
                <c:pt idx="41">
                  <c:v>-2.966666666701645E-4</c:v>
                </c:pt>
                <c:pt idx="42">
                  <c:v>-4.7766666666704261E-4</c:v>
                </c:pt>
                <c:pt idx="43">
                  <c:v>8.5000000000001741E-5</c:v>
                </c:pt>
                <c:pt idx="44">
                  <c:v>-4.1666666666995138E-5</c:v>
                </c:pt>
                <c:pt idx="45">
                  <c:v>-2.0199999999992449E-4</c:v>
                </c:pt>
                <c:pt idx="46">
                  <c:v>-2.00000000000089E-4</c:v>
                </c:pt>
                <c:pt idx="47">
                  <c:v>-8.9333333332941578E-5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A7C-41CE-86FB-8720DE7EBF17}"/>
            </c:ext>
          </c:extLst>
        </c:ser>
        <c:ser>
          <c:idx val="41"/>
          <c:order val="41"/>
          <c:tx>
            <c:v>BES_TR8_four466_C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Net_kW!$AR$2:$AR$49</c:f>
              <c:numCache>
                <c:formatCode>#,##0.000</c:formatCode>
                <c:ptCount val="48"/>
                <c:pt idx="0">
                  <c:v>4.7516666666670197E-2</c:v>
                </c:pt>
                <c:pt idx="1">
                  <c:v>5.5E-2</c:v>
                </c:pt>
                <c:pt idx="2">
                  <c:v>5.5E-2</c:v>
                </c:pt>
                <c:pt idx="3">
                  <c:v>5.5E-2</c:v>
                </c:pt>
                <c:pt idx="4">
                  <c:v>5.5E-2</c:v>
                </c:pt>
                <c:pt idx="5">
                  <c:v>5.5E-2</c:v>
                </c:pt>
                <c:pt idx="6">
                  <c:v>5.5E-2</c:v>
                </c:pt>
                <c:pt idx="7">
                  <c:v>5.155919653333333E-2</c:v>
                </c:pt>
                <c:pt idx="8">
                  <c:v>5.2655074666667981E-3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2.5302346666788988E-4</c:v>
                </c:pt>
                <c:pt idx="12">
                  <c:v>4.5140733333193239E-4</c:v>
                </c:pt>
                <c:pt idx="13">
                  <c:v>4.8832266668075157E-5</c:v>
                </c:pt>
                <c:pt idx="14">
                  <c:v>4.0545199999852948E-5</c:v>
                </c:pt>
                <c:pt idx="15">
                  <c:v>3.7391000000019941E-4</c:v>
                </c:pt>
                <c:pt idx="16">
                  <c:v>-0.76987106493333513</c:v>
                </c:pt>
                <c:pt idx="17">
                  <c:v>-2.3226709336</c:v>
                </c:pt>
                <c:pt idx="18">
                  <c:v>-2.3779586960000012</c:v>
                </c:pt>
                <c:pt idx="19">
                  <c:v>-2.2146367394666648</c:v>
                </c:pt>
                <c:pt idx="20">
                  <c:v>-2.6454672764000011</c:v>
                </c:pt>
                <c:pt idx="21">
                  <c:v>-1.09683978786667</c:v>
                </c:pt>
                <c:pt idx="22">
                  <c:v>-0.73594459133333778</c:v>
                </c:pt>
                <c:pt idx="23">
                  <c:v>-2.7065400421333341</c:v>
                </c:pt>
                <c:pt idx="24">
                  <c:v>-3.3874813290666679</c:v>
                </c:pt>
                <c:pt idx="25">
                  <c:v>-3.3633216720000001</c:v>
                </c:pt>
                <c:pt idx="26">
                  <c:v>-3.2821584819999998</c:v>
                </c:pt>
                <c:pt idx="27">
                  <c:v>-3.158334327466668</c:v>
                </c:pt>
                <c:pt idx="28">
                  <c:v>-3.0105078931999998</c:v>
                </c:pt>
                <c:pt idx="29">
                  <c:v>-2.823190173066668</c:v>
                </c:pt>
                <c:pt idx="30">
                  <c:v>-2.6241284947999999</c:v>
                </c:pt>
                <c:pt idx="31">
                  <c:v>-2.3845838538666682</c:v>
                </c:pt>
                <c:pt idx="32">
                  <c:v>-2.1148000573333321</c:v>
                </c:pt>
                <c:pt idx="33">
                  <c:v>-1.789071272933332</c:v>
                </c:pt>
                <c:pt idx="34">
                  <c:v>-1.484211727333332</c:v>
                </c:pt>
                <c:pt idx="35">
                  <c:v>-1.1709496211999999</c:v>
                </c:pt>
                <c:pt idx="36">
                  <c:v>-0.86791693466666797</c:v>
                </c:pt>
                <c:pt idx="37">
                  <c:v>-0.57575072599999999</c:v>
                </c:pt>
                <c:pt idx="38">
                  <c:v>-0.31332074773333318</c:v>
                </c:pt>
                <c:pt idx="39">
                  <c:v>-5.2159948400000003E-2</c:v>
                </c:pt>
                <c:pt idx="40">
                  <c:v>2.362237333333253E-4</c:v>
                </c:pt>
                <c:pt idx="41">
                  <c:v>0</c:v>
                </c:pt>
                <c:pt idx="42">
                  <c:v>0</c:v>
                </c:pt>
                <c:pt idx="43">
                  <c:v>-4.0000000000001151E-4</c:v>
                </c:pt>
                <c:pt idx="44">
                  <c:v>0</c:v>
                </c:pt>
                <c:pt idx="45">
                  <c:v>4.9133333333301055E-4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EA7C-41CE-86FB-8720DE7EBF17}"/>
            </c:ext>
          </c:extLst>
        </c:ser>
        <c:ser>
          <c:idx val="42"/>
          <c:order val="42"/>
          <c:tx>
            <c:v>BES_TR8_four467_C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Net_kW!$AS$2:$AS$49</c:f>
              <c:numCache>
                <c:formatCode>#,##0.000</c:formatCode>
                <c:ptCount val="48"/>
                <c:pt idx="0">
                  <c:v>1.4133333333339601E-4</c:v>
                </c:pt>
                <c:pt idx="1">
                  <c:v>4.2666666666700548E-4</c:v>
                </c:pt>
                <c:pt idx="2">
                  <c:v>0</c:v>
                </c:pt>
                <c:pt idx="3">
                  <c:v>2.8266666666698642E-4</c:v>
                </c:pt>
                <c:pt idx="4">
                  <c:v>2.8533333333340127E-4</c:v>
                </c:pt>
                <c:pt idx="5">
                  <c:v>-2.1599999999991071E-4</c:v>
                </c:pt>
                <c:pt idx="6">
                  <c:v>-2.16000000000105E-4</c:v>
                </c:pt>
                <c:pt idx="7">
                  <c:v>-4.4080346666666709E-4</c:v>
                </c:pt>
                <c:pt idx="8">
                  <c:v>-1.6649253333320119E-4</c:v>
                </c:pt>
                <c:pt idx="9">
                  <c:v>4.2644279999998203E-4</c:v>
                </c:pt>
                <c:pt idx="10">
                  <c:v>-3.402882666680429E-4</c:v>
                </c:pt>
                <c:pt idx="11">
                  <c:v>1.420234666681397E-4</c:v>
                </c:pt>
                <c:pt idx="12">
                  <c:v>-3.5059266666803701E-4</c:v>
                </c:pt>
                <c:pt idx="13">
                  <c:v>2.5883226666811859E-4</c:v>
                </c:pt>
                <c:pt idx="14">
                  <c:v>-6.7959454800000207E-2</c:v>
                </c:pt>
                <c:pt idx="15">
                  <c:v>-1.7772440899999999</c:v>
                </c:pt>
                <c:pt idx="16">
                  <c:v>-1.482316731600001</c:v>
                </c:pt>
                <c:pt idx="17">
                  <c:v>-2.3950829335999999</c:v>
                </c:pt>
                <c:pt idx="18">
                  <c:v>-2.0355753626666679</c:v>
                </c:pt>
                <c:pt idx="19">
                  <c:v>-3.178383406133332</c:v>
                </c:pt>
                <c:pt idx="20">
                  <c:v>-2.9321189430666679</c:v>
                </c:pt>
                <c:pt idx="21">
                  <c:v>-2.791660454533333</c:v>
                </c:pt>
                <c:pt idx="22">
                  <c:v>-3.7489779246666681</c:v>
                </c:pt>
                <c:pt idx="23">
                  <c:v>-3.3715667088000001</c:v>
                </c:pt>
                <c:pt idx="24">
                  <c:v>-3.3844813290666682</c:v>
                </c:pt>
                <c:pt idx="25">
                  <c:v>-3.2563836720000001</c:v>
                </c:pt>
                <c:pt idx="26">
                  <c:v>-2.8327884820000002</c:v>
                </c:pt>
                <c:pt idx="27">
                  <c:v>-2.902423994133335</c:v>
                </c:pt>
                <c:pt idx="28">
                  <c:v>-2.8109508931999998</c:v>
                </c:pt>
                <c:pt idx="29">
                  <c:v>-3.4613359730666682</c:v>
                </c:pt>
                <c:pt idx="30">
                  <c:v>-2.8682094947999999</c:v>
                </c:pt>
                <c:pt idx="31">
                  <c:v>-1.254165853866668</c:v>
                </c:pt>
                <c:pt idx="32">
                  <c:v>-1.590922057333332</c:v>
                </c:pt>
                <c:pt idx="33">
                  <c:v>-2.1666439600001919E-2</c:v>
                </c:pt>
                <c:pt idx="34">
                  <c:v>-1.1074273273333319</c:v>
                </c:pt>
                <c:pt idx="35">
                  <c:v>-1.1679496212</c:v>
                </c:pt>
                <c:pt idx="36">
                  <c:v>-0.78134893466666799</c:v>
                </c:pt>
                <c:pt idx="37">
                  <c:v>-0.57275072599999999</c:v>
                </c:pt>
                <c:pt idx="38">
                  <c:v>-0.28246474773333308</c:v>
                </c:pt>
                <c:pt idx="39">
                  <c:v>3.1531826666700898E-4</c:v>
                </c:pt>
                <c:pt idx="40">
                  <c:v>-4.3044293333369121E-4</c:v>
                </c:pt>
                <c:pt idx="41">
                  <c:v>-3.6066666667022851E-4</c:v>
                </c:pt>
                <c:pt idx="42">
                  <c:v>-2.3433333333011669E-4</c:v>
                </c:pt>
                <c:pt idx="43">
                  <c:v>4.2000000000097508E-5</c:v>
                </c:pt>
                <c:pt idx="44">
                  <c:v>-3.6333333333304912E-4</c:v>
                </c:pt>
                <c:pt idx="45">
                  <c:v>3.5400000000002102E-4</c:v>
                </c:pt>
                <c:pt idx="46">
                  <c:v>-4.320000000000157E-4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EA7C-41CE-86FB-8720DE7EBF17}"/>
            </c:ext>
          </c:extLst>
        </c:ser>
        <c:ser>
          <c:idx val="43"/>
          <c:order val="43"/>
          <c:tx>
            <c:v>BES_TR8_four548_B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Net_kW!$AT$2:$AT$49</c:f>
              <c:numCache>
                <c:formatCode>#,##0.000</c:formatCode>
                <c:ptCount val="48"/>
                <c:pt idx="0">
                  <c:v>0</c:v>
                </c:pt>
                <c:pt idx="1">
                  <c:v>-2.7000000000002022E-4</c:v>
                </c:pt>
                <c:pt idx="2">
                  <c:v>-2.333333333330023E-4</c:v>
                </c:pt>
                <c:pt idx="3">
                  <c:v>-9.0000000000006741E-5</c:v>
                </c:pt>
                <c:pt idx="4">
                  <c:v>1.166666666700678E-5</c:v>
                </c:pt>
                <c:pt idx="5">
                  <c:v>2.116666666669986E-4</c:v>
                </c:pt>
                <c:pt idx="6">
                  <c:v>-1.9166666666700641E-4</c:v>
                </c:pt>
                <c:pt idx="7">
                  <c:v>3.3126493333365809E-4</c:v>
                </c:pt>
                <c:pt idx="8">
                  <c:v>4.8608706666639079E-4</c:v>
                </c:pt>
                <c:pt idx="9">
                  <c:v>-1.43445266667E-4</c:v>
                </c:pt>
                <c:pt idx="10">
                  <c:v>3.2985586666600669E-4</c:v>
                </c:pt>
                <c:pt idx="11">
                  <c:v>-4.3232159999900821E-4</c:v>
                </c:pt>
                <c:pt idx="12">
                  <c:v>4.0703666665919958E-5</c:v>
                </c:pt>
                <c:pt idx="13">
                  <c:v>-4.9211719999897596E-4</c:v>
                </c:pt>
                <c:pt idx="14">
                  <c:v>-1.870607333330776E-4</c:v>
                </c:pt>
                <c:pt idx="15">
                  <c:v>1.209550000000892E-4</c:v>
                </c:pt>
                <c:pt idx="16">
                  <c:v>3.4163419999888589E-4</c:v>
                </c:pt>
                <c:pt idx="17">
                  <c:v>-4.9533346666685851E-4</c:v>
                </c:pt>
                <c:pt idx="18">
                  <c:v>-1.937480000000491E-4</c:v>
                </c:pt>
                <c:pt idx="19">
                  <c:v>-4.1270306666585382E-4</c:v>
                </c:pt>
                <c:pt idx="20">
                  <c:v>2.552846666614705E-5</c:v>
                </c:pt>
                <c:pt idx="21">
                  <c:v>3.3277273333009999E-4</c:v>
                </c:pt>
                <c:pt idx="22">
                  <c:v>1.6643766666601939E-4</c:v>
                </c:pt>
                <c:pt idx="23">
                  <c:v>-1.3987777544</c:v>
                </c:pt>
                <c:pt idx="24">
                  <c:v>-5.9147331200003928E-2</c:v>
                </c:pt>
                <c:pt idx="25">
                  <c:v>-1.4802788360000001</c:v>
                </c:pt>
                <c:pt idx="26">
                  <c:v>-1.3985189076666671</c:v>
                </c:pt>
                <c:pt idx="27">
                  <c:v>-1.2418298303999999</c:v>
                </c:pt>
                <c:pt idx="28">
                  <c:v>-1.2404609466000001</c:v>
                </c:pt>
                <c:pt idx="29">
                  <c:v>-1.125656419866667</c:v>
                </c:pt>
                <c:pt idx="30">
                  <c:v>-1.039063580733333</c:v>
                </c:pt>
                <c:pt idx="31">
                  <c:v>-0.88962126026666688</c:v>
                </c:pt>
                <c:pt idx="32">
                  <c:v>-3.7536199999577141E-4</c:v>
                </c:pt>
                <c:pt idx="33">
                  <c:v>-0.30326496979999901</c:v>
                </c:pt>
                <c:pt idx="34">
                  <c:v>-0.15850386366666591</c:v>
                </c:pt>
                <c:pt idx="35">
                  <c:v>-0.25603547726666698</c:v>
                </c:pt>
                <c:pt idx="36">
                  <c:v>-0.10732180066666699</c:v>
                </c:pt>
                <c:pt idx="37">
                  <c:v>4.9997033332971341E-4</c:v>
                </c:pt>
                <c:pt idx="38">
                  <c:v>-6.7040533333589947E-5</c:v>
                </c:pt>
                <c:pt idx="39">
                  <c:v>1.8669246666701281E-4</c:v>
                </c:pt>
                <c:pt idx="40">
                  <c:v>-1.5188813333333331E-4</c:v>
                </c:pt>
                <c:pt idx="41">
                  <c:v>0</c:v>
                </c:pt>
                <c:pt idx="42">
                  <c:v>3.8333333333299968E-4</c:v>
                </c:pt>
                <c:pt idx="43">
                  <c:v>3.8333333333299968E-4</c:v>
                </c:pt>
                <c:pt idx="44">
                  <c:v>0</c:v>
                </c:pt>
                <c:pt idx="45">
                  <c:v>3.6500000000000421E-4</c:v>
                </c:pt>
                <c:pt idx="46">
                  <c:v>7.999999999999674E-5</c:v>
                </c:pt>
                <c:pt idx="47">
                  <c:v>-2.200000000000257E-4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EA7C-41CE-86FB-8720DE7EBF17}"/>
            </c:ext>
          </c:extLst>
        </c:ser>
        <c:ser>
          <c:idx val="44"/>
          <c:order val="44"/>
          <c:tx>
            <c:v>BES_TR8_four558_C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Net_kW!$AU$2:$AU$49</c:f>
              <c:numCache>
                <c:formatCode>#,##0.000</c:formatCode>
                <c:ptCount val="48"/>
                <c:pt idx="0">
                  <c:v>6.1333333332996842E-5</c:v>
                </c:pt>
                <c:pt idx="1">
                  <c:v>0</c:v>
                </c:pt>
                <c:pt idx="2">
                  <c:v>3.3933333333339982E-4</c:v>
                </c:pt>
                <c:pt idx="3">
                  <c:v>4.8733333333300649E-4</c:v>
                </c:pt>
                <c:pt idx="4">
                  <c:v>0</c:v>
                </c:pt>
                <c:pt idx="5">
                  <c:v>-1.733333333329978E-4</c:v>
                </c:pt>
                <c:pt idx="6">
                  <c:v>0</c:v>
                </c:pt>
                <c:pt idx="7">
                  <c:v>-4.4080346666666709E-4</c:v>
                </c:pt>
                <c:pt idx="8">
                  <c:v>-5.5333331994058396E-9</c:v>
                </c:pt>
                <c:pt idx="9">
                  <c:v>4.2644279999998203E-4</c:v>
                </c:pt>
                <c:pt idx="10">
                  <c:v>2.337117333319205E-4</c:v>
                </c:pt>
                <c:pt idx="11">
                  <c:v>3.9469013333515163E-4</c:v>
                </c:pt>
                <c:pt idx="12">
                  <c:v>8.1407333331950937E-5</c:v>
                </c:pt>
                <c:pt idx="13">
                  <c:v>2.588322666678966E-4</c:v>
                </c:pt>
                <c:pt idx="14">
                  <c:v>-1.9454800000096029E-5</c:v>
                </c:pt>
                <c:pt idx="15">
                  <c:v>-0.78778942333333291</c:v>
                </c:pt>
                <c:pt idx="16">
                  <c:v>-2.2103327316000012</c:v>
                </c:pt>
                <c:pt idx="17">
                  <c:v>-2.1856409335999998</c:v>
                </c:pt>
                <c:pt idx="18">
                  <c:v>-1.516878695999998</c:v>
                </c:pt>
                <c:pt idx="19">
                  <c:v>-2.6732447394666652</c:v>
                </c:pt>
                <c:pt idx="20">
                  <c:v>-2.8884009430666682</c:v>
                </c:pt>
                <c:pt idx="21">
                  <c:v>-2.9780244545333332</c:v>
                </c:pt>
                <c:pt idx="22">
                  <c:v>-3.1255119246666681</c:v>
                </c:pt>
                <c:pt idx="23">
                  <c:v>-2.3510227088</c:v>
                </c:pt>
                <c:pt idx="24">
                  <c:v>-3.1285773290666681</c:v>
                </c:pt>
                <c:pt idx="25">
                  <c:v>-3.1874790053333331</c:v>
                </c:pt>
                <c:pt idx="26">
                  <c:v>-2.9349178153333328</c:v>
                </c:pt>
                <c:pt idx="27">
                  <c:v>-2.900584994133335</c:v>
                </c:pt>
                <c:pt idx="28">
                  <c:v>-2.9939372265333328</c:v>
                </c:pt>
                <c:pt idx="29">
                  <c:v>-2.7039521730666678</c:v>
                </c:pt>
                <c:pt idx="30">
                  <c:v>-2.5644628281333328</c:v>
                </c:pt>
                <c:pt idx="31">
                  <c:v>-2.2549808538666678</c:v>
                </c:pt>
                <c:pt idx="32">
                  <c:v>-2.0366087906666648</c:v>
                </c:pt>
                <c:pt idx="33">
                  <c:v>-1.5630459395999989</c:v>
                </c:pt>
                <c:pt idx="34">
                  <c:v>-1.380642393999999</c:v>
                </c:pt>
                <c:pt idx="35">
                  <c:v>-1.1439292212000001</c:v>
                </c:pt>
                <c:pt idx="36">
                  <c:v>-0.79504693466666798</c:v>
                </c:pt>
                <c:pt idx="37">
                  <c:v>-0.56581872599999994</c:v>
                </c:pt>
                <c:pt idx="38">
                  <c:v>-0.16604001440000021</c:v>
                </c:pt>
                <c:pt idx="39">
                  <c:v>1.1718493333300049E-4</c:v>
                </c:pt>
                <c:pt idx="40">
                  <c:v>-1.3377626666666309E-4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-3.6466666666698511E-4</c:v>
                </c:pt>
                <c:pt idx="45">
                  <c:v>1.913333333333975E-4</c:v>
                </c:pt>
                <c:pt idx="46">
                  <c:v>-4.260000000000097E-4</c:v>
                </c:pt>
                <c:pt idx="47">
                  <c:v>2.5266666666701187E-4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EA7C-41CE-86FB-8720DE7EBF17}"/>
            </c:ext>
          </c:extLst>
        </c:ser>
        <c:ser>
          <c:idx val="45"/>
          <c:order val="45"/>
          <c:tx>
            <c:v>BES_TR8_four562_C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Net_kW!$AV$2:$AV$49</c:f>
              <c:numCache>
                <c:formatCode>#,##0.000</c:formatCode>
                <c:ptCount val="48"/>
                <c:pt idx="0">
                  <c:v>-3.5799999999996951E-4</c:v>
                </c:pt>
                <c:pt idx="1">
                  <c:v>0</c:v>
                </c:pt>
                <c:pt idx="2">
                  <c:v>2.5500000000000522E-4</c:v>
                </c:pt>
                <c:pt idx="3">
                  <c:v>-1.1333333333329861E-4</c:v>
                </c:pt>
                <c:pt idx="4">
                  <c:v>2.9466666666699842E-4</c:v>
                </c:pt>
                <c:pt idx="5">
                  <c:v>-3.0533333333299112E-4</c:v>
                </c:pt>
                <c:pt idx="6">
                  <c:v>-1.7600000000000951E-4</c:v>
                </c:pt>
                <c:pt idx="7">
                  <c:v>-2.7870303333335511E-4</c:v>
                </c:pt>
                <c:pt idx="8">
                  <c:v>-5.4347633333562413E-5</c:v>
                </c:pt>
                <c:pt idx="9">
                  <c:v>-2.9586254999999778E-4</c:v>
                </c:pt>
                <c:pt idx="10">
                  <c:v>-4.3675223333444762E-4</c:v>
                </c:pt>
                <c:pt idx="11">
                  <c:v>-3.723961333324532E-4</c:v>
                </c:pt>
                <c:pt idx="12">
                  <c:v>3.0723141666544329E-4</c:v>
                </c:pt>
                <c:pt idx="13">
                  <c:v>1.8314490000181929E-4</c:v>
                </c:pt>
                <c:pt idx="14">
                  <c:v>-1.3785628333295999E-4</c:v>
                </c:pt>
                <c:pt idx="15">
                  <c:v>4.0817125000014443E-4</c:v>
                </c:pt>
                <c:pt idx="16">
                  <c:v>-0.42738755681666812</c:v>
                </c:pt>
                <c:pt idx="17">
                  <c:v>-2.123480900233333</c:v>
                </c:pt>
                <c:pt idx="18">
                  <c:v>-2.337730109000002</c:v>
                </c:pt>
                <c:pt idx="19">
                  <c:v>-2.3393694803666651</c:v>
                </c:pt>
                <c:pt idx="20">
                  <c:v>-2.6925078251833341</c:v>
                </c:pt>
                <c:pt idx="21">
                  <c:v>-2.7360153143833328</c:v>
                </c:pt>
                <c:pt idx="22">
                  <c:v>-2.791361017416667</c:v>
                </c:pt>
                <c:pt idx="23">
                  <c:v>-2.8824795368666671</c:v>
                </c:pt>
                <c:pt idx="24">
                  <c:v>-2.7746318296000019</c:v>
                </c:pt>
                <c:pt idx="25">
                  <c:v>-2.9173547963333331</c:v>
                </c:pt>
                <c:pt idx="26">
                  <c:v>-2.8575703384166671</c:v>
                </c:pt>
                <c:pt idx="27">
                  <c:v>-2.581680869866668</c:v>
                </c:pt>
                <c:pt idx="28">
                  <c:v>-2.5787600732166669</c:v>
                </c:pt>
                <c:pt idx="29">
                  <c:v>-2.4634164014333351</c:v>
                </c:pt>
                <c:pt idx="30">
                  <c:v>-2.0769674329500001</c:v>
                </c:pt>
                <c:pt idx="31">
                  <c:v>-2.0796358721333341</c:v>
                </c:pt>
                <c:pt idx="32">
                  <c:v>-1.7802930501666649</c:v>
                </c:pt>
                <c:pt idx="33">
                  <c:v>-1.390855030483332</c:v>
                </c:pt>
                <c:pt idx="34">
                  <c:v>-1.2918102614166651</c:v>
                </c:pt>
                <c:pt idx="35">
                  <c:v>-0.77555325188333302</c:v>
                </c:pt>
                <c:pt idx="36">
                  <c:v>-0.5392729845000015</c:v>
                </c:pt>
                <c:pt idx="37">
                  <c:v>-3.4155191666693918E-4</c:v>
                </c:pt>
                <c:pt idx="38">
                  <c:v>-1.6098759999949591E-4</c:v>
                </c:pt>
                <c:pt idx="39">
                  <c:v>1.377118166670521E-4</c:v>
                </c:pt>
                <c:pt idx="40">
                  <c:v>-4.1663756666632251E-4</c:v>
                </c:pt>
                <c:pt idx="41">
                  <c:v>2.8033333333010718E-4</c:v>
                </c:pt>
                <c:pt idx="42">
                  <c:v>3.0333333332999152E-4</c:v>
                </c:pt>
                <c:pt idx="43">
                  <c:v>1.26561066666667</c:v>
                </c:pt>
                <c:pt idx="44">
                  <c:v>0.39623599999999998</c:v>
                </c:pt>
                <c:pt idx="45">
                  <c:v>0.61279300000000003</c:v>
                </c:pt>
                <c:pt idx="46">
                  <c:v>0.406418</c:v>
                </c:pt>
                <c:pt idx="47">
                  <c:v>0.44712333333333298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EA7C-41CE-86FB-8720DE7EBF17}"/>
            </c:ext>
          </c:extLst>
        </c:ser>
        <c:ser>
          <c:idx val="46"/>
          <c:order val="46"/>
          <c:tx>
            <c:v>BES_TR8_four590_A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Net_kW!$AW$2:$AW$49</c:f>
              <c:numCache>
                <c:formatCode>#,##0.000</c:formatCode>
                <c:ptCount val="48"/>
                <c:pt idx="0">
                  <c:v>-6.9388939039072284E-18</c:v>
                </c:pt>
                <c:pt idx="1">
                  <c:v>-6.9388939039072284E-18</c:v>
                </c:pt>
                <c:pt idx="2">
                  <c:v>-6.9388939039072284E-18</c:v>
                </c:pt>
                <c:pt idx="3">
                  <c:v>-6.9388939039072284E-18</c:v>
                </c:pt>
                <c:pt idx="4">
                  <c:v>-6.9388939039072284E-18</c:v>
                </c:pt>
                <c:pt idx="5">
                  <c:v>-6.9388939039072284E-18</c:v>
                </c:pt>
                <c:pt idx="6">
                  <c:v>-6.9388939039072284E-18</c:v>
                </c:pt>
                <c:pt idx="7">
                  <c:v>-4.4080346666667408E-4</c:v>
                </c:pt>
                <c:pt idx="8">
                  <c:v>2.6550746666679538E-4</c:v>
                </c:pt>
                <c:pt idx="9">
                  <c:v>4.2644280000000978E-4</c:v>
                </c:pt>
                <c:pt idx="10">
                  <c:v>-3.402882666680429E-4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2.588322666678966E-4</c:v>
                </c:pt>
                <c:pt idx="14">
                  <c:v>4.0545200000074999E-5</c:v>
                </c:pt>
                <c:pt idx="15">
                  <c:v>-1.2086260900000001</c:v>
                </c:pt>
                <c:pt idx="16">
                  <c:v>-2.2043293982666681</c:v>
                </c:pt>
                <c:pt idx="17">
                  <c:v>-2.4766509336000002</c:v>
                </c:pt>
                <c:pt idx="18">
                  <c:v>-2.708575362666668</c:v>
                </c:pt>
                <c:pt idx="19">
                  <c:v>-2.9063834061333318</c:v>
                </c:pt>
                <c:pt idx="20">
                  <c:v>-3.0800089430666682</c:v>
                </c:pt>
                <c:pt idx="21">
                  <c:v>-3.2233051212000001</c:v>
                </c:pt>
                <c:pt idx="22">
                  <c:v>-3.209612924666668</c:v>
                </c:pt>
                <c:pt idx="23">
                  <c:v>-2.5204440421333341</c:v>
                </c:pt>
                <c:pt idx="24">
                  <c:v>-3.3144479957333348</c:v>
                </c:pt>
                <c:pt idx="25">
                  <c:v>-3.2667550053333332</c:v>
                </c:pt>
                <c:pt idx="26">
                  <c:v>-3.2771584819999999</c:v>
                </c:pt>
                <c:pt idx="27">
                  <c:v>-3.1533343274666681</c:v>
                </c:pt>
                <c:pt idx="28">
                  <c:v>-3.0055078931999999</c:v>
                </c:pt>
                <c:pt idx="29">
                  <c:v>-2.8181901730666681</c:v>
                </c:pt>
                <c:pt idx="30">
                  <c:v>-2.6191284948</c:v>
                </c:pt>
                <c:pt idx="31">
                  <c:v>-2.3795838538666678</c:v>
                </c:pt>
                <c:pt idx="32">
                  <c:v>-2.044906057333332</c:v>
                </c:pt>
                <c:pt idx="33">
                  <c:v>-1.6563912729333321</c:v>
                </c:pt>
                <c:pt idx="34">
                  <c:v>-1.351531727333332</c:v>
                </c:pt>
                <c:pt idx="35">
                  <c:v>-1.0363202878666671</c:v>
                </c:pt>
                <c:pt idx="36">
                  <c:v>-0.70599693466666802</c:v>
                </c:pt>
                <c:pt idx="37">
                  <c:v>-0.41383072599999998</c:v>
                </c:pt>
                <c:pt idx="38">
                  <c:v>-0.16991941440000019</c:v>
                </c:pt>
                <c:pt idx="39">
                  <c:v>-1.466150666669386E-4</c:v>
                </c:pt>
                <c:pt idx="40">
                  <c:v>6.055706666630023E-5</c:v>
                </c:pt>
                <c:pt idx="41">
                  <c:v>3.7266666666702092E-4</c:v>
                </c:pt>
                <c:pt idx="42">
                  <c:v>4.7533333333393818E-4</c:v>
                </c:pt>
                <c:pt idx="43">
                  <c:v>1.753333333339713E-4</c:v>
                </c:pt>
                <c:pt idx="44">
                  <c:v>2.053333333330021E-4</c:v>
                </c:pt>
                <c:pt idx="45">
                  <c:v>-2.6399999999981988E-4</c:v>
                </c:pt>
                <c:pt idx="46">
                  <c:v>-1.913333333301015E-4</c:v>
                </c:pt>
                <c:pt idx="47">
                  <c:v>-2.9699999999999172E-4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EA7C-41CE-86FB-8720DE7EBF17}"/>
            </c:ext>
          </c:extLst>
        </c:ser>
        <c:ser>
          <c:idx val="47"/>
          <c:order val="47"/>
          <c:tx>
            <c:v>BES_TR8_four604_A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Net_kW!$AX$2:$AX$49</c:f>
              <c:numCache>
                <c:formatCode>#,##0.000</c:formatCode>
                <c:ptCount val="48"/>
                <c:pt idx="0">
                  <c:v>0</c:v>
                </c:pt>
                <c:pt idx="1">
                  <c:v>-1.6000000000002121E-4</c:v>
                </c:pt>
                <c:pt idx="2">
                  <c:v>-7.7333333333012844E-5</c:v>
                </c:pt>
                <c:pt idx="3">
                  <c:v>-1.6000000000002121E-4</c:v>
                </c:pt>
                <c:pt idx="4">
                  <c:v>0</c:v>
                </c:pt>
                <c:pt idx="5">
                  <c:v>3.7866666666697141E-4</c:v>
                </c:pt>
                <c:pt idx="6">
                  <c:v>3.8400000000000928E-4</c:v>
                </c:pt>
                <c:pt idx="7">
                  <c:v>-3.8250216666667341E-4</c:v>
                </c:pt>
                <c:pt idx="8">
                  <c:v>-1.2057833333245499E-5</c:v>
                </c:pt>
                <c:pt idx="9">
                  <c:v>-3.584732500000049E-4</c:v>
                </c:pt>
                <c:pt idx="10">
                  <c:v>-4.1501350000050508E-4</c:v>
                </c:pt>
                <c:pt idx="11">
                  <c:v>3.3876466666749039E-4</c:v>
                </c:pt>
                <c:pt idx="12">
                  <c:v>-2.6453750000599019E-5</c:v>
                </c:pt>
                <c:pt idx="13">
                  <c:v>2.5177016666744212E-4</c:v>
                </c:pt>
                <c:pt idx="14">
                  <c:v>-2.2465925000014761E-4</c:v>
                </c:pt>
                <c:pt idx="15">
                  <c:v>-3.8639583332944483E-5</c:v>
                </c:pt>
                <c:pt idx="16">
                  <c:v>2.0612608333192559E-4</c:v>
                </c:pt>
                <c:pt idx="17">
                  <c:v>4.7316649999995519E-4</c:v>
                </c:pt>
                <c:pt idx="18">
                  <c:v>-0.73714193500000202</c:v>
                </c:pt>
                <c:pt idx="19">
                  <c:v>-1.4461586288333319</c:v>
                </c:pt>
                <c:pt idx="20">
                  <c:v>-0.6570645894166669</c:v>
                </c:pt>
                <c:pt idx="21">
                  <c:v>-1.7232517007499999</c:v>
                </c:pt>
                <c:pt idx="22">
                  <c:v>-1.597896869583334</c:v>
                </c:pt>
                <c:pt idx="23">
                  <c:v>-1.831579526333333</c:v>
                </c:pt>
                <c:pt idx="24">
                  <c:v>-1.871764164</c:v>
                </c:pt>
                <c:pt idx="25">
                  <c:v>-2.0239897116666672</c:v>
                </c:pt>
                <c:pt idx="26">
                  <c:v>-1.9732627179166671</c:v>
                </c:pt>
                <c:pt idx="27">
                  <c:v>-1.8354939546666671</c:v>
                </c:pt>
                <c:pt idx="28">
                  <c:v>-1.718797566583333</c:v>
                </c:pt>
                <c:pt idx="29">
                  <c:v>-1.7398688581666679</c:v>
                </c:pt>
                <c:pt idx="30">
                  <c:v>-1.5395139759166669</c:v>
                </c:pt>
                <c:pt idx="31">
                  <c:v>-1.320918575333335</c:v>
                </c:pt>
                <c:pt idx="32">
                  <c:v>-1.262973035833332</c:v>
                </c:pt>
                <c:pt idx="33">
                  <c:v>-0.90693387891666599</c:v>
                </c:pt>
                <c:pt idx="34">
                  <c:v>-0.90300732958333252</c:v>
                </c:pt>
                <c:pt idx="35">
                  <c:v>-0.58691754658333295</c:v>
                </c:pt>
                <c:pt idx="36">
                  <c:v>-0.4109004175000005</c:v>
                </c:pt>
                <c:pt idx="37">
                  <c:v>-0.31814320374999999</c:v>
                </c:pt>
                <c:pt idx="38">
                  <c:v>-5.946580066666618E-2</c:v>
                </c:pt>
                <c:pt idx="39">
                  <c:v>-2.296775000001916E-5</c:v>
                </c:pt>
                <c:pt idx="40">
                  <c:v>1.75639833333463E-4</c:v>
                </c:pt>
                <c:pt idx="41">
                  <c:v>1.3200000000002099E-4</c:v>
                </c:pt>
                <c:pt idx="42">
                  <c:v>4.976666666670071E-4</c:v>
                </c:pt>
                <c:pt idx="43">
                  <c:v>3.3700000000003172E-4</c:v>
                </c:pt>
                <c:pt idx="44">
                  <c:v>-1.433333333400455E-5</c:v>
                </c:pt>
                <c:pt idx="45">
                  <c:v>1.666666667010652E-6</c:v>
                </c:pt>
                <c:pt idx="46">
                  <c:v>-3.5200000000001902E-4</c:v>
                </c:pt>
                <c:pt idx="47">
                  <c:v>3.4666666666699491E-4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EA7C-41CE-86FB-8720DE7EBF17}"/>
            </c:ext>
          </c:extLst>
        </c:ser>
        <c:ser>
          <c:idx val="48"/>
          <c:order val="48"/>
          <c:tx>
            <c:v>BES_TR8_four78_B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Net_kW!$AY$2:$AY$49</c:f>
              <c:numCache>
                <c:formatCode>#,##0.000</c:formatCode>
                <c:ptCount val="48"/>
                <c:pt idx="0">
                  <c:v>-4.4733333333300818E-4</c:v>
                </c:pt>
                <c:pt idx="1">
                  <c:v>2.2066666666670229E-4</c:v>
                </c:pt>
                <c:pt idx="2">
                  <c:v>0</c:v>
                </c:pt>
                <c:pt idx="3">
                  <c:v>1.4199999999998941E-4</c:v>
                </c:pt>
                <c:pt idx="4">
                  <c:v>0</c:v>
                </c:pt>
                <c:pt idx="5">
                  <c:v>1.4199999999998941E-4</c:v>
                </c:pt>
                <c:pt idx="6">
                  <c:v>-2.266666666669859E-4</c:v>
                </c:pt>
                <c:pt idx="7">
                  <c:v>-4.8847013333327277E-4</c:v>
                </c:pt>
                <c:pt idx="8">
                  <c:v>2.2850746666680519E-4</c:v>
                </c:pt>
                <c:pt idx="9">
                  <c:v>4.2644279999998203E-4</c:v>
                </c:pt>
                <c:pt idx="10">
                  <c:v>4.3304506666502762E-4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1.741656000009417E-4</c:v>
                </c:pt>
                <c:pt idx="14">
                  <c:v>4.0545200000074999E-5</c:v>
                </c:pt>
                <c:pt idx="15">
                  <c:v>-0.57867375666666665</c:v>
                </c:pt>
                <c:pt idx="16">
                  <c:v>-1.9818330649333351</c:v>
                </c:pt>
                <c:pt idx="17">
                  <c:v>-2.283877600266667</c:v>
                </c:pt>
                <c:pt idx="18">
                  <c:v>-2.3973590293333338</c:v>
                </c:pt>
                <c:pt idx="19">
                  <c:v>-1.5581747394666621</c:v>
                </c:pt>
                <c:pt idx="20">
                  <c:v>-2.7170729430666678</c:v>
                </c:pt>
                <c:pt idx="21">
                  <c:v>-2.5491511212</c:v>
                </c:pt>
                <c:pt idx="22">
                  <c:v>-2.7315315913333351</c:v>
                </c:pt>
                <c:pt idx="23">
                  <c:v>-3.0173867088000002</c:v>
                </c:pt>
                <c:pt idx="24">
                  <c:v>-3.0718496624000009</c:v>
                </c:pt>
                <c:pt idx="25">
                  <c:v>-2.8648686720000001</c:v>
                </c:pt>
                <c:pt idx="26">
                  <c:v>-2.6435504820000002</c:v>
                </c:pt>
                <c:pt idx="27">
                  <c:v>-2.9095316608000008</c:v>
                </c:pt>
                <c:pt idx="28">
                  <c:v>-2.4140925598666669</c:v>
                </c:pt>
                <c:pt idx="29">
                  <c:v>-2.5329721730666681</c:v>
                </c:pt>
                <c:pt idx="30">
                  <c:v>-2.3461611614666671</c:v>
                </c:pt>
                <c:pt idx="31">
                  <c:v>-1.8109861872000019</c:v>
                </c:pt>
                <c:pt idx="32">
                  <c:v>-1.460602057333332</c:v>
                </c:pt>
                <c:pt idx="33">
                  <c:v>-1.6654550729333319</c:v>
                </c:pt>
                <c:pt idx="34">
                  <c:v>-0.97814406066666493</c:v>
                </c:pt>
                <c:pt idx="35">
                  <c:v>-0.84062545453333304</c:v>
                </c:pt>
                <c:pt idx="36">
                  <c:v>-0.72890993466666798</c:v>
                </c:pt>
                <c:pt idx="37">
                  <c:v>-0.28484905933333399</c:v>
                </c:pt>
                <c:pt idx="38">
                  <c:v>-0.17583774773333319</c:v>
                </c:pt>
                <c:pt idx="39">
                  <c:v>-4.0028173333300782E-4</c:v>
                </c:pt>
                <c:pt idx="40">
                  <c:v>2.348904000003538E-4</c:v>
                </c:pt>
                <c:pt idx="41">
                  <c:v>3.4466666666976842E-4</c:v>
                </c:pt>
                <c:pt idx="42">
                  <c:v>-3.8533333333012898E-4</c:v>
                </c:pt>
                <c:pt idx="43">
                  <c:v>-4.1599999999997189E-4</c:v>
                </c:pt>
                <c:pt idx="44">
                  <c:v>2.5266666666978738E-4</c:v>
                </c:pt>
                <c:pt idx="45">
                  <c:v>3.1599999999976092E-4</c:v>
                </c:pt>
                <c:pt idx="46">
                  <c:v>0.84012799999999987</c:v>
                </c:pt>
                <c:pt idx="47">
                  <c:v>0.54701066666666698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EA7C-41CE-86FB-8720DE7EBF17}"/>
            </c:ext>
          </c:extLst>
        </c:ser>
        <c:ser>
          <c:idx val="49"/>
          <c:order val="49"/>
          <c:tx>
            <c:v>BES_TR8_four734_A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Net_kW!$AZ$2:$AZ$49</c:f>
              <c:numCache>
                <c:formatCode>#,##0.000</c:formatCode>
                <c:ptCount val="48"/>
                <c:pt idx="0">
                  <c:v>3.9999999999928981E-5</c:v>
                </c:pt>
                <c:pt idx="1">
                  <c:v>-3.3666666666698491E-4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4.1939739999999342E-4</c:v>
                </c:pt>
                <c:pt idx="8">
                  <c:v>-3.0086939999990521E-4</c:v>
                </c:pt>
                <c:pt idx="9">
                  <c:v>-4.3016790000000032E-4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6.1055499998907692E-5</c:v>
                </c:pt>
                <c:pt idx="13">
                  <c:v>3.7079086666791378E-4</c:v>
                </c:pt>
                <c:pt idx="14">
                  <c:v>-4.6959110000011067E-4</c:v>
                </c:pt>
                <c:pt idx="15">
                  <c:v>3.0432499999788479E-5</c:v>
                </c:pt>
                <c:pt idx="16">
                  <c:v>-9.1247048700000999E-2</c:v>
                </c:pt>
                <c:pt idx="17">
                  <c:v>-1.8504882002</c:v>
                </c:pt>
                <c:pt idx="18">
                  <c:v>-1.924739188666668</c:v>
                </c:pt>
                <c:pt idx="19">
                  <c:v>-2.0367475545999989</c:v>
                </c:pt>
                <c:pt idx="20">
                  <c:v>-2.1669667073000012</c:v>
                </c:pt>
                <c:pt idx="21">
                  <c:v>-2.2744388408999998</c:v>
                </c:pt>
                <c:pt idx="22">
                  <c:v>-2.3146934435000008</c:v>
                </c:pt>
                <c:pt idx="23">
                  <c:v>-2.4083430315999999</c:v>
                </c:pt>
                <c:pt idx="24">
                  <c:v>-2.528794330133334</c:v>
                </c:pt>
                <c:pt idx="25">
                  <c:v>-2.2382845873333328</c:v>
                </c:pt>
                <c:pt idx="26">
                  <c:v>-1.5462385281666671</c:v>
                </c:pt>
                <c:pt idx="27">
                  <c:v>-4.8407893333102248E-4</c:v>
                </c:pt>
                <c:pt idx="28">
                  <c:v>-1.0919899999906059E-5</c:v>
                </c:pt>
                <c:pt idx="29">
                  <c:v>-0.34144896313333389</c:v>
                </c:pt>
                <c:pt idx="30">
                  <c:v>-1.7829903710999999</c:v>
                </c:pt>
                <c:pt idx="31">
                  <c:v>-1.611597890400001</c:v>
                </c:pt>
                <c:pt idx="32">
                  <c:v>-1.1282617096666661</c:v>
                </c:pt>
                <c:pt idx="33">
                  <c:v>-0.97157745469999912</c:v>
                </c:pt>
                <c:pt idx="34">
                  <c:v>-0.94421212883333205</c:v>
                </c:pt>
                <c:pt idx="35">
                  <c:v>-0.51901188256666708</c:v>
                </c:pt>
                <c:pt idx="36">
                  <c:v>-0.54729536766666809</c:v>
                </c:pt>
                <c:pt idx="37">
                  <c:v>-0.42106304449999998</c:v>
                </c:pt>
                <c:pt idx="38">
                  <c:v>-0.22424056079999991</c:v>
                </c:pt>
                <c:pt idx="39">
                  <c:v>8.337203333300125E-5</c:v>
                </c:pt>
                <c:pt idx="40">
                  <c:v>-3.7683220000001022E-4</c:v>
                </c:pt>
                <c:pt idx="41">
                  <c:v>-4.1466666666700741E-4</c:v>
                </c:pt>
                <c:pt idx="42">
                  <c:v>2.9399999999990539E-4</c:v>
                </c:pt>
                <c:pt idx="43">
                  <c:v>2.8666666666987689E-4</c:v>
                </c:pt>
                <c:pt idx="44">
                  <c:v>1.9396833333333301</c:v>
                </c:pt>
                <c:pt idx="45">
                  <c:v>0.49304633333333298</c:v>
                </c:pt>
                <c:pt idx="46">
                  <c:v>0.37425966666666699</c:v>
                </c:pt>
                <c:pt idx="47">
                  <c:v>0.27930766666666701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EA7C-41CE-86FB-8720DE7EBF17}"/>
            </c:ext>
          </c:extLst>
        </c:ser>
        <c:ser>
          <c:idx val="50"/>
          <c:order val="50"/>
          <c:tx>
            <c:v>BES_TR8_four797_C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Net_kW!$BA$2:$BA$49</c:f>
              <c:numCache>
                <c:formatCode>#,##0.000</c:formatCode>
                <c:ptCount val="48"/>
                <c:pt idx="0">
                  <c:v>9.733333333300509E-5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4.1939739999999342E-4</c:v>
                </c:pt>
                <c:pt idx="8">
                  <c:v>-3.0086939999990169E-4</c:v>
                </c:pt>
                <c:pt idx="9">
                  <c:v>-4.3016789999997251E-4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6.1055499998907692E-5</c:v>
                </c:pt>
                <c:pt idx="13">
                  <c:v>-3.0587579999885589E-4</c:v>
                </c:pt>
                <c:pt idx="14">
                  <c:v>2.9627556666689259E-4</c:v>
                </c:pt>
                <c:pt idx="15">
                  <c:v>6.6099166666999665E-5</c:v>
                </c:pt>
                <c:pt idx="16">
                  <c:v>-5.3048700001001592E-5</c:v>
                </c:pt>
                <c:pt idx="17">
                  <c:v>-1.6812942002</c:v>
                </c:pt>
                <c:pt idx="18">
                  <c:v>-2.0325927220000009</c:v>
                </c:pt>
                <c:pt idx="19">
                  <c:v>-2.144217021266666</c:v>
                </c:pt>
                <c:pt idx="20">
                  <c:v>-2.1882467073000011</c:v>
                </c:pt>
                <c:pt idx="21">
                  <c:v>-2.2974028408999998</c:v>
                </c:pt>
                <c:pt idx="22">
                  <c:v>-2.1666074435000011</c:v>
                </c:pt>
                <c:pt idx="23">
                  <c:v>-2.3919350316000001</c:v>
                </c:pt>
                <c:pt idx="24">
                  <c:v>-2.4193676634666681</c:v>
                </c:pt>
                <c:pt idx="25">
                  <c:v>-2.407701254</c:v>
                </c:pt>
                <c:pt idx="26">
                  <c:v>-2.2821488615000001</c:v>
                </c:pt>
                <c:pt idx="27">
                  <c:v>-2.143212745600001</c:v>
                </c:pt>
                <c:pt idx="28">
                  <c:v>-1.8520049198999999</c:v>
                </c:pt>
                <c:pt idx="29">
                  <c:v>-1.958006629800001</c:v>
                </c:pt>
                <c:pt idx="30">
                  <c:v>-1.692581037766667</c:v>
                </c:pt>
                <c:pt idx="31">
                  <c:v>-1.574613290400001</c:v>
                </c:pt>
                <c:pt idx="32">
                  <c:v>-1.577059509666666</c:v>
                </c:pt>
                <c:pt idx="33">
                  <c:v>-1.3440534546999989</c:v>
                </c:pt>
                <c:pt idx="34">
                  <c:v>-1.1087421288333319</c:v>
                </c:pt>
                <c:pt idx="35">
                  <c:v>-0.79313821590000011</c:v>
                </c:pt>
                <c:pt idx="36">
                  <c:v>-0.58508623433333407</c:v>
                </c:pt>
                <c:pt idx="37">
                  <c:v>-0.33884911116666688</c:v>
                </c:pt>
                <c:pt idx="38">
                  <c:v>-4.5889413333294332E-4</c:v>
                </c:pt>
                <c:pt idx="39">
                  <c:v>-3.4662796666684592E-4</c:v>
                </c:pt>
                <c:pt idx="40">
                  <c:v>1.3383446666592749E-4</c:v>
                </c:pt>
                <c:pt idx="41">
                  <c:v>2.0433333333302881E-4</c:v>
                </c:pt>
                <c:pt idx="42">
                  <c:v>3.0899999999989269E-4</c:v>
                </c:pt>
                <c:pt idx="43">
                  <c:v>8.0000000000635119E-6</c:v>
                </c:pt>
                <c:pt idx="44">
                  <c:v>-2.7166666666700312E-4</c:v>
                </c:pt>
                <c:pt idx="45">
                  <c:v>-3.0900000000000372E-4</c:v>
                </c:pt>
                <c:pt idx="46">
                  <c:v>4.866666666670239E-4</c:v>
                </c:pt>
                <c:pt idx="47">
                  <c:v>2.4366666666697509E-4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EA7C-41CE-86FB-8720DE7EBF17}"/>
            </c:ext>
          </c:extLst>
        </c:ser>
        <c:ser>
          <c:idx val="51"/>
          <c:order val="51"/>
          <c:tx>
            <c:v>BES_TR8_four846_C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Net_kW!$BB$2:$BB$49</c:f>
              <c:numCache>
                <c:formatCode>#,##0.000</c:formatCode>
                <c:ptCount val="48"/>
                <c:pt idx="0">
                  <c:v>-1.2633333333303409E-4</c:v>
                </c:pt>
                <c:pt idx="1">
                  <c:v>1.886666666666981E-4</c:v>
                </c:pt>
                <c:pt idx="2">
                  <c:v>-2.5066666666700987E-4</c:v>
                </c:pt>
                <c:pt idx="3">
                  <c:v>3.8093333333300011E-4</c:v>
                </c:pt>
                <c:pt idx="4">
                  <c:v>-6.2666666666599813E-5</c:v>
                </c:pt>
                <c:pt idx="5">
                  <c:v>-2.193333333329883E-4</c:v>
                </c:pt>
                <c:pt idx="6">
                  <c:v>3.5999999999999921E-4</c:v>
                </c:pt>
                <c:pt idx="7">
                  <c:v>4.0252986666662599E-4</c:v>
                </c:pt>
                <c:pt idx="8">
                  <c:v>-1.198258666665064E-4</c:v>
                </c:pt>
                <c:pt idx="9">
                  <c:v>4.6442799999990569E-5</c:v>
                </c:pt>
                <c:pt idx="10">
                  <c:v>3.7771173333200903E-4</c:v>
                </c:pt>
                <c:pt idx="11">
                  <c:v>-3.7797653333193631E-4</c:v>
                </c:pt>
                <c:pt idx="12">
                  <c:v>-2.7359266666815429E-4</c:v>
                </c:pt>
                <c:pt idx="13">
                  <c:v>2.1183226666798841E-4</c:v>
                </c:pt>
                <c:pt idx="14">
                  <c:v>5.1211866666678318E-5</c:v>
                </c:pt>
                <c:pt idx="15">
                  <c:v>-0.12959942333333291</c:v>
                </c:pt>
                <c:pt idx="16">
                  <c:v>-2.1266113982666681</c:v>
                </c:pt>
                <c:pt idx="17">
                  <c:v>-2.4762682669333329</c:v>
                </c:pt>
                <c:pt idx="18">
                  <c:v>-2.415417362666668</c:v>
                </c:pt>
                <c:pt idx="19">
                  <c:v>-2.6486314061333318</c:v>
                </c:pt>
                <c:pt idx="20">
                  <c:v>-2.0998076097333378</c:v>
                </c:pt>
                <c:pt idx="21">
                  <c:v>-2.8705577878666668</c:v>
                </c:pt>
                <c:pt idx="22">
                  <c:v>-2.9984322580000011</c:v>
                </c:pt>
                <c:pt idx="23">
                  <c:v>-3.3041667088</c:v>
                </c:pt>
                <c:pt idx="24">
                  <c:v>-3.304763329066668</c:v>
                </c:pt>
                <c:pt idx="25">
                  <c:v>-3.3548416720000001</c:v>
                </c:pt>
                <c:pt idx="26">
                  <c:v>-3.1065604819999999</c:v>
                </c:pt>
                <c:pt idx="27">
                  <c:v>-3.1653343274666681</c:v>
                </c:pt>
                <c:pt idx="28">
                  <c:v>-2.8802958932</c:v>
                </c:pt>
                <c:pt idx="29">
                  <c:v>-2.7693241730666678</c:v>
                </c:pt>
                <c:pt idx="30">
                  <c:v>-2.5962381614666672</c:v>
                </c:pt>
                <c:pt idx="31">
                  <c:v>-2.3367561872000011</c:v>
                </c:pt>
                <c:pt idx="32">
                  <c:v>-2.0443792573333321</c:v>
                </c:pt>
                <c:pt idx="33">
                  <c:v>-1.6130166062666651</c:v>
                </c:pt>
                <c:pt idx="34">
                  <c:v>-1.2960430606666651</c:v>
                </c:pt>
                <c:pt idx="35">
                  <c:v>-0.88389808786666713</c:v>
                </c:pt>
                <c:pt idx="36">
                  <c:v>-0.64705893466666797</c:v>
                </c:pt>
                <c:pt idx="37">
                  <c:v>-0.30991939266666702</c:v>
                </c:pt>
                <c:pt idx="38">
                  <c:v>-0.14817714773333321</c:v>
                </c:pt>
                <c:pt idx="39">
                  <c:v>4.52051600000003E-4</c:v>
                </c:pt>
                <c:pt idx="40">
                  <c:v>1.108904000000077E-4</c:v>
                </c:pt>
                <c:pt idx="41">
                  <c:v>1.426666666669851E-4</c:v>
                </c:pt>
                <c:pt idx="42">
                  <c:v>4.0700000000004621E-4</c:v>
                </c:pt>
                <c:pt idx="43">
                  <c:v>-4.7733333333305211E-4</c:v>
                </c:pt>
                <c:pt idx="44">
                  <c:v>-2.9999999999996701E-4</c:v>
                </c:pt>
                <c:pt idx="45">
                  <c:v>-3.1133333333299712E-4</c:v>
                </c:pt>
                <c:pt idx="46">
                  <c:v>3.0600000000000072E-4</c:v>
                </c:pt>
                <c:pt idx="47">
                  <c:v>-3.7333333333300361E-4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EA7C-41CE-86FB-8720DE7EBF17}"/>
            </c:ext>
          </c:extLst>
        </c:ser>
        <c:ser>
          <c:idx val="52"/>
          <c:order val="52"/>
          <c:tx>
            <c:v>BES_TR8_four854_A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Net_kW!$BC$2:$BC$49</c:f>
              <c:numCache>
                <c:formatCode>#,##0.000</c:formatCode>
                <c:ptCount val="48"/>
                <c:pt idx="0">
                  <c:v>-3.4694469519536142E-18</c:v>
                </c:pt>
                <c:pt idx="1">
                  <c:v>4.399999999999959E-4</c:v>
                </c:pt>
                <c:pt idx="2">
                  <c:v>-3.4694469519536142E-18</c:v>
                </c:pt>
                <c:pt idx="3">
                  <c:v>4.399999999999959E-4</c:v>
                </c:pt>
                <c:pt idx="4">
                  <c:v>-3.4694469519536142E-18</c:v>
                </c:pt>
                <c:pt idx="5">
                  <c:v>4.359999999999919E-4</c:v>
                </c:pt>
                <c:pt idx="6">
                  <c:v>4.0000000000040004E-6</c:v>
                </c:pt>
                <c:pt idx="7">
                  <c:v>1.3519653333332599E-4</c:v>
                </c:pt>
                <c:pt idx="8">
                  <c:v>1.295074666668034E-4</c:v>
                </c:pt>
                <c:pt idx="9">
                  <c:v>6.9776133332921653E-5</c:v>
                </c:pt>
                <c:pt idx="10">
                  <c:v>4.3304506666502762E-4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-1.6116773333196829E-4</c:v>
                </c:pt>
                <c:pt idx="14">
                  <c:v>-9.9454800000176036E-5</c:v>
                </c:pt>
                <c:pt idx="15">
                  <c:v>-1.940899999999246E-4</c:v>
                </c:pt>
                <c:pt idx="16">
                  <c:v>-1.850321398266668</c:v>
                </c:pt>
                <c:pt idx="17">
                  <c:v>-2.5066509336</c:v>
                </c:pt>
                <c:pt idx="18">
                  <c:v>-2.5996353626666679</c:v>
                </c:pt>
                <c:pt idx="19">
                  <c:v>-2.9313834061333321</c:v>
                </c:pt>
                <c:pt idx="20">
                  <c:v>-3.0373382764000012</c:v>
                </c:pt>
                <c:pt idx="21">
                  <c:v>-3.1678691211999999</c:v>
                </c:pt>
                <c:pt idx="22">
                  <c:v>-3.3221179246666681</c:v>
                </c:pt>
                <c:pt idx="23">
                  <c:v>-3.300153375466667</c:v>
                </c:pt>
                <c:pt idx="24">
                  <c:v>-3.4116479957333352</c:v>
                </c:pt>
                <c:pt idx="25">
                  <c:v>-3.0676952386666669</c:v>
                </c:pt>
                <c:pt idx="26">
                  <c:v>-3.1556975820000002</c:v>
                </c:pt>
                <c:pt idx="27">
                  <c:v>-3.1833343274666679</c:v>
                </c:pt>
                <c:pt idx="28">
                  <c:v>-2.9040678932000001</c:v>
                </c:pt>
                <c:pt idx="29">
                  <c:v>-2.8481901730666679</c:v>
                </c:pt>
                <c:pt idx="30">
                  <c:v>-2.6491284947999998</c:v>
                </c:pt>
                <c:pt idx="31">
                  <c:v>-2.2781438538666681</c:v>
                </c:pt>
                <c:pt idx="32">
                  <c:v>-2.139800057333332</c:v>
                </c:pt>
                <c:pt idx="33">
                  <c:v>-1.708919272933332</c:v>
                </c:pt>
                <c:pt idx="34">
                  <c:v>-1.482923727333332</c:v>
                </c:pt>
                <c:pt idx="35">
                  <c:v>-1.1433736212000001</c:v>
                </c:pt>
                <c:pt idx="36">
                  <c:v>-0.81405293466666806</c:v>
                </c:pt>
                <c:pt idx="37">
                  <c:v>-0.60075072600000001</c:v>
                </c:pt>
                <c:pt idx="38">
                  <c:v>-0.3054607477333332</c:v>
                </c:pt>
                <c:pt idx="39">
                  <c:v>4.2005160000000569E-4</c:v>
                </c:pt>
                <c:pt idx="40">
                  <c:v>3.802237333333236E-4</c:v>
                </c:pt>
                <c:pt idx="41">
                  <c:v>1.9199999999997E-4</c:v>
                </c:pt>
                <c:pt idx="42">
                  <c:v>-1.626666666669774E-4</c:v>
                </c:pt>
                <c:pt idx="43">
                  <c:v>2.7333333333301463E-4</c:v>
                </c:pt>
                <c:pt idx="44">
                  <c:v>1.7266666666704289E-4</c:v>
                </c:pt>
                <c:pt idx="45">
                  <c:v>-3.4694469519536142E-18</c:v>
                </c:pt>
                <c:pt idx="46">
                  <c:v>-3.4694469519536142E-18</c:v>
                </c:pt>
                <c:pt idx="47">
                  <c:v>-3.4694469519536142E-18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EA7C-41CE-86FB-8720DE7EBF17}"/>
            </c:ext>
          </c:extLst>
        </c:ser>
        <c:ser>
          <c:idx val="53"/>
          <c:order val="53"/>
          <c:tx>
            <c:v>BES_TR8_four936_C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Net_kW!$BD$2:$BD$49</c:f>
              <c:numCache>
                <c:formatCode>#,##0.000</c:formatCode>
                <c:ptCount val="48"/>
                <c:pt idx="0">
                  <c:v>2.4033333333295381E-4</c:v>
                </c:pt>
                <c:pt idx="1">
                  <c:v>4.4999999999990881E-4</c:v>
                </c:pt>
                <c:pt idx="2">
                  <c:v>-1.5299999999998651E-4</c:v>
                </c:pt>
                <c:pt idx="3">
                  <c:v>1.9333333333329539E-4</c:v>
                </c:pt>
                <c:pt idx="4">
                  <c:v>3.4233333333340282E-4</c:v>
                </c:pt>
                <c:pt idx="5">
                  <c:v>-3.1533333333300112E-4</c:v>
                </c:pt>
                <c:pt idx="6">
                  <c:v>0</c:v>
                </c:pt>
                <c:pt idx="7">
                  <c:v>-1.1196796666698711E-4</c:v>
                </c:pt>
                <c:pt idx="8">
                  <c:v>4.795653000000677E-4</c:v>
                </c:pt>
                <c:pt idx="9">
                  <c:v>4.9991605000000369E-4</c:v>
                </c:pt>
                <c:pt idx="10">
                  <c:v>-1.0941433333501451E-5</c:v>
                </c:pt>
                <c:pt idx="11">
                  <c:v>-1.6040786666646911E-4</c:v>
                </c:pt>
                <c:pt idx="12">
                  <c:v>3.0527749999342817E-5</c:v>
                </c:pt>
                <c:pt idx="13">
                  <c:v>1.653954333334928E-4</c:v>
                </c:pt>
                <c:pt idx="14">
                  <c:v>4.5820444999999932E-4</c:v>
                </c:pt>
                <c:pt idx="15">
                  <c:v>3.2354958333302708E-4</c:v>
                </c:pt>
                <c:pt idx="16">
                  <c:v>-2.7785768333354888E-4</c:v>
                </c:pt>
                <c:pt idx="17">
                  <c:v>1.2589990000000381E-4</c:v>
                </c:pt>
                <c:pt idx="18">
                  <c:v>4.8257233333304228E-4</c:v>
                </c:pt>
                <c:pt idx="19">
                  <c:v>-4.3877729999897142E-4</c:v>
                </c:pt>
                <c:pt idx="20">
                  <c:v>-6.1353649999817961E-5</c:v>
                </c:pt>
                <c:pt idx="21">
                  <c:v>-1.3852044999995711E-4</c:v>
                </c:pt>
                <c:pt idx="22">
                  <c:v>-0.93262078841666696</c:v>
                </c:pt>
                <c:pt idx="23">
                  <c:v>-1.838318246667003E-2</c:v>
                </c:pt>
                <c:pt idx="24">
                  <c:v>-4.2716506667091902E-4</c:v>
                </c:pt>
                <c:pt idx="25">
                  <c:v>-0.9930322936666669</c:v>
                </c:pt>
                <c:pt idx="26">
                  <c:v>4.6790258332990442E-4</c:v>
                </c:pt>
                <c:pt idx="27">
                  <c:v>-0.48618937280000007</c:v>
                </c:pt>
                <c:pt idx="28">
                  <c:v>-0.73604412661666707</c:v>
                </c:pt>
                <c:pt idx="29">
                  <c:v>-0.4772269815666671</c:v>
                </c:pt>
                <c:pt idx="30">
                  <c:v>-9.7332185550000005E-2</c:v>
                </c:pt>
                <c:pt idx="31">
                  <c:v>-0.63479894520000046</c:v>
                </c:pt>
                <c:pt idx="32">
                  <c:v>2.8697850000058978E-4</c:v>
                </c:pt>
                <c:pt idx="33">
                  <c:v>2.7060598333356062E-4</c:v>
                </c:pt>
                <c:pt idx="34">
                  <c:v>-2.843977499995543E-4</c:v>
                </c:pt>
                <c:pt idx="35">
                  <c:v>-1.5444128333030879E-4</c:v>
                </c:pt>
                <c:pt idx="36">
                  <c:v>-1.088505000005624E-4</c:v>
                </c:pt>
                <c:pt idx="37">
                  <c:v>2.161444166670079E-4</c:v>
                </c:pt>
                <c:pt idx="38">
                  <c:v>7.6719600000080268E-5</c:v>
                </c:pt>
                <c:pt idx="39">
                  <c:v>-4.583139833330141E-4</c:v>
                </c:pt>
                <c:pt idx="40">
                  <c:v>1.7458390000002491E-4</c:v>
                </c:pt>
                <c:pt idx="41">
                  <c:v>-2.9400000000001652E-4</c:v>
                </c:pt>
                <c:pt idx="42">
                  <c:v>7.9999999999968985E-5</c:v>
                </c:pt>
                <c:pt idx="43">
                  <c:v>4.0833333333401001E-4</c:v>
                </c:pt>
                <c:pt idx="44">
                  <c:v>2.666666666706341E-5</c:v>
                </c:pt>
                <c:pt idx="45">
                  <c:v>-1.736666666669606E-4</c:v>
                </c:pt>
                <c:pt idx="46">
                  <c:v>1.9333333333329539E-4</c:v>
                </c:pt>
                <c:pt idx="47">
                  <c:v>5.8258333333333003E-2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EA7C-41CE-86FB-8720DE7EBF17}"/>
            </c:ext>
          </c:extLst>
        </c:ser>
        <c:ser>
          <c:idx val="54"/>
          <c:order val="54"/>
          <c:tx>
            <c:v>BES_TR8_four950_B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Net_kW!$BE$2:$BE$49</c:f>
              <c:numCache>
                <c:formatCode>#,##0.000</c:formatCode>
                <c:ptCount val="48"/>
                <c:pt idx="0">
                  <c:v>1.0100000000000391E-4</c:v>
                </c:pt>
                <c:pt idx="1">
                  <c:v>3.6000000000008248E-5</c:v>
                </c:pt>
                <c:pt idx="2">
                  <c:v>-1.8000000000001351E-4</c:v>
                </c:pt>
                <c:pt idx="3">
                  <c:v>3.6000000000008248E-5</c:v>
                </c:pt>
                <c:pt idx="4">
                  <c:v>-1.8000000000001351E-4</c:v>
                </c:pt>
                <c:pt idx="5">
                  <c:v>2.399999999999625E-5</c:v>
                </c:pt>
                <c:pt idx="6">
                  <c:v>1.2000000000011999E-5</c:v>
                </c:pt>
                <c:pt idx="7">
                  <c:v>4.21965333333163E-5</c:v>
                </c:pt>
                <c:pt idx="8">
                  <c:v>-3.9749253333321022E-4</c:v>
                </c:pt>
                <c:pt idx="9">
                  <c:v>3.7244279999998348E-4</c:v>
                </c:pt>
                <c:pt idx="10">
                  <c:v>-4.3028826666802189E-4</c:v>
                </c:pt>
                <c:pt idx="11">
                  <c:v>1.7802346666806471E-4</c:v>
                </c:pt>
                <c:pt idx="12">
                  <c:v>8.1407333331950937E-5</c:v>
                </c:pt>
                <c:pt idx="13">
                  <c:v>1.148322666679746E-4</c:v>
                </c:pt>
                <c:pt idx="14">
                  <c:v>4.0545200000074999E-5</c:v>
                </c:pt>
                <c:pt idx="15">
                  <c:v>-3.9975666666691723E-4</c:v>
                </c:pt>
                <c:pt idx="16">
                  <c:v>-2.008699731600001</c:v>
                </c:pt>
                <c:pt idx="17">
                  <c:v>-2.3706336002666668</c:v>
                </c:pt>
                <c:pt idx="18">
                  <c:v>-2.6147366960000009</c:v>
                </c:pt>
                <c:pt idx="19">
                  <c:v>-2.8422824061333318</c:v>
                </c:pt>
                <c:pt idx="20">
                  <c:v>-2.7106232764000011</c:v>
                </c:pt>
                <c:pt idx="21">
                  <c:v>-1.3992117211999999</c:v>
                </c:pt>
                <c:pt idx="22">
                  <c:v>-3.128141924666668</c:v>
                </c:pt>
                <c:pt idx="23">
                  <c:v>-2.2558817088000001</c:v>
                </c:pt>
                <c:pt idx="24">
                  <c:v>-2.2047433290666678</c:v>
                </c:pt>
                <c:pt idx="25">
                  <c:v>-3.1986316719999999</c:v>
                </c:pt>
                <c:pt idx="26">
                  <c:v>-2.909612482</c:v>
                </c:pt>
                <c:pt idx="27">
                  <c:v>-3.1027709941333348</c:v>
                </c:pt>
                <c:pt idx="28">
                  <c:v>-2.8016518931999999</c:v>
                </c:pt>
                <c:pt idx="29">
                  <c:v>-2.8221901730666681</c:v>
                </c:pt>
                <c:pt idx="30">
                  <c:v>-2.4759651614666671</c:v>
                </c:pt>
                <c:pt idx="31">
                  <c:v>-2.3228911872000011</c:v>
                </c:pt>
                <c:pt idx="32">
                  <c:v>-2.0580810573333319</c:v>
                </c:pt>
                <c:pt idx="33">
                  <c:v>-1.332077606266665</c:v>
                </c:pt>
                <c:pt idx="34">
                  <c:v>-1.1505387273333321</c:v>
                </c:pt>
                <c:pt idx="35">
                  <c:v>-0.86833962120000008</c:v>
                </c:pt>
                <c:pt idx="36">
                  <c:v>-0.6395102680000011</c:v>
                </c:pt>
                <c:pt idx="37">
                  <c:v>-0.41105199266666698</c:v>
                </c:pt>
                <c:pt idx="38">
                  <c:v>-3.57424144000002E-2</c:v>
                </c:pt>
                <c:pt idx="39">
                  <c:v>3.4071826666703942E-4</c:v>
                </c:pt>
                <c:pt idx="40">
                  <c:v>-1.5777626666668709E-4</c:v>
                </c:pt>
                <c:pt idx="41">
                  <c:v>-2.8866666666704788E-4</c:v>
                </c:pt>
                <c:pt idx="42">
                  <c:v>4.0299999999993119E-4</c:v>
                </c:pt>
                <c:pt idx="43">
                  <c:v>1.1433333333304981E-4</c:v>
                </c:pt>
                <c:pt idx="44">
                  <c:v>-6.1333333333024598E-5</c:v>
                </c:pt>
                <c:pt idx="45">
                  <c:v>-1.9066666666700541E-4</c:v>
                </c:pt>
                <c:pt idx="46">
                  <c:v>-4.41999999999998E-4</c:v>
                </c:pt>
                <c:pt idx="47">
                  <c:v>6.0000000000060014E-6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EA7C-41CE-86FB-8720DE7EBF17}"/>
            </c:ext>
          </c:extLst>
        </c:ser>
        <c:ser>
          <c:idx val="55"/>
          <c:order val="55"/>
          <c:tx>
            <c:v>BES_TR8_four978_A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Net_kW!$BF$2:$BF$49</c:f>
              <c:numCache>
                <c:formatCode>#,##0.000</c:formatCode>
                <c:ptCount val="48"/>
                <c:pt idx="0">
                  <c:v>-1.3533333333404229E-4</c:v>
                </c:pt>
                <c:pt idx="1">
                  <c:v>4.1999999999986493E-5</c:v>
                </c:pt>
                <c:pt idx="2">
                  <c:v>-2.6666666670116519E-6</c:v>
                </c:pt>
                <c:pt idx="3">
                  <c:v>1.659999999999717E-4</c:v>
                </c:pt>
                <c:pt idx="4">
                  <c:v>0</c:v>
                </c:pt>
                <c:pt idx="5">
                  <c:v>-2.7333333333301463E-4</c:v>
                </c:pt>
                <c:pt idx="6">
                  <c:v>4.4366666666699472E-4</c:v>
                </c:pt>
                <c:pt idx="7">
                  <c:v>-1.1550216666667E-4</c:v>
                </c:pt>
                <c:pt idx="8">
                  <c:v>1.639421666667501E-4</c:v>
                </c:pt>
                <c:pt idx="9">
                  <c:v>-4.8513991666699832E-4</c:v>
                </c:pt>
                <c:pt idx="10">
                  <c:v>-3.3768016666749218E-4</c:v>
                </c:pt>
                <c:pt idx="11">
                  <c:v>-3.5123533333247797E-4</c:v>
                </c:pt>
                <c:pt idx="12">
                  <c:v>-1.16787083334513E-4</c:v>
                </c:pt>
                <c:pt idx="13">
                  <c:v>4.3277016666753992E-4</c:v>
                </c:pt>
                <c:pt idx="14">
                  <c:v>-1.0332591666606381E-4</c:v>
                </c:pt>
                <c:pt idx="15">
                  <c:v>-9.9306249999875362E-5</c:v>
                </c:pt>
                <c:pt idx="16">
                  <c:v>-3.945405833349902E-4</c:v>
                </c:pt>
                <c:pt idx="17">
                  <c:v>3.0216649999981188E-4</c:v>
                </c:pt>
                <c:pt idx="18">
                  <c:v>-0.85467226833333476</c:v>
                </c:pt>
                <c:pt idx="19">
                  <c:v>-1.1399096288333319</c:v>
                </c:pt>
                <c:pt idx="20">
                  <c:v>-1.460013589416667</c:v>
                </c:pt>
                <c:pt idx="21">
                  <c:v>-1.579881367416667</c:v>
                </c:pt>
                <c:pt idx="22">
                  <c:v>-1.9968215362499999</c:v>
                </c:pt>
                <c:pt idx="23">
                  <c:v>-2.071101793</c:v>
                </c:pt>
                <c:pt idx="24">
                  <c:v>-0.38742689733333679</c:v>
                </c:pt>
                <c:pt idx="25">
                  <c:v>-1.221015111666667</c:v>
                </c:pt>
                <c:pt idx="26">
                  <c:v>-1.8797127179166671</c:v>
                </c:pt>
                <c:pt idx="27">
                  <c:v>-1.853181954666667</c:v>
                </c:pt>
                <c:pt idx="28">
                  <c:v>-1.805131099916667</c:v>
                </c:pt>
                <c:pt idx="29">
                  <c:v>-1.6265588581666679</c:v>
                </c:pt>
                <c:pt idx="30">
                  <c:v>-1.4978519759166671</c:v>
                </c:pt>
                <c:pt idx="31">
                  <c:v>-0.17562524199999799</c:v>
                </c:pt>
                <c:pt idx="32">
                  <c:v>-0.97427903583333209</c:v>
                </c:pt>
                <c:pt idx="33">
                  <c:v>-0.91510254558333304</c:v>
                </c:pt>
                <c:pt idx="34">
                  <c:v>-0.81004732958333248</c:v>
                </c:pt>
                <c:pt idx="35">
                  <c:v>-1.7865513249999961E-2</c:v>
                </c:pt>
                <c:pt idx="36">
                  <c:v>5.6982500002578103E-5</c:v>
                </c:pt>
                <c:pt idx="37">
                  <c:v>-2.2147041666698011E-4</c:v>
                </c:pt>
                <c:pt idx="38">
                  <c:v>-1.944006666662057E-4</c:v>
                </c:pt>
                <c:pt idx="39">
                  <c:v>-2.8230108333304749E-4</c:v>
                </c:pt>
                <c:pt idx="40">
                  <c:v>-4.8902683333362784E-4</c:v>
                </c:pt>
                <c:pt idx="41">
                  <c:v>-3.4866666666610868E-4</c:v>
                </c:pt>
                <c:pt idx="42">
                  <c:v>-3.0066666666983538E-4</c:v>
                </c:pt>
                <c:pt idx="43">
                  <c:v>-6.4333333329891218E-5</c:v>
                </c:pt>
                <c:pt idx="44">
                  <c:v>1.6633333333293529E-4</c:v>
                </c:pt>
                <c:pt idx="45">
                  <c:v>4.9599999999999644E-4</c:v>
                </c:pt>
                <c:pt idx="46">
                  <c:v>5.9333333332994842E-5</c:v>
                </c:pt>
                <c:pt idx="47">
                  <c:v>1.03999999999993E-4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EA7C-41CE-86FB-8720DE7EBF17}"/>
            </c:ext>
          </c:extLst>
        </c:ser>
        <c:ser>
          <c:idx val="56"/>
          <c:order val="56"/>
          <c:tx>
            <c:v>BES_TR8_four104_A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Net_kW!$BG$2:$BG$49</c:f>
              <c:numCache>
                <c:formatCode>#,##0.000</c:formatCode>
                <c:ptCount val="48"/>
                <c:pt idx="0">
                  <c:v>-2.010000000000067E-4</c:v>
                </c:pt>
                <c:pt idx="1">
                  <c:v>-4.6266666666670148E-4</c:v>
                </c:pt>
                <c:pt idx="2">
                  <c:v>-8.3333333332991089E-5</c:v>
                </c:pt>
                <c:pt idx="3">
                  <c:v>2.8800000000001052E-4</c:v>
                </c:pt>
                <c:pt idx="4">
                  <c:v>-3.1333333333297131E-4</c:v>
                </c:pt>
                <c:pt idx="5">
                  <c:v>-4.0000000000012248E-5</c:v>
                </c:pt>
                <c:pt idx="6">
                  <c:v>-2.176666666670046E-4</c:v>
                </c:pt>
                <c:pt idx="7">
                  <c:v>9.3698699999991697E-5</c:v>
                </c:pt>
                <c:pt idx="8">
                  <c:v>2.1565300000053741E-5</c:v>
                </c:pt>
                <c:pt idx="9">
                  <c:v>4.7158271666701562E-4</c:v>
                </c:pt>
                <c:pt idx="10">
                  <c:v>-1.3860810000051671E-4</c:v>
                </c:pt>
                <c:pt idx="11">
                  <c:v>-4.7411999994917409E-6</c:v>
                </c:pt>
                <c:pt idx="12">
                  <c:v>4.5719441666638988E-4</c:v>
                </c:pt>
                <c:pt idx="13">
                  <c:v>1.630621000004995E-4</c:v>
                </c:pt>
                <c:pt idx="14">
                  <c:v>-3.6579554999999209E-4</c:v>
                </c:pt>
                <c:pt idx="15">
                  <c:v>2.9521625000011881E-4</c:v>
                </c:pt>
                <c:pt idx="16">
                  <c:v>-2.7524350000640571E-5</c:v>
                </c:pt>
                <c:pt idx="17">
                  <c:v>2.105665666667367E-4</c:v>
                </c:pt>
                <c:pt idx="18">
                  <c:v>-4.4776099999999103E-4</c:v>
                </c:pt>
                <c:pt idx="19">
                  <c:v>1.0622270000082421E-4</c:v>
                </c:pt>
                <c:pt idx="20">
                  <c:v>3.5231301666716058E-4</c:v>
                </c:pt>
                <c:pt idx="21">
                  <c:v>7.7912883330255589E-5</c:v>
                </c:pt>
                <c:pt idx="22">
                  <c:v>-4.7705508333295571E-4</c:v>
                </c:pt>
                <c:pt idx="23">
                  <c:v>-3.4184913333301647E-4</c:v>
                </c:pt>
                <c:pt idx="24">
                  <c:v>4.5950159999907919E-4</c:v>
                </c:pt>
                <c:pt idx="25">
                  <c:v>-0.77711062700000011</c:v>
                </c:pt>
                <c:pt idx="26">
                  <c:v>-1.03909843075</c:v>
                </c:pt>
                <c:pt idx="27">
                  <c:v>-0.94282837279999998</c:v>
                </c:pt>
                <c:pt idx="28">
                  <c:v>-1.00153745995</c:v>
                </c:pt>
                <c:pt idx="29">
                  <c:v>-0.82550331490000006</c:v>
                </c:pt>
                <c:pt idx="30">
                  <c:v>-3.0918554999992409E-4</c:v>
                </c:pt>
                <c:pt idx="31">
                  <c:v>2.3705479999959481E-4</c:v>
                </c:pt>
                <c:pt idx="32">
                  <c:v>-0.50133168816666629</c:v>
                </c:pt>
                <c:pt idx="33">
                  <c:v>-0.51023472734999942</c:v>
                </c:pt>
                <c:pt idx="34">
                  <c:v>-0.41975873108333239</c:v>
                </c:pt>
                <c:pt idx="35">
                  <c:v>-0.3878951079500001</c:v>
                </c:pt>
                <c:pt idx="36">
                  <c:v>-7.919218383333354E-2</c:v>
                </c:pt>
                <c:pt idx="37">
                  <c:v>-0.21053152224999999</c:v>
                </c:pt>
                <c:pt idx="38">
                  <c:v>-4.4028039999991289E-4</c:v>
                </c:pt>
                <c:pt idx="39">
                  <c:v>-1.2398065000002181E-4</c:v>
                </c:pt>
                <c:pt idx="40">
                  <c:v>-4.7941610000000467E-4</c:v>
                </c:pt>
                <c:pt idx="41">
                  <c:v>3.7333333333300361E-4</c:v>
                </c:pt>
                <c:pt idx="42">
                  <c:v>-1.823333333330068E-4</c:v>
                </c:pt>
                <c:pt idx="43">
                  <c:v>3.8933333333296399E-4</c:v>
                </c:pt>
                <c:pt idx="44">
                  <c:v>2.0333333330180281E-5</c:v>
                </c:pt>
                <c:pt idx="45">
                  <c:v>3.829999999999667E-4</c:v>
                </c:pt>
                <c:pt idx="46">
                  <c:v>4.5066666666698779E-4</c:v>
                </c:pt>
                <c:pt idx="47">
                  <c:v>-3.6766666666698811E-4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EA7C-41CE-86FB-8720DE7EBF17}"/>
            </c:ext>
          </c:extLst>
        </c:ser>
        <c:ser>
          <c:idx val="57"/>
          <c:order val="57"/>
          <c:tx>
            <c:v>BES_TR8_four988_A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Net_kW!$BH$2:$BH$49</c:f>
              <c:numCache>
                <c:formatCode>#,##0.000</c:formatCode>
                <c:ptCount val="48"/>
                <c:pt idx="0">
                  <c:v>2.34000000000012E-4</c:v>
                </c:pt>
                <c:pt idx="1">
                  <c:v>-2.8133333333330007E-4</c:v>
                </c:pt>
                <c:pt idx="2">
                  <c:v>1.7966666666669601E-4</c:v>
                </c:pt>
                <c:pt idx="3">
                  <c:v>-2.27000000000005E-4</c:v>
                </c:pt>
                <c:pt idx="4">
                  <c:v>0</c:v>
                </c:pt>
                <c:pt idx="5">
                  <c:v>1.5599999999998951E-4</c:v>
                </c:pt>
                <c:pt idx="6">
                  <c:v>-2.033333333330001E-4</c:v>
                </c:pt>
                <c:pt idx="7">
                  <c:v>-1.7350666666332559E-6</c:v>
                </c:pt>
                <c:pt idx="8">
                  <c:v>3.6675373333341921E-4</c:v>
                </c:pt>
                <c:pt idx="9">
                  <c:v>-2.8677859999999561E-4</c:v>
                </c:pt>
                <c:pt idx="10">
                  <c:v>3.298558666660345E-4</c:v>
                </c:pt>
                <c:pt idx="11">
                  <c:v>2.36784000010315E-5</c:v>
                </c:pt>
                <c:pt idx="12">
                  <c:v>4.0703666665919958E-5</c:v>
                </c:pt>
                <c:pt idx="13">
                  <c:v>4.082800000970721E-6</c:v>
                </c:pt>
                <c:pt idx="14">
                  <c:v>2.7427259999990289E-4</c:v>
                </c:pt>
                <c:pt idx="15">
                  <c:v>-4.3304499999996532E-4</c:v>
                </c:pt>
                <c:pt idx="16">
                  <c:v>-4.5569913333409762E-4</c:v>
                </c:pt>
                <c:pt idx="17">
                  <c:v>-3.2546679999989608E-4</c:v>
                </c:pt>
                <c:pt idx="18">
                  <c:v>-1.5968133333399409E-4</c:v>
                </c:pt>
                <c:pt idx="19">
                  <c:v>-0.45823370306666589</c:v>
                </c:pt>
                <c:pt idx="20">
                  <c:v>-1.3681244715333341</c:v>
                </c:pt>
                <c:pt idx="21">
                  <c:v>-1.3248978939333329</c:v>
                </c:pt>
                <c:pt idx="22">
                  <c:v>-1.4627189623333341</c:v>
                </c:pt>
                <c:pt idx="23">
                  <c:v>-1.5913293544</c:v>
                </c:pt>
                <c:pt idx="24">
                  <c:v>-1.4044859978666679</c:v>
                </c:pt>
                <c:pt idx="25">
                  <c:v>-1.291778836</c:v>
                </c:pt>
                <c:pt idx="26">
                  <c:v>-1.4606265743333331</c:v>
                </c:pt>
                <c:pt idx="27">
                  <c:v>-1.556667163733334</c:v>
                </c:pt>
                <c:pt idx="28">
                  <c:v>-1.367879279933333</c:v>
                </c:pt>
                <c:pt idx="29">
                  <c:v>-1.3460170865333341</c:v>
                </c:pt>
                <c:pt idx="30">
                  <c:v>-1.2895642474</c:v>
                </c:pt>
                <c:pt idx="31">
                  <c:v>-1.1697919269333339</c:v>
                </c:pt>
                <c:pt idx="32">
                  <c:v>-0.77269402866666592</c:v>
                </c:pt>
                <c:pt idx="33">
                  <c:v>-0.72015563646666592</c:v>
                </c:pt>
                <c:pt idx="34">
                  <c:v>-0.51746819699999902</c:v>
                </c:pt>
                <c:pt idx="35">
                  <c:v>-0.30339981059999999</c:v>
                </c:pt>
                <c:pt idx="36">
                  <c:v>-0.20774246733333401</c:v>
                </c:pt>
                <c:pt idx="37">
                  <c:v>-2.7902966666702722E-4</c:v>
                </c:pt>
                <c:pt idx="38">
                  <c:v>1.6295946666643191E-4</c:v>
                </c:pt>
                <c:pt idx="39">
                  <c:v>-3.9430753333302698E-4</c:v>
                </c:pt>
                <c:pt idx="40">
                  <c:v>-3.3755480000036142E-4</c:v>
                </c:pt>
                <c:pt idx="41">
                  <c:v>-4.1333333333298811E-4</c:v>
                </c:pt>
                <c:pt idx="42">
                  <c:v>-1.1199999999989001E-4</c:v>
                </c:pt>
                <c:pt idx="43">
                  <c:v>-6.8666666666994391E-5</c:v>
                </c:pt>
                <c:pt idx="44">
                  <c:v>3.909999999999747E-4</c:v>
                </c:pt>
                <c:pt idx="45">
                  <c:v>-2.6833333333309278E-4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EA7C-41CE-86FB-8720DE7EBF17}"/>
            </c:ext>
          </c:extLst>
        </c:ser>
        <c:ser>
          <c:idx val="58"/>
          <c:order val="58"/>
          <c:tx>
            <c:v>BES_TR8_four1013_B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Net_kW!$BI$2:$BI$49</c:f>
              <c:numCache>
                <c:formatCode>#,##0.000</c:formatCode>
                <c:ptCount val="48"/>
                <c:pt idx="0">
                  <c:v>-1.2899999999999021E-4</c:v>
                </c:pt>
                <c:pt idx="1">
                  <c:v>-1.4899999999999641E-4</c:v>
                </c:pt>
                <c:pt idx="2">
                  <c:v>3.6100000000000021E-4</c:v>
                </c:pt>
                <c:pt idx="3">
                  <c:v>3.6100000000000021E-4</c:v>
                </c:pt>
                <c:pt idx="4">
                  <c:v>0</c:v>
                </c:pt>
                <c:pt idx="5">
                  <c:v>-4.2999999999987493E-5</c:v>
                </c:pt>
                <c:pt idx="6">
                  <c:v>-2.35000000000013E-4</c:v>
                </c:pt>
                <c:pt idx="7">
                  <c:v>-4.4080346666666709E-4</c:v>
                </c:pt>
                <c:pt idx="8">
                  <c:v>2.8550746666680671E-4</c:v>
                </c:pt>
                <c:pt idx="9">
                  <c:v>1.2844279999998931E-4</c:v>
                </c:pt>
                <c:pt idx="10">
                  <c:v>-4.2628826666801789E-4</c:v>
                </c:pt>
                <c:pt idx="11">
                  <c:v>-4.9976533331941297E-5</c:v>
                </c:pt>
                <c:pt idx="12">
                  <c:v>8.1407333331839915E-5</c:v>
                </c:pt>
                <c:pt idx="13">
                  <c:v>-1.916773333188182E-5</c:v>
                </c:pt>
                <c:pt idx="14">
                  <c:v>-9.8521466666889879E-5</c:v>
                </c:pt>
                <c:pt idx="15">
                  <c:v>-1.3665666666695661E-4</c:v>
                </c:pt>
                <c:pt idx="16">
                  <c:v>-1.828364398266668</c:v>
                </c:pt>
                <c:pt idx="17">
                  <c:v>-2.2006896002666672</c:v>
                </c:pt>
                <c:pt idx="18">
                  <c:v>-1.6434660293333381</c:v>
                </c:pt>
                <c:pt idx="19">
                  <c:v>-2.650551406133332</c:v>
                </c:pt>
                <c:pt idx="20">
                  <c:v>-2.8499772764000011</c:v>
                </c:pt>
                <c:pt idx="21">
                  <c:v>-3.1663481212</c:v>
                </c:pt>
                <c:pt idx="22">
                  <c:v>-3.166481258000001</c:v>
                </c:pt>
                <c:pt idx="23">
                  <c:v>-2.9073033754666668</c:v>
                </c:pt>
                <c:pt idx="24">
                  <c:v>-1.4021989957333381</c:v>
                </c:pt>
                <c:pt idx="25">
                  <c:v>-2.8658446720000001</c:v>
                </c:pt>
                <c:pt idx="26">
                  <c:v>-2.9437784819999999</c:v>
                </c:pt>
                <c:pt idx="27">
                  <c:v>-2.5029486608000009</c:v>
                </c:pt>
                <c:pt idx="28">
                  <c:v>-2.9642528931999998</c:v>
                </c:pt>
                <c:pt idx="29">
                  <c:v>-2.503288506400001</c:v>
                </c:pt>
                <c:pt idx="30">
                  <c:v>-2.4372334948000001</c:v>
                </c:pt>
                <c:pt idx="31">
                  <c:v>-2.1750603872000012</c:v>
                </c:pt>
                <c:pt idx="32">
                  <c:v>-1.777629057333332</c:v>
                </c:pt>
                <c:pt idx="33">
                  <c:v>-1.619539939599999</c:v>
                </c:pt>
                <c:pt idx="34">
                  <c:v>-1.2900647273333321</c:v>
                </c:pt>
                <c:pt idx="35">
                  <c:v>-0.93184228786666701</c:v>
                </c:pt>
                <c:pt idx="36">
                  <c:v>-0.77332693466666802</c:v>
                </c:pt>
                <c:pt idx="37">
                  <c:v>-0.54519772600000005</c:v>
                </c:pt>
                <c:pt idx="38">
                  <c:v>-0.15715174773333321</c:v>
                </c:pt>
                <c:pt idx="39">
                  <c:v>-4.5159948399999997E-2</c:v>
                </c:pt>
                <c:pt idx="40">
                  <c:v>4.4822373333330828E-4</c:v>
                </c:pt>
                <c:pt idx="41">
                  <c:v>-4.900000000000182E-4</c:v>
                </c:pt>
                <c:pt idx="42">
                  <c:v>0</c:v>
                </c:pt>
                <c:pt idx="43">
                  <c:v>-2.7800000000000052E-4</c:v>
                </c:pt>
                <c:pt idx="44">
                  <c:v>0</c:v>
                </c:pt>
                <c:pt idx="45">
                  <c:v>6.2999999999979739E-5</c:v>
                </c:pt>
                <c:pt idx="46">
                  <c:v>-3.4100000000000802E-4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EA7C-41CE-86FB-8720DE7EBF17}"/>
            </c:ext>
          </c:extLst>
        </c:ser>
        <c:ser>
          <c:idx val="59"/>
          <c:order val="59"/>
          <c:tx>
            <c:v>BES_TR8_four1027_A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Net_kW!$BJ$2:$BJ$49</c:f>
              <c:numCache>
                <c:formatCode>#,##0.000</c:formatCode>
                <c:ptCount val="48"/>
                <c:pt idx="0">
                  <c:v>-4.3433333333330049E-4</c:v>
                </c:pt>
                <c:pt idx="1">
                  <c:v>2.8100000000000352E-4</c:v>
                </c:pt>
                <c:pt idx="2">
                  <c:v>2.8100000000000352E-4</c:v>
                </c:pt>
                <c:pt idx="3">
                  <c:v>-7.3333333330122263E-6</c:v>
                </c:pt>
                <c:pt idx="4">
                  <c:v>-4.3066666666670422E-4</c:v>
                </c:pt>
                <c:pt idx="5">
                  <c:v>-6.9388939039072284E-18</c:v>
                </c:pt>
                <c:pt idx="6">
                  <c:v>-6.9388939039072284E-18</c:v>
                </c:pt>
                <c:pt idx="7">
                  <c:v>-1.5840173333334101E-4</c:v>
                </c:pt>
                <c:pt idx="8">
                  <c:v>1.3275373333339341E-4</c:v>
                </c:pt>
                <c:pt idx="9">
                  <c:v>-2.8677860000000938E-4</c:v>
                </c:pt>
                <c:pt idx="10">
                  <c:v>-1.08144133334015E-4</c:v>
                </c:pt>
                <c:pt idx="11">
                  <c:v>7.1011733334014338E-5</c:v>
                </c:pt>
                <c:pt idx="12">
                  <c:v>-2.51296333334039E-4</c:v>
                </c:pt>
                <c:pt idx="13">
                  <c:v>-1.65838666661422E-5</c:v>
                </c:pt>
                <c:pt idx="14">
                  <c:v>2.02726000000375E-5</c:v>
                </c:pt>
                <c:pt idx="15">
                  <c:v>-3.1304499999995627E-4</c:v>
                </c:pt>
                <c:pt idx="16">
                  <c:v>4.0340086666601488E-4</c:v>
                </c:pt>
                <c:pt idx="17">
                  <c:v>-1.7186679999992019E-4</c:v>
                </c:pt>
                <c:pt idx="18">
                  <c:v>-0.39142768133333389</c:v>
                </c:pt>
                <c:pt idx="19">
                  <c:v>-1.1617667030666661</c:v>
                </c:pt>
                <c:pt idx="20">
                  <c:v>-1.5062928048666671</c:v>
                </c:pt>
                <c:pt idx="21">
                  <c:v>-1.544802227266667</c:v>
                </c:pt>
                <c:pt idx="22">
                  <c:v>-1.649488962333334</c:v>
                </c:pt>
                <c:pt idx="23">
                  <c:v>-1.6717833544</c:v>
                </c:pt>
                <c:pt idx="24">
                  <c:v>-1.6782406645333341</c:v>
                </c:pt>
                <c:pt idx="25">
                  <c:v>-1.591598836</c:v>
                </c:pt>
                <c:pt idx="26">
                  <c:v>-1.6029202410000001</c:v>
                </c:pt>
                <c:pt idx="27">
                  <c:v>-1.5636671637333339</c:v>
                </c:pt>
                <c:pt idx="28">
                  <c:v>-1.4151919466</c:v>
                </c:pt>
                <c:pt idx="29">
                  <c:v>-1.3960950865333339</c:v>
                </c:pt>
                <c:pt idx="30">
                  <c:v>-1.2551409140666669</c:v>
                </c:pt>
                <c:pt idx="31">
                  <c:v>-1.1436532602666669</c:v>
                </c:pt>
                <c:pt idx="32">
                  <c:v>-1.041900028666666</c:v>
                </c:pt>
                <c:pt idx="33">
                  <c:v>-0.87903563646666594</c:v>
                </c:pt>
                <c:pt idx="34">
                  <c:v>-0.72246353033333266</c:v>
                </c:pt>
                <c:pt idx="35">
                  <c:v>-0.31569214393333411</c:v>
                </c:pt>
                <c:pt idx="36">
                  <c:v>-0.206928467333334</c:v>
                </c:pt>
                <c:pt idx="37">
                  <c:v>-0.154808363</c:v>
                </c:pt>
                <c:pt idx="38">
                  <c:v>1.2762613333343331E-4</c:v>
                </c:pt>
                <c:pt idx="39">
                  <c:v>3.2602579999999048E-4</c:v>
                </c:pt>
                <c:pt idx="40">
                  <c:v>-3.1554800000388461E-5</c:v>
                </c:pt>
                <c:pt idx="41">
                  <c:v>3.3333333333296361E-4</c:v>
                </c:pt>
                <c:pt idx="42">
                  <c:v>3.3333333333301912E-4</c:v>
                </c:pt>
                <c:pt idx="43">
                  <c:v>-3.3333333330221042E-6</c:v>
                </c:pt>
                <c:pt idx="44">
                  <c:v>-2.8866666666693691E-4</c:v>
                </c:pt>
                <c:pt idx="45">
                  <c:v>2.1133333333400731E-4</c:v>
                </c:pt>
                <c:pt idx="46">
                  <c:v>2.0000000000019998E-5</c:v>
                </c:pt>
                <c:pt idx="47">
                  <c:v>-2.9733333333298312E-4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EA7C-41CE-86FB-8720DE7EBF17}"/>
            </c:ext>
          </c:extLst>
        </c:ser>
        <c:ser>
          <c:idx val="60"/>
          <c:order val="60"/>
          <c:tx>
            <c:v>BES_TR8_four1132_C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Net_kW!$BK$2:$BK$49</c:f>
              <c:numCache>
                <c:formatCode>#,##0.000</c:formatCode>
                <c:ptCount val="48"/>
                <c:pt idx="0">
                  <c:v>3.3066666666699268E-4</c:v>
                </c:pt>
                <c:pt idx="1">
                  <c:v>-9.6000000000012742E-5</c:v>
                </c:pt>
                <c:pt idx="2">
                  <c:v>7.6666666666697081E-5</c:v>
                </c:pt>
                <c:pt idx="3">
                  <c:v>-3.8666666666699318E-4</c:v>
                </c:pt>
                <c:pt idx="4">
                  <c:v>0</c:v>
                </c:pt>
                <c:pt idx="5">
                  <c:v>-2.2533333333302211E-4</c:v>
                </c:pt>
                <c:pt idx="6">
                  <c:v>-4.633333333330103E-4</c:v>
                </c:pt>
                <c:pt idx="7">
                  <c:v>4.239636333333574E-4</c:v>
                </c:pt>
                <c:pt idx="8">
                  <c:v>-2.9101429999955908E-4</c:v>
                </c:pt>
                <c:pt idx="9">
                  <c:v>4.5813745000000678E-4</c:v>
                </c:pt>
                <c:pt idx="10">
                  <c:v>2.2558109999881731E-4</c:v>
                </c:pt>
                <c:pt idx="11">
                  <c:v>2.8727053333454927E-4</c:v>
                </c:pt>
                <c:pt idx="12">
                  <c:v>7.1231416665429315E-5</c:v>
                </c:pt>
                <c:pt idx="13">
                  <c:v>8.6244900001863911E-5</c:v>
                </c:pt>
                <c:pt idx="14">
                  <c:v>2.063770500000395E-4</c:v>
                </c:pt>
                <c:pt idx="15">
                  <c:v>-1.5282875000011131E-4</c:v>
                </c:pt>
                <c:pt idx="16">
                  <c:v>-0.59757889015000221</c:v>
                </c:pt>
                <c:pt idx="17">
                  <c:v>-0.75129223356667008</c:v>
                </c:pt>
                <c:pt idx="18">
                  <c:v>-1.4223474423333351</c:v>
                </c:pt>
                <c:pt idx="19">
                  <c:v>-1.4778654803666651</c:v>
                </c:pt>
                <c:pt idx="20">
                  <c:v>-2.5733084918500011</c:v>
                </c:pt>
                <c:pt idx="21">
                  <c:v>-2.819533314383333</c:v>
                </c:pt>
                <c:pt idx="22">
                  <c:v>-2.90181735075</c:v>
                </c:pt>
                <c:pt idx="23">
                  <c:v>-2.5028855368666671</c:v>
                </c:pt>
                <c:pt idx="24">
                  <c:v>-2.9641711629333352</c:v>
                </c:pt>
                <c:pt idx="25">
                  <c:v>-2.8163234629999998</c:v>
                </c:pt>
                <c:pt idx="26">
                  <c:v>-2.7006910050833328</c:v>
                </c:pt>
                <c:pt idx="27">
                  <c:v>-2.7381171698666682</c:v>
                </c:pt>
                <c:pt idx="28">
                  <c:v>-2.4420294065500001</c:v>
                </c:pt>
                <c:pt idx="29">
                  <c:v>-2.3953950681000018</c:v>
                </c:pt>
                <c:pt idx="30">
                  <c:v>-2.1876674329500001</c:v>
                </c:pt>
                <c:pt idx="31">
                  <c:v>-1.7341927388</c:v>
                </c:pt>
                <c:pt idx="32">
                  <c:v>-1.788240916833332</c:v>
                </c:pt>
                <c:pt idx="33">
                  <c:v>-1.4457540304833321</c:v>
                </c:pt>
                <c:pt idx="34">
                  <c:v>-1.2738102614166651</c:v>
                </c:pt>
                <c:pt idx="35">
                  <c:v>-0.7635475852166671</c:v>
                </c:pt>
                <c:pt idx="36">
                  <c:v>-0.43971065116666752</c:v>
                </c:pt>
                <c:pt idx="37">
                  <c:v>-0.209449551916666</c:v>
                </c:pt>
                <c:pt idx="38">
                  <c:v>-0.1819732542666665</c:v>
                </c:pt>
                <c:pt idx="39">
                  <c:v>5.0378483333002322E-5</c:v>
                </c:pt>
                <c:pt idx="40">
                  <c:v>-2.7263756666329192E-4</c:v>
                </c:pt>
                <c:pt idx="41">
                  <c:v>-3.0599999999991739E-4</c:v>
                </c:pt>
                <c:pt idx="42">
                  <c:v>1.466666666694039E-5</c:v>
                </c:pt>
                <c:pt idx="43">
                  <c:v>2.8999999999998471E-4</c:v>
                </c:pt>
                <c:pt idx="44">
                  <c:v>1.5333333333329699E-4</c:v>
                </c:pt>
                <c:pt idx="45">
                  <c:v>4.2766666666693709E-4</c:v>
                </c:pt>
                <c:pt idx="46">
                  <c:v>-8.0366666666997766E-5</c:v>
                </c:pt>
                <c:pt idx="47">
                  <c:v>2.9999999999996701E-4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EA7C-41CE-86FB-8720DE7EBF17}"/>
            </c:ext>
          </c:extLst>
        </c:ser>
        <c:ser>
          <c:idx val="61"/>
          <c:order val="61"/>
          <c:tx>
            <c:v>BES_TR8_four126_A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Net_kW!$BL$2:$BL$49</c:f>
              <c:numCache>
                <c:formatCode>#,##0.000</c:formatCode>
                <c:ptCount val="48"/>
                <c:pt idx="0">
                  <c:v>-2.0133333333340051E-4</c:v>
                </c:pt>
                <c:pt idx="1">
                  <c:v>-1.7533333333301371E-4</c:v>
                </c:pt>
                <c:pt idx="2">
                  <c:v>0</c:v>
                </c:pt>
                <c:pt idx="3">
                  <c:v>2.286666666669879E-4</c:v>
                </c:pt>
                <c:pt idx="4">
                  <c:v>-3.3599999999989189E-4</c:v>
                </c:pt>
                <c:pt idx="5">
                  <c:v>0</c:v>
                </c:pt>
                <c:pt idx="6">
                  <c:v>-3.5633333333301431E-4</c:v>
                </c:pt>
                <c:pt idx="7">
                  <c:v>2.3829696666666231E-4</c:v>
                </c:pt>
                <c:pt idx="8">
                  <c:v>-2.9468096666656479E-4</c:v>
                </c:pt>
                <c:pt idx="9">
                  <c:v>1.6780411666700301E-4</c:v>
                </c:pt>
                <c:pt idx="10">
                  <c:v>3.2724776666553929E-4</c:v>
                </c:pt>
                <c:pt idx="11">
                  <c:v>4.3827053333456162E-4</c:v>
                </c:pt>
                <c:pt idx="12">
                  <c:v>3.9989808333240617E-4</c:v>
                </c:pt>
                <c:pt idx="13">
                  <c:v>-3.2918843333207271E-4</c:v>
                </c:pt>
                <c:pt idx="14">
                  <c:v>-6.2856283333134755E-5</c:v>
                </c:pt>
                <c:pt idx="15">
                  <c:v>-2.5116208333275658E-4</c:v>
                </c:pt>
                <c:pt idx="16">
                  <c:v>-1.0019422234833351</c:v>
                </c:pt>
                <c:pt idx="17">
                  <c:v>-2.049300233566667</c:v>
                </c:pt>
                <c:pt idx="18">
                  <c:v>-2.3652261090000022</c:v>
                </c:pt>
                <c:pt idx="19">
                  <c:v>-2.339247480366665</c:v>
                </c:pt>
                <c:pt idx="20">
                  <c:v>-2.6839531585166672</c:v>
                </c:pt>
                <c:pt idx="21">
                  <c:v>-2.7757189810499998</c:v>
                </c:pt>
                <c:pt idx="22">
                  <c:v>-2.8081866840833341</c:v>
                </c:pt>
                <c:pt idx="23">
                  <c:v>-2.8808202035333328</c:v>
                </c:pt>
                <c:pt idx="24">
                  <c:v>-2.961171162933335</c:v>
                </c:pt>
                <c:pt idx="25">
                  <c:v>-2.7164151296666672</c:v>
                </c:pt>
                <c:pt idx="26">
                  <c:v>-2.796694138416667</c:v>
                </c:pt>
                <c:pt idx="27">
                  <c:v>-2.560447536533335</c:v>
                </c:pt>
                <c:pt idx="28">
                  <c:v>-2.4989530732166672</c:v>
                </c:pt>
                <c:pt idx="29">
                  <c:v>-2.365451768100002</c:v>
                </c:pt>
                <c:pt idx="30">
                  <c:v>-2.2325006662833329</c:v>
                </c:pt>
                <c:pt idx="31">
                  <c:v>-1.959684538800001</c:v>
                </c:pt>
                <c:pt idx="32">
                  <c:v>-1.847575050166665</c:v>
                </c:pt>
                <c:pt idx="33">
                  <c:v>-1.354930363816665</c:v>
                </c:pt>
                <c:pt idx="34">
                  <c:v>-1.285549594749998</c:v>
                </c:pt>
                <c:pt idx="35">
                  <c:v>-0.95893258521666702</c:v>
                </c:pt>
                <c:pt idx="36">
                  <c:v>-0.63797828450000149</c:v>
                </c:pt>
                <c:pt idx="37">
                  <c:v>-0.35895488525000002</c:v>
                </c:pt>
                <c:pt idx="38">
                  <c:v>2.263457333334801E-4</c:v>
                </c:pt>
                <c:pt idx="39">
                  <c:v>3.784833330078285E-7</c:v>
                </c:pt>
                <c:pt idx="40">
                  <c:v>-2.5397090000039979E-4</c:v>
                </c:pt>
                <c:pt idx="41">
                  <c:v>-4.7866666666671048E-4</c:v>
                </c:pt>
                <c:pt idx="42">
                  <c:v>2.6933333333298282E-4</c:v>
                </c:pt>
                <c:pt idx="43">
                  <c:v>3.9733333333302761E-4</c:v>
                </c:pt>
                <c:pt idx="44">
                  <c:v>4.1400000000002551E-4</c:v>
                </c:pt>
                <c:pt idx="45">
                  <c:v>3.4599999999998521E-4</c:v>
                </c:pt>
                <c:pt idx="46">
                  <c:v>-4.533333333330003E-4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EA7C-41CE-86FB-8720DE7EBF17}"/>
            </c:ext>
          </c:extLst>
        </c:ser>
        <c:ser>
          <c:idx val="62"/>
          <c:order val="62"/>
          <c:tx>
            <c:v>BES_TR8_four1187_A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Net_kW!$BM$2:$BM$49</c:f>
              <c:numCache>
                <c:formatCode>#,##0.000</c:formatCode>
                <c:ptCount val="48"/>
                <c:pt idx="0">
                  <c:v>7.7666666667003392E-5</c:v>
                </c:pt>
                <c:pt idx="1">
                  <c:v>4.456666666670106E-4</c:v>
                </c:pt>
                <c:pt idx="2">
                  <c:v>-1.5400000000000141E-4</c:v>
                </c:pt>
                <c:pt idx="3">
                  <c:v>3.3499999999997421E-4</c:v>
                </c:pt>
                <c:pt idx="4">
                  <c:v>-3.5033333333328592E-4</c:v>
                </c:pt>
                <c:pt idx="5">
                  <c:v>1.3666666666700691E-4</c:v>
                </c:pt>
                <c:pt idx="6">
                  <c:v>-3.0600000000000072E-4</c:v>
                </c:pt>
                <c:pt idx="7">
                  <c:v>3.1793160000007092E-4</c:v>
                </c:pt>
                <c:pt idx="8">
                  <c:v>-3.6757959999959838E-4</c:v>
                </c:pt>
                <c:pt idx="9">
                  <c:v>-2.8677859999999561E-4</c:v>
                </c:pt>
                <c:pt idx="10">
                  <c:v>1.6052253333299901E-4</c:v>
                </c:pt>
                <c:pt idx="11">
                  <c:v>7.1011733334014338E-5</c:v>
                </c:pt>
                <c:pt idx="12">
                  <c:v>4.1003699999894733E-4</c:v>
                </c:pt>
                <c:pt idx="13">
                  <c:v>-4.0925053333262801E-4</c:v>
                </c:pt>
                <c:pt idx="14">
                  <c:v>2.02726000000375E-5</c:v>
                </c:pt>
                <c:pt idx="15">
                  <c:v>2.249550000000822E-4</c:v>
                </c:pt>
                <c:pt idx="16">
                  <c:v>-1.6469913333416741E-4</c:v>
                </c:pt>
                <c:pt idx="17">
                  <c:v>-4.9480013333302875E-4</c:v>
                </c:pt>
                <c:pt idx="18">
                  <c:v>5.1651999999346998E-5</c:v>
                </c:pt>
                <c:pt idx="19">
                  <c:v>-0.31201436973333291</c:v>
                </c:pt>
                <c:pt idx="20">
                  <c:v>-0.97372047153333385</c:v>
                </c:pt>
                <c:pt idx="21">
                  <c:v>-1.2413205606</c:v>
                </c:pt>
                <c:pt idx="22">
                  <c:v>-0.83315429566666688</c:v>
                </c:pt>
                <c:pt idx="23">
                  <c:v>-2.8335439999982448E-4</c:v>
                </c:pt>
                <c:pt idx="24">
                  <c:v>2.7933546666580877E-4</c:v>
                </c:pt>
                <c:pt idx="25">
                  <c:v>-1.7835999999826772E-5</c:v>
                </c:pt>
                <c:pt idx="26">
                  <c:v>-0.46192957433333343</c:v>
                </c:pt>
                <c:pt idx="27">
                  <c:v>-1.550667163733334</c:v>
                </c:pt>
                <c:pt idx="28">
                  <c:v>-1.312410279933333</c:v>
                </c:pt>
                <c:pt idx="29">
                  <c:v>-1.1972490865333341</c:v>
                </c:pt>
                <c:pt idx="30">
                  <c:v>-1.199943914066667</c:v>
                </c:pt>
                <c:pt idx="31">
                  <c:v>-0.97058159360000096</c:v>
                </c:pt>
                <c:pt idx="32">
                  <c:v>-0.91226402866666589</c:v>
                </c:pt>
                <c:pt idx="33">
                  <c:v>-9.8234303133332923E-2</c:v>
                </c:pt>
                <c:pt idx="34">
                  <c:v>-3.4686366666589202E-4</c:v>
                </c:pt>
                <c:pt idx="35">
                  <c:v>-3.7914393333005059E-4</c:v>
                </c:pt>
                <c:pt idx="36">
                  <c:v>6.25326666659487E-5</c:v>
                </c:pt>
                <c:pt idx="37">
                  <c:v>2.6997033333296672E-4</c:v>
                </c:pt>
                <c:pt idx="38">
                  <c:v>1.2262613333341441E-4</c:v>
                </c:pt>
                <c:pt idx="39">
                  <c:v>-4.0430753333298147E-4</c:v>
                </c:pt>
                <c:pt idx="40">
                  <c:v>-4.6955480000038241E-4</c:v>
                </c:pt>
                <c:pt idx="41">
                  <c:v>3.8766666666700811E-4</c:v>
                </c:pt>
                <c:pt idx="42">
                  <c:v>1.929999999999987E-4</c:v>
                </c:pt>
                <c:pt idx="43">
                  <c:v>1.7200000000006099E-4</c:v>
                </c:pt>
                <c:pt idx="44">
                  <c:v>2.3066666666669841E-4</c:v>
                </c:pt>
                <c:pt idx="45">
                  <c:v>-2.6199999999998452E-4</c:v>
                </c:pt>
                <c:pt idx="46">
                  <c:v>-1.789999999999847E-4</c:v>
                </c:pt>
                <c:pt idx="47">
                  <c:v>2.6900000000000529E-4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EA7C-41CE-86FB-8720DE7EBF17}"/>
            </c:ext>
          </c:extLst>
        </c:ser>
        <c:ser>
          <c:idx val="63"/>
          <c:order val="63"/>
          <c:tx>
            <c:v>BES_TR8_four1207_B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Net_kW!$BN$2:$BN$49</c:f>
              <c:numCache>
                <c:formatCode>#,##0.000</c:formatCode>
                <c:ptCount val="48"/>
                <c:pt idx="0">
                  <c:v>2.9466666666699842E-4</c:v>
                </c:pt>
                <c:pt idx="1">
                  <c:v>2.2333333333329761E-4</c:v>
                </c:pt>
                <c:pt idx="2">
                  <c:v>-2.036666666669906E-4</c:v>
                </c:pt>
                <c:pt idx="3">
                  <c:v>0</c:v>
                </c:pt>
                <c:pt idx="4">
                  <c:v>7.299999999998974E-5</c:v>
                </c:pt>
                <c:pt idx="5">
                  <c:v>-4.8333333333011597E-5</c:v>
                </c:pt>
                <c:pt idx="6">
                  <c:v>-4.3200000000000183E-4</c:v>
                </c:pt>
                <c:pt idx="7">
                  <c:v>-1.153012999999814E-4</c:v>
                </c:pt>
                <c:pt idx="8">
                  <c:v>-3.6876803333295288E-4</c:v>
                </c:pt>
                <c:pt idx="9">
                  <c:v>2.8991605000000179E-4</c:v>
                </c:pt>
                <c:pt idx="10">
                  <c:v>-4.8594143333350459E-4</c:v>
                </c:pt>
                <c:pt idx="11">
                  <c:v>-1.967411999994895E-4</c:v>
                </c:pt>
                <c:pt idx="12">
                  <c:v>-1.708055833336275E-4</c:v>
                </c:pt>
                <c:pt idx="13">
                  <c:v>7.039543333381415E-5</c:v>
                </c:pt>
                <c:pt idx="14">
                  <c:v>-2.8812888333340497E-4</c:v>
                </c:pt>
                <c:pt idx="15">
                  <c:v>-4.7478374999998518E-4</c:v>
                </c:pt>
                <c:pt idx="16">
                  <c:v>-2.6885768333395621E-4</c:v>
                </c:pt>
                <c:pt idx="17">
                  <c:v>4.6923323333325501E-4</c:v>
                </c:pt>
                <c:pt idx="18">
                  <c:v>1.7572333332993569E-5</c:v>
                </c:pt>
                <c:pt idx="19">
                  <c:v>3.9688936666792962E-4</c:v>
                </c:pt>
                <c:pt idx="20">
                  <c:v>3.6731301666703692E-4</c:v>
                </c:pt>
                <c:pt idx="21">
                  <c:v>-0.77708942044999996</c:v>
                </c:pt>
                <c:pt idx="22">
                  <c:v>-1.01876672175</c:v>
                </c:pt>
                <c:pt idx="23">
                  <c:v>-1.0614695158</c:v>
                </c:pt>
                <c:pt idx="24">
                  <c:v>-1.2233598317333341</c:v>
                </c:pt>
                <c:pt idx="25">
                  <c:v>-1.081413960333333</c:v>
                </c:pt>
                <c:pt idx="26">
                  <c:v>-1.1398664307499999</c:v>
                </c:pt>
                <c:pt idx="27">
                  <c:v>-1.1500003727999999</c:v>
                </c:pt>
                <c:pt idx="28">
                  <c:v>-0.91564245995000004</c:v>
                </c:pt>
                <c:pt idx="29">
                  <c:v>-0.93306598156666709</c:v>
                </c:pt>
                <c:pt idx="30">
                  <c:v>-0.94967318554999991</c:v>
                </c:pt>
                <c:pt idx="31">
                  <c:v>-0.72393727853333345</c:v>
                </c:pt>
                <c:pt idx="32">
                  <c:v>-0.6925583548333325</c:v>
                </c:pt>
                <c:pt idx="33">
                  <c:v>-0.61848689401666612</c:v>
                </c:pt>
                <c:pt idx="34">
                  <c:v>-0.1986897310833324</c:v>
                </c:pt>
                <c:pt idx="35">
                  <c:v>-0.30448337461666708</c:v>
                </c:pt>
                <c:pt idx="36">
                  <c:v>-0.1505387171666675</c:v>
                </c:pt>
                <c:pt idx="37">
                  <c:v>2.7547775000000269E-4</c:v>
                </c:pt>
                <c:pt idx="38">
                  <c:v>3.2805293333307278E-4</c:v>
                </c:pt>
                <c:pt idx="39">
                  <c:v>1.5968601666704879E-4</c:v>
                </c:pt>
                <c:pt idx="40">
                  <c:v>-3.8308276666598751E-4</c:v>
                </c:pt>
                <c:pt idx="41">
                  <c:v>-4.3533333333301011E-4</c:v>
                </c:pt>
                <c:pt idx="42">
                  <c:v>6.7333333332975087E-5</c:v>
                </c:pt>
                <c:pt idx="43">
                  <c:v>2.8399999999999259E-4</c:v>
                </c:pt>
                <c:pt idx="44">
                  <c:v>-8.1999999999998741E-5</c:v>
                </c:pt>
                <c:pt idx="45">
                  <c:v>-4.0566666666699841E-4</c:v>
                </c:pt>
                <c:pt idx="46">
                  <c:v>0</c:v>
                </c:pt>
                <c:pt idx="47">
                  <c:v>1.7966666666700831E-4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EA7C-41CE-86FB-8720DE7EBF17}"/>
            </c:ext>
          </c:extLst>
        </c:ser>
        <c:ser>
          <c:idx val="64"/>
          <c:order val="64"/>
          <c:tx>
            <c:v>BES_TR8_five168_A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Net_kW!$BO$2:$BO$49</c:f>
              <c:numCache>
                <c:formatCode>#,##0.000</c:formatCode>
                <c:ptCount val="48"/>
                <c:pt idx="0">
                  <c:v>9.9999999999988987E-5</c:v>
                </c:pt>
                <c:pt idx="1">
                  <c:v>8.8976666666667037E-2</c:v>
                </c:pt>
                <c:pt idx="2">
                  <c:v>7.7342666666666698E-2</c:v>
                </c:pt>
                <c:pt idx="3">
                  <c:v>0.14737066666666701</c:v>
                </c:pt>
                <c:pt idx="4">
                  <c:v>0.146942666666667</c:v>
                </c:pt>
                <c:pt idx="5">
                  <c:v>0.14153499999999999</c:v>
                </c:pt>
                <c:pt idx="6">
                  <c:v>0.15277833333333299</c:v>
                </c:pt>
                <c:pt idx="7">
                  <c:v>5.0989296966666667E-2</c:v>
                </c:pt>
                <c:pt idx="8">
                  <c:v>0.1034249857000004</c:v>
                </c:pt>
                <c:pt idx="9">
                  <c:v>-1.3119588333298379E-4</c:v>
                </c:pt>
                <c:pt idx="10">
                  <c:v>6.0581099998957548E-5</c:v>
                </c:pt>
                <c:pt idx="11">
                  <c:v>-2.6172946666552788E-4</c:v>
                </c:pt>
                <c:pt idx="12">
                  <c:v>1.7256474999871599E-4</c:v>
                </c:pt>
                <c:pt idx="13">
                  <c:v>4.8847823333497686E-4</c:v>
                </c:pt>
                <c:pt idx="14">
                  <c:v>-3.2118961666682821E-4</c:v>
                </c:pt>
                <c:pt idx="15">
                  <c:v>1.745045833330128E-4</c:v>
                </c:pt>
                <c:pt idx="16">
                  <c:v>4.7577651666497189E-4</c:v>
                </c:pt>
                <c:pt idx="17">
                  <c:v>-1.078636233566667</c:v>
                </c:pt>
                <c:pt idx="18">
                  <c:v>-2.1661011090000022</c:v>
                </c:pt>
                <c:pt idx="19">
                  <c:v>-2.507772147033331</c:v>
                </c:pt>
                <c:pt idx="20">
                  <c:v>-2.6379318251833341</c:v>
                </c:pt>
                <c:pt idx="21">
                  <c:v>-2.74233198105</c:v>
                </c:pt>
                <c:pt idx="22">
                  <c:v>-2.854495684083334</c:v>
                </c:pt>
                <c:pt idx="23">
                  <c:v>-2.728147536866667</c:v>
                </c:pt>
                <c:pt idx="24">
                  <c:v>-2.8481378296000019</c:v>
                </c:pt>
                <c:pt idx="25">
                  <c:v>-2.7709724630000001</c:v>
                </c:pt>
                <c:pt idx="26">
                  <c:v>-2.8660136717500002</c:v>
                </c:pt>
                <c:pt idx="27">
                  <c:v>-2.640954203200002</c:v>
                </c:pt>
                <c:pt idx="28">
                  <c:v>-2.5783194065499999</c:v>
                </c:pt>
                <c:pt idx="29">
                  <c:v>-2.3072814014333352</c:v>
                </c:pt>
                <c:pt idx="30">
                  <c:v>-2.215612699616667</c:v>
                </c:pt>
                <c:pt idx="31">
                  <c:v>-1.9594009388000011</c:v>
                </c:pt>
                <c:pt idx="32">
                  <c:v>-1.6101570501666651</c:v>
                </c:pt>
                <c:pt idx="33">
                  <c:v>-1.373981030483332</c:v>
                </c:pt>
                <c:pt idx="34">
                  <c:v>-0.93546926141666509</c:v>
                </c:pt>
                <c:pt idx="35">
                  <c:v>-0.81519191855000006</c:v>
                </c:pt>
                <c:pt idx="36">
                  <c:v>-0.48914571783333449</c:v>
                </c:pt>
                <c:pt idx="37">
                  <c:v>-0.37690048524999997</c:v>
                </c:pt>
                <c:pt idx="38">
                  <c:v>-3.9232093333241291E-4</c:v>
                </c:pt>
                <c:pt idx="39">
                  <c:v>-1.409548500000968E-4</c:v>
                </c:pt>
                <c:pt idx="40">
                  <c:v>-3.6330423333341688E-4</c:v>
                </c:pt>
                <c:pt idx="41">
                  <c:v>-1.153333333330231E-4</c:v>
                </c:pt>
                <c:pt idx="42">
                  <c:v>4.8333333333294698E-4</c:v>
                </c:pt>
                <c:pt idx="43">
                  <c:v>4.6733333333298649E-4</c:v>
                </c:pt>
                <c:pt idx="44">
                  <c:v>1.8600000000001951E-4</c:v>
                </c:pt>
                <c:pt idx="45">
                  <c:v>-3.9600000000006302E-4</c:v>
                </c:pt>
                <c:pt idx="46">
                  <c:v>-1.3633333333298861E-4</c:v>
                </c:pt>
                <c:pt idx="47">
                  <c:v>-1.5033333333340501E-4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EA7C-41CE-86FB-8720DE7EBF17}"/>
            </c:ext>
          </c:extLst>
        </c:ser>
        <c:ser>
          <c:idx val="65"/>
          <c:order val="65"/>
          <c:tx>
            <c:v>BES_TR8_five186_C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Net_kW!$BP$2:$BP$49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4.1939740000000031E-4</c:v>
                </c:pt>
                <c:pt idx="8">
                  <c:v>-3.0086939999989833E-4</c:v>
                </c:pt>
                <c:pt idx="9">
                  <c:v>-4.3016789999998639E-4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6.1055499998907692E-5</c:v>
                </c:pt>
                <c:pt idx="13">
                  <c:v>-3.0587579999896702E-4</c:v>
                </c:pt>
                <c:pt idx="14">
                  <c:v>-4.6959109999988868E-4</c:v>
                </c:pt>
                <c:pt idx="15">
                  <c:v>-4.156750000028353E-5</c:v>
                </c:pt>
                <c:pt idx="16">
                  <c:v>-0.84465504870000119</c:v>
                </c:pt>
                <c:pt idx="17">
                  <c:v>-1.7658748668666671</c:v>
                </c:pt>
                <c:pt idx="18">
                  <c:v>-2.0264315220000011</c:v>
                </c:pt>
                <c:pt idx="19">
                  <c:v>-2.0409928879333319</c:v>
                </c:pt>
                <c:pt idx="20">
                  <c:v>-0.9752667073000012</c:v>
                </c:pt>
                <c:pt idx="21">
                  <c:v>-2.241159507566667</c:v>
                </c:pt>
                <c:pt idx="22">
                  <c:v>-3.4211016667069771E-4</c:v>
                </c:pt>
                <c:pt idx="23">
                  <c:v>-1.4258983649333301</c:v>
                </c:pt>
                <c:pt idx="24">
                  <c:v>-0.86235406346667109</c:v>
                </c:pt>
                <c:pt idx="25">
                  <c:v>-2.3945874539999998</c:v>
                </c:pt>
                <c:pt idx="26">
                  <c:v>-2.4400702948333328</c:v>
                </c:pt>
                <c:pt idx="27">
                  <c:v>-2.1142341456000011</c:v>
                </c:pt>
                <c:pt idx="28">
                  <c:v>-2.0972829199</c:v>
                </c:pt>
                <c:pt idx="29">
                  <c:v>-2.009342763133334</c:v>
                </c:pt>
                <c:pt idx="30">
                  <c:v>-1.8209603711</c:v>
                </c:pt>
                <c:pt idx="31">
                  <c:v>-1.2184885570666679</c:v>
                </c:pt>
                <c:pt idx="32">
                  <c:v>-0.1068233763333291</c:v>
                </c:pt>
                <c:pt idx="33">
                  <c:v>-2.2012136665905399E-4</c:v>
                </c:pt>
                <c:pt idx="34">
                  <c:v>2.6027116666793582E-4</c:v>
                </c:pt>
                <c:pt idx="35">
                  <c:v>-9.3215899999998797E-5</c:v>
                </c:pt>
                <c:pt idx="36">
                  <c:v>-3.2436766667087719E-4</c:v>
                </c:pt>
                <c:pt idx="37">
                  <c:v>-3.9637783333024151E-4</c:v>
                </c:pt>
                <c:pt idx="38">
                  <c:v>0.1953684392000001</c:v>
                </c:pt>
                <c:pt idx="39">
                  <c:v>0.19252070536666599</c:v>
                </c:pt>
                <c:pt idx="40">
                  <c:v>0.279374834466667</c:v>
                </c:pt>
                <c:pt idx="41">
                  <c:v>1.8943540000000001</c:v>
                </c:pt>
                <c:pt idx="42">
                  <c:v>2.5317813333333299</c:v>
                </c:pt>
                <c:pt idx="43">
                  <c:v>1.14769066666667</c:v>
                </c:pt>
                <c:pt idx="44">
                  <c:v>0.33702666666666697</c:v>
                </c:pt>
                <c:pt idx="45">
                  <c:v>0.54580933333333304</c:v>
                </c:pt>
                <c:pt idx="46">
                  <c:v>0.34061533333333299</c:v>
                </c:pt>
                <c:pt idx="47">
                  <c:v>0.31285800000000002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EA7C-41CE-86FB-8720DE7EBF17}"/>
            </c:ext>
          </c:extLst>
        </c:ser>
        <c:ser>
          <c:idx val="66"/>
          <c:order val="66"/>
          <c:tx>
            <c:v>BES_TR8_five194_C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Net_kW!$BQ$2:$BQ$49</c:f>
              <c:numCache>
                <c:formatCode>#,##0.000</c:formatCode>
                <c:ptCount val="48"/>
                <c:pt idx="0">
                  <c:v>-2.966666666698314E-5</c:v>
                </c:pt>
                <c:pt idx="1">
                  <c:v>0</c:v>
                </c:pt>
                <c:pt idx="2">
                  <c:v>0</c:v>
                </c:pt>
                <c:pt idx="3">
                  <c:v>2.6533333333300663E-4</c:v>
                </c:pt>
                <c:pt idx="4">
                  <c:v>0</c:v>
                </c:pt>
                <c:pt idx="5">
                  <c:v>-1.2799999999998921E-4</c:v>
                </c:pt>
                <c:pt idx="6">
                  <c:v>3.933333333329958E-4</c:v>
                </c:pt>
                <c:pt idx="7">
                  <c:v>-4.4080346666667408E-4</c:v>
                </c:pt>
                <c:pt idx="8">
                  <c:v>-4.6915920000020761E-4</c:v>
                </c:pt>
                <c:pt idx="9">
                  <c:v>4.2644280000000978E-4</c:v>
                </c:pt>
                <c:pt idx="10">
                  <c:v>3.9904506666527118E-4</c:v>
                </c:pt>
                <c:pt idx="11">
                  <c:v>-3.3197653333205679E-4</c:v>
                </c:pt>
                <c:pt idx="12">
                  <c:v>8.1407333331728893E-5</c:v>
                </c:pt>
                <c:pt idx="13">
                  <c:v>-4.7583439999909771E-4</c:v>
                </c:pt>
                <c:pt idx="14">
                  <c:v>4.0545199999852948E-5</c:v>
                </c:pt>
                <c:pt idx="15">
                  <c:v>-0.1173864233333328</c:v>
                </c:pt>
                <c:pt idx="16">
                  <c:v>-2.0097843982666679</c:v>
                </c:pt>
                <c:pt idx="17">
                  <c:v>-2.1383609336</c:v>
                </c:pt>
                <c:pt idx="18">
                  <c:v>-2.5613100293333351</c:v>
                </c:pt>
                <c:pt idx="19">
                  <c:v>-2.9265799061333322</c:v>
                </c:pt>
                <c:pt idx="20">
                  <c:v>-2.8450957764000009</c:v>
                </c:pt>
                <c:pt idx="21">
                  <c:v>-3.1888856211999999</c:v>
                </c:pt>
                <c:pt idx="22">
                  <c:v>-3.2046449246666682</c:v>
                </c:pt>
                <c:pt idx="23">
                  <c:v>-3.1492287087999999</c:v>
                </c:pt>
                <c:pt idx="24">
                  <c:v>-3.3304813290666679</c:v>
                </c:pt>
                <c:pt idx="25">
                  <c:v>-3.1295666720000002</c:v>
                </c:pt>
                <c:pt idx="26">
                  <c:v>-3.2065658153333332</c:v>
                </c:pt>
                <c:pt idx="27">
                  <c:v>-2.9213389941333352</c:v>
                </c:pt>
                <c:pt idx="28">
                  <c:v>-2.7926845598666659</c:v>
                </c:pt>
                <c:pt idx="29">
                  <c:v>-2.5621091730666681</c:v>
                </c:pt>
                <c:pt idx="30">
                  <c:v>-2.561714161466667</c:v>
                </c:pt>
                <c:pt idx="31">
                  <c:v>-2.163433853866668</c:v>
                </c:pt>
                <c:pt idx="32">
                  <c:v>-1.963913390666665</c:v>
                </c:pt>
                <c:pt idx="33">
                  <c:v>-1.807071272933332</c:v>
                </c:pt>
                <c:pt idx="34">
                  <c:v>-1.3067337273333319</c:v>
                </c:pt>
                <c:pt idx="35">
                  <c:v>-1.0241101211999999</c:v>
                </c:pt>
                <c:pt idx="36">
                  <c:v>-0.80810210133333504</c:v>
                </c:pt>
                <c:pt idx="37">
                  <c:v>-0.45444272600000002</c:v>
                </c:pt>
                <c:pt idx="38">
                  <c:v>-0.3313207477333332</c:v>
                </c:pt>
                <c:pt idx="39">
                  <c:v>2.3338493333300341E-4</c:v>
                </c:pt>
                <c:pt idx="40">
                  <c:v>1.0822373333331529E-4</c:v>
                </c:pt>
                <c:pt idx="41">
                  <c:v>0</c:v>
                </c:pt>
                <c:pt idx="42">
                  <c:v>4.760000000000042E-4</c:v>
                </c:pt>
                <c:pt idx="43">
                  <c:v>-3.3333333333299131E-4</c:v>
                </c:pt>
                <c:pt idx="44">
                  <c:v>2.5833333333302733E-4</c:v>
                </c:pt>
                <c:pt idx="45">
                  <c:v>-1.7266666666698741E-4</c:v>
                </c:pt>
                <c:pt idx="46">
                  <c:v>4.3700000000002071E-4</c:v>
                </c:pt>
                <c:pt idx="47">
                  <c:v>-2.7233333333298582E-4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EA7C-41CE-86FB-8720DE7EBF17}"/>
            </c:ext>
          </c:extLst>
        </c:ser>
        <c:ser>
          <c:idx val="67"/>
          <c:order val="67"/>
          <c:tx>
            <c:v>BES_TR8_five223_A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Net_kW!$BR$2:$BR$49</c:f>
              <c:numCache>
                <c:formatCode>#,##0.000</c:formatCode>
                <c:ptCount val="48"/>
                <c:pt idx="0">
                  <c:v>4.5499999999999707E-4</c:v>
                </c:pt>
                <c:pt idx="1">
                  <c:v>-1.1899999999998021E-4</c:v>
                </c:pt>
                <c:pt idx="2">
                  <c:v>0</c:v>
                </c:pt>
                <c:pt idx="3">
                  <c:v>0</c:v>
                </c:pt>
                <c:pt idx="4">
                  <c:v>-2.4800000000002598E-4</c:v>
                </c:pt>
                <c:pt idx="5">
                  <c:v>-4.159999999999997E-4</c:v>
                </c:pt>
                <c:pt idx="6">
                  <c:v>0</c:v>
                </c:pt>
                <c:pt idx="7">
                  <c:v>3.2529696666666608E-4</c:v>
                </c:pt>
                <c:pt idx="8">
                  <c:v>4.8231903333343512E-4</c:v>
                </c:pt>
                <c:pt idx="9">
                  <c:v>2.2813744999999891E-4</c:v>
                </c:pt>
                <c:pt idx="10">
                  <c:v>3.2724776666553929E-4</c:v>
                </c:pt>
                <c:pt idx="11">
                  <c:v>4.2270533334554112E-5</c:v>
                </c:pt>
                <c:pt idx="12">
                  <c:v>2.3923141666537531E-4</c:v>
                </c:pt>
                <c:pt idx="13">
                  <c:v>-3.8518843333190672E-4</c:v>
                </c:pt>
                <c:pt idx="14">
                  <c:v>-1.6856283332922221E-5</c:v>
                </c:pt>
                <c:pt idx="15">
                  <c:v>-6.782874999999855E-5</c:v>
                </c:pt>
                <c:pt idx="16">
                  <c:v>-0.68226622348333521</c:v>
                </c:pt>
                <c:pt idx="17">
                  <c:v>-2.0618042335666669</c:v>
                </c:pt>
                <c:pt idx="18">
                  <c:v>-1.287791775666665</c:v>
                </c:pt>
                <c:pt idx="19">
                  <c:v>-2.1375538136999981</c:v>
                </c:pt>
                <c:pt idx="20">
                  <c:v>-2.5037278251833341</c:v>
                </c:pt>
                <c:pt idx="21">
                  <c:v>-2.6186026477166671</c:v>
                </c:pt>
                <c:pt idx="22">
                  <c:v>-2.8654906840833338</c:v>
                </c:pt>
                <c:pt idx="23">
                  <c:v>-2.9045058702</c:v>
                </c:pt>
                <c:pt idx="24">
                  <c:v>-2.8180481629333349</c:v>
                </c:pt>
                <c:pt idx="25">
                  <c:v>-2.8258184630000001</c:v>
                </c:pt>
                <c:pt idx="26">
                  <c:v>-2.7648736717500002</c:v>
                </c:pt>
                <c:pt idx="27">
                  <c:v>-2.4368845365333351</c:v>
                </c:pt>
                <c:pt idx="28">
                  <c:v>-2.0965614065499998</c:v>
                </c:pt>
                <c:pt idx="29">
                  <c:v>-2.1771244014333351</c:v>
                </c:pt>
                <c:pt idx="30">
                  <c:v>-2.0499374329500002</c:v>
                </c:pt>
                <c:pt idx="31">
                  <c:v>-1.9078988721333341</c:v>
                </c:pt>
                <c:pt idx="32">
                  <c:v>-1.6406175168333319</c:v>
                </c:pt>
                <c:pt idx="33">
                  <c:v>-1.347916563816665</c:v>
                </c:pt>
                <c:pt idx="34">
                  <c:v>-1.1953612614166651</c:v>
                </c:pt>
                <c:pt idx="35">
                  <c:v>-0.89854725188333306</c:v>
                </c:pt>
                <c:pt idx="36">
                  <c:v>-0.69053198450000153</c:v>
                </c:pt>
                <c:pt idx="37">
                  <c:v>-0.36259288525</c:v>
                </c:pt>
                <c:pt idx="38">
                  <c:v>-0.26928065426666647</c:v>
                </c:pt>
                <c:pt idx="39">
                  <c:v>-3.4954850000004638E-5</c:v>
                </c:pt>
                <c:pt idx="40">
                  <c:v>-2.9330423333334688E-4</c:v>
                </c:pt>
                <c:pt idx="41">
                  <c:v>-3.9400000000000551E-4</c:v>
                </c:pt>
                <c:pt idx="42">
                  <c:v>0</c:v>
                </c:pt>
                <c:pt idx="43">
                  <c:v>0</c:v>
                </c:pt>
                <c:pt idx="44">
                  <c:v>-4.049999999999887E-4</c:v>
                </c:pt>
                <c:pt idx="45">
                  <c:v>4.399999999999959E-4</c:v>
                </c:pt>
                <c:pt idx="46">
                  <c:v>3.8000000000001921E-4</c:v>
                </c:pt>
                <c:pt idx="47">
                  <c:v>3.436666666669641E-4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EA7C-41CE-86FB-8720DE7EBF17}"/>
            </c:ext>
          </c:extLst>
        </c:ser>
        <c:ser>
          <c:idx val="68"/>
          <c:order val="68"/>
          <c:tx>
            <c:v>BES_TR8_five303_B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Net_kW!$BS$2:$BS$49</c:f>
              <c:numCache>
                <c:formatCode>#,##0.000</c:formatCode>
                <c:ptCount val="48"/>
                <c:pt idx="0">
                  <c:v>-4.339999999999899E-4</c:v>
                </c:pt>
                <c:pt idx="1">
                  <c:v>0</c:v>
                </c:pt>
                <c:pt idx="2">
                  <c:v>4.866666666669961E-4</c:v>
                </c:pt>
                <c:pt idx="3">
                  <c:v>-2.40000000000018E-4</c:v>
                </c:pt>
                <c:pt idx="4">
                  <c:v>0</c:v>
                </c:pt>
                <c:pt idx="5">
                  <c:v>0</c:v>
                </c:pt>
                <c:pt idx="6">
                  <c:v>-3.9066666666698341E-4</c:v>
                </c:pt>
                <c:pt idx="7">
                  <c:v>-8.1735066666310807E-5</c:v>
                </c:pt>
                <c:pt idx="8">
                  <c:v>1.3275373333339341E-4</c:v>
                </c:pt>
                <c:pt idx="9">
                  <c:v>3.1588806666699171E-4</c:v>
                </c:pt>
                <c:pt idx="10">
                  <c:v>-2.5477466666992691E-5</c:v>
                </c:pt>
                <c:pt idx="11">
                  <c:v>7.1011733334014338E-5</c:v>
                </c:pt>
                <c:pt idx="12">
                  <c:v>2.8337033333293571E-4</c:v>
                </c:pt>
                <c:pt idx="13">
                  <c:v>1.294161333339483E-4</c:v>
                </c:pt>
                <c:pt idx="14">
                  <c:v>3.4360593333293549E-4</c:v>
                </c:pt>
                <c:pt idx="15">
                  <c:v>-3.9037833333288591E-4</c:v>
                </c:pt>
                <c:pt idx="16">
                  <c:v>4.6196753333305201E-4</c:v>
                </c:pt>
                <c:pt idx="17">
                  <c:v>2.7766653333410879E-4</c:v>
                </c:pt>
                <c:pt idx="18">
                  <c:v>-3.3188133333406089E-4</c:v>
                </c:pt>
                <c:pt idx="19">
                  <c:v>-1.093697333329757E-4</c:v>
                </c:pt>
                <c:pt idx="20">
                  <c:v>2.5319513333310622E-4</c:v>
                </c:pt>
                <c:pt idx="21">
                  <c:v>-0.74004022726666718</c:v>
                </c:pt>
                <c:pt idx="22">
                  <c:v>-1.5742126290000009</c:v>
                </c:pt>
                <c:pt idx="23">
                  <c:v>-1.1435956877333331</c:v>
                </c:pt>
                <c:pt idx="24">
                  <c:v>-1.340507664533334</c:v>
                </c:pt>
                <c:pt idx="25">
                  <c:v>-1.4999415026666669</c:v>
                </c:pt>
                <c:pt idx="26">
                  <c:v>-0.55426124100000007</c:v>
                </c:pt>
                <c:pt idx="27">
                  <c:v>-0.96251849706666703</c:v>
                </c:pt>
                <c:pt idx="28">
                  <c:v>-1.2361766132666669</c:v>
                </c:pt>
                <c:pt idx="29">
                  <c:v>3.9158013333584479E-4</c:v>
                </c:pt>
                <c:pt idx="30">
                  <c:v>4.7908593333012561E-4</c:v>
                </c:pt>
                <c:pt idx="31">
                  <c:v>-5.5269333339436066E-6</c:v>
                </c:pt>
                <c:pt idx="32">
                  <c:v>2.7730466666403553E-4</c:v>
                </c:pt>
                <c:pt idx="33">
                  <c:v>1.570302000040158E-4</c:v>
                </c:pt>
                <c:pt idx="34">
                  <c:v>-3.3863666666134051E-5</c:v>
                </c:pt>
                <c:pt idx="35">
                  <c:v>3.8952273333300169E-4</c:v>
                </c:pt>
                <c:pt idx="36">
                  <c:v>-4.2080066666705379E-4</c:v>
                </c:pt>
                <c:pt idx="37">
                  <c:v>-4.5202966666704758E-4</c:v>
                </c:pt>
                <c:pt idx="38">
                  <c:v>-3.5970719999955941E-4</c:v>
                </c:pt>
                <c:pt idx="39">
                  <c:v>3.3135913333293132E-4</c:v>
                </c:pt>
                <c:pt idx="40">
                  <c:v>-2.025547999993105E-4</c:v>
                </c:pt>
                <c:pt idx="41">
                  <c:v>-4.6833333333407001E-4</c:v>
                </c:pt>
                <c:pt idx="42">
                  <c:v>0.27616833333333402</c:v>
                </c:pt>
                <c:pt idx="43">
                  <c:v>0.67125833333333396</c:v>
                </c:pt>
                <c:pt idx="44">
                  <c:v>0.74222333333333401</c:v>
                </c:pt>
                <c:pt idx="45">
                  <c:v>0.66899966666666599</c:v>
                </c:pt>
                <c:pt idx="46">
                  <c:v>0.34821466666666701</c:v>
                </c:pt>
                <c:pt idx="47">
                  <c:v>0.23638000000000001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EA7C-41CE-86FB-8720DE7EBF17}"/>
            </c:ext>
          </c:extLst>
        </c:ser>
        <c:ser>
          <c:idx val="69"/>
          <c:order val="69"/>
          <c:tx>
            <c:v>BES_TR8_five324_B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Net_kW!$BT$2:$BT$49</c:f>
              <c:numCache>
                <c:formatCode>#,##0.000</c:formatCode>
                <c:ptCount val="48"/>
                <c:pt idx="0">
                  <c:v>-4.1733333333299211E-4</c:v>
                </c:pt>
                <c:pt idx="1">
                  <c:v>0</c:v>
                </c:pt>
                <c:pt idx="2">
                  <c:v>-1.5000000000001121E-4</c:v>
                </c:pt>
                <c:pt idx="3">
                  <c:v>2.6133333333300263E-4</c:v>
                </c:pt>
                <c:pt idx="4">
                  <c:v>-2.020000000000077E-4</c:v>
                </c:pt>
                <c:pt idx="5">
                  <c:v>3.1333333333329738E-4</c:v>
                </c:pt>
                <c:pt idx="6">
                  <c:v>1.086666666670066E-4</c:v>
                </c:pt>
                <c:pt idx="7">
                  <c:v>-2.8660259999999099E-4</c:v>
                </c:pt>
                <c:pt idx="8">
                  <c:v>3.911306000000947E-4</c:v>
                </c:pt>
                <c:pt idx="9">
                  <c:v>2.804987666669978E-4</c:v>
                </c:pt>
                <c:pt idx="10">
                  <c:v>-5.2162000009903231E-6</c:v>
                </c:pt>
                <c:pt idx="11">
                  <c:v>1.891842666680299E-4</c:v>
                </c:pt>
                <c:pt idx="12">
                  <c:v>2.8438883333181669E-4</c:v>
                </c:pt>
                <c:pt idx="13">
                  <c:v>4.9479086666792682E-4</c:v>
                </c:pt>
                <c:pt idx="14">
                  <c:v>-9.0924433333361421E-5</c:v>
                </c:pt>
                <c:pt idx="15">
                  <c:v>4.7709916666693891E-4</c:v>
                </c:pt>
                <c:pt idx="16">
                  <c:v>-1.110487000008931E-4</c:v>
                </c:pt>
                <c:pt idx="17">
                  <c:v>-1.1396382002000001</c:v>
                </c:pt>
                <c:pt idx="18">
                  <c:v>-1.8368788553333339</c:v>
                </c:pt>
                <c:pt idx="19">
                  <c:v>-2.0879675545999992</c:v>
                </c:pt>
                <c:pt idx="20">
                  <c:v>-2.147962373966668</c:v>
                </c:pt>
                <c:pt idx="21">
                  <c:v>-2.2900055075666672</c:v>
                </c:pt>
                <c:pt idx="22">
                  <c:v>-2.4019134435000011</c:v>
                </c:pt>
                <c:pt idx="23">
                  <c:v>-2.3465923649333331</c:v>
                </c:pt>
                <c:pt idx="24">
                  <c:v>-2.4450409968000009</c:v>
                </c:pt>
                <c:pt idx="25">
                  <c:v>-2.508911587333333</c:v>
                </c:pt>
                <c:pt idx="26">
                  <c:v>-2.4452121948333332</c:v>
                </c:pt>
                <c:pt idx="27">
                  <c:v>-2.1366334122666681</c:v>
                </c:pt>
                <c:pt idx="28">
                  <c:v>-2.2147522532333341</c:v>
                </c:pt>
                <c:pt idx="29">
                  <c:v>-1.9477559631333341</c:v>
                </c:pt>
                <c:pt idx="30">
                  <c:v>-1.620949037766666</c:v>
                </c:pt>
                <c:pt idx="31">
                  <c:v>-1.563104557066668</c:v>
                </c:pt>
                <c:pt idx="32">
                  <c:v>-1.0874597096666649</c:v>
                </c:pt>
                <c:pt idx="33">
                  <c:v>-0.86812645469999905</c:v>
                </c:pt>
                <c:pt idx="34">
                  <c:v>-0.77063879549999914</c:v>
                </c:pt>
                <c:pt idx="35">
                  <c:v>-0.41112454923333308</c:v>
                </c:pt>
                <c:pt idx="36">
                  <c:v>-0.30796736766666799</c:v>
                </c:pt>
                <c:pt idx="37">
                  <c:v>-5.4487377833332962E-2</c:v>
                </c:pt>
                <c:pt idx="38">
                  <c:v>6.8772533330374586E-5</c:v>
                </c:pt>
                <c:pt idx="39">
                  <c:v>2.5670536666977378E-4</c:v>
                </c:pt>
                <c:pt idx="40">
                  <c:v>-4.8883219999962257E-4</c:v>
                </c:pt>
                <c:pt idx="41">
                  <c:v>-4.659999999999942E-4</c:v>
                </c:pt>
                <c:pt idx="42">
                  <c:v>-7.9333333332987088E-5</c:v>
                </c:pt>
                <c:pt idx="43">
                  <c:v>4.820000000000102E-4</c:v>
                </c:pt>
                <c:pt idx="44">
                  <c:v>6.7999999999998617E-5</c:v>
                </c:pt>
                <c:pt idx="45">
                  <c:v>-4.8533333333300449E-4</c:v>
                </c:pt>
                <c:pt idx="46">
                  <c:v>-1.799999999999857E-4</c:v>
                </c:pt>
                <c:pt idx="47">
                  <c:v>-4.8533333333300449E-4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EA7C-41CE-86FB-8720DE7EBF17}"/>
            </c:ext>
          </c:extLst>
        </c:ser>
        <c:ser>
          <c:idx val="70"/>
          <c:order val="70"/>
          <c:tx>
            <c:v>BES_TR8_five345_A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Net_kW!$BU$2:$BU$49</c:f>
              <c:numCache>
                <c:formatCode>#,##0.000</c:formatCode>
                <c:ptCount val="48"/>
                <c:pt idx="0">
                  <c:v>-2.8466666666698842E-4</c:v>
                </c:pt>
                <c:pt idx="1">
                  <c:v>0</c:v>
                </c:pt>
                <c:pt idx="2">
                  <c:v>0</c:v>
                </c:pt>
                <c:pt idx="3">
                  <c:v>-2.8466666666698842E-4</c:v>
                </c:pt>
                <c:pt idx="4">
                  <c:v>0</c:v>
                </c:pt>
                <c:pt idx="5">
                  <c:v>-2.8466666666698842E-4</c:v>
                </c:pt>
                <c:pt idx="6">
                  <c:v>0</c:v>
                </c:pt>
                <c:pt idx="7">
                  <c:v>-4.4080346666666709E-4</c:v>
                </c:pt>
                <c:pt idx="8">
                  <c:v>2.655074666667988E-4</c:v>
                </c:pt>
                <c:pt idx="9">
                  <c:v>1.4177613333297981E-4</c:v>
                </c:pt>
                <c:pt idx="10">
                  <c:v>-3.402882666680429E-4</c:v>
                </c:pt>
                <c:pt idx="11">
                  <c:v>1.420234666680287E-4</c:v>
                </c:pt>
                <c:pt idx="12">
                  <c:v>-2.0325933333509291E-4</c:v>
                </c:pt>
                <c:pt idx="13">
                  <c:v>2.5883226666811859E-4</c:v>
                </c:pt>
                <c:pt idx="14">
                  <c:v>-1.4245479999996921E-4</c:v>
                </c:pt>
                <c:pt idx="15">
                  <c:v>-0.56872775666666642</c:v>
                </c:pt>
                <c:pt idx="16">
                  <c:v>-2.2083293982666681</c:v>
                </c:pt>
                <c:pt idx="17">
                  <c:v>-2.4806509336000002</c:v>
                </c:pt>
                <c:pt idx="18">
                  <c:v>-2.6008600293333348</c:v>
                </c:pt>
                <c:pt idx="19">
                  <c:v>-2.9103834061333318</c:v>
                </c:pt>
                <c:pt idx="20">
                  <c:v>-3.0121919430666679</c:v>
                </c:pt>
                <c:pt idx="21">
                  <c:v>-3.1874067878666672</c:v>
                </c:pt>
                <c:pt idx="22">
                  <c:v>-3.3289779246666682</c:v>
                </c:pt>
                <c:pt idx="23">
                  <c:v>-3.2618513754666671</c:v>
                </c:pt>
                <c:pt idx="24">
                  <c:v>-3.386481329066668</c:v>
                </c:pt>
                <c:pt idx="25">
                  <c:v>-3.3623216720000002</c:v>
                </c:pt>
                <c:pt idx="26">
                  <c:v>-3.2811584819999999</c:v>
                </c:pt>
                <c:pt idx="27">
                  <c:v>-3.0456189941333349</c:v>
                </c:pt>
                <c:pt idx="28">
                  <c:v>-3.0095078931999999</c:v>
                </c:pt>
                <c:pt idx="29">
                  <c:v>-2.7264341730666679</c:v>
                </c:pt>
                <c:pt idx="30">
                  <c:v>-2.607169161466667</c:v>
                </c:pt>
                <c:pt idx="31">
                  <c:v>-2.3835838538666678</c:v>
                </c:pt>
                <c:pt idx="32">
                  <c:v>-2.002084723999999</c:v>
                </c:pt>
                <c:pt idx="33">
                  <c:v>-1.7880712729333319</c:v>
                </c:pt>
                <c:pt idx="34">
                  <c:v>-1.4832117273333321</c:v>
                </c:pt>
                <c:pt idx="35">
                  <c:v>-1.0582342878666671</c:v>
                </c:pt>
                <c:pt idx="36">
                  <c:v>-0.86691693466666797</c:v>
                </c:pt>
                <c:pt idx="37">
                  <c:v>-0.57475072599999999</c:v>
                </c:pt>
                <c:pt idx="38">
                  <c:v>-0.31232074773333318</c:v>
                </c:pt>
                <c:pt idx="39">
                  <c:v>-1.8281733333000431E-5</c:v>
                </c:pt>
                <c:pt idx="40">
                  <c:v>2.5289040000031632E-4</c:v>
                </c:pt>
                <c:pt idx="41">
                  <c:v>-2.156666666670026E-4</c:v>
                </c:pt>
                <c:pt idx="42">
                  <c:v>-3.2633333333298431E-4</c:v>
                </c:pt>
                <c:pt idx="43">
                  <c:v>-2.7566666666700712E-4</c:v>
                </c:pt>
                <c:pt idx="44">
                  <c:v>3.909999999999747E-4</c:v>
                </c:pt>
                <c:pt idx="45">
                  <c:v>-2.203333333329893E-4</c:v>
                </c:pt>
                <c:pt idx="46">
                  <c:v>-4.8333333332983841E-5</c:v>
                </c:pt>
                <c:pt idx="47">
                  <c:v>7.3333333340253049E-6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EA7C-41CE-86FB-8720DE7EBF17}"/>
            </c:ext>
          </c:extLst>
        </c:ser>
        <c:ser>
          <c:idx val="71"/>
          <c:order val="71"/>
          <c:tx>
            <c:v>BES_TR8_five421_A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Net_kW!$BV$2:$BV$49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4.1939739999999342E-4</c:v>
                </c:pt>
                <c:pt idx="8">
                  <c:v>-3.0086939999990001E-4</c:v>
                </c:pt>
                <c:pt idx="9">
                  <c:v>-4.3016790000000032E-4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6.1055499999018714E-5</c:v>
                </c:pt>
                <c:pt idx="13">
                  <c:v>-3.0587579999885589E-4</c:v>
                </c:pt>
                <c:pt idx="14">
                  <c:v>-4.6959109999988868E-4</c:v>
                </c:pt>
                <c:pt idx="15">
                  <c:v>3.0432500000010521E-5</c:v>
                </c:pt>
                <c:pt idx="16">
                  <c:v>-1.1772470487000011</c:v>
                </c:pt>
                <c:pt idx="17">
                  <c:v>-1.8544882002</c:v>
                </c:pt>
                <c:pt idx="18">
                  <c:v>-1.7390698553333339</c:v>
                </c:pt>
                <c:pt idx="19">
                  <c:v>-1.824869621266666</c:v>
                </c:pt>
                <c:pt idx="20">
                  <c:v>-2.3049175073000008</c:v>
                </c:pt>
                <c:pt idx="21">
                  <c:v>-2.4144788409000002</c:v>
                </c:pt>
                <c:pt idx="22">
                  <c:v>-2.4907334435000008</c:v>
                </c:pt>
                <c:pt idx="23">
                  <c:v>-2.5241750316</c:v>
                </c:pt>
                <c:pt idx="24">
                  <c:v>-2.533860996800001</c:v>
                </c:pt>
                <c:pt idx="25">
                  <c:v>-2.5157412539999999</c:v>
                </c:pt>
                <c:pt idx="26">
                  <c:v>-2.4548688615000001</c:v>
                </c:pt>
                <c:pt idx="27">
                  <c:v>-2.331796478933335</c:v>
                </c:pt>
                <c:pt idx="28">
                  <c:v>-2.0812398532333329</c:v>
                </c:pt>
                <c:pt idx="29">
                  <c:v>-1.649743963133335</c:v>
                </c:pt>
                <c:pt idx="30">
                  <c:v>-1.4946400377666671</c:v>
                </c:pt>
                <c:pt idx="31">
                  <c:v>-1.769631890400001</c:v>
                </c:pt>
                <c:pt idx="32">
                  <c:v>-1.5629100429999989</c:v>
                </c:pt>
                <c:pt idx="33">
                  <c:v>-1.323545454699999</c:v>
                </c:pt>
                <c:pt idx="34">
                  <c:v>-1.0810754621666661</c:v>
                </c:pt>
                <c:pt idx="35">
                  <c:v>-0.7872318825666671</c:v>
                </c:pt>
                <c:pt idx="36">
                  <c:v>-0.14721970100000101</c:v>
                </c:pt>
                <c:pt idx="37">
                  <c:v>-1.1932511166666991E-2</c:v>
                </c:pt>
                <c:pt idx="38">
                  <c:v>3.7970586666707939E-4</c:v>
                </c:pt>
                <c:pt idx="39">
                  <c:v>-1.4396130000005061E-4</c:v>
                </c:pt>
                <c:pt idx="40">
                  <c:v>-5.349886666705661E-5</c:v>
                </c:pt>
                <c:pt idx="41">
                  <c:v>9.6666666667022394E-5</c:v>
                </c:pt>
                <c:pt idx="42">
                  <c:v>1.9666666666706689E-4</c:v>
                </c:pt>
                <c:pt idx="43">
                  <c:v>-2.7466666666597922E-4</c:v>
                </c:pt>
                <c:pt idx="44">
                  <c:v>1.506666666669654E-4</c:v>
                </c:pt>
                <c:pt idx="45">
                  <c:v>1.143333333329943E-4</c:v>
                </c:pt>
                <c:pt idx="46">
                  <c:v>2.543333333339115E-4</c:v>
                </c:pt>
                <c:pt idx="47">
                  <c:v>-2.4966666666703658E-4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EA7C-41CE-86FB-8720DE7EBF17}"/>
            </c:ext>
          </c:extLst>
        </c:ser>
        <c:ser>
          <c:idx val="72"/>
          <c:order val="72"/>
          <c:tx>
            <c:v>BES_TR8_five488_B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Net_kW!$BW$2:$BW$49</c:f>
              <c:numCache>
                <c:formatCode>#,##0.000</c:formatCode>
                <c:ptCount val="48"/>
                <c:pt idx="0">
                  <c:v>3.7866666666699911E-4</c:v>
                </c:pt>
                <c:pt idx="1">
                  <c:v>0</c:v>
                </c:pt>
                <c:pt idx="2">
                  <c:v>-3.923333333329948E-4</c:v>
                </c:pt>
                <c:pt idx="3">
                  <c:v>-4.8299999999999732E-4</c:v>
                </c:pt>
                <c:pt idx="4">
                  <c:v>2.266666666697614E-5</c:v>
                </c:pt>
                <c:pt idx="5">
                  <c:v>1.020000000000187E-4</c:v>
                </c:pt>
                <c:pt idx="6">
                  <c:v>0</c:v>
                </c:pt>
                <c:pt idx="7">
                  <c:v>-3.1613679999970001E-4</c:v>
                </c:pt>
                <c:pt idx="8">
                  <c:v>-5.5333331994058396E-9</c:v>
                </c:pt>
                <c:pt idx="9">
                  <c:v>-1.7222386666700121E-4</c:v>
                </c:pt>
                <c:pt idx="10">
                  <c:v>3.8304506666503308E-4</c:v>
                </c:pt>
                <c:pt idx="11">
                  <c:v>1.420234666681397E-4</c:v>
                </c:pt>
                <c:pt idx="12">
                  <c:v>-2.2926000001199931E-5</c:v>
                </c:pt>
                <c:pt idx="13">
                  <c:v>-2.6216773333209709E-4</c:v>
                </c:pt>
                <c:pt idx="14">
                  <c:v>-2.0945480000023051E-4</c:v>
                </c:pt>
                <c:pt idx="15">
                  <c:v>4.3191000000009078E-4</c:v>
                </c:pt>
                <c:pt idx="16">
                  <c:v>-1.577262731600001</c:v>
                </c:pt>
                <c:pt idx="17">
                  <c:v>-2.363316266933333</c:v>
                </c:pt>
                <c:pt idx="18">
                  <c:v>-2.1811916960000008</c:v>
                </c:pt>
                <c:pt idx="19">
                  <c:v>-2.313845406133332</c:v>
                </c:pt>
                <c:pt idx="20">
                  <c:v>-2.7628196097333348</c:v>
                </c:pt>
                <c:pt idx="21">
                  <c:v>-2.9619944545333339</c:v>
                </c:pt>
                <c:pt idx="22">
                  <c:v>-3.1425532580000008</c:v>
                </c:pt>
                <c:pt idx="23">
                  <c:v>-3.3795667088000001</c:v>
                </c:pt>
                <c:pt idx="24">
                  <c:v>-3.1925969957333349</c:v>
                </c:pt>
                <c:pt idx="25">
                  <c:v>-3.2620813386666669</c:v>
                </c:pt>
                <c:pt idx="26">
                  <c:v>-3.2480118153333328</c:v>
                </c:pt>
                <c:pt idx="27">
                  <c:v>-2.540073660800001</c:v>
                </c:pt>
                <c:pt idx="28">
                  <c:v>-2.9119857932</c:v>
                </c:pt>
                <c:pt idx="29">
                  <c:v>-2.5786796397333349</c:v>
                </c:pt>
                <c:pt idx="30">
                  <c:v>-2.4626564948</c:v>
                </c:pt>
                <c:pt idx="31">
                  <c:v>-2.0845418538666678</c:v>
                </c:pt>
                <c:pt idx="32">
                  <c:v>-1.9117727239999991</c:v>
                </c:pt>
                <c:pt idx="33">
                  <c:v>-1.641561272933332</c:v>
                </c:pt>
                <c:pt idx="34">
                  <c:v>-0.90465072733333185</c:v>
                </c:pt>
                <c:pt idx="35">
                  <c:v>-0.53460328786666611</c:v>
                </c:pt>
                <c:pt idx="36">
                  <c:v>-0.75547693466666799</c:v>
                </c:pt>
                <c:pt idx="37">
                  <c:v>-0.29084305933333299</c:v>
                </c:pt>
                <c:pt idx="38">
                  <c:v>-0.18756341440000021</c:v>
                </c:pt>
                <c:pt idx="39">
                  <c:v>4.0718266666996128E-5</c:v>
                </c:pt>
                <c:pt idx="40">
                  <c:v>4.028904000003275E-4</c:v>
                </c:pt>
                <c:pt idx="41">
                  <c:v>0</c:v>
                </c:pt>
                <c:pt idx="42">
                  <c:v>-3.9833333333305632E-4</c:v>
                </c:pt>
                <c:pt idx="43">
                  <c:v>-4.770000000000052E-4</c:v>
                </c:pt>
                <c:pt idx="44">
                  <c:v>-1.939999999999997E-4</c:v>
                </c:pt>
                <c:pt idx="45">
                  <c:v>3.1866666666699461E-4</c:v>
                </c:pt>
                <c:pt idx="46">
                  <c:v>0</c:v>
                </c:pt>
                <c:pt idx="47">
                  <c:v>-1.8833333333299901E-4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EA7C-41CE-86FB-8720DE7EBF17}"/>
            </c:ext>
          </c:extLst>
        </c:ser>
        <c:ser>
          <c:idx val="73"/>
          <c:order val="73"/>
          <c:tx>
            <c:v>BES_TR8_five513_B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Net_kW!$BX$2:$BX$49</c:f>
              <c:numCache>
                <c:formatCode>#,##0.000</c:formatCode>
                <c:ptCount val="48"/>
                <c:pt idx="0">
                  <c:v>-3.5999999999999921E-4</c:v>
                </c:pt>
                <c:pt idx="1">
                  <c:v>0</c:v>
                </c:pt>
                <c:pt idx="2">
                  <c:v>1.466666666666977E-4</c:v>
                </c:pt>
                <c:pt idx="3">
                  <c:v>4.9333333333299867E-4</c:v>
                </c:pt>
                <c:pt idx="4">
                  <c:v>0</c:v>
                </c:pt>
                <c:pt idx="5">
                  <c:v>0</c:v>
                </c:pt>
                <c:pt idx="6">
                  <c:v>-3.866666666667018E-4</c:v>
                </c:pt>
                <c:pt idx="7">
                  <c:v>1.5963633333365701E-5</c:v>
                </c:pt>
                <c:pt idx="8">
                  <c:v>4.8231903333343431E-4</c:v>
                </c:pt>
                <c:pt idx="9">
                  <c:v>3.7813745000001009E-4</c:v>
                </c:pt>
                <c:pt idx="10">
                  <c:v>8.7247766665521365E-5</c:v>
                </c:pt>
                <c:pt idx="11">
                  <c:v>-1.257294666654474E-4</c:v>
                </c:pt>
                <c:pt idx="12">
                  <c:v>7.1231416665429315E-5</c:v>
                </c:pt>
                <c:pt idx="13">
                  <c:v>-2.3521766665091089E-5</c:v>
                </c:pt>
                <c:pt idx="14">
                  <c:v>2.8547705000003809E-4</c:v>
                </c:pt>
                <c:pt idx="15">
                  <c:v>-2.1157828750000052E-2</c:v>
                </c:pt>
                <c:pt idx="16">
                  <c:v>-1.683760556816668</c:v>
                </c:pt>
                <c:pt idx="17">
                  <c:v>-1.8140045669</c:v>
                </c:pt>
                <c:pt idx="18">
                  <c:v>-2.1419524423333351</c:v>
                </c:pt>
                <c:pt idx="19">
                  <c:v>-2.3584280470333319</c:v>
                </c:pt>
                <c:pt idx="20">
                  <c:v>-2.6870494251833339</c:v>
                </c:pt>
                <c:pt idx="21">
                  <c:v>-2.80945198105</c:v>
                </c:pt>
                <c:pt idx="22">
                  <c:v>-2.8486556840833339</c:v>
                </c:pt>
                <c:pt idx="23">
                  <c:v>-2.9498708701999998</c:v>
                </c:pt>
                <c:pt idx="24">
                  <c:v>-2.8080911629333349</c:v>
                </c:pt>
                <c:pt idx="25">
                  <c:v>-2.7769514630000001</c:v>
                </c:pt>
                <c:pt idx="26">
                  <c:v>-2.7923736717500001</c:v>
                </c:pt>
                <c:pt idx="27">
                  <c:v>-2.7606675365333349</c:v>
                </c:pt>
                <c:pt idx="28">
                  <c:v>-2.610586073216667</c:v>
                </c:pt>
                <c:pt idx="29">
                  <c:v>-2.4135097347666679</c:v>
                </c:pt>
                <c:pt idx="30">
                  <c:v>-2.2932374329499998</c:v>
                </c:pt>
                <c:pt idx="31">
                  <c:v>-2.0836358721333341</c:v>
                </c:pt>
                <c:pt idx="32">
                  <c:v>-1.772935050166665</c:v>
                </c:pt>
                <c:pt idx="33">
                  <c:v>-1.562562363816665</c:v>
                </c:pt>
                <c:pt idx="34">
                  <c:v>-1.237756928083332</c:v>
                </c:pt>
                <c:pt idx="35">
                  <c:v>-1.005119251883333</c:v>
                </c:pt>
                <c:pt idx="36">
                  <c:v>-0.71093898450000115</c:v>
                </c:pt>
                <c:pt idx="37">
                  <c:v>-0.47188021858333329</c:v>
                </c:pt>
                <c:pt idx="38">
                  <c:v>-0.27128065426666648</c:v>
                </c:pt>
                <c:pt idx="39">
                  <c:v>-4.2764954850000002E-2</c:v>
                </c:pt>
                <c:pt idx="40">
                  <c:v>2.669576666664009E-5</c:v>
                </c:pt>
                <c:pt idx="41">
                  <c:v>3.2000000000000079E-4</c:v>
                </c:pt>
                <c:pt idx="42">
                  <c:v>0</c:v>
                </c:pt>
                <c:pt idx="43">
                  <c:v>-3.5999999999999921E-4</c:v>
                </c:pt>
                <c:pt idx="44">
                  <c:v>0</c:v>
                </c:pt>
                <c:pt idx="45">
                  <c:v>-3.5999999999999921E-4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EA7C-41CE-86FB-8720DE7EBF17}"/>
            </c:ext>
          </c:extLst>
        </c:ser>
        <c:ser>
          <c:idx val="74"/>
          <c:order val="74"/>
          <c:tx>
            <c:v>BES_TR8_five537_C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Net_kW!$BY$2:$BY$49</c:f>
              <c:numCache>
                <c:formatCode>#,##0.000</c:formatCode>
                <c:ptCount val="48"/>
                <c:pt idx="0">
                  <c:v>4.3133333333306162E-4</c:v>
                </c:pt>
                <c:pt idx="1">
                  <c:v>-3.6399999999998928E-4</c:v>
                </c:pt>
                <c:pt idx="2">
                  <c:v>-1.3799999999999921E-4</c:v>
                </c:pt>
                <c:pt idx="3">
                  <c:v>0</c:v>
                </c:pt>
                <c:pt idx="4">
                  <c:v>-9.2000000000008741E-5</c:v>
                </c:pt>
                <c:pt idx="5">
                  <c:v>-4.099999999999937E-4</c:v>
                </c:pt>
                <c:pt idx="6">
                  <c:v>0</c:v>
                </c:pt>
                <c:pt idx="7">
                  <c:v>3.0819653333336028E-4</c:v>
                </c:pt>
                <c:pt idx="8">
                  <c:v>1.450746666681324E-5</c:v>
                </c:pt>
                <c:pt idx="9">
                  <c:v>4.2644279999998203E-4</c:v>
                </c:pt>
                <c:pt idx="10">
                  <c:v>3.6271173333196632E-4</c:v>
                </c:pt>
                <c:pt idx="11">
                  <c:v>-6.2976533331982054E-5</c:v>
                </c:pt>
                <c:pt idx="12">
                  <c:v>8.1407333331950937E-5</c:v>
                </c:pt>
                <c:pt idx="13">
                  <c:v>-3.5616773333191348E-4</c:v>
                </c:pt>
                <c:pt idx="14">
                  <c:v>1.5354520000010469E-4</c:v>
                </c:pt>
                <c:pt idx="15">
                  <c:v>-0.16776942333333289</c:v>
                </c:pt>
                <c:pt idx="16">
                  <c:v>-1.0863543982666679</c:v>
                </c:pt>
                <c:pt idx="17">
                  <c:v>-2.2653319336000002</c:v>
                </c:pt>
                <c:pt idx="18">
                  <c:v>-1.403441695999998</c:v>
                </c:pt>
                <c:pt idx="19">
                  <c:v>-3.6768406133331773E-2</c:v>
                </c:pt>
                <c:pt idx="20">
                  <c:v>-1.2491626097333379</c:v>
                </c:pt>
                <c:pt idx="21">
                  <c:v>-1.59771045453333</c:v>
                </c:pt>
                <c:pt idx="22">
                  <c:v>-3.3002739246666679</c:v>
                </c:pt>
                <c:pt idx="23">
                  <c:v>-3.1487167087999999</c:v>
                </c:pt>
                <c:pt idx="24">
                  <c:v>-3.2958216624000012</c:v>
                </c:pt>
                <c:pt idx="25">
                  <c:v>-3.112335338666667</c:v>
                </c:pt>
                <c:pt idx="26">
                  <c:v>-3.1136544819999998</c:v>
                </c:pt>
                <c:pt idx="27">
                  <c:v>-1.4847526607999979</c:v>
                </c:pt>
                <c:pt idx="28">
                  <c:v>-0.62088989319999977</c:v>
                </c:pt>
                <c:pt idx="29">
                  <c:v>-1.928795506400002</c:v>
                </c:pt>
                <c:pt idx="30">
                  <c:v>-0.85226816146667006</c:v>
                </c:pt>
                <c:pt idx="31">
                  <c:v>-2.0827538538666679</c:v>
                </c:pt>
                <c:pt idx="32">
                  <c:v>-1.8163400573333319</c:v>
                </c:pt>
                <c:pt idx="33">
                  <c:v>-1.396596606266665</c:v>
                </c:pt>
                <c:pt idx="34">
                  <c:v>-0.92525506066666485</c:v>
                </c:pt>
                <c:pt idx="35">
                  <c:v>-2.799728786667011E-2</c:v>
                </c:pt>
                <c:pt idx="36">
                  <c:v>-2.03067999997919E-4</c:v>
                </c:pt>
                <c:pt idx="37">
                  <c:v>-0.24755899266666709</c:v>
                </c:pt>
                <c:pt idx="38">
                  <c:v>-0.16753341440000019</c:v>
                </c:pt>
                <c:pt idx="39">
                  <c:v>3.8405160000000438E-4</c:v>
                </c:pt>
                <c:pt idx="40">
                  <c:v>2.362237333333253E-4</c:v>
                </c:pt>
                <c:pt idx="41">
                  <c:v>4.9799999999999844E-4</c:v>
                </c:pt>
                <c:pt idx="42">
                  <c:v>0</c:v>
                </c:pt>
                <c:pt idx="43">
                  <c:v>0</c:v>
                </c:pt>
                <c:pt idx="44">
                  <c:v>-3.9133333333302161E-4</c:v>
                </c:pt>
                <c:pt idx="45">
                  <c:v>-3.2666666666958388E-5</c:v>
                </c:pt>
                <c:pt idx="46">
                  <c:v>-1.5333333333300561E-4</c:v>
                </c:pt>
                <c:pt idx="47">
                  <c:v>4.4299999999997119E-4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EA7C-41CE-86FB-8720DE7EBF17}"/>
            </c:ext>
          </c:extLst>
        </c:ser>
        <c:ser>
          <c:idx val="75"/>
          <c:order val="75"/>
          <c:tx>
            <c:v>BES_TR8_five540_A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Net_kW!$BZ$2:$BZ$49</c:f>
              <c:numCache>
                <c:formatCode>#,##0.000</c:formatCode>
                <c:ptCount val="48"/>
                <c:pt idx="0">
                  <c:v>-6.9388939039072284E-18</c:v>
                </c:pt>
                <c:pt idx="1">
                  <c:v>4.5400000000001001E-4</c:v>
                </c:pt>
                <c:pt idx="2">
                  <c:v>-6.9388939039072284E-18</c:v>
                </c:pt>
                <c:pt idx="3">
                  <c:v>-4.880000000000162E-4</c:v>
                </c:pt>
                <c:pt idx="4">
                  <c:v>-5.7999999999891472E-5</c:v>
                </c:pt>
                <c:pt idx="5">
                  <c:v>3.1399999999999478E-4</c:v>
                </c:pt>
                <c:pt idx="6">
                  <c:v>1.4000000000000121E-4</c:v>
                </c:pt>
                <c:pt idx="7">
                  <c:v>4.1939739999999342E-4</c:v>
                </c:pt>
                <c:pt idx="8">
                  <c:v>1.531306000001065E-4</c:v>
                </c:pt>
                <c:pt idx="9">
                  <c:v>-4.3016790000000032E-4</c:v>
                </c:pt>
                <c:pt idx="10">
                  <c:v>-1.2121620000102309E-4</c:v>
                </c:pt>
                <c:pt idx="11">
                  <c:v>1.76517600001036E-4</c:v>
                </c:pt>
                <c:pt idx="12">
                  <c:v>-2.8194450000118548E-4</c:v>
                </c:pt>
                <c:pt idx="13">
                  <c:v>4.9112420000096968E-4</c:v>
                </c:pt>
                <c:pt idx="14">
                  <c:v>-4.4492443333354892E-4</c:v>
                </c:pt>
                <c:pt idx="15">
                  <c:v>-4.0693416666703902E-4</c:v>
                </c:pt>
                <c:pt idx="16">
                  <c:v>1.746179666659575E-4</c:v>
                </c:pt>
                <c:pt idx="17">
                  <c:v>-1.6804322002000001</c:v>
                </c:pt>
                <c:pt idx="18">
                  <c:v>-1.7899170220000009</c:v>
                </c:pt>
                <c:pt idx="19">
                  <c:v>-2.1732665879333322</c:v>
                </c:pt>
                <c:pt idx="20">
                  <c:v>-2.312006707300001</c:v>
                </c:pt>
                <c:pt idx="21">
                  <c:v>-2.3658798408999999</c:v>
                </c:pt>
                <c:pt idx="22">
                  <c:v>-2.3808784435000012</c:v>
                </c:pt>
                <c:pt idx="23">
                  <c:v>-2.5291750315999999</c:v>
                </c:pt>
                <c:pt idx="24">
                  <c:v>-2.3147689968000011</c:v>
                </c:pt>
                <c:pt idx="25">
                  <c:v>-2.441251254</c:v>
                </c:pt>
                <c:pt idx="26">
                  <c:v>-1.3904558615</c:v>
                </c:pt>
                <c:pt idx="27">
                  <c:v>-2.3057447456000011</c:v>
                </c:pt>
                <c:pt idx="28">
                  <c:v>-2.2561309198999999</c:v>
                </c:pt>
                <c:pt idx="29">
                  <c:v>-2.1156426298000008</c:v>
                </c:pt>
                <c:pt idx="30">
                  <c:v>-1.8438343711</c:v>
                </c:pt>
                <c:pt idx="31">
                  <c:v>-1.081645890400001</c:v>
                </c:pt>
                <c:pt idx="32">
                  <c:v>-1.3522687763333321</c:v>
                </c:pt>
                <c:pt idx="33">
                  <c:v>-1.0552136546999991</c:v>
                </c:pt>
                <c:pt idx="34">
                  <c:v>-0.99337746216666611</c:v>
                </c:pt>
                <c:pt idx="35">
                  <c:v>-0.68534288256666709</c:v>
                </c:pt>
                <c:pt idx="36">
                  <c:v>-0.54905166766666802</c:v>
                </c:pt>
                <c:pt idx="37">
                  <c:v>-9.1289044499999972E-2</c:v>
                </c:pt>
                <c:pt idx="38">
                  <c:v>3.4700586666711048E-4</c:v>
                </c:pt>
                <c:pt idx="39">
                  <c:v>-2.7196129999995661E-4</c:v>
                </c:pt>
                <c:pt idx="40">
                  <c:v>-4.2916553332994489E-4</c:v>
                </c:pt>
                <c:pt idx="41">
                  <c:v>2.7233333333298582E-4</c:v>
                </c:pt>
                <c:pt idx="42">
                  <c:v>-3.7266666666696541E-4</c:v>
                </c:pt>
                <c:pt idx="43">
                  <c:v>3.2366666666699961E-4</c:v>
                </c:pt>
                <c:pt idx="44">
                  <c:v>-4.243333333329713E-4</c:v>
                </c:pt>
                <c:pt idx="45">
                  <c:v>-1.6000000000016001E-5</c:v>
                </c:pt>
                <c:pt idx="46">
                  <c:v>-4.4933333333302411E-4</c:v>
                </c:pt>
                <c:pt idx="47">
                  <c:v>-6.9388939039072284E-18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EA7C-41CE-86FB-8720DE7EBF17}"/>
            </c:ext>
          </c:extLst>
        </c:ser>
        <c:ser>
          <c:idx val="76"/>
          <c:order val="76"/>
          <c:tx>
            <c:v>BES_TR8_five551_C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Net_kW!$CA$2:$CA$49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-4.4080346666666709E-4</c:v>
                </c:pt>
                <c:pt idx="8">
                  <c:v>2.6550746666679972E-4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1.420234666680287E-4</c:v>
                </c:pt>
                <c:pt idx="12">
                  <c:v>8.1407333331839915E-5</c:v>
                </c:pt>
                <c:pt idx="13">
                  <c:v>3.9049893333475971E-4</c:v>
                </c:pt>
                <c:pt idx="14">
                  <c:v>4.732118666668228E-4</c:v>
                </c:pt>
                <c:pt idx="15">
                  <c:v>-1.05157609</c:v>
                </c:pt>
                <c:pt idx="16">
                  <c:v>-1.205571064933338</c:v>
                </c:pt>
                <c:pt idx="17">
                  <c:v>-2.2971576002666669</c:v>
                </c:pt>
                <c:pt idx="18">
                  <c:v>-2.572115362666668</c:v>
                </c:pt>
                <c:pt idx="19">
                  <c:v>-2.779923406133332</c:v>
                </c:pt>
                <c:pt idx="20">
                  <c:v>-3.0830089430666678</c:v>
                </c:pt>
                <c:pt idx="21">
                  <c:v>-3.2263051211999998</c:v>
                </c:pt>
                <c:pt idx="22">
                  <c:v>-3.3279779246666679</c:v>
                </c:pt>
                <c:pt idx="23">
                  <c:v>-3.3725667088</c:v>
                </c:pt>
                <c:pt idx="24">
                  <c:v>-3.3854813290666681</c:v>
                </c:pt>
                <c:pt idx="25">
                  <c:v>-3.3613216719999999</c:v>
                </c:pt>
                <c:pt idx="26">
                  <c:v>-3.280158482</c:v>
                </c:pt>
                <c:pt idx="27">
                  <c:v>-3.1563343274666682</c:v>
                </c:pt>
                <c:pt idx="28">
                  <c:v>-3.0085078932</c:v>
                </c:pt>
                <c:pt idx="29">
                  <c:v>-2.6673025064000009</c:v>
                </c:pt>
                <c:pt idx="30">
                  <c:v>-2.4736284947999998</c:v>
                </c:pt>
                <c:pt idx="31">
                  <c:v>-2.2314278538666681</c:v>
                </c:pt>
                <c:pt idx="32">
                  <c:v>-1.984036057333332</c:v>
                </c:pt>
                <c:pt idx="33">
                  <c:v>-1.6023062729333319</c:v>
                </c:pt>
                <c:pt idx="34">
                  <c:v>-1.286819393999999</c:v>
                </c:pt>
                <c:pt idx="35">
                  <c:v>-1.0058496212000001</c:v>
                </c:pt>
                <c:pt idx="36">
                  <c:v>-0.80654793466666796</c:v>
                </c:pt>
                <c:pt idx="37">
                  <c:v>-0.48443525933333298</c:v>
                </c:pt>
                <c:pt idx="38">
                  <c:v>-3.5309014400000172E-2</c:v>
                </c:pt>
                <c:pt idx="39">
                  <c:v>-7.6948399999998696E-5</c:v>
                </c:pt>
                <c:pt idx="40">
                  <c:v>-5.1442933333700758E-5</c:v>
                </c:pt>
                <c:pt idx="41">
                  <c:v>2.6666666666699812E-4</c:v>
                </c:pt>
                <c:pt idx="42">
                  <c:v>3.4533333333297561E-4</c:v>
                </c:pt>
                <c:pt idx="43">
                  <c:v>-1.4399999999997751E-4</c:v>
                </c:pt>
                <c:pt idx="44">
                  <c:v>4.3933333333301411E-4</c:v>
                </c:pt>
                <c:pt idx="45">
                  <c:v>7.6666666667002392E-5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EA7C-41CE-86FB-8720DE7EBF17}"/>
            </c:ext>
          </c:extLst>
        </c:ser>
        <c:ser>
          <c:idx val="77"/>
          <c:order val="77"/>
          <c:tx>
            <c:v>BES_TR8_five631_B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Net_kW!$CB$2:$CB$49</c:f>
              <c:numCache>
                <c:formatCode>#,##0.000</c:formatCode>
                <c:ptCount val="48"/>
                <c:pt idx="0">
                  <c:v>-4.9333333333301255E-4</c:v>
                </c:pt>
                <c:pt idx="1">
                  <c:v>-4.1999999999997589E-4</c:v>
                </c:pt>
                <c:pt idx="2">
                  <c:v>2.013333333329981E-4</c:v>
                </c:pt>
                <c:pt idx="3">
                  <c:v>-3.2333333333300912E-4</c:v>
                </c:pt>
                <c:pt idx="4">
                  <c:v>-7.2000000000002617E-5</c:v>
                </c:pt>
                <c:pt idx="5">
                  <c:v>-3.3999999999997921E-4</c:v>
                </c:pt>
                <c:pt idx="6">
                  <c:v>-5.5333333333004719E-5</c:v>
                </c:pt>
                <c:pt idx="7">
                  <c:v>-3.3935933333006929E-5</c:v>
                </c:pt>
                <c:pt idx="8">
                  <c:v>-1.5586939999990759E-4</c:v>
                </c:pt>
                <c:pt idx="9">
                  <c:v>3.0283210000002497E-4</c:v>
                </c:pt>
                <c:pt idx="10">
                  <c:v>-5.2162000010458343E-6</c:v>
                </c:pt>
                <c:pt idx="11">
                  <c:v>3.8517600001009011E-5</c:v>
                </c:pt>
                <c:pt idx="12">
                  <c:v>-4.9294450000114676E-4</c:v>
                </c:pt>
                <c:pt idx="13">
                  <c:v>-3.0587579999896702E-4</c:v>
                </c:pt>
                <c:pt idx="14">
                  <c:v>-2.3092443333316839E-4</c:v>
                </c:pt>
                <c:pt idx="15">
                  <c:v>-3.3023416666733141E-4</c:v>
                </c:pt>
                <c:pt idx="16">
                  <c:v>-2.4704870000102908E-4</c:v>
                </c:pt>
                <c:pt idx="17">
                  <c:v>-1.0706102002</c:v>
                </c:pt>
                <c:pt idx="18">
                  <c:v>-1.8159115220000011</c:v>
                </c:pt>
                <c:pt idx="19">
                  <c:v>-1.9864605545999989</c:v>
                </c:pt>
                <c:pt idx="20">
                  <c:v>-2.2444557073000011</c:v>
                </c:pt>
                <c:pt idx="21">
                  <c:v>-2.3989968409000002</c:v>
                </c:pt>
                <c:pt idx="22">
                  <c:v>-2.1712407768333342</c:v>
                </c:pt>
                <c:pt idx="23">
                  <c:v>-1.0163550316000001</c:v>
                </c:pt>
                <c:pt idx="24">
                  <c:v>-2.3273409968000012</c:v>
                </c:pt>
                <c:pt idx="25">
                  <c:v>-2.2578632540000001</c:v>
                </c:pt>
                <c:pt idx="26">
                  <c:v>-2.3959755281666668</c:v>
                </c:pt>
                <c:pt idx="27">
                  <c:v>-2.1877807456000009</c:v>
                </c:pt>
                <c:pt idx="28">
                  <c:v>-1.9950955865666671</c:v>
                </c:pt>
                <c:pt idx="29">
                  <c:v>-2.101202763133335</c:v>
                </c:pt>
                <c:pt idx="30">
                  <c:v>-1.8617180377666671</c:v>
                </c:pt>
                <c:pt idx="31">
                  <c:v>-1.778639557066668</c:v>
                </c:pt>
                <c:pt idx="32">
                  <c:v>-1.4819400429999989</c:v>
                </c:pt>
                <c:pt idx="33">
                  <c:v>-1.235923788033332</c:v>
                </c:pt>
                <c:pt idx="34">
                  <c:v>-1.055070462166666</c:v>
                </c:pt>
                <c:pt idx="35">
                  <c:v>-0.7958815492333331</c:v>
                </c:pt>
                <c:pt idx="36">
                  <c:v>-0.44637903433333398</c:v>
                </c:pt>
                <c:pt idx="37">
                  <c:v>-0.41589637783333328</c:v>
                </c:pt>
                <c:pt idx="38">
                  <c:v>1.9277253333405131E-4</c:v>
                </c:pt>
                <c:pt idx="39">
                  <c:v>-4.9496129999992977E-4</c:v>
                </c:pt>
                <c:pt idx="40">
                  <c:v>-1.2416553333299829E-4</c:v>
                </c:pt>
                <c:pt idx="41">
                  <c:v>-1.5133333333305909E-4</c:v>
                </c:pt>
                <c:pt idx="42">
                  <c:v>1.16000000000005E-4</c:v>
                </c:pt>
                <c:pt idx="43">
                  <c:v>4.9466666666703185E-4</c:v>
                </c:pt>
                <c:pt idx="44">
                  <c:v>2.013333333329981E-4</c:v>
                </c:pt>
                <c:pt idx="45">
                  <c:v>-3.2333333333300912E-4</c:v>
                </c:pt>
                <c:pt idx="46">
                  <c:v>-1.7266666666670291E-4</c:v>
                </c:pt>
                <c:pt idx="47">
                  <c:v>4.2233333333299711E-4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EA7C-41CE-86FB-8720DE7EBF17}"/>
            </c:ext>
          </c:extLst>
        </c:ser>
        <c:ser>
          <c:idx val="78"/>
          <c:order val="78"/>
          <c:tx>
            <c:v>BES_TR8_five649_A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Net_kW!$CC$2:$CC$49</c:f>
              <c:numCache>
                <c:formatCode>#,##0.000</c:formatCode>
                <c:ptCount val="48"/>
                <c:pt idx="0">
                  <c:v>3.0233333333301582E-4</c:v>
                </c:pt>
                <c:pt idx="1">
                  <c:v>0</c:v>
                </c:pt>
                <c:pt idx="2">
                  <c:v>3.6766666666701592E-4</c:v>
                </c:pt>
                <c:pt idx="3">
                  <c:v>2.183333333330012E-4</c:v>
                </c:pt>
                <c:pt idx="4">
                  <c:v>-3.3333333332996602E-5</c:v>
                </c:pt>
                <c:pt idx="5">
                  <c:v>-3.8066666666700111E-4</c:v>
                </c:pt>
                <c:pt idx="6">
                  <c:v>0</c:v>
                </c:pt>
                <c:pt idx="7">
                  <c:v>-4.4080346666667408E-4</c:v>
                </c:pt>
                <c:pt idx="8">
                  <c:v>-2.2049253333321359E-4</c:v>
                </c:pt>
                <c:pt idx="9">
                  <c:v>4.9844279999998464E-4</c:v>
                </c:pt>
                <c:pt idx="10">
                  <c:v>4.4804506666540339E-4</c:v>
                </c:pt>
                <c:pt idx="11">
                  <c:v>-6.0309866664942653E-5</c:v>
                </c:pt>
                <c:pt idx="12">
                  <c:v>-4.8859266666811951E-4</c:v>
                </c:pt>
                <c:pt idx="13">
                  <c:v>1.188322666680897E-4</c:v>
                </c:pt>
                <c:pt idx="14">
                  <c:v>2.2154519999983971E-4</c:v>
                </c:pt>
                <c:pt idx="15">
                  <c:v>-1.9608999999998211E-4</c:v>
                </c:pt>
                <c:pt idx="16">
                  <c:v>-2.082321398266668</c:v>
                </c:pt>
                <c:pt idx="17">
                  <c:v>-2.4135029335999998</c:v>
                </c:pt>
                <c:pt idx="18">
                  <c:v>-2.708432029333335</c:v>
                </c:pt>
                <c:pt idx="19">
                  <c:v>-2.8492367394666651</c:v>
                </c:pt>
                <c:pt idx="20">
                  <c:v>-3.0880089430666682</c:v>
                </c:pt>
                <c:pt idx="21">
                  <c:v>-3.1033871211999999</c:v>
                </c:pt>
                <c:pt idx="22">
                  <c:v>-3.2453099246666679</c:v>
                </c:pt>
                <c:pt idx="23">
                  <c:v>-3.3128867087999998</c:v>
                </c:pt>
                <c:pt idx="24">
                  <c:v>-3.214355329066668</c:v>
                </c:pt>
                <c:pt idx="25">
                  <c:v>-3.3219263386666662</c:v>
                </c:pt>
                <c:pt idx="26">
                  <c:v>-3.0059011486666671</c:v>
                </c:pt>
                <c:pt idx="27">
                  <c:v>-3.0690252941333349</c:v>
                </c:pt>
                <c:pt idx="28">
                  <c:v>-2.911421059866667</c:v>
                </c:pt>
                <c:pt idx="29">
                  <c:v>-1.9600021730666679</c:v>
                </c:pt>
                <c:pt idx="30">
                  <c:v>-2.4996379948</c:v>
                </c:pt>
                <c:pt idx="31">
                  <c:v>-1.827339853866667</c:v>
                </c:pt>
                <c:pt idx="32">
                  <c:v>-2.0440223906666648</c:v>
                </c:pt>
                <c:pt idx="33">
                  <c:v>-1.747282939599998</c:v>
                </c:pt>
                <c:pt idx="34">
                  <c:v>-1.332700727333332</c:v>
                </c:pt>
                <c:pt idx="35">
                  <c:v>-1.0888131212000001</c:v>
                </c:pt>
                <c:pt idx="36">
                  <c:v>-0.74993193466666797</c:v>
                </c:pt>
                <c:pt idx="37">
                  <c:v>-0.30935355933333297</c:v>
                </c:pt>
                <c:pt idx="38">
                  <c:v>-0.2123751144000002</c:v>
                </c:pt>
                <c:pt idx="39">
                  <c:v>-1.6494840000003119E-4</c:v>
                </c:pt>
                <c:pt idx="40">
                  <c:v>-3.3810959999969192E-4</c:v>
                </c:pt>
                <c:pt idx="41">
                  <c:v>-2.276666666670146E-4</c:v>
                </c:pt>
                <c:pt idx="42">
                  <c:v>2.4366666666697509E-4</c:v>
                </c:pt>
                <c:pt idx="43">
                  <c:v>-1.583333333329828E-4</c:v>
                </c:pt>
                <c:pt idx="44">
                  <c:v>3.46666666670159E-5</c:v>
                </c:pt>
                <c:pt idx="45">
                  <c:v>3.5399999999996551E-4</c:v>
                </c:pt>
                <c:pt idx="46">
                  <c:v>2.1200000000000391E-4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EA7C-41CE-86FB-8720DE7EBF17}"/>
            </c:ext>
          </c:extLst>
        </c:ser>
        <c:ser>
          <c:idx val="79"/>
          <c:order val="79"/>
          <c:tx>
            <c:v>BES_TR8_five663_C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Net_kW!$CD$2:$CD$49</c:f>
              <c:numCache>
                <c:formatCode>#,##0.000</c:formatCode>
                <c:ptCount val="48"/>
                <c:pt idx="0">
                  <c:v>4.9866666666699422E-4</c:v>
                </c:pt>
                <c:pt idx="1">
                  <c:v>0</c:v>
                </c:pt>
                <c:pt idx="2">
                  <c:v>9.7333333334004291E-5</c:v>
                </c:pt>
                <c:pt idx="3">
                  <c:v>0</c:v>
                </c:pt>
                <c:pt idx="4">
                  <c:v>0</c:v>
                </c:pt>
                <c:pt idx="5">
                  <c:v>9.733333333300509E-5</c:v>
                </c:pt>
                <c:pt idx="6">
                  <c:v>0</c:v>
                </c:pt>
                <c:pt idx="7">
                  <c:v>1.947307333330095E-4</c:v>
                </c:pt>
                <c:pt idx="8">
                  <c:v>2.1130600000099361E-5</c:v>
                </c:pt>
                <c:pt idx="9">
                  <c:v>-1.988345666669791E-4</c:v>
                </c:pt>
                <c:pt idx="10">
                  <c:v>-1.3921620000101331E-4</c:v>
                </c:pt>
                <c:pt idx="11">
                  <c:v>-3.9348239999892343E-4</c:v>
                </c:pt>
                <c:pt idx="12">
                  <c:v>6.1055499998907692E-5</c:v>
                </c:pt>
                <c:pt idx="13">
                  <c:v>-2.1587579999904349E-4</c:v>
                </c:pt>
                <c:pt idx="14">
                  <c:v>3.5640889999988268E-4</c:v>
                </c:pt>
                <c:pt idx="15">
                  <c:v>2.5176583333297309E-4</c:v>
                </c:pt>
                <c:pt idx="16">
                  <c:v>-1.8704870000108009E-4</c:v>
                </c:pt>
                <c:pt idx="17">
                  <c:v>-1.260490866866667</c:v>
                </c:pt>
                <c:pt idx="18">
                  <c:v>-1.9393615220000009</c:v>
                </c:pt>
                <c:pt idx="19">
                  <c:v>-2.0027602212666662</c:v>
                </c:pt>
                <c:pt idx="20">
                  <c:v>-2.220585707300001</c:v>
                </c:pt>
                <c:pt idx="21">
                  <c:v>-2.3848971742333331</c:v>
                </c:pt>
                <c:pt idx="22">
                  <c:v>-2.1803361101666678</c:v>
                </c:pt>
                <c:pt idx="23">
                  <c:v>-1.628036298266667</c:v>
                </c:pt>
                <c:pt idx="24">
                  <c:v>-2.2755393968000011</c:v>
                </c:pt>
                <c:pt idx="25">
                  <c:v>-2.3758463873333331</c:v>
                </c:pt>
                <c:pt idx="26">
                  <c:v>-2.3643255281666669</c:v>
                </c:pt>
                <c:pt idx="27">
                  <c:v>-2.115913412266667</c:v>
                </c:pt>
                <c:pt idx="28">
                  <c:v>-2.2461309199000001</c:v>
                </c:pt>
                <c:pt idx="29">
                  <c:v>-2.0514362964666679</c:v>
                </c:pt>
                <c:pt idx="30">
                  <c:v>-1.7574553711000001</c:v>
                </c:pt>
                <c:pt idx="31">
                  <c:v>-1.776687890400001</c:v>
                </c:pt>
                <c:pt idx="32">
                  <c:v>-1.3575247096666661</c:v>
                </c:pt>
                <c:pt idx="33">
                  <c:v>-1.2937814546999991</c:v>
                </c:pt>
                <c:pt idx="34">
                  <c:v>-1.089318128833332</c:v>
                </c:pt>
                <c:pt idx="35">
                  <c:v>-0.55522221590000009</c:v>
                </c:pt>
                <c:pt idx="36">
                  <c:v>2.3229899999904771E-4</c:v>
                </c:pt>
                <c:pt idx="37">
                  <c:v>2.9695550000002902E-4</c:v>
                </c:pt>
                <c:pt idx="38">
                  <c:v>4.817725333330844E-4</c:v>
                </c:pt>
                <c:pt idx="39">
                  <c:v>-4.756279666670582E-4</c:v>
                </c:pt>
                <c:pt idx="40">
                  <c:v>-3.8283219999996071E-4</c:v>
                </c:pt>
                <c:pt idx="41">
                  <c:v>4.6400000000002001E-4</c:v>
                </c:pt>
                <c:pt idx="42">
                  <c:v>1.226666666660492E-4</c:v>
                </c:pt>
                <c:pt idx="43">
                  <c:v>4.9866666666699422E-4</c:v>
                </c:pt>
                <c:pt idx="44">
                  <c:v>4.9866666666699422E-4</c:v>
                </c:pt>
                <c:pt idx="45">
                  <c:v>9.5000000000011742E-5</c:v>
                </c:pt>
                <c:pt idx="46">
                  <c:v>-1.6133333333001602E-5</c:v>
                </c:pt>
                <c:pt idx="47">
                  <c:v>4.7266666666989643E-5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EA7C-41CE-86FB-8720DE7EBF17}"/>
            </c:ext>
          </c:extLst>
        </c:ser>
        <c:ser>
          <c:idx val="80"/>
          <c:order val="80"/>
          <c:tx>
            <c:v>BES_TR8_five670_C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Net_kW!$CE$2:$CE$49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-1.5050216666666341E-4</c:v>
                </c:pt>
                <c:pt idx="8">
                  <c:v>-8.4057833333253326E-5</c:v>
                </c:pt>
                <c:pt idx="9">
                  <c:v>-3.5847325000001867E-4</c:v>
                </c:pt>
                <c:pt idx="10">
                  <c:v>-3.3768016666751999E-4</c:v>
                </c:pt>
                <c:pt idx="11">
                  <c:v>3.387646666675459E-4</c:v>
                </c:pt>
                <c:pt idx="12">
                  <c:v>5.0879583332497091E-5</c:v>
                </c:pt>
                <c:pt idx="13">
                  <c:v>4.1177016666760208E-4</c:v>
                </c:pt>
                <c:pt idx="14">
                  <c:v>-3.9865925000015512E-4</c:v>
                </c:pt>
                <c:pt idx="15">
                  <c:v>2.221937499999882E-4</c:v>
                </c:pt>
                <c:pt idx="16">
                  <c:v>-2.0587391666793131E-4</c:v>
                </c:pt>
                <c:pt idx="17">
                  <c:v>-1.3794068335</c:v>
                </c:pt>
                <c:pt idx="18">
                  <c:v>-1.684359601666668</c:v>
                </c:pt>
                <c:pt idx="19">
                  <c:v>-1.8079896288333319</c:v>
                </c:pt>
                <c:pt idx="20">
                  <c:v>-1.9165055894166669</c:v>
                </c:pt>
                <c:pt idx="21">
                  <c:v>-2.0060657007499998</c:v>
                </c:pt>
                <c:pt idx="22">
                  <c:v>-2.0696112029166671</c:v>
                </c:pt>
                <c:pt idx="23">
                  <c:v>-2.0974791929999999</c:v>
                </c:pt>
                <c:pt idx="24">
                  <c:v>-2.105550830666667</c:v>
                </c:pt>
                <c:pt idx="25">
                  <c:v>-2.090451045</c:v>
                </c:pt>
                <c:pt idx="26">
                  <c:v>-2.0397240512499999</c:v>
                </c:pt>
                <c:pt idx="27">
                  <c:v>-1.9623339546666669</c:v>
                </c:pt>
                <c:pt idx="28">
                  <c:v>-1.8699424332500001</c:v>
                </c:pt>
                <c:pt idx="29">
                  <c:v>-1.752868858166668</c:v>
                </c:pt>
                <c:pt idx="30">
                  <c:v>-1.62845530925</c:v>
                </c:pt>
                <c:pt idx="31">
                  <c:v>-1.4787399086666679</c:v>
                </c:pt>
                <c:pt idx="32">
                  <c:v>-1.3101250358333321</c:v>
                </c:pt>
                <c:pt idx="33">
                  <c:v>-1.1065445455833329</c:v>
                </c:pt>
                <c:pt idx="34">
                  <c:v>-0.91600732958333242</c:v>
                </c:pt>
                <c:pt idx="35">
                  <c:v>-0.72021851324999997</c:v>
                </c:pt>
                <c:pt idx="36">
                  <c:v>-0.53082308416666746</c:v>
                </c:pt>
                <c:pt idx="37">
                  <c:v>-0.34821920374999998</c:v>
                </c:pt>
                <c:pt idx="38">
                  <c:v>-0.1842004673333332</c:v>
                </c:pt>
                <c:pt idx="39">
                  <c:v>-2.097496775E-2</c:v>
                </c:pt>
                <c:pt idx="40">
                  <c:v>-3.5236016666667652E-4</c:v>
                </c:pt>
                <c:pt idx="41">
                  <c:v>0</c:v>
                </c:pt>
                <c:pt idx="42">
                  <c:v>0</c:v>
                </c:pt>
                <c:pt idx="43">
                  <c:v>-3.3066666666700661E-4</c:v>
                </c:pt>
                <c:pt idx="44">
                  <c:v>1.7333333333302561E-4</c:v>
                </c:pt>
                <c:pt idx="45">
                  <c:v>-3.729999999999567E-4</c:v>
                </c:pt>
                <c:pt idx="46">
                  <c:v>2.30000000000008E-4</c:v>
                </c:pt>
                <c:pt idx="47">
                  <c:v>-1.2033333333340281E-4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EA7C-41CE-86FB-8720DE7EBF17}"/>
            </c:ext>
          </c:extLst>
        </c:ser>
        <c:ser>
          <c:idx val="81"/>
          <c:order val="81"/>
          <c:tx>
            <c:v>BES_TR8_five704_A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Net_kW!$CF$2:$CF$49</c:f>
              <c:numCache>
                <c:formatCode>#,##0.000</c:formatCode>
                <c:ptCount val="48"/>
                <c:pt idx="0">
                  <c:v>-2.5166666666709409E-4</c:v>
                </c:pt>
                <c:pt idx="1">
                  <c:v>4.790000000000072E-4</c:v>
                </c:pt>
                <c:pt idx="2">
                  <c:v>1.426666666669851E-4</c:v>
                </c:pt>
                <c:pt idx="3">
                  <c:v>4.166666666669816E-4</c:v>
                </c:pt>
                <c:pt idx="4">
                  <c:v>0</c:v>
                </c:pt>
                <c:pt idx="5">
                  <c:v>-2.9333333333300682E-4</c:v>
                </c:pt>
                <c:pt idx="6">
                  <c:v>0</c:v>
                </c:pt>
                <c:pt idx="7">
                  <c:v>-2.1780346666666619E-4</c:v>
                </c:pt>
                <c:pt idx="8">
                  <c:v>-3.3492533333193131E-5</c:v>
                </c:pt>
                <c:pt idx="9">
                  <c:v>-4.9223866666725513E-5</c:v>
                </c:pt>
                <c:pt idx="10">
                  <c:v>2.5871173333202879E-4</c:v>
                </c:pt>
                <c:pt idx="11">
                  <c:v>2.1335680000100779E-4</c:v>
                </c:pt>
                <c:pt idx="12">
                  <c:v>-4.3059266666811702E-4</c:v>
                </c:pt>
                <c:pt idx="13">
                  <c:v>3.3016560000098671E-4</c:v>
                </c:pt>
                <c:pt idx="14">
                  <c:v>4.7621186666702009E-4</c:v>
                </c:pt>
                <c:pt idx="15">
                  <c:v>-1.037566666670653E-4</c:v>
                </c:pt>
                <c:pt idx="16">
                  <c:v>-0.90276773160000112</c:v>
                </c:pt>
                <c:pt idx="17">
                  <c:v>-2.411465266933333</c:v>
                </c:pt>
                <c:pt idx="18">
                  <c:v>-2.7295753626666679</c:v>
                </c:pt>
                <c:pt idx="19">
                  <c:v>-2.841197739466665</c:v>
                </c:pt>
                <c:pt idx="20">
                  <c:v>-2.928635276400001</c:v>
                </c:pt>
                <c:pt idx="21">
                  <c:v>-3.2111567878666669</c:v>
                </c:pt>
                <c:pt idx="22">
                  <c:v>-3.1205669246666679</c:v>
                </c:pt>
                <c:pt idx="23">
                  <c:v>-3.3905667088000002</c:v>
                </c:pt>
                <c:pt idx="24">
                  <c:v>-3.2384009957333348</c:v>
                </c:pt>
                <c:pt idx="25">
                  <c:v>-3.2858426719999998</c:v>
                </c:pt>
                <c:pt idx="26">
                  <c:v>-3.2981584819999998</c:v>
                </c:pt>
                <c:pt idx="27">
                  <c:v>-3.0059403274666678</c:v>
                </c:pt>
                <c:pt idx="28">
                  <c:v>-2.936342559866667</c:v>
                </c:pt>
                <c:pt idx="29">
                  <c:v>-2.8166488397333351</c:v>
                </c:pt>
                <c:pt idx="30">
                  <c:v>-1.4861764948</c:v>
                </c:pt>
                <c:pt idx="31">
                  <c:v>-1.8558671872000021</c:v>
                </c:pt>
                <c:pt idx="32">
                  <c:v>-2.106895090666665</c:v>
                </c:pt>
                <c:pt idx="33">
                  <c:v>-1.569586606266665</c:v>
                </c:pt>
                <c:pt idx="34">
                  <c:v>-1.2593467273333321</c:v>
                </c:pt>
                <c:pt idx="35">
                  <c:v>1.5378800000021009E-5</c:v>
                </c:pt>
                <c:pt idx="36">
                  <c:v>3.343986666660137E-4</c:v>
                </c:pt>
                <c:pt idx="37">
                  <c:v>1.47940666669899E-4</c:v>
                </c:pt>
                <c:pt idx="38">
                  <c:v>-4.9408106666337659E-4</c:v>
                </c:pt>
                <c:pt idx="39">
                  <c:v>-8.6615066669848417E-5</c:v>
                </c:pt>
                <c:pt idx="40">
                  <c:v>-1.2877626666674141E-4</c:v>
                </c:pt>
                <c:pt idx="41">
                  <c:v>1.660000000001105E-4</c:v>
                </c:pt>
                <c:pt idx="42">
                  <c:v>3.5333333333339989E-4</c:v>
                </c:pt>
                <c:pt idx="43">
                  <c:v>5.7666666667011153E-5</c:v>
                </c:pt>
                <c:pt idx="44">
                  <c:v>7.4230999999999991E-2</c:v>
                </c:pt>
                <c:pt idx="45">
                  <c:v>0.106624</c:v>
                </c:pt>
                <c:pt idx="46">
                  <c:v>0.2243</c:v>
                </c:pt>
                <c:pt idx="47">
                  <c:v>0.112259333333333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EA7C-41CE-86FB-8720DE7EBF17}"/>
            </c:ext>
          </c:extLst>
        </c:ser>
        <c:ser>
          <c:idx val="82"/>
          <c:order val="82"/>
          <c:tx>
            <c:v>BES_TR8_five719_A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Net_kW!$CG$2:$CG$49</c:f>
              <c:numCache>
                <c:formatCode>#,##0.000</c:formatCode>
                <c:ptCount val="48"/>
                <c:pt idx="0">
                  <c:v>-2.6299999999998552E-4</c:v>
                </c:pt>
                <c:pt idx="1">
                  <c:v>6.9999999999958984E-5</c:v>
                </c:pt>
                <c:pt idx="2">
                  <c:v>-2.2333333333302011E-4</c:v>
                </c:pt>
                <c:pt idx="3">
                  <c:v>0</c:v>
                </c:pt>
                <c:pt idx="4">
                  <c:v>2.5333333333299462E-4</c:v>
                </c:pt>
                <c:pt idx="5">
                  <c:v>0</c:v>
                </c:pt>
                <c:pt idx="6">
                  <c:v>0</c:v>
                </c:pt>
                <c:pt idx="7">
                  <c:v>-4.4080346666666709E-4</c:v>
                </c:pt>
                <c:pt idx="8">
                  <c:v>4.2174133333780513E-5</c:v>
                </c:pt>
                <c:pt idx="9">
                  <c:v>4.2644280000000978E-4</c:v>
                </c:pt>
                <c:pt idx="10">
                  <c:v>-3.4028826666798739E-4</c:v>
                </c:pt>
                <c:pt idx="11">
                  <c:v>-4.6130986666526042E-4</c:v>
                </c:pt>
                <c:pt idx="12">
                  <c:v>4.6140733333188688E-4</c:v>
                </c:pt>
                <c:pt idx="13">
                  <c:v>2.588322666678966E-4</c:v>
                </c:pt>
                <c:pt idx="14">
                  <c:v>4.0545199999852948E-5</c:v>
                </c:pt>
                <c:pt idx="15">
                  <c:v>-0.43184942333333298</c:v>
                </c:pt>
                <c:pt idx="16">
                  <c:v>-2.2233293982666682</c:v>
                </c:pt>
                <c:pt idx="17">
                  <c:v>-1.695138266933333</c:v>
                </c:pt>
                <c:pt idx="18">
                  <c:v>-1.1260083626666679</c:v>
                </c:pt>
                <c:pt idx="19">
                  <c:v>-1.6058179394666621</c:v>
                </c:pt>
                <c:pt idx="20">
                  <c:v>-2.180142276400002</c:v>
                </c:pt>
                <c:pt idx="21">
                  <c:v>-2.3330884545333328</c:v>
                </c:pt>
                <c:pt idx="22">
                  <c:v>-3.2620816580000009</c:v>
                </c:pt>
                <c:pt idx="23">
                  <c:v>-3.3293267088</c:v>
                </c:pt>
                <c:pt idx="24">
                  <c:v>-3.2418773290666678</c:v>
                </c:pt>
                <c:pt idx="25">
                  <c:v>-3.3598376719999998</c:v>
                </c:pt>
                <c:pt idx="26">
                  <c:v>-3.2961584820000001</c:v>
                </c:pt>
                <c:pt idx="27">
                  <c:v>-3.0785576608000009</c:v>
                </c:pt>
                <c:pt idx="28">
                  <c:v>-3.0245078932</c:v>
                </c:pt>
                <c:pt idx="29">
                  <c:v>-2.7501118397333348</c:v>
                </c:pt>
                <c:pt idx="30">
                  <c:v>-2.6314301614666671</c:v>
                </c:pt>
                <c:pt idx="31">
                  <c:v>-2.3985838538666679</c:v>
                </c:pt>
                <c:pt idx="32">
                  <c:v>-2.0175380573333319</c:v>
                </c:pt>
                <c:pt idx="33">
                  <c:v>-1.6662661729333319</c:v>
                </c:pt>
                <c:pt idx="34">
                  <c:v>-1.447940727333332</c:v>
                </c:pt>
                <c:pt idx="35">
                  <c:v>-0.98776402120000006</c:v>
                </c:pt>
                <c:pt idx="36">
                  <c:v>-0.74953626800000106</c:v>
                </c:pt>
                <c:pt idx="37">
                  <c:v>-0.37647205933333311</c:v>
                </c:pt>
                <c:pt idx="38">
                  <c:v>4.3825226666681372E-4</c:v>
                </c:pt>
                <c:pt idx="39">
                  <c:v>-4.6328173333295969E-4</c:v>
                </c:pt>
                <c:pt idx="40">
                  <c:v>1.215570666663057E-4</c:v>
                </c:pt>
                <c:pt idx="41">
                  <c:v>9.1666666666989638E-5</c:v>
                </c:pt>
                <c:pt idx="42">
                  <c:v>-1.939999999999997E-4</c:v>
                </c:pt>
                <c:pt idx="43">
                  <c:v>4.7633333333296779E-4</c:v>
                </c:pt>
                <c:pt idx="44">
                  <c:v>-7.3333333332981088E-5</c:v>
                </c:pt>
                <c:pt idx="45">
                  <c:v>1.500000000000945E-4</c:v>
                </c:pt>
                <c:pt idx="46">
                  <c:v>-1.6199999999999551E-4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EA7C-41CE-86FB-8720DE7EBF17}"/>
            </c:ext>
          </c:extLst>
        </c:ser>
        <c:ser>
          <c:idx val="83"/>
          <c:order val="83"/>
          <c:tx>
            <c:v>BES_TR8_five750_B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Net_kW!$CH$2:$CH$49</c:f>
              <c:numCache>
                <c:formatCode>#,##0.000</c:formatCode>
                <c:ptCount val="48"/>
                <c:pt idx="0">
                  <c:v>2.9333333333300682E-4</c:v>
                </c:pt>
                <c:pt idx="1">
                  <c:v>0</c:v>
                </c:pt>
                <c:pt idx="2">
                  <c:v>2.6666666666699812E-4</c:v>
                </c:pt>
                <c:pt idx="3">
                  <c:v>2.6666666666598501E-5</c:v>
                </c:pt>
                <c:pt idx="4">
                  <c:v>1.8666666666702911E-4</c:v>
                </c:pt>
                <c:pt idx="5">
                  <c:v>1.066666666668104E-4</c:v>
                </c:pt>
                <c:pt idx="6">
                  <c:v>0</c:v>
                </c:pt>
                <c:pt idx="7">
                  <c:v>-1.474701333336603E-4</c:v>
                </c:pt>
                <c:pt idx="8">
                  <c:v>2.6550746666679798E-4</c:v>
                </c:pt>
                <c:pt idx="9">
                  <c:v>4.7977613333330388E-4</c:v>
                </c:pt>
                <c:pt idx="10">
                  <c:v>-1.002882666680249E-4</c:v>
                </c:pt>
                <c:pt idx="11">
                  <c:v>1.420234666680287E-4</c:v>
                </c:pt>
                <c:pt idx="12">
                  <c:v>-1.3859266666804701E-4</c:v>
                </c:pt>
                <c:pt idx="13">
                  <c:v>-2.195010666650177E-4</c:v>
                </c:pt>
                <c:pt idx="14">
                  <c:v>4.0545199999852948E-5</c:v>
                </c:pt>
                <c:pt idx="15">
                  <c:v>-0.25434775666666648</c:v>
                </c:pt>
                <c:pt idx="16">
                  <c:v>-2.087062731600001</c:v>
                </c:pt>
                <c:pt idx="17">
                  <c:v>-2.263609266933333</c:v>
                </c:pt>
                <c:pt idx="18">
                  <c:v>-2.5585100293333349</c:v>
                </c:pt>
                <c:pt idx="19">
                  <c:v>-2.8821258061333319</c:v>
                </c:pt>
                <c:pt idx="20">
                  <c:v>-2.9847139097333351</c:v>
                </c:pt>
                <c:pt idx="21">
                  <c:v>-3.1841984545333331</c:v>
                </c:pt>
                <c:pt idx="22">
                  <c:v>-3.3379779246666681</c:v>
                </c:pt>
                <c:pt idx="23">
                  <c:v>-3.0614967088</c:v>
                </c:pt>
                <c:pt idx="24">
                  <c:v>-3.3460713290666679</c:v>
                </c:pt>
                <c:pt idx="25">
                  <c:v>-3.1364966719999998</c:v>
                </c:pt>
                <c:pt idx="26">
                  <c:v>-3.2672236153333332</c:v>
                </c:pt>
                <c:pt idx="27">
                  <c:v>-3.1520483274666682</c:v>
                </c:pt>
                <c:pt idx="28">
                  <c:v>-2.9215659598666668</c:v>
                </c:pt>
                <c:pt idx="29">
                  <c:v>-2.4985307064000009</c:v>
                </c:pt>
                <c:pt idx="30">
                  <c:v>-2.5871670614666669</c:v>
                </c:pt>
                <c:pt idx="31">
                  <c:v>-2.2038793872000011</c:v>
                </c:pt>
                <c:pt idx="32">
                  <c:v>-2.0946590573333319</c:v>
                </c:pt>
                <c:pt idx="33">
                  <c:v>-1.659041506266665</c:v>
                </c:pt>
                <c:pt idx="34">
                  <c:v>-1.4368117273333321</c:v>
                </c:pt>
                <c:pt idx="35">
                  <c:v>-1.0315001545333331</c:v>
                </c:pt>
                <c:pt idx="36">
                  <c:v>-0.63107083466666802</c:v>
                </c:pt>
                <c:pt idx="37">
                  <c:v>-0.57341372600000007</c:v>
                </c:pt>
                <c:pt idx="38">
                  <c:v>-4.0567647733333163E-2</c:v>
                </c:pt>
                <c:pt idx="39">
                  <c:v>4.4051599999983537E-5</c:v>
                </c:pt>
                <c:pt idx="40">
                  <c:v>1.062237333333549E-4</c:v>
                </c:pt>
                <c:pt idx="41">
                  <c:v>1.166666666669869E-4</c:v>
                </c:pt>
                <c:pt idx="42">
                  <c:v>1.163333333329963E-4</c:v>
                </c:pt>
                <c:pt idx="43">
                  <c:v>0</c:v>
                </c:pt>
                <c:pt idx="44">
                  <c:v>-4.0666666666669399E-4</c:v>
                </c:pt>
                <c:pt idx="45">
                  <c:v>-2.9999999999999472E-4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EA7C-41CE-86FB-8720DE7EBF17}"/>
            </c:ext>
          </c:extLst>
        </c:ser>
        <c:ser>
          <c:idx val="84"/>
          <c:order val="84"/>
          <c:tx>
            <c:v>BES_TR8_five793_A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Net_kW!$CI$2:$CI$49</c:f>
              <c:numCache>
                <c:formatCode>#,##0.000</c:formatCode>
                <c:ptCount val="48"/>
                <c:pt idx="0">
                  <c:v>-3.0399999999999872E-4</c:v>
                </c:pt>
                <c:pt idx="1">
                  <c:v>-7.333333332970593E-6</c:v>
                </c:pt>
                <c:pt idx="2">
                  <c:v>0</c:v>
                </c:pt>
                <c:pt idx="3">
                  <c:v>-3.0399999999999872E-4</c:v>
                </c:pt>
                <c:pt idx="4">
                  <c:v>-1.0000000000010001E-6</c:v>
                </c:pt>
                <c:pt idx="5">
                  <c:v>-3.0766666666703912E-4</c:v>
                </c:pt>
                <c:pt idx="6">
                  <c:v>0</c:v>
                </c:pt>
                <c:pt idx="7">
                  <c:v>-1.2263463333297969E-4</c:v>
                </c:pt>
                <c:pt idx="8">
                  <c:v>-1.2376803333295769E-4</c:v>
                </c:pt>
                <c:pt idx="9">
                  <c:v>-2.150839499999932E-4</c:v>
                </c:pt>
                <c:pt idx="10">
                  <c:v>-3.0860810000049588E-4</c:v>
                </c:pt>
                <c:pt idx="11">
                  <c:v>-1.967411999995172E-4</c:v>
                </c:pt>
                <c:pt idx="12">
                  <c:v>2.5527749999393331E-5</c:v>
                </c:pt>
                <c:pt idx="13">
                  <c:v>-1.5527123333247681E-4</c:v>
                </c:pt>
                <c:pt idx="14">
                  <c:v>2.632044500000541E-4</c:v>
                </c:pt>
                <c:pt idx="15">
                  <c:v>-4.9011708333301929E-4</c:v>
                </c:pt>
                <c:pt idx="16">
                  <c:v>-1.2352435000051451E-4</c:v>
                </c:pt>
                <c:pt idx="17">
                  <c:v>-2.7110009999992141E-4</c:v>
                </c:pt>
                <c:pt idx="18">
                  <c:v>4.0657233333285531E-4</c:v>
                </c:pt>
                <c:pt idx="19">
                  <c:v>-1.31443966669087E-4</c:v>
                </c:pt>
                <c:pt idx="20">
                  <c:v>4.723130166660594E-4</c:v>
                </c:pt>
                <c:pt idx="21">
                  <c:v>4.3657955000009352E-4</c:v>
                </c:pt>
                <c:pt idx="22">
                  <c:v>-1.3172175000009109E-4</c:v>
                </c:pt>
                <c:pt idx="23">
                  <c:v>-8.1824666670060608E-6</c:v>
                </c:pt>
                <c:pt idx="24">
                  <c:v>-2.344984000008932E-4</c:v>
                </c:pt>
                <c:pt idx="25">
                  <c:v>-1.0927579603333331</c:v>
                </c:pt>
                <c:pt idx="26">
                  <c:v>-1.0728544307500001</c:v>
                </c:pt>
                <c:pt idx="27">
                  <c:v>-1.0425930394666669</c:v>
                </c:pt>
                <c:pt idx="28">
                  <c:v>-0.91671065995000001</c:v>
                </c:pt>
                <c:pt idx="29">
                  <c:v>3.7508509999994999E-4</c:v>
                </c:pt>
                <c:pt idx="30">
                  <c:v>-0.42391018554999998</c:v>
                </c:pt>
                <c:pt idx="31">
                  <c:v>-0.79714794520000043</c:v>
                </c:pt>
                <c:pt idx="32">
                  <c:v>-0.58668235483333242</c:v>
                </c:pt>
                <c:pt idx="33">
                  <c:v>-0.64052672734999938</c:v>
                </c:pt>
                <c:pt idx="34">
                  <c:v>-0.40351073108333252</c:v>
                </c:pt>
                <c:pt idx="35">
                  <c:v>-0.2887361079500001</c:v>
                </c:pt>
                <c:pt idx="36">
                  <c:v>-0.2283978505000005</c:v>
                </c:pt>
                <c:pt idx="37">
                  <c:v>-9.538855583332978E-3</c:v>
                </c:pt>
                <c:pt idx="38">
                  <c:v>-8.7120280399999916E-2</c:v>
                </c:pt>
                <c:pt idx="39">
                  <c:v>-4.8898065000001212E-4</c:v>
                </c:pt>
                <c:pt idx="40">
                  <c:v>-4.1874943333300441E-4</c:v>
                </c:pt>
                <c:pt idx="41">
                  <c:v>0</c:v>
                </c:pt>
                <c:pt idx="42">
                  <c:v>4.6466666666700179E-4</c:v>
                </c:pt>
                <c:pt idx="43">
                  <c:v>4.7266666666695428E-4</c:v>
                </c:pt>
                <c:pt idx="44">
                  <c:v>-6.0000000000060014E-6</c:v>
                </c:pt>
                <c:pt idx="45">
                  <c:v>-2.9466666666669999E-4</c:v>
                </c:pt>
                <c:pt idx="46">
                  <c:v>-1.366666666696714E-5</c:v>
                </c:pt>
                <c:pt idx="47">
                  <c:v>2.2933333333302611E-4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EA7C-41CE-86FB-8720DE7EBF17}"/>
            </c:ext>
          </c:extLst>
        </c:ser>
        <c:ser>
          <c:idx val="85"/>
          <c:order val="85"/>
          <c:tx>
            <c:v>BES_TR8_five801_C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Net_kW!$CJ$2:$CJ$49</c:f>
              <c:numCache>
                <c:formatCode>#,##0.000</c:formatCode>
                <c:ptCount val="48"/>
                <c:pt idx="0">
                  <c:v>-3.1233333333297031E-4</c:v>
                </c:pt>
                <c:pt idx="1">
                  <c:v>0</c:v>
                </c:pt>
                <c:pt idx="2">
                  <c:v>-2.6666666666699812E-4</c:v>
                </c:pt>
                <c:pt idx="3">
                  <c:v>0</c:v>
                </c:pt>
                <c:pt idx="4">
                  <c:v>4.6666666666700379E-4</c:v>
                </c:pt>
                <c:pt idx="5">
                  <c:v>2.6666666666659572E-4</c:v>
                </c:pt>
                <c:pt idx="6">
                  <c:v>1.9999999999999191E-4</c:v>
                </c:pt>
                <c:pt idx="7">
                  <c:v>-4.7736970000036849E-4</c:v>
                </c:pt>
                <c:pt idx="8">
                  <c:v>4.8231903333343951E-4</c:v>
                </c:pt>
                <c:pt idx="9">
                  <c:v>4.9813745000001908E-4</c:v>
                </c:pt>
                <c:pt idx="10">
                  <c:v>-1.3941890000146451E-4</c:v>
                </c:pt>
                <c:pt idx="11">
                  <c:v>7.4270533334530597E-5</c:v>
                </c:pt>
                <c:pt idx="12">
                  <c:v>7.1231416665429315E-5</c:v>
                </c:pt>
                <c:pt idx="13">
                  <c:v>-3.5685509999794363E-4</c:v>
                </c:pt>
                <c:pt idx="14">
                  <c:v>3.5214371666669742E-4</c:v>
                </c:pt>
                <c:pt idx="15">
                  <c:v>3.021712499999829E-4</c:v>
                </c:pt>
                <c:pt idx="16">
                  <c:v>-0.34052455681666521</c:v>
                </c:pt>
                <c:pt idx="17">
                  <c:v>-2.0661939002333329</c:v>
                </c:pt>
                <c:pt idx="18">
                  <c:v>-2.3735034423333352</c:v>
                </c:pt>
                <c:pt idx="19">
                  <c:v>-2.0042188136999979</c:v>
                </c:pt>
                <c:pt idx="20">
                  <c:v>-2.6806171585166672</c:v>
                </c:pt>
                <c:pt idx="21">
                  <c:v>-2.80351838105</c:v>
                </c:pt>
                <c:pt idx="22">
                  <c:v>-1.9216143507500041</c:v>
                </c:pt>
                <c:pt idx="23">
                  <c:v>-2.7422163368666661</c:v>
                </c:pt>
                <c:pt idx="24">
                  <c:v>-2.9631711629333348</c:v>
                </c:pt>
                <c:pt idx="25">
                  <c:v>-2.9420314630000002</c:v>
                </c:pt>
                <c:pt idx="26">
                  <c:v>-2.840847005083333</c:v>
                </c:pt>
                <c:pt idx="27">
                  <c:v>-2.6601008698666679</c:v>
                </c:pt>
                <c:pt idx="28">
                  <c:v>-2.6333194065500001</c:v>
                </c:pt>
                <c:pt idx="29">
                  <c:v>-2.3366830681000019</c:v>
                </c:pt>
                <c:pt idx="30">
                  <c:v>-2.29523743295</c:v>
                </c:pt>
                <c:pt idx="31">
                  <c:v>-1.9770358721333341</c:v>
                </c:pt>
                <c:pt idx="32">
                  <c:v>-1.7433417168333321</c:v>
                </c:pt>
                <c:pt idx="33">
                  <c:v>-1.487242363816665</c:v>
                </c:pt>
                <c:pt idx="34">
                  <c:v>-1.1567569280833321</c:v>
                </c:pt>
                <c:pt idx="35">
                  <c:v>-1.0178819185500001</c:v>
                </c:pt>
                <c:pt idx="36">
                  <c:v>-0.62813925116666747</c:v>
                </c:pt>
                <c:pt idx="37">
                  <c:v>-0.40223355191666699</c:v>
                </c:pt>
                <c:pt idx="38">
                  <c:v>-0.1222554875999995</c:v>
                </c:pt>
                <c:pt idx="39">
                  <c:v>-5.6288183333974562E-5</c:v>
                </c:pt>
                <c:pt idx="40">
                  <c:v>-7.7637566666344249E-5</c:v>
                </c:pt>
                <c:pt idx="41">
                  <c:v>1.2000000000012E-4</c:v>
                </c:pt>
                <c:pt idx="42">
                  <c:v>-1.5600000000004499E-4</c:v>
                </c:pt>
                <c:pt idx="43">
                  <c:v>4.3900000000007822E-4</c:v>
                </c:pt>
                <c:pt idx="44">
                  <c:v>2.6466666666602467E-4</c:v>
                </c:pt>
                <c:pt idx="45">
                  <c:v>-4.4666666666703941E-4</c:v>
                </c:pt>
                <c:pt idx="46">
                  <c:v>2.306666666669899E-4</c:v>
                </c:pt>
                <c:pt idx="47">
                  <c:v>3.3333333333301907E-5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EA7C-41CE-86FB-8720DE7EBF17}"/>
            </c:ext>
          </c:extLst>
        </c:ser>
        <c:ser>
          <c:idx val="86"/>
          <c:order val="86"/>
          <c:tx>
            <c:v>BES_TR8_five905_B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Net_kW!$CK$2:$CK$49</c:f>
              <c:numCache>
                <c:formatCode>#,##0.000</c:formatCode>
                <c:ptCount val="48"/>
                <c:pt idx="0">
                  <c:v>4.266666666669916E-4</c:v>
                </c:pt>
                <c:pt idx="1">
                  <c:v>-2.413333333330103E-4</c:v>
                </c:pt>
                <c:pt idx="2">
                  <c:v>0</c:v>
                </c:pt>
                <c:pt idx="3">
                  <c:v>-1.1466666666669351E-4</c:v>
                </c:pt>
                <c:pt idx="4">
                  <c:v>4.6733333333298649E-4</c:v>
                </c:pt>
                <c:pt idx="5">
                  <c:v>-1.2333333333303109E-4</c:v>
                </c:pt>
                <c:pt idx="6">
                  <c:v>3.3399999999998708E-4</c:v>
                </c:pt>
                <c:pt idx="7">
                  <c:v>-1.5050216666666341E-4</c:v>
                </c:pt>
                <c:pt idx="8">
                  <c:v>8.6088333337008827E-6</c:v>
                </c:pt>
                <c:pt idx="9">
                  <c:v>-3.584732500000049E-4</c:v>
                </c:pt>
                <c:pt idx="10">
                  <c:v>-1.823468333344985E-4</c:v>
                </c:pt>
                <c:pt idx="11">
                  <c:v>2.7609800000055751E-4</c:v>
                </c:pt>
                <c:pt idx="12">
                  <c:v>3.8487958333255362E-4</c:v>
                </c:pt>
                <c:pt idx="13">
                  <c:v>-4.7222983333250479E-4</c:v>
                </c:pt>
                <c:pt idx="14">
                  <c:v>-2.4799258333307872E-4</c:v>
                </c:pt>
                <c:pt idx="15">
                  <c:v>-1.413062499999729E-4</c:v>
                </c:pt>
                <c:pt idx="16">
                  <c:v>4.5712608333214888E-4</c:v>
                </c:pt>
                <c:pt idx="17">
                  <c:v>-2.025001666670079E-4</c:v>
                </c:pt>
                <c:pt idx="18">
                  <c:v>-0.91348026833333484</c:v>
                </c:pt>
                <c:pt idx="19">
                  <c:v>-1.6337322954999991</c:v>
                </c:pt>
                <c:pt idx="20">
                  <c:v>-1.753169589416667</c:v>
                </c:pt>
                <c:pt idx="21">
                  <c:v>-1.7709553674166669</c:v>
                </c:pt>
                <c:pt idx="22">
                  <c:v>-2.0111462029166671</c:v>
                </c:pt>
                <c:pt idx="23">
                  <c:v>-1.875720193</c:v>
                </c:pt>
                <c:pt idx="24">
                  <c:v>-2.081902497333334</c:v>
                </c:pt>
                <c:pt idx="25">
                  <c:v>-2.0083547116666671</c:v>
                </c:pt>
                <c:pt idx="26">
                  <c:v>-1.9017277179166661</c:v>
                </c:pt>
                <c:pt idx="27">
                  <c:v>-1.9180372880000001</c:v>
                </c:pt>
                <c:pt idx="28">
                  <c:v>-1.69414643325</c:v>
                </c:pt>
                <c:pt idx="29">
                  <c:v>-1.7078688581666679</c:v>
                </c:pt>
                <c:pt idx="30">
                  <c:v>-1.457198975916667</c:v>
                </c:pt>
                <c:pt idx="31">
                  <c:v>-1.454629308666668</c:v>
                </c:pt>
                <c:pt idx="32">
                  <c:v>-1.1602383024999989</c:v>
                </c:pt>
                <c:pt idx="33">
                  <c:v>-0.99698454558333294</c:v>
                </c:pt>
                <c:pt idx="34">
                  <c:v>-0.77994979624999949</c:v>
                </c:pt>
                <c:pt idx="35">
                  <c:v>-0.15030051324999999</c:v>
                </c:pt>
                <c:pt idx="36">
                  <c:v>-0.50502901750000084</c:v>
                </c:pt>
                <c:pt idx="37">
                  <c:v>2.9446291666990199E-4</c:v>
                </c:pt>
                <c:pt idx="38">
                  <c:v>1.187993333335025E-4</c:v>
                </c:pt>
                <c:pt idx="39">
                  <c:v>3.4036558333300221E-4</c:v>
                </c:pt>
                <c:pt idx="40">
                  <c:v>-3.9902683333367661E-4</c:v>
                </c:pt>
                <c:pt idx="41">
                  <c:v>4.3333333333299418E-4</c:v>
                </c:pt>
                <c:pt idx="42">
                  <c:v>-3.4066666666598971E-4</c:v>
                </c:pt>
                <c:pt idx="43">
                  <c:v>1.2966666666670151E-4</c:v>
                </c:pt>
                <c:pt idx="44">
                  <c:v>2.043333333329872E-4</c:v>
                </c:pt>
                <c:pt idx="45">
                  <c:v>0</c:v>
                </c:pt>
                <c:pt idx="46">
                  <c:v>0</c:v>
                </c:pt>
                <c:pt idx="47">
                  <c:v>-4.920000000000202E-4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EA7C-41CE-86FB-8720DE7EBF17}"/>
            </c:ext>
          </c:extLst>
        </c:ser>
        <c:ser>
          <c:idx val="87"/>
          <c:order val="87"/>
          <c:tx>
            <c:v>BES_TR8_five118_B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Net_kW!$CL$2:$CL$49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4.1939740000000031E-4</c:v>
                </c:pt>
                <c:pt idx="8">
                  <c:v>-3.0086939999989833E-4</c:v>
                </c:pt>
                <c:pt idx="9">
                  <c:v>-4.3016789999998639E-4</c:v>
                </c:pt>
                <c:pt idx="10">
                  <c:v>-5.2162000010458343E-6</c:v>
                </c:pt>
                <c:pt idx="11">
                  <c:v>-3.9348239999892343E-4</c:v>
                </c:pt>
                <c:pt idx="12">
                  <c:v>6.1055499998907692E-5</c:v>
                </c:pt>
                <c:pt idx="13">
                  <c:v>-3.0587579999896702E-4</c:v>
                </c:pt>
                <c:pt idx="14">
                  <c:v>-4.6959109999988868E-4</c:v>
                </c:pt>
                <c:pt idx="15">
                  <c:v>3.0432500000010521E-5</c:v>
                </c:pt>
                <c:pt idx="16">
                  <c:v>-1.101247048700001</c:v>
                </c:pt>
                <c:pt idx="17">
                  <c:v>-1.0503682002000001</c:v>
                </c:pt>
                <c:pt idx="18">
                  <c:v>-1.7289815220000011</c:v>
                </c:pt>
                <c:pt idx="19">
                  <c:v>-2.074787554599999</c:v>
                </c:pt>
                <c:pt idx="20">
                  <c:v>-2.1752383739666681</c:v>
                </c:pt>
                <c:pt idx="21">
                  <c:v>-2.3787788408999999</c:v>
                </c:pt>
                <c:pt idx="22">
                  <c:v>-2.2162834435000009</c:v>
                </c:pt>
                <c:pt idx="23">
                  <c:v>-2.464438264933333</c:v>
                </c:pt>
                <c:pt idx="24">
                  <c:v>-2.5201319968000009</c:v>
                </c:pt>
                <c:pt idx="25">
                  <c:v>-1.1684989539999999</c:v>
                </c:pt>
                <c:pt idx="26">
                  <c:v>-1.4505688615000001</c:v>
                </c:pt>
                <c:pt idx="27">
                  <c:v>-1.6595340789333339</c:v>
                </c:pt>
                <c:pt idx="28">
                  <c:v>-2.2491309198999998</c:v>
                </c:pt>
                <c:pt idx="29">
                  <c:v>-2.1086426298000012</c:v>
                </c:pt>
                <c:pt idx="30">
                  <c:v>-1.9593463711000001</c:v>
                </c:pt>
                <c:pt idx="31">
                  <c:v>-1.7796878904000011</c:v>
                </c:pt>
                <c:pt idx="32">
                  <c:v>-1.5773500429999989</c:v>
                </c:pt>
                <c:pt idx="33">
                  <c:v>-1.333053454699999</c:v>
                </c:pt>
                <c:pt idx="34">
                  <c:v>-1.104408795499999</c:v>
                </c:pt>
                <c:pt idx="35">
                  <c:v>-0.86946221590000006</c:v>
                </c:pt>
                <c:pt idx="36">
                  <c:v>-0.642187701000001</c:v>
                </c:pt>
                <c:pt idx="37">
                  <c:v>-0.41798047783333331</c:v>
                </c:pt>
                <c:pt idx="38">
                  <c:v>-0.21607389413333319</c:v>
                </c:pt>
                <c:pt idx="39">
                  <c:v>4.6417203333298801E-4</c:v>
                </c:pt>
                <c:pt idx="40">
                  <c:v>1.7716779999999571E-4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EA7C-41CE-86FB-8720DE7EBF17}"/>
            </c:ext>
          </c:extLst>
        </c:ser>
        <c:ser>
          <c:idx val="88"/>
          <c:order val="88"/>
          <c:tx>
            <c:v>BES_TR8_five123_B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Net_kW!$CM$2:$CM$49</c:f>
              <c:numCache>
                <c:formatCode>#,##0.000</c:formatCode>
                <c:ptCount val="48"/>
                <c:pt idx="0">
                  <c:v>0</c:v>
                </c:pt>
                <c:pt idx="1">
                  <c:v>2.0000000000020002E-6</c:v>
                </c:pt>
                <c:pt idx="2">
                  <c:v>8.6333333332994089E-5</c:v>
                </c:pt>
                <c:pt idx="3">
                  <c:v>6.8999999999999617E-5</c:v>
                </c:pt>
                <c:pt idx="4">
                  <c:v>6.1333333333399298E-5</c:v>
                </c:pt>
                <c:pt idx="5">
                  <c:v>9.6000000000040497E-5</c:v>
                </c:pt>
                <c:pt idx="6">
                  <c:v>0</c:v>
                </c:pt>
                <c:pt idx="7">
                  <c:v>3.6973073333299022E-4</c:v>
                </c:pt>
                <c:pt idx="8">
                  <c:v>-9.3869399999890746E-5</c:v>
                </c:pt>
                <c:pt idx="9">
                  <c:v>-1.561678999999899E-4</c:v>
                </c:pt>
                <c:pt idx="10">
                  <c:v>-1.2188286666803271E-4</c:v>
                </c:pt>
                <c:pt idx="11">
                  <c:v>-2.1148239999896351E-4</c:v>
                </c:pt>
                <c:pt idx="12">
                  <c:v>-1.169445000011038E-4</c:v>
                </c:pt>
                <c:pt idx="13">
                  <c:v>-3.0587579999896702E-4</c:v>
                </c:pt>
                <c:pt idx="14">
                  <c:v>-3.1225776666699012E-4</c:v>
                </c:pt>
                <c:pt idx="15">
                  <c:v>1.8326583333316829E-4</c:v>
                </c:pt>
                <c:pt idx="16">
                  <c:v>1.112846333322093E-4</c:v>
                </c:pt>
                <c:pt idx="17">
                  <c:v>-7.9200199999962528E-5</c:v>
                </c:pt>
                <c:pt idx="18">
                  <c:v>-1.3349548553333339</c:v>
                </c:pt>
                <c:pt idx="19">
                  <c:v>-2.108896221266666</c:v>
                </c:pt>
                <c:pt idx="20">
                  <c:v>-2.0976310406333338</c:v>
                </c:pt>
                <c:pt idx="21">
                  <c:v>-2.3704251742333331</c:v>
                </c:pt>
                <c:pt idx="22">
                  <c:v>-2.4456414435000009</c:v>
                </c:pt>
                <c:pt idx="23">
                  <c:v>-2.3351710315999998</c:v>
                </c:pt>
                <c:pt idx="24">
                  <c:v>-2.4717458634666678</c:v>
                </c:pt>
                <c:pt idx="25">
                  <c:v>-1.07853392066667</c:v>
                </c:pt>
                <c:pt idx="26">
                  <c:v>-2.4153473948333328</c:v>
                </c:pt>
                <c:pt idx="27">
                  <c:v>-1.960622212266667</c:v>
                </c:pt>
                <c:pt idx="28">
                  <c:v>-2.1650235865666669</c:v>
                </c:pt>
                <c:pt idx="29">
                  <c:v>-1.9145926298000009</c:v>
                </c:pt>
                <c:pt idx="30">
                  <c:v>-1.8932620377666669</c:v>
                </c:pt>
                <c:pt idx="31">
                  <c:v>-1.6394348904000009</c:v>
                </c:pt>
                <c:pt idx="32">
                  <c:v>-1.5055300429999989</c:v>
                </c:pt>
                <c:pt idx="33">
                  <c:v>-1.333053454699999</c:v>
                </c:pt>
                <c:pt idx="34">
                  <c:v>-0.98425546216666615</c:v>
                </c:pt>
                <c:pt idx="35">
                  <c:v>-0.86946221590000006</c:v>
                </c:pt>
                <c:pt idx="36">
                  <c:v>-0.34405903433333412</c:v>
                </c:pt>
                <c:pt idx="37">
                  <c:v>-0.40572244449999989</c:v>
                </c:pt>
                <c:pt idx="38">
                  <c:v>-0.1681725607999999</c:v>
                </c:pt>
                <c:pt idx="39">
                  <c:v>-1.132946333330387E-4</c:v>
                </c:pt>
                <c:pt idx="40">
                  <c:v>6.9167799999991786E-5</c:v>
                </c:pt>
                <c:pt idx="41">
                  <c:v>4.7166666666598189E-4</c:v>
                </c:pt>
                <c:pt idx="42">
                  <c:v>3.4866666666699691E-4</c:v>
                </c:pt>
                <c:pt idx="43">
                  <c:v>1.0533333333295761E-4</c:v>
                </c:pt>
                <c:pt idx="44">
                  <c:v>2.5933333333300062E-4</c:v>
                </c:pt>
                <c:pt idx="45">
                  <c:v>3.8933333333290848E-4</c:v>
                </c:pt>
                <c:pt idx="46">
                  <c:v>3.3700000000003172E-4</c:v>
                </c:pt>
                <c:pt idx="47">
                  <c:v>1.5733333333300961E-4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EA7C-41CE-86FB-8720DE7EBF17}"/>
            </c:ext>
          </c:extLst>
        </c:ser>
        <c:ser>
          <c:idx val="89"/>
          <c:order val="89"/>
          <c:tx>
            <c:v>BES_TR8_six64_A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Net_kW!$CN$2:$CN$49</c:f>
              <c:numCache>
                <c:formatCode>#,##0.000</c:formatCode>
                <c:ptCount val="48"/>
                <c:pt idx="0">
                  <c:v>-2.8333333333299682E-4</c:v>
                </c:pt>
                <c:pt idx="1">
                  <c:v>9.9999999999988987E-5</c:v>
                </c:pt>
                <c:pt idx="2">
                  <c:v>0</c:v>
                </c:pt>
                <c:pt idx="3">
                  <c:v>-1.6000000000000741E-4</c:v>
                </c:pt>
                <c:pt idx="4">
                  <c:v>-9.3333333333001089E-5</c:v>
                </c:pt>
                <c:pt idx="5">
                  <c:v>0</c:v>
                </c:pt>
                <c:pt idx="6">
                  <c:v>-2.5333333333299462E-4</c:v>
                </c:pt>
                <c:pt idx="7">
                  <c:v>2.7959826666666693E-4</c:v>
                </c:pt>
                <c:pt idx="8">
                  <c:v>4.5942040000038209E-4</c:v>
                </c:pt>
                <c:pt idx="9">
                  <c:v>1.3322140000000121E-4</c:v>
                </c:pt>
                <c:pt idx="10">
                  <c:v>3.2985586666600669E-4</c:v>
                </c:pt>
                <c:pt idx="11">
                  <c:v>7.1011733334014338E-5</c:v>
                </c:pt>
                <c:pt idx="12">
                  <c:v>-5.2629666667081132E-5</c:v>
                </c:pt>
                <c:pt idx="13">
                  <c:v>-3.058386666610069E-5</c:v>
                </c:pt>
                <c:pt idx="14">
                  <c:v>1.6093926666671529E-4</c:v>
                </c:pt>
                <c:pt idx="15">
                  <c:v>7.2621666669964169E-5</c:v>
                </c:pt>
                <c:pt idx="16">
                  <c:v>-4.7696580000100569E-4</c:v>
                </c:pt>
                <c:pt idx="17">
                  <c:v>2.6853320000008729E-4</c:v>
                </c:pt>
                <c:pt idx="18">
                  <c:v>2.674853333330951E-4</c:v>
                </c:pt>
                <c:pt idx="19">
                  <c:v>-0.28967503639999892</c:v>
                </c:pt>
                <c:pt idx="20">
                  <c:v>-1.349933138200001</c:v>
                </c:pt>
                <c:pt idx="21">
                  <c:v>-1.329165893933334</c:v>
                </c:pt>
                <c:pt idx="22">
                  <c:v>-2.9362900000387548E-4</c:v>
                </c:pt>
                <c:pt idx="23">
                  <c:v>-0.36298602106666988</c:v>
                </c:pt>
                <c:pt idx="24">
                  <c:v>-0.37474133120000408</c:v>
                </c:pt>
                <c:pt idx="25">
                  <c:v>-1.546420836</c:v>
                </c:pt>
                <c:pt idx="26">
                  <c:v>-1.338643241</c:v>
                </c:pt>
                <c:pt idx="27">
                  <c:v>-1.211041830400001</c:v>
                </c:pt>
                <c:pt idx="28">
                  <c:v>-1.1382089466</c:v>
                </c:pt>
                <c:pt idx="29">
                  <c:v>-1.2662770865333339</c:v>
                </c:pt>
                <c:pt idx="30">
                  <c:v>-1.2624684140666671</c:v>
                </c:pt>
                <c:pt idx="31">
                  <c:v>-0.64508359360000089</c:v>
                </c:pt>
                <c:pt idx="32">
                  <c:v>-1.0100820619999991</c:v>
                </c:pt>
                <c:pt idx="33">
                  <c:v>-0.68304563646666594</c:v>
                </c:pt>
                <c:pt idx="34">
                  <c:v>-0.45574253033333201</c:v>
                </c:pt>
                <c:pt idx="35">
                  <c:v>-0.47312947726666699</c:v>
                </c:pt>
                <c:pt idx="36">
                  <c:v>-0.34103536733333401</c:v>
                </c:pt>
                <c:pt idx="37">
                  <c:v>2.106703333329685E-4</c:v>
                </c:pt>
                <c:pt idx="38">
                  <c:v>-3.3304053333357489E-4</c:v>
                </c:pt>
                <c:pt idx="39">
                  <c:v>-4.6530753333295932E-4</c:v>
                </c:pt>
                <c:pt idx="40">
                  <c:v>1.1877853333364111E-4</c:v>
                </c:pt>
                <c:pt idx="41">
                  <c:v>3.1666666665985943E-5</c:v>
                </c:pt>
                <c:pt idx="42">
                  <c:v>3.4000000000000702E-4</c:v>
                </c:pt>
                <c:pt idx="43">
                  <c:v>2.0833333333292181E-4</c:v>
                </c:pt>
                <c:pt idx="44">
                  <c:v>4.5333333333008603E-5</c:v>
                </c:pt>
                <c:pt idx="45">
                  <c:v>-1.2966666666991419E-4</c:v>
                </c:pt>
                <c:pt idx="46">
                  <c:v>-6.0000000000004487E-5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EA7C-41CE-86FB-8720DE7EBF17}"/>
            </c:ext>
          </c:extLst>
        </c:ser>
        <c:ser>
          <c:idx val="90"/>
          <c:order val="90"/>
          <c:tx>
            <c:v>BES_TR8_six154_C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Net_kW!$CO$2:$CO$49</c:f>
              <c:numCache>
                <c:formatCode>#,##0.000</c:formatCode>
                <c:ptCount val="48"/>
                <c:pt idx="0">
                  <c:v>3.0399999999999872E-4</c:v>
                </c:pt>
                <c:pt idx="1">
                  <c:v>-6.8000000000012495E-5</c:v>
                </c:pt>
                <c:pt idx="2">
                  <c:v>0</c:v>
                </c:pt>
                <c:pt idx="3">
                  <c:v>2.36000000000014E-4</c:v>
                </c:pt>
                <c:pt idx="4">
                  <c:v>0</c:v>
                </c:pt>
                <c:pt idx="5">
                  <c:v>4.2666666666996138E-5</c:v>
                </c:pt>
                <c:pt idx="6">
                  <c:v>1.9333333333300401E-4</c:v>
                </c:pt>
                <c:pt idx="7">
                  <c:v>-2.952692666670087E-4</c:v>
                </c:pt>
                <c:pt idx="8">
                  <c:v>-1.7953606666690211E-4</c:v>
                </c:pt>
                <c:pt idx="9">
                  <c:v>3.9916543333300142E-4</c:v>
                </c:pt>
                <c:pt idx="10">
                  <c:v>2.9450466665997821E-5</c:v>
                </c:pt>
                <c:pt idx="11">
                  <c:v>-1.921490666660364E-4</c:v>
                </c:pt>
                <c:pt idx="12">
                  <c:v>6.1055499998907692E-5</c:v>
                </c:pt>
                <c:pt idx="13">
                  <c:v>-2.7120913333189561E-4</c:v>
                </c:pt>
                <c:pt idx="14">
                  <c:v>3.3075566667095657E-5</c:v>
                </c:pt>
                <c:pt idx="15">
                  <c:v>4.6109916666692291E-4</c:v>
                </c:pt>
                <c:pt idx="16">
                  <c:v>4.7428463333210052E-4</c:v>
                </c:pt>
                <c:pt idx="17">
                  <c:v>-0.77931886686666718</c:v>
                </c:pt>
                <c:pt idx="18">
                  <c:v>-1.6900848553333341</c:v>
                </c:pt>
                <c:pt idx="19">
                  <c:v>-1.9556622212666659</c:v>
                </c:pt>
                <c:pt idx="20">
                  <c:v>-1.9082387073000009</c:v>
                </c:pt>
                <c:pt idx="21">
                  <c:v>-2.3162775075666668</c:v>
                </c:pt>
                <c:pt idx="22">
                  <c:v>-2.4867334435000008</c:v>
                </c:pt>
                <c:pt idx="23">
                  <c:v>-2.2941250316000001</c:v>
                </c:pt>
                <c:pt idx="24">
                  <c:v>-2.5096749968000012</c:v>
                </c:pt>
                <c:pt idx="25">
                  <c:v>-2.5117412539999999</c:v>
                </c:pt>
                <c:pt idx="26">
                  <c:v>-2.3566675281666671</c:v>
                </c:pt>
                <c:pt idx="27">
                  <c:v>-2.261251412266668</c:v>
                </c:pt>
                <c:pt idx="28">
                  <c:v>-2.0976442532333328</c:v>
                </c:pt>
                <c:pt idx="29">
                  <c:v>-2.1066426298000009</c:v>
                </c:pt>
                <c:pt idx="30">
                  <c:v>-1.8056757044333329</c:v>
                </c:pt>
                <c:pt idx="31">
                  <c:v>-1.6831225570666679</c:v>
                </c:pt>
                <c:pt idx="32">
                  <c:v>-1.520064709666666</c:v>
                </c:pt>
                <c:pt idx="33">
                  <c:v>-1.140102788033333</c:v>
                </c:pt>
                <c:pt idx="34">
                  <c:v>-0.99618746216666609</c:v>
                </c:pt>
                <c:pt idx="35">
                  <c:v>-0.46842688256666709</c:v>
                </c:pt>
                <c:pt idx="36">
                  <c:v>-0.40732770100000099</c:v>
                </c:pt>
                <c:pt idx="37">
                  <c:v>-0.15173771116666701</c:v>
                </c:pt>
                <c:pt idx="38">
                  <c:v>4.6943920000006018E-4</c:v>
                </c:pt>
                <c:pt idx="39">
                  <c:v>-3.6996130000000252E-4</c:v>
                </c:pt>
                <c:pt idx="40">
                  <c:v>1.105011333329686E-4</c:v>
                </c:pt>
                <c:pt idx="41">
                  <c:v>3.0266666666600722E-4</c:v>
                </c:pt>
                <c:pt idx="42">
                  <c:v>-1.7066666666699931E-4</c:v>
                </c:pt>
                <c:pt idx="43">
                  <c:v>8.4000000000028496E-5</c:v>
                </c:pt>
                <c:pt idx="44">
                  <c:v>0</c:v>
                </c:pt>
                <c:pt idx="45">
                  <c:v>2.013333333329981E-4</c:v>
                </c:pt>
                <c:pt idx="46">
                  <c:v>-8.9333333333295462E-5</c:v>
                </c:pt>
                <c:pt idx="47">
                  <c:v>2.246666666660124E-4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EA7C-41CE-86FB-8720DE7EBF17}"/>
            </c:ext>
          </c:extLst>
        </c:ser>
        <c:ser>
          <c:idx val="91"/>
          <c:order val="91"/>
          <c:tx>
            <c:v>BES_TR8_six173_C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Net_kW!$CP$2:$CP$49</c:f>
              <c:numCache>
                <c:formatCode>#,##0.000</c:formatCode>
                <c:ptCount val="48"/>
                <c:pt idx="0">
                  <c:v>0</c:v>
                </c:pt>
                <c:pt idx="1">
                  <c:v>-3.999999999999837E-5</c:v>
                </c:pt>
                <c:pt idx="2">
                  <c:v>0</c:v>
                </c:pt>
                <c:pt idx="3">
                  <c:v>-3.999999999999837E-5</c:v>
                </c:pt>
                <c:pt idx="4">
                  <c:v>0</c:v>
                </c:pt>
                <c:pt idx="5">
                  <c:v>2.5333333333329988E-4</c:v>
                </c:pt>
                <c:pt idx="6">
                  <c:v>-2.933333333333954E-4</c:v>
                </c:pt>
                <c:pt idx="7">
                  <c:v>-4.4080346666666709E-4</c:v>
                </c:pt>
                <c:pt idx="8">
                  <c:v>2.6550746666679972E-4</c:v>
                </c:pt>
                <c:pt idx="9">
                  <c:v>3.8644280000001141E-4</c:v>
                </c:pt>
                <c:pt idx="10">
                  <c:v>-3.402882666680429E-4</c:v>
                </c:pt>
                <c:pt idx="11">
                  <c:v>1.420234666681397E-4</c:v>
                </c:pt>
                <c:pt idx="12">
                  <c:v>2.6340733333196642E-4</c:v>
                </c:pt>
                <c:pt idx="13">
                  <c:v>2.588322666678966E-4</c:v>
                </c:pt>
                <c:pt idx="14">
                  <c:v>5.4520000003499547E-7</c:v>
                </c:pt>
                <c:pt idx="15">
                  <c:v>-1.0470794233333329</c:v>
                </c:pt>
                <c:pt idx="16">
                  <c:v>-2.1679160649333351</c:v>
                </c:pt>
                <c:pt idx="17">
                  <c:v>-2.4876509335999999</c:v>
                </c:pt>
                <c:pt idx="18">
                  <c:v>-2.6755486960000008</c:v>
                </c:pt>
                <c:pt idx="19">
                  <c:v>-2.9004500727999991</c:v>
                </c:pt>
                <c:pt idx="20">
                  <c:v>-3.0910089430666678</c:v>
                </c:pt>
                <c:pt idx="21">
                  <c:v>-3.2292141212000001</c:v>
                </c:pt>
                <c:pt idx="22">
                  <c:v>-3.3054319246666681</c:v>
                </c:pt>
                <c:pt idx="23">
                  <c:v>-3.0482629087999999</c:v>
                </c:pt>
                <c:pt idx="24">
                  <c:v>-3.3720013290666682</c:v>
                </c:pt>
                <c:pt idx="25">
                  <c:v>-3.3083616720000002</c:v>
                </c:pt>
                <c:pt idx="26">
                  <c:v>-3.288158482</c:v>
                </c:pt>
                <c:pt idx="27">
                  <c:v>-3.1033743274666681</c:v>
                </c:pt>
                <c:pt idx="28">
                  <c:v>-3.0165078932</c:v>
                </c:pt>
                <c:pt idx="29">
                  <c:v>-2.8291901730666682</c:v>
                </c:pt>
                <c:pt idx="30">
                  <c:v>-2.5691684948</c:v>
                </c:pt>
                <c:pt idx="31">
                  <c:v>-2.3905838538666679</c:v>
                </c:pt>
                <c:pt idx="32">
                  <c:v>-2.1190000573333321</c:v>
                </c:pt>
                <c:pt idx="33">
                  <c:v>-1.7305112729333321</c:v>
                </c:pt>
                <c:pt idx="34">
                  <c:v>-1.490211727333332</c:v>
                </c:pt>
                <c:pt idx="35">
                  <c:v>-1.1159896212</c:v>
                </c:pt>
                <c:pt idx="36">
                  <c:v>-0.76886226800000101</c:v>
                </c:pt>
                <c:pt idx="37">
                  <c:v>-0.41087072600000007</c:v>
                </c:pt>
                <c:pt idx="38">
                  <c:v>-0.21475224773333321</c:v>
                </c:pt>
                <c:pt idx="39">
                  <c:v>4.00451600000018E-4</c:v>
                </c:pt>
                <c:pt idx="40">
                  <c:v>-5.109599999664205E-6</c:v>
                </c:pt>
                <c:pt idx="41">
                  <c:v>-3.9999999999995589E-4</c:v>
                </c:pt>
                <c:pt idx="42">
                  <c:v>-1.7333333333002801E-4</c:v>
                </c:pt>
                <c:pt idx="43">
                  <c:v>8.8785999999999976E-2</c:v>
                </c:pt>
                <c:pt idx="44">
                  <c:v>0.25866866666666699</c:v>
                </c:pt>
                <c:pt idx="45">
                  <c:v>0.231713</c:v>
                </c:pt>
                <c:pt idx="46">
                  <c:v>0.52397333333333296</c:v>
                </c:pt>
                <c:pt idx="47">
                  <c:v>0.3624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EA7C-41CE-86FB-8720DE7EBF17}"/>
            </c:ext>
          </c:extLst>
        </c:ser>
        <c:ser>
          <c:idx val="92"/>
          <c:order val="92"/>
          <c:tx>
            <c:v>BES_TR8_six232_C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Net_kW!$CQ$2:$CQ$49</c:f>
              <c:numCache>
                <c:formatCode>#,##0.000</c:formatCode>
                <c:ptCount val="48"/>
                <c:pt idx="0">
                  <c:v>2.1700000000013381E-4</c:v>
                </c:pt>
                <c:pt idx="1">
                  <c:v>0</c:v>
                </c:pt>
                <c:pt idx="2">
                  <c:v>2.7999999999998859E-4</c:v>
                </c:pt>
                <c:pt idx="3">
                  <c:v>4.1333333333298811E-4</c:v>
                </c:pt>
                <c:pt idx="4">
                  <c:v>0</c:v>
                </c:pt>
                <c:pt idx="5">
                  <c:v>-3.0666666666701042E-4</c:v>
                </c:pt>
                <c:pt idx="6">
                  <c:v>0</c:v>
                </c:pt>
                <c:pt idx="7">
                  <c:v>1.890626493333367E-2</c:v>
                </c:pt>
                <c:pt idx="8">
                  <c:v>6.9199420400000003E-2</c:v>
                </c:pt>
                <c:pt idx="9">
                  <c:v>-2.8677859999999561E-4</c:v>
                </c:pt>
                <c:pt idx="10">
                  <c:v>2.318919999898424E-5</c:v>
                </c:pt>
                <c:pt idx="11">
                  <c:v>7.1011733334014338E-5</c:v>
                </c:pt>
                <c:pt idx="12">
                  <c:v>9.4036999998881043E-5</c:v>
                </c:pt>
                <c:pt idx="13">
                  <c:v>-2.3058386666596761E-4</c:v>
                </c:pt>
                <c:pt idx="14">
                  <c:v>2.02726000000375E-5</c:v>
                </c:pt>
                <c:pt idx="15">
                  <c:v>-3.1304499999984531E-4</c:v>
                </c:pt>
                <c:pt idx="16">
                  <c:v>4.6196753333294088E-4</c:v>
                </c:pt>
                <c:pt idx="17">
                  <c:v>-2.5880013333345891E-4</c:v>
                </c:pt>
                <c:pt idx="18">
                  <c:v>1.816519999990884E-4</c:v>
                </c:pt>
                <c:pt idx="19">
                  <c:v>2.216302666671055E-4</c:v>
                </c:pt>
                <c:pt idx="20">
                  <c:v>-1.2230044715333339</c:v>
                </c:pt>
                <c:pt idx="21">
                  <c:v>-1.3904713606000001</c:v>
                </c:pt>
                <c:pt idx="22">
                  <c:v>-1.5634417623333341</c:v>
                </c:pt>
                <c:pt idx="23">
                  <c:v>-1.4659563544000001</c:v>
                </c:pt>
                <c:pt idx="24">
                  <c:v>-1.611437331200001</c:v>
                </c:pt>
                <c:pt idx="25">
                  <c:v>-1.4924675026666669</c:v>
                </c:pt>
                <c:pt idx="26">
                  <c:v>-1.6105792409999999</c:v>
                </c:pt>
                <c:pt idx="27">
                  <c:v>-1.5198138304000011</c:v>
                </c:pt>
                <c:pt idx="28">
                  <c:v>-1.3449139466</c:v>
                </c:pt>
                <c:pt idx="29">
                  <c:v>-1.381095086533334</c:v>
                </c:pt>
                <c:pt idx="30">
                  <c:v>-1.2815642474</c:v>
                </c:pt>
                <c:pt idx="31">
                  <c:v>-1.0175252602666669</c:v>
                </c:pt>
                <c:pt idx="32">
                  <c:v>-0.96067002866666595</c:v>
                </c:pt>
                <c:pt idx="33">
                  <c:v>-0.53654363646666603</c:v>
                </c:pt>
                <c:pt idx="34">
                  <c:v>-0.12662753033333299</c:v>
                </c:pt>
                <c:pt idx="35">
                  <c:v>-0.28843447726666699</c:v>
                </c:pt>
                <c:pt idx="36">
                  <c:v>-0.219608467333334</c:v>
                </c:pt>
                <c:pt idx="37">
                  <c:v>-6.335869633333302E-2</c:v>
                </c:pt>
                <c:pt idx="38">
                  <c:v>-2.9337386666658532E-4</c:v>
                </c:pt>
                <c:pt idx="39">
                  <c:v>1.5335913333291981E-4</c:v>
                </c:pt>
                <c:pt idx="40">
                  <c:v>4.5044519999959398E-4</c:v>
                </c:pt>
                <c:pt idx="41">
                  <c:v>-2.290000000000347E-4</c:v>
                </c:pt>
                <c:pt idx="42">
                  <c:v>3.4400000000001102E-4</c:v>
                </c:pt>
                <c:pt idx="43">
                  <c:v>1.5799999999999151E-4</c:v>
                </c:pt>
                <c:pt idx="44">
                  <c:v>7.2000000000016495E-5</c:v>
                </c:pt>
                <c:pt idx="45">
                  <c:v>3.9999999999984492E-5</c:v>
                </c:pt>
                <c:pt idx="46">
                  <c:v>-3.0666666666701042E-4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EA7C-41CE-86FB-8720DE7EBF17}"/>
            </c:ext>
          </c:extLst>
        </c:ser>
        <c:ser>
          <c:idx val="93"/>
          <c:order val="93"/>
          <c:tx>
            <c:v>BES_TR8_six238_A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Net_kW!$CR$2:$CR$49</c:f>
              <c:numCache>
                <c:formatCode>#,##0.000</c:formatCode>
                <c:ptCount val="48"/>
                <c:pt idx="0">
                  <c:v>0</c:v>
                </c:pt>
                <c:pt idx="1">
                  <c:v>-6.7333333333002843E-5</c:v>
                </c:pt>
                <c:pt idx="2">
                  <c:v>-1.466666666666977E-4</c:v>
                </c:pt>
                <c:pt idx="3">
                  <c:v>-1.7933333333299001E-4</c:v>
                </c:pt>
                <c:pt idx="4">
                  <c:v>-3.4666666665988943E-5</c:v>
                </c:pt>
                <c:pt idx="5">
                  <c:v>0</c:v>
                </c:pt>
                <c:pt idx="6">
                  <c:v>-2.5866666666669869E-4</c:v>
                </c:pt>
                <c:pt idx="7">
                  <c:v>3.9403203333299158E-4</c:v>
                </c:pt>
                <c:pt idx="8">
                  <c:v>-2.9543469999994409E-4</c:v>
                </c:pt>
                <c:pt idx="9">
                  <c:v>-3.9641728333299903E-4</c:v>
                </c:pt>
                <c:pt idx="10">
                  <c:v>3.3339189999949392E-4</c:v>
                </c:pt>
                <c:pt idx="11">
                  <c:v>-4.5927453333277629E-4</c:v>
                </c:pt>
                <c:pt idx="12">
                  <c:v>2.6869441666635407E-4</c:v>
                </c:pt>
                <c:pt idx="13">
                  <c:v>-1.52937899999539E-4</c:v>
                </c:pt>
                <c:pt idx="14">
                  <c:v>4.1987111666702548E-4</c:v>
                </c:pt>
                <c:pt idx="15">
                  <c:v>1.4121625000007579E-4</c:v>
                </c:pt>
                <c:pt idx="16">
                  <c:v>3.1142316666343817E-5</c:v>
                </c:pt>
                <c:pt idx="17">
                  <c:v>-2.4410009999986659E-4</c:v>
                </c:pt>
                <c:pt idx="18">
                  <c:v>-4.0242766666698238E-4</c:v>
                </c:pt>
                <c:pt idx="19">
                  <c:v>-4.2044396666574002E-4</c:v>
                </c:pt>
                <c:pt idx="20">
                  <c:v>-6.3495220316666767E-2</c:v>
                </c:pt>
                <c:pt idx="21">
                  <c:v>-1.0883087537833329</c:v>
                </c:pt>
                <c:pt idx="22">
                  <c:v>-1.1487407217500001</c:v>
                </c:pt>
                <c:pt idx="23">
                  <c:v>-1.1178475158000001</c:v>
                </c:pt>
                <c:pt idx="24">
                  <c:v>-0.80036183173333397</c:v>
                </c:pt>
                <c:pt idx="25">
                  <c:v>-0.99590129366666691</c:v>
                </c:pt>
                <c:pt idx="26">
                  <c:v>-0.73253776408333304</c:v>
                </c:pt>
                <c:pt idx="27">
                  <c:v>-0.84962503946666601</c:v>
                </c:pt>
                <c:pt idx="28">
                  <c:v>-0.76262779328333297</c:v>
                </c:pt>
                <c:pt idx="29">
                  <c:v>-0.68480498156666703</c:v>
                </c:pt>
                <c:pt idx="30">
                  <c:v>-0.69086885221666694</c:v>
                </c:pt>
                <c:pt idx="31">
                  <c:v>-0.54451794520000041</c:v>
                </c:pt>
                <c:pt idx="32">
                  <c:v>-0.43671702149999952</c:v>
                </c:pt>
                <c:pt idx="33">
                  <c:v>-0.31362739401666551</c:v>
                </c:pt>
                <c:pt idx="34">
                  <c:v>-4.4573108333248462E-4</c:v>
                </c:pt>
                <c:pt idx="35">
                  <c:v>2.2389204999984089E-4</c:v>
                </c:pt>
                <c:pt idx="36">
                  <c:v>-4.3183833333529382E-5</c:v>
                </c:pt>
                <c:pt idx="37">
                  <c:v>-2.9152224999998139E-4</c:v>
                </c:pt>
                <c:pt idx="38">
                  <c:v>2.8705293333310122E-4</c:v>
                </c:pt>
                <c:pt idx="39">
                  <c:v>2.1601935000004069E-4</c:v>
                </c:pt>
                <c:pt idx="40">
                  <c:v>3.5725056666702232E-4</c:v>
                </c:pt>
                <c:pt idx="41">
                  <c:v>-4.196666666669846E-4</c:v>
                </c:pt>
                <c:pt idx="42">
                  <c:v>2.1033333333297929E-4</c:v>
                </c:pt>
                <c:pt idx="43">
                  <c:v>4.7066666666695228E-4</c:v>
                </c:pt>
                <c:pt idx="44">
                  <c:v>-1.966666666669559E-4</c:v>
                </c:pt>
                <c:pt idx="45">
                  <c:v>2.5866666666701787E-4</c:v>
                </c:pt>
                <c:pt idx="46">
                  <c:v>-2.5666666666701587E-4</c:v>
                </c:pt>
                <c:pt idx="47">
                  <c:v>7.08000000000375E-5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EA7C-41CE-86FB-8720DE7EBF17}"/>
            </c:ext>
          </c:extLst>
        </c:ser>
        <c:ser>
          <c:idx val="94"/>
          <c:order val="94"/>
          <c:tx>
            <c:v>BES_TR8_six269_C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Net_kW!$CS$2:$CS$49</c:f>
              <c:numCache>
                <c:formatCode>#,##0.000</c:formatCode>
                <c:ptCount val="48"/>
                <c:pt idx="0">
                  <c:v>2.9866666666700242E-4</c:v>
                </c:pt>
                <c:pt idx="1">
                  <c:v>2.266666666669859E-4</c:v>
                </c:pt>
                <c:pt idx="2">
                  <c:v>-3.3100000000002572E-4</c:v>
                </c:pt>
                <c:pt idx="3">
                  <c:v>3.0199999999999672E-4</c:v>
                </c:pt>
                <c:pt idx="4">
                  <c:v>0</c:v>
                </c:pt>
                <c:pt idx="5">
                  <c:v>3.0199999999999672E-4</c:v>
                </c:pt>
                <c:pt idx="6">
                  <c:v>0</c:v>
                </c:pt>
                <c:pt idx="7">
                  <c:v>-4.4080346666666709E-4</c:v>
                </c:pt>
                <c:pt idx="8">
                  <c:v>7.6840800000102516E-5</c:v>
                </c:pt>
                <c:pt idx="9">
                  <c:v>-8.2890533332991012E-5</c:v>
                </c:pt>
                <c:pt idx="10">
                  <c:v>-3.4028826666798739E-4</c:v>
                </c:pt>
                <c:pt idx="11">
                  <c:v>1.420234666680287E-4</c:v>
                </c:pt>
                <c:pt idx="12">
                  <c:v>1.3807399999898881E-4</c:v>
                </c:pt>
                <c:pt idx="13">
                  <c:v>-4.958343999985626E-4</c:v>
                </c:pt>
                <c:pt idx="14">
                  <c:v>4.0545199999852948E-5</c:v>
                </c:pt>
                <c:pt idx="15">
                  <c:v>2.179100000001544E-4</c:v>
                </c:pt>
                <c:pt idx="16">
                  <c:v>-2.0971303316000012</c:v>
                </c:pt>
                <c:pt idx="17">
                  <c:v>-1.650591500266666</c:v>
                </c:pt>
                <c:pt idx="18">
                  <c:v>-2.6322733626666679</c:v>
                </c:pt>
                <c:pt idx="19">
                  <c:v>-2.9093834061333319</c:v>
                </c:pt>
                <c:pt idx="20">
                  <c:v>-3.0830089430666678</c:v>
                </c:pt>
                <c:pt idx="21">
                  <c:v>-3.2263051211999998</c:v>
                </c:pt>
                <c:pt idx="22">
                  <c:v>-3.2751099246666682</c:v>
                </c:pt>
                <c:pt idx="23">
                  <c:v>-3.3461327087999999</c:v>
                </c:pt>
                <c:pt idx="24">
                  <c:v>-3.3854813290666681</c:v>
                </c:pt>
                <c:pt idx="25">
                  <c:v>-3.2820196720000001</c:v>
                </c:pt>
                <c:pt idx="26">
                  <c:v>-3.280158482</c:v>
                </c:pt>
                <c:pt idx="27">
                  <c:v>-3.077032327466668</c:v>
                </c:pt>
                <c:pt idx="28">
                  <c:v>-3.0085078932</c:v>
                </c:pt>
                <c:pt idx="29">
                  <c:v>-2.741888173066668</c:v>
                </c:pt>
                <c:pt idx="30">
                  <c:v>-2.6221284948000001</c:v>
                </c:pt>
                <c:pt idx="31">
                  <c:v>-2.3825838538666679</c:v>
                </c:pt>
                <c:pt idx="32">
                  <c:v>-2.1128000573333319</c:v>
                </c:pt>
                <c:pt idx="33">
                  <c:v>-0.58110833960000186</c:v>
                </c:pt>
                <c:pt idx="34">
                  <c:v>-0.70076022733333088</c:v>
                </c:pt>
                <c:pt idx="35">
                  <c:v>-1.1217331545333331</c:v>
                </c:pt>
                <c:pt idx="36">
                  <c:v>-0.73775920133333506</c:v>
                </c:pt>
                <c:pt idx="37">
                  <c:v>-0.38402272599999998</c:v>
                </c:pt>
                <c:pt idx="38">
                  <c:v>-1.554144000032176E-4</c:v>
                </c:pt>
                <c:pt idx="39">
                  <c:v>1.338493332969648E-5</c:v>
                </c:pt>
                <c:pt idx="40">
                  <c:v>-4.114429333266223E-4</c:v>
                </c:pt>
                <c:pt idx="41">
                  <c:v>2.1233333333303681E-4</c:v>
                </c:pt>
                <c:pt idx="42">
                  <c:v>1.326666666670584E-4</c:v>
                </c:pt>
                <c:pt idx="43">
                  <c:v>3.0333333334020551E-5</c:v>
                </c:pt>
                <c:pt idx="44">
                  <c:v>4.5700000000004071E-4</c:v>
                </c:pt>
                <c:pt idx="45">
                  <c:v>1.3600000000002499E-4</c:v>
                </c:pt>
                <c:pt idx="46">
                  <c:v>-9.9999999999988987E-5</c:v>
                </c:pt>
                <c:pt idx="47">
                  <c:v>2.3552000000000021E-2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EA7C-41CE-86FB-8720DE7EBF17}"/>
            </c:ext>
          </c:extLst>
        </c:ser>
        <c:ser>
          <c:idx val="95"/>
          <c:order val="95"/>
          <c:tx>
            <c:v>BES_TR8_six289_C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Net_kW!$CT$2:$CT$49</c:f>
              <c:numCache>
                <c:formatCode>#,##0.000</c:formatCode>
                <c:ptCount val="48"/>
                <c:pt idx="0">
                  <c:v>-3.3900000000000602E-4</c:v>
                </c:pt>
                <c:pt idx="1">
                  <c:v>0</c:v>
                </c:pt>
                <c:pt idx="2">
                  <c:v>0</c:v>
                </c:pt>
                <c:pt idx="3">
                  <c:v>-3.3900000000000602E-4</c:v>
                </c:pt>
                <c:pt idx="4">
                  <c:v>-1.0000000000010001E-6</c:v>
                </c:pt>
                <c:pt idx="5">
                  <c:v>-3.3500000000000202E-4</c:v>
                </c:pt>
                <c:pt idx="6">
                  <c:v>-5.0000000000049996E-6</c:v>
                </c:pt>
                <c:pt idx="7">
                  <c:v>-1.0703033333329949E-5</c:v>
                </c:pt>
                <c:pt idx="8">
                  <c:v>4.8031903333344011E-4</c:v>
                </c:pt>
                <c:pt idx="9">
                  <c:v>1.6013745000001409E-4</c:v>
                </c:pt>
                <c:pt idx="10">
                  <c:v>3.2724776666548378E-4</c:v>
                </c:pt>
                <c:pt idx="11">
                  <c:v>-1.257294666654474E-4</c:v>
                </c:pt>
                <c:pt idx="12">
                  <c:v>-2.6876858333457759E-4</c:v>
                </c:pt>
                <c:pt idx="13">
                  <c:v>-2.3521766665091089E-5</c:v>
                </c:pt>
                <c:pt idx="14">
                  <c:v>2.8547705000003809E-4</c:v>
                </c:pt>
                <c:pt idx="15">
                  <c:v>2.0217124999999389E-4</c:v>
                </c:pt>
                <c:pt idx="16">
                  <c:v>-1.5899075568166681</c:v>
                </c:pt>
                <c:pt idx="17">
                  <c:v>-2.0602223002333329</c:v>
                </c:pt>
                <c:pt idx="18">
                  <c:v>-0.94824197566666513</c:v>
                </c:pt>
                <c:pt idx="19">
                  <c:v>-2.4166348136999982</c:v>
                </c:pt>
                <c:pt idx="20">
                  <c:v>-2.6315078251833341</c:v>
                </c:pt>
                <c:pt idx="21">
                  <c:v>-2.7104299810499999</c:v>
                </c:pt>
                <c:pt idx="22">
                  <c:v>-2.784462350750001</c:v>
                </c:pt>
                <c:pt idx="23">
                  <c:v>-2.8146655368666669</c:v>
                </c:pt>
                <c:pt idx="24">
                  <c:v>-1.384504162933335</c:v>
                </c:pt>
                <c:pt idx="25">
                  <c:v>-1.293057463</c:v>
                </c:pt>
                <c:pt idx="26">
                  <c:v>-2.4138066717500002</c:v>
                </c:pt>
                <c:pt idx="27">
                  <c:v>-2.4426512032000018</c:v>
                </c:pt>
                <c:pt idx="28">
                  <c:v>-2.3785394065499998</c:v>
                </c:pt>
                <c:pt idx="29">
                  <c:v>-2.2146364014333351</c:v>
                </c:pt>
                <c:pt idx="30">
                  <c:v>-2.0755730996166668</c:v>
                </c:pt>
                <c:pt idx="31">
                  <c:v>-1.799965872133334</c:v>
                </c:pt>
                <c:pt idx="32">
                  <c:v>-1.567129383499998</c:v>
                </c:pt>
                <c:pt idx="33">
                  <c:v>-1.3753100304833319</c:v>
                </c:pt>
                <c:pt idx="34">
                  <c:v>-1.1856612614166651</c:v>
                </c:pt>
                <c:pt idx="35">
                  <c:v>-1.0130399185500001</c:v>
                </c:pt>
                <c:pt idx="36">
                  <c:v>-3.5398450000143078E-4</c:v>
                </c:pt>
                <c:pt idx="37">
                  <c:v>-0.47090688524999991</c:v>
                </c:pt>
                <c:pt idx="38">
                  <c:v>-0.27528065426666648</c:v>
                </c:pt>
                <c:pt idx="39">
                  <c:v>-1.049548499999914E-4</c:v>
                </c:pt>
                <c:pt idx="40">
                  <c:v>-2.9330423333334341E-4</c:v>
                </c:pt>
                <c:pt idx="41">
                  <c:v>-3.3999999999997921E-4</c:v>
                </c:pt>
                <c:pt idx="42">
                  <c:v>0</c:v>
                </c:pt>
                <c:pt idx="43">
                  <c:v>0</c:v>
                </c:pt>
                <c:pt idx="44">
                  <c:v>-2.9999999999891221E-6</c:v>
                </c:pt>
                <c:pt idx="45">
                  <c:v>-3.3699999999999009E-4</c:v>
                </c:pt>
                <c:pt idx="46">
                  <c:v>4.6666666666694828E-4</c:v>
                </c:pt>
                <c:pt idx="47">
                  <c:v>3.883333333329908E-4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EA7C-41CE-86FB-8720DE7EBF17}"/>
            </c:ext>
          </c:extLst>
        </c:ser>
        <c:ser>
          <c:idx val="96"/>
          <c:order val="96"/>
          <c:tx>
            <c:v>BES_TR8_six317_C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Net_kW!$CU$2:$CU$49</c:f>
              <c:numCache>
                <c:formatCode>#,##0.000</c:formatCode>
                <c:ptCount val="48"/>
                <c:pt idx="0">
                  <c:v>-6.8666666670047505E-5</c:v>
                </c:pt>
                <c:pt idx="1">
                  <c:v>-1.7999999999990249E-5</c:v>
                </c:pt>
                <c:pt idx="2">
                  <c:v>0</c:v>
                </c:pt>
                <c:pt idx="3">
                  <c:v>3.3400000000005647E-4</c:v>
                </c:pt>
                <c:pt idx="4">
                  <c:v>-8.8000000000004741E-5</c:v>
                </c:pt>
                <c:pt idx="5">
                  <c:v>0</c:v>
                </c:pt>
                <c:pt idx="6">
                  <c:v>2.6242000000000019E-2</c:v>
                </c:pt>
                <c:pt idx="7">
                  <c:v>0.1758692969666667</c:v>
                </c:pt>
                <c:pt idx="8">
                  <c:v>0.1246063190333334</c:v>
                </c:pt>
                <c:pt idx="9">
                  <c:v>-2.5986254999999647E-4</c:v>
                </c:pt>
                <c:pt idx="10">
                  <c:v>4.3247766665505123E-5</c:v>
                </c:pt>
                <c:pt idx="11">
                  <c:v>-4.1372946666545779E-4</c:v>
                </c:pt>
                <c:pt idx="12">
                  <c:v>4.5231416665347801E-5</c:v>
                </c:pt>
                <c:pt idx="13">
                  <c:v>-1.7552176666502109E-4</c:v>
                </c:pt>
                <c:pt idx="14">
                  <c:v>-2.7118961666694469E-4</c:v>
                </c:pt>
                <c:pt idx="15">
                  <c:v>-4.8782875000003001E-4</c:v>
                </c:pt>
                <c:pt idx="16">
                  <c:v>-2.8422348333512199E-4</c:v>
                </c:pt>
                <c:pt idx="17">
                  <c:v>1.8709976666642089E-4</c:v>
                </c:pt>
                <c:pt idx="18">
                  <c:v>-1.9971874423333349</c:v>
                </c:pt>
                <c:pt idx="19">
                  <c:v>-2.2923996803666649</c:v>
                </c:pt>
                <c:pt idx="20">
                  <c:v>-2.340889225183334</c:v>
                </c:pt>
                <c:pt idx="21">
                  <c:v>-2.7506425143833328</c:v>
                </c:pt>
                <c:pt idx="22">
                  <c:v>-2.7572593507500009</c:v>
                </c:pt>
                <c:pt idx="23">
                  <c:v>-2.4562408701999998</c:v>
                </c:pt>
                <c:pt idx="24">
                  <c:v>-1.2565261629333351</c:v>
                </c:pt>
                <c:pt idx="25">
                  <c:v>-1.296477463</c:v>
                </c:pt>
                <c:pt idx="26">
                  <c:v>-2.5609370050833329</c:v>
                </c:pt>
                <c:pt idx="27">
                  <c:v>-2.6131889365333349</c:v>
                </c:pt>
                <c:pt idx="28">
                  <c:v>-2.3657060732166668</c:v>
                </c:pt>
                <c:pt idx="29">
                  <c:v>-1.2462937347666649</c:v>
                </c:pt>
                <c:pt idx="30">
                  <c:v>-1.949409766283333</c:v>
                </c:pt>
                <c:pt idx="31">
                  <c:v>-1.9598882721333339</c:v>
                </c:pt>
                <c:pt idx="32">
                  <c:v>-1.7675293834999981</c:v>
                </c:pt>
                <c:pt idx="33">
                  <c:v>-1.2425473638166651</c:v>
                </c:pt>
                <c:pt idx="34">
                  <c:v>-1.2015195947499979</c:v>
                </c:pt>
                <c:pt idx="35">
                  <c:v>-0.85278191855000007</c:v>
                </c:pt>
                <c:pt idx="36">
                  <c:v>-0.56067458450000152</c:v>
                </c:pt>
                <c:pt idx="37">
                  <c:v>3.4331474999996231E-4</c:v>
                </c:pt>
                <c:pt idx="38">
                  <c:v>-1.496542666665768E-4</c:v>
                </c:pt>
                <c:pt idx="39">
                  <c:v>-4.0028818333293081E-4</c:v>
                </c:pt>
                <c:pt idx="40">
                  <c:v>4.9669576666666604E-4</c:v>
                </c:pt>
                <c:pt idx="41">
                  <c:v>3.7599999999993189E-4</c:v>
                </c:pt>
                <c:pt idx="42">
                  <c:v>-2.6533333333400583E-4</c:v>
                </c:pt>
                <c:pt idx="43">
                  <c:v>-1.546666666659702E-4</c:v>
                </c:pt>
                <c:pt idx="44">
                  <c:v>2.7666666665981939E-5</c:v>
                </c:pt>
                <c:pt idx="45">
                  <c:v>4.9066666666702785E-4</c:v>
                </c:pt>
                <c:pt idx="46">
                  <c:v>4.5000000000000601E-4</c:v>
                </c:pt>
                <c:pt idx="47">
                  <c:v>-2.0400000000003751E-4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EA7C-41CE-86FB-8720DE7EBF17}"/>
            </c:ext>
          </c:extLst>
        </c:ser>
        <c:ser>
          <c:idx val="97"/>
          <c:order val="97"/>
          <c:tx>
            <c:v>BES_TR8_six326_A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Net_kW!$CV$2:$CV$49</c:f>
              <c:numCache>
                <c:formatCode>#,##0.000</c:formatCode>
                <c:ptCount val="48"/>
                <c:pt idx="0">
                  <c:v>0</c:v>
                </c:pt>
                <c:pt idx="1">
                  <c:v>3.5999999999999921E-4</c:v>
                </c:pt>
                <c:pt idx="2">
                  <c:v>0</c:v>
                </c:pt>
                <c:pt idx="3">
                  <c:v>3.5999999999999921E-4</c:v>
                </c:pt>
                <c:pt idx="4">
                  <c:v>0</c:v>
                </c:pt>
                <c:pt idx="5">
                  <c:v>-2.30000000000008E-4</c:v>
                </c:pt>
                <c:pt idx="6">
                  <c:v>-4.099999999999937E-4</c:v>
                </c:pt>
                <c:pt idx="7">
                  <c:v>-2.6670303333334311E-4</c:v>
                </c:pt>
                <c:pt idx="8">
                  <c:v>9.8319033333460482E-5</c:v>
                </c:pt>
                <c:pt idx="9">
                  <c:v>4.9813744999999132E-4</c:v>
                </c:pt>
                <c:pt idx="10">
                  <c:v>3.2724776666548378E-4</c:v>
                </c:pt>
                <c:pt idx="11">
                  <c:v>-1.2572946666533641E-4</c:v>
                </c:pt>
                <c:pt idx="12">
                  <c:v>4.3123141666545628E-4</c:v>
                </c:pt>
                <c:pt idx="13">
                  <c:v>-2.3521766664869052E-5</c:v>
                </c:pt>
                <c:pt idx="14">
                  <c:v>-1.2452294999998339E-4</c:v>
                </c:pt>
                <c:pt idx="15">
                  <c:v>-3.811620833329421E-4</c:v>
                </c:pt>
                <c:pt idx="16">
                  <c:v>-1.3602882234833349</c:v>
                </c:pt>
                <c:pt idx="17">
                  <c:v>-2.0446455668999999</c:v>
                </c:pt>
                <c:pt idx="18">
                  <c:v>-2.3550674423333349</c:v>
                </c:pt>
                <c:pt idx="19">
                  <c:v>-2.3713324803666649</c:v>
                </c:pt>
                <c:pt idx="20">
                  <c:v>-2.4325988251833341</c:v>
                </c:pt>
                <c:pt idx="21">
                  <c:v>-2.573425314383333</c:v>
                </c:pt>
                <c:pt idx="22">
                  <c:v>-2.7118496840833339</c:v>
                </c:pt>
                <c:pt idx="23">
                  <c:v>-2.4350778702000002</c:v>
                </c:pt>
                <c:pt idx="24">
                  <c:v>-2.7760871629333348</c:v>
                </c:pt>
                <c:pt idx="25">
                  <c:v>-2.8290781296666672</c:v>
                </c:pt>
                <c:pt idx="26">
                  <c:v>-2.8660136717500002</c:v>
                </c:pt>
                <c:pt idx="27">
                  <c:v>-2.7576675365333352</c:v>
                </c:pt>
                <c:pt idx="28">
                  <c:v>-2.3380494065500002</c:v>
                </c:pt>
                <c:pt idx="29">
                  <c:v>-2.1509757347666691</c:v>
                </c:pt>
                <c:pt idx="30">
                  <c:v>-0.99529609961666998</c:v>
                </c:pt>
                <c:pt idx="31">
                  <c:v>-1.3786335388000011</c:v>
                </c:pt>
                <c:pt idx="32">
                  <c:v>-0.393207716833335</c:v>
                </c:pt>
                <c:pt idx="33">
                  <c:v>2.1696951666501371E-4</c:v>
                </c:pt>
                <c:pt idx="34">
                  <c:v>-0.93706526141666502</c:v>
                </c:pt>
                <c:pt idx="35">
                  <c:v>-0.76633325188333301</c:v>
                </c:pt>
                <c:pt idx="36">
                  <c:v>-0.6355106511666675</c:v>
                </c:pt>
                <c:pt idx="37">
                  <c:v>-0.38804621858333299</c:v>
                </c:pt>
                <c:pt idx="38">
                  <c:v>-0.23601398759999981</c:v>
                </c:pt>
                <c:pt idx="39">
                  <c:v>-1.29954849999947E-4</c:v>
                </c:pt>
                <c:pt idx="40">
                  <c:v>8.669576666664458E-5</c:v>
                </c:pt>
                <c:pt idx="41">
                  <c:v>3.2833333333304182E-4</c:v>
                </c:pt>
                <c:pt idx="42">
                  <c:v>-1.050000000000217E-4</c:v>
                </c:pt>
                <c:pt idx="43">
                  <c:v>-4.2400000000009102E-4</c:v>
                </c:pt>
                <c:pt idx="44">
                  <c:v>-1.136666666659014E-4</c:v>
                </c:pt>
                <c:pt idx="45">
                  <c:v>-1.1499999999997621E-4</c:v>
                </c:pt>
                <c:pt idx="46">
                  <c:v>2.2699999999997719E-4</c:v>
                </c:pt>
                <c:pt idx="47">
                  <c:v>-1.01999999999991E-4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EA7C-41CE-86FB-8720DE7EBF17}"/>
            </c:ext>
          </c:extLst>
        </c:ser>
        <c:ser>
          <c:idx val="98"/>
          <c:order val="98"/>
          <c:tx>
            <c:v>BES_TR8_six329_A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Net_kW!$CW$2:$CW$49</c:f>
              <c:numCache>
                <c:formatCode>#,##0.000</c:formatCode>
                <c:ptCount val="48"/>
                <c:pt idx="0">
                  <c:v>0</c:v>
                </c:pt>
                <c:pt idx="1">
                  <c:v>-3.0800000000000272E-4</c:v>
                </c:pt>
                <c:pt idx="2">
                  <c:v>3.4000000000000702E-4</c:v>
                </c:pt>
                <c:pt idx="3">
                  <c:v>0</c:v>
                </c:pt>
                <c:pt idx="4">
                  <c:v>2.5200000000000222E-4</c:v>
                </c:pt>
                <c:pt idx="5">
                  <c:v>-2.19999999999998E-4</c:v>
                </c:pt>
                <c:pt idx="6">
                  <c:v>0</c:v>
                </c:pt>
                <c:pt idx="7">
                  <c:v>3.5769870000000592E-4</c:v>
                </c:pt>
                <c:pt idx="8">
                  <c:v>-2.6643469999995673E-4</c:v>
                </c:pt>
                <c:pt idx="9">
                  <c:v>-2.150839499999932E-4</c:v>
                </c:pt>
                <c:pt idx="10">
                  <c:v>-2.608100000495162E-6</c:v>
                </c:pt>
                <c:pt idx="11">
                  <c:v>-1.9674119999946171E-4</c:v>
                </c:pt>
                <c:pt idx="12">
                  <c:v>3.2652774999936129E-4</c:v>
                </c:pt>
                <c:pt idx="13">
                  <c:v>-4.1693789999952552E-4</c:v>
                </c:pt>
                <c:pt idx="14">
                  <c:v>1.204450000069635E-6</c:v>
                </c:pt>
                <c:pt idx="15">
                  <c:v>-1.8878374999986569E-4</c:v>
                </c:pt>
                <c:pt idx="16">
                  <c:v>-1.2352435000051451E-4</c:v>
                </c:pt>
                <c:pt idx="17">
                  <c:v>-2.1210009999994561E-4</c:v>
                </c:pt>
                <c:pt idx="18">
                  <c:v>-2.15760999999981E-4</c:v>
                </c:pt>
                <c:pt idx="19">
                  <c:v>-3.9377729999889871E-4</c:v>
                </c:pt>
                <c:pt idx="20">
                  <c:v>-0.36112068698333388</c:v>
                </c:pt>
                <c:pt idx="21">
                  <c:v>-1.144532753783333</c:v>
                </c:pt>
                <c:pt idx="22">
                  <c:v>-1.0518347217499999</c:v>
                </c:pt>
                <c:pt idx="23">
                  <c:v>-1.1067825158</c:v>
                </c:pt>
                <c:pt idx="24">
                  <c:v>-0.99505049840000104</c:v>
                </c:pt>
                <c:pt idx="25">
                  <c:v>-1.028490627</c:v>
                </c:pt>
                <c:pt idx="26">
                  <c:v>-0.97282843075000003</c:v>
                </c:pt>
                <c:pt idx="27">
                  <c:v>-0.92503837280000001</c:v>
                </c:pt>
                <c:pt idx="28">
                  <c:v>-1.1016094599499999</c:v>
                </c:pt>
                <c:pt idx="29">
                  <c:v>-0.87224531490000001</c:v>
                </c:pt>
                <c:pt idx="30">
                  <c:v>-0.96467318554999992</c:v>
                </c:pt>
                <c:pt idx="31">
                  <c:v>-0.72367994520000045</c:v>
                </c:pt>
                <c:pt idx="32">
                  <c:v>-0.59535702149999947</c:v>
                </c:pt>
                <c:pt idx="33">
                  <c:v>-0.18617972734999941</c:v>
                </c:pt>
                <c:pt idx="34">
                  <c:v>-0.1239297310833334</c:v>
                </c:pt>
                <c:pt idx="35">
                  <c:v>-4.1172107950000092E-2</c:v>
                </c:pt>
                <c:pt idx="36">
                  <c:v>-5.9543850500000488E-2</c:v>
                </c:pt>
                <c:pt idx="37">
                  <c:v>-1.6452225000000009E-4</c:v>
                </c:pt>
                <c:pt idx="38">
                  <c:v>2.6881960000010169E-4</c:v>
                </c:pt>
                <c:pt idx="39">
                  <c:v>2.531934999999708E-5</c:v>
                </c:pt>
                <c:pt idx="40">
                  <c:v>3.7383900000020898E-5</c:v>
                </c:pt>
                <c:pt idx="41">
                  <c:v>-1.290666666669549E-4</c:v>
                </c:pt>
                <c:pt idx="42">
                  <c:v>-1.4966666666704759E-4</c:v>
                </c:pt>
                <c:pt idx="43">
                  <c:v>1.199999999995649E-5</c:v>
                </c:pt>
                <c:pt idx="44">
                  <c:v>2.1199999999999E-4</c:v>
                </c:pt>
                <c:pt idx="45">
                  <c:v>1.7500000000014729E-4</c:v>
                </c:pt>
                <c:pt idx="46">
                  <c:v>-8.7999999999997802E-5</c:v>
                </c:pt>
                <c:pt idx="47">
                  <c:v>1.1999999999998121E-4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EA7C-41CE-86FB-8720DE7EBF17}"/>
            </c:ext>
          </c:extLst>
        </c:ser>
        <c:ser>
          <c:idx val="99"/>
          <c:order val="99"/>
          <c:tx>
            <c:v>BES_TR8_six342_A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Net_kW!$CX$2:$CX$49</c:f>
              <c:numCache>
                <c:formatCode>#,##0.000</c:formatCode>
                <c:ptCount val="48"/>
                <c:pt idx="0">
                  <c:v>0</c:v>
                </c:pt>
                <c:pt idx="1">
                  <c:v>1.4799999999998151E-4</c:v>
                </c:pt>
                <c:pt idx="2">
                  <c:v>-2.4800000000010919E-4</c:v>
                </c:pt>
                <c:pt idx="3">
                  <c:v>-2.5000000000000022E-4</c:v>
                </c:pt>
                <c:pt idx="4">
                  <c:v>4.599999999999882E-4</c:v>
                </c:pt>
                <c:pt idx="5">
                  <c:v>-8.7333333333022845E-5</c:v>
                </c:pt>
                <c:pt idx="6">
                  <c:v>2.0066666666601621E-4</c:v>
                </c:pt>
                <c:pt idx="7">
                  <c:v>1.8303203333303039E-4</c:v>
                </c:pt>
                <c:pt idx="8">
                  <c:v>2.4889863333306389E-4</c:v>
                </c:pt>
                <c:pt idx="9">
                  <c:v>-4.910839499999986E-4</c:v>
                </c:pt>
                <c:pt idx="10">
                  <c:v>-2.6081000005090389E-6</c:v>
                </c:pt>
                <c:pt idx="11">
                  <c:v>-8.3407866666497001E-5</c:v>
                </c:pt>
                <c:pt idx="12">
                  <c:v>2.8719441666608109E-4</c:v>
                </c:pt>
                <c:pt idx="13">
                  <c:v>9.7062100000516738E-5</c:v>
                </c:pt>
                <c:pt idx="14">
                  <c:v>2.6520445000011161E-4</c:v>
                </c:pt>
                <c:pt idx="15">
                  <c:v>1.1188291666702769E-4</c:v>
                </c:pt>
                <c:pt idx="16">
                  <c:v>-2.4352435000063449E-4</c:v>
                </c:pt>
                <c:pt idx="17">
                  <c:v>-1.18433433333065E-4</c:v>
                </c:pt>
                <c:pt idx="18">
                  <c:v>-6.7761000000055027E-5</c:v>
                </c:pt>
                <c:pt idx="19">
                  <c:v>-2.5444396666596258E-4</c:v>
                </c:pt>
                <c:pt idx="20">
                  <c:v>-4.3868698333282552E-4</c:v>
                </c:pt>
                <c:pt idx="21">
                  <c:v>1.06579550000041E-4</c:v>
                </c:pt>
                <c:pt idx="22">
                  <c:v>-7.0494721749999933E-2</c:v>
                </c:pt>
                <c:pt idx="23">
                  <c:v>-0.6871110158</c:v>
                </c:pt>
                <c:pt idx="24">
                  <c:v>-0.10700149840000089</c:v>
                </c:pt>
                <c:pt idx="25">
                  <c:v>-0.94006062700000004</c:v>
                </c:pt>
                <c:pt idx="26">
                  <c:v>-0.80155276408333309</c:v>
                </c:pt>
                <c:pt idx="27">
                  <c:v>-0.74515503946666706</c:v>
                </c:pt>
                <c:pt idx="28">
                  <c:v>-0.43551612661666611</c:v>
                </c:pt>
                <c:pt idx="29">
                  <c:v>-0.82272731490000006</c:v>
                </c:pt>
                <c:pt idx="30">
                  <c:v>-0.78334585221666697</c:v>
                </c:pt>
                <c:pt idx="31">
                  <c:v>-0.73327127853333351</c:v>
                </c:pt>
                <c:pt idx="32">
                  <c:v>-0.7046416881666665</c:v>
                </c:pt>
                <c:pt idx="33">
                  <c:v>-0.22894406068333251</c:v>
                </c:pt>
                <c:pt idx="34">
                  <c:v>-0.28303773108333241</c:v>
                </c:pt>
                <c:pt idx="35">
                  <c:v>2.4822538333292571E-4</c:v>
                </c:pt>
                <c:pt idx="36">
                  <c:v>3.2448283332953132E-4</c:v>
                </c:pt>
                <c:pt idx="37">
                  <c:v>-2.7252225000001801E-4</c:v>
                </c:pt>
                <c:pt idx="38">
                  <c:v>1.063862666699222E-4</c:v>
                </c:pt>
                <c:pt idx="39">
                  <c:v>0.2159483526833301</c:v>
                </c:pt>
                <c:pt idx="40">
                  <c:v>1.4329812505666699</c:v>
                </c:pt>
                <c:pt idx="41">
                  <c:v>0.57113833333333297</c:v>
                </c:pt>
                <c:pt idx="42">
                  <c:v>0.63262633333333296</c:v>
                </c:pt>
                <c:pt idx="43">
                  <c:v>0.66662533333333296</c:v>
                </c:pt>
                <c:pt idx="44">
                  <c:v>0.29594300000000001</c:v>
                </c:pt>
                <c:pt idx="45">
                  <c:v>0.55482799999999999</c:v>
                </c:pt>
                <c:pt idx="46">
                  <c:v>0.197118666666667</c:v>
                </c:pt>
                <c:pt idx="47">
                  <c:v>0.49606499999999998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EA7C-41CE-86FB-8720DE7EBF17}"/>
            </c:ext>
          </c:extLst>
        </c:ser>
        <c:ser>
          <c:idx val="100"/>
          <c:order val="100"/>
          <c:tx>
            <c:v>BES_TR8_six350_B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Net_kW!$CY$2:$CY$49</c:f>
              <c:numCache>
                <c:formatCode>#,##0.000</c:formatCode>
                <c:ptCount val="48"/>
                <c:pt idx="0">
                  <c:v>-3.4700000000011111E-4</c:v>
                </c:pt>
                <c:pt idx="1">
                  <c:v>0</c:v>
                </c:pt>
                <c:pt idx="2">
                  <c:v>0</c:v>
                </c:pt>
                <c:pt idx="3">
                  <c:v>2.14999999999993E-4</c:v>
                </c:pt>
                <c:pt idx="4">
                  <c:v>-1.5699999999999739E-4</c:v>
                </c:pt>
                <c:pt idx="5">
                  <c:v>9.6666666666592183E-5</c:v>
                </c:pt>
                <c:pt idx="6">
                  <c:v>2.4799999999999822E-4</c:v>
                </c:pt>
                <c:pt idx="7">
                  <c:v>3.6919653333333802E-4</c:v>
                </c:pt>
                <c:pt idx="8">
                  <c:v>2.6550746666680058E-4</c:v>
                </c:pt>
                <c:pt idx="9">
                  <c:v>-4.8255719999998342E-4</c:v>
                </c:pt>
                <c:pt idx="10">
                  <c:v>-3.7328826666799259E-4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3.1683226666823222E-4</c:v>
                </c:pt>
                <c:pt idx="14">
                  <c:v>-1.4178813333298729E-4</c:v>
                </c:pt>
                <c:pt idx="15">
                  <c:v>-0.80481208999999998</c:v>
                </c:pt>
                <c:pt idx="16">
                  <c:v>-2.084602064933335</c:v>
                </c:pt>
                <c:pt idx="17">
                  <c:v>-2.4641219336</c:v>
                </c:pt>
                <c:pt idx="18">
                  <c:v>-2.6960463626666682</c:v>
                </c:pt>
                <c:pt idx="19">
                  <c:v>-2.8810114061333318</c:v>
                </c:pt>
                <c:pt idx="20">
                  <c:v>-3.0803229430666681</c:v>
                </c:pt>
                <c:pt idx="21">
                  <c:v>-3.1635984545333331</c:v>
                </c:pt>
                <c:pt idx="22">
                  <c:v>-2.970449924666668</c:v>
                </c:pt>
                <c:pt idx="23">
                  <c:v>-3.2615433754666672</c:v>
                </c:pt>
                <c:pt idx="24">
                  <c:v>-3.1931959957333351</c:v>
                </c:pt>
                <c:pt idx="25">
                  <c:v>-3.2556316719999998</c:v>
                </c:pt>
                <c:pt idx="26">
                  <c:v>-1.9969998153333299</c:v>
                </c:pt>
                <c:pt idx="27">
                  <c:v>-2.4382009941333331</c:v>
                </c:pt>
                <c:pt idx="28">
                  <c:v>-2.8046288931999999</c:v>
                </c:pt>
                <c:pt idx="29">
                  <c:v>-2.697042839733335</c:v>
                </c:pt>
                <c:pt idx="30">
                  <c:v>-2.4545044948000001</c:v>
                </c:pt>
                <c:pt idx="31">
                  <c:v>-2.2378191872000008</c:v>
                </c:pt>
                <c:pt idx="32">
                  <c:v>-1.912105723999999</c:v>
                </c:pt>
                <c:pt idx="33">
                  <c:v>-1.617157606266665</c:v>
                </c:pt>
                <c:pt idx="34">
                  <c:v>-1.0123617273333321</c:v>
                </c:pt>
                <c:pt idx="35">
                  <c:v>2.3771213332990371E-4</c:v>
                </c:pt>
                <c:pt idx="36">
                  <c:v>-1.4926799999809279E-4</c:v>
                </c:pt>
                <c:pt idx="37">
                  <c:v>-6.0725999999955427E-5</c:v>
                </c:pt>
                <c:pt idx="38">
                  <c:v>-2.4908106666310381E-4</c:v>
                </c:pt>
                <c:pt idx="39">
                  <c:v>1.753849333330226E-4</c:v>
                </c:pt>
                <c:pt idx="40">
                  <c:v>-4.3944293333367251E-4</c:v>
                </c:pt>
                <c:pt idx="41">
                  <c:v>-1.536666666659969E-4</c:v>
                </c:pt>
                <c:pt idx="42">
                  <c:v>-1.9966666666704211E-4</c:v>
                </c:pt>
                <c:pt idx="43">
                  <c:v>2.9666666666700042E-4</c:v>
                </c:pt>
                <c:pt idx="44">
                  <c:v>0</c:v>
                </c:pt>
                <c:pt idx="45">
                  <c:v>-2.9866666666700242E-4</c:v>
                </c:pt>
                <c:pt idx="46">
                  <c:v>4.3333333333006603E-5</c:v>
                </c:pt>
                <c:pt idx="47">
                  <c:v>-1.05999999999995E-4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EA7C-41CE-86FB-8720DE7EBF17}"/>
            </c:ext>
          </c:extLst>
        </c:ser>
        <c:ser>
          <c:idx val="101"/>
          <c:order val="101"/>
          <c:tx>
            <c:v>BES_TR8_six365_C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Net_kW!$CZ$2:$CZ$49</c:f>
              <c:numCache>
                <c:formatCode>#,##0.000</c:formatCode>
                <c:ptCount val="48"/>
                <c:pt idx="0">
                  <c:v>4.220000000000057E-4</c:v>
                </c:pt>
                <c:pt idx="1">
                  <c:v>0</c:v>
                </c:pt>
                <c:pt idx="2">
                  <c:v>4.220000000000057E-4</c:v>
                </c:pt>
                <c:pt idx="3">
                  <c:v>0</c:v>
                </c:pt>
                <c:pt idx="4">
                  <c:v>4.220000000000057E-4</c:v>
                </c:pt>
                <c:pt idx="5">
                  <c:v>0</c:v>
                </c:pt>
                <c:pt idx="6">
                  <c:v>3.9499999999999258E-4</c:v>
                </c:pt>
                <c:pt idx="7">
                  <c:v>3.0659826666666612E-4</c:v>
                </c:pt>
                <c:pt idx="8">
                  <c:v>1.327537333333968E-4</c:v>
                </c:pt>
                <c:pt idx="9">
                  <c:v>-2.8677860000000938E-4</c:v>
                </c:pt>
                <c:pt idx="10">
                  <c:v>3.2985586666597899E-4</c:v>
                </c:pt>
                <c:pt idx="11">
                  <c:v>7.1011733334014338E-5</c:v>
                </c:pt>
                <c:pt idx="12">
                  <c:v>2.7770366666596269E-4</c:v>
                </c:pt>
                <c:pt idx="13">
                  <c:v>3.1441613333393898E-4</c:v>
                </c:pt>
                <c:pt idx="14">
                  <c:v>2.02726000000375E-5</c:v>
                </c:pt>
                <c:pt idx="15">
                  <c:v>1.089550000000772E-4</c:v>
                </c:pt>
                <c:pt idx="16">
                  <c:v>-1.646991333339454E-4</c:v>
                </c:pt>
                <c:pt idx="17">
                  <c:v>-1.9546679999993269E-4</c:v>
                </c:pt>
                <c:pt idx="18">
                  <c:v>-0.33365468133333398</c:v>
                </c:pt>
                <c:pt idx="19">
                  <c:v>-1.256732369733333</c:v>
                </c:pt>
                <c:pt idx="20">
                  <c:v>-1.452599004866667</c:v>
                </c:pt>
                <c:pt idx="21">
                  <c:v>-1.5282573606000001</c:v>
                </c:pt>
                <c:pt idx="22">
                  <c:v>-1.1347258290000011</c:v>
                </c:pt>
                <c:pt idx="23">
                  <c:v>-1.4496250210666659</c:v>
                </c:pt>
                <c:pt idx="24">
                  <c:v>-1.529216664533334</c:v>
                </c:pt>
                <c:pt idx="25">
                  <c:v>-1.5319708359999999</c:v>
                </c:pt>
                <c:pt idx="26">
                  <c:v>-1.491389241</c:v>
                </c:pt>
                <c:pt idx="27">
                  <c:v>-1.0782771637333339</c:v>
                </c:pt>
                <c:pt idx="28">
                  <c:v>-1.4807539465999999</c:v>
                </c:pt>
                <c:pt idx="29">
                  <c:v>-1.3136730865333339</c:v>
                </c:pt>
                <c:pt idx="30">
                  <c:v>-1.2875642474</c:v>
                </c:pt>
                <c:pt idx="31">
                  <c:v>-1.094369926933334</c:v>
                </c:pt>
                <c:pt idx="32">
                  <c:v>-0.86684169533333288</c:v>
                </c:pt>
                <c:pt idx="33">
                  <c:v>-0.71984563646666599</c:v>
                </c:pt>
                <c:pt idx="34">
                  <c:v>-0.52685286366666595</c:v>
                </c:pt>
                <c:pt idx="35">
                  <c:v>-2.0147726666705851E-4</c:v>
                </c:pt>
                <c:pt idx="36">
                  <c:v>9.9199333336130735E-5</c:v>
                </c:pt>
                <c:pt idx="37">
                  <c:v>3.3830366666698358E-4</c:v>
                </c:pt>
                <c:pt idx="38">
                  <c:v>2.7295946666641702E-4</c:v>
                </c:pt>
                <c:pt idx="39">
                  <c:v>4.6769246666999997E-4</c:v>
                </c:pt>
                <c:pt idx="40">
                  <c:v>4.6844519999966749E-4</c:v>
                </c:pt>
                <c:pt idx="41">
                  <c:v>-9.3333333332945578E-5</c:v>
                </c:pt>
                <c:pt idx="42">
                  <c:v>2.3200000000001E-4</c:v>
                </c:pt>
                <c:pt idx="43">
                  <c:v>3.3133333333301712E-4</c:v>
                </c:pt>
                <c:pt idx="44">
                  <c:v>2.7199999999999452E-4</c:v>
                </c:pt>
                <c:pt idx="45">
                  <c:v>2.4833333333296181E-4</c:v>
                </c:pt>
                <c:pt idx="46">
                  <c:v>1.7899999999992919E-4</c:v>
                </c:pt>
                <c:pt idx="47">
                  <c:v>1.954800000000001E-2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EA7C-41CE-86FB-8720DE7EBF17}"/>
            </c:ext>
          </c:extLst>
        </c:ser>
        <c:ser>
          <c:idx val="102"/>
          <c:order val="102"/>
          <c:tx>
            <c:v>BES_TR8_six75_A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Net_kW!$DA$2:$DA$49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-4.4080346666666709E-4</c:v>
                </c:pt>
                <c:pt idx="8">
                  <c:v>2.6550746666679972E-4</c:v>
                </c:pt>
                <c:pt idx="9">
                  <c:v>4.2644279999998203E-4</c:v>
                </c:pt>
                <c:pt idx="10">
                  <c:v>-3.4028826666798739E-4</c:v>
                </c:pt>
                <c:pt idx="11">
                  <c:v>1.420234666680287E-4</c:v>
                </c:pt>
                <c:pt idx="12">
                  <c:v>8.1407333331839915E-5</c:v>
                </c:pt>
                <c:pt idx="13">
                  <c:v>-7.8343999987406931E-6</c:v>
                </c:pt>
                <c:pt idx="14">
                  <c:v>2.9054519999993639E-4</c:v>
                </c:pt>
                <c:pt idx="15">
                  <c:v>4.1057666667021492E-4</c:v>
                </c:pt>
                <c:pt idx="16">
                  <c:v>-1.597746064933335</c:v>
                </c:pt>
                <c:pt idx="17">
                  <c:v>-2.2962289336000001</c:v>
                </c:pt>
                <c:pt idx="18">
                  <c:v>-2.4390853626666682</c:v>
                </c:pt>
                <c:pt idx="19">
                  <c:v>-2.727723406133332</c:v>
                </c:pt>
                <c:pt idx="20">
                  <c:v>-2.8734056097333349</c:v>
                </c:pt>
                <c:pt idx="21">
                  <c:v>-3.0660204545333332</c:v>
                </c:pt>
                <c:pt idx="22">
                  <c:v>-3.170187924666668</c:v>
                </c:pt>
                <c:pt idx="23">
                  <c:v>-3.2256447088</c:v>
                </c:pt>
                <c:pt idx="24">
                  <c:v>-3.3757979957333348</c:v>
                </c:pt>
                <c:pt idx="25">
                  <c:v>-3.139401672</c:v>
                </c:pt>
                <c:pt idx="26">
                  <c:v>-3.280158482</c:v>
                </c:pt>
                <c:pt idx="27">
                  <c:v>-3.125880327466668</c:v>
                </c:pt>
                <c:pt idx="28">
                  <c:v>-2.9296464265333331</c:v>
                </c:pt>
                <c:pt idx="29">
                  <c:v>-2.7127394397333342</c:v>
                </c:pt>
                <c:pt idx="30">
                  <c:v>-2.4589188281333332</c:v>
                </c:pt>
                <c:pt idx="31">
                  <c:v>-2.0154388538666681</c:v>
                </c:pt>
                <c:pt idx="32">
                  <c:v>-0.64038739066666173</c:v>
                </c:pt>
                <c:pt idx="33">
                  <c:v>-1.691361939599999</c:v>
                </c:pt>
                <c:pt idx="34">
                  <c:v>-1.421411727333332</c:v>
                </c:pt>
                <c:pt idx="35">
                  <c:v>-0.83198228786666706</c:v>
                </c:pt>
                <c:pt idx="36">
                  <c:v>-0.48949360133333503</c:v>
                </c:pt>
                <c:pt idx="37">
                  <c:v>-0.20586072599999999</c:v>
                </c:pt>
                <c:pt idx="38">
                  <c:v>-1.7308106666617809E-4</c:v>
                </c:pt>
                <c:pt idx="39">
                  <c:v>-4.562817333302327E-4</c:v>
                </c:pt>
                <c:pt idx="40">
                  <c:v>3.9622373333331179E-4</c:v>
                </c:pt>
                <c:pt idx="41">
                  <c:v>3.7033333333302831E-4</c:v>
                </c:pt>
                <c:pt idx="42">
                  <c:v>2.5166666666698312E-4</c:v>
                </c:pt>
                <c:pt idx="43">
                  <c:v>3.4066666666687778E-4</c:v>
                </c:pt>
                <c:pt idx="44">
                  <c:v>-3.5400000000007648E-4</c:v>
                </c:pt>
                <c:pt idx="45">
                  <c:v>1.4300000000000421E-4</c:v>
                </c:pt>
                <c:pt idx="46">
                  <c:v>7.0000000000014495E-5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EA7C-41CE-86FB-8720DE7EBF17}"/>
            </c:ext>
          </c:extLst>
        </c:ser>
        <c:ser>
          <c:idx val="103"/>
          <c:order val="103"/>
          <c:tx>
            <c:v>BES_TR8_six385_B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Net_kW!$DB$2:$DB$49</c:f>
              <c:numCache>
                <c:formatCode>#,##0.000</c:formatCode>
                <c:ptCount val="48"/>
                <c:pt idx="0">
                  <c:v>3.3333333299134788E-7</c:v>
                </c:pt>
                <c:pt idx="1">
                  <c:v>0</c:v>
                </c:pt>
                <c:pt idx="2">
                  <c:v>6.6666666700965216E-7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6.6666666700965216E-7</c:v>
                </c:pt>
                <c:pt idx="7">
                  <c:v>-1.5050216666666341E-4</c:v>
                </c:pt>
                <c:pt idx="8">
                  <c:v>-8.4057833333251591E-5</c:v>
                </c:pt>
                <c:pt idx="9">
                  <c:v>-3.578065833329952E-4</c:v>
                </c:pt>
                <c:pt idx="10">
                  <c:v>-3.3768016666751999E-4</c:v>
                </c:pt>
                <c:pt idx="11">
                  <c:v>-2.3223533333244231E-4</c:v>
                </c:pt>
                <c:pt idx="12">
                  <c:v>-3.7745375000075582E-4</c:v>
                </c:pt>
                <c:pt idx="13">
                  <c:v>4.1177016666749111E-4</c:v>
                </c:pt>
                <c:pt idx="14">
                  <c:v>2.0434074999997609E-4</c:v>
                </c:pt>
                <c:pt idx="15">
                  <c:v>4.3036041666688618E-4</c:v>
                </c:pt>
                <c:pt idx="16">
                  <c:v>-2.0587391666793131E-4</c:v>
                </c:pt>
                <c:pt idx="17">
                  <c:v>-0.8488348335</c:v>
                </c:pt>
                <c:pt idx="18">
                  <c:v>-1.6739309350000009</c:v>
                </c:pt>
                <c:pt idx="19">
                  <c:v>-1.7975609621666651</c:v>
                </c:pt>
                <c:pt idx="20">
                  <c:v>-1.5193135894166669</c:v>
                </c:pt>
                <c:pt idx="21">
                  <c:v>-1.6899109007499999</c:v>
                </c:pt>
                <c:pt idx="22">
                  <c:v>-1.7191064029166669</c:v>
                </c:pt>
                <c:pt idx="23">
                  <c:v>-1.996968393</c:v>
                </c:pt>
                <c:pt idx="24">
                  <c:v>-1.843626430666667</c:v>
                </c:pt>
                <c:pt idx="25">
                  <c:v>-1.7534367116666669</c:v>
                </c:pt>
                <c:pt idx="26">
                  <c:v>-1.98444835125</c:v>
                </c:pt>
                <c:pt idx="27">
                  <c:v>-1.838739621333334</c:v>
                </c:pt>
                <c:pt idx="28">
                  <c:v>-1.599018966583333</c:v>
                </c:pt>
                <c:pt idx="29">
                  <c:v>-1.380935458166668</c:v>
                </c:pt>
                <c:pt idx="30">
                  <c:v>-1.418234875916667</c:v>
                </c:pt>
                <c:pt idx="31">
                  <c:v>-1.392454908666668</c:v>
                </c:pt>
                <c:pt idx="32">
                  <c:v>-0.15955603583333211</c:v>
                </c:pt>
                <c:pt idx="33">
                  <c:v>-0.64082254558333296</c:v>
                </c:pt>
                <c:pt idx="34">
                  <c:v>-0.58968412958333238</c:v>
                </c:pt>
                <c:pt idx="35">
                  <c:v>-0.61266974658333306</c:v>
                </c:pt>
                <c:pt idx="36">
                  <c:v>-0.32643475083333451</c:v>
                </c:pt>
                <c:pt idx="37">
                  <c:v>-0.10009920375</c:v>
                </c:pt>
                <c:pt idx="38">
                  <c:v>4.6419933333374802E-4</c:v>
                </c:pt>
                <c:pt idx="39">
                  <c:v>-2.5630108333296597E-4</c:v>
                </c:pt>
                <c:pt idx="40">
                  <c:v>-2.8736016666652819E-4</c:v>
                </c:pt>
                <c:pt idx="41">
                  <c:v>3.3333333340213041E-6</c:v>
                </c:pt>
                <c:pt idx="42">
                  <c:v>-2.0666666667001898E-5</c:v>
                </c:pt>
                <c:pt idx="43">
                  <c:v>-2.7033333333303927E-4</c:v>
                </c:pt>
                <c:pt idx="44">
                  <c:v>2.6033333333297382E-4</c:v>
                </c:pt>
                <c:pt idx="45">
                  <c:v>-1.16000000000005E-4</c:v>
                </c:pt>
                <c:pt idx="46">
                  <c:v>4.5333333333302811E-4</c:v>
                </c:pt>
                <c:pt idx="47">
                  <c:v>1.6166666666700411E-4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EA7C-41CE-86FB-8720DE7EBF17}"/>
            </c:ext>
          </c:extLst>
        </c:ser>
        <c:ser>
          <c:idx val="104"/>
          <c:order val="104"/>
          <c:tx>
            <c:v>BES_TR8_six431_C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Net_kW!$DC$2:$DC$49</c:f>
              <c:numCache>
                <c:formatCode>#,##0.000</c:formatCode>
                <c:ptCount val="48"/>
                <c:pt idx="0">
                  <c:v>4.623333333330093E-4</c:v>
                </c:pt>
                <c:pt idx="1">
                  <c:v>1.7599999999989849E-4</c:v>
                </c:pt>
                <c:pt idx="2">
                  <c:v>1.759999999999956E-4</c:v>
                </c:pt>
                <c:pt idx="3">
                  <c:v>1.05999999999995E-4</c:v>
                </c:pt>
                <c:pt idx="4">
                  <c:v>1.46666666669959E-5</c:v>
                </c:pt>
                <c:pt idx="5">
                  <c:v>-3.8133333333295599E-4</c:v>
                </c:pt>
                <c:pt idx="6">
                  <c:v>1.013333333329952E-4</c:v>
                </c:pt>
                <c:pt idx="7">
                  <c:v>5.0365366667026727E-5</c:v>
                </c:pt>
                <c:pt idx="8">
                  <c:v>-1.0243469999994539E-4</c:v>
                </c:pt>
                <c:pt idx="9">
                  <c:v>-3.7641728333299979E-4</c:v>
                </c:pt>
                <c:pt idx="10">
                  <c:v>-2.1294143333350921E-4</c:v>
                </c:pt>
                <c:pt idx="11">
                  <c:v>4.4159213333352931E-4</c:v>
                </c:pt>
                <c:pt idx="12">
                  <c:v>-2.9147225000059063E-4</c:v>
                </c:pt>
                <c:pt idx="13">
                  <c:v>1.3372876666750691E-4</c:v>
                </c:pt>
                <c:pt idx="14">
                  <c:v>2.7871116666966511E-5</c:v>
                </c:pt>
                <c:pt idx="15">
                  <c:v>9.9216250000089268E-5</c:v>
                </c:pt>
                <c:pt idx="16">
                  <c:v>-7.5243500006205721E-6</c:v>
                </c:pt>
                <c:pt idx="17">
                  <c:v>-2.8176676666691319E-4</c:v>
                </c:pt>
                <c:pt idx="18">
                  <c:v>-4.9576100000003898E-4</c:v>
                </c:pt>
                <c:pt idx="19">
                  <c:v>-3.2744396666894993E-4</c:v>
                </c:pt>
                <c:pt idx="20">
                  <c:v>-2.3302031666605491E-4</c:v>
                </c:pt>
                <c:pt idx="21">
                  <c:v>4.5724621666709542E-4</c:v>
                </c:pt>
                <c:pt idx="22">
                  <c:v>-9.7055083332908687E-5</c:v>
                </c:pt>
                <c:pt idx="23">
                  <c:v>4.4748419999995898E-4</c:v>
                </c:pt>
                <c:pt idx="24">
                  <c:v>-7.9150498400000879E-2</c:v>
                </c:pt>
                <c:pt idx="25">
                  <c:v>-1.0580906269999999</c:v>
                </c:pt>
                <c:pt idx="26">
                  <c:v>-0.88975309741666697</c:v>
                </c:pt>
                <c:pt idx="27">
                  <c:v>-0.84864703946666697</c:v>
                </c:pt>
                <c:pt idx="28">
                  <c:v>-0.89381612661666709</c:v>
                </c:pt>
                <c:pt idx="29">
                  <c:v>-0.98990064823333335</c:v>
                </c:pt>
                <c:pt idx="30">
                  <c:v>-0.82210918555000001</c:v>
                </c:pt>
                <c:pt idx="31">
                  <c:v>-0.85184894520000043</c:v>
                </c:pt>
                <c:pt idx="32">
                  <c:v>-0.54038802149999943</c:v>
                </c:pt>
                <c:pt idx="33">
                  <c:v>-0.40069706068333238</c:v>
                </c:pt>
                <c:pt idx="34">
                  <c:v>-0.30096673108333238</c:v>
                </c:pt>
                <c:pt idx="35">
                  <c:v>4.3889205000002818E-4</c:v>
                </c:pt>
                <c:pt idx="36">
                  <c:v>-2.9151716666747651E-4</c:v>
                </c:pt>
                <c:pt idx="37">
                  <c:v>-1.2452225000000869E-4</c:v>
                </c:pt>
                <c:pt idx="38">
                  <c:v>-2.328039999988096E-5</c:v>
                </c:pt>
                <c:pt idx="39">
                  <c:v>3.0801935000002167E-4</c:v>
                </c:pt>
                <c:pt idx="40">
                  <c:v>-4.460827666669942E-4</c:v>
                </c:pt>
                <c:pt idx="41">
                  <c:v>1.3933333333299161E-4</c:v>
                </c:pt>
                <c:pt idx="42">
                  <c:v>2.949999999999342E-4</c:v>
                </c:pt>
                <c:pt idx="43">
                  <c:v>-4.2999999999998589E-4</c:v>
                </c:pt>
                <c:pt idx="44">
                  <c:v>4.0000000000040004E-6</c:v>
                </c:pt>
                <c:pt idx="45">
                  <c:v>-3.9666666666698941E-4</c:v>
                </c:pt>
                <c:pt idx="46">
                  <c:v>5.7333333333020597E-5</c:v>
                </c:pt>
                <c:pt idx="47">
                  <c:v>2.3066666666704541E-4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EA7C-41CE-86FB-8720DE7EBF17}"/>
            </c:ext>
          </c:extLst>
        </c:ser>
        <c:ser>
          <c:idx val="105"/>
          <c:order val="105"/>
          <c:tx>
            <c:v>BES_TR8_six571_C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Net_kW!$DD$2:$DD$49</c:f>
              <c:numCache>
                <c:formatCode>#,##0.000</c:formatCode>
                <c:ptCount val="48"/>
                <c:pt idx="0">
                  <c:v>6.9388939039072284E-18</c:v>
                </c:pt>
                <c:pt idx="1">
                  <c:v>-1.600000000000212E-5</c:v>
                </c:pt>
                <c:pt idx="2">
                  <c:v>6.9388939039072284E-18</c:v>
                </c:pt>
                <c:pt idx="3">
                  <c:v>6.9388939039072284E-18</c:v>
                </c:pt>
                <c:pt idx="4">
                  <c:v>6.9388939039072284E-18</c:v>
                </c:pt>
                <c:pt idx="5">
                  <c:v>-7.0666666666996392E-5</c:v>
                </c:pt>
                <c:pt idx="6">
                  <c:v>5.4666666666702828E-5</c:v>
                </c:pt>
                <c:pt idx="7">
                  <c:v>2.7959826666666693E-4</c:v>
                </c:pt>
                <c:pt idx="8">
                  <c:v>1.3275373333340029E-4</c:v>
                </c:pt>
                <c:pt idx="9">
                  <c:v>-2.8677859999999561E-4</c:v>
                </c:pt>
                <c:pt idx="10">
                  <c:v>2.5918919999901041E-4</c:v>
                </c:pt>
                <c:pt idx="11">
                  <c:v>1.256784000007172E-4</c:v>
                </c:pt>
                <c:pt idx="12">
                  <c:v>4.0703666665919958E-5</c:v>
                </c:pt>
                <c:pt idx="13">
                  <c:v>1.294161333340593E-4</c:v>
                </c:pt>
                <c:pt idx="14">
                  <c:v>-2.6906073333321512E-4</c:v>
                </c:pt>
                <c:pt idx="15">
                  <c:v>-3.2971166666695417E-4</c:v>
                </c:pt>
                <c:pt idx="16">
                  <c:v>-1.646991333339454E-4</c:v>
                </c:pt>
                <c:pt idx="17">
                  <c:v>-3.2546679999967409E-4</c:v>
                </c:pt>
                <c:pt idx="18">
                  <c:v>-1.0552876813333341</c:v>
                </c:pt>
                <c:pt idx="19">
                  <c:v>-1.2386283697333329</c:v>
                </c:pt>
                <c:pt idx="20">
                  <c:v>-1.5280044715333341</c:v>
                </c:pt>
                <c:pt idx="21">
                  <c:v>-1.546941893933333</c:v>
                </c:pt>
                <c:pt idx="22">
                  <c:v>-1.6302156290000001</c:v>
                </c:pt>
                <c:pt idx="23">
                  <c:v>-1.6727833543999999</c:v>
                </c:pt>
                <c:pt idx="24">
                  <c:v>-1.679240664533334</c:v>
                </c:pt>
                <c:pt idx="25">
                  <c:v>-1.5941768359999999</c:v>
                </c:pt>
                <c:pt idx="26">
                  <c:v>-1.626579241</c:v>
                </c:pt>
                <c:pt idx="27">
                  <c:v>-1.564667163733334</c:v>
                </c:pt>
                <c:pt idx="28">
                  <c:v>-1.4177699466</c:v>
                </c:pt>
                <c:pt idx="29">
                  <c:v>-1.397095086533334</c:v>
                </c:pt>
                <c:pt idx="30">
                  <c:v>-1.2043102474</c:v>
                </c:pt>
                <c:pt idx="31">
                  <c:v>-1.1372452602666669</c:v>
                </c:pt>
                <c:pt idx="32">
                  <c:v>-0.94027702866666596</c:v>
                </c:pt>
                <c:pt idx="33">
                  <c:v>-0.73566063646666602</c:v>
                </c:pt>
                <c:pt idx="34">
                  <c:v>-0.72760586366666591</c:v>
                </c:pt>
                <c:pt idx="35">
                  <c:v>-0.53771147726666668</c:v>
                </c:pt>
                <c:pt idx="36">
                  <c:v>-0.32477246733333398</c:v>
                </c:pt>
                <c:pt idx="37">
                  <c:v>-2.4336300000005201E-4</c:v>
                </c:pt>
                <c:pt idx="38">
                  <c:v>-1.6037386666656331E-4</c:v>
                </c:pt>
                <c:pt idx="39">
                  <c:v>4.200258000000047E-4</c:v>
                </c:pt>
                <c:pt idx="40">
                  <c:v>1.021118666666571E-4</c:v>
                </c:pt>
                <c:pt idx="41">
                  <c:v>6.9388939039072284E-18</c:v>
                </c:pt>
                <c:pt idx="42">
                  <c:v>-1.600000000000212E-5</c:v>
                </c:pt>
                <c:pt idx="43">
                  <c:v>6.9388939039072284E-18</c:v>
                </c:pt>
                <c:pt idx="44">
                  <c:v>5.4666666666702828E-5</c:v>
                </c:pt>
                <c:pt idx="45">
                  <c:v>-7.0666666666996392E-5</c:v>
                </c:pt>
                <c:pt idx="46">
                  <c:v>3.8266666666671167E-4</c:v>
                </c:pt>
                <c:pt idx="47">
                  <c:v>-3.9866666666669992E-4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EA7C-41CE-86FB-8720DE7EBF17}"/>
            </c:ext>
          </c:extLst>
        </c:ser>
        <c:ser>
          <c:idx val="106"/>
          <c:order val="106"/>
          <c:tx>
            <c:v>BES_TR8_six595_B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Net_kW!$DE$2:$DE$49</c:f>
              <c:numCache>
                <c:formatCode>#,##0.000</c:formatCode>
                <c:ptCount val="48"/>
                <c:pt idx="0">
                  <c:v>-2.7599999999999852E-4</c:v>
                </c:pt>
                <c:pt idx="1">
                  <c:v>2.5333333333299462E-4</c:v>
                </c:pt>
                <c:pt idx="2">
                  <c:v>0</c:v>
                </c:pt>
                <c:pt idx="3">
                  <c:v>0</c:v>
                </c:pt>
                <c:pt idx="4">
                  <c:v>-4.46666666670259E-5</c:v>
                </c:pt>
                <c:pt idx="5">
                  <c:v>2.2000000000105269E-5</c:v>
                </c:pt>
                <c:pt idx="6">
                  <c:v>2.6466666666670469E-4</c:v>
                </c:pt>
                <c:pt idx="7">
                  <c:v>-7.7350666663478229E-6</c:v>
                </c:pt>
                <c:pt idx="8">
                  <c:v>1.3275373333340029E-4</c:v>
                </c:pt>
                <c:pt idx="9">
                  <c:v>-2.8677859999999561E-4</c:v>
                </c:pt>
                <c:pt idx="10">
                  <c:v>3.2985586666597899E-4</c:v>
                </c:pt>
                <c:pt idx="11">
                  <c:v>-2.1632159999900041E-4</c:v>
                </c:pt>
                <c:pt idx="12">
                  <c:v>3.0537033333261082E-4</c:v>
                </c:pt>
                <c:pt idx="13">
                  <c:v>-9.7583866665917895E-5</c:v>
                </c:pt>
                <c:pt idx="14">
                  <c:v>2.2460593333295531E-4</c:v>
                </c:pt>
                <c:pt idx="15">
                  <c:v>-6.9711666666916194E-5</c:v>
                </c:pt>
                <c:pt idx="16">
                  <c:v>-9.0032466667055999E-5</c:v>
                </c:pt>
                <c:pt idx="17">
                  <c:v>1.2319986666997629E-4</c:v>
                </c:pt>
                <c:pt idx="18">
                  <c:v>-3.9434800000415221E-4</c:v>
                </c:pt>
                <c:pt idx="19">
                  <c:v>1.356302666641884E-4</c:v>
                </c:pt>
                <c:pt idx="20">
                  <c:v>-4.4715333338274377E-6</c:v>
                </c:pt>
                <c:pt idx="21">
                  <c:v>-1.125606000000889E-4</c:v>
                </c:pt>
                <c:pt idx="22">
                  <c:v>-5.1629000000996683E-5</c:v>
                </c:pt>
                <c:pt idx="23">
                  <c:v>-1.430916687733333</c:v>
                </c:pt>
                <c:pt idx="24">
                  <c:v>-5.0977331200003917E-2</c:v>
                </c:pt>
                <c:pt idx="25">
                  <c:v>-0.53327016933332994</c:v>
                </c:pt>
                <c:pt idx="26">
                  <c:v>-1.409059574333333</c:v>
                </c:pt>
                <c:pt idx="27">
                  <c:v>-1.219627163733334</c:v>
                </c:pt>
                <c:pt idx="28">
                  <c:v>-1.392074613266667</c:v>
                </c:pt>
                <c:pt idx="29">
                  <c:v>-1.3233280865333339</c:v>
                </c:pt>
                <c:pt idx="30">
                  <c:v>-1.113516914066667</c:v>
                </c:pt>
                <c:pt idx="31">
                  <c:v>-0.54897892693333394</c:v>
                </c:pt>
                <c:pt idx="32">
                  <c:v>6.3800000404956592E-7</c:v>
                </c:pt>
                <c:pt idx="33">
                  <c:v>-2.773031333319631E-4</c:v>
                </c:pt>
                <c:pt idx="34">
                  <c:v>9.9136333334026716E-5</c:v>
                </c:pt>
                <c:pt idx="35">
                  <c:v>-4.0647726666701017E-4</c:v>
                </c:pt>
                <c:pt idx="36">
                  <c:v>-0.21219513400000101</c:v>
                </c:pt>
                <c:pt idx="37">
                  <c:v>1.397033333296396E-5</c:v>
                </c:pt>
                <c:pt idx="38">
                  <c:v>3.0362613333342892E-4</c:v>
                </c:pt>
                <c:pt idx="39">
                  <c:v>1.2702579999990249E-4</c:v>
                </c:pt>
                <c:pt idx="40">
                  <c:v>8.9111866666713446E-5</c:v>
                </c:pt>
                <c:pt idx="41">
                  <c:v>-1.3266666666700291E-4</c:v>
                </c:pt>
                <c:pt idx="42">
                  <c:v>3.5600000000002302E-4</c:v>
                </c:pt>
                <c:pt idx="43">
                  <c:v>3.7199999999998351E-4</c:v>
                </c:pt>
                <c:pt idx="44">
                  <c:v>3.9999999999984492E-5</c:v>
                </c:pt>
                <c:pt idx="45">
                  <c:v>1.393333333329361E-4</c:v>
                </c:pt>
                <c:pt idx="46">
                  <c:v>2.166666666669759E-4</c:v>
                </c:pt>
                <c:pt idx="47">
                  <c:v>-1.03999999999993E-4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EA7C-41CE-86FB-8720DE7EBF17}"/>
            </c:ext>
          </c:extLst>
        </c:ser>
        <c:ser>
          <c:idx val="107"/>
          <c:order val="107"/>
          <c:tx>
            <c:v>BES_TR8_six643_A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Net_kW!$DF$2:$DF$49</c:f>
              <c:numCache>
                <c:formatCode>#,##0.000</c:formatCode>
                <c:ptCount val="48"/>
                <c:pt idx="0">
                  <c:v>3.5233333333406502E-4</c:v>
                </c:pt>
                <c:pt idx="1">
                  <c:v>-1.9566666666703811E-4</c:v>
                </c:pt>
                <c:pt idx="2">
                  <c:v>-1.4733333333305509E-4</c:v>
                </c:pt>
                <c:pt idx="3">
                  <c:v>1.3666666666700691E-4</c:v>
                </c:pt>
                <c:pt idx="4">
                  <c:v>4.333333333329803E-4</c:v>
                </c:pt>
                <c:pt idx="5">
                  <c:v>0.124435333333333</c:v>
                </c:pt>
                <c:pt idx="6">
                  <c:v>0.1978</c:v>
                </c:pt>
                <c:pt idx="7">
                  <c:v>0.15565263029999971</c:v>
                </c:pt>
                <c:pt idx="8">
                  <c:v>0.1122209857000004</c:v>
                </c:pt>
                <c:pt idx="9">
                  <c:v>4.6480411666701549E-4</c:v>
                </c:pt>
                <c:pt idx="10">
                  <c:v>-1.9708556666747651E-4</c:v>
                </c:pt>
                <c:pt idx="11">
                  <c:v>-2.99396133332408E-4</c:v>
                </c:pt>
                <c:pt idx="12">
                  <c:v>7.1231416665429315E-5</c:v>
                </c:pt>
                <c:pt idx="13">
                  <c:v>-1.041884333314869E-4</c:v>
                </c:pt>
                <c:pt idx="14">
                  <c:v>2.5814371666732511E-4</c:v>
                </c:pt>
                <c:pt idx="15">
                  <c:v>2.0217125000021599E-4</c:v>
                </c:pt>
                <c:pt idx="16">
                  <c:v>-2.125568166679859E-4</c:v>
                </c:pt>
                <c:pt idx="17">
                  <c:v>-1.3023432335666669</c:v>
                </c:pt>
                <c:pt idx="18">
                  <c:v>-2.204356775666668</c:v>
                </c:pt>
                <c:pt idx="19">
                  <c:v>-1.9886411470333321</c:v>
                </c:pt>
                <c:pt idx="20">
                  <c:v>-2.1170718251833338</c:v>
                </c:pt>
                <c:pt idx="21">
                  <c:v>-2.7265053143833331</c:v>
                </c:pt>
                <c:pt idx="22">
                  <c:v>-2.6738403507500008</c:v>
                </c:pt>
                <c:pt idx="23">
                  <c:v>-2.7065695368666671</c:v>
                </c:pt>
                <c:pt idx="24">
                  <c:v>-2.6572578296000011</c:v>
                </c:pt>
                <c:pt idx="25">
                  <c:v>-2.807342129666667</c:v>
                </c:pt>
                <c:pt idx="26">
                  <c:v>-2.7289240717499998</c:v>
                </c:pt>
                <c:pt idx="27">
                  <c:v>-2.6538125365333349</c:v>
                </c:pt>
                <c:pt idx="28">
                  <c:v>-2.383210073216667</c:v>
                </c:pt>
                <c:pt idx="29">
                  <c:v>-2.9506810000468059E-4</c:v>
                </c:pt>
                <c:pt idx="30">
                  <c:v>-1.8409961666976391E-4</c:v>
                </c:pt>
                <c:pt idx="31">
                  <c:v>-0.31268720546666667</c:v>
                </c:pt>
                <c:pt idx="32">
                  <c:v>-1.6548457168333319</c:v>
                </c:pt>
                <c:pt idx="33">
                  <c:v>-1.2649747304833321</c:v>
                </c:pt>
                <c:pt idx="34">
                  <c:v>-1.2408452947499979</c:v>
                </c:pt>
                <c:pt idx="35">
                  <c:v>-0.82860925188333312</c:v>
                </c:pt>
                <c:pt idx="36">
                  <c:v>-0.66445631783333448</c:v>
                </c:pt>
                <c:pt idx="37">
                  <c:v>-3.1421858333002822E-4</c:v>
                </c:pt>
                <c:pt idx="38">
                  <c:v>-1.079875999967506E-4</c:v>
                </c:pt>
                <c:pt idx="39">
                  <c:v>-4.5621516666982658E-5</c:v>
                </c:pt>
                <c:pt idx="40">
                  <c:v>-5.2304233333355647E-5</c:v>
                </c:pt>
                <c:pt idx="41">
                  <c:v>8.5000000000001741E-5</c:v>
                </c:pt>
                <c:pt idx="42">
                  <c:v>4.9399999999999444E-4</c:v>
                </c:pt>
                <c:pt idx="43">
                  <c:v>-3.3433333333299231E-4</c:v>
                </c:pt>
                <c:pt idx="44">
                  <c:v>1.733333333298059E-5</c:v>
                </c:pt>
                <c:pt idx="45">
                  <c:v>0.732250333333333</c:v>
                </c:pt>
                <c:pt idx="46">
                  <c:v>0.33056200000000002</c:v>
                </c:pt>
                <c:pt idx="47">
                  <c:v>0.20556666666666701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EA7C-41CE-86FB-8720DE7EBF17}"/>
            </c:ext>
          </c:extLst>
        </c:ser>
        <c:ser>
          <c:idx val="108"/>
          <c:order val="108"/>
          <c:tx>
            <c:v>BES_TR8_six652_A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Net_kW!$DG$2:$DG$49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-2.7499999999999752E-4</c:v>
                </c:pt>
                <c:pt idx="3">
                  <c:v>-6.1666666667001269E-5</c:v>
                </c:pt>
                <c:pt idx="4">
                  <c:v>2.4166666666669559E-4</c:v>
                </c:pt>
                <c:pt idx="5">
                  <c:v>4.2166666666701441E-4</c:v>
                </c:pt>
                <c:pt idx="6">
                  <c:v>0</c:v>
                </c:pt>
                <c:pt idx="7">
                  <c:v>3.7419653333334302E-4</c:v>
                </c:pt>
                <c:pt idx="8">
                  <c:v>1.138408000001933E-4</c:v>
                </c:pt>
                <c:pt idx="9">
                  <c:v>4.5477613333301531E-4</c:v>
                </c:pt>
                <c:pt idx="10">
                  <c:v>2.9471173333200928E-4</c:v>
                </c:pt>
                <c:pt idx="11">
                  <c:v>1.420234666681397E-4</c:v>
                </c:pt>
                <c:pt idx="12">
                  <c:v>4.1307399999890299E-4</c:v>
                </c:pt>
                <c:pt idx="13">
                  <c:v>-4.0950106666493008E-4</c:v>
                </c:pt>
                <c:pt idx="14">
                  <c:v>4.0545200000074999E-5</c:v>
                </c:pt>
                <c:pt idx="15">
                  <c:v>-0.32220442333333299</c:v>
                </c:pt>
                <c:pt idx="16">
                  <c:v>-2.1720877316000009</c:v>
                </c:pt>
                <c:pt idx="17">
                  <c:v>-2.4786509336</c:v>
                </c:pt>
                <c:pt idx="18">
                  <c:v>-2.5599120293333351</c:v>
                </c:pt>
                <c:pt idx="19">
                  <c:v>-2.7550447394666651</c:v>
                </c:pt>
                <c:pt idx="20">
                  <c:v>-2.7732499430666682</c:v>
                </c:pt>
                <c:pt idx="21">
                  <c:v>-2.8555124545333328</c:v>
                </c:pt>
                <c:pt idx="22">
                  <c:v>-2.9600539246666679</c:v>
                </c:pt>
                <c:pt idx="23">
                  <c:v>4.6662453333001791E-4</c:v>
                </c:pt>
                <c:pt idx="24">
                  <c:v>-2.5466239999824558E-4</c:v>
                </c:pt>
                <c:pt idx="25">
                  <c:v>-2.0878743386666661</c:v>
                </c:pt>
                <c:pt idx="26">
                  <c:v>-3.0036634819999999</c:v>
                </c:pt>
                <c:pt idx="27">
                  <c:v>-2.324875327466668</c:v>
                </c:pt>
                <c:pt idx="28">
                  <c:v>-2.1311488931999998</c:v>
                </c:pt>
                <c:pt idx="29">
                  <c:v>-2.5028495064000009</c:v>
                </c:pt>
                <c:pt idx="30">
                  <c:v>-2.3231804947999999</c:v>
                </c:pt>
                <c:pt idx="31">
                  <c:v>-1.6101551872000011</c:v>
                </c:pt>
                <c:pt idx="32">
                  <c:v>-1.9000960573333321</c:v>
                </c:pt>
                <c:pt idx="33">
                  <c:v>-1.5573672729333321</c:v>
                </c:pt>
                <c:pt idx="34">
                  <c:v>-1.1748363939999991</c:v>
                </c:pt>
                <c:pt idx="35">
                  <c:v>-0.99168962120000004</c:v>
                </c:pt>
                <c:pt idx="36">
                  <c:v>-0.53687626800000099</c:v>
                </c:pt>
                <c:pt idx="37">
                  <c:v>-0.177008059333333</c:v>
                </c:pt>
                <c:pt idx="38">
                  <c:v>-0.2281407477333332</c:v>
                </c:pt>
                <c:pt idx="39">
                  <c:v>-4.9159948399999993E-2</c:v>
                </c:pt>
                <c:pt idx="40">
                  <c:v>-3.8776266666679098E-5</c:v>
                </c:pt>
                <c:pt idx="41">
                  <c:v>-6.1666666667001269E-5</c:v>
                </c:pt>
                <c:pt idx="42">
                  <c:v>6.2566666670038629E-5</c:v>
                </c:pt>
                <c:pt idx="43">
                  <c:v>-2.5206666667010319E-4</c:v>
                </c:pt>
                <c:pt idx="44">
                  <c:v>0</c:v>
                </c:pt>
                <c:pt idx="45">
                  <c:v>1.183333333329983E-4</c:v>
                </c:pt>
                <c:pt idx="46">
                  <c:v>-4.5499999999999707E-4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EA7C-41CE-86FB-8720DE7EBF17}"/>
            </c:ext>
          </c:extLst>
        </c:ser>
        <c:ser>
          <c:idx val="109"/>
          <c:order val="109"/>
          <c:tx>
            <c:v>BES_TR8_six667_A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Net_kW!$DH$2:$DH$49</c:f>
              <c:numCache>
                <c:formatCode>#,##0.000</c:formatCode>
                <c:ptCount val="48"/>
                <c:pt idx="0">
                  <c:v>0</c:v>
                </c:pt>
                <c:pt idx="1">
                  <c:v>2.3200000000001E-4</c:v>
                </c:pt>
                <c:pt idx="2">
                  <c:v>4.7666666666700003E-4</c:v>
                </c:pt>
                <c:pt idx="3">
                  <c:v>-3.8400000000000928E-4</c:v>
                </c:pt>
                <c:pt idx="4">
                  <c:v>-3.8400000000010648E-4</c:v>
                </c:pt>
                <c:pt idx="5">
                  <c:v>0</c:v>
                </c:pt>
                <c:pt idx="6">
                  <c:v>2.3200000000001E-4</c:v>
                </c:pt>
                <c:pt idx="7">
                  <c:v>4.7386320000002841E-4</c:v>
                </c:pt>
                <c:pt idx="8">
                  <c:v>-4.1715920000019718E-4</c:v>
                </c:pt>
                <c:pt idx="9">
                  <c:v>2.5577613333338522E-4</c:v>
                </c:pt>
                <c:pt idx="10">
                  <c:v>6.2378399999007961E-5</c:v>
                </c:pt>
                <c:pt idx="11">
                  <c:v>1.420234666681397E-4</c:v>
                </c:pt>
                <c:pt idx="12">
                  <c:v>3.1340733333184989E-4</c:v>
                </c:pt>
                <c:pt idx="13">
                  <c:v>2.588322666678966E-4</c:v>
                </c:pt>
                <c:pt idx="14">
                  <c:v>2.7254519999986288E-4</c:v>
                </c:pt>
                <c:pt idx="15">
                  <c:v>-0.78862608999999972</c:v>
                </c:pt>
                <c:pt idx="16">
                  <c:v>-0.87437599826666812</c:v>
                </c:pt>
                <c:pt idx="17">
                  <c:v>-0.55480560026666992</c:v>
                </c:pt>
                <c:pt idx="18">
                  <c:v>-2.6756606960000009</c:v>
                </c:pt>
                <c:pt idx="19">
                  <c:v>-2.8889430061333319</c:v>
                </c:pt>
                <c:pt idx="20">
                  <c:v>-2.969262676400001</c:v>
                </c:pt>
                <c:pt idx="21">
                  <c:v>-3.0711479212000001</c:v>
                </c:pt>
                <c:pt idx="22">
                  <c:v>-3.2881739246666681</c:v>
                </c:pt>
                <c:pt idx="23">
                  <c:v>-3.3795667088000001</c:v>
                </c:pt>
                <c:pt idx="24">
                  <c:v>-3.352907995733335</c:v>
                </c:pt>
                <c:pt idx="25">
                  <c:v>-3.336663005333333</c:v>
                </c:pt>
                <c:pt idx="26">
                  <c:v>-3.0913328153333328</c:v>
                </c:pt>
                <c:pt idx="27">
                  <c:v>-3.0742485941333348</c:v>
                </c:pt>
                <c:pt idx="28">
                  <c:v>-2.911337826533333</c:v>
                </c:pt>
                <c:pt idx="29">
                  <c:v>-2.7133447064000009</c:v>
                </c:pt>
                <c:pt idx="30">
                  <c:v>-2.4818271614666672</c:v>
                </c:pt>
                <c:pt idx="31">
                  <c:v>-2.2414048538666682</c:v>
                </c:pt>
                <c:pt idx="32">
                  <c:v>-2.098186057333332</c:v>
                </c:pt>
                <c:pt idx="33">
                  <c:v>-1.768036472933332</c:v>
                </c:pt>
                <c:pt idx="34">
                  <c:v>-1.484113727333332</c:v>
                </c:pt>
                <c:pt idx="35">
                  <c:v>-1.055225354533333</c:v>
                </c:pt>
                <c:pt idx="36">
                  <c:v>-0.79613720133333499</c:v>
                </c:pt>
                <c:pt idx="37">
                  <c:v>-0.47370705933333301</c:v>
                </c:pt>
                <c:pt idx="38">
                  <c:v>-2.1805414400000171E-2</c:v>
                </c:pt>
                <c:pt idx="39">
                  <c:v>-4.4594839999999297E-4</c:v>
                </c:pt>
                <c:pt idx="40">
                  <c:v>-2.8510959999966667E-4</c:v>
                </c:pt>
                <c:pt idx="41">
                  <c:v>4.9333333333012597E-5</c:v>
                </c:pt>
                <c:pt idx="42">
                  <c:v>1.3333333333975791E-5</c:v>
                </c:pt>
                <c:pt idx="43">
                  <c:v>-3.7933333333295399E-4</c:v>
                </c:pt>
                <c:pt idx="44">
                  <c:v>1.086666666670344E-4</c:v>
                </c:pt>
                <c:pt idx="45">
                  <c:v>4.3133333333299217E-4</c:v>
                </c:pt>
                <c:pt idx="46">
                  <c:v>2.3200000000001E-4</c:v>
                </c:pt>
                <c:pt idx="47">
                  <c:v>-8.5333333333305339E-5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EA7C-41CE-86FB-8720DE7EBF17}"/>
            </c:ext>
          </c:extLst>
        </c:ser>
        <c:ser>
          <c:idx val="110"/>
          <c:order val="110"/>
          <c:tx>
            <c:v>BES_TR8_six699_C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Net_kW!$DI$2:$DI$49</c:f>
              <c:numCache>
                <c:formatCode>#,##0.000</c:formatCode>
                <c:ptCount val="48"/>
                <c:pt idx="0">
                  <c:v>-7.899999999999574E-5</c:v>
                </c:pt>
                <c:pt idx="1">
                  <c:v>-2.7733333333301863E-4</c:v>
                </c:pt>
                <c:pt idx="2">
                  <c:v>-3.326666666667033E-4</c:v>
                </c:pt>
                <c:pt idx="3">
                  <c:v>-3.8100000000002021E-4</c:v>
                </c:pt>
                <c:pt idx="4">
                  <c:v>-3.0266666666695091E-4</c:v>
                </c:pt>
                <c:pt idx="5">
                  <c:v>6.5666666666991391E-5</c:v>
                </c:pt>
                <c:pt idx="6">
                  <c:v>1.4200000000000321E-4</c:v>
                </c:pt>
                <c:pt idx="7">
                  <c:v>4.4663029999963971E-4</c:v>
                </c:pt>
                <c:pt idx="8">
                  <c:v>-3.1868096666654022E-4</c:v>
                </c:pt>
                <c:pt idx="9">
                  <c:v>1.968041166670112E-4</c:v>
                </c:pt>
                <c:pt idx="10">
                  <c:v>1.9591443333247249E-4</c:v>
                </c:pt>
                <c:pt idx="11">
                  <c:v>8.160386666750119E-5</c:v>
                </c:pt>
                <c:pt idx="12">
                  <c:v>-3.6076858333466971E-4</c:v>
                </c:pt>
                <c:pt idx="13">
                  <c:v>-3.4552176666502449E-4</c:v>
                </c:pt>
                <c:pt idx="14">
                  <c:v>2.4681038333329569E-4</c:v>
                </c:pt>
                <c:pt idx="15">
                  <c:v>2.6603791666701682E-4</c:v>
                </c:pt>
                <c:pt idx="16">
                  <c:v>-1.7822348333518259E-4</c:v>
                </c:pt>
                <c:pt idx="17">
                  <c:v>-0.59648856690000029</c:v>
                </c:pt>
                <c:pt idx="18">
                  <c:v>-2.1000787756666681</c:v>
                </c:pt>
                <c:pt idx="19">
                  <c:v>-2.410004147033332</c:v>
                </c:pt>
                <c:pt idx="20">
                  <c:v>-2.4700158251833342</c:v>
                </c:pt>
                <c:pt idx="21">
                  <c:v>-2.6471719810500001</c:v>
                </c:pt>
                <c:pt idx="22">
                  <c:v>-2.8356183507500008</c:v>
                </c:pt>
                <c:pt idx="23">
                  <c:v>-2.6298642035333328</c:v>
                </c:pt>
                <c:pt idx="24">
                  <c:v>-2.944648496266669</c:v>
                </c:pt>
                <c:pt idx="25">
                  <c:v>-2.8405824630000001</c:v>
                </c:pt>
                <c:pt idx="26">
                  <c:v>-2.5839826717499998</c:v>
                </c:pt>
                <c:pt idx="27">
                  <c:v>-2.6522635365333351</c:v>
                </c:pt>
                <c:pt idx="28">
                  <c:v>-2.5274507398833328</c:v>
                </c:pt>
                <c:pt idx="29">
                  <c:v>-2.3648030681000018</c:v>
                </c:pt>
                <c:pt idx="30">
                  <c:v>-2.2336564329500002</c:v>
                </c:pt>
                <c:pt idx="31">
                  <c:v>-1.8961298721333339</c:v>
                </c:pt>
                <c:pt idx="32">
                  <c:v>-1.6485920501666651</c:v>
                </c:pt>
                <c:pt idx="33">
                  <c:v>-1.1879800304833319</c:v>
                </c:pt>
                <c:pt idx="34">
                  <c:v>-1.2349847614166649</c:v>
                </c:pt>
                <c:pt idx="35">
                  <c:v>-0.72850958521666709</c:v>
                </c:pt>
                <c:pt idx="36">
                  <c:v>-0.65368265116666746</c:v>
                </c:pt>
                <c:pt idx="37">
                  <c:v>-0.31308968525000003</c:v>
                </c:pt>
                <c:pt idx="38">
                  <c:v>4.793457333334937E-4</c:v>
                </c:pt>
                <c:pt idx="39">
                  <c:v>5.3378483332977573E-5</c:v>
                </c:pt>
                <c:pt idx="40">
                  <c:v>3.3362433333627983E-5</c:v>
                </c:pt>
                <c:pt idx="41">
                  <c:v>-1.0333333333001351E-5</c:v>
                </c:pt>
                <c:pt idx="42">
                  <c:v>3.6300000000000221E-4</c:v>
                </c:pt>
                <c:pt idx="43">
                  <c:v>1.736666666669606E-4</c:v>
                </c:pt>
                <c:pt idx="44">
                  <c:v>-3.000000000086267E-6</c:v>
                </c:pt>
                <c:pt idx="45">
                  <c:v>-1.569999999999627E-4</c:v>
                </c:pt>
                <c:pt idx="46">
                  <c:v>4.8099999999995369E-4</c:v>
                </c:pt>
                <c:pt idx="47">
                  <c:v>6.6333333333057354E-5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EA7C-41CE-86FB-8720DE7EBF17}"/>
            </c:ext>
          </c:extLst>
        </c:ser>
        <c:ser>
          <c:idx val="111"/>
          <c:order val="111"/>
          <c:tx>
            <c:v>BES_TR8_six723_B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Net_kW!$DJ$2:$DJ$49</c:f>
              <c:numCache>
                <c:formatCode>#,##0.000</c:formatCode>
                <c:ptCount val="48"/>
                <c:pt idx="0">
                  <c:v>1.406666666669554E-4</c:v>
                </c:pt>
                <c:pt idx="1">
                  <c:v>-3.7200000000001121E-4</c:v>
                </c:pt>
                <c:pt idx="2">
                  <c:v>-8.9333333332969334E-5</c:v>
                </c:pt>
                <c:pt idx="3">
                  <c:v>3.9600000000000751E-4</c:v>
                </c:pt>
                <c:pt idx="4">
                  <c:v>3.5666666666700492E-4</c:v>
                </c:pt>
                <c:pt idx="5">
                  <c:v>4.1200000000002351E-4</c:v>
                </c:pt>
                <c:pt idx="6">
                  <c:v>-2.106666666670115E-4</c:v>
                </c:pt>
                <c:pt idx="7">
                  <c:v>2.3186320000040389E-4</c:v>
                </c:pt>
                <c:pt idx="8">
                  <c:v>-4.2782586666617611E-4</c:v>
                </c:pt>
                <c:pt idx="9">
                  <c:v>-4.5955719999998118E-4</c:v>
                </c:pt>
                <c:pt idx="10">
                  <c:v>7.7117333319720593E-6</c:v>
                </c:pt>
                <c:pt idx="11">
                  <c:v>1.420234666680287E-4</c:v>
                </c:pt>
                <c:pt idx="12">
                  <c:v>-1.892593333351344E-4</c:v>
                </c:pt>
                <c:pt idx="13">
                  <c:v>6.1498933334958039E-5</c:v>
                </c:pt>
                <c:pt idx="14">
                  <c:v>-4.5212146666706587E-4</c:v>
                </c:pt>
                <c:pt idx="15">
                  <c:v>1.099099999999353E-4</c:v>
                </c:pt>
                <c:pt idx="16">
                  <c:v>-1.0404880649333339</c:v>
                </c:pt>
                <c:pt idx="17">
                  <c:v>-2.2001889335999998</c:v>
                </c:pt>
                <c:pt idx="18">
                  <c:v>-2.7115753626666681</c:v>
                </c:pt>
                <c:pt idx="19">
                  <c:v>-2.797146406133332</c:v>
                </c:pt>
                <c:pt idx="20">
                  <c:v>-2.7864772764000012</c:v>
                </c:pt>
                <c:pt idx="21">
                  <c:v>-3.2263051211999998</c:v>
                </c:pt>
                <c:pt idx="22">
                  <c:v>-3.221070258000001</c:v>
                </c:pt>
                <c:pt idx="23">
                  <c:v>-3.174151042133333</c:v>
                </c:pt>
                <c:pt idx="24">
                  <c:v>-3.2152926624000009</c:v>
                </c:pt>
                <c:pt idx="25">
                  <c:v>-3.0403766719999998</c:v>
                </c:pt>
                <c:pt idx="26">
                  <c:v>-2.7997264820000001</c:v>
                </c:pt>
                <c:pt idx="27">
                  <c:v>-2.8786973274666678</c:v>
                </c:pt>
                <c:pt idx="28">
                  <c:v>-1.2888638932000001</c:v>
                </c:pt>
                <c:pt idx="29">
                  <c:v>-2.6810920730666679</c:v>
                </c:pt>
                <c:pt idx="30">
                  <c:v>-2.2238370947999999</c:v>
                </c:pt>
                <c:pt idx="31">
                  <c:v>-2.2528412205333348</c:v>
                </c:pt>
                <c:pt idx="32">
                  <c:v>-2.1128000573333319</c:v>
                </c:pt>
                <c:pt idx="33">
                  <c:v>-1.521686606266665</c:v>
                </c:pt>
                <c:pt idx="34">
                  <c:v>-1.4681343939999989</c:v>
                </c:pt>
                <c:pt idx="35">
                  <c:v>-1.0978309545333329</c:v>
                </c:pt>
                <c:pt idx="36">
                  <c:v>-0.62695093466666796</c:v>
                </c:pt>
                <c:pt idx="37">
                  <c:v>-0.44920539266666698</c:v>
                </c:pt>
                <c:pt idx="38">
                  <c:v>-0.1093340810666662</c:v>
                </c:pt>
                <c:pt idx="39">
                  <c:v>-2.392817333329855E-4</c:v>
                </c:pt>
                <c:pt idx="40">
                  <c:v>-3.2110959999967492E-4</c:v>
                </c:pt>
                <c:pt idx="41">
                  <c:v>1.0233333333398149E-4</c:v>
                </c:pt>
                <c:pt idx="42">
                  <c:v>8.5000000000001741E-5</c:v>
                </c:pt>
                <c:pt idx="43">
                  <c:v>-1.33333333330321E-5</c:v>
                </c:pt>
                <c:pt idx="44">
                  <c:v>-7.9333333333014844E-5</c:v>
                </c:pt>
                <c:pt idx="45">
                  <c:v>-4.3066666666702341E-4</c:v>
                </c:pt>
                <c:pt idx="46">
                  <c:v>-1.4266666666701289E-4</c:v>
                </c:pt>
                <c:pt idx="47">
                  <c:v>-2.05999999999984E-4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EA7C-41CE-86FB-8720DE7EBF17}"/>
            </c:ext>
          </c:extLst>
        </c:ser>
        <c:ser>
          <c:idx val="112"/>
          <c:order val="112"/>
          <c:tx>
            <c:v>BES_TR8_six740_A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Net_kW!$DK$2:$DK$49</c:f>
              <c:numCache>
                <c:formatCode>#,##0.000</c:formatCode>
                <c:ptCount val="48"/>
                <c:pt idx="0">
                  <c:v>1.6266666666700511E-4</c:v>
                </c:pt>
                <c:pt idx="1">
                  <c:v>0</c:v>
                </c:pt>
                <c:pt idx="2">
                  <c:v>0</c:v>
                </c:pt>
                <c:pt idx="3">
                  <c:v>2.1333333333983792E-5</c:v>
                </c:pt>
                <c:pt idx="4">
                  <c:v>0</c:v>
                </c:pt>
                <c:pt idx="5">
                  <c:v>2.1333333332984591E-5</c:v>
                </c:pt>
                <c:pt idx="6">
                  <c:v>0</c:v>
                </c:pt>
                <c:pt idx="7">
                  <c:v>-1.0703033333329949E-5</c:v>
                </c:pt>
                <c:pt idx="8">
                  <c:v>4.9298570000046171E-4</c:v>
                </c:pt>
                <c:pt idx="9">
                  <c:v>-4.9119588333298991E-4</c:v>
                </c:pt>
                <c:pt idx="10">
                  <c:v>3.2724776666548378E-4</c:v>
                </c:pt>
                <c:pt idx="11">
                  <c:v>-1.043961333324073E-4</c:v>
                </c:pt>
                <c:pt idx="12">
                  <c:v>7.1231416665540337E-5</c:v>
                </c:pt>
                <c:pt idx="13">
                  <c:v>-2.3521766664869052E-5</c:v>
                </c:pt>
                <c:pt idx="14">
                  <c:v>2.5937704999989819E-4</c:v>
                </c:pt>
                <c:pt idx="15">
                  <c:v>3.4217125000002291E-4</c:v>
                </c:pt>
                <c:pt idx="16">
                  <c:v>-1.0095115568166679</c:v>
                </c:pt>
                <c:pt idx="17">
                  <c:v>-2.0258595668999999</c:v>
                </c:pt>
                <c:pt idx="18">
                  <c:v>-2.1894984423333348</c:v>
                </c:pt>
                <c:pt idx="19">
                  <c:v>-2.3274111470333319</c:v>
                </c:pt>
                <c:pt idx="20">
                  <c:v>-2.5505978251833339</c:v>
                </c:pt>
                <c:pt idx="21">
                  <c:v>-2.5640893143833332</c:v>
                </c:pt>
                <c:pt idx="22">
                  <c:v>-2.72374335075</c:v>
                </c:pt>
                <c:pt idx="23">
                  <c:v>-2.9468708702000002</c:v>
                </c:pt>
                <c:pt idx="24">
                  <c:v>-2.7550074962666682</c:v>
                </c:pt>
                <c:pt idx="25">
                  <c:v>-2.6795174629999998</c:v>
                </c:pt>
                <c:pt idx="26">
                  <c:v>-2.8660136717500002</c:v>
                </c:pt>
                <c:pt idx="27">
                  <c:v>-2.6476462032000021</c:v>
                </c:pt>
                <c:pt idx="28">
                  <c:v>-2.6283194065500002</c:v>
                </c:pt>
                <c:pt idx="29">
                  <c:v>-2.464416401433335</c:v>
                </c:pt>
                <c:pt idx="30">
                  <c:v>-2.2902374329500002</c:v>
                </c:pt>
                <c:pt idx="31">
                  <c:v>-1.9706145388000009</c:v>
                </c:pt>
                <c:pt idx="32">
                  <c:v>-1.8445750501666649</c:v>
                </c:pt>
                <c:pt idx="33">
                  <c:v>-1.520269030483332</c:v>
                </c:pt>
                <c:pt idx="34">
                  <c:v>-1.2220822614166651</c:v>
                </c:pt>
                <c:pt idx="35">
                  <c:v>-1.01870591855</c:v>
                </c:pt>
                <c:pt idx="36">
                  <c:v>-0.51123765116666742</c:v>
                </c:pt>
                <c:pt idx="37">
                  <c:v>-6.1551916670010698E-5</c:v>
                </c:pt>
                <c:pt idx="38">
                  <c:v>-2.8732093333627701E-4</c:v>
                </c:pt>
                <c:pt idx="39">
                  <c:v>-1.0562151667015129E-4</c:v>
                </c:pt>
                <c:pt idx="40">
                  <c:v>1.3502909999962839E-4</c:v>
                </c:pt>
                <c:pt idx="41">
                  <c:v>4.4866666666987243E-4</c:v>
                </c:pt>
                <c:pt idx="42">
                  <c:v>3.4533333333297561E-4</c:v>
                </c:pt>
                <c:pt idx="43">
                  <c:v>-1.24333333333948E-4</c:v>
                </c:pt>
                <c:pt idx="44">
                  <c:v>0.58355799999999991</c:v>
                </c:pt>
                <c:pt idx="45">
                  <c:v>0.61160999999999999</c:v>
                </c:pt>
                <c:pt idx="46">
                  <c:v>0.33025933333333302</c:v>
                </c:pt>
                <c:pt idx="47">
                  <c:v>0.70146533333333405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EA7C-41CE-86FB-8720DE7EBF17}"/>
            </c:ext>
          </c:extLst>
        </c:ser>
        <c:ser>
          <c:idx val="113"/>
          <c:order val="113"/>
          <c:tx>
            <c:v>BES_TR8_six90_B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Net_kW!$DL$2:$DL$49</c:f>
              <c:numCache>
                <c:formatCode>#,##0.000</c:formatCode>
                <c:ptCount val="48"/>
                <c:pt idx="0">
                  <c:v>-1.659999999999717E-4</c:v>
                </c:pt>
                <c:pt idx="1">
                  <c:v>4.666666666697239E-5</c:v>
                </c:pt>
                <c:pt idx="2">
                  <c:v>2.4736666666699819E-4</c:v>
                </c:pt>
                <c:pt idx="3">
                  <c:v>-1.166666666669869E-4</c:v>
                </c:pt>
                <c:pt idx="4">
                  <c:v>-6.9388939039072284E-18</c:v>
                </c:pt>
                <c:pt idx="5">
                  <c:v>-6.9388939039072284E-18</c:v>
                </c:pt>
                <c:pt idx="6">
                  <c:v>-6.9388939039072284E-18</c:v>
                </c:pt>
                <c:pt idx="7">
                  <c:v>4.1939739999999342E-4</c:v>
                </c:pt>
                <c:pt idx="8">
                  <c:v>-3.0086939999990348E-4</c:v>
                </c:pt>
                <c:pt idx="9">
                  <c:v>-4.3016789999998639E-4</c:v>
                </c:pt>
                <c:pt idx="10">
                  <c:v>-5.2162000009903231E-6</c:v>
                </c:pt>
                <c:pt idx="11">
                  <c:v>-3.9348239999897888E-4</c:v>
                </c:pt>
                <c:pt idx="12">
                  <c:v>6.1055499998907692E-5</c:v>
                </c:pt>
                <c:pt idx="13">
                  <c:v>-3.0587579999896702E-4</c:v>
                </c:pt>
                <c:pt idx="14">
                  <c:v>-4.6959109999988868E-4</c:v>
                </c:pt>
                <c:pt idx="15">
                  <c:v>3.0432500000010521E-5</c:v>
                </c:pt>
                <c:pt idx="16">
                  <c:v>-0.27924704870000089</c:v>
                </c:pt>
                <c:pt idx="17">
                  <c:v>-1.8424882002</c:v>
                </c:pt>
                <c:pt idx="18">
                  <c:v>-2.0164315220000009</c:v>
                </c:pt>
                <c:pt idx="19">
                  <c:v>-2.1647875545999988</c:v>
                </c:pt>
                <c:pt idx="20">
                  <c:v>-2.2950067073000011</c:v>
                </c:pt>
                <c:pt idx="21">
                  <c:v>-2.4024788409000002</c:v>
                </c:pt>
                <c:pt idx="22">
                  <c:v>-2.449070443500001</c:v>
                </c:pt>
                <c:pt idx="23">
                  <c:v>-2.4735009982666671</c:v>
                </c:pt>
                <c:pt idx="24">
                  <c:v>-2.521860996800001</c:v>
                </c:pt>
                <c:pt idx="25">
                  <c:v>-2.4620835873333329</c:v>
                </c:pt>
                <c:pt idx="26">
                  <c:v>-2.4428688615</c:v>
                </c:pt>
                <c:pt idx="27">
                  <c:v>-2.3500007456000009</c:v>
                </c:pt>
                <c:pt idx="28">
                  <c:v>-2.2391309199</c:v>
                </c:pt>
                <c:pt idx="29">
                  <c:v>-2.0986426298000009</c:v>
                </c:pt>
                <c:pt idx="30">
                  <c:v>-1.9493463711000001</c:v>
                </c:pt>
                <c:pt idx="31">
                  <c:v>-1.7696878904000011</c:v>
                </c:pt>
                <c:pt idx="32">
                  <c:v>-1.5673500429999989</c:v>
                </c:pt>
                <c:pt idx="33">
                  <c:v>-1.323053454699999</c:v>
                </c:pt>
                <c:pt idx="34">
                  <c:v>-0.99755162883333215</c:v>
                </c:pt>
                <c:pt idx="35">
                  <c:v>-0.80646104923333306</c:v>
                </c:pt>
                <c:pt idx="36">
                  <c:v>-0.60718770100000108</c:v>
                </c:pt>
                <c:pt idx="37">
                  <c:v>-0.38410837783333329</c:v>
                </c:pt>
                <c:pt idx="38">
                  <c:v>-3.3777894133332931E-2</c:v>
                </c:pt>
                <c:pt idx="39">
                  <c:v>2.4937203333397218E-4</c:v>
                </c:pt>
                <c:pt idx="40">
                  <c:v>3.6183446666698821E-4</c:v>
                </c:pt>
                <c:pt idx="41">
                  <c:v>-3.9666666666704492E-4</c:v>
                </c:pt>
                <c:pt idx="42">
                  <c:v>-1.4066666666701089E-4</c:v>
                </c:pt>
                <c:pt idx="43">
                  <c:v>-2.8000000000005798E-4</c:v>
                </c:pt>
                <c:pt idx="44">
                  <c:v>3.4100000000003572E-4</c:v>
                </c:pt>
                <c:pt idx="45">
                  <c:v>0</c:v>
                </c:pt>
                <c:pt idx="46">
                  <c:v>-1.666666666670924E-4</c:v>
                </c:pt>
                <c:pt idx="47">
                  <c:v>-9.3333333329725932E-6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EA7C-41CE-86FB-8720DE7EBF17}"/>
            </c:ext>
          </c:extLst>
        </c:ser>
        <c:ser>
          <c:idx val="114"/>
          <c:order val="114"/>
          <c:tx>
            <c:v>BES_TR8_six801_C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Net_kW!$DM$2:$DM$49</c:f>
              <c:numCache>
                <c:formatCode>#,##0.000</c:formatCode>
                <c:ptCount val="48"/>
                <c:pt idx="0">
                  <c:v>-4.0066666666699341E-4</c:v>
                </c:pt>
                <c:pt idx="1">
                  <c:v>-1.953333333329921E-4</c:v>
                </c:pt>
                <c:pt idx="2">
                  <c:v>4.9766666666669485E-4</c:v>
                </c:pt>
                <c:pt idx="3">
                  <c:v>-2.070000000000127E-4</c:v>
                </c:pt>
                <c:pt idx="4">
                  <c:v>-1.5266666666699511E-4</c:v>
                </c:pt>
                <c:pt idx="5">
                  <c:v>-1.566666666665828E-4</c:v>
                </c:pt>
                <c:pt idx="6">
                  <c:v>3.1733333333298919E-4</c:v>
                </c:pt>
                <c:pt idx="7">
                  <c:v>2.811965333333194E-4</c:v>
                </c:pt>
                <c:pt idx="8">
                  <c:v>2.6550746666680058E-4</c:v>
                </c:pt>
                <c:pt idx="9">
                  <c:v>1.201094666669969E-4</c:v>
                </c:pt>
                <c:pt idx="10">
                  <c:v>3.8171173333201303E-4</c:v>
                </c:pt>
                <c:pt idx="11">
                  <c:v>-4.8464319999896871E-4</c:v>
                </c:pt>
                <c:pt idx="12">
                  <c:v>-2.402593333350467E-4</c:v>
                </c:pt>
                <c:pt idx="13">
                  <c:v>1.24989333349923E-5</c:v>
                </c:pt>
                <c:pt idx="14">
                  <c:v>3.3854519999998439E-4</c:v>
                </c:pt>
                <c:pt idx="15">
                  <c:v>-2.5475666666707752E-4</c:v>
                </c:pt>
                <c:pt idx="16">
                  <c:v>-1.8721400649333351</c:v>
                </c:pt>
                <c:pt idx="17">
                  <c:v>-2.1658376002666668</c:v>
                </c:pt>
                <c:pt idx="18">
                  <c:v>-2.5031386960000011</c:v>
                </c:pt>
                <c:pt idx="19">
                  <c:v>-2.6956987394666649</c:v>
                </c:pt>
                <c:pt idx="20">
                  <c:v>-2.8096116097333348</c:v>
                </c:pt>
                <c:pt idx="21">
                  <c:v>-3.0244791212000002</c:v>
                </c:pt>
                <c:pt idx="22">
                  <c:v>-3.101887258000001</c:v>
                </c:pt>
                <c:pt idx="23">
                  <c:v>-3.2787880421333329</c:v>
                </c:pt>
                <c:pt idx="24">
                  <c:v>-2.4382266623999982</c:v>
                </c:pt>
                <c:pt idx="25">
                  <c:v>-3.2921776720000002</c:v>
                </c:pt>
                <c:pt idx="26">
                  <c:v>-3.2288864820000001</c:v>
                </c:pt>
                <c:pt idx="27">
                  <c:v>-3.079960994133335</c:v>
                </c:pt>
                <c:pt idx="28">
                  <c:v>-2.947894559866667</c:v>
                </c:pt>
                <c:pt idx="29">
                  <c:v>-2.7637641730666682</c:v>
                </c:pt>
                <c:pt idx="30">
                  <c:v>-2.5457551614666669</c:v>
                </c:pt>
                <c:pt idx="31">
                  <c:v>-2.292763520533335</c:v>
                </c:pt>
                <c:pt idx="32">
                  <c:v>-2.0708750573333319</c:v>
                </c:pt>
                <c:pt idx="33">
                  <c:v>-1.647085939599999</c:v>
                </c:pt>
                <c:pt idx="34">
                  <c:v>-1.387781060666665</c:v>
                </c:pt>
                <c:pt idx="35">
                  <c:v>-1.0437756212</c:v>
                </c:pt>
                <c:pt idx="36">
                  <c:v>-0.73603560133333501</c:v>
                </c:pt>
                <c:pt idx="37">
                  <c:v>-0.33530489266666702</c:v>
                </c:pt>
                <c:pt idx="38">
                  <c:v>3.5965226666682948E-4</c:v>
                </c:pt>
                <c:pt idx="39">
                  <c:v>3.9205160000002631E-4</c:v>
                </c:pt>
                <c:pt idx="40">
                  <c:v>7.9557066666291476E-5</c:v>
                </c:pt>
                <c:pt idx="41">
                  <c:v>1.2400000000001299E-4</c:v>
                </c:pt>
                <c:pt idx="42">
                  <c:v>1.513333333329481E-4</c:v>
                </c:pt>
                <c:pt idx="43">
                  <c:v>-3.6033333333299061E-4</c:v>
                </c:pt>
                <c:pt idx="44">
                  <c:v>9.0000000000006741E-5</c:v>
                </c:pt>
                <c:pt idx="45">
                  <c:v>3.9333333333002603E-5</c:v>
                </c:pt>
                <c:pt idx="46">
                  <c:v>3.7333333333300361E-4</c:v>
                </c:pt>
                <c:pt idx="47">
                  <c:v>-2.7799999999998659E-4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EA7C-41CE-86FB-8720DE7EBF17}"/>
            </c:ext>
          </c:extLst>
        </c:ser>
        <c:ser>
          <c:idx val="115"/>
          <c:order val="115"/>
          <c:tx>
            <c:v>BES_TR8_six807_A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Net_kW!$DN$2:$DN$49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-8.5000000000029496E-5</c:v>
                </c:pt>
                <c:pt idx="3">
                  <c:v>-4.3966666666679638E-4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-3.4847013333366711E-4</c:v>
                </c:pt>
                <c:pt idx="8">
                  <c:v>-3.5149253333319891E-4</c:v>
                </c:pt>
                <c:pt idx="9">
                  <c:v>1.924427999999978E-4</c:v>
                </c:pt>
                <c:pt idx="10">
                  <c:v>3.6904506666496362E-4</c:v>
                </c:pt>
                <c:pt idx="11">
                  <c:v>1.420234666680287E-4</c:v>
                </c:pt>
                <c:pt idx="12">
                  <c:v>8.1407333331950937E-5</c:v>
                </c:pt>
                <c:pt idx="13">
                  <c:v>-2.6583439999883218E-4</c:v>
                </c:pt>
                <c:pt idx="14">
                  <c:v>4.0545199999852948E-5</c:v>
                </c:pt>
                <c:pt idx="15">
                  <c:v>-0.80191675666666695</c:v>
                </c:pt>
                <c:pt idx="16">
                  <c:v>-2.183563398266668</c:v>
                </c:pt>
                <c:pt idx="17">
                  <c:v>-2.5026509336</c:v>
                </c:pt>
                <c:pt idx="18">
                  <c:v>-2.4231533626666679</c:v>
                </c:pt>
                <c:pt idx="19">
                  <c:v>-2.932383406133332</c:v>
                </c:pt>
                <c:pt idx="20">
                  <c:v>-2.950122276400001</c:v>
                </c:pt>
                <c:pt idx="21">
                  <c:v>-3.1342517878666669</c:v>
                </c:pt>
                <c:pt idx="22">
                  <c:v>-3.350977924666668</c:v>
                </c:pt>
                <c:pt idx="23">
                  <c:v>-3.1736183754666669</c:v>
                </c:pt>
                <c:pt idx="24">
                  <c:v>-3.1069459290666681</c:v>
                </c:pt>
                <c:pt idx="25">
                  <c:v>-2.08845500533333</c:v>
                </c:pt>
                <c:pt idx="26">
                  <c:v>-3.1504219486666671</c:v>
                </c:pt>
                <c:pt idx="27">
                  <c:v>-2.9637443274666682</c:v>
                </c:pt>
                <c:pt idx="28">
                  <c:v>-2.6610135598666669</c:v>
                </c:pt>
                <c:pt idx="29">
                  <c:v>-2.3485465064000008</c:v>
                </c:pt>
                <c:pt idx="30">
                  <c:v>-2.3118504947999998</c:v>
                </c:pt>
                <c:pt idx="31">
                  <c:v>-0.76717385386666792</c:v>
                </c:pt>
                <c:pt idx="32">
                  <c:v>-0.9984667240000018</c:v>
                </c:pt>
                <c:pt idx="33">
                  <c:v>-7.0167606266661853E-2</c:v>
                </c:pt>
                <c:pt idx="34">
                  <c:v>-1.296387060666665</c:v>
                </c:pt>
                <c:pt idx="35">
                  <c:v>2.1037880000003559E-4</c:v>
                </c:pt>
                <c:pt idx="36">
                  <c:v>-3.1526800000098582E-4</c:v>
                </c:pt>
                <c:pt idx="37">
                  <c:v>2.8727399999994851E-4</c:v>
                </c:pt>
                <c:pt idx="38">
                  <c:v>1.1758559999983099E-4</c:v>
                </c:pt>
                <c:pt idx="39">
                  <c:v>1.0038493333300309E-4</c:v>
                </c:pt>
                <c:pt idx="40">
                  <c:v>2.4055706666731291E-4</c:v>
                </c:pt>
                <c:pt idx="41">
                  <c:v>9.0666666666017193E-5</c:v>
                </c:pt>
                <c:pt idx="42">
                  <c:v>-2.7299999999996771E-4</c:v>
                </c:pt>
                <c:pt idx="43">
                  <c:v>-3.8333333333029351E-5</c:v>
                </c:pt>
                <c:pt idx="44">
                  <c:v>-1.090000000000257E-4</c:v>
                </c:pt>
                <c:pt idx="45">
                  <c:v>4.276666666669926E-4</c:v>
                </c:pt>
                <c:pt idx="46">
                  <c:v>3.3133333333296161E-4</c:v>
                </c:pt>
                <c:pt idx="47">
                  <c:v>6.1666666666959635E-5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EA7C-41CE-86FB-8720DE7EBF17}"/>
            </c:ext>
          </c:extLst>
        </c:ser>
        <c:ser>
          <c:idx val="116"/>
          <c:order val="116"/>
          <c:tx>
            <c:v>BES_TR8_six844_C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Net_kW!$DO$2:$DO$49</c:f>
              <c:numCache>
                <c:formatCode>#,##0.000</c:formatCode>
                <c:ptCount val="48"/>
                <c:pt idx="0">
                  <c:v>0</c:v>
                </c:pt>
                <c:pt idx="1">
                  <c:v>2.5866666666701787E-4</c:v>
                </c:pt>
                <c:pt idx="2">
                  <c:v>8.2000000000012618E-5</c:v>
                </c:pt>
                <c:pt idx="3">
                  <c:v>1.423333333329668E-4</c:v>
                </c:pt>
                <c:pt idx="4">
                  <c:v>0</c:v>
                </c:pt>
                <c:pt idx="5">
                  <c:v>-3.2666666666986137E-5</c:v>
                </c:pt>
                <c:pt idx="6">
                  <c:v>2.5866666666701787E-4</c:v>
                </c:pt>
                <c:pt idx="7">
                  <c:v>-1.9480346666667089E-4</c:v>
                </c:pt>
                <c:pt idx="8">
                  <c:v>-2.3849253333321771E-4</c:v>
                </c:pt>
                <c:pt idx="9">
                  <c:v>-8.9557199999978909E-5</c:v>
                </c:pt>
                <c:pt idx="10">
                  <c:v>2.5711733331990061E-5</c:v>
                </c:pt>
                <c:pt idx="11">
                  <c:v>-6.4319999903972302E-7</c:v>
                </c:pt>
                <c:pt idx="12">
                  <c:v>8.1407333331950937E-5</c:v>
                </c:pt>
                <c:pt idx="13">
                  <c:v>-4.8250106666491988E-4</c:v>
                </c:pt>
                <c:pt idx="14">
                  <c:v>7.8785333330610996E-6</c:v>
                </c:pt>
                <c:pt idx="15">
                  <c:v>-3.7626089999999827E-2</c:v>
                </c:pt>
                <c:pt idx="16">
                  <c:v>-2.1055213982666681</c:v>
                </c:pt>
                <c:pt idx="17">
                  <c:v>-2.3502376002666661</c:v>
                </c:pt>
                <c:pt idx="18">
                  <c:v>-2.7305753626666678</c:v>
                </c:pt>
                <c:pt idx="19">
                  <c:v>-2.8746210727999979</c:v>
                </c:pt>
                <c:pt idx="20">
                  <c:v>-2.9080292764000011</c:v>
                </c:pt>
                <c:pt idx="21">
                  <c:v>-3.2238211211999999</c:v>
                </c:pt>
                <c:pt idx="22">
                  <c:v>-3.1780105913333352</c:v>
                </c:pt>
                <c:pt idx="23">
                  <c:v>-3.2426980421333331</c:v>
                </c:pt>
                <c:pt idx="24">
                  <c:v>-3.145974329066668</c:v>
                </c:pt>
                <c:pt idx="25">
                  <c:v>-3.2938666720000001</c:v>
                </c:pt>
                <c:pt idx="26">
                  <c:v>-3.269994148666667</c:v>
                </c:pt>
                <c:pt idx="27">
                  <c:v>-3.0140473274666681</c:v>
                </c:pt>
                <c:pt idx="28">
                  <c:v>-2.9272492265333332</c:v>
                </c:pt>
                <c:pt idx="29">
                  <c:v>-2.7173048397333348</c:v>
                </c:pt>
                <c:pt idx="30">
                  <c:v>-2.5950464948</c:v>
                </c:pt>
                <c:pt idx="31">
                  <c:v>-2.3013251872000011</c:v>
                </c:pt>
                <c:pt idx="32">
                  <c:v>-1.9781933906666651</c:v>
                </c:pt>
                <c:pt idx="33">
                  <c:v>-1.7405812729333321</c:v>
                </c:pt>
                <c:pt idx="34">
                  <c:v>-1.420361060666665</c:v>
                </c:pt>
                <c:pt idx="35">
                  <c:v>-1.0497036211999999</c:v>
                </c:pt>
                <c:pt idx="36">
                  <c:v>-0.64598960133333505</c:v>
                </c:pt>
                <c:pt idx="37">
                  <c:v>-0.27432539266666711</c:v>
                </c:pt>
                <c:pt idx="38">
                  <c:v>1.3058559999985789E-4</c:v>
                </c:pt>
                <c:pt idx="39">
                  <c:v>4.2705159999995018E-4</c:v>
                </c:pt>
                <c:pt idx="40">
                  <c:v>-3.0110959999968268E-4</c:v>
                </c:pt>
                <c:pt idx="41">
                  <c:v>-2.1833333333301511E-4</c:v>
                </c:pt>
                <c:pt idx="42">
                  <c:v>0</c:v>
                </c:pt>
                <c:pt idx="43">
                  <c:v>-3.5466666666660041E-4</c:v>
                </c:pt>
                <c:pt idx="44">
                  <c:v>1.789999999999847E-4</c:v>
                </c:pt>
                <c:pt idx="45">
                  <c:v>4.0166666666670292E-4</c:v>
                </c:pt>
                <c:pt idx="46">
                  <c:v>2.5866666666701787E-4</c:v>
                </c:pt>
                <c:pt idx="47">
                  <c:v>-3.2666666666986137E-5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EA7C-41CE-86FB-8720DE7EBF17}"/>
            </c:ext>
          </c:extLst>
        </c:ser>
        <c:ser>
          <c:idx val="117"/>
          <c:order val="117"/>
          <c:tx>
            <c:v>BES_TR8_six860_C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Net_kW!$DP$2:$DP$49</c:f>
              <c:numCache>
                <c:formatCode>#,##0.000</c:formatCode>
                <c:ptCount val="48"/>
                <c:pt idx="0">
                  <c:v>3.3866666666701462E-4</c:v>
                </c:pt>
                <c:pt idx="1">
                  <c:v>2.5199999999998829E-4</c:v>
                </c:pt>
                <c:pt idx="2">
                  <c:v>-1.4800000000000921E-4</c:v>
                </c:pt>
                <c:pt idx="3">
                  <c:v>-4.0933333333301181E-4</c:v>
                </c:pt>
                <c:pt idx="4">
                  <c:v>9.4666666666701205E-5</c:v>
                </c:pt>
                <c:pt idx="5">
                  <c:v>-2.4266666666701581E-4</c:v>
                </c:pt>
                <c:pt idx="6">
                  <c:v>-1.7266666666698741E-4</c:v>
                </c:pt>
                <c:pt idx="7">
                  <c:v>4.6483116666631852E-4</c:v>
                </c:pt>
                <c:pt idx="8">
                  <c:v>1.9260883333374609E-4</c:v>
                </c:pt>
                <c:pt idx="9">
                  <c:v>-1.924732500000054E-4</c:v>
                </c:pt>
                <c:pt idx="10">
                  <c:v>-1.010135000008017E-4</c:v>
                </c:pt>
                <c:pt idx="11">
                  <c:v>-2.8990199999948119E-4</c:v>
                </c:pt>
                <c:pt idx="12">
                  <c:v>-1.144537500008536E-4</c:v>
                </c:pt>
                <c:pt idx="13">
                  <c:v>2.4643683333425148E-4</c:v>
                </c:pt>
                <c:pt idx="14">
                  <c:v>3.8334074999990531E-4</c:v>
                </c:pt>
                <c:pt idx="15">
                  <c:v>-1.4130625000019489E-4</c:v>
                </c:pt>
                <c:pt idx="16">
                  <c:v>-3.3187391666800181E-4</c:v>
                </c:pt>
                <c:pt idx="17">
                  <c:v>1.443316666716044E-5</c:v>
                </c:pt>
                <c:pt idx="18">
                  <c:v>-0.71597726833333497</c:v>
                </c:pt>
                <c:pt idx="19">
                  <c:v>-1.5507696288333319</c:v>
                </c:pt>
                <c:pt idx="20">
                  <c:v>-1.633198256083334</c:v>
                </c:pt>
                <c:pt idx="21">
                  <c:v>-0.97661276741667002</c:v>
                </c:pt>
                <c:pt idx="22">
                  <c:v>-1.9485195362500001</c:v>
                </c:pt>
                <c:pt idx="23">
                  <c:v>-0.98528119300000006</c:v>
                </c:pt>
                <c:pt idx="24">
                  <c:v>1.758360000030518E-4</c:v>
                </c:pt>
                <c:pt idx="25">
                  <c:v>-0.47209231166666982</c:v>
                </c:pt>
                <c:pt idx="26">
                  <c:v>-1.8740168512499999</c:v>
                </c:pt>
                <c:pt idx="27">
                  <c:v>-1.7610821546666671</c:v>
                </c:pt>
                <c:pt idx="28">
                  <c:v>-1.8154478332499999</c:v>
                </c:pt>
                <c:pt idx="29">
                  <c:v>-2.0643383248333338</c:v>
                </c:pt>
                <c:pt idx="30">
                  <c:v>-1.735911975916667</c:v>
                </c:pt>
                <c:pt idx="31">
                  <c:v>-0.62748790866666804</c:v>
                </c:pt>
                <c:pt idx="32">
                  <c:v>-1.095076369166665</c:v>
                </c:pt>
                <c:pt idx="33">
                  <c:v>-1.0854025455833329</c:v>
                </c:pt>
                <c:pt idx="34">
                  <c:v>-0.71236066291666544</c:v>
                </c:pt>
                <c:pt idx="35">
                  <c:v>-0.66342251325000001</c:v>
                </c:pt>
                <c:pt idx="36">
                  <c:v>-0.52182308416666745</c:v>
                </c:pt>
                <c:pt idx="37">
                  <c:v>-0.28737587041666701</c:v>
                </c:pt>
                <c:pt idx="38">
                  <c:v>3.9886599999981558E-4</c:v>
                </c:pt>
                <c:pt idx="39">
                  <c:v>2.5032249999997619E-5</c:v>
                </c:pt>
                <c:pt idx="40">
                  <c:v>-3.2702683333368793E-4</c:v>
                </c:pt>
                <c:pt idx="41">
                  <c:v>4.1733333333331119E-4</c:v>
                </c:pt>
                <c:pt idx="42">
                  <c:v>-4.6666666667027901E-5</c:v>
                </c:pt>
                <c:pt idx="43">
                  <c:v>4.8933333333300855E-4</c:v>
                </c:pt>
                <c:pt idx="44">
                  <c:v>0</c:v>
                </c:pt>
                <c:pt idx="45">
                  <c:v>1.6666666666997901E-5</c:v>
                </c:pt>
                <c:pt idx="46">
                  <c:v>4.2600000000010679E-4</c:v>
                </c:pt>
                <c:pt idx="47">
                  <c:v>1.3133333333301131E-4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EA7C-41CE-86FB-8720DE7EBF17}"/>
            </c:ext>
          </c:extLst>
        </c:ser>
        <c:ser>
          <c:idx val="118"/>
          <c:order val="118"/>
          <c:tx>
            <c:v>BES_TR8_six909_C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Net_kW!$DQ$2:$DQ$49</c:f>
              <c:numCache>
                <c:formatCode>#,##0.000</c:formatCode>
                <c:ptCount val="48"/>
                <c:pt idx="0">
                  <c:v>3.4400000000001102E-4</c:v>
                </c:pt>
                <c:pt idx="1">
                  <c:v>0</c:v>
                </c:pt>
                <c:pt idx="2">
                  <c:v>2.8799999999999659E-4</c:v>
                </c:pt>
                <c:pt idx="3">
                  <c:v>1.22000000000011E-4</c:v>
                </c:pt>
                <c:pt idx="4">
                  <c:v>2.319999999999961E-4</c:v>
                </c:pt>
                <c:pt idx="5">
                  <c:v>1.7800000000001151E-4</c:v>
                </c:pt>
                <c:pt idx="6">
                  <c:v>0</c:v>
                </c:pt>
                <c:pt idx="7">
                  <c:v>3.7383116666632471E-4</c:v>
                </c:pt>
                <c:pt idx="8">
                  <c:v>-1.9839116666625631E-4</c:v>
                </c:pt>
                <c:pt idx="9">
                  <c:v>-3.584732500000049E-4</c:v>
                </c:pt>
                <c:pt idx="10">
                  <c:v>-3.3768016666751999E-4</c:v>
                </c:pt>
                <c:pt idx="11">
                  <c:v>-1.2323533333252759E-4</c:v>
                </c:pt>
                <c:pt idx="12">
                  <c:v>-7.7120416667519898E-5</c:v>
                </c:pt>
                <c:pt idx="13">
                  <c:v>4.1177016666749111E-4</c:v>
                </c:pt>
                <c:pt idx="14">
                  <c:v>2.3934074999987229E-4</c:v>
                </c:pt>
                <c:pt idx="15">
                  <c:v>-1.4397291666701231E-4</c:v>
                </c:pt>
                <c:pt idx="16">
                  <c:v>4.4679274999870339E-4</c:v>
                </c:pt>
                <c:pt idx="17">
                  <c:v>-0.2002388334999998</c:v>
                </c:pt>
                <c:pt idx="18">
                  <c:v>-1.593821601666668</c:v>
                </c:pt>
                <c:pt idx="19">
                  <c:v>-1.270626962166665</c:v>
                </c:pt>
                <c:pt idx="20">
                  <c:v>-0.99154225608333402</c:v>
                </c:pt>
                <c:pt idx="21">
                  <c:v>-2.0050657007499999</c:v>
                </c:pt>
                <c:pt idx="22">
                  <c:v>-1.9599152029166671</c:v>
                </c:pt>
                <c:pt idx="23">
                  <c:v>-2.0017651930000002</c:v>
                </c:pt>
                <c:pt idx="24">
                  <c:v>-2.1045508306666671</c:v>
                </c:pt>
                <c:pt idx="25">
                  <c:v>-1.9542457116666669</c:v>
                </c:pt>
                <c:pt idx="26">
                  <c:v>-1.9091860512500001</c:v>
                </c:pt>
                <c:pt idx="27">
                  <c:v>-1.891266288</c:v>
                </c:pt>
                <c:pt idx="28">
                  <c:v>-1.7222667665833331</c:v>
                </c:pt>
                <c:pt idx="29">
                  <c:v>-1.7083688581666681</c:v>
                </c:pt>
                <c:pt idx="30">
                  <c:v>-1.46843730925</c:v>
                </c:pt>
                <c:pt idx="31">
                  <c:v>-1.349611908666668</c:v>
                </c:pt>
                <c:pt idx="32">
                  <c:v>-1.225478802499999</c:v>
                </c:pt>
                <c:pt idx="33">
                  <c:v>-1.0250576122499999</c:v>
                </c:pt>
                <c:pt idx="34">
                  <c:v>-0.76382312958333243</c:v>
                </c:pt>
                <c:pt idx="35">
                  <c:v>-0.64788531324999998</c:v>
                </c:pt>
                <c:pt idx="36">
                  <c:v>-0.3071420841666675</c:v>
                </c:pt>
                <c:pt idx="37">
                  <c:v>-2.9159870416667011E-2</c:v>
                </c:pt>
                <c:pt idx="38">
                  <c:v>-4.9046733333319228E-4</c:v>
                </c:pt>
                <c:pt idx="39">
                  <c:v>2.083655833330367E-4</c:v>
                </c:pt>
                <c:pt idx="40">
                  <c:v>2.4863983333334172E-4</c:v>
                </c:pt>
                <c:pt idx="41">
                  <c:v>3.1266666666696091E-4</c:v>
                </c:pt>
                <c:pt idx="42">
                  <c:v>0</c:v>
                </c:pt>
                <c:pt idx="43">
                  <c:v>4.639999999999922E-4</c:v>
                </c:pt>
                <c:pt idx="44">
                  <c:v>4.0800000000000558E-4</c:v>
                </c:pt>
                <c:pt idx="45">
                  <c:v>-7.7000000000000679E-5</c:v>
                </c:pt>
                <c:pt idx="46">
                  <c:v>4.870000000000152E-4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EA7C-41CE-86FB-8720DE7EBF17}"/>
            </c:ext>
          </c:extLst>
        </c:ser>
        <c:ser>
          <c:idx val="119"/>
          <c:order val="119"/>
          <c:tx>
            <c:v>BES_TR8_six914_A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Net_kW!$DR$2:$DR$49</c:f>
              <c:numCache>
                <c:formatCode>#,##0.000</c:formatCode>
                <c:ptCount val="48"/>
                <c:pt idx="0">
                  <c:v>2.093333333330061E-4</c:v>
                </c:pt>
                <c:pt idx="1">
                  <c:v>1.3533333333298761E-4</c:v>
                </c:pt>
                <c:pt idx="2">
                  <c:v>3.4133333333299931E-4</c:v>
                </c:pt>
                <c:pt idx="3">
                  <c:v>4.343333333329813E-4</c:v>
                </c:pt>
                <c:pt idx="4">
                  <c:v>2.436666666670029E-4</c:v>
                </c:pt>
                <c:pt idx="5">
                  <c:v>4.096666666669746E-4</c:v>
                </c:pt>
                <c:pt idx="6">
                  <c:v>0.22519366666666599</c:v>
                </c:pt>
                <c:pt idx="7">
                  <c:v>7.2183196533333327E-2</c:v>
                </c:pt>
                <c:pt idx="8">
                  <c:v>2.655074666667988E-4</c:v>
                </c:pt>
                <c:pt idx="9">
                  <c:v>4.2644279999998203E-4</c:v>
                </c:pt>
                <c:pt idx="10">
                  <c:v>-4.0828826666799989E-4</c:v>
                </c:pt>
                <c:pt idx="11">
                  <c:v>1.420234666680287E-4</c:v>
                </c:pt>
                <c:pt idx="12">
                  <c:v>4.834073333319644E-4</c:v>
                </c:pt>
                <c:pt idx="13">
                  <c:v>-2.1116773333185179E-4</c:v>
                </c:pt>
                <c:pt idx="14">
                  <c:v>6.5451999999854849E-6</c:v>
                </c:pt>
                <c:pt idx="15">
                  <c:v>3.3991000000010979E-4</c:v>
                </c:pt>
                <c:pt idx="16">
                  <c:v>-0.93932939826666817</c:v>
                </c:pt>
                <c:pt idx="17">
                  <c:v>-2.4541209336000001</c:v>
                </c:pt>
                <c:pt idx="18">
                  <c:v>-2.6031733626666682</c:v>
                </c:pt>
                <c:pt idx="19">
                  <c:v>-2.9183834061333318</c:v>
                </c:pt>
                <c:pt idx="20">
                  <c:v>-3.0920089430666682</c:v>
                </c:pt>
                <c:pt idx="21">
                  <c:v>-3.2353051212000001</c:v>
                </c:pt>
                <c:pt idx="22">
                  <c:v>-3.1850459246666678</c:v>
                </c:pt>
                <c:pt idx="23">
                  <c:v>-3.3815667087999999</c:v>
                </c:pt>
                <c:pt idx="24">
                  <c:v>-3.2977973290666678</c:v>
                </c:pt>
                <c:pt idx="25">
                  <c:v>-3.315073672</c:v>
                </c:pt>
                <c:pt idx="26">
                  <c:v>-3.2891584819999999</c:v>
                </c:pt>
                <c:pt idx="27">
                  <c:v>-3.1238983274666681</c:v>
                </c:pt>
                <c:pt idx="28">
                  <c:v>-2.9070118932</c:v>
                </c:pt>
                <c:pt idx="29">
                  <c:v>-2.8301901730666681</c:v>
                </c:pt>
                <c:pt idx="30">
                  <c:v>-2.6311284948</c:v>
                </c:pt>
                <c:pt idx="31">
                  <c:v>-2.2396518538666679</c:v>
                </c:pt>
                <c:pt idx="32">
                  <c:v>-2.1218000573333322</c:v>
                </c:pt>
                <c:pt idx="33">
                  <c:v>-1.6579512729333321</c:v>
                </c:pt>
                <c:pt idx="34">
                  <c:v>-1.4773997273333319</c:v>
                </c:pt>
                <c:pt idx="35">
                  <c:v>-1.167172754533333</c:v>
                </c:pt>
                <c:pt idx="36">
                  <c:v>-0.87491693466666798</c:v>
                </c:pt>
                <c:pt idx="37">
                  <c:v>-0.17059039266666701</c:v>
                </c:pt>
                <c:pt idx="38">
                  <c:v>-0.1681927477333332</c:v>
                </c:pt>
                <c:pt idx="39">
                  <c:v>2.3205159999999109E-4</c:v>
                </c:pt>
                <c:pt idx="40">
                  <c:v>-4.4644293333367951E-4</c:v>
                </c:pt>
                <c:pt idx="41">
                  <c:v>1.5999999999999351E-4</c:v>
                </c:pt>
                <c:pt idx="42">
                  <c:v>1.1533333333296759E-4</c:v>
                </c:pt>
                <c:pt idx="43">
                  <c:v>4.616666666670266E-4</c:v>
                </c:pt>
                <c:pt idx="44">
                  <c:v>-7.0000000000014495E-5</c:v>
                </c:pt>
                <c:pt idx="45">
                  <c:v>4.0666666666699941E-4</c:v>
                </c:pt>
                <c:pt idx="46">
                  <c:v>0</c:v>
                </c:pt>
                <c:pt idx="47">
                  <c:v>2.146666666669739E-4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EA7C-41CE-86FB-8720DE7EBF17}"/>
            </c:ext>
          </c:extLst>
        </c:ser>
        <c:ser>
          <c:idx val="120"/>
          <c:order val="120"/>
          <c:tx>
            <c:v>BES_TR8_six111_C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Net_kW!$DS$2:$DS$49</c:f>
              <c:numCache>
                <c:formatCode>#,##0.000</c:formatCode>
                <c:ptCount val="48"/>
                <c:pt idx="0">
                  <c:v>-1.546666666669694E-4</c:v>
                </c:pt>
                <c:pt idx="1">
                  <c:v>0.1140433333333299</c:v>
                </c:pt>
                <c:pt idx="2">
                  <c:v>0.25795600000000002</c:v>
                </c:pt>
                <c:pt idx="3">
                  <c:v>0.52382166666666696</c:v>
                </c:pt>
                <c:pt idx="4">
                  <c:v>0.30180499999999999</c:v>
                </c:pt>
                <c:pt idx="5">
                  <c:v>0.155168</c:v>
                </c:pt>
                <c:pt idx="6">
                  <c:v>5.7037333333333301E-2</c:v>
                </c:pt>
                <c:pt idx="7">
                  <c:v>2.727959826666667E-2</c:v>
                </c:pt>
                <c:pt idx="8">
                  <c:v>0.1513287537333334</c:v>
                </c:pt>
                <c:pt idx="9">
                  <c:v>-2.7744526666668989E-4</c:v>
                </c:pt>
                <c:pt idx="10">
                  <c:v>4.0452253333270177E-4</c:v>
                </c:pt>
                <c:pt idx="11">
                  <c:v>2.016784000010152E-4</c:v>
                </c:pt>
                <c:pt idx="12">
                  <c:v>4.0703666665975469E-5</c:v>
                </c:pt>
                <c:pt idx="13">
                  <c:v>3.3474946666700589E-4</c:v>
                </c:pt>
                <c:pt idx="14">
                  <c:v>2.02726000000375E-5</c:v>
                </c:pt>
                <c:pt idx="15">
                  <c:v>-2.7571166666662261E-4</c:v>
                </c:pt>
                <c:pt idx="16">
                  <c:v>3.3008666658895791E-6</c:v>
                </c:pt>
                <c:pt idx="17">
                  <c:v>-3.2546679999989608E-4</c:v>
                </c:pt>
                <c:pt idx="18">
                  <c:v>-2.8768133333412221E-4</c:v>
                </c:pt>
                <c:pt idx="19">
                  <c:v>-0.20212636973333239</c:v>
                </c:pt>
                <c:pt idx="20">
                  <c:v>-1.435864471533334</c:v>
                </c:pt>
                <c:pt idx="21">
                  <c:v>-1.6126525606</c:v>
                </c:pt>
                <c:pt idx="22">
                  <c:v>-1.351591629000001</c:v>
                </c:pt>
                <c:pt idx="23">
                  <c:v>-1.4093763544</c:v>
                </c:pt>
                <c:pt idx="24">
                  <c:v>-1.6852313312000009</c:v>
                </c:pt>
                <c:pt idx="25">
                  <c:v>-1.5329648360000001</c:v>
                </c:pt>
                <c:pt idx="26">
                  <c:v>-1.6395792410000001</c:v>
                </c:pt>
                <c:pt idx="27">
                  <c:v>-1.4444898304000009</c:v>
                </c:pt>
                <c:pt idx="28">
                  <c:v>-1.230809279933333</c:v>
                </c:pt>
                <c:pt idx="29">
                  <c:v>-1.1831490865333341</c:v>
                </c:pt>
                <c:pt idx="30">
                  <c:v>-1.1519782474</c:v>
                </c:pt>
                <c:pt idx="31">
                  <c:v>-0.90790926026666696</c:v>
                </c:pt>
                <c:pt idx="32">
                  <c:v>-0.6895633619999989</c:v>
                </c:pt>
                <c:pt idx="33">
                  <c:v>-0.67906263646666598</c:v>
                </c:pt>
                <c:pt idx="34">
                  <c:v>-0.58623966366666591</c:v>
                </c:pt>
                <c:pt idx="35">
                  <c:v>-0.49951981060000011</c:v>
                </c:pt>
                <c:pt idx="36">
                  <c:v>-2.6446733333401751E-4</c:v>
                </c:pt>
                <c:pt idx="37">
                  <c:v>-3.4869633333300948E-4</c:v>
                </c:pt>
                <c:pt idx="38">
                  <c:v>-1.873738666665625E-4</c:v>
                </c:pt>
                <c:pt idx="39">
                  <c:v>2.6969246667007951E-4</c:v>
                </c:pt>
                <c:pt idx="40">
                  <c:v>4.2277853333361198E-4</c:v>
                </c:pt>
                <c:pt idx="41">
                  <c:v>-3.5366666666702962E-4</c:v>
                </c:pt>
                <c:pt idx="42">
                  <c:v>2.6399999999998652E-4</c:v>
                </c:pt>
                <c:pt idx="43">
                  <c:v>4.5000000000000601E-4</c:v>
                </c:pt>
                <c:pt idx="44">
                  <c:v>6.5333333334027799E-5</c:v>
                </c:pt>
                <c:pt idx="45">
                  <c:v>-4.06666666670219E-5</c:v>
                </c:pt>
                <c:pt idx="46">
                  <c:v>-1.5300000000001421E-4</c:v>
                </c:pt>
                <c:pt idx="47">
                  <c:v>2.8466666666668311E-4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EA7C-41CE-86FB-8720DE7EBF17}"/>
            </c:ext>
          </c:extLst>
        </c:ser>
        <c:ser>
          <c:idx val="121"/>
          <c:order val="121"/>
          <c:tx>
            <c:v>BES_TR8_six1006_C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Net_kW!$DT$2:$DT$49</c:f>
              <c:numCache>
                <c:formatCode>#,##0.000</c:formatCode>
                <c:ptCount val="48"/>
                <c:pt idx="0">
                  <c:v>-2.03999999999982E-4</c:v>
                </c:pt>
                <c:pt idx="1">
                  <c:v>0</c:v>
                </c:pt>
                <c:pt idx="2">
                  <c:v>-2.4933333333299062E-4</c:v>
                </c:pt>
                <c:pt idx="3">
                  <c:v>0</c:v>
                </c:pt>
                <c:pt idx="4">
                  <c:v>-9.0666666667002516E-5</c:v>
                </c:pt>
                <c:pt idx="5">
                  <c:v>-1.5866666666700111E-4</c:v>
                </c:pt>
                <c:pt idx="6">
                  <c:v>0</c:v>
                </c:pt>
                <c:pt idx="7">
                  <c:v>2.7959826666665988E-4</c:v>
                </c:pt>
                <c:pt idx="8">
                  <c:v>1.9420400000400021E-5</c:v>
                </c:pt>
                <c:pt idx="9">
                  <c:v>-4.2277859999998932E-4</c:v>
                </c:pt>
                <c:pt idx="10">
                  <c:v>3.2985586666597899E-4</c:v>
                </c:pt>
                <c:pt idx="11">
                  <c:v>7.1011733334014338E-5</c:v>
                </c:pt>
                <c:pt idx="12">
                  <c:v>-2.0862966666707061E-4</c:v>
                </c:pt>
                <c:pt idx="13">
                  <c:v>3.9108280000410561E-4</c:v>
                </c:pt>
                <c:pt idx="14">
                  <c:v>-3.5272739999997471E-4</c:v>
                </c:pt>
                <c:pt idx="15">
                  <c:v>3.5362166666713662E-4</c:v>
                </c:pt>
                <c:pt idx="16">
                  <c:v>-1.826991333341299E-4</c:v>
                </c:pt>
                <c:pt idx="17">
                  <c:v>2.05199866666117E-4</c:v>
                </c:pt>
                <c:pt idx="18">
                  <c:v>-3.9768133333417671E-4</c:v>
                </c:pt>
                <c:pt idx="19">
                  <c:v>4.4896360000090668E-4</c:v>
                </c:pt>
                <c:pt idx="20">
                  <c:v>-2.691382000039183E-4</c:v>
                </c:pt>
                <c:pt idx="21">
                  <c:v>2.3743939999998351E-4</c:v>
                </c:pt>
                <c:pt idx="22">
                  <c:v>-0.31713029566666678</c:v>
                </c:pt>
                <c:pt idx="23">
                  <c:v>2.233122666700782E-4</c:v>
                </c:pt>
                <c:pt idx="24">
                  <c:v>-1.4562859978666669</c:v>
                </c:pt>
                <c:pt idx="25">
                  <c:v>-1.343343502666666</c:v>
                </c:pt>
                <c:pt idx="26">
                  <c:v>-1.6099125743333329</c:v>
                </c:pt>
                <c:pt idx="27">
                  <c:v>-1.0621391637333339</c:v>
                </c:pt>
                <c:pt idx="28">
                  <c:v>-1.4219352799333329</c:v>
                </c:pt>
                <c:pt idx="29">
                  <c:v>-1.0487210865333341</c:v>
                </c:pt>
                <c:pt idx="30">
                  <c:v>2.8975259999990821E-4</c:v>
                </c:pt>
                <c:pt idx="31">
                  <c:v>-0.36567226026666688</c:v>
                </c:pt>
                <c:pt idx="32">
                  <c:v>-0.52172069533333187</c:v>
                </c:pt>
                <c:pt idx="33">
                  <c:v>-0.47907496979999897</c:v>
                </c:pt>
                <c:pt idx="34">
                  <c:v>-8.1874863666665965E-2</c:v>
                </c:pt>
                <c:pt idx="35">
                  <c:v>-0.182849477266667</c:v>
                </c:pt>
                <c:pt idx="36">
                  <c:v>4.8186599999899832E-4</c:v>
                </c:pt>
                <c:pt idx="37">
                  <c:v>3.3097033333051579E-4</c:v>
                </c:pt>
                <c:pt idx="38">
                  <c:v>-1.2704053333623119E-4</c:v>
                </c:pt>
                <c:pt idx="39">
                  <c:v>0.29179802579999992</c:v>
                </c:pt>
                <c:pt idx="40">
                  <c:v>0.46317211186666662</c:v>
                </c:pt>
                <c:pt idx="41">
                  <c:v>0.50479333333333298</c:v>
                </c:pt>
                <c:pt idx="42">
                  <c:v>1.6946383333333299</c:v>
                </c:pt>
                <c:pt idx="43">
                  <c:v>0.88264866666666697</c:v>
                </c:pt>
                <c:pt idx="44">
                  <c:v>0.87443666666666697</c:v>
                </c:pt>
                <c:pt idx="45">
                  <c:v>0.170231666666666</c:v>
                </c:pt>
                <c:pt idx="46">
                  <c:v>5.1999999999999998E-2</c:v>
                </c:pt>
                <c:pt idx="47">
                  <c:v>0.205750666666667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EA7C-41CE-86FB-8720DE7EBF17}"/>
            </c:ext>
          </c:extLst>
        </c:ser>
        <c:ser>
          <c:idx val="122"/>
          <c:order val="122"/>
          <c:tx>
            <c:v>BES_TR8_six1020_A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Net_kW!$DU$2:$DU$49</c:f>
              <c:numCache>
                <c:formatCode>#,##0.000</c:formatCode>
                <c:ptCount val="48"/>
                <c:pt idx="0">
                  <c:v>3.9800000000000951E-4</c:v>
                </c:pt>
                <c:pt idx="1">
                  <c:v>4.8866666666669278E-4</c:v>
                </c:pt>
                <c:pt idx="2">
                  <c:v>0</c:v>
                </c:pt>
                <c:pt idx="3">
                  <c:v>0</c:v>
                </c:pt>
                <c:pt idx="4">
                  <c:v>-1.133333333330211E-4</c:v>
                </c:pt>
                <c:pt idx="5">
                  <c:v>0</c:v>
                </c:pt>
                <c:pt idx="6">
                  <c:v>-3.5766666666697811E-4</c:v>
                </c:pt>
                <c:pt idx="7">
                  <c:v>-4.760684000000362E-4</c:v>
                </c:pt>
                <c:pt idx="8">
                  <c:v>1.327537333333968E-4</c:v>
                </c:pt>
                <c:pt idx="9">
                  <c:v>-2.8677860000000249E-4</c:v>
                </c:pt>
                <c:pt idx="10">
                  <c:v>-2.2681080000101769E-4</c:v>
                </c:pt>
                <c:pt idx="11">
                  <c:v>-4.856549333329685E-4</c:v>
                </c:pt>
                <c:pt idx="12">
                  <c:v>4.0703666665975469E-5</c:v>
                </c:pt>
                <c:pt idx="13">
                  <c:v>1.294161333340593E-4</c:v>
                </c:pt>
                <c:pt idx="14">
                  <c:v>-3.1472740000004768E-4</c:v>
                </c:pt>
                <c:pt idx="15">
                  <c:v>-9.1378333333169692E-5</c:v>
                </c:pt>
                <c:pt idx="16">
                  <c:v>3.2196753333291189E-4</c:v>
                </c:pt>
                <c:pt idx="17">
                  <c:v>1.8853320000000731E-4</c:v>
                </c:pt>
                <c:pt idx="18">
                  <c:v>-4.9601466666804317E-4</c:v>
                </c:pt>
                <c:pt idx="19">
                  <c:v>-0.91809170306666588</c:v>
                </c:pt>
                <c:pt idx="20">
                  <c:v>-1.201729471533334</c:v>
                </c:pt>
                <c:pt idx="21">
                  <c:v>-1.5547642272666671</c:v>
                </c:pt>
                <c:pt idx="22">
                  <c:v>-1.584689629000001</c:v>
                </c:pt>
                <c:pt idx="23">
                  <c:v>-1.572362687733333</c:v>
                </c:pt>
                <c:pt idx="24">
                  <c:v>-1.653751997866667</c:v>
                </c:pt>
                <c:pt idx="25">
                  <c:v>-1.541762836</c:v>
                </c:pt>
                <c:pt idx="26">
                  <c:v>-1.498299241</c:v>
                </c:pt>
                <c:pt idx="27">
                  <c:v>-0.77084549706666705</c:v>
                </c:pt>
                <c:pt idx="28">
                  <c:v>-0.13859594659999999</c:v>
                </c:pt>
                <c:pt idx="29">
                  <c:v>-0.74476175320000104</c:v>
                </c:pt>
                <c:pt idx="30">
                  <c:v>-0.27275224739999993</c:v>
                </c:pt>
                <c:pt idx="31">
                  <c:v>-3.2526026666390711E-4</c:v>
                </c:pt>
                <c:pt idx="32">
                  <c:v>-2.5002866666579138E-4</c:v>
                </c:pt>
                <c:pt idx="33">
                  <c:v>4.8503020000101321E-4</c:v>
                </c:pt>
                <c:pt idx="34">
                  <c:v>3.9413633333418302E-4</c:v>
                </c:pt>
                <c:pt idx="35">
                  <c:v>2.5189400000069639E-5</c:v>
                </c:pt>
                <c:pt idx="36">
                  <c:v>-2.821340000009886E-4</c:v>
                </c:pt>
                <c:pt idx="37">
                  <c:v>3.3497033333337872E-4</c:v>
                </c:pt>
                <c:pt idx="38">
                  <c:v>-1.6037386666659101E-4</c:v>
                </c:pt>
                <c:pt idx="39">
                  <c:v>3.0669246666700789E-4</c:v>
                </c:pt>
                <c:pt idx="40">
                  <c:v>-3.9655480000033721E-4</c:v>
                </c:pt>
                <c:pt idx="41">
                  <c:v>-4.4666666666703941E-4</c:v>
                </c:pt>
                <c:pt idx="42">
                  <c:v>-2.3099999999998119E-4</c:v>
                </c:pt>
                <c:pt idx="43">
                  <c:v>1.6233333333293129E-4</c:v>
                </c:pt>
                <c:pt idx="44">
                  <c:v>-4.910000000000192E-4</c:v>
                </c:pt>
                <c:pt idx="45">
                  <c:v>-3.9400000000000551E-4</c:v>
                </c:pt>
                <c:pt idx="46">
                  <c:v>3.5399999999996551E-4</c:v>
                </c:pt>
                <c:pt idx="47">
                  <c:v>-6.6666666666992391E-5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EA7C-41CE-86FB-8720DE7EBF17}"/>
            </c:ext>
          </c:extLst>
        </c:ser>
        <c:ser>
          <c:idx val="123"/>
          <c:order val="123"/>
          <c:tx>
            <c:v>BES_TR8_six1064_C</c:v>
          </c:tx>
          <c:spPr>
            <a:ln w="4286">
              <a:solidFill>
                <a:srgbClr val="EEF1F4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Net_kW!$DV$2:$DV$49</c:f>
              <c:numCache>
                <c:formatCode>#,##0.000</c:formatCode>
                <c:ptCount val="48"/>
                <c:pt idx="0">
                  <c:v>4.4599999999998813E-4</c:v>
                </c:pt>
                <c:pt idx="1">
                  <c:v>0</c:v>
                </c:pt>
                <c:pt idx="2">
                  <c:v>-1.6866666666701111E-4</c:v>
                </c:pt>
                <c:pt idx="3">
                  <c:v>3.4400000000001102E-4</c:v>
                </c:pt>
                <c:pt idx="4">
                  <c:v>1.179999999999931E-4</c:v>
                </c:pt>
                <c:pt idx="5">
                  <c:v>5.8333333332993842E-5</c:v>
                </c:pt>
                <c:pt idx="6">
                  <c:v>0</c:v>
                </c:pt>
                <c:pt idx="7">
                  <c:v>-2.2053419999967791E-4</c:v>
                </c:pt>
                <c:pt idx="8">
                  <c:v>1.047101999999966E-4</c:v>
                </c:pt>
                <c:pt idx="9">
                  <c:v>3.2961070000001041E-4</c:v>
                </c:pt>
                <c:pt idx="10">
                  <c:v>3.722612666659901E-4</c:v>
                </c:pt>
                <c:pt idx="11">
                  <c:v>-2.5116079999999361E-4</c:v>
                </c:pt>
                <c:pt idx="12">
                  <c:v>1.89351833333018E-4</c:v>
                </c:pt>
                <c:pt idx="13">
                  <c:v>-4.6495859999998168E-4</c:v>
                </c:pt>
                <c:pt idx="14">
                  <c:v>-4.4719703333340188E-4</c:v>
                </c:pt>
                <c:pt idx="15">
                  <c:v>-4.931891666659638E-4</c:v>
                </c:pt>
                <c:pt idx="16">
                  <c:v>-1.5834956666699321E-4</c:v>
                </c:pt>
                <c:pt idx="17">
                  <c:v>8.25999333330385E-5</c:v>
                </c:pt>
                <c:pt idx="18">
                  <c:v>-3.1684066666697042E-4</c:v>
                </c:pt>
                <c:pt idx="19">
                  <c:v>-8.1184866665917621E-5</c:v>
                </c:pt>
                <c:pt idx="20">
                  <c:v>3.5076423333302298E-4</c:v>
                </c:pt>
                <c:pt idx="21">
                  <c:v>-1.509469666671204E-4</c:v>
                </c:pt>
                <c:pt idx="22">
                  <c:v>7.0185500000041756E-5</c:v>
                </c:pt>
                <c:pt idx="23">
                  <c:v>-4.5867719999997952E-4</c:v>
                </c:pt>
                <c:pt idx="24">
                  <c:v>-2.9665599996953059E-5</c:v>
                </c:pt>
                <c:pt idx="25">
                  <c:v>4.7558200000002993E-4</c:v>
                </c:pt>
                <c:pt idx="26">
                  <c:v>-1.206205000000571E-4</c:v>
                </c:pt>
                <c:pt idx="27">
                  <c:v>7.75146666698312E-6</c:v>
                </c:pt>
                <c:pt idx="28">
                  <c:v>-1.3097330000011451E-4</c:v>
                </c:pt>
                <c:pt idx="29">
                  <c:v>4.211233999999453E-4</c:v>
                </c:pt>
                <c:pt idx="30">
                  <c:v>-4.8012370000000137E-4</c:v>
                </c:pt>
                <c:pt idx="31">
                  <c:v>-2.5829679999991861E-4</c:v>
                </c:pt>
                <c:pt idx="32">
                  <c:v>-1.2334766666693969E-4</c:v>
                </c:pt>
                <c:pt idx="33">
                  <c:v>-4.6548490000297699E-4</c:v>
                </c:pt>
                <c:pt idx="34">
                  <c:v>4.2040150000000048E-4</c:v>
                </c:pt>
                <c:pt idx="35">
                  <c:v>-4.4973863333304392E-4</c:v>
                </c:pt>
                <c:pt idx="36">
                  <c:v>2.314329999996978E-4</c:v>
                </c:pt>
                <c:pt idx="37">
                  <c:v>3.5698516666701757E-4</c:v>
                </c:pt>
                <c:pt idx="38">
                  <c:v>-1.158536000003263E-4</c:v>
                </c:pt>
                <c:pt idx="39">
                  <c:v>-4.0132043333297729E-4</c:v>
                </c:pt>
                <c:pt idx="40">
                  <c:v>4.9872260000033419E-4</c:v>
                </c:pt>
                <c:pt idx="41">
                  <c:v>3.5366666666659941E-4</c:v>
                </c:pt>
                <c:pt idx="42">
                  <c:v>-2.9333333333303457E-4</c:v>
                </c:pt>
                <c:pt idx="43">
                  <c:v>-3.8466666666614469E-4</c:v>
                </c:pt>
                <c:pt idx="44">
                  <c:v>5.2331000000000127E-2</c:v>
                </c:pt>
                <c:pt idx="45">
                  <c:v>0.35247366666666702</c:v>
                </c:pt>
                <c:pt idx="46">
                  <c:v>0.48569333333333398</c:v>
                </c:pt>
                <c:pt idx="47">
                  <c:v>0.56935199999999997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EA7C-41CE-86FB-8720DE7EBF17}"/>
            </c:ext>
          </c:extLst>
        </c:ser>
        <c:ser>
          <c:idx val="124"/>
          <c:order val="124"/>
          <c:tx>
            <c:v>net zero target</c:v>
          </c:tx>
          <c:spPr>
            <a:ln w="9525">
              <a:solidFill>
                <a:srgbClr val="6B7280"/>
              </a:solidFill>
              <a:prstDash val="dash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ChartData!$AB$2:$AB$49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EA7C-41CE-86FB-8720DE7EBF17}"/>
            </c:ext>
          </c:extLst>
        </c:ser>
        <c:ser>
          <c:idx val="125"/>
          <c:order val="125"/>
          <c:tx>
            <c:v>fleet average</c:v>
          </c:tx>
          <c:spPr>
            <a:ln w="30480">
              <a:solidFill>
                <a:srgbClr val="4B3FA8"/>
              </a:solidFill>
              <a:prstDash val="solid"/>
            </a:ln>
          </c:spPr>
          <c:marker>
            <c:symbol val="none"/>
          </c:marker>
          <c:cat>
            <c:numRef>
              <c:f>ChartData!$AA$2:$AA$49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ChartData!$AC$2:$AC$49</c:f>
              <c:numCache>
                <c:formatCode>#,##0.000</c:formatCode>
                <c:ptCount val="48"/>
                <c:pt idx="0">
                  <c:v>3.9472849462363069E-4</c:v>
                </c:pt>
                <c:pt idx="1">
                  <c:v>2.0730435483870824E-3</c:v>
                </c:pt>
                <c:pt idx="2">
                  <c:v>3.635663172043016E-3</c:v>
                </c:pt>
                <c:pt idx="3">
                  <c:v>8.7793623655913755E-3</c:v>
                </c:pt>
                <c:pt idx="4">
                  <c:v>8.340806451612906E-3</c:v>
                </c:pt>
                <c:pt idx="5">
                  <c:v>6.9594725806452346E-3</c:v>
                </c:pt>
                <c:pt idx="6">
                  <c:v>8.2309758064516708E-3</c:v>
                </c:pt>
                <c:pt idx="7">
                  <c:v>1.7079979322849326E-2</c:v>
                </c:pt>
                <c:pt idx="8">
                  <c:v>6.9117909836022423E-3</c:v>
                </c:pt>
                <c:pt idx="9">
                  <c:v>2.5642458642492413E-4</c:v>
                </c:pt>
                <c:pt idx="10">
                  <c:v>-2.1419301882825113E-5</c:v>
                </c:pt>
                <c:pt idx="11">
                  <c:v>-1.5400902150041569E-5</c:v>
                </c:pt>
                <c:pt idx="12">
                  <c:v>7.531464981854156E-3</c:v>
                </c:pt>
                <c:pt idx="13">
                  <c:v>7.7886620971842624E-6</c:v>
                </c:pt>
                <c:pt idx="14">
                  <c:v>-5.5737743185468825E-4</c:v>
                </c:pt>
                <c:pt idx="15">
                  <c:v>-0.10433724919690709</c:v>
                </c:pt>
                <c:pt idx="16">
                  <c:v>-0.7837913832770218</c:v>
                </c:pt>
                <c:pt idx="17">
                  <c:v>-1.2748836905276864</c:v>
                </c:pt>
                <c:pt idx="18">
                  <c:v>-1.5563849439327968</c:v>
                </c:pt>
                <c:pt idx="19">
                  <c:v>-1.7760290647309098</c:v>
                </c:pt>
                <c:pt idx="20">
                  <c:v>-1.949042249825135</c:v>
                </c:pt>
                <c:pt idx="21">
                  <c:v>-2.10689618683696</c:v>
                </c:pt>
                <c:pt idx="22">
                  <c:v>-2.1893358846646507</c:v>
                </c:pt>
                <c:pt idx="23">
                  <c:v>-2.1979208267618291</c:v>
                </c:pt>
                <c:pt idx="24">
                  <c:v>-2.2035012615032277</c:v>
                </c:pt>
                <c:pt idx="25">
                  <c:v>-2.2898166077983872</c:v>
                </c:pt>
                <c:pt idx="26">
                  <c:v>-2.2815460270490604</c:v>
                </c:pt>
                <c:pt idx="27">
                  <c:v>-2.1804619775440846</c:v>
                </c:pt>
                <c:pt idx="28">
                  <c:v>-2.0509827837146477</c:v>
                </c:pt>
                <c:pt idx="29">
                  <c:v>-1.8995566176577967</c:v>
                </c:pt>
                <c:pt idx="30">
                  <c:v>-1.7717612690178779</c:v>
                </c:pt>
                <c:pt idx="31">
                  <c:v>-1.5646093814182842</c:v>
                </c:pt>
                <c:pt idx="32">
                  <c:v>-1.3627743844206981</c:v>
                </c:pt>
                <c:pt idx="33">
                  <c:v>-1.0780858483012088</c:v>
                </c:pt>
                <c:pt idx="34">
                  <c:v>-0.92442400963239246</c:v>
                </c:pt>
                <c:pt idx="35">
                  <c:v>-0.65190195420927388</c:v>
                </c:pt>
                <c:pt idx="36">
                  <c:v>-0.43494993234274304</c:v>
                </c:pt>
                <c:pt idx="37">
                  <c:v>-0.22673836499126354</c:v>
                </c:pt>
                <c:pt idx="38">
                  <c:v>-7.9041128616128997E-2</c:v>
                </c:pt>
                <c:pt idx="39">
                  <c:v>2.1440765162635267E-3</c:v>
                </c:pt>
                <c:pt idx="40">
                  <c:v>1.7507911063709414E-2</c:v>
                </c:pt>
                <c:pt idx="41">
                  <c:v>2.3941241397849478E-2</c:v>
                </c:pt>
                <c:pt idx="42">
                  <c:v>4.1445436021504967E-2</c:v>
                </c:pt>
                <c:pt idx="43">
                  <c:v>3.8081121236559157E-2</c:v>
                </c:pt>
                <c:pt idx="44">
                  <c:v>5.581044247311856E-2</c:v>
                </c:pt>
                <c:pt idx="45">
                  <c:v>5.6996430107526752E-2</c:v>
                </c:pt>
                <c:pt idx="46">
                  <c:v>5.8442638172042788E-2</c:v>
                </c:pt>
                <c:pt idx="47">
                  <c:v>4.3147403763440922E-2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EA7C-41CE-86FB-8720DE7EB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Hour of day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3"/>
          <c:min val="-5.5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900"/>
                  <a:t>Net grid exchange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750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/>
              <a:t>Demand per prosumer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BES_TR8_one223_B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Demand_kW!$C$2:$C$49</c:f>
              <c:numCache>
                <c:formatCode>#,##0.000</c:formatCode>
                <c:ptCount val="48"/>
                <c:pt idx="0">
                  <c:v>9.7928000000000098E-2</c:v>
                </c:pt>
                <c:pt idx="1">
                  <c:v>4.2999999999999997E-2</c:v>
                </c:pt>
                <c:pt idx="2">
                  <c:v>0.18032000000000001</c:v>
                </c:pt>
                <c:pt idx="3">
                  <c:v>4.2999999999999997E-2</c:v>
                </c:pt>
                <c:pt idx="4">
                  <c:v>4.9866000000000001E-2</c:v>
                </c:pt>
                <c:pt idx="5">
                  <c:v>0.173454</c:v>
                </c:pt>
                <c:pt idx="6">
                  <c:v>4.2999999999999997E-2</c:v>
                </c:pt>
                <c:pt idx="7">
                  <c:v>0.11852600000000001</c:v>
                </c:pt>
                <c:pt idx="8">
                  <c:v>0.104794</c:v>
                </c:pt>
                <c:pt idx="9">
                  <c:v>4.2999999999999997E-2</c:v>
                </c:pt>
                <c:pt idx="10">
                  <c:v>4.2999999999999997E-2</c:v>
                </c:pt>
                <c:pt idx="11">
                  <c:v>0.18032000000000001</c:v>
                </c:pt>
                <c:pt idx="12">
                  <c:v>4.2999999999999997E-2</c:v>
                </c:pt>
                <c:pt idx="13">
                  <c:v>4.2999999999999997E-2</c:v>
                </c:pt>
                <c:pt idx="14">
                  <c:v>4.2999999999999997E-2</c:v>
                </c:pt>
                <c:pt idx="15">
                  <c:v>4.2999999999999997E-2</c:v>
                </c:pt>
                <c:pt idx="16">
                  <c:v>4.2999999999999997E-2</c:v>
                </c:pt>
                <c:pt idx="17">
                  <c:v>0.159722</c:v>
                </c:pt>
                <c:pt idx="18">
                  <c:v>7.4825666666666693E-2</c:v>
                </c:pt>
                <c:pt idx="19">
                  <c:v>0.170949666666667</c:v>
                </c:pt>
                <c:pt idx="20">
                  <c:v>6.3598000000000002E-2</c:v>
                </c:pt>
                <c:pt idx="21">
                  <c:v>4.2999999999999997E-2</c:v>
                </c:pt>
                <c:pt idx="22">
                  <c:v>0.11852600000000001</c:v>
                </c:pt>
                <c:pt idx="23">
                  <c:v>0.104794</c:v>
                </c:pt>
                <c:pt idx="24">
                  <c:v>9.7928000000000001E-2</c:v>
                </c:pt>
                <c:pt idx="25">
                  <c:v>0.125392</c:v>
                </c:pt>
                <c:pt idx="26">
                  <c:v>7.0463999999999999E-2</c:v>
                </c:pt>
                <c:pt idx="27">
                  <c:v>0.15285599999999999</c:v>
                </c:pt>
                <c:pt idx="28">
                  <c:v>4.2999999999999997E-2</c:v>
                </c:pt>
                <c:pt idx="29">
                  <c:v>4.2999999999999997E-2</c:v>
                </c:pt>
                <c:pt idx="30">
                  <c:v>4.2999999999999997E-2</c:v>
                </c:pt>
                <c:pt idx="31">
                  <c:v>4.2999999999999997E-2</c:v>
                </c:pt>
                <c:pt idx="32">
                  <c:v>0.13225799999999999</c:v>
                </c:pt>
                <c:pt idx="33">
                  <c:v>9.1062000000000101E-2</c:v>
                </c:pt>
                <c:pt idx="34">
                  <c:v>4.2999999999999997E-2</c:v>
                </c:pt>
                <c:pt idx="35">
                  <c:v>0.18032000000000001</c:v>
                </c:pt>
                <c:pt idx="36">
                  <c:v>4.2999999999999997E-2</c:v>
                </c:pt>
                <c:pt idx="37">
                  <c:v>7.7329999999999996E-2</c:v>
                </c:pt>
                <c:pt idx="38">
                  <c:v>0.14599000000000001</c:v>
                </c:pt>
                <c:pt idx="39">
                  <c:v>4.2999999999999997E-2</c:v>
                </c:pt>
                <c:pt idx="40">
                  <c:v>0.18032000000000001</c:v>
                </c:pt>
                <c:pt idx="41">
                  <c:v>4.2999999999999997E-2</c:v>
                </c:pt>
                <c:pt idx="42">
                  <c:v>0.16658800000000001</c:v>
                </c:pt>
                <c:pt idx="43">
                  <c:v>5.6731999999999998E-2</c:v>
                </c:pt>
                <c:pt idx="44">
                  <c:v>0.28340586666666701</c:v>
                </c:pt>
                <c:pt idx="45">
                  <c:v>1.81671</c:v>
                </c:pt>
                <c:pt idx="46">
                  <c:v>0.56430733333333305</c:v>
                </c:pt>
                <c:pt idx="47">
                  <c:v>0.69304466666666698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CD-459D-BFC7-D57988FF3B25}"/>
            </c:ext>
          </c:extLst>
        </c:ser>
        <c:ser>
          <c:idx val="1"/>
          <c:order val="1"/>
          <c:tx>
            <c:v>BES_TR8_one252_C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Demand_kW!$D$2:$D$49</c:f>
              <c:numCache>
                <c:formatCode>#,##0.000</c:formatCode>
                <c:ptCount val="48"/>
                <c:pt idx="0">
                  <c:v>4.9000000000000002E-2</c:v>
                </c:pt>
                <c:pt idx="1">
                  <c:v>0.238596</c:v>
                </c:pt>
                <c:pt idx="2">
                  <c:v>4.9000000000000002E-2</c:v>
                </c:pt>
                <c:pt idx="3">
                  <c:v>0.204124</c:v>
                </c:pt>
                <c:pt idx="4">
                  <c:v>8.3472000000000005E-2</c:v>
                </c:pt>
                <c:pt idx="5">
                  <c:v>4.9000000000000002E-2</c:v>
                </c:pt>
                <c:pt idx="6">
                  <c:v>0.13517999999999999</c:v>
                </c:pt>
                <c:pt idx="7">
                  <c:v>0.152416</c:v>
                </c:pt>
                <c:pt idx="8">
                  <c:v>4.9000000000000002E-2</c:v>
                </c:pt>
                <c:pt idx="9">
                  <c:v>0.238596</c:v>
                </c:pt>
                <c:pt idx="10">
                  <c:v>4.9000000000000002E-2</c:v>
                </c:pt>
                <c:pt idx="11">
                  <c:v>0.12656200000000001</c:v>
                </c:pt>
                <c:pt idx="12">
                  <c:v>0.16103400000000001</c:v>
                </c:pt>
                <c:pt idx="13">
                  <c:v>4.9000000000000002E-2</c:v>
                </c:pt>
                <c:pt idx="14">
                  <c:v>0.186888</c:v>
                </c:pt>
                <c:pt idx="15">
                  <c:v>0.10070800000000001</c:v>
                </c:pt>
                <c:pt idx="16">
                  <c:v>0.11794399999999999</c:v>
                </c:pt>
                <c:pt idx="17">
                  <c:v>0.169652</c:v>
                </c:pt>
                <c:pt idx="18">
                  <c:v>4.9000000000000002E-2</c:v>
                </c:pt>
                <c:pt idx="19">
                  <c:v>8.3472000000000005E-2</c:v>
                </c:pt>
                <c:pt idx="20">
                  <c:v>0.204124</c:v>
                </c:pt>
                <c:pt idx="21">
                  <c:v>4.9000000000000002E-2</c:v>
                </c:pt>
                <c:pt idx="22">
                  <c:v>0.238596</c:v>
                </c:pt>
                <c:pt idx="23">
                  <c:v>4.9000000000000002E-2</c:v>
                </c:pt>
                <c:pt idx="24">
                  <c:v>9.2090000000000005E-2</c:v>
                </c:pt>
                <c:pt idx="25">
                  <c:v>0.19976566666666701</c:v>
                </c:pt>
                <c:pt idx="26">
                  <c:v>0.40707979999999999</c:v>
                </c:pt>
                <c:pt idx="27">
                  <c:v>0.73048833333333296</c:v>
                </c:pt>
                <c:pt idx="28">
                  <c:v>0.179286</c:v>
                </c:pt>
                <c:pt idx="29">
                  <c:v>0.10184</c:v>
                </c:pt>
                <c:pt idx="30">
                  <c:v>0.32061400000000001</c:v>
                </c:pt>
                <c:pt idx="31">
                  <c:v>0.14899999999999999</c:v>
                </c:pt>
                <c:pt idx="32">
                  <c:v>0.64795866666666702</c:v>
                </c:pt>
                <c:pt idx="33">
                  <c:v>6.6236000000000003E-2</c:v>
                </c:pt>
                <c:pt idx="34">
                  <c:v>0.212486333333333</c:v>
                </c:pt>
                <c:pt idx="35">
                  <c:v>0.30441633333333301</c:v>
                </c:pt>
                <c:pt idx="36">
                  <c:v>6.6236000000000003E-2</c:v>
                </c:pt>
                <c:pt idx="37">
                  <c:v>0.22136</c:v>
                </c:pt>
                <c:pt idx="38">
                  <c:v>4.9000000000000002E-2</c:v>
                </c:pt>
                <c:pt idx="39">
                  <c:v>5.7618000000000003E-2</c:v>
                </c:pt>
                <c:pt idx="40">
                  <c:v>0.22997799999999999</c:v>
                </c:pt>
                <c:pt idx="41">
                  <c:v>4.9000000000000002E-2</c:v>
                </c:pt>
                <c:pt idx="42">
                  <c:v>0.204124</c:v>
                </c:pt>
                <c:pt idx="43">
                  <c:v>8.3472000000000005E-2</c:v>
                </c:pt>
                <c:pt idx="44">
                  <c:v>4.9000000000000002E-2</c:v>
                </c:pt>
                <c:pt idx="45">
                  <c:v>4.9000000000000002E-2</c:v>
                </c:pt>
                <c:pt idx="46">
                  <c:v>0.238596</c:v>
                </c:pt>
                <c:pt idx="47">
                  <c:v>4.9000000000000002E-2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CD-459D-BFC7-D57988FF3B25}"/>
            </c:ext>
          </c:extLst>
        </c:ser>
        <c:ser>
          <c:idx val="2"/>
          <c:order val="2"/>
          <c:tx>
            <c:v>BES_TR8_one280_A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Demand_kW!$E$2:$E$49</c:f>
              <c:numCache>
                <c:formatCode>#,##0.000</c:formatCode>
                <c:ptCount val="48"/>
                <c:pt idx="0">
                  <c:v>5.46243333333334E-2</c:v>
                </c:pt>
                <c:pt idx="1">
                  <c:v>0.12630973333333301</c:v>
                </c:pt>
                <c:pt idx="2">
                  <c:v>6.3017866666666603E-2</c:v>
                </c:pt>
                <c:pt idx="3">
                  <c:v>5.0999999999999997E-2</c:v>
                </c:pt>
                <c:pt idx="4">
                  <c:v>5.0999999999999997E-2</c:v>
                </c:pt>
                <c:pt idx="5">
                  <c:v>5.0999999999999997E-2</c:v>
                </c:pt>
                <c:pt idx="6">
                  <c:v>5.0999999999999997E-2</c:v>
                </c:pt>
                <c:pt idx="7">
                  <c:v>5.0999999999999997E-2</c:v>
                </c:pt>
                <c:pt idx="8">
                  <c:v>5.0999999999999997E-2</c:v>
                </c:pt>
                <c:pt idx="9">
                  <c:v>5.0999999999999997E-2</c:v>
                </c:pt>
                <c:pt idx="10">
                  <c:v>5.0999999999999997E-2</c:v>
                </c:pt>
                <c:pt idx="11">
                  <c:v>5.0999999999999997E-2</c:v>
                </c:pt>
                <c:pt idx="12">
                  <c:v>5.0999999999999997E-2</c:v>
                </c:pt>
                <c:pt idx="13">
                  <c:v>5.0999999999999997E-2</c:v>
                </c:pt>
                <c:pt idx="14">
                  <c:v>5.0999999999999997E-2</c:v>
                </c:pt>
                <c:pt idx="15">
                  <c:v>5.0999999999999997E-2</c:v>
                </c:pt>
                <c:pt idx="16">
                  <c:v>5.0999999999999997E-2</c:v>
                </c:pt>
                <c:pt idx="17">
                  <c:v>5.0999999999999997E-2</c:v>
                </c:pt>
                <c:pt idx="18">
                  <c:v>6.4265000000000003E-2</c:v>
                </c:pt>
                <c:pt idx="19">
                  <c:v>6.0600000000000001E-2</c:v>
                </c:pt>
                <c:pt idx="20">
                  <c:v>5.5500000000000001E-2</c:v>
                </c:pt>
                <c:pt idx="21">
                  <c:v>6.6000000000000003E-2</c:v>
                </c:pt>
                <c:pt idx="22">
                  <c:v>5.0999999999999997E-2</c:v>
                </c:pt>
                <c:pt idx="23">
                  <c:v>5.0999999999999997E-2</c:v>
                </c:pt>
                <c:pt idx="24">
                  <c:v>5.0999999999999997E-2</c:v>
                </c:pt>
                <c:pt idx="25">
                  <c:v>5.0999999999999997E-2</c:v>
                </c:pt>
                <c:pt idx="26">
                  <c:v>0.99240600000000001</c:v>
                </c:pt>
                <c:pt idx="27">
                  <c:v>0.117502733333333</c:v>
                </c:pt>
                <c:pt idx="28">
                  <c:v>5.0999999999999997E-2</c:v>
                </c:pt>
                <c:pt idx="29">
                  <c:v>5.0999999999999997E-2</c:v>
                </c:pt>
                <c:pt idx="30">
                  <c:v>5.46243333333334E-2</c:v>
                </c:pt>
                <c:pt idx="31">
                  <c:v>5.4624333333333303E-2</c:v>
                </c:pt>
                <c:pt idx="32">
                  <c:v>5.0999999999999997E-2</c:v>
                </c:pt>
                <c:pt idx="33">
                  <c:v>5.0999999999999997E-2</c:v>
                </c:pt>
                <c:pt idx="34">
                  <c:v>5.0999999999999997E-2</c:v>
                </c:pt>
                <c:pt idx="35">
                  <c:v>5.0999999999999997E-2</c:v>
                </c:pt>
                <c:pt idx="36">
                  <c:v>5.0999999999999997E-2</c:v>
                </c:pt>
                <c:pt idx="37">
                  <c:v>5.0999999999999997E-2</c:v>
                </c:pt>
                <c:pt idx="38">
                  <c:v>5.0999999999999997E-2</c:v>
                </c:pt>
                <c:pt idx="39">
                  <c:v>5.0999999999999997E-2</c:v>
                </c:pt>
                <c:pt idx="40">
                  <c:v>5.0999999999999997E-2</c:v>
                </c:pt>
                <c:pt idx="41">
                  <c:v>5.0999999999999997E-2</c:v>
                </c:pt>
                <c:pt idx="42">
                  <c:v>5.0999999999999997E-2</c:v>
                </c:pt>
                <c:pt idx="43">
                  <c:v>0.102170266666667</c:v>
                </c:pt>
                <c:pt idx="44">
                  <c:v>5.0999999999999997E-2</c:v>
                </c:pt>
                <c:pt idx="45">
                  <c:v>5.0999999999999997E-2</c:v>
                </c:pt>
                <c:pt idx="46">
                  <c:v>5.0999999999999997E-2</c:v>
                </c:pt>
                <c:pt idx="47">
                  <c:v>5.0999999999999997E-2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FCD-459D-BFC7-D57988FF3B25}"/>
            </c:ext>
          </c:extLst>
        </c:ser>
        <c:ser>
          <c:idx val="3"/>
          <c:order val="3"/>
          <c:tx>
            <c:v>BES_TR8_one313_A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Demand_kW!$F$2:$F$49</c:f>
              <c:numCache>
                <c:formatCode>#,##0.000</c:formatCode>
                <c:ptCount val="48"/>
                <c:pt idx="0">
                  <c:v>5.8999999999999997E-2</c:v>
                </c:pt>
                <c:pt idx="1">
                  <c:v>5.8999999999999997E-2</c:v>
                </c:pt>
                <c:pt idx="2">
                  <c:v>5.8999999999999997E-2</c:v>
                </c:pt>
                <c:pt idx="3">
                  <c:v>5.8999999999999997E-2</c:v>
                </c:pt>
                <c:pt idx="4">
                  <c:v>5.8999999999999997E-2</c:v>
                </c:pt>
                <c:pt idx="5">
                  <c:v>5.8999999999999997E-2</c:v>
                </c:pt>
                <c:pt idx="6">
                  <c:v>5.8999999999999997E-2</c:v>
                </c:pt>
                <c:pt idx="7">
                  <c:v>5.8999999999999997E-2</c:v>
                </c:pt>
                <c:pt idx="8">
                  <c:v>5.8999999999999997E-2</c:v>
                </c:pt>
                <c:pt idx="9">
                  <c:v>5.8999999999999997E-2</c:v>
                </c:pt>
                <c:pt idx="10">
                  <c:v>5.8999999999999997E-2</c:v>
                </c:pt>
                <c:pt idx="11">
                  <c:v>5.8999999999999997E-2</c:v>
                </c:pt>
                <c:pt idx="12">
                  <c:v>5.8999999999999997E-2</c:v>
                </c:pt>
                <c:pt idx="13">
                  <c:v>5.8999999999999997E-2</c:v>
                </c:pt>
                <c:pt idx="14">
                  <c:v>5.8999999999999997E-2</c:v>
                </c:pt>
                <c:pt idx="15">
                  <c:v>5.8999999999999997E-2</c:v>
                </c:pt>
                <c:pt idx="16">
                  <c:v>0.55665833333333303</c:v>
                </c:pt>
                <c:pt idx="17">
                  <c:v>0.56267400000000001</c:v>
                </c:pt>
                <c:pt idx="18">
                  <c:v>1.7257480000000001</c:v>
                </c:pt>
                <c:pt idx="19">
                  <c:v>0.45200366666666703</c:v>
                </c:pt>
                <c:pt idx="20">
                  <c:v>1.1207560000000001</c:v>
                </c:pt>
                <c:pt idx="21">
                  <c:v>6.8823633333333301E-2</c:v>
                </c:pt>
                <c:pt idx="22">
                  <c:v>2.0650621999999998</c:v>
                </c:pt>
                <c:pt idx="23">
                  <c:v>4.6403433333333401</c:v>
                </c:pt>
                <c:pt idx="24">
                  <c:v>0.55664000000000002</c:v>
                </c:pt>
                <c:pt idx="25">
                  <c:v>5.8999999999999997E-2</c:v>
                </c:pt>
                <c:pt idx="26">
                  <c:v>5.8999999999999997E-2</c:v>
                </c:pt>
                <c:pt idx="27">
                  <c:v>5.8999999999999997E-2</c:v>
                </c:pt>
                <c:pt idx="28">
                  <c:v>5.8999999999999997E-2</c:v>
                </c:pt>
                <c:pt idx="29">
                  <c:v>5.8999999999999997E-2</c:v>
                </c:pt>
                <c:pt idx="30">
                  <c:v>5.8999999999999997E-2</c:v>
                </c:pt>
                <c:pt idx="31">
                  <c:v>5.8999999999999997E-2</c:v>
                </c:pt>
                <c:pt idx="32">
                  <c:v>5.8999999999999997E-2</c:v>
                </c:pt>
                <c:pt idx="33">
                  <c:v>5.8999999999999997E-2</c:v>
                </c:pt>
                <c:pt idx="34">
                  <c:v>5.8999999999999997E-2</c:v>
                </c:pt>
                <c:pt idx="35">
                  <c:v>5.8999999999999997E-2</c:v>
                </c:pt>
                <c:pt idx="36">
                  <c:v>5.8999999999999997E-2</c:v>
                </c:pt>
                <c:pt idx="37">
                  <c:v>5.8999999999999997E-2</c:v>
                </c:pt>
                <c:pt idx="38">
                  <c:v>6.3E-2</c:v>
                </c:pt>
                <c:pt idx="39">
                  <c:v>0.22464066666666699</c:v>
                </c:pt>
                <c:pt idx="40">
                  <c:v>0.66292733333333298</c:v>
                </c:pt>
                <c:pt idx="41">
                  <c:v>0.62115266666666702</c:v>
                </c:pt>
                <c:pt idx="42">
                  <c:v>0.58718300000000001</c:v>
                </c:pt>
                <c:pt idx="43">
                  <c:v>0.55100933333333402</c:v>
                </c:pt>
                <c:pt idx="44">
                  <c:v>5.8999999999999997E-2</c:v>
                </c:pt>
                <c:pt idx="45">
                  <c:v>5.8999999999999997E-2</c:v>
                </c:pt>
                <c:pt idx="46">
                  <c:v>5.8999999999999997E-2</c:v>
                </c:pt>
                <c:pt idx="47">
                  <c:v>5.8999999999999997E-2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FCD-459D-BFC7-D57988FF3B25}"/>
            </c:ext>
          </c:extLst>
        </c:ser>
        <c:ser>
          <c:idx val="4"/>
          <c:order val="4"/>
          <c:tx>
            <c:v>BES_TR8_one321_C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Demand_kW!$G$2:$G$49</c:f>
              <c:numCache>
                <c:formatCode>#,##0.000</c:formatCode>
                <c:ptCount val="48"/>
                <c:pt idx="0">
                  <c:v>4.7E-2</c:v>
                </c:pt>
                <c:pt idx="1">
                  <c:v>4.7E-2</c:v>
                </c:pt>
                <c:pt idx="2">
                  <c:v>4.7E-2</c:v>
                </c:pt>
                <c:pt idx="3">
                  <c:v>4.7E-2</c:v>
                </c:pt>
                <c:pt idx="4">
                  <c:v>4.7E-2</c:v>
                </c:pt>
                <c:pt idx="5">
                  <c:v>4.7E-2</c:v>
                </c:pt>
                <c:pt idx="6">
                  <c:v>4.7E-2</c:v>
                </c:pt>
                <c:pt idx="7">
                  <c:v>1.3336806666666701</c:v>
                </c:pt>
                <c:pt idx="8">
                  <c:v>4.7E-2</c:v>
                </c:pt>
                <c:pt idx="9">
                  <c:v>4.7E-2</c:v>
                </c:pt>
                <c:pt idx="10">
                  <c:v>4.7E-2</c:v>
                </c:pt>
                <c:pt idx="11">
                  <c:v>9.2069499999999999E-2</c:v>
                </c:pt>
                <c:pt idx="12">
                  <c:v>6.9773333333333298E-2</c:v>
                </c:pt>
                <c:pt idx="13">
                  <c:v>4.7E-2</c:v>
                </c:pt>
                <c:pt idx="14">
                  <c:v>4.7E-2</c:v>
                </c:pt>
                <c:pt idx="15">
                  <c:v>4.7E-2</c:v>
                </c:pt>
                <c:pt idx="16">
                  <c:v>4.7E-2</c:v>
                </c:pt>
                <c:pt idx="17">
                  <c:v>4.7E-2</c:v>
                </c:pt>
                <c:pt idx="18">
                  <c:v>9.0385833333333401E-2</c:v>
                </c:pt>
                <c:pt idx="19">
                  <c:v>0.300599333333334</c:v>
                </c:pt>
                <c:pt idx="20">
                  <c:v>4.7E-2</c:v>
                </c:pt>
                <c:pt idx="21">
                  <c:v>4.7E-2</c:v>
                </c:pt>
                <c:pt idx="22">
                  <c:v>4.7E-2</c:v>
                </c:pt>
                <c:pt idx="23">
                  <c:v>5.2543333333333303E-2</c:v>
                </c:pt>
                <c:pt idx="24">
                  <c:v>4.7E-2</c:v>
                </c:pt>
                <c:pt idx="25">
                  <c:v>4.7E-2</c:v>
                </c:pt>
                <c:pt idx="26">
                  <c:v>4.7E-2</c:v>
                </c:pt>
                <c:pt idx="27">
                  <c:v>4.7E-2</c:v>
                </c:pt>
                <c:pt idx="28">
                  <c:v>4.7E-2</c:v>
                </c:pt>
                <c:pt idx="29">
                  <c:v>4.7E-2</c:v>
                </c:pt>
                <c:pt idx="30">
                  <c:v>4.7E-2</c:v>
                </c:pt>
                <c:pt idx="31">
                  <c:v>4.7E-2</c:v>
                </c:pt>
                <c:pt idx="32">
                  <c:v>4.7E-2</c:v>
                </c:pt>
                <c:pt idx="33">
                  <c:v>4.7E-2</c:v>
                </c:pt>
                <c:pt idx="34">
                  <c:v>4.7E-2</c:v>
                </c:pt>
                <c:pt idx="35">
                  <c:v>4.7E-2</c:v>
                </c:pt>
                <c:pt idx="36">
                  <c:v>4.7E-2</c:v>
                </c:pt>
                <c:pt idx="37">
                  <c:v>4.7E-2</c:v>
                </c:pt>
                <c:pt idx="38">
                  <c:v>4.7E-2</c:v>
                </c:pt>
                <c:pt idx="39">
                  <c:v>4.7E-2</c:v>
                </c:pt>
                <c:pt idx="40">
                  <c:v>0.35664566666666703</c:v>
                </c:pt>
                <c:pt idx="41">
                  <c:v>0.21404366666666699</c:v>
                </c:pt>
                <c:pt idx="42">
                  <c:v>0.35088666666666701</c:v>
                </c:pt>
                <c:pt idx="43">
                  <c:v>0.53100000000000003</c:v>
                </c:pt>
                <c:pt idx="44">
                  <c:v>0.35795199999999999</c:v>
                </c:pt>
                <c:pt idx="45">
                  <c:v>4.7E-2</c:v>
                </c:pt>
                <c:pt idx="46">
                  <c:v>4.7E-2</c:v>
                </c:pt>
                <c:pt idx="47">
                  <c:v>4.7E-2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FCD-459D-BFC7-D57988FF3B25}"/>
            </c:ext>
          </c:extLst>
        </c:ser>
        <c:ser>
          <c:idx val="5"/>
          <c:order val="5"/>
          <c:tx>
            <c:v>BES_TR8_one345_A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Demand_kW!$H$2:$H$49</c:f>
              <c:numCache>
                <c:formatCode>#,##0.000</c:formatCode>
                <c:ptCount val="48"/>
                <c:pt idx="0">
                  <c:v>0.15037666666666699</c:v>
                </c:pt>
                <c:pt idx="1">
                  <c:v>0.107786666666667</c:v>
                </c:pt>
                <c:pt idx="2">
                  <c:v>9.7661999999999999E-2</c:v>
                </c:pt>
                <c:pt idx="3">
                  <c:v>0.10803133333333299</c:v>
                </c:pt>
                <c:pt idx="4">
                  <c:v>0.155561</c:v>
                </c:pt>
                <c:pt idx="5">
                  <c:v>0.20629266666666701</c:v>
                </c:pt>
                <c:pt idx="6">
                  <c:v>5.0999999999999997E-2</c:v>
                </c:pt>
                <c:pt idx="7">
                  <c:v>0.31085133333333298</c:v>
                </c:pt>
                <c:pt idx="8">
                  <c:v>5.0999999999999997E-2</c:v>
                </c:pt>
                <c:pt idx="9">
                  <c:v>0.15469333333333299</c:v>
                </c:pt>
                <c:pt idx="10">
                  <c:v>5.80983333333333E-2</c:v>
                </c:pt>
                <c:pt idx="11">
                  <c:v>0.20006499999999999</c:v>
                </c:pt>
                <c:pt idx="12">
                  <c:v>8.7292666666666699E-2</c:v>
                </c:pt>
                <c:pt idx="13">
                  <c:v>0.25326833333333398</c:v>
                </c:pt>
                <c:pt idx="14">
                  <c:v>0.108587666666667</c:v>
                </c:pt>
                <c:pt idx="15">
                  <c:v>0.15389233333333299</c:v>
                </c:pt>
                <c:pt idx="16">
                  <c:v>0.176856333333333</c:v>
                </c:pt>
                <c:pt idx="17">
                  <c:v>0.14950866666666701</c:v>
                </c:pt>
                <c:pt idx="18">
                  <c:v>0.49973766666666702</c:v>
                </c:pt>
                <c:pt idx="19">
                  <c:v>0.353810666666667</c:v>
                </c:pt>
                <c:pt idx="20">
                  <c:v>0.15037666666666699</c:v>
                </c:pt>
                <c:pt idx="21">
                  <c:v>0.13371</c:v>
                </c:pt>
                <c:pt idx="22">
                  <c:v>0.17136000000000001</c:v>
                </c:pt>
                <c:pt idx="23">
                  <c:v>0.16457333333333299</c:v>
                </c:pt>
                <c:pt idx="24">
                  <c:v>0.15469333333333299</c:v>
                </c:pt>
                <c:pt idx="25">
                  <c:v>0.20716333333333301</c:v>
                </c:pt>
                <c:pt idx="26">
                  <c:v>6.6554000000000002E-2</c:v>
                </c:pt>
                <c:pt idx="27">
                  <c:v>0.139139333333333</c:v>
                </c:pt>
                <c:pt idx="28">
                  <c:v>0.20716333333333301</c:v>
                </c:pt>
                <c:pt idx="29">
                  <c:v>0.15469333333333299</c:v>
                </c:pt>
                <c:pt idx="30">
                  <c:v>5.0999999999999997E-2</c:v>
                </c:pt>
                <c:pt idx="31">
                  <c:v>0.20006499999999999</c:v>
                </c:pt>
                <c:pt idx="32">
                  <c:v>0.16179133333333301</c:v>
                </c:pt>
                <c:pt idx="33">
                  <c:v>0.107786666666667</c:v>
                </c:pt>
                <c:pt idx="34">
                  <c:v>0.25406600000000001</c:v>
                </c:pt>
                <c:pt idx="35">
                  <c:v>5.0999999999999997E-2</c:v>
                </c:pt>
                <c:pt idx="36">
                  <c:v>0.282457333333333</c:v>
                </c:pt>
                <c:pt idx="37">
                  <c:v>0.159393333333333</c:v>
                </c:pt>
                <c:pt idx="38">
                  <c:v>0.26788400000000001</c:v>
                </c:pt>
                <c:pt idx="39">
                  <c:v>0.31937333333333301</c:v>
                </c:pt>
                <c:pt idx="40">
                  <c:v>0.54754233333333402</c:v>
                </c:pt>
                <c:pt idx="41">
                  <c:v>2.0546009999999999</c:v>
                </c:pt>
                <c:pt idx="42">
                  <c:v>0.303887666666667</c:v>
                </c:pt>
                <c:pt idx="43">
                  <c:v>0.34490900000000002</c:v>
                </c:pt>
                <c:pt idx="44">
                  <c:v>0.23549166666666699</c:v>
                </c:pt>
                <c:pt idx="45">
                  <c:v>0.17574366666666699</c:v>
                </c:pt>
                <c:pt idx="46">
                  <c:v>0.10803133333333299</c:v>
                </c:pt>
                <c:pt idx="47">
                  <c:v>5.0999999999999997E-2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FCD-459D-BFC7-D57988FF3B25}"/>
            </c:ext>
          </c:extLst>
        </c:ser>
        <c:ser>
          <c:idx val="6"/>
          <c:order val="6"/>
          <c:tx>
            <c:v>BES_TR8_one375_C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Demand_kW!$I$2:$I$49</c:f>
              <c:numCache>
                <c:formatCode>#,##0.000</c:formatCode>
                <c:ptCount val="48"/>
                <c:pt idx="0">
                  <c:v>0.13188266666666701</c:v>
                </c:pt>
                <c:pt idx="1">
                  <c:v>0.24352599999999999</c:v>
                </c:pt>
                <c:pt idx="2">
                  <c:v>5.2999999999999999E-2</c:v>
                </c:pt>
                <c:pt idx="3">
                  <c:v>0.18126366666666699</c:v>
                </c:pt>
                <c:pt idx="4">
                  <c:v>0.19414500000000001</c:v>
                </c:pt>
                <c:pt idx="5">
                  <c:v>5.6878333333333302E-2</c:v>
                </c:pt>
                <c:pt idx="6">
                  <c:v>0.118931666666667</c:v>
                </c:pt>
                <c:pt idx="7">
                  <c:v>0.25259866666666703</c:v>
                </c:pt>
                <c:pt idx="8">
                  <c:v>5.2999999999999999E-2</c:v>
                </c:pt>
                <c:pt idx="9">
                  <c:v>0.200585666666667</c:v>
                </c:pt>
                <c:pt idx="10">
                  <c:v>0.17482300000000001</c:v>
                </c:pt>
                <c:pt idx="11">
                  <c:v>5.2999999999999999E-2</c:v>
                </c:pt>
                <c:pt idx="12">
                  <c:v>5.2999999999999999E-2</c:v>
                </c:pt>
                <c:pt idx="13">
                  <c:v>0.21235999999999999</c:v>
                </c:pt>
                <c:pt idx="14">
                  <c:v>0.16304866666666701</c:v>
                </c:pt>
                <c:pt idx="15">
                  <c:v>5.2999999999999999E-2</c:v>
                </c:pt>
                <c:pt idx="16">
                  <c:v>6.20726666666667E-2</c:v>
                </c:pt>
                <c:pt idx="17">
                  <c:v>0.24352599999999999</c:v>
                </c:pt>
                <c:pt idx="18">
                  <c:v>5.2999999999999999E-2</c:v>
                </c:pt>
                <c:pt idx="19">
                  <c:v>0.170805333333333</c:v>
                </c:pt>
                <c:pt idx="20">
                  <c:v>0.204603333333333</c:v>
                </c:pt>
                <c:pt idx="21">
                  <c:v>0.107296666666667</c:v>
                </c:pt>
                <c:pt idx="22">
                  <c:v>0.26811200000000002</c:v>
                </c:pt>
                <c:pt idx="23">
                  <c:v>9.0333333333333293E-2</c:v>
                </c:pt>
                <c:pt idx="24">
                  <c:v>0.278882666666667</c:v>
                </c:pt>
                <c:pt idx="25">
                  <c:v>0.23477799999999999</c:v>
                </c:pt>
                <c:pt idx="26">
                  <c:v>2.6420349999999999</c:v>
                </c:pt>
                <c:pt idx="27">
                  <c:v>1.0235826666666701</c:v>
                </c:pt>
                <c:pt idx="28">
                  <c:v>1.44747</c:v>
                </c:pt>
                <c:pt idx="29">
                  <c:v>0.15016733333333299</c:v>
                </c:pt>
                <c:pt idx="30">
                  <c:v>0.17094466666666699</c:v>
                </c:pt>
                <c:pt idx="31">
                  <c:v>0.30979000000000001</c:v>
                </c:pt>
                <c:pt idx="32">
                  <c:v>0.17486126666666699</c:v>
                </c:pt>
                <c:pt idx="33">
                  <c:v>0.25136726666666698</c:v>
                </c:pt>
                <c:pt idx="34">
                  <c:v>0.28719699999999998</c:v>
                </c:pt>
                <c:pt idx="35">
                  <c:v>9.6956333333333394E-2</c:v>
                </c:pt>
                <c:pt idx="36">
                  <c:v>0.315873666666667</c:v>
                </c:pt>
                <c:pt idx="37">
                  <c:v>0.18219949999999999</c:v>
                </c:pt>
                <c:pt idx="38">
                  <c:v>0.30030433333333301</c:v>
                </c:pt>
                <c:pt idx="39">
                  <c:v>0.53514133333333402</c:v>
                </c:pt>
                <c:pt idx="40">
                  <c:v>0.49177533333333301</c:v>
                </c:pt>
                <c:pt idx="41">
                  <c:v>2.5085683333333302</c:v>
                </c:pt>
                <c:pt idx="42">
                  <c:v>0.84634166666666599</c:v>
                </c:pt>
                <c:pt idx="43">
                  <c:v>0.46391066666666603</c:v>
                </c:pt>
                <c:pt idx="44">
                  <c:v>0.56185133333333304</c:v>
                </c:pt>
                <c:pt idx="45">
                  <c:v>0.341266666666667</c:v>
                </c:pt>
                <c:pt idx="46">
                  <c:v>0.61193200000000003</c:v>
                </c:pt>
                <c:pt idx="47">
                  <c:v>0.19147666666666699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FCD-459D-BFC7-D57988FF3B25}"/>
            </c:ext>
          </c:extLst>
        </c:ser>
        <c:ser>
          <c:idx val="7"/>
          <c:order val="7"/>
          <c:tx>
            <c:v>BES_TR8_one410_B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Demand_kW!$J$2:$J$49</c:f>
              <c:numCache>
                <c:formatCode>#,##0.000</c:formatCode>
                <c:ptCount val="48"/>
                <c:pt idx="0">
                  <c:v>0.25522033333333299</c:v>
                </c:pt>
                <c:pt idx="1">
                  <c:v>3.1E-2</c:v>
                </c:pt>
                <c:pt idx="2">
                  <c:v>3.1E-2</c:v>
                </c:pt>
                <c:pt idx="3">
                  <c:v>0.16764933333333301</c:v>
                </c:pt>
                <c:pt idx="4">
                  <c:v>0.142454</c:v>
                </c:pt>
                <c:pt idx="5">
                  <c:v>0.105536</c:v>
                </c:pt>
                <c:pt idx="6">
                  <c:v>0.124957333333333</c:v>
                </c:pt>
                <c:pt idx="7">
                  <c:v>0.11061</c:v>
                </c:pt>
                <c:pt idx="8">
                  <c:v>0.105536</c:v>
                </c:pt>
                <c:pt idx="9">
                  <c:v>0.20456733333333299</c:v>
                </c:pt>
                <c:pt idx="10">
                  <c:v>3.1E-2</c:v>
                </c:pt>
                <c:pt idx="11">
                  <c:v>0.16764933333333301</c:v>
                </c:pt>
                <c:pt idx="12">
                  <c:v>5.4883000000000001E-2</c:v>
                </c:pt>
                <c:pt idx="13">
                  <c:v>0.46857066666666702</c:v>
                </c:pt>
                <c:pt idx="14">
                  <c:v>8.6763599999999996E-2</c:v>
                </c:pt>
                <c:pt idx="15">
                  <c:v>0.71587650000000003</c:v>
                </c:pt>
                <c:pt idx="16">
                  <c:v>1.8121893333333301</c:v>
                </c:pt>
                <c:pt idx="17">
                  <c:v>5.6000000000000001E-2</c:v>
                </c:pt>
                <c:pt idx="18">
                  <c:v>0.14789466666666701</c:v>
                </c:pt>
                <c:pt idx="19">
                  <c:v>0.25441266666666701</c:v>
                </c:pt>
                <c:pt idx="20">
                  <c:v>0.47786000000000001</c:v>
                </c:pt>
                <c:pt idx="21">
                  <c:v>1.92804333333333</c:v>
                </c:pt>
                <c:pt idx="22">
                  <c:v>0.32623466666666601</c:v>
                </c:pt>
                <c:pt idx="23">
                  <c:v>9.7040666666666706E-2</c:v>
                </c:pt>
                <c:pt idx="24">
                  <c:v>0.30078033333333298</c:v>
                </c:pt>
                <c:pt idx="25">
                  <c:v>0.17386033333333301</c:v>
                </c:pt>
                <c:pt idx="26">
                  <c:v>0.12963333333333299</c:v>
                </c:pt>
                <c:pt idx="27">
                  <c:v>0.57755366666666696</c:v>
                </c:pt>
                <c:pt idx="28">
                  <c:v>7.5107333333333401E-2</c:v>
                </c:pt>
                <c:pt idx="29">
                  <c:v>3.1E-2</c:v>
                </c:pt>
                <c:pt idx="30">
                  <c:v>3.1E-2</c:v>
                </c:pt>
                <c:pt idx="31">
                  <c:v>0.142454</c:v>
                </c:pt>
                <c:pt idx="32">
                  <c:v>0.13038133333333299</c:v>
                </c:pt>
                <c:pt idx="33">
                  <c:v>0.10950559999999999</c:v>
                </c:pt>
                <c:pt idx="34">
                  <c:v>0.1673924</c:v>
                </c:pt>
                <c:pt idx="35">
                  <c:v>0.17013266666666699</c:v>
                </c:pt>
                <c:pt idx="36">
                  <c:v>0.24882099999999999</c:v>
                </c:pt>
                <c:pt idx="37">
                  <c:v>0.28856256666666702</c:v>
                </c:pt>
                <c:pt idx="38">
                  <c:v>0.150364566666667</c:v>
                </c:pt>
                <c:pt idx="39">
                  <c:v>0.32725133333333301</c:v>
                </c:pt>
                <c:pt idx="40">
                  <c:v>0.333816</c:v>
                </c:pt>
                <c:pt idx="41">
                  <c:v>0.24388299999999999</c:v>
                </c:pt>
                <c:pt idx="42">
                  <c:v>0.65253433333333299</c:v>
                </c:pt>
                <c:pt idx="43">
                  <c:v>0.588696</c:v>
                </c:pt>
                <c:pt idx="44">
                  <c:v>0.41272066666666701</c:v>
                </c:pt>
                <c:pt idx="45">
                  <c:v>0.19691400000000001</c:v>
                </c:pt>
                <c:pt idx="46">
                  <c:v>0.14262900000000001</c:v>
                </c:pt>
                <c:pt idx="47">
                  <c:v>8.6727000000000096E-2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FCD-459D-BFC7-D57988FF3B25}"/>
            </c:ext>
          </c:extLst>
        </c:ser>
        <c:ser>
          <c:idx val="8"/>
          <c:order val="8"/>
          <c:tx>
            <c:v>BES_TR8_one416_C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Demand_kW!$K$2:$K$49</c:f>
              <c:numCache>
                <c:formatCode>#,##0.000</c:formatCode>
                <c:ptCount val="48"/>
                <c:pt idx="0">
                  <c:v>0.178373333333333</c:v>
                </c:pt>
                <c:pt idx="1">
                  <c:v>0.17682600000000001</c:v>
                </c:pt>
                <c:pt idx="2">
                  <c:v>8.1294666666666696E-2</c:v>
                </c:pt>
                <c:pt idx="3">
                  <c:v>0.178373333333333</c:v>
                </c:pt>
                <c:pt idx="4">
                  <c:v>5.3999999999999999E-2</c:v>
                </c:pt>
                <c:pt idx="5">
                  <c:v>0.29057699999999997</c:v>
                </c:pt>
                <c:pt idx="6">
                  <c:v>9.1916999999999902E-2</c:v>
                </c:pt>
                <c:pt idx="7">
                  <c:v>0.19928066666666699</c:v>
                </c:pt>
                <c:pt idx="8">
                  <c:v>0.18321333333333401</c:v>
                </c:pt>
                <c:pt idx="9">
                  <c:v>5.3999999999999999E-2</c:v>
                </c:pt>
                <c:pt idx="10">
                  <c:v>0.32849400000000001</c:v>
                </c:pt>
                <c:pt idx="11">
                  <c:v>5.3999999999999999E-2</c:v>
                </c:pt>
                <c:pt idx="12">
                  <c:v>9.7530666666666696E-2</c:v>
                </c:pt>
                <c:pt idx="13">
                  <c:v>0.28496333333333301</c:v>
                </c:pt>
                <c:pt idx="14">
                  <c:v>6.6437333333333404E-2</c:v>
                </c:pt>
                <c:pt idx="15">
                  <c:v>0.165936</c:v>
                </c:pt>
                <c:pt idx="16">
                  <c:v>0.225582</c:v>
                </c:pt>
                <c:pt idx="17">
                  <c:v>0.62692633333333303</c:v>
                </c:pt>
                <c:pt idx="18">
                  <c:v>0.21780333333333299</c:v>
                </c:pt>
                <c:pt idx="19">
                  <c:v>0.19770733333333301</c:v>
                </c:pt>
                <c:pt idx="20">
                  <c:v>0.178373333333333</c:v>
                </c:pt>
                <c:pt idx="21">
                  <c:v>0.20412066666666701</c:v>
                </c:pt>
                <c:pt idx="22">
                  <c:v>0.16365533333333299</c:v>
                </c:pt>
                <c:pt idx="23">
                  <c:v>0.36342466666666701</c:v>
                </c:pt>
                <c:pt idx="24">
                  <c:v>0.47518633333333299</c:v>
                </c:pt>
                <c:pt idx="25">
                  <c:v>0.34259066666666699</c:v>
                </c:pt>
                <c:pt idx="26">
                  <c:v>0.31684333333333398</c:v>
                </c:pt>
                <c:pt idx="27">
                  <c:v>0.204787</c:v>
                </c:pt>
                <c:pt idx="28">
                  <c:v>0.64160633333333394</c:v>
                </c:pt>
                <c:pt idx="29">
                  <c:v>0.36412299999999997</c:v>
                </c:pt>
                <c:pt idx="30">
                  <c:v>5.3999999999999999E-2</c:v>
                </c:pt>
                <c:pt idx="31">
                  <c:v>0.321670333333333</c:v>
                </c:pt>
                <c:pt idx="32">
                  <c:v>6.0823666666666699E-2</c:v>
                </c:pt>
                <c:pt idx="33">
                  <c:v>7.4470999999999996E-2</c:v>
                </c:pt>
                <c:pt idx="34">
                  <c:v>0.35548633333333302</c:v>
                </c:pt>
                <c:pt idx="35">
                  <c:v>0.15049066666666699</c:v>
                </c:pt>
                <c:pt idx="36">
                  <c:v>0.130805333333333</c:v>
                </c:pt>
                <c:pt idx="37">
                  <c:v>0.28696066666666697</c:v>
                </c:pt>
                <c:pt idx="38">
                  <c:v>9.7122E-2</c:v>
                </c:pt>
                <c:pt idx="39">
                  <c:v>0.54041799999999995</c:v>
                </c:pt>
                <c:pt idx="40">
                  <c:v>0.58953933333333297</c:v>
                </c:pt>
                <c:pt idx="41">
                  <c:v>0.80388400000000004</c:v>
                </c:pt>
                <c:pt idx="42">
                  <c:v>0.59842066666666704</c:v>
                </c:pt>
                <c:pt idx="43">
                  <c:v>0.70314066666666697</c:v>
                </c:pt>
                <c:pt idx="44">
                  <c:v>0.50015033333333303</c:v>
                </c:pt>
                <c:pt idx="45">
                  <c:v>0.27703499999999998</c:v>
                </c:pt>
                <c:pt idx="46">
                  <c:v>0.387867666666667</c:v>
                </c:pt>
                <c:pt idx="47">
                  <c:v>0.50570599999999999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FCD-459D-BFC7-D57988FF3B25}"/>
            </c:ext>
          </c:extLst>
        </c:ser>
        <c:ser>
          <c:idx val="9"/>
          <c:order val="9"/>
          <c:tx>
            <c:v>BES_TR8_one423_B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Demand_kW!$L$2:$L$49</c:f>
              <c:numCache>
                <c:formatCode>#,##0.000</c:formatCode>
                <c:ptCount val="48"/>
                <c:pt idx="0">
                  <c:v>0.15895566666666699</c:v>
                </c:pt>
                <c:pt idx="1">
                  <c:v>5.0999999999999997E-2</c:v>
                </c:pt>
                <c:pt idx="2">
                  <c:v>0.17800666666666701</c:v>
                </c:pt>
                <c:pt idx="3">
                  <c:v>5.0999999999999997E-2</c:v>
                </c:pt>
                <c:pt idx="4">
                  <c:v>7.6401333333333293E-2</c:v>
                </c:pt>
                <c:pt idx="5">
                  <c:v>0.15260533333333301</c:v>
                </c:pt>
                <c:pt idx="6">
                  <c:v>5.7350333333333302E-2</c:v>
                </c:pt>
                <c:pt idx="7">
                  <c:v>0.17165633333333299</c:v>
                </c:pt>
                <c:pt idx="8">
                  <c:v>5.0999999999999997E-2</c:v>
                </c:pt>
                <c:pt idx="9">
                  <c:v>0.17800666666666701</c:v>
                </c:pt>
                <c:pt idx="10">
                  <c:v>5.0999999999999997E-2</c:v>
                </c:pt>
                <c:pt idx="11">
                  <c:v>5.0999999999999997E-2</c:v>
                </c:pt>
                <c:pt idx="12">
                  <c:v>0.17800666666666701</c:v>
                </c:pt>
                <c:pt idx="13">
                  <c:v>5.0999999999999997E-2</c:v>
                </c:pt>
                <c:pt idx="14">
                  <c:v>0.17800666666666701</c:v>
                </c:pt>
                <c:pt idx="15">
                  <c:v>5.0999999999999997E-2</c:v>
                </c:pt>
                <c:pt idx="16">
                  <c:v>0.17165633333333299</c:v>
                </c:pt>
                <c:pt idx="17">
                  <c:v>5.7350333333333302E-2</c:v>
                </c:pt>
                <c:pt idx="18">
                  <c:v>0.27814766666666702</c:v>
                </c:pt>
                <c:pt idx="19">
                  <c:v>0.265620666666667</c:v>
                </c:pt>
                <c:pt idx="20">
                  <c:v>0.41769400000000001</c:v>
                </c:pt>
                <c:pt idx="21">
                  <c:v>0.22468199999999999</c:v>
                </c:pt>
                <c:pt idx="22">
                  <c:v>0.30506100000000003</c:v>
                </c:pt>
                <c:pt idx="23">
                  <c:v>0.52044400000000002</c:v>
                </c:pt>
                <c:pt idx="24">
                  <c:v>0.51976</c:v>
                </c:pt>
                <c:pt idx="25">
                  <c:v>7.0051000000000002E-2</c:v>
                </c:pt>
                <c:pt idx="26">
                  <c:v>0.15895566666666699</c:v>
                </c:pt>
                <c:pt idx="27">
                  <c:v>5.0999999999999997E-2</c:v>
                </c:pt>
                <c:pt idx="28">
                  <c:v>7.6401333333333293E-2</c:v>
                </c:pt>
                <c:pt idx="29">
                  <c:v>0.15260533333333301</c:v>
                </c:pt>
                <c:pt idx="30">
                  <c:v>0.35683999999999999</c:v>
                </c:pt>
                <c:pt idx="31">
                  <c:v>0.51642666666666703</c:v>
                </c:pt>
                <c:pt idx="32">
                  <c:v>0.30102133333333297</c:v>
                </c:pt>
                <c:pt idx="33">
                  <c:v>0.57396400000000003</c:v>
                </c:pt>
                <c:pt idx="34">
                  <c:v>0.44532933333333302</c:v>
                </c:pt>
                <c:pt idx="35">
                  <c:v>0.340264133333333</c:v>
                </c:pt>
                <c:pt idx="36">
                  <c:v>0.39729999999999999</c:v>
                </c:pt>
                <c:pt idx="37">
                  <c:v>0.507738666666667</c:v>
                </c:pt>
                <c:pt idx="38">
                  <c:v>0.47098533333333298</c:v>
                </c:pt>
                <c:pt idx="39">
                  <c:v>0.72429500000000002</c:v>
                </c:pt>
                <c:pt idx="40">
                  <c:v>1.10314133333333</c:v>
                </c:pt>
                <c:pt idx="41">
                  <c:v>0.72377233333333302</c:v>
                </c:pt>
                <c:pt idx="42">
                  <c:v>0.64688133333333397</c:v>
                </c:pt>
                <c:pt idx="43">
                  <c:v>0.50057866666666695</c:v>
                </c:pt>
                <c:pt idx="44">
                  <c:v>0.50358400000000003</c:v>
                </c:pt>
                <c:pt idx="45">
                  <c:v>0.81952599999999998</c:v>
                </c:pt>
                <c:pt idx="46">
                  <c:v>0.294478666666667</c:v>
                </c:pt>
                <c:pt idx="47">
                  <c:v>0.15260533333333301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FCD-459D-BFC7-D57988FF3B25}"/>
            </c:ext>
          </c:extLst>
        </c:ser>
        <c:ser>
          <c:idx val="10"/>
          <c:order val="10"/>
          <c:tx>
            <c:v>BES_TR8_one446_B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Demand_kW!$M$2:$M$49</c:f>
              <c:numCache>
                <c:formatCode>#,##0.000</c:formatCode>
                <c:ptCount val="48"/>
                <c:pt idx="0">
                  <c:v>0.16558</c:v>
                </c:pt>
                <c:pt idx="1">
                  <c:v>4.8000000000000001E-2</c:v>
                </c:pt>
                <c:pt idx="2">
                  <c:v>0.16558</c:v>
                </c:pt>
                <c:pt idx="3">
                  <c:v>4.8000000000000001E-2</c:v>
                </c:pt>
                <c:pt idx="4">
                  <c:v>4.8000000000000001E-2</c:v>
                </c:pt>
                <c:pt idx="5">
                  <c:v>4.8000000000000001E-2</c:v>
                </c:pt>
                <c:pt idx="6">
                  <c:v>0.16558</c:v>
                </c:pt>
                <c:pt idx="7">
                  <c:v>4.8000000000000001E-2</c:v>
                </c:pt>
                <c:pt idx="8">
                  <c:v>4.8000000000000001E-2</c:v>
                </c:pt>
                <c:pt idx="9">
                  <c:v>4.8000000000000001E-2</c:v>
                </c:pt>
                <c:pt idx="10">
                  <c:v>0.13030600000000001</c:v>
                </c:pt>
                <c:pt idx="11">
                  <c:v>8.3274000000000001E-2</c:v>
                </c:pt>
                <c:pt idx="12">
                  <c:v>4.8000000000000001E-2</c:v>
                </c:pt>
                <c:pt idx="13">
                  <c:v>0.16558</c:v>
                </c:pt>
                <c:pt idx="14">
                  <c:v>6.1353999999999999E-2</c:v>
                </c:pt>
                <c:pt idx="15">
                  <c:v>6.6216800000000006E-2</c:v>
                </c:pt>
                <c:pt idx="16">
                  <c:v>0.30876633333333398</c:v>
                </c:pt>
                <c:pt idx="17">
                  <c:v>0.124427</c:v>
                </c:pt>
                <c:pt idx="18">
                  <c:v>9.0152999999999997E-2</c:v>
                </c:pt>
                <c:pt idx="19">
                  <c:v>0.124427</c:v>
                </c:pt>
                <c:pt idx="20">
                  <c:v>0.26228000000000001</c:v>
                </c:pt>
                <c:pt idx="21">
                  <c:v>0.16558</c:v>
                </c:pt>
                <c:pt idx="22">
                  <c:v>4.8000000000000001E-2</c:v>
                </c:pt>
                <c:pt idx="23">
                  <c:v>8.9152999999999996E-2</c:v>
                </c:pt>
                <c:pt idx="24">
                  <c:v>0.124427</c:v>
                </c:pt>
                <c:pt idx="25">
                  <c:v>4.8000000000000001E-2</c:v>
                </c:pt>
                <c:pt idx="26">
                  <c:v>0.124427</c:v>
                </c:pt>
                <c:pt idx="27">
                  <c:v>8.9152999999999996E-2</c:v>
                </c:pt>
                <c:pt idx="28">
                  <c:v>0.11266900000000001</c:v>
                </c:pt>
                <c:pt idx="29">
                  <c:v>0.100911</c:v>
                </c:pt>
                <c:pt idx="30">
                  <c:v>4.8000000000000001E-2</c:v>
                </c:pt>
                <c:pt idx="31">
                  <c:v>0.16558</c:v>
                </c:pt>
                <c:pt idx="32">
                  <c:v>4.8000000000000001E-2</c:v>
                </c:pt>
                <c:pt idx="33">
                  <c:v>4.8000000000000001E-2</c:v>
                </c:pt>
                <c:pt idx="34">
                  <c:v>0.19177</c:v>
                </c:pt>
                <c:pt idx="35">
                  <c:v>5.9757999999999999E-2</c:v>
                </c:pt>
                <c:pt idx="36">
                  <c:v>4.8000000000000001E-2</c:v>
                </c:pt>
                <c:pt idx="37">
                  <c:v>0.16558</c:v>
                </c:pt>
                <c:pt idx="38">
                  <c:v>0.225851</c:v>
                </c:pt>
                <c:pt idx="39">
                  <c:v>0.357265</c:v>
                </c:pt>
                <c:pt idx="40">
                  <c:v>0.15382199999999999</c:v>
                </c:pt>
                <c:pt idx="41">
                  <c:v>0.126602666666667</c:v>
                </c:pt>
                <c:pt idx="42">
                  <c:v>0.25880300000000001</c:v>
                </c:pt>
                <c:pt idx="43">
                  <c:v>0.15256349999999999</c:v>
                </c:pt>
                <c:pt idx="44">
                  <c:v>0.19255900000000001</c:v>
                </c:pt>
                <c:pt idx="45">
                  <c:v>0.22474666666666701</c:v>
                </c:pt>
                <c:pt idx="46">
                  <c:v>0.20808533333333301</c:v>
                </c:pt>
                <c:pt idx="47">
                  <c:v>0.21165999999999999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FCD-459D-BFC7-D57988FF3B25}"/>
            </c:ext>
          </c:extLst>
        </c:ser>
        <c:ser>
          <c:idx val="11"/>
          <c:order val="11"/>
          <c:tx>
            <c:v>BES_TR8_one469_A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Demand_kW!$N$2:$N$49</c:f>
              <c:numCache>
                <c:formatCode>#,##0.000</c:formatCode>
                <c:ptCount val="48"/>
                <c:pt idx="0">
                  <c:v>0.22261</c:v>
                </c:pt>
                <c:pt idx="1">
                  <c:v>0.18476000000000001</c:v>
                </c:pt>
                <c:pt idx="2">
                  <c:v>4.7E-2</c:v>
                </c:pt>
                <c:pt idx="3">
                  <c:v>9.2920000000000003E-2</c:v>
                </c:pt>
                <c:pt idx="4">
                  <c:v>0.16945333333333301</c:v>
                </c:pt>
                <c:pt idx="5">
                  <c:v>4.7E-2</c:v>
                </c:pt>
                <c:pt idx="6">
                  <c:v>4.7E-2</c:v>
                </c:pt>
                <c:pt idx="7">
                  <c:v>9.6596399999999999E-2</c:v>
                </c:pt>
                <c:pt idx="8">
                  <c:v>0.177106666666667</c:v>
                </c:pt>
                <c:pt idx="9">
                  <c:v>4.7E-2</c:v>
                </c:pt>
                <c:pt idx="10">
                  <c:v>0.215373333333333</c:v>
                </c:pt>
                <c:pt idx="11">
                  <c:v>4.7E-2</c:v>
                </c:pt>
                <c:pt idx="12">
                  <c:v>4.7E-2</c:v>
                </c:pt>
                <c:pt idx="13">
                  <c:v>6.2575400000000003E-2</c:v>
                </c:pt>
                <c:pt idx="14">
                  <c:v>0.21965000000000001</c:v>
                </c:pt>
                <c:pt idx="15">
                  <c:v>0.100573333333333</c:v>
                </c:pt>
                <c:pt idx="16">
                  <c:v>5.4653333333333297E-2</c:v>
                </c:pt>
                <c:pt idx="17">
                  <c:v>0.20771999999999999</c:v>
                </c:pt>
                <c:pt idx="18">
                  <c:v>4.7E-2</c:v>
                </c:pt>
                <c:pt idx="19">
                  <c:v>0.71019233333333298</c:v>
                </c:pt>
                <c:pt idx="20">
                  <c:v>1.1559157333333301</c:v>
                </c:pt>
                <c:pt idx="21">
                  <c:v>1.5850042666666699</c:v>
                </c:pt>
                <c:pt idx="22">
                  <c:v>1.3018333333333301</c:v>
                </c:pt>
                <c:pt idx="23">
                  <c:v>0.55852666666666695</c:v>
                </c:pt>
                <c:pt idx="24">
                  <c:v>0.15414666666666699</c:v>
                </c:pt>
                <c:pt idx="25">
                  <c:v>4.7E-2</c:v>
                </c:pt>
                <c:pt idx="26">
                  <c:v>4.7E-2</c:v>
                </c:pt>
                <c:pt idx="27">
                  <c:v>0.215373333333333</c:v>
                </c:pt>
                <c:pt idx="28">
                  <c:v>4.7E-2</c:v>
                </c:pt>
                <c:pt idx="29">
                  <c:v>4.7E-2</c:v>
                </c:pt>
                <c:pt idx="30">
                  <c:v>0.200066666666667</c:v>
                </c:pt>
                <c:pt idx="31">
                  <c:v>6.2306666666666601E-2</c:v>
                </c:pt>
                <c:pt idx="32">
                  <c:v>0.15414666666666699</c:v>
                </c:pt>
                <c:pt idx="33">
                  <c:v>0.108226666666667</c:v>
                </c:pt>
                <c:pt idx="34">
                  <c:v>0.111024333333333</c:v>
                </c:pt>
                <c:pt idx="35">
                  <c:v>1.7134548000000001</c:v>
                </c:pt>
                <c:pt idx="36">
                  <c:v>8.6493333333333394E-2</c:v>
                </c:pt>
                <c:pt idx="37">
                  <c:v>0.24516199999999999</c:v>
                </c:pt>
                <c:pt idx="38">
                  <c:v>0.166228866666667</c:v>
                </c:pt>
                <c:pt idx="39">
                  <c:v>1.54871166666667</c:v>
                </c:pt>
                <c:pt idx="40">
                  <c:v>1.6230433333333301</c:v>
                </c:pt>
                <c:pt idx="41">
                  <c:v>1.053982</c:v>
                </c:pt>
                <c:pt idx="42">
                  <c:v>0.66578999999999999</c:v>
                </c:pt>
                <c:pt idx="43">
                  <c:v>0.43113299999999999</c:v>
                </c:pt>
                <c:pt idx="44">
                  <c:v>0.146493333333333</c:v>
                </c:pt>
                <c:pt idx="45">
                  <c:v>4.7E-2</c:v>
                </c:pt>
                <c:pt idx="46">
                  <c:v>0.18476000000000001</c:v>
                </c:pt>
                <c:pt idx="47">
                  <c:v>7.7613333333333298E-2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FCD-459D-BFC7-D57988FF3B25}"/>
            </c:ext>
          </c:extLst>
        </c:ser>
        <c:ser>
          <c:idx val="12"/>
          <c:order val="12"/>
          <c:tx>
            <c:v>BES_TR8_one477_A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Demand_kW!$O$2:$O$49</c:f>
              <c:numCache>
                <c:formatCode>#,##0.000</c:formatCode>
                <c:ptCount val="48"/>
                <c:pt idx="0">
                  <c:v>0.53012433333333397</c:v>
                </c:pt>
                <c:pt idx="1">
                  <c:v>0.72674733333333397</c:v>
                </c:pt>
                <c:pt idx="2">
                  <c:v>0.12863666666666701</c:v>
                </c:pt>
                <c:pt idx="3">
                  <c:v>0.15201899999999999</c:v>
                </c:pt>
                <c:pt idx="4">
                  <c:v>0.19760966666666699</c:v>
                </c:pt>
                <c:pt idx="5">
                  <c:v>0.129028</c:v>
                </c:pt>
                <c:pt idx="6">
                  <c:v>0.37269866666666701</c:v>
                </c:pt>
                <c:pt idx="7">
                  <c:v>0.50324599999999997</c:v>
                </c:pt>
                <c:pt idx="8">
                  <c:v>0.16964000000000001</c:v>
                </c:pt>
                <c:pt idx="9">
                  <c:v>0.103352</c:v>
                </c:pt>
                <c:pt idx="10">
                  <c:v>0.220600666666667</c:v>
                </c:pt>
                <c:pt idx="11">
                  <c:v>5.1999999999999998E-2</c:v>
                </c:pt>
                <c:pt idx="12">
                  <c:v>0.27195266666666701</c:v>
                </c:pt>
                <c:pt idx="13">
                  <c:v>7.7675999999999995E-2</c:v>
                </c:pt>
                <c:pt idx="14">
                  <c:v>0.12863666666666701</c:v>
                </c:pt>
                <c:pt idx="15">
                  <c:v>0.14396400000000001</c:v>
                </c:pt>
                <c:pt idx="16">
                  <c:v>8.2654666666666696E-2</c:v>
                </c:pt>
                <c:pt idx="17">
                  <c:v>0.26697399999999999</c:v>
                </c:pt>
                <c:pt idx="18">
                  <c:v>0.12545666666666699</c:v>
                </c:pt>
                <c:pt idx="19">
                  <c:v>0.20662</c:v>
                </c:pt>
                <c:pt idx="20">
                  <c:v>0.233101</c:v>
                </c:pt>
                <c:pt idx="21">
                  <c:v>0.62982499999999997</c:v>
                </c:pt>
                <c:pt idx="22">
                  <c:v>0.199633</c:v>
                </c:pt>
                <c:pt idx="23">
                  <c:v>1.565512</c:v>
                </c:pt>
                <c:pt idx="24">
                  <c:v>0.68045733333333303</c:v>
                </c:pt>
                <c:pt idx="25">
                  <c:v>0.55496333333333303</c:v>
                </c:pt>
                <c:pt idx="26">
                  <c:v>0.220600666666667</c:v>
                </c:pt>
                <c:pt idx="27">
                  <c:v>0.76397733333333295</c:v>
                </c:pt>
                <c:pt idx="28">
                  <c:v>0.25470799999999999</c:v>
                </c:pt>
                <c:pt idx="29">
                  <c:v>0.39361533333333398</c:v>
                </c:pt>
                <c:pt idx="30">
                  <c:v>7.3396666666666693E-2</c:v>
                </c:pt>
                <c:pt idx="31">
                  <c:v>0.12295866666666699</c:v>
                </c:pt>
                <c:pt idx="32">
                  <c:v>0.205273333333333</c:v>
                </c:pt>
                <c:pt idx="33">
                  <c:v>1.773728</c:v>
                </c:pt>
                <c:pt idx="34">
                  <c:v>0.70385000000000097</c:v>
                </c:pt>
                <c:pt idx="35">
                  <c:v>0.34208833333333399</c:v>
                </c:pt>
                <c:pt idx="36">
                  <c:v>0.245317333333333</c:v>
                </c:pt>
                <c:pt idx="37">
                  <c:v>0.40877200000000002</c:v>
                </c:pt>
                <c:pt idx="38">
                  <c:v>0.51714533333333401</c:v>
                </c:pt>
                <c:pt idx="39">
                  <c:v>0.24729000000000001</c:v>
                </c:pt>
                <c:pt idx="40">
                  <c:v>0.54765533333333305</c:v>
                </c:pt>
                <c:pt idx="41">
                  <c:v>0.65964933333333298</c:v>
                </c:pt>
                <c:pt idx="42">
                  <c:v>0.21160000000000001</c:v>
                </c:pt>
                <c:pt idx="43">
                  <c:v>0.31929533333333299</c:v>
                </c:pt>
                <c:pt idx="44">
                  <c:v>0.46938166666666598</c:v>
                </c:pt>
                <c:pt idx="45">
                  <c:v>0.15181333333333299</c:v>
                </c:pt>
                <c:pt idx="46">
                  <c:v>0.243088</c:v>
                </c:pt>
                <c:pt idx="47">
                  <c:v>0.10654066666666701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FCD-459D-BFC7-D57988FF3B25}"/>
            </c:ext>
          </c:extLst>
        </c:ser>
        <c:ser>
          <c:idx val="13"/>
          <c:order val="13"/>
          <c:tx>
            <c:v>BES_TR8_one482_B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Demand_kW!$P$2:$P$49</c:f>
              <c:numCache>
                <c:formatCode>#,##0.000</c:formatCode>
                <c:ptCount val="48"/>
                <c:pt idx="0">
                  <c:v>0.17988933333333301</c:v>
                </c:pt>
                <c:pt idx="1">
                  <c:v>4.4999999999999998E-2</c:v>
                </c:pt>
                <c:pt idx="2">
                  <c:v>0.21956266666666699</c:v>
                </c:pt>
                <c:pt idx="3">
                  <c:v>0.120828</c:v>
                </c:pt>
                <c:pt idx="4">
                  <c:v>4.4999999999999998E-2</c:v>
                </c:pt>
                <c:pt idx="5">
                  <c:v>0.14815066666666701</c:v>
                </c:pt>
                <c:pt idx="6">
                  <c:v>0.116412</c:v>
                </c:pt>
                <c:pt idx="7">
                  <c:v>0.15158333333333299</c:v>
                </c:pt>
                <c:pt idx="8">
                  <c:v>0.188804</c:v>
                </c:pt>
                <c:pt idx="9">
                  <c:v>0.10818999999999999</c:v>
                </c:pt>
                <c:pt idx="10">
                  <c:v>5.7638000000000002E-2</c:v>
                </c:pt>
                <c:pt idx="11">
                  <c:v>4.4999999999999998E-2</c:v>
                </c:pt>
                <c:pt idx="12">
                  <c:v>0.39591300000000001</c:v>
                </c:pt>
                <c:pt idx="13">
                  <c:v>0.203888666666667</c:v>
                </c:pt>
                <c:pt idx="14">
                  <c:v>0.29737799999999998</c:v>
                </c:pt>
                <c:pt idx="15">
                  <c:v>8.9212666666666704E-2</c:v>
                </c:pt>
                <c:pt idx="16">
                  <c:v>0.53056233333333402</c:v>
                </c:pt>
                <c:pt idx="17">
                  <c:v>4.4999999999999998E-2</c:v>
                </c:pt>
                <c:pt idx="18">
                  <c:v>0.120828</c:v>
                </c:pt>
                <c:pt idx="19">
                  <c:v>8.49346666666667E-2</c:v>
                </c:pt>
                <c:pt idx="20">
                  <c:v>0.291628</c:v>
                </c:pt>
                <c:pt idx="21">
                  <c:v>4.4999999999999998E-2</c:v>
                </c:pt>
                <c:pt idx="22">
                  <c:v>0.14442833333333299</c:v>
                </c:pt>
                <c:pt idx="23">
                  <c:v>0.195958666666667</c:v>
                </c:pt>
                <c:pt idx="24">
                  <c:v>4.4999999999999998E-2</c:v>
                </c:pt>
                <c:pt idx="25">
                  <c:v>0.27109066666666698</c:v>
                </c:pt>
                <c:pt idx="26">
                  <c:v>6.9293999999999994E-2</c:v>
                </c:pt>
                <c:pt idx="27">
                  <c:v>6.18506666666667E-2</c:v>
                </c:pt>
                <c:pt idx="28">
                  <c:v>0.10397733333333301</c:v>
                </c:pt>
                <c:pt idx="29">
                  <c:v>0.19301633333333301</c:v>
                </c:pt>
                <c:pt idx="30">
                  <c:v>0.14737066666666701</c:v>
                </c:pt>
                <c:pt idx="31">
                  <c:v>0.25324533333333299</c:v>
                </c:pt>
                <c:pt idx="32">
                  <c:v>0.28115800000000002</c:v>
                </c:pt>
                <c:pt idx="33">
                  <c:v>0.98347266666666799</c:v>
                </c:pt>
                <c:pt idx="34">
                  <c:v>5.3453000000000001E-2</c:v>
                </c:pt>
                <c:pt idx="35">
                  <c:v>0.28868933333333302</c:v>
                </c:pt>
                <c:pt idx="36">
                  <c:v>0.31227233333333299</c:v>
                </c:pt>
                <c:pt idx="37">
                  <c:v>0.59572233333333302</c:v>
                </c:pt>
                <c:pt idx="38">
                  <c:v>0.66043466666666695</c:v>
                </c:pt>
                <c:pt idx="39">
                  <c:v>0.62062233333333305</c:v>
                </c:pt>
                <c:pt idx="40">
                  <c:v>0.50505800000000001</c:v>
                </c:pt>
                <c:pt idx="41">
                  <c:v>0.563543666666667</c:v>
                </c:pt>
                <c:pt idx="42">
                  <c:v>0.40138533333333298</c:v>
                </c:pt>
                <c:pt idx="43">
                  <c:v>0.53950699999999996</c:v>
                </c:pt>
                <c:pt idx="44">
                  <c:v>0.87603266666666701</c:v>
                </c:pt>
                <c:pt idx="45">
                  <c:v>0.58489000000000002</c:v>
                </c:pt>
                <c:pt idx="46">
                  <c:v>0.295385333333333</c:v>
                </c:pt>
                <c:pt idx="47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FCD-459D-BFC7-D57988FF3B25}"/>
            </c:ext>
          </c:extLst>
        </c:ser>
        <c:ser>
          <c:idx val="14"/>
          <c:order val="14"/>
          <c:tx>
            <c:v>BES_TR8_one61_A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Demand_kW!$Q$2:$Q$49</c:f>
              <c:numCache>
                <c:formatCode>#,##0.000</c:formatCode>
                <c:ptCount val="48"/>
                <c:pt idx="0">
                  <c:v>7.5347999999999998E-2</c:v>
                </c:pt>
                <c:pt idx="1">
                  <c:v>0.13079333333333301</c:v>
                </c:pt>
                <c:pt idx="2">
                  <c:v>0.17443800000000001</c:v>
                </c:pt>
                <c:pt idx="3">
                  <c:v>0.13004399999999999</c:v>
                </c:pt>
                <c:pt idx="4">
                  <c:v>0.16741366666666699</c:v>
                </c:pt>
                <c:pt idx="5">
                  <c:v>0.133259666666667</c:v>
                </c:pt>
                <c:pt idx="6">
                  <c:v>7.9906000000000005E-2</c:v>
                </c:pt>
                <c:pt idx="7">
                  <c:v>0.188486666666667</c:v>
                </c:pt>
                <c:pt idx="8">
                  <c:v>0.14409266666666701</c:v>
                </c:pt>
                <c:pt idx="9">
                  <c:v>4.8000000000000001E-2</c:v>
                </c:pt>
                <c:pt idx="10">
                  <c:v>0.27052633333333298</c:v>
                </c:pt>
                <c:pt idx="11">
                  <c:v>6.2048666666666703E-2</c:v>
                </c:pt>
                <c:pt idx="12">
                  <c:v>6.6231999999999999E-2</c:v>
                </c:pt>
                <c:pt idx="13">
                  <c:v>0.21717700000000001</c:v>
                </c:pt>
                <c:pt idx="14">
                  <c:v>0.14297033333333301</c:v>
                </c:pt>
                <c:pt idx="15">
                  <c:v>7.0900000000000005E-2</c:v>
                </c:pt>
                <c:pt idx="16">
                  <c:v>1.3619806666666701</c:v>
                </c:pt>
                <c:pt idx="17">
                  <c:v>0.167488</c:v>
                </c:pt>
                <c:pt idx="18">
                  <c:v>1.4050243333333301</c:v>
                </c:pt>
                <c:pt idx="19">
                  <c:v>0.38990966666666699</c:v>
                </c:pt>
                <c:pt idx="20">
                  <c:v>9.50926666666667E-2</c:v>
                </c:pt>
                <c:pt idx="21">
                  <c:v>0.31356000000000001</c:v>
                </c:pt>
                <c:pt idx="22">
                  <c:v>1.6801056666666701</c:v>
                </c:pt>
                <c:pt idx="23">
                  <c:v>0.18523000000000001</c:v>
                </c:pt>
                <c:pt idx="24">
                  <c:v>0.353636333333333</c:v>
                </c:pt>
                <c:pt idx="25">
                  <c:v>0.139207</c:v>
                </c:pt>
                <c:pt idx="26">
                  <c:v>0.116175666666667</c:v>
                </c:pt>
                <c:pt idx="27">
                  <c:v>0.25761966666666702</c:v>
                </c:pt>
                <c:pt idx="28">
                  <c:v>0.30502000000000001</c:v>
                </c:pt>
                <c:pt idx="29">
                  <c:v>1.7962739999999999</c:v>
                </c:pt>
                <c:pt idx="30">
                  <c:v>0.155212033333333</c:v>
                </c:pt>
                <c:pt idx="31">
                  <c:v>0.33724083333333299</c:v>
                </c:pt>
                <c:pt idx="32">
                  <c:v>0.79470066666666705</c:v>
                </c:pt>
                <c:pt idx="33">
                  <c:v>0.84840166666666506</c:v>
                </c:pt>
                <c:pt idx="34">
                  <c:v>6.2048666666666703E-2</c:v>
                </c:pt>
                <c:pt idx="35">
                  <c:v>0.229508666666667</c:v>
                </c:pt>
                <c:pt idx="36">
                  <c:v>0.29925200000000002</c:v>
                </c:pt>
                <c:pt idx="37">
                  <c:v>0.25903700000000002</c:v>
                </c:pt>
                <c:pt idx="38">
                  <c:v>0.183834</c:v>
                </c:pt>
                <c:pt idx="39">
                  <c:v>0.33823633333333297</c:v>
                </c:pt>
                <c:pt idx="40">
                  <c:v>0.40335833333333299</c:v>
                </c:pt>
                <c:pt idx="41">
                  <c:v>0.161251333333333</c:v>
                </c:pt>
                <c:pt idx="42">
                  <c:v>0.48388833333333398</c:v>
                </c:pt>
                <c:pt idx="43">
                  <c:v>0.38756099999999999</c:v>
                </c:pt>
                <c:pt idx="44">
                  <c:v>6.9072999999999996E-2</c:v>
                </c:pt>
                <c:pt idx="45">
                  <c:v>0.26350166666666702</c:v>
                </c:pt>
                <c:pt idx="46">
                  <c:v>4.8000000000000001E-2</c:v>
                </c:pt>
                <c:pt idx="47">
                  <c:v>0.20253533333333301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FCD-459D-BFC7-D57988FF3B25}"/>
            </c:ext>
          </c:extLst>
        </c:ser>
        <c:ser>
          <c:idx val="15"/>
          <c:order val="15"/>
          <c:tx>
            <c:v>BES_TR8_one552_B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Demand_kW!$R$2:$R$49</c:f>
              <c:numCache>
                <c:formatCode>#,##0.000</c:formatCode>
                <c:ptCount val="48"/>
                <c:pt idx="0">
                  <c:v>0.59302333333333301</c:v>
                </c:pt>
                <c:pt idx="1">
                  <c:v>0.38345066666666699</c:v>
                </c:pt>
                <c:pt idx="2">
                  <c:v>0.55861666666666698</c:v>
                </c:pt>
                <c:pt idx="3">
                  <c:v>0.262056333333333</c:v>
                </c:pt>
                <c:pt idx="4">
                  <c:v>9.4186000000000006E-2</c:v>
                </c:pt>
                <c:pt idx="5">
                  <c:v>0.24357999999999999</c:v>
                </c:pt>
                <c:pt idx="6">
                  <c:v>4.5999999999999999E-2</c:v>
                </c:pt>
                <c:pt idx="7">
                  <c:v>0.231711</c:v>
                </c:pt>
                <c:pt idx="8">
                  <c:v>0.106055</c:v>
                </c:pt>
                <c:pt idx="9">
                  <c:v>0.118279</c:v>
                </c:pt>
                <c:pt idx="10">
                  <c:v>0.15040300000000001</c:v>
                </c:pt>
                <c:pt idx="11">
                  <c:v>0.1192545</c:v>
                </c:pt>
                <c:pt idx="12">
                  <c:v>1.4831206666666701</c:v>
                </c:pt>
                <c:pt idx="13">
                  <c:v>0.42362349999999999</c:v>
                </c:pt>
                <c:pt idx="14">
                  <c:v>0.29041233333333299</c:v>
                </c:pt>
                <c:pt idx="15">
                  <c:v>0.18173700000000001</c:v>
                </c:pt>
                <c:pt idx="16">
                  <c:v>1.58406966666667</c:v>
                </c:pt>
                <c:pt idx="17">
                  <c:v>0.25124299999999999</c:v>
                </c:pt>
                <c:pt idx="18">
                  <c:v>0.15277633333333299</c:v>
                </c:pt>
                <c:pt idx="19">
                  <c:v>0.36238199999999998</c:v>
                </c:pt>
                <c:pt idx="20">
                  <c:v>0.56505266666666698</c:v>
                </c:pt>
                <c:pt idx="21">
                  <c:v>2.1664206666666699</c:v>
                </c:pt>
                <c:pt idx="22">
                  <c:v>0.26426966666666701</c:v>
                </c:pt>
                <c:pt idx="23">
                  <c:v>1.67849933333333</c:v>
                </c:pt>
                <c:pt idx="24">
                  <c:v>0.36636333333333299</c:v>
                </c:pt>
                <c:pt idx="25">
                  <c:v>1.75717026666667</c:v>
                </c:pt>
                <c:pt idx="26">
                  <c:v>0.47559053333333301</c:v>
                </c:pt>
                <c:pt idx="27">
                  <c:v>0.488568</c:v>
                </c:pt>
                <c:pt idx="28">
                  <c:v>0.54112000000000005</c:v>
                </c:pt>
                <c:pt idx="29">
                  <c:v>0.22499333333333299</c:v>
                </c:pt>
                <c:pt idx="30">
                  <c:v>0.39864066666666698</c:v>
                </c:pt>
                <c:pt idx="31">
                  <c:v>0.34465000000000001</c:v>
                </c:pt>
                <c:pt idx="32">
                  <c:v>0.31652000000000002</c:v>
                </c:pt>
                <c:pt idx="33">
                  <c:v>0.40289599999999998</c:v>
                </c:pt>
                <c:pt idx="34">
                  <c:v>0.20342833333333299</c:v>
                </c:pt>
                <c:pt idx="35">
                  <c:v>0.255021</c:v>
                </c:pt>
                <c:pt idx="36">
                  <c:v>0.298481</c:v>
                </c:pt>
                <c:pt idx="37">
                  <c:v>0.218155666666667</c:v>
                </c:pt>
                <c:pt idx="38">
                  <c:v>0.25365333333333301</c:v>
                </c:pt>
                <c:pt idx="39">
                  <c:v>0.42372233333333298</c:v>
                </c:pt>
                <c:pt idx="40">
                  <c:v>0.62942766666666605</c:v>
                </c:pt>
                <c:pt idx="41">
                  <c:v>0.494039333333334</c:v>
                </c:pt>
                <c:pt idx="42">
                  <c:v>0.55653166666666698</c:v>
                </c:pt>
                <c:pt idx="43">
                  <c:v>0.68541666666666701</c:v>
                </c:pt>
                <c:pt idx="44">
                  <c:v>0.73400066666666597</c:v>
                </c:pt>
                <c:pt idx="45">
                  <c:v>0.89950300000000005</c:v>
                </c:pt>
                <c:pt idx="46">
                  <c:v>0.77008399999999999</c:v>
                </c:pt>
                <c:pt idx="47">
                  <c:v>0.16327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FCD-459D-BFC7-D57988FF3B25}"/>
            </c:ext>
          </c:extLst>
        </c:ser>
        <c:ser>
          <c:idx val="16"/>
          <c:order val="16"/>
          <c:tx>
            <c:v>BES_TR8_one560_C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Demand_kW!$S$2:$S$49</c:f>
              <c:numCache>
                <c:formatCode>#,##0.000</c:formatCode>
                <c:ptCount val="48"/>
                <c:pt idx="0">
                  <c:v>0.96122399999999997</c:v>
                </c:pt>
                <c:pt idx="1">
                  <c:v>0.81893333333333396</c:v>
                </c:pt>
                <c:pt idx="2">
                  <c:v>0.670088666666667</c:v>
                </c:pt>
                <c:pt idx="3">
                  <c:v>0.35930333333333297</c:v>
                </c:pt>
                <c:pt idx="4">
                  <c:v>0.52779666666666702</c:v>
                </c:pt>
                <c:pt idx="5">
                  <c:v>0.38999733333333297</c:v>
                </c:pt>
                <c:pt idx="6">
                  <c:v>0.30843466666666702</c:v>
                </c:pt>
                <c:pt idx="7">
                  <c:v>1.19981133333333</c:v>
                </c:pt>
                <c:pt idx="8">
                  <c:v>0.10330400000000001</c:v>
                </c:pt>
                <c:pt idx="9">
                  <c:v>5.3999999999999999E-2</c:v>
                </c:pt>
                <c:pt idx="10">
                  <c:v>0.11563</c:v>
                </c:pt>
                <c:pt idx="11">
                  <c:v>6.6325999999999996E-2</c:v>
                </c:pt>
                <c:pt idx="12">
                  <c:v>7.0434666666666701E-2</c:v>
                </c:pt>
                <c:pt idx="13">
                  <c:v>0.203881533333333</c:v>
                </c:pt>
                <c:pt idx="14">
                  <c:v>7.4543333333333406E-2</c:v>
                </c:pt>
                <c:pt idx="15">
                  <c:v>0.107412666666667</c:v>
                </c:pt>
                <c:pt idx="16">
                  <c:v>9.0978000000000003E-2</c:v>
                </c:pt>
                <c:pt idx="17">
                  <c:v>9.0977999999999906E-2</c:v>
                </c:pt>
                <c:pt idx="18">
                  <c:v>5.3999999999999999E-2</c:v>
                </c:pt>
                <c:pt idx="19">
                  <c:v>5.3999999999999999E-2</c:v>
                </c:pt>
                <c:pt idx="20">
                  <c:v>5.3999999999999999E-2</c:v>
                </c:pt>
                <c:pt idx="21">
                  <c:v>0.12795599999999999</c:v>
                </c:pt>
                <c:pt idx="22">
                  <c:v>0.31581866666666703</c:v>
                </c:pt>
                <c:pt idx="23">
                  <c:v>0.34380066666666698</c:v>
                </c:pt>
                <c:pt idx="24">
                  <c:v>0.73083733333333301</c:v>
                </c:pt>
                <c:pt idx="25">
                  <c:v>0.15536666666666701</c:v>
                </c:pt>
                <c:pt idx="26">
                  <c:v>0.16985600000000001</c:v>
                </c:pt>
                <c:pt idx="27">
                  <c:v>5.3999999999999999E-2</c:v>
                </c:pt>
                <c:pt idx="28">
                  <c:v>8.7128000000000094E-2</c:v>
                </c:pt>
                <c:pt idx="29">
                  <c:v>0.22620066666666699</c:v>
                </c:pt>
                <c:pt idx="30">
                  <c:v>0.25218600000000002</c:v>
                </c:pt>
                <c:pt idx="31">
                  <c:v>0.17823</c:v>
                </c:pt>
                <c:pt idx="32">
                  <c:v>1.059571</c:v>
                </c:pt>
                <c:pt idx="33">
                  <c:v>0.801366666666667</c:v>
                </c:pt>
                <c:pt idx="34">
                  <c:v>0.39476033333333299</c:v>
                </c:pt>
                <c:pt idx="35">
                  <c:v>0.200631333333333</c:v>
                </c:pt>
                <c:pt idx="36">
                  <c:v>0.29994599999999999</c:v>
                </c:pt>
                <c:pt idx="37">
                  <c:v>0.21045133333333299</c:v>
                </c:pt>
                <c:pt idx="38">
                  <c:v>0.23762333333333299</c:v>
                </c:pt>
                <c:pt idx="39">
                  <c:v>0.45380533333333301</c:v>
                </c:pt>
                <c:pt idx="40">
                  <c:v>1.32853133333333</c:v>
                </c:pt>
                <c:pt idx="41">
                  <c:v>1.86376866666667</c:v>
                </c:pt>
                <c:pt idx="42">
                  <c:v>0.42468266666666699</c:v>
                </c:pt>
                <c:pt idx="43">
                  <c:v>0.37526733333333301</c:v>
                </c:pt>
                <c:pt idx="44">
                  <c:v>0.56987399999999999</c:v>
                </c:pt>
                <c:pt idx="45">
                  <c:v>0.53709933333333304</c:v>
                </c:pt>
                <c:pt idx="46">
                  <c:v>0.36133933333333301</c:v>
                </c:pt>
                <c:pt idx="47">
                  <c:v>0.17460266666666699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FCD-459D-BFC7-D57988FF3B25}"/>
            </c:ext>
          </c:extLst>
        </c:ser>
        <c:ser>
          <c:idx val="17"/>
          <c:order val="17"/>
          <c:tx>
            <c:v>BES_TR8_one73_A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Demand_kW!$T$2:$T$49</c:f>
              <c:numCache>
                <c:formatCode>#,##0.000</c:formatCode>
                <c:ptCount val="48"/>
                <c:pt idx="0">
                  <c:v>0.183300666666667</c:v>
                </c:pt>
                <c:pt idx="1">
                  <c:v>0.240402</c:v>
                </c:pt>
                <c:pt idx="2">
                  <c:v>0.15165300000000001</c:v>
                </c:pt>
                <c:pt idx="3">
                  <c:v>0.223015666666667</c:v>
                </c:pt>
                <c:pt idx="4">
                  <c:v>0.140902</c:v>
                </c:pt>
                <c:pt idx="5">
                  <c:v>0.148362666666667</c:v>
                </c:pt>
                <c:pt idx="6">
                  <c:v>0.278864</c:v>
                </c:pt>
                <c:pt idx="7">
                  <c:v>4.5999999999999999E-2</c:v>
                </c:pt>
                <c:pt idx="8">
                  <c:v>0.14448066666666701</c:v>
                </c:pt>
                <c:pt idx="9">
                  <c:v>0.21287</c:v>
                </c:pt>
                <c:pt idx="10">
                  <c:v>6.9292000000000006E-2</c:v>
                </c:pt>
                <c:pt idx="11">
                  <c:v>0.282088333333333</c:v>
                </c:pt>
                <c:pt idx="12">
                  <c:v>0.12185</c:v>
                </c:pt>
                <c:pt idx="13">
                  <c:v>0.152244666666667</c:v>
                </c:pt>
                <c:pt idx="14">
                  <c:v>0.267397</c:v>
                </c:pt>
                <c:pt idx="15">
                  <c:v>0.34759166666666702</c:v>
                </c:pt>
                <c:pt idx="16">
                  <c:v>0.44515686666666698</c:v>
                </c:pt>
                <c:pt idx="17">
                  <c:v>1.12292666666667</c:v>
                </c:pt>
                <c:pt idx="18">
                  <c:v>0.37968000000000002</c:v>
                </c:pt>
                <c:pt idx="19">
                  <c:v>0.311350666666667</c:v>
                </c:pt>
                <c:pt idx="20">
                  <c:v>0.43192399999999997</c:v>
                </c:pt>
                <c:pt idx="21">
                  <c:v>1.1412756666666699</c:v>
                </c:pt>
                <c:pt idx="22">
                  <c:v>0.44843499999999997</c:v>
                </c:pt>
                <c:pt idx="23">
                  <c:v>7.7055999999999999E-2</c:v>
                </c:pt>
                <c:pt idx="24">
                  <c:v>0.29817700000000003</c:v>
                </c:pt>
                <c:pt idx="25">
                  <c:v>9.7993666666666604E-2</c:v>
                </c:pt>
                <c:pt idx="26">
                  <c:v>5.3585000000000001E-2</c:v>
                </c:pt>
                <c:pt idx="27">
                  <c:v>0.31541166666666698</c:v>
                </c:pt>
                <c:pt idx="28">
                  <c:v>0.10423</c:v>
                </c:pt>
                <c:pt idx="29">
                  <c:v>0.131142333333333</c:v>
                </c:pt>
                <c:pt idx="30">
                  <c:v>0.29608600000000002</c:v>
                </c:pt>
                <c:pt idx="31">
                  <c:v>4.5999999999999999E-2</c:v>
                </c:pt>
                <c:pt idx="32">
                  <c:v>0.47037366666666602</c:v>
                </c:pt>
                <c:pt idx="33">
                  <c:v>0.17859630000000001</c:v>
                </c:pt>
                <c:pt idx="34">
                  <c:v>0.112324833333333</c:v>
                </c:pt>
                <c:pt idx="35">
                  <c:v>0.248954066666667</c:v>
                </c:pt>
                <c:pt idx="36">
                  <c:v>0.28287266666666699</c:v>
                </c:pt>
                <c:pt idx="37">
                  <c:v>0.19673233333333301</c:v>
                </c:pt>
                <c:pt idx="38">
                  <c:v>0.257745</c:v>
                </c:pt>
                <c:pt idx="39">
                  <c:v>0.45763266666666702</c:v>
                </c:pt>
                <c:pt idx="40">
                  <c:v>1.00543933333333</c:v>
                </c:pt>
                <c:pt idx="41">
                  <c:v>0.72727633333333297</c:v>
                </c:pt>
                <c:pt idx="42">
                  <c:v>0.96933566666666704</c:v>
                </c:pt>
                <c:pt idx="43">
                  <c:v>0.59571366666666703</c:v>
                </c:pt>
                <c:pt idx="44">
                  <c:v>1.7250336666666699</c:v>
                </c:pt>
                <c:pt idx="45">
                  <c:v>0.70800933333333305</c:v>
                </c:pt>
                <c:pt idx="46">
                  <c:v>0.52632199999999996</c:v>
                </c:pt>
                <c:pt idx="47">
                  <c:v>0.53206766666666705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FCD-459D-BFC7-D57988FF3B25}"/>
            </c:ext>
          </c:extLst>
        </c:ser>
        <c:ser>
          <c:idx val="18"/>
          <c:order val="18"/>
          <c:tx>
            <c:v>BES_TR8_one137_A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Demand_kW!$U$2:$U$49</c:f>
              <c:numCache>
                <c:formatCode>#,##0.000</c:formatCode>
                <c:ptCount val="48"/>
                <c:pt idx="0">
                  <c:v>7.2729333333333396E-2</c:v>
                </c:pt>
                <c:pt idx="1">
                  <c:v>0.119552666666667</c:v>
                </c:pt>
                <c:pt idx="2">
                  <c:v>9.1458666666666702E-2</c:v>
                </c:pt>
                <c:pt idx="3">
                  <c:v>0.168329333333333</c:v>
                </c:pt>
                <c:pt idx="4">
                  <c:v>0.15150866666666701</c:v>
                </c:pt>
                <c:pt idx="5">
                  <c:v>0.13828199999999999</c:v>
                </c:pt>
                <c:pt idx="6">
                  <c:v>0.20401333333333299</c:v>
                </c:pt>
                <c:pt idx="7">
                  <c:v>0.13455400000000001</c:v>
                </c:pt>
                <c:pt idx="8">
                  <c:v>0.170238</c:v>
                </c:pt>
                <c:pt idx="9">
                  <c:v>0.121506</c:v>
                </c:pt>
                <c:pt idx="10">
                  <c:v>0.106504666666667</c:v>
                </c:pt>
                <c:pt idx="11">
                  <c:v>0.16650999999999999</c:v>
                </c:pt>
                <c:pt idx="12">
                  <c:v>5.3999999999999999E-2</c:v>
                </c:pt>
                <c:pt idx="13">
                  <c:v>0.21151400000000001</c:v>
                </c:pt>
                <c:pt idx="14">
                  <c:v>6.1500666666666703E-2</c:v>
                </c:pt>
                <c:pt idx="15">
                  <c:v>7.2729333333333396E-2</c:v>
                </c:pt>
                <c:pt idx="16">
                  <c:v>0.29582333333333299</c:v>
                </c:pt>
                <c:pt idx="17">
                  <c:v>0.48765333333333299</c:v>
                </c:pt>
                <c:pt idx="18">
                  <c:v>0.251919</c:v>
                </c:pt>
                <c:pt idx="19">
                  <c:v>0.27437066666666698</c:v>
                </c:pt>
                <c:pt idx="20">
                  <c:v>0.37489733333333303</c:v>
                </c:pt>
                <c:pt idx="21">
                  <c:v>1.6140953333333301</c:v>
                </c:pt>
                <c:pt idx="22">
                  <c:v>0.39337666666666699</c:v>
                </c:pt>
                <c:pt idx="23">
                  <c:v>0.58642766666666701</c:v>
                </c:pt>
                <c:pt idx="24">
                  <c:v>1.41419266666667</c:v>
                </c:pt>
                <c:pt idx="25">
                  <c:v>0.87439599999999995</c:v>
                </c:pt>
                <c:pt idx="26">
                  <c:v>0.41910333333333399</c:v>
                </c:pt>
                <c:pt idx="27">
                  <c:v>0.31186133333333299</c:v>
                </c:pt>
                <c:pt idx="28">
                  <c:v>0.232580333333334</c:v>
                </c:pt>
                <c:pt idx="29">
                  <c:v>0.34709499999999999</c:v>
                </c:pt>
                <c:pt idx="30">
                  <c:v>0.11487033333333301</c:v>
                </c:pt>
                <c:pt idx="31">
                  <c:v>0.237711333333333</c:v>
                </c:pt>
                <c:pt idx="32">
                  <c:v>0.21248133333333299</c:v>
                </c:pt>
                <c:pt idx="33">
                  <c:v>0.237474666666667</c:v>
                </c:pt>
                <c:pt idx="34">
                  <c:v>0.18999733333333299</c:v>
                </c:pt>
                <c:pt idx="35">
                  <c:v>0.13650733333333301</c:v>
                </c:pt>
                <c:pt idx="36">
                  <c:v>0.11487033333333301</c:v>
                </c:pt>
                <c:pt idx="37">
                  <c:v>0.21242366666666701</c:v>
                </c:pt>
                <c:pt idx="38">
                  <c:v>0.887062666666666</c:v>
                </c:pt>
                <c:pt idx="39">
                  <c:v>0.40166866666666701</c:v>
                </c:pt>
                <c:pt idx="40">
                  <c:v>0.49294433333333398</c:v>
                </c:pt>
                <c:pt idx="41">
                  <c:v>0.49787999999999999</c:v>
                </c:pt>
                <c:pt idx="42">
                  <c:v>0.51614566666666695</c:v>
                </c:pt>
                <c:pt idx="43">
                  <c:v>0.45578366666666698</c:v>
                </c:pt>
                <c:pt idx="44">
                  <c:v>0.776538333333334</c:v>
                </c:pt>
                <c:pt idx="45">
                  <c:v>2.1796283333333299</c:v>
                </c:pt>
                <c:pt idx="46">
                  <c:v>0.45985266666666702</c:v>
                </c:pt>
                <c:pt idx="47">
                  <c:v>0.13236666666666699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FCD-459D-BFC7-D57988FF3B25}"/>
            </c:ext>
          </c:extLst>
        </c:ser>
        <c:ser>
          <c:idx val="19"/>
          <c:order val="19"/>
          <c:tx>
            <c:v>BES_TR8_four50_C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Demand_kW!$V$2:$V$49</c:f>
              <c:numCache>
                <c:formatCode>#,##0.000</c:formatCode>
                <c:ptCount val="48"/>
                <c:pt idx="0">
                  <c:v>0.23365</c:v>
                </c:pt>
                <c:pt idx="1">
                  <c:v>0.136124</c:v>
                </c:pt>
                <c:pt idx="2">
                  <c:v>5.8999999999999997E-2</c:v>
                </c:pt>
                <c:pt idx="3">
                  <c:v>0.20039399999999999</c:v>
                </c:pt>
                <c:pt idx="4">
                  <c:v>5.8999999999999997E-2</c:v>
                </c:pt>
                <c:pt idx="5">
                  <c:v>0.110416</c:v>
                </c:pt>
                <c:pt idx="6">
                  <c:v>0.148978</c:v>
                </c:pt>
                <c:pt idx="7">
                  <c:v>5.8999999999999997E-2</c:v>
                </c:pt>
                <c:pt idx="8">
                  <c:v>0.20039399999999999</c:v>
                </c:pt>
                <c:pt idx="9">
                  <c:v>5.8999999999999997E-2</c:v>
                </c:pt>
                <c:pt idx="10">
                  <c:v>0.18754000000000001</c:v>
                </c:pt>
                <c:pt idx="11">
                  <c:v>7.1854000000000001E-2</c:v>
                </c:pt>
                <c:pt idx="12">
                  <c:v>5.8999999999999997E-2</c:v>
                </c:pt>
                <c:pt idx="13">
                  <c:v>5.8999999999999997E-2</c:v>
                </c:pt>
                <c:pt idx="14">
                  <c:v>0.24429100000000001</c:v>
                </c:pt>
                <c:pt idx="15">
                  <c:v>0.29957600000000001</c:v>
                </c:pt>
                <c:pt idx="16">
                  <c:v>0.24326</c:v>
                </c:pt>
                <c:pt idx="17">
                  <c:v>0.35893999999999998</c:v>
                </c:pt>
                <c:pt idx="18">
                  <c:v>0.23224800000000001</c:v>
                </c:pt>
                <c:pt idx="19">
                  <c:v>0.29233066666666702</c:v>
                </c:pt>
                <c:pt idx="20">
                  <c:v>0.901474000000001</c:v>
                </c:pt>
                <c:pt idx="21">
                  <c:v>0.546474666666667</c:v>
                </c:pt>
                <c:pt idx="22">
                  <c:v>0.16825899999999999</c:v>
                </c:pt>
                <c:pt idx="23">
                  <c:v>9.1134999999999994E-2</c:v>
                </c:pt>
                <c:pt idx="24">
                  <c:v>0.12969700000000001</c:v>
                </c:pt>
                <c:pt idx="25">
                  <c:v>0.12969700000000001</c:v>
                </c:pt>
                <c:pt idx="26">
                  <c:v>5.8999999999999997E-2</c:v>
                </c:pt>
                <c:pt idx="27">
                  <c:v>5.8999999999999997E-2</c:v>
                </c:pt>
                <c:pt idx="28">
                  <c:v>0.232944333333333</c:v>
                </c:pt>
                <c:pt idx="29">
                  <c:v>0.28979966666666701</c:v>
                </c:pt>
                <c:pt idx="30">
                  <c:v>7.3826666666666693E-2</c:v>
                </c:pt>
                <c:pt idx="31">
                  <c:v>0.34932479999999999</c:v>
                </c:pt>
                <c:pt idx="32">
                  <c:v>0.33778973333333301</c:v>
                </c:pt>
                <c:pt idx="33">
                  <c:v>0.1804702</c:v>
                </c:pt>
                <c:pt idx="34">
                  <c:v>0.22183420000000001</c:v>
                </c:pt>
                <c:pt idx="35">
                  <c:v>0.463533266666667</c:v>
                </c:pt>
                <c:pt idx="36">
                  <c:v>0.44383</c:v>
                </c:pt>
                <c:pt idx="37">
                  <c:v>1.4100573333333299</c:v>
                </c:pt>
                <c:pt idx="38">
                  <c:v>0.58239166666666697</c:v>
                </c:pt>
                <c:pt idx="39">
                  <c:v>0.68250833333333305</c:v>
                </c:pt>
                <c:pt idx="40">
                  <c:v>0.45307700000000001</c:v>
                </c:pt>
                <c:pt idx="41">
                  <c:v>0.32827133333333303</c:v>
                </c:pt>
                <c:pt idx="42">
                  <c:v>0.67323599999999995</c:v>
                </c:pt>
                <c:pt idx="43">
                  <c:v>0.96847799999999995</c:v>
                </c:pt>
                <c:pt idx="44">
                  <c:v>0.17567366666666701</c:v>
                </c:pt>
                <c:pt idx="45">
                  <c:v>0.303653333333333</c:v>
                </c:pt>
                <c:pt idx="46">
                  <c:v>8.4708000000000006E-2</c:v>
                </c:pt>
                <c:pt idx="47">
                  <c:v>0.17468600000000001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FCD-459D-BFC7-D57988FF3B25}"/>
            </c:ext>
          </c:extLst>
        </c:ser>
        <c:ser>
          <c:idx val="20"/>
          <c:order val="20"/>
          <c:tx>
            <c:v>BES_TR8_four171_A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Demand_kW!$W$2:$W$49</c:f>
              <c:numCache>
                <c:formatCode>#,##0.000</c:formatCode>
                <c:ptCount val="48"/>
                <c:pt idx="0">
                  <c:v>0.22758600000000001</c:v>
                </c:pt>
                <c:pt idx="1">
                  <c:v>4.8000000000000001E-2</c:v>
                </c:pt>
                <c:pt idx="2">
                  <c:v>0.22722766666666699</c:v>
                </c:pt>
                <c:pt idx="3">
                  <c:v>0.17044500000000001</c:v>
                </c:pt>
                <c:pt idx="4">
                  <c:v>0.170086666666667</c:v>
                </c:pt>
                <c:pt idx="5">
                  <c:v>0.22758600000000001</c:v>
                </c:pt>
                <c:pt idx="6">
                  <c:v>4.8000000000000001E-2</c:v>
                </c:pt>
                <c:pt idx="7">
                  <c:v>0.30885766666666697</c:v>
                </c:pt>
                <c:pt idx="8">
                  <c:v>8.8815000000000005E-2</c:v>
                </c:pt>
                <c:pt idx="9">
                  <c:v>0.113304</c:v>
                </c:pt>
                <c:pt idx="10">
                  <c:v>0.28436866666666699</c:v>
                </c:pt>
                <c:pt idx="11">
                  <c:v>4.8000000000000001E-2</c:v>
                </c:pt>
                <c:pt idx="12">
                  <c:v>6.4325999999999994E-2</c:v>
                </c:pt>
                <c:pt idx="13">
                  <c:v>0.31503366666666699</c:v>
                </c:pt>
                <c:pt idx="14">
                  <c:v>6.6312999999999997E-2</c:v>
                </c:pt>
                <c:pt idx="15">
                  <c:v>0.190601666666667</c:v>
                </c:pt>
                <c:pt idx="16">
                  <c:v>0.20707100000000001</c:v>
                </c:pt>
                <c:pt idx="17">
                  <c:v>0.102939</c:v>
                </c:pt>
                <c:pt idx="18">
                  <c:v>0.26208166666666699</c:v>
                </c:pt>
                <c:pt idx="19">
                  <c:v>8.0652000000000001E-2</c:v>
                </c:pt>
                <c:pt idx="20">
                  <c:v>2.9241433333333302</c:v>
                </c:pt>
                <c:pt idx="21">
                  <c:v>2.93441333333333</c:v>
                </c:pt>
                <c:pt idx="22">
                  <c:v>0.47287200000000001</c:v>
                </c:pt>
                <c:pt idx="23">
                  <c:v>0.319199333333333</c:v>
                </c:pt>
                <c:pt idx="24">
                  <c:v>7.2488999999999998E-2</c:v>
                </c:pt>
                <c:pt idx="25">
                  <c:v>4.8000000000000001E-2</c:v>
                </c:pt>
                <c:pt idx="26">
                  <c:v>0.22758600000000001</c:v>
                </c:pt>
                <c:pt idx="27">
                  <c:v>0.170086666666667</c:v>
                </c:pt>
                <c:pt idx="28">
                  <c:v>8.8815000000000005E-2</c:v>
                </c:pt>
                <c:pt idx="29">
                  <c:v>0.18677099999999999</c:v>
                </c:pt>
                <c:pt idx="30">
                  <c:v>0.170086666666667</c:v>
                </c:pt>
                <c:pt idx="31">
                  <c:v>0.22758600000000001</c:v>
                </c:pt>
                <c:pt idx="32">
                  <c:v>6.0208666666666702E-2</c:v>
                </c:pt>
                <c:pt idx="33">
                  <c:v>0.36979733333333298</c:v>
                </c:pt>
                <c:pt idx="34">
                  <c:v>0.146424</c:v>
                </c:pt>
                <c:pt idx="35">
                  <c:v>0.178086666666667</c:v>
                </c:pt>
                <c:pt idx="36">
                  <c:v>0.228919333333333</c:v>
                </c:pt>
                <c:pt idx="37">
                  <c:v>0.179553566666667</c:v>
                </c:pt>
                <c:pt idx="38">
                  <c:v>8.6267333333333293E-2</c:v>
                </c:pt>
                <c:pt idx="39">
                  <c:v>0.444998</c:v>
                </c:pt>
                <c:pt idx="40">
                  <c:v>0.58603466666666704</c:v>
                </c:pt>
                <c:pt idx="41">
                  <c:v>0.330619</c:v>
                </c:pt>
                <c:pt idx="42">
                  <c:v>0.41875566666666703</c:v>
                </c:pt>
                <c:pt idx="43">
                  <c:v>0.695956666666667</c:v>
                </c:pt>
                <c:pt idx="44">
                  <c:v>0.29253166666666702</c:v>
                </c:pt>
                <c:pt idx="45">
                  <c:v>0.105141</c:v>
                </c:pt>
                <c:pt idx="46">
                  <c:v>4.8000000000000001E-2</c:v>
                </c:pt>
                <c:pt idx="47">
                  <c:v>0.111173666666667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FCD-459D-BFC7-D57988FF3B25}"/>
            </c:ext>
          </c:extLst>
        </c:ser>
        <c:ser>
          <c:idx val="21"/>
          <c:order val="21"/>
          <c:tx>
            <c:v>BES_TR8_four180_A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Demand_kW!$X$2:$X$49</c:f>
              <c:numCache>
                <c:formatCode>#,##0.000</c:formatCode>
                <c:ptCount val="48"/>
                <c:pt idx="0">
                  <c:v>5.7000000000000002E-2</c:v>
                </c:pt>
                <c:pt idx="1">
                  <c:v>5.7000000000000002E-2</c:v>
                </c:pt>
                <c:pt idx="2">
                  <c:v>5.7000000000000002E-2</c:v>
                </c:pt>
                <c:pt idx="3">
                  <c:v>0.17545333333333299</c:v>
                </c:pt>
                <c:pt idx="4">
                  <c:v>5.7000000000000002E-2</c:v>
                </c:pt>
                <c:pt idx="5">
                  <c:v>0.17545333333333299</c:v>
                </c:pt>
                <c:pt idx="6">
                  <c:v>5.7000000000000002E-2</c:v>
                </c:pt>
                <c:pt idx="7">
                  <c:v>0.163608</c:v>
                </c:pt>
                <c:pt idx="8">
                  <c:v>6.88453333333333E-2</c:v>
                </c:pt>
                <c:pt idx="9">
                  <c:v>0.163608</c:v>
                </c:pt>
                <c:pt idx="10">
                  <c:v>6.88453333333333E-2</c:v>
                </c:pt>
                <c:pt idx="11">
                  <c:v>5.7000000000000002E-2</c:v>
                </c:pt>
                <c:pt idx="12">
                  <c:v>9.8458666666666694E-2</c:v>
                </c:pt>
                <c:pt idx="13">
                  <c:v>0.13399466666666701</c:v>
                </c:pt>
                <c:pt idx="14">
                  <c:v>5.7000000000000002E-2</c:v>
                </c:pt>
                <c:pt idx="15">
                  <c:v>8.6613333333333306E-2</c:v>
                </c:pt>
                <c:pt idx="16">
                  <c:v>0.31218400000000002</c:v>
                </c:pt>
                <c:pt idx="17">
                  <c:v>0.72626599999999997</c:v>
                </c:pt>
                <c:pt idx="18">
                  <c:v>0.28190066666666702</c:v>
                </c:pt>
                <c:pt idx="19">
                  <c:v>0.318711666666667</c:v>
                </c:pt>
                <c:pt idx="20">
                  <c:v>0.26648633333333299</c:v>
                </c:pt>
                <c:pt idx="21">
                  <c:v>0.203063933333333</c:v>
                </c:pt>
                <c:pt idx="22">
                  <c:v>0.120126</c:v>
                </c:pt>
                <c:pt idx="23">
                  <c:v>0.21568733333333301</c:v>
                </c:pt>
                <c:pt idx="24">
                  <c:v>5.7000000000000002E-2</c:v>
                </c:pt>
                <c:pt idx="25">
                  <c:v>0.17545333333333299</c:v>
                </c:pt>
                <c:pt idx="26">
                  <c:v>0.10772900000000001</c:v>
                </c:pt>
                <c:pt idx="27">
                  <c:v>0.364396</c:v>
                </c:pt>
                <c:pt idx="28">
                  <c:v>0.30351766666666702</c:v>
                </c:pt>
                <c:pt idx="29">
                  <c:v>0.36731900000000001</c:v>
                </c:pt>
                <c:pt idx="30">
                  <c:v>0.39084433333333402</c:v>
                </c:pt>
                <c:pt idx="31">
                  <c:v>0.14528199999999999</c:v>
                </c:pt>
                <c:pt idx="32">
                  <c:v>0.19869046666666701</c:v>
                </c:pt>
                <c:pt idx="33">
                  <c:v>0.30205933333333301</c:v>
                </c:pt>
                <c:pt idx="34">
                  <c:v>5.7000000000000002E-2</c:v>
                </c:pt>
                <c:pt idx="35">
                  <c:v>0.287302</c:v>
                </c:pt>
                <c:pt idx="36">
                  <c:v>0.22487033333333301</c:v>
                </c:pt>
                <c:pt idx="37">
                  <c:v>7.4768000000000001E-2</c:v>
                </c:pt>
                <c:pt idx="38">
                  <c:v>5.7000000000000002E-2</c:v>
                </c:pt>
                <c:pt idx="39">
                  <c:v>0.163608</c:v>
                </c:pt>
                <c:pt idx="40">
                  <c:v>6.88453333333333E-2</c:v>
                </c:pt>
                <c:pt idx="41">
                  <c:v>9.2535999999999993E-2</c:v>
                </c:pt>
                <c:pt idx="42">
                  <c:v>0.139917333333333</c:v>
                </c:pt>
                <c:pt idx="43">
                  <c:v>9.2535999999999993E-2</c:v>
                </c:pt>
                <c:pt idx="44">
                  <c:v>0.139917333333333</c:v>
                </c:pt>
                <c:pt idx="45">
                  <c:v>5.7000000000000002E-2</c:v>
                </c:pt>
                <c:pt idx="46">
                  <c:v>5.7000000000000002E-2</c:v>
                </c:pt>
                <c:pt idx="47">
                  <c:v>0.139917333333333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FCD-459D-BFC7-D57988FF3B25}"/>
            </c:ext>
          </c:extLst>
        </c:ser>
        <c:ser>
          <c:idx val="22"/>
          <c:order val="22"/>
          <c:tx>
            <c:v>BES_TR8_four200_A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Demand_kW!$Y$2:$Y$49</c:f>
              <c:numCache>
                <c:formatCode>#,##0.000</c:formatCode>
                <c:ptCount val="48"/>
                <c:pt idx="0">
                  <c:v>3.1E-2</c:v>
                </c:pt>
                <c:pt idx="1">
                  <c:v>0.12665333333333301</c:v>
                </c:pt>
                <c:pt idx="2">
                  <c:v>4.7879999999999999E-2</c:v>
                </c:pt>
                <c:pt idx="3">
                  <c:v>8.1640000000000004E-2</c:v>
                </c:pt>
                <c:pt idx="4">
                  <c:v>9.2893333333333397E-2</c:v>
                </c:pt>
                <c:pt idx="5">
                  <c:v>3.1E-2</c:v>
                </c:pt>
                <c:pt idx="6">
                  <c:v>3.1E-2</c:v>
                </c:pt>
                <c:pt idx="7">
                  <c:v>8.1640000000000004E-2</c:v>
                </c:pt>
                <c:pt idx="8">
                  <c:v>9.2893333333333397E-2</c:v>
                </c:pt>
                <c:pt idx="9">
                  <c:v>3.1E-2</c:v>
                </c:pt>
                <c:pt idx="10">
                  <c:v>0.14353333333333301</c:v>
                </c:pt>
                <c:pt idx="11">
                  <c:v>3.1E-2</c:v>
                </c:pt>
                <c:pt idx="12">
                  <c:v>0.14353333333333301</c:v>
                </c:pt>
                <c:pt idx="13">
                  <c:v>3.1E-2</c:v>
                </c:pt>
                <c:pt idx="14">
                  <c:v>9.8519999999999996E-2</c:v>
                </c:pt>
                <c:pt idx="15">
                  <c:v>7.6013333333333294E-2</c:v>
                </c:pt>
                <c:pt idx="16">
                  <c:v>3.1E-2</c:v>
                </c:pt>
                <c:pt idx="17">
                  <c:v>3.1E-2</c:v>
                </c:pt>
                <c:pt idx="18">
                  <c:v>0.14353333333333301</c:v>
                </c:pt>
                <c:pt idx="19">
                  <c:v>3.1E-2</c:v>
                </c:pt>
                <c:pt idx="20">
                  <c:v>0.104146666666667</c:v>
                </c:pt>
                <c:pt idx="21">
                  <c:v>7.0386666666666597E-2</c:v>
                </c:pt>
                <c:pt idx="22">
                  <c:v>3.1E-2</c:v>
                </c:pt>
                <c:pt idx="23">
                  <c:v>0.122329666666667</c:v>
                </c:pt>
                <c:pt idx="24">
                  <c:v>6.6543599999999994E-2</c:v>
                </c:pt>
                <c:pt idx="25">
                  <c:v>8.7266666666666701E-2</c:v>
                </c:pt>
                <c:pt idx="26">
                  <c:v>8.7266666666666798E-2</c:v>
                </c:pt>
                <c:pt idx="27">
                  <c:v>3.1E-2</c:v>
                </c:pt>
                <c:pt idx="28">
                  <c:v>9.2893333333333397E-2</c:v>
                </c:pt>
                <c:pt idx="29">
                  <c:v>8.1640000000000101E-2</c:v>
                </c:pt>
                <c:pt idx="30">
                  <c:v>0.28156819999999999</c:v>
                </c:pt>
                <c:pt idx="31">
                  <c:v>0.184994933333333</c:v>
                </c:pt>
                <c:pt idx="32">
                  <c:v>3.1E-2</c:v>
                </c:pt>
                <c:pt idx="33">
                  <c:v>0.14353333333333301</c:v>
                </c:pt>
                <c:pt idx="34">
                  <c:v>3.9537999999999997E-2</c:v>
                </c:pt>
                <c:pt idx="35">
                  <c:v>0.30146000000000001</c:v>
                </c:pt>
                <c:pt idx="36">
                  <c:v>0.17360866666666699</c:v>
                </c:pt>
                <c:pt idx="37">
                  <c:v>0.13916173333333301</c:v>
                </c:pt>
                <c:pt idx="38">
                  <c:v>0.32409433333333298</c:v>
                </c:pt>
                <c:pt idx="39">
                  <c:v>0.48785000000000001</c:v>
                </c:pt>
                <c:pt idx="40">
                  <c:v>0.85603866666666695</c:v>
                </c:pt>
                <c:pt idx="41">
                  <c:v>0.72657499999999997</c:v>
                </c:pt>
                <c:pt idx="42">
                  <c:v>0.68549333333333295</c:v>
                </c:pt>
                <c:pt idx="43">
                  <c:v>0.41371433333333302</c:v>
                </c:pt>
                <c:pt idx="44">
                  <c:v>0.14353333333333301</c:v>
                </c:pt>
                <c:pt idx="45">
                  <c:v>3.1E-2</c:v>
                </c:pt>
                <c:pt idx="46">
                  <c:v>3.1E-2</c:v>
                </c:pt>
                <c:pt idx="47">
                  <c:v>0.14353333333333301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FCD-459D-BFC7-D57988FF3B25}"/>
            </c:ext>
          </c:extLst>
        </c:ser>
        <c:ser>
          <c:idx val="23"/>
          <c:order val="23"/>
          <c:tx>
            <c:v>BES_TR8_four239_A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Demand_kW!$Z$2:$Z$49</c:f>
              <c:numCache>
                <c:formatCode>#,##0.000</c:formatCode>
                <c:ptCount val="48"/>
                <c:pt idx="0">
                  <c:v>5.5E-2</c:v>
                </c:pt>
                <c:pt idx="1">
                  <c:v>5.5E-2</c:v>
                </c:pt>
                <c:pt idx="2">
                  <c:v>0.214258</c:v>
                </c:pt>
                <c:pt idx="3">
                  <c:v>5.5E-2</c:v>
                </c:pt>
                <c:pt idx="4">
                  <c:v>0.16358500000000001</c:v>
                </c:pt>
                <c:pt idx="5">
                  <c:v>0.105673</c:v>
                </c:pt>
                <c:pt idx="6">
                  <c:v>7.6716999999999994E-2</c:v>
                </c:pt>
                <c:pt idx="7">
                  <c:v>0.19254099999999999</c:v>
                </c:pt>
                <c:pt idx="8">
                  <c:v>5.5E-2</c:v>
                </c:pt>
                <c:pt idx="9">
                  <c:v>5.5E-2</c:v>
                </c:pt>
                <c:pt idx="10">
                  <c:v>5.5E-2</c:v>
                </c:pt>
                <c:pt idx="11">
                  <c:v>0.14186799999999999</c:v>
                </c:pt>
                <c:pt idx="12">
                  <c:v>0.12739</c:v>
                </c:pt>
                <c:pt idx="13">
                  <c:v>6.9477999999999998E-2</c:v>
                </c:pt>
                <c:pt idx="14">
                  <c:v>0.19978000000000001</c:v>
                </c:pt>
                <c:pt idx="15">
                  <c:v>5.5E-2</c:v>
                </c:pt>
                <c:pt idx="16">
                  <c:v>0.170824</c:v>
                </c:pt>
                <c:pt idx="17">
                  <c:v>9.8434000000000105E-2</c:v>
                </c:pt>
                <c:pt idx="18">
                  <c:v>5.5E-2</c:v>
                </c:pt>
                <c:pt idx="19">
                  <c:v>5.5E-2</c:v>
                </c:pt>
                <c:pt idx="20">
                  <c:v>0.21056566666666701</c:v>
                </c:pt>
                <c:pt idx="21">
                  <c:v>6.2239000000000003E-2</c:v>
                </c:pt>
                <c:pt idx="22">
                  <c:v>5.5E-2</c:v>
                </c:pt>
                <c:pt idx="23">
                  <c:v>9.1194999999999998E-2</c:v>
                </c:pt>
                <c:pt idx="24">
                  <c:v>0.178063</c:v>
                </c:pt>
                <c:pt idx="25">
                  <c:v>5.5E-2</c:v>
                </c:pt>
                <c:pt idx="26">
                  <c:v>5.5E-2</c:v>
                </c:pt>
                <c:pt idx="27">
                  <c:v>0.19254099999999999</c:v>
                </c:pt>
                <c:pt idx="28">
                  <c:v>7.6716999999999994E-2</c:v>
                </c:pt>
                <c:pt idx="29">
                  <c:v>5.5E-2</c:v>
                </c:pt>
                <c:pt idx="30">
                  <c:v>5.5E-2</c:v>
                </c:pt>
                <c:pt idx="31">
                  <c:v>0.214258</c:v>
                </c:pt>
                <c:pt idx="32">
                  <c:v>6.5491066666666695E-2</c:v>
                </c:pt>
                <c:pt idx="33">
                  <c:v>0.20701900000000001</c:v>
                </c:pt>
                <c:pt idx="34">
                  <c:v>6.2239000000000003E-2</c:v>
                </c:pt>
                <c:pt idx="35">
                  <c:v>5.5E-2</c:v>
                </c:pt>
                <c:pt idx="36">
                  <c:v>0.16358500000000001</c:v>
                </c:pt>
                <c:pt idx="37">
                  <c:v>0.105673</c:v>
                </c:pt>
                <c:pt idx="38">
                  <c:v>0.105673</c:v>
                </c:pt>
                <c:pt idx="39">
                  <c:v>0.16358500000000001</c:v>
                </c:pt>
                <c:pt idx="40">
                  <c:v>5.5E-2</c:v>
                </c:pt>
                <c:pt idx="41">
                  <c:v>6.2239000000000003E-2</c:v>
                </c:pt>
                <c:pt idx="42">
                  <c:v>0.20701900000000001</c:v>
                </c:pt>
                <c:pt idx="43">
                  <c:v>5.5E-2</c:v>
                </c:pt>
                <c:pt idx="44">
                  <c:v>0.214258</c:v>
                </c:pt>
                <c:pt idx="45">
                  <c:v>5.5E-2</c:v>
                </c:pt>
                <c:pt idx="46">
                  <c:v>8.3956000000000003E-2</c:v>
                </c:pt>
                <c:pt idx="47">
                  <c:v>0.18530199999999999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FCD-459D-BFC7-D57988FF3B25}"/>
            </c:ext>
          </c:extLst>
        </c:ser>
        <c:ser>
          <c:idx val="24"/>
          <c:order val="24"/>
          <c:tx>
            <c:v>BES_TR8_four259_B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Demand_kW!$AA$2:$AA$49</c:f>
              <c:numCache>
                <c:formatCode>#,##0.000</c:formatCode>
                <c:ptCount val="48"/>
                <c:pt idx="0">
                  <c:v>6.4341999999999996E-2</c:v>
                </c:pt>
                <c:pt idx="1">
                  <c:v>0.15507799999999999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0.16642000000000001</c:v>
                </c:pt>
                <c:pt idx="5">
                  <c:v>5.2999999999999999E-2</c:v>
                </c:pt>
                <c:pt idx="6">
                  <c:v>0.10403900000000001</c:v>
                </c:pt>
                <c:pt idx="7">
                  <c:v>0.115381</c:v>
                </c:pt>
                <c:pt idx="8">
                  <c:v>5.2999999999999999E-2</c:v>
                </c:pt>
                <c:pt idx="9">
                  <c:v>0.16642000000000001</c:v>
                </c:pt>
                <c:pt idx="10">
                  <c:v>5.2999999999999999E-2</c:v>
                </c:pt>
                <c:pt idx="11">
                  <c:v>0.143736</c:v>
                </c:pt>
                <c:pt idx="12">
                  <c:v>7.5684000000000001E-2</c:v>
                </c:pt>
                <c:pt idx="13">
                  <c:v>0.156007333333333</c:v>
                </c:pt>
                <c:pt idx="14">
                  <c:v>0.94646133333333404</c:v>
                </c:pt>
                <c:pt idx="15">
                  <c:v>0.13739399999999999</c:v>
                </c:pt>
                <c:pt idx="16">
                  <c:v>8.7026000000000006E-2</c:v>
                </c:pt>
                <c:pt idx="17">
                  <c:v>5.3666666666666703E-2</c:v>
                </c:pt>
                <c:pt idx="18">
                  <c:v>1.1197969999999999</c:v>
                </c:pt>
                <c:pt idx="19">
                  <c:v>0.13272300000000001</c:v>
                </c:pt>
                <c:pt idx="20">
                  <c:v>5.2999999999999999E-2</c:v>
                </c:pt>
                <c:pt idx="21">
                  <c:v>5.2999999999999999E-2</c:v>
                </c:pt>
                <c:pt idx="22">
                  <c:v>5.2999999999999999E-2</c:v>
                </c:pt>
                <c:pt idx="23">
                  <c:v>0.13806499999999999</c:v>
                </c:pt>
                <c:pt idx="24">
                  <c:v>0.33164866666666698</c:v>
                </c:pt>
                <c:pt idx="25">
                  <c:v>8.2834966666666704E-2</c:v>
                </c:pt>
                <c:pt idx="26">
                  <c:v>0.168671866666667</c:v>
                </c:pt>
                <c:pt idx="27">
                  <c:v>0.12955946666666701</c:v>
                </c:pt>
                <c:pt idx="28">
                  <c:v>7.5684000000000001E-2</c:v>
                </c:pt>
                <c:pt idx="29">
                  <c:v>0.143736</c:v>
                </c:pt>
                <c:pt idx="30">
                  <c:v>5.2999999999999999E-2</c:v>
                </c:pt>
                <c:pt idx="31">
                  <c:v>0.14940700000000001</c:v>
                </c:pt>
                <c:pt idx="32">
                  <c:v>0.105433</c:v>
                </c:pt>
                <c:pt idx="33">
                  <c:v>7.6613333333333297E-2</c:v>
                </c:pt>
                <c:pt idx="34">
                  <c:v>5.2999999999999999E-2</c:v>
                </c:pt>
                <c:pt idx="35">
                  <c:v>5.2999999999999999E-2</c:v>
                </c:pt>
                <c:pt idx="36">
                  <c:v>0.15050666666666701</c:v>
                </c:pt>
                <c:pt idx="37">
                  <c:v>0.16642000000000001</c:v>
                </c:pt>
                <c:pt idx="38">
                  <c:v>5.2999999999999999E-2</c:v>
                </c:pt>
                <c:pt idx="39">
                  <c:v>5.2999999999999999E-2</c:v>
                </c:pt>
                <c:pt idx="40">
                  <c:v>5.2999999999999999E-2</c:v>
                </c:pt>
                <c:pt idx="41">
                  <c:v>0.126723</c:v>
                </c:pt>
                <c:pt idx="42">
                  <c:v>9.2697000000000002E-2</c:v>
                </c:pt>
                <c:pt idx="43">
                  <c:v>5.2999999999999999E-2</c:v>
                </c:pt>
                <c:pt idx="44">
                  <c:v>5.2999999999999999E-2</c:v>
                </c:pt>
                <c:pt idx="45">
                  <c:v>9.2697000000000002E-2</c:v>
                </c:pt>
                <c:pt idx="46">
                  <c:v>0.126723</c:v>
                </c:pt>
                <c:pt idx="47">
                  <c:v>5.2999999999999999E-2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FCD-459D-BFC7-D57988FF3B25}"/>
            </c:ext>
          </c:extLst>
        </c:ser>
        <c:ser>
          <c:idx val="25"/>
          <c:order val="25"/>
          <c:tx>
            <c:v>BES_TR8_four265_C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Demand_kW!$AB$2:$AB$49</c:f>
              <c:numCache>
                <c:formatCode>#,##0.000</c:formatCode>
                <c:ptCount val="48"/>
                <c:pt idx="0">
                  <c:v>0.19162733333333301</c:v>
                </c:pt>
                <c:pt idx="1">
                  <c:v>0.217872333333333</c:v>
                </c:pt>
                <c:pt idx="2">
                  <c:v>8.0133333333333404E-2</c:v>
                </c:pt>
                <c:pt idx="3">
                  <c:v>0.30560066666666702</c:v>
                </c:pt>
                <c:pt idx="4">
                  <c:v>0.15084500000000001</c:v>
                </c:pt>
                <c:pt idx="5">
                  <c:v>0.14870066666666701</c:v>
                </c:pt>
                <c:pt idx="6">
                  <c:v>0.31450933333333297</c:v>
                </c:pt>
                <c:pt idx="7">
                  <c:v>9.4586000000000101E-2</c:v>
                </c:pt>
                <c:pt idx="8">
                  <c:v>0.207354333333333</c:v>
                </c:pt>
                <c:pt idx="9">
                  <c:v>0.215269666666667</c:v>
                </c:pt>
                <c:pt idx="10">
                  <c:v>5.3999999999999999E-2</c:v>
                </c:pt>
                <c:pt idx="11">
                  <c:v>0.260394666666667</c:v>
                </c:pt>
                <c:pt idx="12">
                  <c:v>0.20281533333333299</c:v>
                </c:pt>
                <c:pt idx="13">
                  <c:v>0.176462333333333</c:v>
                </c:pt>
                <c:pt idx="14">
                  <c:v>0.13793233333333299</c:v>
                </c:pt>
                <c:pt idx="15">
                  <c:v>0.26720533333333302</c:v>
                </c:pt>
                <c:pt idx="16">
                  <c:v>0.16372300000000001</c:v>
                </c:pt>
                <c:pt idx="17">
                  <c:v>0.206738333333333</c:v>
                </c:pt>
                <c:pt idx="18">
                  <c:v>0.29512833333333399</c:v>
                </c:pt>
                <c:pt idx="19">
                  <c:v>0.170214</c:v>
                </c:pt>
                <c:pt idx="20">
                  <c:v>0.83867466666666701</c:v>
                </c:pt>
                <c:pt idx="21">
                  <c:v>0.230508666666667</c:v>
                </c:pt>
                <c:pt idx="22">
                  <c:v>0.57307666666666701</c:v>
                </c:pt>
                <c:pt idx="23">
                  <c:v>0.31069600000000003</c:v>
                </c:pt>
                <c:pt idx="24">
                  <c:v>0.32685399999999998</c:v>
                </c:pt>
                <c:pt idx="25">
                  <c:v>0.50257366666666703</c:v>
                </c:pt>
                <c:pt idx="26">
                  <c:v>0.290325</c:v>
                </c:pt>
                <c:pt idx="27">
                  <c:v>0.49465866666666702</c:v>
                </c:pt>
                <c:pt idx="28">
                  <c:v>0.153412666666667</c:v>
                </c:pt>
                <c:pt idx="29">
                  <c:v>0.33534166666666698</c:v>
                </c:pt>
                <c:pt idx="30">
                  <c:v>0.456892666666667</c:v>
                </c:pt>
                <c:pt idx="31">
                  <c:v>0.335463333333333</c:v>
                </c:pt>
                <c:pt idx="32">
                  <c:v>0.58325899999999997</c:v>
                </c:pt>
                <c:pt idx="33">
                  <c:v>0.42186200000000001</c:v>
                </c:pt>
                <c:pt idx="34">
                  <c:v>0.63590899999999995</c:v>
                </c:pt>
                <c:pt idx="35">
                  <c:v>0.72230366666666701</c:v>
                </c:pt>
                <c:pt idx="36">
                  <c:v>2.3690880000000001</c:v>
                </c:pt>
                <c:pt idx="37">
                  <c:v>0.49010199999999998</c:v>
                </c:pt>
                <c:pt idx="38">
                  <c:v>0.41872300000000001</c:v>
                </c:pt>
                <c:pt idx="39">
                  <c:v>0.72047466666666704</c:v>
                </c:pt>
                <c:pt idx="40">
                  <c:v>0.77469633333333299</c:v>
                </c:pt>
                <c:pt idx="41">
                  <c:v>1.207212</c:v>
                </c:pt>
                <c:pt idx="42">
                  <c:v>1.08106866666667</c:v>
                </c:pt>
                <c:pt idx="43">
                  <c:v>0.86077733333333295</c:v>
                </c:pt>
                <c:pt idx="44">
                  <c:v>1.89413566666667</c:v>
                </c:pt>
                <c:pt idx="45">
                  <c:v>0.75827966666666702</c:v>
                </c:pt>
                <c:pt idx="46">
                  <c:v>2.2277830000000001</c:v>
                </c:pt>
                <c:pt idx="47">
                  <c:v>0.21694833333333399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FCD-459D-BFC7-D57988FF3B25}"/>
            </c:ext>
          </c:extLst>
        </c:ser>
        <c:ser>
          <c:idx val="26"/>
          <c:order val="26"/>
          <c:tx>
            <c:v>BES_TR8_four54_C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Demand_kW!$AC$2:$AC$49</c:f>
              <c:numCache>
                <c:formatCode>#,##0.000</c:formatCode>
                <c:ptCount val="48"/>
                <c:pt idx="0">
                  <c:v>0.18629200000000001</c:v>
                </c:pt>
                <c:pt idx="1">
                  <c:v>0.127149333333333</c:v>
                </c:pt>
                <c:pt idx="2">
                  <c:v>0.05</c:v>
                </c:pt>
                <c:pt idx="3">
                  <c:v>0.14891733333333301</c:v>
                </c:pt>
                <c:pt idx="4">
                  <c:v>0.104300666666667</c:v>
                </c:pt>
                <c:pt idx="5">
                  <c:v>0.17204666666666699</c:v>
                </c:pt>
                <c:pt idx="6">
                  <c:v>0.141394666666667</c:v>
                </c:pt>
                <c:pt idx="7">
                  <c:v>0.11022333333333301</c:v>
                </c:pt>
                <c:pt idx="8">
                  <c:v>0.186011333333333</c:v>
                </c:pt>
                <c:pt idx="9">
                  <c:v>0.12742999999999999</c:v>
                </c:pt>
                <c:pt idx="10">
                  <c:v>0.05</c:v>
                </c:pt>
                <c:pt idx="11">
                  <c:v>0.23871200000000001</c:v>
                </c:pt>
                <c:pt idx="12">
                  <c:v>7.47293333333333E-2</c:v>
                </c:pt>
                <c:pt idx="13">
                  <c:v>0.116665333333333</c:v>
                </c:pt>
                <c:pt idx="14">
                  <c:v>0.19677600000000001</c:v>
                </c:pt>
                <c:pt idx="15">
                  <c:v>9.3016666666666706E-2</c:v>
                </c:pt>
                <c:pt idx="16">
                  <c:v>0.109142666666667</c:v>
                </c:pt>
                <c:pt idx="17">
                  <c:v>0.16128200000000001</c:v>
                </c:pt>
                <c:pt idx="18">
                  <c:v>7.3815000000000006E-2</c:v>
                </c:pt>
                <c:pt idx="19">
                  <c:v>0.68135999999999997</c:v>
                </c:pt>
                <c:pt idx="20">
                  <c:v>2.1110000000000002</c:v>
                </c:pt>
                <c:pt idx="21">
                  <c:v>0.82799333333333403</c:v>
                </c:pt>
                <c:pt idx="22">
                  <c:v>5.8603333333333403E-2</c:v>
                </c:pt>
                <c:pt idx="23">
                  <c:v>0.186011333333333</c:v>
                </c:pt>
                <c:pt idx="24">
                  <c:v>0.12742999999999999</c:v>
                </c:pt>
                <c:pt idx="25">
                  <c:v>0.05</c:v>
                </c:pt>
                <c:pt idx="26">
                  <c:v>0.18307100000000001</c:v>
                </c:pt>
                <c:pt idx="27">
                  <c:v>0.64466846666666699</c:v>
                </c:pt>
                <c:pt idx="28">
                  <c:v>7.5135333333333304E-2</c:v>
                </c:pt>
                <c:pt idx="29">
                  <c:v>0.13587793333333301</c:v>
                </c:pt>
                <c:pt idx="30">
                  <c:v>0.12284766666666699</c:v>
                </c:pt>
                <c:pt idx="31">
                  <c:v>0.14731733333333299</c:v>
                </c:pt>
                <c:pt idx="32">
                  <c:v>0.14891733333333301</c:v>
                </c:pt>
                <c:pt idx="33">
                  <c:v>0.05</c:v>
                </c:pt>
                <c:pt idx="34">
                  <c:v>0.26344133333333303</c:v>
                </c:pt>
                <c:pt idx="35">
                  <c:v>0.05</c:v>
                </c:pt>
                <c:pt idx="36">
                  <c:v>0.12993399999999999</c:v>
                </c:pt>
                <c:pt idx="37">
                  <c:v>0.38798569999999999</c:v>
                </c:pt>
                <c:pt idx="38">
                  <c:v>0.39954266666666699</c:v>
                </c:pt>
                <c:pt idx="39">
                  <c:v>0.79433233333333297</c:v>
                </c:pt>
                <c:pt idx="40">
                  <c:v>0.72157233333333404</c:v>
                </c:pt>
                <c:pt idx="41">
                  <c:v>0.91261999999999999</c:v>
                </c:pt>
                <c:pt idx="42">
                  <c:v>0.39073366666666698</c:v>
                </c:pt>
                <c:pt idx="43">
                  <c:v>0.424149</c:v>
                </c:pt>
                <c:pt idx="44">
                  <c:v>0.40685900000000003</c:v>
                </c:pt>
                <c:pt idx="45">
                  <c:v>0.471868333333334</c:v>
                </c:pt>
                <c:pt idx="46">
                  <c:v>0.57839996666666604</c:v>
                </c:pt>
                <c:pt idx="47">
                  <c:v>5.8603333333333403E-2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FCD-459D-BFC7-D57988FF3B25}"/>
            </c:ext>
          </c:extLst>
        </c:ser>
        <c:ser>
          <c:idx val="27"/>
          <c:order val="27"/>
          <c:tx>
            <c:v>BES_TR8_four288_B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Demand_kW!$AD$2:$AD$49</c:f>
              <c:numCache>
                <c:formatCode>#,##0.000</c:formatCode>
                <c:ptCount val="48"/>
                <c:pt idx="0">
                  <c:v>0.256168333333333</c:v>
                </c:pt>
                <c:pt idx="1">
                  <c:v>9.4640333333333396E-2</c:v>
                </c:pt>
                <c:pt idx="2">
                  <c:v>5.0999999999999997E-2</c:v>
                </c:pt>
                <c:pt idx="3">
                  <c:v>0.299808666666667</c:v>
                </c:pt>
                <c:pt idx="4">
                  <c:v>5.0999999999999997E-2</c:v>
                </c:pt>
                <c:pt idx="5">
                  <c:v>0.101895666666667</c:v>
                </c:pt>
                <c:pt idx="6">
                  <c:v>0.248913</c:v>
                </c:pt>
                <c:pt idx="7">
                  <c:v>9.5661333333333404E-2</c:v>
                </c:pt>
                <c:pt idx="8">
                  <c:v>0.23021</c:v>
                </c:pt>
                <c:pt idx="9">
                  <c:v>0.12059866666666701</c:v>
                </c:pt>
                <c:pt idx="10">
                  <c:v>0.149163666666667</c:v>
                </c:pt>
                <c:pt idx="11">
                  <c:v>0.15698366666666699</c:v>
                </c:pt>
                <c:pt idx="12">
                  <c:v>0.33366000000000001</c:v>
                </c:pt>
                <c:pt idx="13">
                  <c:v>0.16265333333333301</c:v>
                </c:pt>
                <c:pt idx="14">
                  <c:v>5.0999999999999997E-2</c:v>
                </c:pt>
                <c:pt idx="15">
                  <c:v>0.14032266666666701</c:v>
                </c:pt>
                <c:pt idx="16">
                  <c:v>0.160611333333333</c:v>
                </c:pt>
                <c:pt idx="17">
                  <c:v>0.100874666666667</c:v>
                </c:pt>
                <c:pt idx="18">
                  <c:v>8.0868333333333306E-2</c:v>
                </c:pt>
                <c:pt idx="19">
                  <c:v>0.70830700000000002</c:v>
                </c:pt>
                <c:pt idx="20">
                  <c:v>0.92300633333333304</c:v>
                </c:pt>
                <c:pt idx="21">
                  <c:v>0.58283600000000002</c:v>
                </c:pt>
                <c:pt idx="22">
                  <c:v>1.40202</c:v>
                </c:pt>
                <c:pt idx="23">
                  <c:v>0.210910666666667</c:v>
                </c:pt>
                <c:pt idx="24">
                  <c:v>0.218393</c:v>
                </c:pt>
                <c:pt idx="25">
                  <c:v>8.2171666666666698E-2</c:v>
                </c:pt>
                <c:pt idx="26">
                  <c:v>5.0999999999999997E-2</c:v>
                </c:pt>
                <c:pt idx="27">
                  <c:v>0.18815533333333301</c:v>
                </c:pt>
                <c:pt idx="28">
                  <c:v>0.157070666666667</c:v>
                </c:pt>
                <c:pt idx="29">
                  <c:v>5.6582666666666698E-2</c:v>
                </c:pt>
                <c:pt idx="30">
                  <c:v>5.0999999999999997E-2</c:v>
                </c:pt>
                <c:pt idx="31">
                  <c:v>0.17410100000000001</c:v>
                </c:pt>
                <c:pt idx="32">
                  <c:v>0.17670766666666701</c:v>
                </c:pt>
                <c:pt idx="33">
                  <c:v>8.4496000000000002E-2</c:v>
                </c:pt>
                <c:pt idx="34">
                  <c:v>0.26376266666666698</c:v>
                </c:pt>
                <c:pt idx="35">
                  <c:v>0.317458666666667</c:v>
                </c:pt>
                <c:pt idx="36">
                  <c:v>0.413215</c:v>
                </c:pt>
                <c:pt idx="37">
                  <c:v>0.20505999999999999</c:v>
                </c:pt>
                <c:pt idx="38">
                  <c:v>0.28453066666666699</c:v>
                </c:pt>
                <c:pt idx="39">
                  <c:v>5.0999999999999997E-2</c:v>
                </c:pt>
                <c:pt idx="40">
                  <c:v>0.28864333333333297</c:v>
                </c:pt>
                <c:pt idx="41">
                  <c:v>6.2165333333333302E-2</c:v>
                </c:pt>
                <c:pt idx="42">
                  <c:v>0.175404333333333</c:v>
                </c:pt>
                <c:pt idx="43">
                  <c:v>0.27694099999999999</c:v>
                </c:pt>
                <c:pt idx="44">
                  <c:v>8.2171666666666698E-2</c:v>
                </c:pt>
                <c:pt idx="45">
                  <c:v>0.26863700000000001</c:v>
                </c:pt>
                <c:pt idx="46">
                  <c:v>5.0999999999999997E-2</c:v>
                </c:pt>
                <c:pt idx="47">
                  <c:v>0.23086166666666699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FCD-459D-BFC7-D57988FF3B25}"/>
            </c:ext>
          </c:extLst>
        </c:ser>
        <c:ser>
          <c:idx val="28"/>
          <c:order val="28"/>
          <c:tx>
            <c:v>BES_TR8_four289_B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Demand_kW!$AE$2:$AE$49</c:f>
              <c:numCache>
                <c:formatCode>#,##0.000</c:formatCode>
                <c:ptCount val="48"/>
                <c:pt idx="0">
                  <c:v>0.55997166666666698</c:v>
                </c:pt>
                <c:pt idx="1">
                  <c:v>0.533548666666667</c:v>
                </c:pt>
                <c:pt idx="2">
                  <c:v>5.5E-2</c:v>
                </c:pt>
                <c:pt idx="3">
                  <c:v>5.5E-2</c:v>
                </c:pt>
                <c:pt idx="4">
                  <c:v>5.5E-2</c:v>
                </c:pt>
                <c:pt idx="5">
                  <c:v>5.5E-2</c:v>
                </c:pt>
                <c:pt idx="6">
                  <c:v>5.5E-2</c:v>
                </c:pt>
                <c:pt idx="7">
                  <c:v>5.5E-2</c:v>
                </c:pt>
                <c:pt idx="8">
                  <c:v>5.5E-2</c:v>
                </c:pt>
                <c:pt idx="9">
                  <c:v>5.5E-2</c:v>
                </c:pt>
                <c:pt idx="10">
                  <c:v>5.5E-2</c:v>
                </c:pt>
                <c:pt idx="11">
                  <c:v>5.5E-2</c:v>
                </c:pt>
                <c:pt idx="12">
                  <c:v>0.13524359999999999</c:v>
                </c:pt>
                <c:pt idx="13">
                  <c:v>1.19124733333333</c:v>
                </c:pt>
                <c:pt idx="14">
                  <c:v>5.5E-2</c:v>
                </c:pt>
                <c:pt idx="15">
                  <c:v>0.10171266666666701</c:v>
                </c:pt>
                <c:pt idx="16">
                  <c:v>0.20003433333333301</c:v>
                </c:pt>
                <c:pt idx="17">
                  <c:v>0.22650999999999999</c:v>
                </c:pt>
                <c:pt idx="18">
                  <c:v>0.22650999999999999</c:v>
                </c:pt>
                <c:pt idx="19">
                  <c:v>0.22650999999999999</c:v>
                </c:pt>
                <c:pt idx="20">
                  <c:v>0.22650999999999999</c:v>
                </c:pt>
                <c:pt idx="21">
                  <c:v>5.5E-2</c:v>
                </c:pt>
                <c:pt idx="22">
                  <c:v>5.5E-2</c:v>
                </c:pt>
                <c:pt idx="23">
                  <c:v>5.5E-2</c:v>
                </c:pt>
                <c:pt idx="24">
                  <c:v>5.5E-2</c:v>
                </c:pt>
                <c:pt idx="25">
                  <c:v>5.5E-2</c:v>
                </c:pt>
                <c:pt idx="26">
                  <c:v>5.5E-2</c:v>
                </c:pt>
                <c:pt idx="27">
                  <c:v>5.5E-2</c:v>
                </c:pt>
                <c:pt idx="28">
                  <c:v>5.5E-2</c:v>
                </c:pt>
                <c:pt idx="29">
                  <c:v>5.5E-2</c:v>
                </c:pt>
                <c:pt idx="30">
                  <c:v>5.5E-2</c:v>
                </c:pt>
                <c:pt idx="31">
                  <c:v>5.5E-2</c:v>
                </c:pt>
                <c:pt idx="32">
                  <c:v>5.5E-2</c:v>
                </c:pt>
                <c:pt idx="33">
                  <c:v>0.22650999999999999</c:v>
                </c:pt>
                <c:pt idx="34">
                  <c:v>0.22650999999999999</c:v>
                </c:pt>
                <c:pt idx="35">
                  <c:v>0.313296666666667</c:v>
                </c:pt>
                <c:pt idx="36">
                  <c:v>0.40173433333333303</c:v>
                </c:pt>
                <c:pt idx="37">
                  <c:v>0.466289333333333</c:v>
                </c:pt>
                <c:pt idx="38">
                  <c:v>0.14606533333333299</c:v>
                </c:pt>
                <c:pt idx="39">
                  <c:v>0.22498333333333301</c:v>
                </c:pt>
                <c:pt idx="40">
                  <c:v>0.41906700000000002</c:v>
                </c:pt>
                <c:pt idx="41">
                  <c:v>1.6850849999999999</c:v>
                </c:pt>
                <c:pt idx="42">
                  <c:v>0.605287666666667</c:v>
                </c:pt>
                <c:pt idx="43">
                  <c:v>0.73855966666666595</c:v>
                </c:pt>
                <c:pt idx="44">
                  <c:v>0.77654366666666697</c:v>
                </c:pt>
                <c:pt idx="45">
                  <c:v>0.54537433333333396</c:v>
                </c:pt>
                <c:pt idx="46">
                  <c:v>0.21928666666666699</c:v>
                </c:pt>
                <c:pt idx="47">
                  <c:v>5.5E-2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FCD-459D-BFC7-D57988FF3B25}"/>
            </c:ext>
          </c:extLst>
        </c:ser>
        <c:ser>
          <c:idx val="29"/>
          <c:order val="29"/>
          <c:tx>
            <c:v>BES_TR8_four292_C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Demand_kW!$AF$2:$AF$49</c:f>
              <c:numCache>
                <c:formatCode>#,##0.000</c:formatCode>
                <c:ptCount val="48"/>
                <c:pt idx="0">
                  <c:v>0.22096199999999999</c:v>
                </c:pt>
                <c:pt idx="1">
                  <c:v>0.05</c:v>
                </c:pt>
                <c:pt idx="2">
                  <c:v>0.21319099999999999</c:v>
                </c:pt>
                <c:pt idx="3">
                  <c:v>5.7771000000000003E-2</c:v>
                </c:pt>
                <c:pt idx="4">
                  <c:v>8.8855000000000003E-2</c:v>
                </c:pt>
                <c:pt idx="5">
                  <c:v>0.18210699999999999</c:v>
                </c:pt>
                <c:pt idx="6">
                  <c:v>0.05</c:v>
                </c:pt>
                <c:pt idx="7">
                  <c:v>0.22096199999999999</c:v>
                </c:pt>
                <c:pt idx="8">
                  <c:v>0.339320333333334</c:v>
                </c:pt>
                <c:pt idx="9">
                  <c:v>0.18210699999999999</c:v>
                </c:pt>
                <c:pt idx="10">
                  <c:v>8.8854999999999906E-2</c:v>
                </c:pt>
                <c:pt idx="11">
                  <c:v>0.12770999999999999</c:v>
                </c:pt>
                <c:pt idx="12">
                  <c:v>0.14325199999999999</c:v>
                </c:pt>
                <c:pt idx="13">
                  <c:v>0.05</c:v>
                </c:pt>
                <c:pt idx="14">
                  <c:v>0.22096199999999999</c:v>
                </c:pt>
                <c:pt idx="15">
                  <c:v>0.05</c:v>
                </c:pt>
                <c:pt idx="16">
                  <c:v>0.14325199999999999</c:v>
                </c:pt>
                <c:pt idx="17">
                  <c:v>0.12770999999999999</c:v>
                </c:pt>
                <c:pt idx="18">
                  <c:v>0.31093733333333301</c:v>
                </c:pt>
                <c:pt idx="19">
                  <c:v>0.33904899999999999</c:v>
                </c:pt>
                <c:pt idx="20">
                  <c:v>0.05</c:v>
                </c:pt>
                <c:pt idx="21">
                  <c:v>0.27443000000000001</c:v>
                </c:pt>
                <c:pt idx="22">
                  <c:v>0.191198333333333</c:v>
                </c:pt>
                <c:pt idx="23">
                  <c:v>0.13548099999999999</c:v>
                </c:pt>
                <c:pt idx="24">
                  <c:v>8.1084000000000003E-2</c:v>
                </c:pt>
                <c:pt idx="25">
                  <c:v>0.41430800000000001</c:v>
                </c:pt>
                <c:pt idx="26">
                  <c:v>0.05</c:v>
                </c:pt>
                <c:pt idx="27">
                  <c:v>0.20541999999999999</c:v>
                </c:pt>
                <c:pt idx="28">
                  <c:v>6.5542000000000003E-2</c:v>
                </c:pt>
                <c:pt idx="29">
                  <c:v>0.112168</c:v>
                </c:pt>
                <c:pt idx="30">
                  <c:v>0.15879399999999999</c:v>
                </c:pt>
                <c:pt idx="31">
                  <c:v>0.05</c:v>
                </c:pt>
                <c:pt idx="32">
                  <c:v>0.05</c:v>
                </c:pt>
                <c:pt idx="33">
                  <c:v>0.22096199999999999</c:v>
                </c:pt>
                <c:pt idx="34">
                  <c:v>0.05</c:v>
                </c:pt>
                <c:pt idx="35">
                  <c:v>0.18210699999999999</c:v>
                </c:pt>
                <c:pt idx="36">
                  <c:v>8.8854999999999906E-2</c:v>
                </c:pt>
                <c:pt idx="37">
                  <c:v>0.05</c:v>
                </c:pt>
                <c:pt idx="38">
                  <c:v>0.22096199999999999</c:v>
                </c:pt>
                <c:pt idx="39">
                  <c:v>0.05</c:v>
                </c:pt>
                <c:pt idx="40">
                  <c:v>0.05</c:v>
                </c:pt>
                <c:pt idx="41">
                  <c:v>0.119939</c:v>
                </c:pt>
                <c:pt idx="42">
                  <c:v>0.15102299999999999</c:v>
                </c:pt>
                <c:pt idx="43">
                  <c:v>0.05</c:v>
                </c:pt>
                <c:pt idx="44">
                  <c:v>0.22096199999999999</c:v>
                </c:pt>
                <c:pt idx="45">
                  <c:v>0.05</c:v>
                </c:pt>
                <c:pt idx="46">
                  <c:v>0.119939</c:v>
                </c:pt>
                <c:pt idx="47">
                  <c:v>0.15102299999999999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FCD-459D-BFC7-D57988FF3B25}"/>
            </c:ext>
          </c:extLst>
        </c:ser>
        <c:ser>
          <c:idx val="30"/>
          <c:order val="30"/>
          <c:tx>
            <c:v>BES_TR8_four301_C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Demand_kW!$AG$2:$AG$49</c:f>
              <c:numCache>
                <c:formatCode>#,##0.000</c:formatCode>
                <c:ptCount val="48"/>
                <c:pt idx="0">
                  <c:v>0.378288333333333</c:v>
                </c:pt>
                <c:pt idx="1">
                  <c:v>0.38211600000000001</c:v>
                </c:pt>
                <c:pt idx="2">
                  <c:v>6.0999999999999999E-2</c:v>
                </c:pt>
                <c:pt idx="3">
                  <c:v>0.22489266666666699</c:v>
                </c:pt>
                <c:pt idx="4">
                  <c:v>6.0999999999999999E-2</c:v>
                </c:pt>
                <c:pt idx="5">
                  <c:v>6.0999999999999999E-2</c:v>
                </c:pt>
                <c:pt idx="6">
                  <c:v>0.209993333333333</c:v>
                </c:pt>
                <c:pt idx="7">
                  <c:v>7.5899333333333305E-2</c:v>
                </c:pt>
                <c:pt idx="8">
                  <c:v>6.0999999999999999E-2</c:v>
                </c:pt>
                <c:pt idx="9">
                  <c:v>0.22489266666666699</c:v>
                </c:pt>
                <c:pt idx="10">
                  <c:v>6.0999999999999999E-2</c:v>
                </c:pt>
                <c:pt idx="11">
                  <c:v>6.0999999999999999E-2</c:v>
                </c:pt>
                <c:pt idx="12">
                  <c:v>0.22489266666666699</c:v>
                </c:pt>
                <c:pt idx="13">
                  <c:v>6.0999999999999999E-2</c:v>
                </c:pt>
                <c:pt idx="14">
                  <c:v>0.17274500000000001</c:v>
                </c:pt>
                <c:pt idx="15">
                  <c:v>0.14374100000000001</c:v>
                </c:pt>
                <c:pt idx="16">
                  <c:v>6.0999999999999999E-2</c:v>
                </c:pt>
                <c:pt idx="17">
                  <c:v>0.29750599999999999</c:v>
                </c:pt>
                <c:pt idx="18">
                  <c:v>0.200232666666667</c:v>
                </c:pt>
                <c:pt idx="19">
                  <c:v>0.43077833333333299</c:v>
                </c:pt>
                <c:pt idx="20">
                  <c:v>0.50548899999999997</c:v>
                </c:pt>
                <c:pt idx="21">
                  <c:v>0.19854566666666701</c:v>
                </c:pt>
                <c:pt idx="22">
                  <c:v>0.32190999999999997</c:v>
                </c:pt>
                <c:pt idx="23">
                  <c:v>0.57373866666666595</c:v>
                </c:pt>
                <c:pt idx="24">
                  <c:v>0.29650199999999999</c:v>
                </c:pt>
                <c:pt idx="25">
                  <c:v>0.32563900000000001</c:v>
                </c:pt>
                <c:pt idx="26">
                  <c:v>0.32711966666666598</c:v>
                </c:pt>
                <c:pt idx="27">
                  <c:v>0.258189</c:v>
                </c:pt>
                <c:pt idx="28">
                  <c:v>0.79510966666666705</c:v>
                </c:pt>
                <c:pt idx="29">
                  <c:v>1.10366566666667</c:v>
                </c:pt>
                <c:pt idx="30">
                  <c:v>6.0999999999999999E-2</c:v>
                </c:pt>
                <c:pt idx="31">
                  <c:v>0.22489266666666699</c:v>
                </c:pt>
                <c:pt idx="32">
                  <c:v>0.25013000000000002</c:v>
                </c:pt>
                <c:pt idx="33">
                  <c:v>0.30448266666666701</c:v>
                </c:pt>
                <c:pt idx="34">
                  <c:v>0.217443</c:v>
                </c:pt>
                <c:pt idx="35">
                  <c:v>6.0999999999999999E-2</c:v>
                </c:pt>
                <c:pt idx="36">
                  <c:v>0.517085666666666</c:v>
                </c:pt>
                <c:pt idx="37">
                  <c:v>0.37316633333333399</c:v>
                </c:pt>
                <c:pt idx="38">
                  <c:v>0.64898</c:v>
                </c:pt>
                <c:pt idx="39">
                  <c:v>0.82095433333333301</c:v>
                </c:pt>
                <c:pt idx="40">
                  <c:v>1.43324566666667</c:v>
                </c:pt>
                <c:pt idx="41">
                  <c:v>0.97995900000000002</c:v>
                </c:pt>
                <c:pt idx="42">
                  <c:v>0.69611733333333403</c:v>
                </c:pt>
                <c:pt idx="43">
                  <c:v>1.74365533333333</c:v>
                </c:pt>
                <c:pt idx="44">
                  <c:v>0.990041333333333</c:v>
                </c:pt>
                <c:pt idx="45">
                  <c:v>0.67263899999999999</c:v>
                </c:pt>
                <c:pt idx="46">
                  <c:v>6.0999999999999999E-2</c:v>
                </c:pt>
                <c:pt idx="47">
                  <c:v>0.16529533333333299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FCD-459D-BFC7-D57988FF3B25}"/>
            </c:ext>
          </c:extLst>
        </c:ser>
        <c:ser>
          <c:idx val="31"/>
          <c:order val="31"/>
          <c:tx>
            <c:v>BES_TR8_four326_A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Demand_kW!$AH$2:$AH$49</c:f>
              <c:numCache>
                <c:formatCode>#,##0.000</c:formatCode>
                <c:ptCount val="48"/>
                <c:pt idx="0">
                  <c:v>0.48437799999999998</c:v>
                </c:pt>
                <c:pt idx="1">
                  <c:v>0.50630900000000001</c:v>
                </c:pt>
                <c:pt idx="2">
                  <c:v>0.38427</c:v>
                </c:pt>
                <c:pt idx="3">
                  <c:v>0.16685666666666699</c:v>
                </c:pt>
                <c:pt idx="4">
                  <c:v>4.5999999999999999E-2</c:v>
                </c:pt>
                <c:pt idx="5">
                  <c:v>4.5999999999999999E-2</c:v>
                </c:pt>
                <c:pt idx="6">
                  <c:v>4.5999999999999999E-2</c:v>
                </c:pt>
                <c:pt idx="7">
                  <c:v>4.5999999999999999E-2</c:v>
                </c:pt>
                <c:pt idx="8">
                  <c:v>4.5999999999999999E-2</c:v>
                </c:pt>
                <c:pt idx="9">
                  <c:v>4.5999999999999999E-2</c:v>
                </c:pt>
                <c:pt idx="10">
                  <c:v>4.5999999999999999E-2</c:v>
                </c:pt>
                <c:pt idx="11">
                  <c:v>4.5999999999999999E-2</c:v>
                </c:pt>
                <c:pt idx="12">
                  <c:v>4.5999999999999999E-2</c:v>
                </c:pt>
                <c:pt idx="13">
                  <c:v>4.5999999999999999E-2</c:v>
                </c:pt>
                <c:pt idx="14">
                  <c:v>4.5999999999999999E-2</c:v>
                </c:pt>
                <c:pt idx="15">
                  <c:v>4.5999999999999999E-2</c:v>
                </c:pt>
                <c:pt idx="16">
                  <c:v>4.5999999999999999E-2</c:v>
                </c:pt>
                <c:pt idx="17">
                  <c:v>4.5999999999999999E-2</c:v>
                </c:pt>
                <c:pt idx="18">
                  <c:v>4.5999999999999999E-2</c:v>
                </c:pt>
                <c:pt idx="19">
                  <c:v>4.5999999999999999E-2</c:v>
                </c:pt>
                <c:pt idx="20">
                  <c:v>0.05</c:v>
                </c:pt>
                <c:pt idx="21">
                  <c:v>0.21698466666666699</c:v>
                </c:pt>
                <c:pt idx="22">
                  <c:v>0.75824833333333297</c:v>
                </c:pt>
                <c:pt idx="23">
                  <c:v>0.56957999999999998</c:v>
                </c:pt>
                <c:pt idx="24">
                  <c:v>0.16066666666666701</c:v>
                </c:pt>
                <c:pt idx="25">
                  <c:v>6.8000000000000005E-2</c:v>
                </c:pt>
                <c:pt idx="26">
                  <c:v>4.6325166666666702E-2</c:v>
                </c:pt>
                <c:pt idx="27">
                  <c:v>4.5999999999999999E-2</c:v>
                </c:pt>
                <c:pt idx="28">
                  <c:v>0.18148</c:v>
                </c:pt>
                <c:pt idx="29">
                  <c:v>1.27439533333333</c:v>
                </c:pt>
                <c:pt idx="30">
                  <c:v>9.0380500000000003E-2</c:v>
                </c:pt>
                <c:pt idx="31">
                  <c:v>7.5886666666666699E-2</c:v>
                </c:pt>
                <c:pt idx="32">
                  <c:v>4.5999999999999999E-2</c:v>
                </c:pt>
                <c:pt idx="33">
                  <c:v>4.5999999999999999E-2</c:v>
                </c:pt>
                <c:pt idx="34">
                  <c:v>4.5999999999999999E-2</c:v>
                </c:pt>
                <c:pt idx="35">
                  <c:v>4.5999999999999999E-2</c:v>
                </c:pt>
                <c:pt idx="36">
                  <c:v>4.5999999999999999E-2</c:v>
                </c:pt>
                <c:pt idx="37">
                  <c:v>7.4260000000000007E-2</c:v>
                </c:pt>
                <c:pt idx="38">
                  <c:v>0.122576666666667</c:v>
                </c:pt>
                <c:pt idx="39">
                  <c:v>0.31688433333333299</c:v>
                </c:pt>
                <c:pt idx="40">
                  <c:v>0.30933333333333302</c:v>
                </c:pt>
                <c:pt idx="41">
                  <c:v>0.47607766666666701</c:v>
                </c:pt>
                <c:pt idx="42">
                  <c:v>0.43801699999999999</c:v>
                </c:pt>
                <c:pt idx="43">
                  <c:v>0.48782199999999998</c:v>
                </c:pt>
                <c:pt idx="44">
                  <c:v>0.40530766666666701</c:v>
                </c:pt>
                <c:pt idx="45">
                  <c:v>0.32269799999999998</c:v>
                </c:pt>
                <c:pt idx="46">
                  <c:v>0.59359899999999999</c:v>
                </c:pt>
                <c:pt idx="47">
                  <c:v>0.50397333333333405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FCD-459D-BFC7-D57988FF3B25}"/>
            </c:ext>
          </c:extLst>
        </c:ser>
        <c:ser>
          <c:idx val="32"/>
          <c:order val="32"/>
          <c:tx>
            <c:v>BES_TR8_four352_A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Demand_kW!$AI$2:$AI$49</c:f>
              <c:numCache>
                <c:formatCode>#,##0.000</c:formatCode>
                <c:ptCount val="48"/>
                <c:pt idx="0">
                  <c:v>5.9936000000000003E-2</c:v>
                </c:pt>
                <c:pt idx="1">
                  <c:v>0.30255199999999999</c:v>
                </c:pt>
                <c:pt idx="2">
                  <c:v>0.100914666666667</c:v>
                </c:pt>
                <c:pt idx="3">
                  <c:v>0.12574399999999999</c:v>
                </c:pt>
                <c:pt idx="4">
                  <c:v>0.29966066666666702</c:v>
                </c:pt>
                <c:pt idx="5">
                  <c:v>3.7999999999999999E-2</c:v>
                </c:pt>
                <c:pt idx="6">
                  <c:v>0.30109733333333299</c:v>
                </c:pt>
                <c:pt idx="7">
                  <c:v>8.9444333333333403E-2</c:v>
                </c:pt>
                <c:pt idx="8">
                  <c:v>7.2863999999999998E-2</c:v>
                </c:pt>
                <c:pt idx="9">
                  <c:v>0.23414633333333301</c:v>
                </c:pt>
                <c:pt idx="10">
                  <c:v>0.19125666666666699</c:v>
                </c:pt>
                <c:pt idx="11">
                  <c:v>0.14810066666666699</c:v>
                </c:pt>
                <c:pt idx="12">
                  <c:v>0.27730199999999999</c:v>
                </c:pt>
                <c:pt idx="13">
                  <c:v>4.5864333333333403E-2</c:v>
                </c:pt>
                <c:pt idx="14">
                  <c:v>0.27916366666666698</c:v>
                </c:pt>
                <c:pt idx="15">
                  <c:v>0.13885266666666701</c:v>
                </c:pt>
                <c:pt idx="16">
                  <c:v>0.18945153333333301</c:v>
                </c:pt>
                <c:pt idx="17">
                  <c:v>0.27341266666666703</c:v>
                </c:pt>
                <c:pt idx="18">
                  <c:v>0.197387333333333</c:v>
                </c:pt>
                <c:pt idx="19">
                  <c:v>0.199284666666667</c:v>
                </c:pt>
                <c:pt idx="20">
                  <c:v>0.25613200000000003</c:v>
                </c:pt>
                <c:pt idx="21">
                  <c:v>1.2573093333333301</c:v>
                </c:pt>
                <c:pt idx="22">
                  <c:v>0.700942333333334</c:v>
                </c:pt>
                <c:pt idx="23">
                  <c:v>0.214723833333333</c:v>
                </c:pt>
                <c:pt idx="24">
                  <c:v>0.26186799999999999</c:v>
                </c:pt>
                <c:pt idx="25">
                  <c:v>0.25078499999999998</c:v>
                </c:pt>
                <c:pt idx="26">
                  <c:v>4.0407666666666703E-2</c:v>
                </c:pt>
                <c:pt idx="27">
                  <c:v>0.14810066666666699</c:v>
                </c:pt>
                <c:pt idx="28">
                  <c:v>0.412408</c:v>
                </c:pt>
                <c:pt idx="29">
                  <c:v>0.48297699999999999</c:v>
                </c:pt>
                <c:pt idx="30">
                  <c:v>0.27161200000000002</c:v>
                </c:pt>
                <c:pt idx="31">
                  <c:v>0.10620033333333299</c:v>
                </c:pt>
                <c:pt idx="32">
                  <c:v>0.42560566666666699</c:v>
                </c:pt>
                <c:pt idx="33">
                  <c:v>0.358967066666667</c:v>
                </c:pt>
                <c:pt idx="34">
                  <c:v>0.30326446666666701</c:v>
                </c:pt>
                <c:pt idx="35">
                  <c:v>0.301781666666667</c:v>
                </c:pt>
                <c:pt idx="36">
                  <c:v>0.22614266666666699</c:v>
                </c:pt>
                <c:pt idx="37">
                  <c:v>0.46614933333333303</c:v>
                </c:pt>
                <c:pt idx="38">
                  <c:v>0.506392333333334</c:v>
                </c:pt>
                <c:pt idx="39">
                  <c:v>0.52675333333333296</c:v>
                </c:pt>
                <c:pt idx="40">
                  <c:v>9.0296000000000001E-2</c:v>
                </c:pt>
                <c:pt idx="41">
                  <c:v>0.174248666666667</c:v>
                </c:pt>
                <c:pt idx="42">
                  <c:v>0.162304</c:v>
                </c:pt>
                <c:pt idx="43">
                  <c:v>7.4560000000000001E-2</c:v>
                </c:pt>
                <c:pt idx="44">
                  <c:v>0.200741</c:v>
                </c:pt>
                <c:pt idx="45">
                  <c:v>0.59016033333333295</c:v>
                </c:pt>
                <c:pt idx="46">
                  <c:v>5.1074000000000001E-2</c:v>
                </c:pt>
                <c:pt idx="47">
                  <c:v>0.31141566666666698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FCD-459D-BFC7-D57988FF3B25}"/>
            </c:ext>
          </c:extLst>
        </c:ser>
        <c:ser>
          <c:idx val="33"/>
          <c:order val="33"/>
          <c:tx>
            <c:v>BES_TR8_four358_C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Demand_kW!$AJ$2:$AJ$49</c:f>
              <c:numCache>
                <c:formatCode>#,##0.000</c:formatCode>
                <c:ptCount val="48"/>
                <c:pt idx="0">
                  <c:v>0.18326000000000001</c:v>
                </c:pt>
                <c:pt idx="1">
                  <c:v>5.0999999999999997E-2</c:v>
                </c:pt>
                <c:pt idx="2">
                  <c:v>6.6559999999999994E-2</c:v>
                </c:pt>
                <c:pt idx="3">
                  <c:v>0.20660000000000001</c:v>
                </c:pt>
                <c:pt idx="4">
                  <c:v>5.0999999999999997E-2</c:v>
                </c:pt>
                <c:pt idx="5">
                  <c:v>0.20660000000000001</c:v>
                </c:pt>
                <c:pt idx="6">
                  <c:v>6.6559999999999994E-2</c:v>
                </c:pt>
                <c:pt idx="7">
                  <c:v>5.0999999999999997E-2</c:v>
                </c:pt>
                <c:pt idx="8">
                  <c:v>0.22216</c:v>
                </c:pt>
                <c:pt idx="9">
                  <c:v>5.0999999999999997E-2</c:v>
                </c:pt>
                <c:pt idx="10">
                  <c:v>0.17548</c:v>
                </c:pt>
                <c:pt idx="11">
                  <c:v>9.76800000000001E-2</c:v>
                </c:pt>
                <c:pt idx="12">
                  <c:v>5.0999999999999997E-2</c:v>
                </c:pt>
                <c:pt idx="13">
                  <c:v>0.14435999999999999</c:v>
                </c:pt>
                <c:pt idx="14">
                  <c:v>0.1288</c:v>
                </c:pt>
                <c:pt idx="15">
                  <c:v>7.0288000000000003E-2</c:v>
                </c:pt>
                <c:pt idx="16">
                  <c:v>0.26133919999999999</c:v>
                </c:pt>
                <c:pt idx="17">
                  <c:v>1.3613818666666699</c:v>
                </c:pt>
                <c:pt idx="18">
                  <c:v>0.80293333333333305</c:v>
                </c:pt>
                <c:pt idx="19">
                  <c:v>1.29128666666667</c:v>
                </c:pt>
                <c:pt idx="20">
                  <c:v>0.19103999999999999</c:v>
                </c:pt>
                <c:pt idx="21">
                  <c:v>5.0999999999999997E-2</c:v>
                </c:pt>
                <c:pt idx="22">
                  <c:v>0.20660000000000001</c:v>
                </c:pt>
                <c:pt idx="23">
                  <c:v>6.6559999999999994E-2</c:v>
                </c:pt>
                <c:pt idx="24">
                  <c:v>5.8779999999999999E-2</c:v>
                </c:pt>
                <c:pt idx="25">
                  <c:v>0.21437999999999999</c:v>
                </c:pt>
                <c:pt idx="26">
                  <c:v>5.0999999999999997E-2</c:v>
                </c:pt>
                <c:pt idx="27">
                  <c:v>9.5168333333333299E-2</c:v>
                </c:pt>
                <c:pt idx="28">
                  <c:v>0.113399266666667</c:v>
                </c:pt>
                <c:pt idx="29">
                  <c:v>5.8630399999999999E-2</c:v>
                </c:pt>
                <c:pt idx="30">
                  <c:v>0.219806</c:v>
                </c:pt>
                <c:pt idx="31">
                  <c:v>8.5909033333333398E-2</c:v>
                </c:pt>
                <c:pt idx="32">
                  <c:v>9.8655833333333401E-2</c:v>
                </c:pt>
                <c:pt idx="33">
                  <c:v>0.27740806666666701</c:v>
                </c:pt>
                <c:pt idx="34">
                  <c:v>6.3048000000000007E-2</c:v>
                </c:pt>
                <c:pt idx="35">
                  <c:v>0.29914000000000002</c:v>
                </c:pt>
                <c:pt idx="36">
                  <c:v>0.39312200000000003</c:v>
                </c:pt>
                <c:pt idx="37">
                  <c:v>0.21018000000000001</c:v>
                </c:pt>
                <c:pt idx="38">
                  <c:v>0.18477666666666701</c:v>
                </c:pt>
                <c:pt idx="39">
                  <c:v>0.293476666666667</c:v>
                </c:pt>
                <c:pt idx="40">
                  <c:v>0.44815533333333402</c:v>
                </c:pt>
                <c:pt idx="41">
                  <c:v>0.62932600000000005</c:v>
                </c:pt>
                <c:pt idx="42">
                  <c:v>0.56803000000000003</c:v>
                </c:pt>
                <c:pt idx="43">
                  <c:v>0.436562333333333</c:v>
                </c:pt>
                <c:pt idx="44">
                  <c:v>0.46737400000000001</c:v>
                </c:pt>
                <c:pt idx="45">
                  <c:v>0.76173900000000005</c:v>
                </c:pt>
                <c:pt idx="46">
                  <c:v>0.31671666666666698</c:v>
                </c:pt>
                <c:pt idx="47">
                  <c:v>0.43429833333333301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EFCD-459D-BFC7-D57988FF3B25}"/>
            </c:ext>
          </c:extLst>
        </c:ser>
        <c:ser>
          <c:idx val="34"/>
          <c:order val="34"/>
          <c:tx>
            <c:v>BES_TR8_four368_C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Demand_kW!$AK$2:$AK$49</c:f>
              <c:numCache>
                <c:formatCode>#,##0.000</c:formatCode>
                <c:ptCount val="48"/>
                <c:pt idx="0">
                  <c:v>0.12977033333333299</c:v>
                </c:pt>
                <c:pt idx="1">
                  <c:v>0.12977033333333299</c:v>
                </c:pt>
                <c:pt idx="2">
                  <c:v>0.112229333333333</c:v>
                </c:pt>
                <c:pt idx="3">
                  <c:v>0.107469333333333</c:v>
                </c:pt>
                <c:pt idx="4">
                  <c:v>0.152071333333333</c:v>
                </c:pt>
                <c:pt idx="5">
                  <c:v>4.8000000000000001E-2</c:v>
                </c:pt>
                <c:pt idx="6">
                  <c:v>6.2867333333333303E-2</c:v>
                </c:pt>
                <c:pt idx="7">
                  <c:v>0.19667333333333301</c:v>
                </c:pt>
                <c:pt idx="8">
                  <c:v>4.8000000000000001E-2</c:v>
                </c:pt>
                <c:pt idx="9">
                  <c:v>0.19667333333333301</c:v>
                </c:pt>
                <c:pt idx="10">
                  <c:v>6.28673333333334E-2</c:v>
                </c:pt>
                <c:pt idx="11">
                  <c:v>4.8000000000000001E-2</c:v>
                </c:pt>
                <c:pt idx="12">
                  <c:v>5.62553333333334E-2</c:v>
                </c:pt>
                <c:pt idx="13">
                  <c:v>0.21154066666666699</c:v>
                </c:pt>
                <c:pt idx="14">
                  <c:v>4.8000000000000001E-2</c:v>
                </c:pt>
                <c:pt idx="15">
                  <c:v>4.8000000000000001E-2</c:v>
                </c:pt>
                <c:pt idx="16">
                  <c:v>0.21154066666666699</c:v>
                </c:pt>
                <c:pt idx="17">
                  <c:v>4.8000000000000001E-2</c:v>
                </c:pt>
                <c:pt idx="18">
                  <c:v>0.37061873333333301</c:v>
                </c:pt>
                <c:pt idx="19">
                  <c:v>0.46512466666666602</c:v>
                </c:pt>
                <c:pt idx="20">
                  <c:v>0.66093333333333404</c:v>
                </c:pt>
                <c:pt idx="21">
                  <c:v>1.5417110000000001</c:v>
                </c:pt>
                <c:pt idx="22">
                  <c:v>0.46662666666666702</c:v>
                </c:pt>
                <c:pt idx="23">
                  <c:v>0.102987933333333</c:v>
                </c:pt>
                <c:pt idx="24">
                  <c:v>0.58110866666666705</c:v>
                </c:pt>
                <c:pt idx="25">
                  <c:v>1.3935507333333299</c:v>
                </c:pt>
                <c:pt idx="26">
                  <c:v>0.89683999999999997</c:v>
                </c:pt>
                <c:pt idx="27">
                  <c:v>0.10422466666666701</c:v>
                </c:pt>
                <c:pt idx="28">
                  <c:v>0.73684166666666695</c:v>
                </c:pt>
                <c:pt idx="29">
                  <c:v>0.79371700000000001</c:v>
                </c:pt>
                <c:pt idx="30">
                  <c:v>0.58593333333333297</c:v>
                </c:pt>
                <c:pt idx="31">
                  <c:v>0.122469333333333</c:v>
                </c:pt>
                <c:pt idx="32">
                  <c:v>0.44317533333333298</c:v>
                </c:pt>
                <c:pt idx="33">
                  <c:v>1.11443633333333</c:v>
                </c:pt>
                <c:pt idx="34">
                  <c:v>0.76056166666666702</c:v>
                </c:pt>
                <c:pt idx="35">
                  <c:v>0.197535666666667</c:v>
                </c:pt>
                <c:pt idx="36">
                  <c:v>0.60373433333333304</c:v>
                </c:pt>
                <c:pt idx="37">
                  <c:v>0.1973087</c:v>
                </c:pt>
                <c:pt idx="38">
                  <c:v>0.86363306666666695</c:v>
                </c:pt>
                <c:pt idx="39">
                  <c:v>0.92823066666666698</c:v>
                </c:pt>
                <c:pt idx="40">
                  <c:v>1.54537533333333</c:v>
                </c:pt>
                <c:pt idx="41">
                  <c:v>0.86360400000000004</c:v>
                </c:pt>
                <c:pt idx="42">
                  <c:v>0.492748666666667</c:v>
                </c:pt>
                <c:pt idx="43">
                  <c:v>1.56169966666667</c:v>
                </c:pt>
                <c:pt idx="44">
                  <c:v>0.38538266666666698</c:v>
                </c:pt>
                <c:pt idx="45">
                  <c:v>0.40051399999999998</c:v>
                </c:pt>
                <c:pt idx="46">
                  <c:v>0.81425233333333302</c:v>
                </c:pt>
                <c:pt idx="47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FCD-459D-BFC7-D57988FF3B25}"/>
            </c:ext>
          </c:extLst>
        </c:ser>
        <c:ser>
          <c:idx val="35"/>
          <c:order val="35"/>
          <c:tx>
            <c:v>BES_TR8_four372_C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Demand_kW!$AL$2:$AL$49</c:f>
              <c:numCache>
                <c:formatCode>#,##0.000</c:formatCode>
                <c:ptCount val="48"/>
                <c:pt idx="0">
                  <c:v>4.4999999999999998E-2</c:v>
                </c:pt>
                <c:pt idx="1">
                  <c:v>4.4999999999999998E-2</c:v>
                </c:pt>
                <c:pt idx="2">
                  <c:v>6.01373333333333E-2</c:v>
                </c:pt>
                <c:pt idx="3">
                  <c:v>0.19637333333333301</c:v>
                </c:pt>
                <c:pt idx="4">
                  <c:v>4.4999999999999998E-2</c:v>
                </c:pt>
                <c:pt idx="5">
                  <c:v>7.5274666666666698E-2</c:v>
                </c:pt>
                <c:pt idx="6">
                  <c:v>0.18123600000000001</c:v>
                </c:pt>
                <c:pt idx="7">
                  <c:v>4.4999999999999998E-2</c:v>
                </c:pt>
                <c:pt idx="8">
                  <c:v>0.21151066666666701</c:v>
                </c:pt>
                <c:pt idx="9">
                  <c:v>4.4999999999999998E-2</c:v>
                </c:pt>
                <c:pt idx="10">
                  <c:v>4.4999999999999998E-2</c:v>
                </c:pt>
                <c:pt idx="11">
                  <c:v>0.21151066666666701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5.2568666666666701E-2</c:v>
                </c:pt>
                <c:pt idx="15">
                  <c:v>0.4389632</c:v>
                </c:pt>
                <c:pt idx="16">
                  <c:v>8.1155599999999994E-2</c:v>
                </c:pt>
                <c:pt idx="17">
                  <c:v>1.5282486666666699</c:v>
                </c:pt>
                <c:pt idx="18">
                  <c:v>0.32120033333333298</c:v>
                </c:pt>
                <c:pt idx="19">
                  <c:v>0.3967</c:v>
                </c:pt>
                <c:pt idx="20">
                  <c:v>0.181041333333333</c:v>
                </c:pt>
                <c:pt idx="21">
                  <c:v>4.4999999999999998E-2</c:v>
                </c:pt>
                <c:pt idx="22">
                  <c:v>0.21151066666666701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0.427037733333333</c:v>
                </c:pt>
                <c:pt idx="26">
                  <c:v>0.1062408</c:v>
                </c:pt>
                <c:pt idx="27">
                  <c:v>0.10329000000000001</c:v>
                </c:pt>
                <c:pt idx="28">
                  <c:v>0.26467200000000002</c:v>
                </c:pt>
                <c:pt idx="29">
                  <c:v>0.20874933333333301</c:v>
                </c:pt>
                <c:pt idx="30">
                  <c:v>0.34374633333333399</c:v>
                </c:pt>
                <c:pt idx="31">
                  <c:v>0.49610300000000002</c:v>
                </c:pt>
                <c:pt idx="32">
                  <c:v>0.23237833333333299</c:v>
                </c:pt>
                <c:pt idx="33">
                  <c:v>0.78445533333333295</c:v>
                </c:pt>
                <c:pt idx="34">
                  <c:v>2.0418753333333299</c:v>
                </c:pt>
                <c:pt idx="35">
                  <c:v>0.833670666666666</c:v>
                </c:pt>
                <c:pt idx="36">
                  <c:v>0.56234466666666705</c:v>
                </c:pt>
                <c:pt idx="37">
                  <c:v>0.72372466666666702</c:v>
                </c:pt>
                <c:pt idx="38">
                  <c:v>0.48097400000000001</c:v>
                </c:pt>
                <c:pt idx="39">
                  <c:v>0.35638599999999998</c:v>
                </c:pt>
                <c:pt idx="40">
                  <c:v>0.48510766666666699</c:v>
                </c:pt>
                <c:pt idx="41">
                  <c:v>1.6572213333333301</c:v>
                </c:pt>
                <c:pt idx="42">
                  <c:v>1.1878649999999999</c:v>
                </c:pt>
                <c:pt idx="43">
                  <c:v>0.86702100000000004</c:v>
                </c:pt>
                <c:pt idx="44">
                  <c:v>0.90037433333333305</c:v>
                </c:pt>
                <c:pt idx="45">
                  <c:v>0.81093233333333403</c:v>
                </c:pt>
                <c:pt idx="46">
                  <c:v>0.18880466666666701</c:v>
                </c:pt>
                <c:pt idx="47">
                  <c:v>4.4999999999999998E-2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EFCD-459D-BFC7-D57988FF3B25}"/>
            </c:ext>
          </c:extLst>
        </c:ser>
        <c:ser>
          <c:idx val="36"/>
          <c:order val="36"/>
          <c:tx>
            <c:v>BES_TR8_four381_A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Demand_kW!$AM$2:$AM$49</c:f>
              <c:numCache>
                <c:formatCode>#,##0.000</c:formatCode>
                <c:ptCount val="48"/>
                <c:pt idx="0">
                  <c:v>7.8827999999999995E-2</c:v>
                </c:pt>
                <c:pt idx="1">
                  <c:v>0.28771266666666701</c:v>
                </c:pt>
                <c:pt idx="2">
                  <c:v>0.05</c:v>
                </c:pt>
                <c:pt idx="3">
                  <c:v>0.05</c:v>
                </c:pt>
                <c:pt idx="4">
                  <c:v>0.29491966666666702</c:v>
                </c:pt>
                <c:pt idx="5">
                  <c:v>7.1621000000000004E-2</c:v>
                </c:pt>
                <c:pt idx="6">
                  <c:v>0.12713333333333299</c:v>
                </c:pt>
                <c:pt idx="7">
                  <c:v>0.22499333333333299</c:v>
                </c:pt>
                <c:pt idx="8">
                  <c:v>6.4413999999999999E-2</c:v>
                </c:pt>
                <c:pt idx="9">
                  <c:v>0.157986666666667</c:v>
                </c:pt>
                <c:pt idx="10">
                  <c:v>0.20855399999999999</c:v>
                </c:pt>
                <c:pt idx="11">
                  <c:v>9.6280000000000004E-2</c:v>
                </c:pt>
                <c:pt idx="12">
                  <c:v>0.234225666666667</c:v>
                </c:pt>
                <c:pt idx="13">
                  <c:v>8.6034999999999903E-2</c:v>
                </c:pt>
                <c:pt idx="14">
                  <c:v>0.201228666666667</c:v>
                </c:pt>
                <c:pt idx="15">
                  <c:v>0.16531199999999999</c:v>
                </c:pt>
                <c:pt idx="16">
                  <c:v>0.14873</c:v>
                </c:pt>
                <c:pt idx="17">
                  <c:v>1.3682586666666701</c:v>
                </c:pt>
                <c:pt idx="18">
                  <c:v>0.55462733333333403</c:v>
                </c:pt>
                <c:pt idx="19">
                  <c:v>0.18681466666666699</c:v>
                </c:pt>
                <c:pt idx="20">
                  <c:v>0.179726</c:v>
                </c:pt>
                <c:pt idx="21">
                  <c:v>0.149466666666667</c:v>
                </c:pt>
                <c:pt idx="22">
                  <c:v>0.39513900000000002</c:v>
                </c:pt>
                <c:pt idx="23">
                  <c:v>1.2828613333333301</c:v>
                </c:pt>
                <c:pt idx="24">
                  <c:v>0.19919999999999999</c:v>
                </c:pt>
                <c:pt idx="25">
                  <c:v>0.36308733333333298</c:v>
                </c:pt>
                <c:pt idx="26">
                  <c:v>0.35845866666666698</c:v>
                </c:pt>
                <c:pt idx="27">
                  <c:v>0.28414366666666702</c:v>
                </c:pt>
                <c:pt idx="28">
                  <c:v>0.64847933333333396</c:v>
                </c:pt>
                <c:pt idx="29">
                  <c:v>0.1822298</c:v>
                </c:pt>
                <c:pt idx="30">
                  <c:v>0.166105</c:v>
                </c:pt>
                <c:pt idx="31">
                  <c:v>0.26225166666666699</c:v>
                </c:pt>
                <c:pt idx="32">
                  <c:v>0.16993766666666699</c:v>
                </c:pt>
                <c:pt idx="33">
                  <c:v>0.26493766666666702</c:v>
                </c:pt>
                <c:pt idx="34">
                  <c:v>0.15892999999999999</c:v>
                </c:pt>
                <c:pt idx="35">
                  <c:v>0.157986666666667</c:v>
                </c:pt>
                <c:pt idx="36">
                  <c:v>0.286617333333333</c:v>
                </c:pt>
                <c:pt idx="37">
                  <c:v>0.34705433333333302</c:v>
                </c:pt>
                <c:pt idx="38">
                  <c:v>0.167795</c:v>
                </c:pt>
                <c:pt idx="39">
                  <c:v>0.41623599999999999</c:v>
                </c:pt>
                <c:pt idx="40">
                  <c:v>1.8851053333333301</c:v>
                </c:pt>
                <c:pt idx="41">
                  <c:v>0.60918266666666698</c:v>
                </c:pt>
                <c:pt idx="42">
                  <c:v>0.76265366666666701</c:v>
                </c:pt>
                <c:pt idx="43">
                  <c:v>0.92857199999999995</c:v>
                </c:pt>
                <c:pt idx="44">
                  <c:v>0.73144866666666697</c:v>
                </c:pt>
                <c:pt idx="45">
                  <c:v>0.54984833333333305</c:v>
                </c:pt>
                <c:pt idx="46">
                  <c:v>0.44244</c:v>
                </c:pt>
                <c:pt idx="47">
                  <c:v>0.615997666666667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FCD-459D-BFC7-D57988FF3B25}"/>
            </c:ext>
          </c:extLst>
        </c:ser>
        <c:ser>
          <c:idx val="37"/>
          <c:order val="37"/>
          <c:tx>
            <c:v>BES_TR8_four385_A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Demand_kW!$AN$2:$AN$49</c:f>
              <c:numCache>
                <c:formatCode>#,##0.000</c:formatCode>
                <c:ptCount val="48"/>
                <c:pt idx="0">
                  <c:v>0.107072</c:v>
                </c:pt>
                <c:pt idx="1">
                  <c:v>4.7E-2</c:v>
                </c:pt>
                <c:pt idx="2">
                  <c:v>0.159635</c:v>
                </c:pt>
                <c:pt idx="3">
                  <c:v>9.9563000000000096E-2</c:v>
                </c:pt>
                <c:pt idx="4">
                  <c:v>5.1489666666666697E-2</c:v>
                </c:pt>
                <c:pt idx="5">
                  <c:v>0.19380393333333301</c:v>
                </c:pt>
                <c:pt idx="6">
                  <c:v>0.159635</c:v>
                </c:pt>
                <c:pt idx="7">
                  <c:v>4.7E-2</c:v>
                </c:pt>
                <c:pt idx="8">
                  <c:v>0.212198</c:v>
                </c:pt>
                <c:pt idx="9">
                  <c:v>4.7E-2</c:v>
                </c:pt>
                <c:pt idx="10">
                  <c:v>9.2053999999999997E-2</c:v>
                </c:pt>
                <c:pt idx="11">
                  <c:v>0.16714399999999999</c:v>
                </c:pt>
                <c:pt idx="12">
                  <c:v>4.7E-2</c:v>
                </c:pt>
                <c:pt idx="13">
                  <c:v>0.212198</c:v>
                </c:pt>
                <c:pt idx="14">
                  <c:v>4.7E-2</c:v>
                </c:pt>
                <c:pt idx="15">
                  <c:v>0.159635</c:v>
                </c:pt>
                <c:pt idx="16">
                  <c:v>9.9563000000000096E-2</c:v>
                </c:pt>
                <c:pt idx="17">
                  <c:v>7.7035999999999993E-2</c:v>
                </c:pt>
                <c:pt idx="18">
                  <c:v>0.18216199999999999</c:v>
                </c:pt>
                <c:pt idx="19">
                  <c:v>4.7E-2</c:v>
                </c:pt>
                <c:pt idx="20">
                  <c:v>0.159635</c:v>
                </c:pt>
                <c:pt idx="21">
                  <c:v>9.9563000000000096E-2</c:v>
                </c:pt>
                <c:pt idx="22">
                  <c:v>0.107072</c:v>
                </c:pt>
                <c:pt idx="23">
                  <c:v>0.15212600000000001</c:v>
                </c:pt>
                <c:pt idx="24">
                  <c:v>4.7E-2</c:v>
                </c:pt>
                <c:pt idx="25">
                  <c:v>0.12959899999999999</c:v>
                </c:pt>
                <c:pt idx="26">
                  <c:v>0.12959899999999999</c:v>
                </c:pt>
                <c:pt idx="27">
                  <c:v>4.7E-2</c:v>
                </c:pt>
                <c:pt idx="28">
                  <c:v>7.7035999999999993E-2</c:v>
                </c:pt>
                <c:pt idx="29">
                  <c:v>0.18216199999999999</c:v>
                </c:pt>
                <c:pt idx="30">
                  <c:v>4.7E-2</c:v>
                </c:pt>
                <c:pt idx="31">
                  <c:v>0.19717999999999999</c:v>
                </c:pt>
                <c:pt idx="32">
                  <c:v>6.2017999999999997E-2</c:v>
                </c:pt>
                <c:pt idx="33">
                  <c:v>4.7E-2</c:v>
                </c:pt>
                <c:pt idx="34">
                  <c:v>8.4544999999999995E-2</c:v>
                </c:pt>
                <c:pt idx="35">
                  <c:v>0.174653</c:v>
                </c:pt>
                <c:pt idx="36">
                  <c:v>4.7E-2</c:v>
                </c:pt>
                <c:pt idx="37">
                  <c:v>4.7E-2</c:v>
                </c:pt>
                <c:pt idx="38">
                  <c:v>4.7E-2</c:v>
                </c:pt>
                <c:pt idx="39">
                  <c:v>0.212198</c:v>
                </c:pt>
                <c:pt idx="40">
                  <c:v>4.7E-2</c:v>
                </c:pt>
                <c:pt idx="41">
                  <c:v>7.1295999999999998E-2</c:v>
                </c:pt>
                <c:pt idx="42">
                  <c:v>0.21263016666666701</c:v>
                </c:pt>
                <c:pt idx="43">
                  <c:v>0.47774566666666701</c:v>
                </c:pt>
                <c:pt idx="44">
                  <c:v>0.32639566666666697</c:v>
                </c:pt>
                <c:pt idx="45">
                  <c:v>0.26624566666666699</c:v>
                </c:pt>
                <c:pt idx="46">
                  <c:v>0.36226666666666701</c:v>
                </c:pt>
                <c:pt idx="47">
                  <c:v>0.55700966666666696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EFCD-459D-BFC7-D57988FF3B25}"/>
            </c:ext>
          </c:extLst>
        </c:ser>
        <c:ser>
          <c:idx val="38"/>
          <c:order val="38"/>
          <c:tx>
            <c:v>BES_TR8_four423_C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Demand_kW!$AO$2:$AO$49</c:f>
              <c:numCache>
                <c:formatCode>#,##0.000</c:formatCode>
                <c:ptCount val="48"/>
                <c:pt idx="0">
                  <c:v>0.100198333333333</c:v>
                </c:pt>
                <c:pt idx="1">
                  <c:v>0.331031666666667</c:v>
                </c:pt>
                <c:pt idx="2">
                  <c:v>5.7654666666666701E-2</c:v>
                </c:pt>
                <c:pt idx="3">
                  <c:v>0.226074</c:v>
                </c:pt>
                <c:pt idx="4">
                  <c:v>0.15500700000000001</c:v>
                </c:pt>
                <c:pt idx="5">
                  <c:v>0.17366166666666699</c:v>
                </c:pt>
                <c:pt idx="6">
                  <c:v>0.20930133333333301</c:v>
                </c:pt>
                <c:pt idx="7">
                  <c:v>0.247892</c:v>
                </c:pt>
                <c:pt idx="8">
                  <c:v>0.18327399999999999</c:v>
                </c:pt>
                <c:pt idx="9">
                  <c:v>0.19826766666666701</c:v>
                </c:pt>
                <c:pt idx="10">
                  <c:v>0.160787333333333</c:v>
                </c:pt>
                <c:pt idx="11">
                  <c:v>0.124144333333333</c:v>
                </c:pt>
                <c:pt idx="12">
                  <c:v>0.22334999999999999</c:v>
                </c:pt>
                <c:pt idx="13">
                  <c:v>0.126892</c:v>
                </c:pt>
                <c:pt idx="14">
                  <c:v>0.14726566666666699</c:v>
                </c:pt>
                <c:pt idx="15">
                  <c:v>0.318577</c:v>
                </c:pt>
                <c:pt idx="16">
                  <c:v>4.9000000000000002E-2</c:v>
                </c:pt>
                <c:pt idx="17">
                  <c:v>0.40754299999999999</c:v>
                </c:pt>
                <c:pt idx="18">
                  <c:v>0.37485566666666698</c:v>
                </c:pt>
                <c:pt idx="19">
                  <c:v>0.951327700000001</c:v>
                </c:pt>
                <c:pt idx="20">
                  <c:v>0.2480087</c:v>
                </c:pt>
                <c:pt idx="21">
                  <c:v>0.64816200000000002</c:v>
                </c:pt>
                <c:pt idx="22">
                  <c:v>1.4120333333333299</c:v>
                </c:pt>
                <c:pt idx="23">
                  <c:v>2.5110394</c:v>
                </c:pt>
                <c:pt idx="24">
                  <c:v>0.45829700000000001</c:v>
                </c:pt>
                <c:pt idx="25">
                  <c:v>0.15307733333333301</c:v>
                </c:pt>
                <c:pt idx="26">
                  <c:v>0.126892</c:v>
                </c:pt>
                <c:pt idx="27">
                  <c:v>0.210105666666667</c:v>
                </c:pt>
                <c:pt idx="28">
                  <c:v>0.30702966666666698</c:v>
                </c:pt>
                <c:pt idx="29">
                  <c:v>1.4658825</c:v>
                </c:pt>
                <c:pt idx="30">
                  <c:v>0.26286599999999999</c:v>
                </c:pt>
                <c:pt idx="31">
                  <c:v>0.230650666666667</c:v>
                </c:pt>
                <c:pt idx="32">
                  <c:v>0.92400966666666595</c:v>
                </c:pt>
                <c:pt idx="33">
                  <c:v>0.47993533333333399</c:v>
                </c:pt>
                <c:pt idx="34">
                  <c:v>0.34985566666666701</c:v>
                </c:pt>
                <c:pt idx="35">
                  <c:v>0.242921</c:v>
                </c:pt>
                <c:pt idx="36">
                  <c:v>0.191992</c:v>
                </c:pt>
                <c:pt idx="37">
                  <c:v>0.24215366666666699</c:v>
                </c:pt>
                <c:pt idx="38">
                  <c:v>0.12542500000000001</c:v>
                </c:pt>
                <c:pt idx="39">
                  <c:v>0.44488366666666701</c:v>
                </c:pt>
                <c:pt idx="40">
                  <c:v>0.61232533333333306</c:v>
                </c:pt>
                <c:pt idx="41">
                  <c:v>0.50519199999999997</c:v>
                </c:pt>
                <c:pt idx="42">
                  <c:v>0.21671199999999999</c:v>
                </c:pt>
                <c:pt idx="43">
                  <c:v>0.36059333333333299</c:v>
                </c:pt>
                <c:pt idx="44">
                  <c:v>5.7654666666666701E-2</c:v>
                </c:pt>
                <c:pt idx="45">
                  <c:v>0.30647600000000003</c:v>
                </c:pt>
                <c:pt idx="46">
                  <c:v>0.150717666666667</c:v>
                </c:pt>
                <c:pt idx="47">
                  <c:v>6.1982000000000002E-2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FCD-459D-BFC7-D57988FF3B25}"/>
            </c:ext>
          </c:extLst>
        </c:ser>
        <c:ser>
          <c:idx val="39"/>
          <c:order val="39"/>
          <c:tx>
            <c:v>BES_TR8_four437_A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Demand_kW!$AP$2:$AP$49</c:f>
              <c:numCache>
                <c:formatCode>#,##0.000</c:formatCode>
                <c:ptCount val="48"/>
                <c:pt idx="0">
                  <c:v>4.5999999999999999E-2</c:v>
                </c:pt>
                <c:pt idx="1">
                  <c:v>4.5999999999999999E-2</c:v>
                </c:pt>
                <c:pt idx="2">
                  <c:v>4.5999999999999999E-2</c:v>
                </c:pt>
                <c:pt idx="3">
                  <c:v>4.5999999999999999E-2</c:v>
                </c:pt>
                <c:pt idx="4">
                  <c:v>4.5999999999999999E-2</c:v>
                </c:pt>
                <c:pt idx="5">
                  <c:v>4.5999999999999999E-2</c:v>
                </c:pt>
                <c:pt idx="6">
                  <c:v>4.5999999999999999E-2</c:v>
                </c:pt>
                <c:pt idx="7">
                  <c:v>4.5999999999999999E-2</c:v>
                </c:pt>
                <c:pt idx="8">
                  <c:v>4.5999999999999999E-2</c:v>
                </c:pt>
                <c:pt idx="9">
                  <c:v>4.5999999999999999E-2</c:v>
                </c:pt>
                <c:pt idx="10">
                  <c:v>0.29405033333333302</c:v>
                </c:pt>
                <c:pt idx="11">
                  <c:v>4.5999999999999999E-2</c:v>
                </c:pt>
                <c:pt idx="12">
                  <c:v>4.5999999999999999E-2</c:v>
                </c:pt>
                <c:pt idx="13">
                  <c:v>4.5999999999999999E-2</c:v>
                </c:pt>
                <c:pt idx="14">
                  <c:v>4.5999999999999999E-2</c:v>
                </c:pt>
                <c:pt idx="15">
                  <c:v>4.5999999999999999E-2</c:v>
                </c:pt>
                <c:pt idx="16">
                  <c:v>4.5999999999999999E-2</c:v>
                </c:pt>
                <c:pt idx="17">
                  <c:v>8.6023333333333299E-2</c:v>
                </c:pt>
                <c:pt idx="18">
                  <c:v>0.20212866666666701</c:v>
                </c:pt>
                <c:pt idx="19">
                  <c:v>4.5999999999999999E-2</c:v>
                </c:pt>
                <c:pt idx="20">
                  <c:v>4.5999999999999999E-2</c:v>
                </c:pt>
                <c:pt idx="21">
                  <c:v>4.5999999999999999E-2</c:v>
                </c:pt>
                <c:pt idx="22">
                  <c:v>4.5999999999999999E-2</c:v>
                </c:pt>
                <c:pt idx="23">
                  <c:v>4.5999999999999999E-2</c:v>
                </c:pt>
                <c:pt idx="24">
                  <c:v>4.5999999999999999E-2</c:v>
                </c:pt>
                <c:pt idx="25">
                  <c:v>4.5999999999999999E-2</c:v>
                </c:pt>
                <c:pt idx="26">
                  <c:v>4.5999999999999999E-2</c:v>
                </c:pt>
                <c:pt idx="27">
                  <c:v>4.5999999999999999E-2</c:v>
                </c:pt>
                <c:pt idx="28">
                  <c:v>4.5999999999999999E-2</c:v>
                </c:pt>
                <c:pt idx="29">
                  <c:v>4.5999999999999999E-2</c:v>
                </c:pt>
                <c:pt idx="30">
                  <c:v>4.5999999999999999E-2</c:v>
                </c:pt>
                <c:pt idx="31">
                  <c:v>1.01591766666667</c:v>
                </c:pt>
                <c:pt idx="32">
                  <c:v>0.74597933333333399</c:v>
                </c:pt>
                <c:pt idx="33">
                  <c:v>0.17882899999999999</c:v>
                </c:pt>
                <c:pt idx="34">
                  <c:v>0.14361033333333301</c:v>
                </c:pt>
                <c:pt idx="35">
                  <c:v>9.4217933333333406E-2</c:v>
                </c:pt>
                <c:pt idx="36">
                  <c:v>0.16705</c:v>
                </c:pt>
                <c:pt idx="37">
                  <c:v>0.24529000000000001</c:v>
                </c:pt>
                <c:pt idx="38">
                  <c:v>0.28001999999999999</c:v>
                </c:pt>
                <c:pt idx="39">
                  <c:v>0.43558666666666701</c:v>
                </c:pt>
                <c:pt idx="40">
                  <c:v>4.5999999999999999E-2</c:v>
                </c:pt>
                <c:pt idx="41">
                  <c:v>4.5999999999999999E-2</c:v>
                </c:pt>
                <c:pt idx="42">
                  <c:v>0.84575133333333297</c:v>
                </c:pt>
                <c:pt idx="43">
                  <c:v>4.5999999999999999E-2</c:v>
                </c:pt>
                <c:pt idx="44">
                  <c:v>4.5999999999999999E-2</c:v>
                </c:pt>
                <c:pt idx="45">
                  <c:v>4.5999999999999999E-2</c:v>
                </c:pt>
                <c:pt idx="46">
                  <c:v>4.5999999999999999E-2</c:v>
                </c:pt>
                <c:pt idx="47">
                  <c:v>4.5999999999999999E-2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EFCD-459D-BFC7-D57988FF3B25}"/>
            </c:ext>
          </c:extLst>
        </c:ser>
        <c:ser>
          <c:idx val="40"/>
          <c:order val="40"/>
          <c:tx>
            <c:v>BES_TR8_four446_B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Demand_kW!$AQ$2:$AQ$49</c:f>
              <c:numCache>
                <c:formatCode>#,##0.000</c:formatCode>
                <c:ptCount val="48"/>
                <c:pt idx="0">
                  <c:v>0.12881000000000001</c:v>
                </c:pt>
                <c:pt idx="1">
                  <c:v>5.2999999999999999E-2</c:v>
                </c:pt>
                <c:pt idx="2">
                  <c:v>0.120386666666667</c:v>
                </c:pt>
                <c:pt idx="3">
                  <c:v>6.1423333333333302E-2</c:v>
                </c:pt>
                <c:pt idx="4">
                  <c:v>9.5116666666666697E-2</c:v>
                </c:pt>
                <c:pt idx="5">
                  <c:v>8.6693333333333303E-2</c:v>
                </c:pt>
                <c:pt idx="6">
                  <c:v>5.2999999999999999E-2</c:v>
                </c:pt>
                <c:pt idx="7">
                  <c:v>0.12881000000000001</c:v>
                </c:pt>
                <c:pt idx="8">
                  <c:v>5.2999999999999999E-2</c:v>
                </c:pt>
                <c:pt idx="9">
                  <c:v>5.2999999999999999E-2</c:v>
                </c:pt>
                <c:pt idx="10">
                  <c:v>0.12881000000000001</c:v>
                </c:pt>
                <c:pt idx="11">
                  <c:v>5.2999999999999999E-2</c:v>
                </c:pt>
                <c:pt idx="12">
                  <c:v>0.12881000000000001</c:v>
                </c:pt>
                <c:pt idx="13">
                  <c:v>5.2999999999999999E-2</c:v>
                </c:pt>
                <c:pt idx="14">
                  <c:v>5.2999999999999999E-2</c:v>
                </c:pt>
                <c:pt idx="15">
                  <c:v>0.12881000000000001</c:v>
                </c:pt>
                <c:pt idx="16">
                  <c:v>5.2999999999999999E-2</c:v>
                </c:pt>
                <c:pt idx="17">
                  <c:v>0.19073346666666699</c:v>
                </c:pt>
                <c:pt idx="18">
                  <c:v>0.1831776</c:v>
                </c:pt>
                <c:pt idx="19">
                  <c:v>0.131435</c:v>
                </c:pt>
                <c:pt idx="20">
                  <c:v>6.1041600000000001E-2</c:v>
                </c:pt>
                <c:pt idx="21">
                  <c:v>0.31720306666666698</c:v>
                </c:pt>
                <c:pt idx="22">
                  <c:v>6.5820266666666599E-2</c:v>
                </c:pt>
                <c:pt idx="23">
                  <c:v>0.15481</c:v>
                </c:pt>
                <c:pt idx="24">
                  <c:v>0.86746999999999996</c:v>
                </c:pt>
                <c:pt idx="25">
                  <c:v>0.120875</c:v>
                </c:pt>
                <c:pt idx="26">
                  <c:v>0.301966333333334</c:v>
                </c:pt>
                <c:pt idx="27">
                  <c:v>0.45230866666666703</c:v>
                </c:pt>
                <c:pt idx="28">
                  <c:v>3.4289830000000001</c:v>
                </c:pt>
                <c:pt idx="29">
                  <c:v>0.97076566666666697</c:v>
                </c:pt>
                <c:pt idx="30">
                  <c:v>2.2581929999999999</c:v>
                </c:pt>
                <c:pt idx="31">
                  <c:v>0.30053000000000002</c:v>
                </c:pt>
                <c:pt idx="32">
                  <c:v>0.209528666666667</c:v>
                </c:pt>
                <c:pt idx="33">
                  <c:v>0.18789</c:v>
                </c:pt>
                <c:pt idx="34">
                  <c:v>0.22374733333333299</c:v>
                </c:pt>
                <c:pt idx="35">
                  <c:v>0.24160999999999999</c:v>
                </c:pt>
                <c:pt idx="36">
                  <c:v>0.13312979999999999</c:v>
                </c:pt>
                <c:pt idx="37">
                  <c:v>0.39047900000000002</c:v>
                </c:pt>
                <c:pt idx="38">
                  <c:v>0.160022</c:v>
                </c:pt>
                <c:pt idx="39">
                  <c:v>0.44269666666666702</c:v>
                </c:pt>
                <c:pt idx="40">
                  <c:v>0.59688833333333402</c:v>
                </c:pt>
                <c:pt idx="41">
                  <c:v>1.8317033333333299</c:v>
                </c:pt>
                <c:pt idx="42">
                  <c:v>0.52452233333333298</c:v>
                </c:pt>
                <c:pt idx="43">
                  <c:v>0.32108500000000001</c:v>
                </c:pt>
                <c:pt idx="44">
                  <c:v>0.46195833333333303</c:v>
                </c:pt>
                <c:pt idx="45">
                  <c:v>0.68579800000000002</c:v>
                </c:pt>
                <c:pt idx="46">
                  <c:v>0.68279999999999996</c:v>
                </c:pt>
                <c:pt idx="47">
                  <c:v>0.33791066666666703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FCD-459D-BFC7-D57988FF3B25}"/>
            </c:ext>
          </c:extLst>
        </c:ser>
        <c:ser>
          <c:idx val="41"/>
          <c:order val="41"/>
          <c:tx>
            <c:v>BES_TR8_four466_C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Demand_kW!$AR$2:$AR$49</c:f>
              <c:numCache>
                <c:formatCode>#,##0.000</c:formatCode>
                <c:ptCount val="48"/>
                <c:pt idx="0">
                  <c:v>2.4385166666666702</c:v>
                </c:pt>
                <c:pt idx="1">
                  <c:v>5.5E-2</c:v>
                </c:pt>
                <c:pt idx="2">
                  <c:v>5.5E-2</c:v>
                </c:pt>
                <c:pt idx="3">
                  <c:v>5.5E-2</c:v>
                </c:pt>
                <c:pt idx="4">
                  <c:v>5.5E-2</c:v>
                </c:pt>
                <c:pt idx="5">
                  <c:v>5.5E-2</c:v>
                </c:pt>
                <c:pt idx="6">
                  <c:v>5.5E-2</c:v>
                </c:pt>
                <c:pt idx="7">
                  <c:v>5.5E-2</c:v>
                </c:pt>
                <c:pt idx="8">
                  <c:v>5.5E-2</c:v>
                </c:pt>
                <c:pt idx="9">
                  <c:v>5.5E-2</c:v>
                </c:pt>
                <c:pt idx="10">
                  <c:v>5.5E-2</c:v>
                </c:pt>
                <c:pt idx="11">
                  <c:v>9.7111000000000003E-2</c:v>
                </c:pt>
                <c:pt idx="12">
                  <c:v>0.19536999999999999</c:v>
                </c:pt>
                <c:pt idx="13">
                  <c:v>0.10378999999999999</c:v>
                </c:pt>
                <c:pt idx="14">
                  <c:v>5.5E-2</c:v>
                </c:pt>
                <c:pt idx="15">
                  <c:v>5.5E-2</c:v>
                </c:pt>
                <c:pt idx="16">
                  <c:v>0.39145833333333302</c:v>
                </c:pt>
                <c:pt idx="17">
                  <c:v>0.21398</c:v>
                </c:pt>
                <c:pt idx="18">
                  <c:v>0.390616666666667</c:v>
                </c:pt>
                <c:pt idx="19">
                  <c:v>0.75174666666666701</c:v>
                </c:pt>
                <c:pt idx="20">
                  <c:v>0.49454166666666699</c:v>
                </c:pt>
                <c:pt idx="21">
                  <c:v>2.1864653333333299</c:v>
                </c:pt>
                <c:pt idx="22">
                  <c:v>2.64903333333333</c:v>
                </c:pt>
                <c:pt idx="23">
                  <c:v>0.72302666666666604</c:v>
                </c:pt>
                <c:pt idx="24">
                  <c:v>5.5E-2</c:v>
                </c:pt>
                <c:pt idx="25">
                  <c:v>5.5E-2</c:v>
                </c:pt>
                <c:pt idx="26">
                  <c:v>5.5E-2</c:v>
                </c:pt>
                <c:pt idx="27">
                  <c:v>5.5E-2</c:v>
                </c:pt>
                <c:pt idx="28">
                  <c:v>5.5E-2</c:v>
                </c:pt>
                <c:pt idx="29">
                  <c:v>5.5E-2</c:v>
                </c:pt>
                <c:pt idx="30">
                  <c:v>5.5E-2</c:v>
                </c:pt>
                <c:pt idx="31">
                  <c:v>5.5E-2</c:v>
                </c:pt>
                <c:pt idx="32">
                  <c:v>5.5E-2</c:v>
                </c:pt>
                <c:pt idx="33">
                  <c:v>5.5E-2</c:v>
                </c:pt>
                <c:pt idx="34">
                  <c:v>5.5E-2</c:v>
                </c:pt>
                <c:pt idx="35">
                  <c:v>5.5E-2</c:v>
                </c:pt>
                <c:pt idx="36">
                  <c:v>5.5E-2</c:v>
                </c:pt>
                <c:pt idx="37">
                  <c:v>5.5E-2</c:v>
                </c:pt>
                <c:pt idx="38">
                  <c:v>5.5E-2</c:v>
                </c:pt>
                <c:pt idx="39">
                  <c:v>5.5E-2</c:v>
                </c:pt>
                <c:pt idx="40">
                  <c:v>5.5E-2</c:v>
                </c:pt>
                <c:pt idx="41">
                  <c:v>5.5E-2</c:v>
                </c:pt>
                <c:pt idx="42">
                  <c:v>5.5E-2</c:v>
                </c:pt>
                <c:pt idx="43">
                  <c:v>0.30559999999999998</c:v>
                </c:pt>
                <c:pt idx="44">
                  <c:v>0.36399999999999999</c:v>
                </c:pt>
                <c:pt idx="45">
                  <c:v>0.25949133333333302</c:v>
                </c:pt>
                <c:pt idx="46">
                  <c:v>5.5E-2</c:v>
                </c:pt>
                <c:pt idx="47">
                  <c:v>5.5E-2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EFCD-459D-BFC7-D57988FF3B25}"/>
            </c:ext>
          </c:extLst>
        </c:ser>
        <c:ser>
          <c:idx val="42"/>
          <c:order val="42"/>
          <c:tx>
            <c:v>BES_TR8_four467_C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Demand_kW!$AS$2:$AS$49</c:f>
              <c:numCache>
                <c:formatCode>#,##0.000</c:formatCode>
                <c:ptCount val="48"/>
                <c:pt idx="0">
                  <c:v>9.5141333333333397E-2</c:v>
                </c:pt>
                <c:pt idx="1">
                  <c:v>0.104426666666667</c:v>
                </c:pt>
                <c:pt idx="2">
                  <c:v>5.8000000000000003E-2</c:v>
                </c:pt>
                <c:pt idx="3">
                  <c:v>0.13228266666666699</c:v>
                </c:pt>
                <c:pt idx="4">
                  <c:v>6.7285333333333405E-2</c:v>
                </c:pt>
                <c:pt idx="5">
                  <c:v>9.9784000000000095E-2</c:v>
                </c:pt>
                <c:pt idx="6">
                  <c:v>9.9783999999999901E-2</c:v>
                </c:pt>
                <c:pt idx="7">
                  <c:v>5.8000000000000003E-2</c:v>
                </c:pt>
                <c:pt idx="8">
                  <c:v>0.141568</c:v>
                </c:pt>
                <c:pt idx="9">
                  <c:v>5.8000000000000003E-2</c:v>
                </c:pt>
                <c:pt idx="10">
                  <c:v>5.8000000000000003E-2</c:v>
                </c:pt>
                <c:pt idx="11">
                  <c:v>5.8000000000000003E-2</c:v>
                </c:pt>
                <c:pt idx="12">
                  <c:v>0.141568</c:v>
                </c:pt>
                <c:pt idx="13">
                  <c:v>5.8000000000000003E-2</c:v>
                </c:pt>
                <c:pt idx="14">
                  <c:v>5.8000000000000003E-2</c:v>
                </c:pt>
                <c:pt idx="15">
                  <c:v>0.197382</c:v>
                </c:pt>
                <c:pt idx="16">
                  <c:v>0.260012666666667</c:v>
                </c:pt>
                <c:pt idx="17">
                  <c:v>0.141568</c:v>
                </c:pt>
                <c:pt idx="18">
                  <c:v>5.8000000000000003E-2</c:v>
                </c:pt>
                <c:pt idx="19">
                  <c:v>5.8000000000000003E-2</c:v>
                </c:pt>
                <c:pt idx="20">
                  <c:v>0.20788999999999999</c:v>
                </c:pt>
                <c:pt idx="21">
                  <c:v>0.19164466666666699</c:v>
                </c:pt>
                <c:pt idx="22">
                  <c:v>5.8000000000000003E-2</c:v>
                </c:pt>
                <c:pt idx="23">
                  <c:v>5.8000000000000003E-2</c:v>
                </c:pt>
                <c:pt idx="24">
                  <c:v>5.8000000000000003E-2</c:v>
                </c:pt>
                <c:pt idx="25">
                  <c:v>0.29893799999999998</c:v>
                </c:pt>
                <c:pt idx="26">
                  <c:v>0.21537000000000001</c:v>
                </c:pt>
                <c:pt idx="27">
                  <c:v>0.31091033333333301</c:v>
                </c:pt>
                <c:pt idx="28">
                  <c:v>0.25455699999999998</c:v>
                </c:pt>
                <c:pt idx="29">
                  <c:v>0.13385420000000001</c:v>
                </c:pt>
                <c:pt idx="30">
                  <c:v>0.122919</c:v>
                </c:pt>
                <c:pt idx="31">
                  <c:v>0.20141800000000001</c:v>
                </c:pt>
                <c:pt idx="32">
                  <c:v>8.7877999999999901E-2</c:v>
                </c:pt>
                <c:pt idx="33">
                  <c:v>1.82240483333333</c:v>
                </c:pt>
                <c:pt idx="34">
                  <c:v>0.43178440000000001</c:v>
                </c:pt>
                <c:pt idx="35">
                  <c:v>5.8000000000000003E-2</c:v>
                </c:pt>
                <c:pt idx="36">
                  <c:v>0.141568</c:v>
                </c:pt>
                <c:pt idx="37">
                  <c:v>5.8000000000000003E-2</c:v>
                </c:pt>
                <c:pt idx="38">
                  <c:v>8.5856000000000099E-2</c:v>
                </c:pt>
                <c:pt idx="39">
                  <c:v>0.11447526666666701</c:v>
                </c:pt>
                <c:pt idx="40">
                  <c:v>0.18933333333333299</c:v>
                </c:pt>
                <c:pt idx="41">
                  <c:v>1.7806393333333299</c:v>
                </c:pt>
                <c:pt idx="42">
                  <c:v>1.4757656666666701</c:v>
                </c:pt>
                <c:pt idx="43">
                  <c:v>1.019042</c:v>
                </c:pt>
                <c:pt idx="44">
                  <c:v>0.50963666666666696</c:v>
                </c:pt>
                <c:pt idx="45">
                  <c:v>0.31935400000000003</c:v>
                </c:pt>
                <c:pt idx="46">
                  <c:v>0.141568</c:v>
                </c:pt>
                <c:pt idx="47">
                  <c:v>5.8000000000000003E-2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EFCD-459D-BFC7-D57988FF3B25}"/>
            </c:ext>
          </c:extLst>
        </c:ser>
        <c:ser>
          <c:idx val="43"/>
          <c:order val="43"/>
          <c:tx>
            <c:v>BES_TR8_four548_B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Demand_kW!$AT$2:$AT$49</c:f>
              <c:numCache>
                <c:formatCode>#,##0.000</c:formatCode>
                <c:ptCount val="48"/>
                <c:pt idx="0">
                  <c:v>0.04</c:v>
                </c:pt>
                <c:pt idx="1">
                  <c:v>0.10872999999999999</c:v>
                </c:pt>
                <c:pt idx="2">
                  <c:v>0.16476666666666701</c:v>
                </c:pt>
                <c:pt idx="3">
                  <c:v>6.2909999999999994E-2</c:v>
                </c:pt>
                <c:pt idx="4">
                  <c:v>0.117011666666667</c:v>
                </c:pt>
                <c:pt idx="5">
                  <c:v>0.14121166666666701</c:v>
                </c:pt>
                <c:pt idx="6">
                  <c:v>0.119808333333333</c:v>
                </c:pt>
                <c:pt idx="7">
                  <c:v>0.146051666666667</c:v>
                </c:pt>
                <c:pt idx="8">
                  <c:v>0.108353333333333</c:v>
                </c:pt>
                <c:pt idx="9">
                  <c:v>0.165143333333333</c:v>
                </c:pt>
                <c:pt idx="10">
                  <c:v>0.04</c:v>
                </c:pt>
                <c:pt idx="11">
                  <c:v>0.23349666666666699</c:v>
                </c:pt>
                <c:pt idx="12">
                  <c:v>0.04</c:v>
                </c:pt>
                <c:pt idx="13">
                  <c:v>0.28037846666666699</c:v>
                </c:pt>
                <c:pt idx="14">
                  <c:v>0.253792666666667</c:v>
                </c:pt>
                <c:pt idx="15">
                  <c:v>0.14443400000000001</c:v>
                </c:pt>
                <c:pt idx="16">
                  <c:v>0.192506333333333</c:v>
                </c:pt>
                <c:pt idx="17">
                  <c:v>0.243830133333333</c:v>
                </c:pt>
                <c:pt idx="18">
                  <c:v>0.90309393333333399</c:v>
                </c:pt>
                <c:pt idx="19">
                  <c:v>0.43677899999999997</c:v>
                </c:pt>
                <c:pt idx="20">
                  <c:v>1.70103</c:v>
                </c:pt>
                <c:pt idx="21">
                  <c:v>2.0459853333333302</c:v>
                </c:pt>
                <c:pt idx="22">
                  <c:v>0.85965539999999996</c:v>
                </c:pt>
                <c:pt idx="23">
                  <c:v>0.2200056</c:v>
                </c:pt>
                <c:pt idx="24">
                  <c:v>1.6620933333333301</c:v>
                </c:pt>
                <c:pt idx="25">
                  <c:v>0.228882</c:v>
                </c:pt>
                <c:pt idx="26">
                  <c:v>0.27006033333333301</c:v>
                </c:pt>
                <c:pt idx="27">
                  <c:v>0.36483733333333401</c:v>
                </c:pt>
                <c:pt idx="28">
                  <c:v>0.29229300000000003</c:v>
                </c:pt>
                <c:pt idx="29">
                  <c:v>0.31343866666666698</c:v>
                </c:pt>
                <c:pt idx="30">
                  <c:v>0.30050066666666703</c:v>
                </c:pt>
                <c:pt idx="31">
                  <c:v>0.330170666666667</c:v>
                </c:pt>
                <c:pt idx="32">
                  <c:v>1.4295246666666701</c:v>
                </c:pt>
                <c:pt idx="33">
                  <c:v>0.23577066666666699</c:v>
                </c:pt>
                <c:pt idx="34">
                  <c:v>0.61110200000000003</c:v>
                </c:pt>
                <c:pt idx="35">
                  <c:v>0.356939333333333</c:v>
                </c:pt>
                <c:pt idx="36">
                  <c:v>0.35413666666666699</c:v>
                </c:pt>
                <c:pt idx="37">
                  <c:v>1.4978753333333299</c:v>
                </c:pt>
                <c:pt idx="38">
                  <c:v>0.10109333333333299</c:v>
                </c:pt>
                <c:pt idx="39">
                  <c:v>0.16476666666666701</c:v>
                </c:pt>
                <c:pt idx="40">
                  <c:v>0.10872999999999999</c:v>
                </c:pt>
                <c:pt idx="41">
                  <c:v>0.04</c:v>
                </c:pt>
                <c:pt idx="42">
                  <c:v>0.10238333333333299</c:v>
                </c:pt>
                <c:pt idx="43">
                  <c:v>0.10238333333333299</c:v>
                </c:pt>
                <c:pt idx="44">
                  <c:v>0.04</c:v>
                </c:pt>
                <c:pt idx="45">
                  <c:v>7.4365000000000001E-2</c:v>
                </c:pt>
                <c:pt idx="46">
                  <c:v>9.3079999999999996E-2</c:v>
                </c:pt>
                <c:pt idx="47">
                  <c:v>0.17277999999999999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EFCD-459D-BFC7-D57988FF3B25}"/>
            </c:ext>
          </c:extLst>
        </c:ser>
        <c:ser>
          <c:idx val="44"/>
          <c:order val="44"/>
          <c:tx>
            <c:v>BES_TR8_four558_C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Demand_kW!$AU$2:$AU$49</c:f>
              <c:numCache>
                <c:formatCode>#,##0.000</c:formatCode>
                <c:ptCount val="48"/>
                <c:pt idx="0">
                  <c:v>0.133061333333333</c:v>
                </c:pt>
                <c:pt idx="1">
                  <c:v>0.05</c:v>
                </c:pt>
                <c:pt idx="2">
                  <c:v>8.6339333333333407E-2</c:v>
                </c:pt>
                <c:pt idx="3">
                  <c:v>0.117487333333333</c:v>
                </c:pt>
                <c:pt idx="4">
                  <c:v>0.05</c:v>
                </c:pt>
                <c:pt idx="5">
                  <c:v>0.153826666666667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6.5573999999999993E-2</c:v>
                </c:pt>
                <c:pt idx="11">
                  <c:v>0.138252666666667</c:v>
                </c:pt>
                <c:pt idx="12">
                  <c:v>0.05</c:v>
                </c:pt>
                <c:pt idx="13">
                  <c:v>0.05</c:v>
                </c:pt>
                <c:pt idx="14">
                  <c:v>9.5939999999999998E-2</c:v>
                </c:pt>
                <c:pt idx="15">
                  <c:v>0.16783666666666699</c:v>
                </c:pt>
                <c:pt idx="16">
                  <c:v>5.39966666666667E-2</c:v>
                </c:pt>
                <c:pt idx="17">
                  <c:v>0.35100999999999999</c:v>
                </c:pt>
                <c:pt idx="18">
                  <c:v>1.25169666666667</c:v>
                </c:pt>
                <c:pt idx="19">
                  <c:v>0.29313866666666699</c:v>
                </c:pt>
                <c:pt idx="20">
                  <c:v>0.251608</c:v>
                </c:pt>
                <c:pt idx="21">
                  <c:v>0.30528066666666698</c:v>
                </c:pt>
                <c:pt idx="22">
                  <c:v>0.25946599999999997</c:v>
                </c:pt>
                <c:pt idx="23">
                  <c:v>1.0785439999999999</c:v>
                </c:pt>
                <c:pt idx="24">
                  <c:v>0.31390400000000002</c:v>
                </c:pt>
                <c:pt idx="25">
                  <c:v>0.230842666666667</c:v>
                </c:pt>
                <c:pt idx="26">
                  <c:v>0.40224066666666702</c:v>
                </c:pt>
                <c:pt idx="27">
                  <c:v>0.31274933333333299</c:v>
                </c:pt>
                <c:pt idx="28">
                  <c:v>7.1570666666666602E-2</c:v>
                </c:pt>
                <c:pt idx="29">
                  <c:v>0.174238</c:v>
                </c:pt>
                <c:pt idx="30">
                  <c:v>0.114665666666667</c:v>
                </c:pt>
                <c:pt idx="31">
                  <c:v>0.18460299999999999</c:v>
                </c:pt>
                <c:pt idx="32">
                  <c:v>0.133191266666667</c:v>
                </c:pt>
                <c:pt idx="33">
                  <c:v>0.28102533333333302</c:v>
                </c:pt>
                <c:pt idx="34">
                  <c:v>0.15856933333333301</c:v>
                </c:pt>
                <c:pt idx="35">
                  <c:v>8.2020399999999993E-2</c:v>
                </c:pt>
                <c:pt idx="36">
                  <c:v>0.12787000000000001</c:v>
                </c:pt>
                <c:pt idx="37">
                  <c:v>6.4932000000000101E-2</c:v>
                </c:pt>
                <c:pt idx="38">
                  <c:v>0.20228073333333299</c:v>
                </c:pt>
                <c:pt idx="39">
                  <c:v>0.19527713333333299</c:v>
                </c:pt>
                <c:pt idx="40">
                  <c:v>0.16663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0.14863533333333301</c:v>
                </c:pt>
                <c:pt idx="45">
                  <c:v>5.5191333333333398E-2</c:v>
                </c:pt>
                <c:pt idx="46">
                  <c:v>6.5573999999999993E-2</c:v>
                </c:pt>
                <c:pt idx="47">
                  <c:v>0.138252666666667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EFCD-459D-BFC7-D57988FF3B25}"/>
            </c:ext>
          </c:extLst>
        </c:ser>
        <c:ser>
          <c:idx val="45"/>
          <c:order val="45"/>
          <c:tx>
            <c:v>BES_TR8_four562_C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Demand_kW!$AV$2:$AV$49</c:f>
              <c:numCache>
                <c:formatCode>#,##0.000</c:formatCode>
                <c:ptCount val="48"/>
                <c:pt idx="0">
                  <c:v>0.19664200000000001</c:v>
                </c:pt>
                <c:pt idx="1">
                  <c:v>5.5E-2</c:v>
                </c:pt>
                <c:pt idx="2">
                  <c:v>0.38825500000000002</c:v>
                </c:pt>
                <c:pt idx="3">
                  <c:v>6.9886666666666694E-2</c:v>
                </c:pt>
                <c:pt idx="4">
                  <c:v>0.107294666666667</c:v>
                </c:pt>
                <c:pt idx="5">
                  <c:v>0.23369466666666699</c:v>
                </c:pt>
                <c:pt idx="6">
                  <c:v>9.9823999999999996E-2</c:v>
                </c:pt>
                <c:pt idx="7">
                  <c:v>0.16673199999999999</c:v>
                </c:pt>
                <c:pt idx="8">
                  <c:v>0.18546333333333301</c:v>
                </c:pt>
                <c:pt idx="9">
                  <c:v>6.6206000000000001E-2</c:v>
                </c:pt>
                <c:pt idx="10">
                  <c:v>0.122236</c:v>
                </c:pt>
                <c:pt idx="11">
                  <c:v>0.21875333333333299</c:v>
                </c:pt>
                <c:pt idx="12">
                  <c:v>0.122236</c:v>
                </c:pt>
                <c:pt idx="13">
                  <c:v>0.159206666666667</c:v>
                </c:pt>
                <c:pt idx="14">
                  <c:v>0.17057666666666699</c:v>
                </c:pt>
                <c:pt idx="15">
                  <c:v>6.6206000000000001E-2</c:v>
                </c:pt>
                <c:pt idx="16">
                  <c:v>0.24490066666666699</c:v>
                </c:pt>
                <c:pt idx="17">
                  <c:v>9.6088666666666697E-2</c:v>
                </c:pt>
                <c:pt idx="18">
                  <c:v>8.4773333333333298E-2</c:v>
                </c:pt>
                <c:pt idx="19">
                  <c:v>0.256216</c:v>
                </c:pt>
                <c:pt idx="20">
                  <c:v>5.5E-2</c:v>
                </c:pt>
                <c:pt idx="21">
                  <c:v>0.13687666666666701</c:v>
                </c:pt>
                <c:pt idx="22">
                  <c:v>0.17049466666666699</c:v>
                </c:pt>
                <c:pt idx="23">
                  <c:v>0.118391333333333</c:v>
                </c:pt>
                <c:pt idx="24">
                  <c:v>0.23753933333333299</c:v>
                </c:pt>
                <c:pt idx="25">
                  <c:v>7.3676666666666599E-2</c:v>
                </c:pt>
                <c:pt idx="26">
                  <c:v>6.2443333333333302E-2</c:v>
                </c:pt>
                <c:pt idx="27">
                  <c:v>0.22998666666666701</c:v>
                </c:pt>
                <c:pt idx="28">
                  <c:v>0.103559333333333</c:v>
                </c:pt>
                <c:pt idx="29">
                  <c:v>5.5E-2</c:v>
                </c:pt>
                <c:pt idx="30">
                  <c:v>0.26727000000000001</c:v>
                </c:pt>
                <c:pt idx="31">
                  <c:v>5.5E-2</c:v>
                </c:pt>
                <c:pt idx="32">
                  <c:v>0.118282</c:v>
                </c:pt>
                <c:pt idx="33">
                  <c:v>0.22270733333333301</c:v>
                </c:pt>
                <c:pt idx="34">
                  <c:v>5.5E-2</c:v>
                </c:pt>
                <c:pt idx="35">
                  <c:v>0.29715266666666701</c:v>
                </c:pt>
                <c:pt idx="36">
                  <c:v>0.26827933333333298</c:v>
                </c:pt>
                <c:pt idx="37">
                  <c:v>0.57256533333333304</c:v>
                </c:pt>
                <c:pt idx="38">
                  <c:v>0.44011966666666702</c:v>
                </c:pt>
                <c:pt idx="39">
                  <c:v>0.36990266666666699</c:v>
                </c:pt>
                <c:pt idx="40">
                  <c:v>0.66987666666666701</c:v>
                </c:pt>
                <c:pt idx="41">
                  <c:v>1.3252803333333301</c:v>
                </c:pt>
                <c:pt idx="42">
                  <c:v>3.0703033333333298</c:v>
                </c:pt>
                <c:pt idx="43">
                  <c:v>2.9746106666666701</c:v>
                </c:pt>
                <c:pt idx="44">
                  <c:v>0.39623599999999998</c:v>
                </c:pt>
                <c:pt idx="45">
                  <c:v>0.61279300000000003</c:v>
                </c:pt>
                <c:pt idx="46">
                  <c:v>0.406418</c:v>
                </c:pt>
                <c:pt idx="47">
                  <c:v>0.44712333333333298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EFCD-459D-BFC7-D57988FF3B25}"/>
            </c:ext>
          </c:extLst>
        </c:ser>
        <c:ser>
          <c:idx val="46"/>
          <c:order val="46"/>
          <c:tx>
            <c:v>BES_TR8_four590_A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Demand_kW!$AW$2:$AW$49</c:f>
              <c:numCache>
                <c:formatCode>#,##0.000</c:formatCode>
                <c:ptCount val="48"/>
                <c:pt idx="0">
                  <c:v>0.06</c:v>
                </c:pt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  <c:pt idx="12">
                  <c:v>0.06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0.06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0.17536499999999999</c:v>
                </c:pt>
                <c:pt idx="23">
                  <c:v>0.90912266666666597</c:v>
                </c:pt>
                <c:pt idx="24">
                  <c:v>0.128033333333333</c:v>
                </c:pt>
                <c:pt idx="25">
                  <c:v>0.15156666666666699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0.12489400000000001</c:v>
                </c:pt>
                <c:pt idx="33">
                  <c:v>0.18768000000000001</c:v>
                </c:pt>
                <c:pt idx="34">
                  <c:v>0.18768000000000001</c:v>
                </c:pt>
                <c:pt idx="35">
                  <c:v>0.18962933333333301</c:v>
                </c:pt>
                <c:pt idx="36">
                  <c:v>0.21692</c:v>
                </c:pt>
                <c:pt idx="37">
                  <c:v>0.21692</c:v>
                </c:pt>
                <c:pt idx="38">
                  <c:v>0.19840133333333301</c:v>
                </c:pt>
                <c:pt idx="39">
                  <c:v>0.30501333333333303</c:v>
                </c:pt>
                <c:pt idx="40">
                  <c:v>0.29682433333333302</c:v>
                </c:pt>
                <c:pt idx="41">
                  <c:v>0.37037266666666702</c:v>
                </c:pt>
                <c:pt idx="42">
                  <c:v>0.52547533333333396</c:v>
                </c:pt>
                <c:pt idx="43">
                  <c:v>0.44017533333333397</c:v>
                </c:pt>
                <c:pt idx="44">
                  <c:v>0.45720533333333302</c:v>
                </c:pt>
                <c:pt idx="45">
                  <c:v>1.7427360000000001</c:v>
                </c:pt>
                <c:pt idx="46">
                  <c:v>1.52480866666667</c:v>
                </c:pt>
                <c:pt idx="47">
                  <c:v>1.102703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EFCD-459D-BFC7-D57988FF3B25}"/>
            </c:ext>
          </c:extLst>
        </c:ser>
        <c:ser>
          <c:idx val="47"/>
          <c:order val="47"/>
          <c:tx>
            <c:v>BES_TR8_four604_A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Demand_kW!$AX$2:$AX$49</c:f>
              <c:numCache>
                <c:formatCode>#,##0.000</c:formatCode>
                <c:ptCount val="48"/>
                <c:pt idx="0">
                  <c:v>5.8999999999999997E-2</c:v>
                </c:pt>
                <c:pt idx="1">
                  <c:v>0.17283999999999999</c:v>
                </c:pt>
                <c:pt idx="2">
                  <c:v>0.165922666666667</c:v>
                </c:pt>
                <c:pt idx="3">
                  <c:v>0.17283999999999999</c:v>
                </c:pt>
                <c:pt idx="4">
                  <c:v>5.8999999999999997E-2</c:v>
                </c:pt>
                <c:pt idx="5">
                  <c:v>0.26837866666666699</c:v>
                </c:pt>
                <c:pt idx="6">
                  <c:v>7.0384000000000002E-2</c:v>
                </c:pt>
                <c:pt idx="7">
                  <c:v>8.1767999999999993E-2</c:v>
                </c:pt>
                <c:pt idx="8">
                  <c:v>0.15007200000000001</c:v>
                </c:pt>
                <c:pt idx="9">
                  <c:v>5.8999999999999997E-2</c:v>
                </c:pt>
                <c:pt idx="10">
                  <c:v>0.165922666666667</c:v>
                </c:pt>
                <c:pt idx="11">
                  <c:v>5.8999999999999997E-2</c:v>
                </c:pt>
                <c:pt idx="12">
                  <c:v>0.165922666666667</c:v>
                </c:pt>
                <c:pt idx="13">
                  <c:v>0.17283999999999999</c:v>
                </c:pt>
                <c:pt idx="14">
                  <c:v>5.8999999999999997E-2</c:v>
                </c:pt>
                <c:pt idx="15">
                  <c:v>0.35510266666666701</c:v>
                </c:pt>
                <c:pt idx="16">
                  <c:v>0.27541199999999999</c:v>
                </c:pt>
                <c:pt idx="17">
                  <c:v>0.20088</c:v>
                </c:pt>
                <c:pt idx="18">
                  <c:v>0.54821766666666605</c:v>
                </c:pt>
                <c:pt idx="19">
                  <c:v>0.407831</c:v>
                </c:pt>
                <c:pt idx="20">
                  <c:v>1.3054410000000001</c:v>
                </c:pt>
                <c:pt idx="21">
                  <c:v>0.328814</c:v>
                </c:pt>
                <c:pt idx="22">
                  <c:v>0.51771433333333305</c:v>
                </c:pt>
                <c:pt idx="23">
                  <c:v>0.31189966666666702</c:v>
                </c:pt>
                <c:pt idx="24">
                  <c:v>0.27978666666666702</c:v>
                </c:pt>
                <c:pt idx="25">
                  <c:v>0.112461333333333</c:v>
                </c:pt>
                <c:pt idx="26">
                  <c:v>0.112461333333333</c:v>
                </c:pt>
                <c:pt idx="27">
                  <c:v>0.17283999999999999</c:v>
                </c:pt>
                <c:pt idx="28">
                  <c:v>0.197144866666667</c:v>
                </c:pt>
                <c:pt idx="29">
                  <c:v>5.8999999999999997E-2</c:v>
                </c:pt>
                <c:pt idx="30">
                  <c:v>0.134941333333333</c:v>
                </c:pt>
                <c:pt idx="31">
                  <c:v>0.20382133333333299</c:v>
                </c:pt>
                <c:pt idx="32">
                  <c:v>9.3151999999999999E-2</c:v>
                </c:pt>
                <c:pt idx="33">
                  <c:v>0.245610666666667</c:v>
                </c:pt>
                <c:pt idx="34">
                  <c:v>5.8999999999999997E-2</c:v>
                </c:pt>
                <c:pt idx="35">
                  <c:v>0.17930096666666701</c:v>
                </c:pt>
                <c:pt idx="36">
                  <c:v>0.165922666666667</c:v>
                </c:pt>
                <c:pt idx="37">
                  <c:v>7.6076000000000005E-2</c:v>
                </c:pt>
                <c:pt idx="38">
                  <c:v>0.17073466666666701</c:v>
                </c:pt>
                <c:pt idx="39">
                  <c:v>0.24795200000000001</c:v>
                </c:pt>
                <c:pt idx="40">
                  <c:v>0.57252800000000004</c:v>
                </c:pt>
                <c:pt idx="41">
                  <c:v>0.63613200000000003</c:v>
                </c:pt>
                <c:pt idx="42">
                  <c:v>0.494497666666667</c:v>
                </c:pt>
                <c:pt idx="43">
                  <c:v>0.60533700000000001</c:v>
                </c:pt>
                <c:pt idx="44">
                  <c:v>0.85498566666666598</c:v>
                </c:pt>
                <c:pt idx="45">
                  <c:v>0.60500166666666699</c:v>
                </c:pt>
                <c:pt idx="46">
                  <c:v>0.150648</c:v>
                </c:pt>
                <c:pt idx="47">
                  <c:v>0.165346666666667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EFCD-459D-BFC7-D57988FF3B25}"/>
            </c:ext>
          </c:extLst>
        </c:ser>
        <c:ser>
          <c:idx val="48"/>
          <c:order val="48"/>
          <c:tx>
            <c:v>BES_TR8_four78_B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Demand_kW!$AY$2:$AY$49</c:f>
              <c:numCache>
                <c:formatCode>#,##0.000</c:formatCode>
                <c:ptCount val="48"/>
                <c:pt idx="0">
                  <c:v>0.11155266666666699</c:v>
                </c:pt>
                <c:pt idx="1">
                  <c:v>8.2220666666666706E-2</c:v>
                </c:pt>
                <c:pt idx="2">
                  <c:v>4.8000000000000001E-2</c:v>
                </c:pt>
                <c:pt idx="3">
                  <c:v>0.119142</c:v>
                </c:pt>
                <c:pt idx="4">
                  <c:v>4.8000000000000001E-2</c:v>
                </c:pt>
                <c:pt idx="5">
                  <c:v>0.119142</c:v>
                </c:pt>
                <c:pt idx="6">
                  <c:v>0.14577333333333301</c:v>
                </c:pt>
                <c:pt idx="7">
                  <c:v>5.1952333333333399E-2</c:v>
                </c:pt>
                <c:pt idx="8">
                  <c:v>0.21296300000000001</c:v>
                </c:pt>
                <c:pt idx="9">
                  <c:v>4.8000000000000001E-2</c:v>
                </c:pt>
                <c:pt idx="10">
                  <c:v>0.14577333333333301</c:v>
                </c:pt>
                <c:pt idx="11">
                  <c:v>4.8000000000000001E-2</c:v>
                </c:pt>
                <c:pt idx="12">
                  <c:v>4.8000000000000001E-2</c:v>
                </c:pt>
                <c:pt idx="13">
                  <c:v>0.21691533333333299</c:v>
                </c:pt>
                <c:pt idx="14">
                  <c:v>4.8000000000000001E-2</c:v>
                </c:pt>
                <c:pt idx="15">
                  <c:v>5.1952333333333399E-2</c:v>
                </c:pt>
                <c:pt idx="16">
                  <c:v>0.28249633333333302</c:v>
                </c:pt>
                <c:pt idx="17">
                  <c:v>0.25277333333333302</c:v>
                </c:pt>
                <c:pt idx="18">
                  <c:v>0.37121633333333398</c:v>
                </c:pt>
                <c:pt idx="19">
                  <c:v>1.40820866666667</c:v>
                </c:pt>
                <c:pt idx="20">
                  <c:v>0.42293599999999998</c:v>
                </c:pt>
                <c:pt idx="21">
                  <c:v>0.73415399999999997</c:v>
                </c:pt>
                <c:pt idx="22">
                  <c:v>0.65344633333333302</c:v>
                </c:pt>
                <c:pt idx="23">
                  <c:v>0.41217999999999999</c:v>
                </c:pt>
                <c:pt idx="24">
                  <c:v>0.37063166666666703</c:v>
                </c:pt>
                <c:pt idx="25">
                  <c:v>0.55345299999999997</c:v>
                </c:pt>
                <c:pt idx="26">
                  <c:v>0.693608</c:v>
                </c:pt>
                <c:pt idx="27">
                  <c:v>0.303802666666667</c:v>
                </c:pt>
                <c:pt idx="28">
                  <c:v>0.65141533333333301</c:v>
                </c:pt>
                <c:pt idx="29">
                  <c:v>0.34521800000000002</c:v>
                </c:pt>
                <c:pt idx="30">
                  <c:v>0.332967333333333</c:v>
                </c:pt>
                <c:pt idx="31">
                  <c:v>0.62859766666666606</c:v>
                </c:pt>
                <c:pt idx="32">
                  <c:v>0.709198</c:v>
                </c:pt>
                <c:pt idx="33">
                  <c:v>0.1786162</c:v>
                </c:pt>
                <c:pt idx="34">
                  <c:v>0.56106766666666696</c:v>
                </c:pt>
                <c:pt idx="35">
                  <c:v>0.38532416666666702</c:v>
                </c:pt>
                <c:pt idx="36">
                  <c:v>0.19400700000000001</c:v>
                </c:pt>
                <c:pt idx="37">
                  <c:v>0.345901666666666</c:v>
                </c:pt>
                <c:pt idx="38">
                  <c:v>0.19248299999999999</c:v>
                </c:pt>
                <c:pt idx="39">
                  <c:v>0.53475966666666697</c:v>
                </c:pt>
                <c:pt idx="40">
                  <c:v>0.67799866666666697</c:v>
                </c:pt>
                <c:pt idx="41">
                  <c:v>1.0413446666666699</c:v>
                </c:pt>
                <c:pt idx="42">
                  <c:v>1.1526146666666699</c:v>
                </c:pt>
                <c:pt idx="43">
                  <c:v>1.173584</c:v>
                </c:pt>
                <c:pt idx="44">
                  <c:v>1.0432526666666699</c:v>
                </c:pt>
                <c:pt idx="45">
                  <c:v>1.2753159999999999</c:v>
                </c:pt>
                <c:pt idx="46">
                  <c:v>1.2401279999999999</c:v>
                </c:pt>
                <c:pt idx="47">
                  <c:v>0.54701066666666698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EFCD-459D-BFC7-D57988FF3B25}"/>
            </c:ext>
          </c:extLst>
        </c:ser>
        <c:ser>
          <c:idx val="49"/>
          <c:order val="49"/>
          <c:tx>
            <c:v>BES_TR8_four734_A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Demand_kW!$AZ$2:$AZ$49</c:f>
              <c:numCache>
                <c:formatCode>#,##0.000</c:formatCode>
                <c:ptCount val="48"/>
                <c:pt idx="0">
                  <c:v>0.52603999999999995</c:v>
                </c:pt>
                <c:pt idx="1">
                  <c:v>0.44666333333333302</c:v>
                </c:pt>
                <c:pt idx="2">
                  <c:v>5.1999999999999998E-2</c:v>
                </c:pt>
                <c:pt idx="3">
                  <c:v>5.1999999999999998E-2</c:v>
                </c:pt>
                <c:pt idx="4">
                  <c:v>5.1999999999999998E-2</c:v>
                </c:pt>
                <c:pt idx="5">
                  <c:v>5.1999999999999998E-2</c:v>
                </c:pt>
                <c:pt idx="6">
                  <c:v>5.1999999999999998E-2</c:v>
                </c:pt>
                <c:pt idx="7">
                  <c:v>5.1999999999999998E-2</c:v>
                </c:pt>
                <c:pt idx="8">
                  <c:v>5.1999999999999998E-2</c:v>
                </c:pt>
                <c:pt idx="9">
                  <c:v>5.1999999999999998E-2</c:v>
                </c:pt>
                <c:pt idx="10">
                  <c:v>5.1999999999999998E-2</c:v>
                </c:pt>
                <c:pt idx="11">
                  <c:v>5.1999999999999998E-2</c:v>
                </c:pt>
                <c:pt idx="12">
                  <c:v>5.1999999999999998E-2</c:v>
                </c:pt>
                <c:pt idx="13">
                  <c:v>0.100676666666667</c:v>
                </c:pt>
                <c:pt idx="14">
                  <c:v>5.1999999999999998E-2</c:v>
                </c:pt>
                <c:pt idx="15">
                  <c:v>5.1999999999999998E-2</c:v>
                </c:pt>
                <c:pt idx="16">
                  <c:v>5.1999999999999998E-2</c:v>
                </c:pt>
                <c:pt idx="17">
                  <c:v>5.1999999999999998E-2</c:v>
                </c:pt>
                <c:pt idx="18">
                  <c:v>0.15169233333333301</c:v>
                </c:pt>
                <c:pt idx="19">
                  <c:v>0.18804000000000001</c:v>
                </c:pt>
                <c:pt idx="20">
                  <c:v>0.18804000000000001</c:v>
                </c:pt>
                <c:pt idx="21">
                  <c:v>0.18804000000000001</c:v>
                </c:pt>
                <c:pt idx="22">
                  <c:v>0.22403999999999999</c:v>
                </c:pt>
                <c:pt idx="23">
                  <c:v>0.16383200000000001</c:v>
                </c:pt>
                <c:pt idx="24">
                  <c:v>5.3066666666666699E-2</c:v>
                </c:pt>
                <c:pt idx="25">
                  <c:v>0.325456666666667</c:v>
                </c:pt>
                <c:pt idx="26">
                  <c:v>0.95663033333333303</c:v>
                </c:pt>
                <c:pt idx="27">
                  <c:v>2.79551666666667</c:v>
                </c:pt>
                <c:pt idx="28">
                  <c:v>3.0301200000000001</c:v>
                </c:pt>
                <c:pt idx="29">
                  <c:v>0.57619366666666705</c:v>
                </c:pt>
                <c:pt idx="30">
                  <c:v>0.226356</c:v>
                </c:pt>
                <c:pt idx="31">
                  <c:v>0.21809000000000001</c:v>
                </c:pt>
                <c:pt idx="32">
                  <c:v>0.49908833333333302</c:v>
                </c:pt>
                <c:pt idx="33">
                  <c:v>0.41147600000000001</c:v>
                </c:pt>
                <c:pt idx="34">
                  <c:v>0.210196666666667</c:v>
                </c:pt>
                <c:pt idx="35">
                  <c:v>0.40045033333333302</c:v>
                </c:pt>
                <c:pt idx="36">
                  <c:v>0.14489233333333301</c:v>
                </c:pt>
                <c:pt idx="37">
                  <c:v>5.1999999999999998E-2</c:v>
                </c:pt>
                <c:pt idx="38">
                  <c:v>5.1999999999999998E-2</c:v>
                </c:pt>
                <c:pt idx="39">
                  <c:v>0.161453333333333</c:v>
                </c:pt>
                <c:pt idx="40">
                  <c:v>0.45444600000000002</c:v>
                </c:pt>
                <c:pt idx="41">
                  <c:v>0.43658533333333299</c:v>
                </c:pt>
                <c:pt idx="42">
                  <c:v>0.99929400000000002</c:v>
                </c:pt>
                <c:pt idx="43">
                  <c:v>2.8232866666666698</c:v>
                </c:pt>
                <c:pt idx="44">
                  <c:v>4.3316833333333298</c:v>
                </c:pt>
                <c:pt idx="45">
                  <c:v>0.49304633333333298</c:v>
                </c:pt>
                <c:pt idx="46">
                  <c:v>0.37425966666666699</c:v>
                </c:pt>
                <c:pt idx="47">
                  <c:v>0.27930766666666701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EFCD-459D-BFC7-D57988FF3B25}"/>
            </c:ext>
          </c:extLst>
        </c:ser>
        <c:ser>
          <c:idx val="50"/>
          <c:order val="50"/>
          <c:tx>
            <c:v>BES_TR8_four797_C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Demand_kW!$BA$2:$BA$49</c:f>
              <c:numCache>
                <c:formatCode>#,##0.000</c:formatCode>
                <c:ptCount val="48"/>
                <c:pt idx="0">
                  <c:v>0.365097333333333</c:v>
                </c:pt>
                <c:pt idx="1">
                  <c:v>3.9E-2</c:v>
                </c:pt>
                <c:pt idx="2">
                  <c:v>3.9E-2</c:v>
                </c:pt>
                <c:pt idx="3">
                  <c:v>3.9E-2</c:v>
                </c:pt>
                <c:pt idx="4">
                  <c:v>3.9E-2</c:v>
                </c:pt>
                <c:pt idx="5">
                  <c:v>3.9E-2</c:v>
                </c:pt>
                <c:pt idx="6">
                  <c:v>3.9E-2</c:v>
                </c:pt>
                <c:pt idx="7">
                  <c:v>3.9E-2</c:v>
                </c:pt>
                <c:pt idx="8">
                  <c:v>3.9E-2</c:v>
                </c:pt>
                <c:pt idx="9">
                  <c:v>3.9E-2</c:v>
                </c:pt>
                <c:pt idx="10">
                  <c:v>3.9E-2</c:v>
                </c:pt>
                <c:pt idx="11">
                  <c:v>3.9E-2</c:v>
                </c:pt>
                <c:pt idx="12">
                  <c:v>3.9E-2</c:v>
                </c:pt>
                <c:pt idx="13">
                  <c:v>3.9E-2</c:v>
                </c:pt>
                <c:pt idx="14">
                  <c:v>0.27176586666666702</c:v>
                </c:pt>
                <c:pt idx="15">
                  <c:v>0.91703566666666703</c:v>
                </c:pt>
                <c:pt idx="16">
                  <c:v>6.3194E-2</c:v>
                </c:pt>
                <c:pt idx="17">
                  <c:v>6.3194E-2</c:v>
                </c:pt>
                <c:pt idx="18">
                  <c:v>4.3838799999999997E-2</c:v>
                </c:pt>
                <c:pt idx="19">
                  <c:v>8.0570533333333305E-2</c:v>
                </c:pt>
                <c:pt idx="20">
                  <c:v>0.16675999999999999</c:v>
                </c:pt>
                <c:pt idx="21">
                  <c:v>0.165076</c:v>
                </c:pt>
                <c:pt idx="22">
                  <c:v>0.37212600000000001</c:v>
                </c:pt>
                <c:pt idx="23">
                  <c:v>0.18024000000000001</c:v>
                </c:pt>
                <c:pt idx="24">
                  <c:v>0.16249333333333299</c:v>
                </c:pt>
                <c:pt idx="25">
                  <c:v>0.15604000000000001</c:v>
                </c:pt>
                <c:pt idx="26">
                  <c:v>0.22072</c:v>
                </c:pt>
                <c:pt idx="27">
                  <c:v>0.26678800000000003</c:v>
                </c:pt>
                <c:pt idx="28">
                  <c:v>0.44712600000000002</c:v>
                </c:pt>
                <c:pt idx="29">
                  <c:v>0.20063600000000001</c:v>
                </c:pt>
                <c:pt idx="30">
                  <c:v>0.31676533333333301</c:v>
                </c:pt>
                <c:pt idx="31">
                  <c:v>0.25507459999999998</c:v>
                </c:pt>
                <c:pt idx="32">
                  <c:v>5.0290533333333297E-2</c:v>
                </c:pt>
                <c:pt idx="33">
                  <c:v>3.9E-2</c:v>
                </c:pt>
                <c:pt idx="34">
                  <c:v>4.5666666666666703E-2</c:v>
                </c:pt>
                <c:pt idx="35">
                  <c:v>0.12632399999999999</c:v>
                </c:pt>
                <c:pt idx="36">
                  <c:v>0.10710146666666701</c:v>
                </c:pt>
                <c:pt idx="37">
                  <c:v>0.13421393333333301</c:v>
                </c:pt>
                <c:pt idx="38">
                  <c:v>0.419781666666667</c:v>
                </c:pt>
                <c:pt idx="39">
                  <c:v>0.61802333333333304</c:v>
                </c:pt>
                <c:pt idx="40">
                  <c:v>0.58795666666666602</c:v>
                </c:pt>
                <c:pt idx="41">
                  <c:v>0.74020433333333302</c:v>
                </c:pt>
                <c:pt idx="42">
                  <c:v>0.70130899999999996</c:v>
                </c:pt>
                <c:pt idx="43">
                  <c:v>0.49800800000000001</c:v>
                </c:pt>
                <c:pt idx="44">
                  <c:v>0.43472833333333299</c:v>
                </c:pt>
                <c:pt idx="45">
                  <c:v>0.55769100000000005</c:v>
                </c:pt>
                <c:pt idx="46">
                  <c:v>0.283486666666667</c:v>
                </c:pt>
                <c:pt idx="47">
                  <c:v>0.279243666666667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EFCD-459D-BFC7-D57988FF3B25}"/>
            </c:ext>
          </c:extLst>
        </c:ser>
        <c:ser>
          <c:idx val="51"/>
          <c:order val="51"/>
          <c:tx>
            <c:v>BES_TR8_four846_C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Demand_kW!$BB$2:$BB$49</c:f>
              <c:numCache>
                <c:formatCode>#,##0.000</c:formatCode>
                <c:ptCount val="48"/>
                <c:pt idx="0">
                  <c:v>0.21787366666666699</c:v>
                </c:pt>
                <c:pt idx="1">
                  <c:v>8.1188666666666701E-2</c:v>
                </c:pt>
                <c:pt idx="2">
                  <c:v>0.12774933333333299</c:v>
                </c:pt>
                <c:pt idx="3">
                  <c:v>0.17438093333333299</c:v>
                </c:pt>
                <c:pt idx="4">
                  <c:v>6.7937333333333405E-2</c:v>
                </c:pt>
                <c:pt idx="5">
                  <c:v>0.11778066666666701</c:v>
                </c:pt>
                <c:pt idx="6">
                  <c:v>0.15636</c:v>
                </c:pt>
                <c:pt idx="7">
                  <c:v>9.7843333333333296E-2</c:v>
                </c:pt>
                <c:pt idx="8">
                  <c:v>9.5614666666666695E-2</c:v>
                </c:pt>
                <c:pt idx="9">
                  <c:v>0.14862</c:v>
                </c:pt>
                <c:pt idx="10">
                  <c:v>0.13771800000000001</c:v>
                </c:pt>
                <c:pt idx="11">
                  <c:v>6.3479999999999995E-2</c:v>
                </c:pt>
                <c:pt idx="12">
                  <c:v>0.215645</c:v>
                </c:pt>
                <c:pt idx="13">
                  <c:v>6.2952999999999995E-2</c:v>
                </c:pt>
                <c:pt idx="14">
                  <c:v>4.9010666666666702E-2</c:v>
                </c:pt>
                <c:pt idx="15">
                  <c:v>0.15902666666666701</c:v>
                </c:pt>
                <c:pt idx="16">
                  <c:v>0.13771800000000001</c:v>
                </c:pt>
                <c:pt idx="17">
                  <c:v>6.0382666666666703E-2</c:v>
                </c:pt>
                <c:pt idx="18">
                  <c:v>0.35315800000000003</c:v>
                </c:pt>
                <c:pt idx="19">
                  <c:v>0.31775199999999998</c:v>
                </c:pt>
                <c:pt idx="20">
                  <c:v>1.04020133333333</c:v>
                </c:pt>
                <c:pt idx="21">
                  <c:v>0.41274733333333302</c:v>
                </c:pt>
                <c:pt idx="22">
                  <c:v>0.38654566666666701</c:v>
                </c:pt>
                <c:pt idx="23">
                  <c:v>0.12540000000000001</c:v>
                </c:pt>
                <c:pt idx="24">
                  <c:v>0.13771800000000001</c:v>
                </c:pt>
                <c:pt idx="25">
                  <c:v>6.3479999999999995E-2</c:v>
                </c:pt>
                <c:pt idx="26">
                  <c:v>0.230598</c:v>
                </c:pt>
                <c:pt idx="27">
                  <c:v>4.8000000000000001E-2</c:v>
                </c:pt>
                <c:pt idx="28">
                  <c:v>0.18521199999999999</c:v>
                </c:pt>
                <c:pt idx="29">
                  <c:v>0.108866</c:v>
                </c:pt>
                <c:pt idx="30">
                  <c:v>8.2890333333333302E-2</c:v>
                </c:pt>
                <c:pt idx="31">
                  <c:v>0.102827666666667</c:v>
                </c:pt>
                <c:pt idx="32">
                  <c:v>0.1254208</c:v>
                </c:pt>
                <c:pt idx="33">
                  <c:v>0.23105466666666699</c:v>
                </c:pt>
                <c:pt idx="34">
                  <c:v>0.243168666666667</c:v>
                </c:pt>
                <c:pt idx="35">
                  <c:v>0.34205153333333299</c:v>
                </c:pt>
                <c:pt idx="36">
                  <c:v>0.27585799999999999</c:v>
                </c:pt>
                <c:pt idx="37">
                  <c:v>0.32083133333333302</c:v>
                </c:pt>
                <c:pt idx="38">
                  <c:v>0.22014359999999999</c:v>
                </c:pt>
                <c:pt idx="39">
                  <c:v>0.41761199999999998</c:v>
                </c:pt>
                <c:pt idx="40">
                  <c:v>8.7874666666666698E-2</c:v>
                </c:pt>
                <c:pt idx="41">
                  <c:v>0.22414266666666699</c:v>
                </c:pt>
                <c:pt idx="42">
                  <c:v>0.35040700000000002</c:v>
                </c:pt>
                <c:pt idx="43">
                  <c:v>0.46652266666666697</c:v>
                </c:pt>
                <c:pt idx="44">
                  <c:v>0.52270000000000005</c:v>
                </c:pt>
                <c:pt idx="45">
                  <c:v>0.50668866666666701</c:v>
                </c:pt>
                <c:pt idx="46">
                  <c:v>0.155306</c:v>
                </c:pt>
                <c:pt idx="47">
                  <c:v>0.161626666666667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EFCD-459D-BFC7-D57988FF3B25}"/>
            </c:ext>
          </c:extLst>
        </c:ser>
        <c:ser>
          <c:idx val="52"/>
          <c:order val="52"/>
          <c:tx>
            <c:v>BES_TR8_four854_A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Demand_kW!$BC$2:$BC$49</c:f>
              <c:numCache>
                <c:formatCode>#,##0.000</c:formatCode>
                <c:ptCount val="48"/>
                <c:pt idx="0">
                  <c:v>0.03</c:v>
                </c:pt>
                <c:pt idx="1">
                  <c:v>0.16144</c:v>
                </c:pt>
                <c:pt idx="2">
                  <c:v>0.03</c:v>
                </c:pt>
                <c:pt idx="3">
                  <c:v>0.16144</c:v>
                </c:pt>
                <c:pt idx="4">
                  <c:v>0.03</c:v>
                </c:pt>
                <c:pt idx="5">
                  <c:v>0.115436</c:v>
                </c:pt>
                <c:pt idx="6">
                  <c:v>7.6004000000000002E-2</c:v>
                </c:pt>
                <c:pt idx="7">
                  <c:v>8.2575999999999997E-2</c:v>
                </c:pt>
                <c:pt idx="8">
                  <c:v>0.108864</c:v>
                </c:pt>
                <c:pt idx="9">
                  <c:v>0.98764333333333298</c:v>
                </c:pt>
                <c:pt idx="10">
                  <c:v>0.24377333333333301</c:v>
                </c:pt>
                <c:pt idx="11">
                  <c:v>0.03</c:v>
                </c:pt>
                <c:pt idx="12">
                  <c:v>0.03</c:v>
                </c:pt>
                <c:pt idx="13">
                  <c:v>0.12858</c:v>
                </c:pt>
                <c:pt idx="14">
                  <c:v>6.2859999999999999E-2</c:v>
                </c:pt>
                <c:pt idx="15">
                  <c:v>6.9431999999999994E-2</c:v>
                </c:pt>
                <c:pt idx="16">
                  <c:v>0.12200800000000001</c:v>
                </c:pt>
                <c:pt idx="17">
                  <c:v>0.03</c:v>
                </c:pt>
                <c:pt idx="18">
                  <c:v>0.16894000000000001</c:v>
                </c:pt>
                <c:pt idx="19">
                  <c:v>3.5000000000000003E-2</c:v>
                </c:pt>
                <c:pt idx="20">
                  <c:v>0.10267066666666699</c:v>
                </c:pt>
                <c:pt idx="21">
                  <c:v>0.115436</c:v>
                </c:pt>
                <c:pt idx="22">
                  <c:v>6.2859999999999999E-2</c:v>
                </c:pt>
                <c:pt idx="23">
                  <c:v>0.12941333333333299</c:v>
                </c:pt>
                <c:pt idx="24">
                  <c:v>3.08333333333334E-2</c:v>
                </c:pt>
                <c:pt idx="25">
                  <c:v>0.35062643333333299</c:v>
                </c:pt>
                <c:pt idx="26">
                  <c:v>0.18146090000000001</c:v>
                </c:pt>
                <c:pt idx="27">
                  <c:v>0.03</c:v>
                </c:pt>
                <c:pt idx="28">
                  <c:v>0.16144</c:v>
                </c:pt>
                <c:pt idx="29">
                  <c:v>0.03</c:v>
                </c:pt>
                <c:pt idx="30">
                  <c:v>0.03</c:v>
                </c:pt>
                <c:pt idx="31">
                  <c:v>0.16144</c:v>
                </c:pt>
                <c:pt idx="32">
                  <c:v>0.03</c:v>
                </c:pt>
                <c:pt idx="33">
                  <c:v>0.13515199999999999</c:v>
                </c:pt>
                <c:pt idx="34">
                  <c:v>5.6287999999999998E-2</c:v>
                </c:pt>
                <c:pt idx="35">
                  <c:v>8.2575999999999997E-2</c:v>
                </c:pt>
                <c:pt idx="36">
                  <c:v>0.108864</c:v>
                </c:pt>
                <c:pt idx="37">
                  <c:v>0.03</c:v>
                </c:pt>
                <c:pt idx="38">
                  <c:v>6.2859999999999999E-2</c:v>
                </c:pt>
                <c:pt idx="39">
                  <c:v>0.12858</c:v>
                </c:pt>
                <c:pt idx="40">
                  <c:v>4.3144000000000002E-2</c:v>
                </c:pt>
                <c:pt idx="41">
                  <c:v>0.32319199999999998</c:v>
                </c:pt>
                <c:pt idx="42">
                  <c:v>0.30483733333333302</c:v>
                </c:pt>
                <c:pt idx="43">
                  <c:v>0.43027333333333301</c:v>
                </c:pt>
                <c:pt idx="44">
                  <c:v>0.41617266666666702</c:v>
                </c:pt>
                <c:pt idx="45">
                  <c:v>0.03</c:v>
                </c:pt>
                <c:pt idx="46">
                  <c:v>0.03</c:v>
                </c:pt>
                <c:pt idx="4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EFCD-459D-BFC7-D57988FF3B25}"/>
            </c:ext>
          </c:extLst>
        </c:ser>
        <c:ser>
          <c:idx val="53"/>
          <c:order val="53"/>
          <c:tx>
            <c:v>BES_TR8_four936_C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Demand_kW!$BD$2:$BD$49</c:f>
              <c:numCache>
                <c:formatCode>#,##0.000</c:formatCode>
                <c:ptCount val="48"/>
                <c:pt idx="0">
                  <c:v>0.29324033333333299</c:v>
                </c:pt>
                <c:pt idx="1">
                  <c:v>8.8449999999999904E-2</c:v>
                </c:pt>
                <c:pt idx="2">
                  <c:v>0.197847</c:v>
                </c:pt>
                <c:pt idx="3">
                  <c:v>5.8193333333333298E-2</c:v>
                </c:pt>
                <c:pt idx="4">
                  <c:v>9.13423333333334E-2</c:v>
                </c:pt>
                <c:pt idx="5">
                  <c:v>0.33868466666666702</c:v>
                </c:pt>
                <c:pt idx="6">
                  <c:v>4.1000000000000002E-2</c:v>
                </c:pt>
                <c:pt idx="7">
                  <c:v>0.221178333333333</c:v>
                </c:pt>
                <c:pt idx="8">
                  <c:v>0.18812999999999999</c:v>
                </c:pt>
                <c:pt idx="9">
                  <c:v>6.1714999999999999E-2</c:v>
                </c:pt>
                <c:pt idx="10">
                  <c:v>0.127991666666667</c:v>
                </c:pt>
                <c:pt idx="11">
                  <c:v>0.30203633333333302</c:v>
                </c:pt>
                <c:pt idx="12">
                  <c:v>4.1000000000000002E-2</c:v>
                </c:pt>
                <c:pt idx="13">
                  <c:v>0.33131833333333299</c:v>
                </c:pt>
                <c:pt idx="14">
                  <c:v>0.17919299999999999</c:v>
                </c:pt>
                <c:pt idx="15">
                  <c:v>0.14380833333333301</c:v>
                </c:pt>
                <c:pt idx="16">
                  <c:v>0.20884566666666701</c:v>
                </c:pt>
                <c:pt idx="17">
                  <c:v>0.11837</c:v>
                </c:pt>
                <c:pt idx="18">
                  <c:v>0.23569833333333301</c:v>
                </c:pt>
                <c:pt idx="19">
                  <c:v>0.116955</c:v>
                </c:pt>
                <c:pt idx="20">
                  <c:v>0.32344200000000001</c:v>
                </c:pt>
                <c:pt idx="21">
                  <c:v>0.21810089999999999</c:v>
                </c:pt>
                <c:pt idx="22">
                  <c:v>0.11374593333333299</c:v>
                </c:pt>
                <c:pt idx="23">
                  <c:v>1.26770433333333</c:v>
                </c:pt>
                <c:pt idx="24">
                  <c:v>1.32850333333333</c:v>
                </c:pt>
                <c:pt idx="25">
                  <c:v>0.24683833333333299</c:v>
                </c:pt>
                <c:pt idx="26">
                  <c:v>1.57790233333333</c:v>
                </c:pt>
                <c:pt idx="27">
                  <c:v>0.35581099999999999</c:v>
                </c:pt>
                <c:pt idx="28">
                  <c:v>0.41352133333333302</c:v>
                </c:pt>
                <c:pt idx="29">
                  <c:v>0.60209433333333295</c:v>
                </c:pt>
                <c:pt idx="30">
                  <c:v>0.90734099999999995</c:v>
                </c:pt>
                <c:pt idx="31">
                  <c:v>0.28004499999999999</c:v>
                </c:pt>
                <c:pt idx="32">
                  <c:v>1.8159620000000001</c:v>
                </c:pt>
                <c:pt idx="33">
                  <c:v>0.233797333333333</c:v>
                </c:pt>
                <c:pt idx="34">
                  <c:v>1.16292</c:v>
                </c:pt>
                <c:pt idx="35">
                  <c:v>2.0585766666666698</c:v>
                </c:pt>
                <c:pt idx="36">
                  <c:v>0.56198499999999996</c:v>
                </c:pt>
                <c:pt idx="37">
                  <c:v>0.44174766666666698</c:v>
                </c:pt>
                <c:pt idx="38">
                  <c:v>0.20519699999999999</c:v>
                </c:pt>
                <c:pt idx="39">
                  <c:v>0.43872666666666699</c:v>
                </c:pt>
                <c:pt idx="40">
                  <c:v>0.55158600000000002</c:v>
                </c:pt>
                <c:pt idx="41">
                  <c:v>0.40370600000000001</c:v>
                </c:pt>
                <c:pt idx="42">
                  <c:v>0.75507999999999997</c:v>
                </c:pt>
                <c:pt idx="43">
                  <c:v>0.66240833333333404</c:v>
                </c:pt>
                <c:pt idx="44">
                  <c:v>0.54202666666666699</c:v>
                </c:pt>
                <c:pt idx="45">
                  <c:v>0.41182633333333302</c:v>
                </c:pt>
                <c:pt idx="46">
                  <c:v>5.8193333333333298E-2</c:v>
                </c:pt>
                <c:pt idx="47">
                  <c:v>0.191258333333333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EFCD-459D-BFC7-D57988FF3B25}"/>
            </c:ext>
          </c:extLst>
        </c:ser>
        <c:ser>
          <c:idx val="54"/>
          <c:order val="54"/>
          <c:tx>
            <c:v>BES_TR8_four950_B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Demand_kW!$BE$2:$BE$49</c:f>
              <c:numCache>
                <c:formatCode>#,##0.000</c:formatCode>
                <c:ptCount val="48"/>
                <c:pt idx="0">
                  <c:v>0.124101</c:v>
                </c:pt>
                <c:pt idx="1">
                  <c:v>0.14003599999999999</c:v>
                </c:pt>
                <c:pt idx="2">
                  <c:v>0.17982000000000001</c:v>
                </c:pt>
                <c:pt idx="3">
                  <c:v>0.14003599999999999</c:v>
                </c:pt>
                <c:pt idx="4">
                  <c:v>0.17982000000000001</c:v>
                </c:pt>
                <c:pt idx="5">
                  <c:v>0.112024</c:v>
                </c:pt>
                <c:pt idx="6">
                  <c:v>8.4012000000000003E-2</c:v>
                </c:pt>
                <c:pt idx="7">
                  <c:v>0.13648299999999999</c:v>
                </c:pt>
                <c:pt idx="8">
                  <c:v>9.9336999999999995E-2</c:v>
                </c:pt>
                <c:pt idx="9">
                  <c:v>0.20194599999999999</c:v>
                </c:pt>
                <c:pt idx="10">
                  <c:v>0.11791</c:v>
                </c:pt>
                <c:pt idx="11">
                  <c:v>0.14003599999999999</c:v>
                </c:pt>
                <c:pt idx="12">
                  <c:v>5.6000000000000001E-2</c:v>
                </c:pt>
                <c:pt idx="13">
                  <c:v>0.26385599999999998</c:v>
                </c:pt>
                <c:pt idx="14">
                  <c:v>5.6000000000000001E-2</c:v>
                </c:pt>
                <c:pt idx="15">
                  <c:v>0.21422633333333299</c:v>
                </c:pt>
                <c:pt idx="16">
                  <c:v>0.105629666666667</c:v>
                </c:pt>
                <c:pt idx="17">
                  <c:v>0.16601733333333299</c:v>
                </c:pt>
                <c:pt idx="18">
                  <c:v>0.15383866666666701</c:v>
                </c:pt>
                <c:pt idx="19">
                  <c:v>0.124101</c:v>
                </c:pt>
                <c:pt idx="20">
                  <c:v>0.429385666666667</c:v>
                </c:pt>
                <c:pt idx="21">
                  <c:v>1.8840934</c:v>
                </c:pt>
                <c:pt idx="22">
                  <c:v>0.25683600000000001</c:v>
                </c:pt>
                <c:pt idx="23">
                  <c:v>1.1736850000000001</c:v>
                </c:pt>
                <c:pt idx="24">
                  <c:v>1.237738</c:v>
                </c:pt>
                <c:pt idx="25">
                  <c:v>0.21969</c:v>
                </c:pt>
                <c:pt idx="26">
                  <c:v>0.42754599999999998</c:v>
                </c:pt>
                <c:pt idx="27">
                  <c:v>0.110563333333333</c:v>
                </c:pt>
                <c:pt idx="28">
                  <c:v>0.26385599999999998</c:v>
                </c:pt>
                <c:pt idx="29">
                  <c:v>5.6000000000000001E-2</c:v>
                </c:pt>
                <c:pt idx="30">
                  <c:v>0.203163333333333</c:v>
                </c:pt>
                <c:pt idx="31">
                  <c:v>0.116692666666667</c:v>
                </c:pt>
                <c:pt idx="32">
                  <c:v>0.111719</c:v>
                </c:pt>
                <c:pt idx="33">
                  <c:v>0.51199366666666701</c:v>
                </c:pt>
                <c:pt idx="34">
                  <c:v>0.38867299999999999</c:v>
                </c:pt>
                <c:pt idx="35">
                  <c:v>0.35760999999999998</c:v>
                </c:pt>
                <c:pt idx="36">
                  <c:v>0.28340666666666697</c:v>
                </c:pt>
                <c:pt idx="37">
                  <c:v>0.21969873333333301</c:v>
                </c:pt>
                <c:pt idx="38">
                  <c:v>0.33257833333333298</c:v>
                </c:pt>
                <c:pt idx="39">
                  <c:v>0.60150066666666702</c:v>
                </c:pt>
                <c:pt idx="40">
                  <c:v>0.56560600000000005</c:v>
                </c:pt>
                <c:pt idx="41">
                  <c:v>0.558711333333333</c:v>
                </c:pt>
                <c:pt idx="42">
                  <c:v>0.68040299999999998</c:v>
                </c:pt>
                <c:pt idx="43">
                  <c:v>0.41211433333333303</c:v>
                </c:pt>
                <c:pt idx="44">
                  <c:v>0.51293866666666699</c:v>
                </c:pt>
                <c:pt idx="45">
                  <c:v>0.437809333333333</c:v>
                </c:pt>
                <c:pt idx="46">
                  <c:v>0.17555799999999999</c:v>
                </c:pt>
                <c:pt idx="47">
                  <c:v>7.0005999999999999E-2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EFCD-459D-BFC7-D57988FF3B25}"/>
            </c:ext>
          </c:extLst>
        </c:ser>
        <c:ser>
          <c:idx val="55"/>
          <c:order val="55"/>
          <c:tx>
            <c:v>BES_TR8_four978_A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Demand_kW!$BF$2:$BF$49</c:f>
              <c:numCache>
                <c:formatCode>#,##0.000</c:formatCode>
                <c:ptCount val="48"/>
                <c:pt idx="0">
                  <c:v>0.552864666666666</c:v>
                </c:pt>
                <c:pt idx="1">
                  <c:v>0.135042</c:v>
                </c:pt>
                <c:pt idx="2">
                  <c:v>0.17999733333333301</c:v>
                </c:pt>
                <c:pt idx="3">
                  <c:v>0.18116599999999999</c:v>
                </c:pt>
                <c:pt idx="4">
                  <c:v>5.7000000000000002E-2</c:v>
                </c:pt>
                <c:pt idx="5">
                  <c:v>0.265726666666667</c:v>
                </c:pt>
                <c:pt idx="6">
                  <c:v>0.10844366666666699</c:v>
                </c:pt>
                <c:pt idx="7">
                  <c:v>0.122035</c:v>
                </c:pt>
                <c:pt idx="8">
                  <c:v>0.14924799999999999</c:v>
                </c:pt>
                <c:pt idx="9">
                  <c:v>0.13387333333333301</c:v>
                </c:pt>
                <c:pt idx="10">
                  <c:v>5.7000000000000002E-2</c:v>
                </c:pt>
                <c:pt idx="11">
                  <c:v>0.17230999999999999</c:v>
                </c:pt>
                <c:pt idx="12">
                  <c:v>0.14983233333333301</c:v>
                </c:pt>
                <c:pt idx="13">
                  <c:v>9.6020999999999995E-2</c:v>
                </c:pt>
                <c:pt idx="14">
                  <c:v>0.22612133333333401</c:v>
                </c:pt>
                <c:pt idx="15">
                  <c:v>0.135042</c:v>
                </c:pt>
                <c:pt idx="16">
                  <c:v>0.110811333333333</c:v>
                </c:pt>
                <c:pt idx="17">
                  <c:v>0.18470900000000001</c:v>
                </c:pt>
                <c:pt idx="18">
                  <c:v>6.4687333333333305E-2</c:v>
                </c:pt>
                <c:pt idx="19">
                  <c:v>0.71408000000000005</c:v>
                </c:pt>
                <c:pt idx="20">
                  <c:v>0.50249200000000005</c:v>
                </c:pt>
                <c:pt idx="21">
                  <c:v>0.47218433333333298</c:v>
                </c:pt>
                <c:pt idx="22">
                  <c:v>0.118789666666667</c:v>
                </c:pt>
                <c:pt idx="23">
                  <c:v>7.2377399999999995E-2</c:v>
                </c:pt>
                <c:pt idx="24">
                  <c:v>1.7641239333333301</c:v>
                </c:pt>
                <c:pt idx="25">
                  <c:v>0.91543593333333295</c:v>
                </c:pt>
                <c:pt idx="26">
                  <c:v>0.20601133333333299</c:v>
                </c:pt>
                <c:pt idx="27">
                  <c:v>0.15515200000000001</c:v>
                </c:pt>
                <c:pt idx="28">
                  <c:v>0.110811333333333</c:v>
                </c:pt>
                <c:pt idx="29">
                  <c:v>0.17230999999999999</c:v>
                </c:pt>
                <c:pt idx="30">
                  <c:v>0.176603333333333</c:v>
                </c:pt>
                <c:pt idx="31">
                  <c:v>1.34911466666667</c:v>
                </c:pt>
                <c:pt idx="32">
                  <c:v>0.38184600000000002</c:v>
                </c:pt>
                <c:pt idx="33">
                  <c:v>0.23744199999999999</c:v>
                </c:pt>
                <c:pt idx="34">
                  <c:v>0.15196000000000001</c:v>
                </c:pt>
                <c:pt idx="35">
                  <c:v>0.74835300000000005</c:v>
                </c:pt>
                <c:pt idx="36">
                  <c:v>1.0238800666666701</c:v>
                </c:pt>
                <c:pt idx="37">
                  <c:v>0.96199773333333305</c:v>
                </c:pt>
                <c:pt idx="38">
                  <c:v>0.38300606666666698</c:v>
                </c:pt>
                <c:pt idx="39">
                  <c:v>0.55669266666666695</c:v>
                </c:pt>
                <c:pt idx="40">
                  <c:v>0.50086333333333299</c:v>
                </c:pt>
                <c:pt idx="41">
                  <c:v>0.57665133333333396</c:v>
                </c:pt>
                <c:pt idx="42">
                  <c:v>1.2946993333333301</c:v>
                </c:pt>
                <c:pt idx="43">
                  <c:v>1.25293566666667</c:v>
                </c:pt>
                <c:pt idx="44">
                  <c:v>0.79816633333333298</c:v>
                </c:pt>
                <c:pt idx="45">
                  <c:v>0.26649600000000001</c:v>
                </c:pt>
                <c:pt idx="46">
                  <c:v>0.20305933333333301</c:v>
                </c:pt>
                <c:pt idx="47">
                  <c:v>0.15810399999999999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EFCD-459D-BFC7-D57988FF3B25}"/>
            </c:ext>
          </c:extLst>
        </c:ser>
        <c:ser>
          <c:idx val="56"/>
          <c:order val="56"/>
          <c:tx>
            <c:v>BES_TR8_four104_A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Demand_kW!$BG$2:$BG$49</c:f>
              <c:numCache>
                <c:formatCode>#,##0.000</c:formatCode>
                <c:ptCount val="48"/>
                <c:pt idx="0">
                  <c:v>0.262799</c:v>
                </c:pt>
                <c:pt idx="1">
                  <c:v>5.4537333333333299E-2</c:v>
                </c:pt>
                <c:pt idx="2">
                  <c:v>0.244916666666667</c:v>
                </c:pt>
                <c:pt idx="3">
                  <c:v>6.5287999999999999E-2</c:v>
                </c:pt>
                <c:pt idx="4">
                  <c:v>0.16868666666666701</c:v>
                </c:pt>
                <c:pt idx="5">
                  <c:v>0.15695999999999999</c:v>
                </c:pt>
                <c:pt idx="6">
                  <c:v>0.18178233333333299</c:v>
                </c:pt>
                <c:pt idx="7">
                  <c:v>7.8383999999999995E-2</c:v>
                </c:pt>
                <c:pt idx="8">
                  <c:v>0.117672</c:v>
                </c:pt>
                <c:pt idx="9">
                  <c:v>0.16868666666666701</c:v>
                </c:pt>
                <c:pt idx="10">
                  <c:v>0.14386399999999999</c:v>
                </c:pt>
                <c:pt idx="11">
                  <c:v>5.2192000000000002E-2</c:v>
                </c:pt>
                <c:pt idx="12">
                  <c:v>0.201426666666667</c:v>
                </c:pt>
                <c:pt idx="13">
                  <c:v>0.13731599999999999</c:v>
                </c:pt>
                <c:pt idx="14">
                  <c:v>1.075369</c:v>
                </c:pt>
                <c:pt idx="15">
                  <c:v>0.39878000000000002</c:v>
                </c:pt>
                <c:pt idx="16">
                  <c:v>7.9096E-2</c:v>
                </c:pt>
                <c:pt idx="17">
                  <c:v>8.7454666666666694E-2</c:v>
                </c:pt>
                <c:pt idx="18">
                  <c:v>0.130768</c:v>
                </c:pt>
                <c:pt idx="19">
                  <c:v>2.8500000000000001E-2</c:v>
                </c:pt>
                <c:pt idx="20">
                  <c:v>0.22585566666666701</c:v>
                </c:pt>
                <c:pt idx="21">
                  <c:v>2.0443173333333302</c:v>
                </c:pt>
                <c:pt idx="22">
                  <c:v>0.51288966666666702</c:v>
                </c:pt>
                <c:pt idx="23">
                  <c:v>0.651745666666667</c:v>
                </c:pt>
                <c:pt idx="24">
                  <c:v>0.21639</c:v>
                </c:pt>
                <c:pt idx="25">
                  <c:v>0.44375999999999999</c:v>
                </c:pt>
                <c:pt idx="26">
                  <c:v>0.212336</c:v>
                </c:pt>
                <c:pt idx="27">
                  <c:v>0.26217200000000002</c:v>
                </c:pt>
                <c:pt idx="28">
                  <c:v>0.14802799999999999</c:v>
                </c:pt>
                <c:pt idx="29">
                  <c:v>0.25381799999999999</c:v>
                </c:pt>
                <c:pt idx="30">
                  <c:v>1.2903640000000001</c:v>
                </c:pt>
                <c:pt idx="31">
                  <c:v>0.81208100000000005</c:v>
                </c:pt>
                <c:pt idx="32">
                  <c:v>9.7343333333333198E-2</c:v>
                </c:pt>
                <c:pt idx="33">
                  <c:v>0.18129200000000001</c:v>
                </c:pt>
                <c:pt idx="34">
                  <c:v>0.15744566666666701</c:v>
                </c:pt>
                <c:pt idx="35">
                  <c:v>7.1835999999999997E-2</c:v>
                </c:pt>
                <c:pt idx="36">
                  <c:v>0.26690166666666698</c:v>
                </c:pt>
                <c:pt idx="37">
                  <c:v>2.5999999999999999E-2</c:v>
                </c:pt>
                <c:pt idx="38">
                  <c:v>0.16467999999999999</c:v>
                </c:pt>
                <c:pt idx="39">
                  <c:v>0.17406099999999999</c:v>
                </c:pt>
                <c:pt idx="40">
                  <c:v>8.4931999999999994E-2</c:v>
                </c:pt>
                <c:pt idx="41">
                  <c:v>0.40537333333333297</c:v>
                </c:pt>
                <c:pt idx="42">
                  <c:v>0.48181766666666698</c:v>
                </c:pt>
                <c:pt idx="43">
                  <c:v>0.49238933333333301</c:v>
                </c:pt>
                <c:pt idx="44">
                  <c:v>1.22502033333333</c:v>
                </c:pt>
                <c:pt idx="45">
                  <c:v>0.288383</c:v>
                </c:pt>
                <c:pt idx="46">
                  <c:v>0.46745066666666701</c:v>
                </c:pt>
                <c:pt idx="47">
                  <c:v>0.30963233333333301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EFCD-459D-BFC7-D57988FF3B25}"/>
            </c:ext>
          </c:extLst>
        </c:ser>
        <c:ser>
          <c:idx val="57"/>
          <c:order val="57"/>
          <c:tx>
            <c:v>BES_TR8_four988_A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Demand_kW!$BH$2:$BH$49</c:f>
              <c:numCache>
                <c:formatCode>#,##0.000</c:formatCode>
                <c:ptCount val="48"/>
                <c:pt idx="0">
                  <c:v>0.179234</c:v>
                </c:pt>
                <c:pt idx="1">
                  <c:v>7.8718666666666701E-2</c:v>
                </c:pt>
                <c:pt idx="2">
                  <c:v>5.7179666666666698E-2</c:v>
                </c:pt>
                <c:pt idx="3">
                  <c:v>0.20077300000000001</c:v>
                </c:pt>
                <c:pt idx="4">
                  <c:v>0.05</c:v>
                </c:pt>
                <c:pt idx="5">
                  <c:v>0.136156</c:v>
                </c:pt>
                <c:pt idx="6">
                  <c:v>0.121796666666667</c:v>
                </c:pt>
                <c:pt idx="7">
                  <c:v>7.8718666666666701E-2</c:v>
                </c:pt>
                <c:pt idx="8">
                  <c:v>0.179234</c:v>
                </c:pt>
                <c:pt idx="9">
                  <c:v>0.05</c:v>
                </c:pt>
                <c:pt idx="10">
                  <c:v>0.05</c:v>
                </c:pt>
                <c:pt idx="11">
                  <c:v>0.20795266666666701</c:v>
                </c:pt>
                <c:pt idx="12">
                  <c:v>0.05</c:v>
                </c:pt>
                <c:pt idx="13">
                  <c:v>0.164874666666667</c:v>
                </c:pt>
                <c:pt idx="14">
                  <c:v>0.25525399999999998</c:v>
                </c:pt>
                <c:pt idx="15">
                  <c:v>0.20188</c:v>
                </c:pt>
                <c:pt idx="16">
                  <c:v>0.52470899999999998</c:v>
                </c:pt>
                <c:pt idx="17">
                  <c:v>0.05</c:v>
                </c:pt>
                <c:pt idx="18">
                  <c:v>0.26612799999999998</c:v>
                </c:pt>
                <c:pt idx="19">
                  <c:v>0.24495800000000001</c:v>
                </c:pt>
                <c:pt idx="20">
                  <c:v>0.20188</c:v>
                </c:pt>
                <c:pt idx="21">
                  <c:v>0.31675466666666702</c:v>
                </c:pt>
                <c:pt idx="22">
                  <c:v>0.22977</c:v>
                </c:pt>
                <c:pt idx="23">
                  <c:v>0.12345399999999999</c:v>
                </c:pt>
                <c:pt idx="24">
                  <c:v>0.31675466666666602</c:v>
                </c:pt>
                <c:pt idx="25">
                  <c:v>0.41738199999999998</c:v>
                </c:pt>
                <c:pt idx="26">
                  <c:v>0.20795266666666701</c:v>
                </c:pt>
                <c:pt idx="27">
                  <c:v>0.05</c:v>
                </c:pt>
                <c:pt idx="28">
                  <c:v>0.164874666666667</c:v>
                </c:pt>
                <c:pt idx="29">
                  <c:v>9.3077999999999897E-2</c:v>
                </c:pt>
                <c:pt idx="30">
                  <c:v>0.05</c:v>
                </c:pt>
                <c:pt idx="31">
                  <c:v>0.05</c:v>
                </c:pt>
                <c:pt idx="32">
                  <c:v>0.31220599999999998</c:v>
                </c:pt>
                <c:pt idx="33">
                  <c:v>0.20188</c:v>
                </c:pt>
                <c:pt idx="34">
                  <c:v>0.25213766666666698</c:v>
                </c:pt>
                <c:pt idx="35">
                  <c:v>0.30957499999999999</c:v>
                </c:pt>
                <c:pt idx="36">
                  <c:v>0.253716</c:v>
                </c:pt>
                <c:pt idx="37">
                  <c:v>0.400096333333333</c:v>
                </c:pt>
                <c:pt idx="38">
                  <c:v>0.26532333333333302</c:v>
                </c:pt>
                <c:pt idx="39">
                  <c:v>0.50318566666666698</c:v>
                </c:pt>
                <c:pt idx="40">
                  <c:v>0.25954433333333299</c:v>
                </c:pt>
                <c:pt idx="41">
                  <c:v>0.33758666666666698</c:v>
                </c:pt>
                <c:pt idx="42">
                  <c:v>0.76988800000000002</c:v>
                </c:pt>
                <c:pt idx="43">
                  <c:v>0.41693133333333299</c:v>
                </c:pt>
                <c:pt idx="44">
                  <c:v>0.399391</c:v>
                </c:pt>
                <c:pt idx="45">
                  <c:v>0.66973166666666695</c:v>
                </c:pt>
                <c:pt idx="46">
                  <c:v>0.05</c:v>
                </c:pt>
                <c:pt idx="4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EFCD-459D-BFC7-D57988FF3B25}"/>
            </c:ext>
          </c:extLst>
        </c:ser>
        <c:ser>
          <c:idx val="58"/>
          <c:order val="58"/>
          <c:tx>
            <c:v>BES_TR8_four1013_B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Demand_kW!$BI$2:$BI$49</c:f>
              <c:numCache>
                <c:formatCode>#,##0.000</c:formatCode>
                <c:ptCount val="48"/>
                <c:pt idx="0">
                  <c:v>0.22687099999999999</c:v>
                </c:pt>
                <c:pt idx="1">
                  <c:v>6.9850999999999996E-2</c:v>
                </c:pt>
                <c:pt idx="2">
                  <c:v>0.14836099999999999</c:v>
                </c:pt>
                <c:pt idx="3">
                  <c:v>0.14836099999999999</c:v>
                </c:pt>
                <c:pt idx="4">
                  <c:v>6.2E-2</c:v>
                </c:pt>
                <c:pt idx="5">
                  <c:v>0.11695700000000001</c:v>
                </c:pt>
                <c:pt idx="6">
                  <c:v>0.17976500000000001</c:v>
                </c:pt>
                <c:pt idx="7">
                  <c:v>6.2E-2</c:v>
                </c:pt>
                <c:pt idx="8">
                  <c:v>0.21901999999999999</c:v>
                </c:pt>
                <c:pt idx="9">
                  <c:v>7.7701999999999993E-2</c:v>
                </c:pt>
                <c:pt idx="10">
                  <c:v>0.17191400000000001</c:v>
                </c:pt>
                <c:pt idx="11">
                  <c:v>0.124808</c:v>
                </c:pt>
                <c:pt idx="12">
                  <c:v>6.2E-2</c:v>
                </c:pt>
                <c:pt idx="13">
                  <c:v>0.23472199999999999</c:v>
                </c:pt>
                <c:pt idx="14">
                  <c:v>6.3860933333333397E-2</c:v>
                </c:pt>
                <c:pt idx="15">
                  <c:v>0.21548943333333301</c:v>
                </c:pt>
                <c:pt idx="16">
                  <c:v>0.34396500000000002</c:v>
                </c:pt>
                <c:pt idx="17">
                  <c:v>0.335961333333333</c:v>
                </c:pt>
                <c:pt idx="18">
                  <c:v>1.12510933333333</c:v>
                </c:pt>
                <c:pt idx="19">
                  <c:v>0.315832</c:v>
                </c:pt>
                <c:pt idx="20">
                  <c:v>0.29003166666666702</c:v>
                </c:pt>
                <c:pt idx="21">
                  <c:v>0.11695700000000001</c:v>
                </c:pt>
                <c:pt idx="22">
                  <c:v>0.21849666666666701</c:v>
                </c:pt>
                <c:pt idx="23">
                  <c:v>0.52226333333333297</c:v>
                </c:pt>
                <c:pt idx="24">
                  <c:v>2.0402823333333302</c:v>
                </c:pt>
                <c:pt idx="25">
                  <c:v>0.552477</c:v>
                </c:pt>
                <c:pt idx="26">
                  <c:v>0.39338000000000001</c:v>
                </c:pt>
                <c:pt idx="27">
                  <c:v>0.71038566666666703</c:v>
                </c:pt>
                <c:pt idx="28">
                  <c:v>0.101255</c:v>
                </c:pt>
                <c:pt idx="29">
                  <c:v>0.37490166666666702</c:v>
                </c:pt>
                <c:pt idx="30">
                  <c:v>0.241895</c:v>
                </c:pt>
                <c:pt idx="31">
                  <c:v>0.26452346666666698</c:v>
                </c:pt>
                <c:pt idx="32">
                  <c:v>0.39217099999999999</c:v>
                </c:pt>
                <c:pt idx="33">
                  <c:v>0.224531333333333</c:v>
                </c:pt>
                <c:pt idx="34">
                  <c:v>0.24914700000000001</c:v>
                </c:pt>
                <c:pt idx="35">
                  <c:v>0.294107333333333</c:v>
                </c:pt>
                <c:pt idx="36">
                  <c:v>0.14959</c:v>
                </c:pt>
                <c:pt idx="37">
                  <c:v>8.5553000000000004E-2</c:v>
                </c:pt>
                <c:pt idx="38">
                  <c:v>0.211169</c:v>
                </c:pt>
                <c:pt idx="39">
                  <c:v>6.2E-2</c:v>
                </c:pt>
                <c:pt idx="40">
                  <c:v>0.15621199999999999</c:v>
                </c:pt>
                <c:pt idx="41">
                  <c:v>0.14051</c:v>
                </c:pt>
                <c:pt idx="42">
                  <c:v>6.2E-2</c:v>
                </c:pt>
                <c:pt idx="43">
                  <c:v>0.23472199999999999</c:v>
                </c:pt>
                <c:pt idx="44">
                  <c:v>6.2E-2</c:v>
                </c:pt>
                <c:pt idx="45">
                  <c:v>0.16406299999999999</c:v>
                </c:pt>
                <c:pt idx="46">
                  <c:v>0.132659</c:v>
                </c:pt>
                <c:pt idx="47">
                  <c:v>6.2E-2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EFCD-459D-BFC7-D57988FF3B25}"/>
            </c:ext>
          </c:extLst>
        </c:ser>
        <c:ser>
          <c:idx val="59"/>
          <c:order val="59"/>
          <c:tx>
            <c:v>BES_TR8_four1027_A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Demand_kW!$BJ$2:$BJ$49</c:f>
              <c:numCache>
                <c:formatCode>#,##0.000</c:formatCode>
                <c:ptCount val="48"/>
                <c:pt idx="0">
                  <c:v>8.8565666666666695E-2</c:v>
                </c:pt>
                <c:pt idx="1">
                  <c:v>8.0281000000000005E-2</c:v>
                </c:pt>
                <c:pt idx="2">
                  <c:v>8.0281000000000005E-2</c:v>
                </c:pt>
                <c:pt idx="3">
                  <c:v>0.10099266666666699</c:v>
                </c:pt>
                <c:pt idx="4">
                  <c:v>5.9569333333333301E-2</c:v>
                </c:pt>
                <c:pt idx="5">
                  <c:v>4.2999999999999997E-2</c:v>
                </c:pt>
                <c:pt idx="6">
                  <c:v>4.2999999999999997E-2</c:v>
                </c:pt>
                <c:pt idx="7">
                  <c:v>0.117562</c:v>
                </c:pt>
                <c:pt idx="8">
                  <c:v>4.2999999999999997E-2</c:v>
                </c:pt>
                <c:pt idx="9">
                  <c:v>4.2999999999999997E-2</c:v>
                </c:pt>
                <c:pt idx="10">
                  <c:v>0.117562</c:v>
                </c:pt>
                <c:pt idx="11">
                  <c:v>4.2999999999999997E-2</c:v>
                </c:pt>
                <c:pt idx="12">
                  <c:v>9.2707999999999999E-2</c:v>
                </c:pt>
                <c:pt idx="13">
                  <c:v>6.7853999999999901E-2</c:v>
                </c:pt>
                <c:pt idx="14">
                  <c:v>4.2999999999999997E-2</c:v>
                </c:pt>
                <c:pt idx="15">
                  <c:v>4.2999999999999997E-2</c:v>
                </c:pt>
                <c:pt idx="16">
                  <c:v>0.24156810000000001</c:v>
                </c:pt>
                <c:pt idx="17">
                  <c:v>0.20415359999999999</c:v>
                </c:pt>
                <c:pt idx="18">
                  <c:v>0.22686000000000001</c:v>
                </c:pt>
                <c:pt idx="19">
                  <c:v>0.32142500000000002</c:v>
                </c:pt>
                <c:pt idx="20">
                  <c:v>6.3711666666666694E-2</c:v>
                </c:pt>
                <c:pt idx="21">
                  <c:v>9.6850333333333399E-2</c:v>
                </c:pt>
                <c:pt idx="22">
                  <c:v>4.2999999999999997E-2</c:v>
                </c:pt>
                <c:pt idx="23">
                  <c:v>4.2999999999999997E-2</c:v>
                </c:pt>
                <c:pt idx="24">
                  <c:v>4.2999999999999997E-2</c:v>
                </c:pt>
                <c:pt idx="25">
                  <c:v>0.117562</c:v>
                </c:pt>
                <c:pt idx="26">
                  <c:v>6.5658999999999995E-2</c:v>
                </c:pt>
                <c:pt idx="27">
                  <c:v>4.2999999999999997E-2</c:v>
                </c:pt>
                <c:pt idx="28">
                  <c:v>0.117562</c:v>
                </c:pt>
                <c:pt idx="29">
                  <c:v>4.2999999999999997E-2</c:v>
                </c:pt>
                <c:pt idx="30">
                  <c:v>8.4423333333333295E-2</c:v>
                </c:pt>
                <c:pt idx="31">
                  <c:v>7.6138666666666702E-2</c:v>
                </c:pt>
                <c:pt idx="32">
                  <c:v>4.2999999999999997E-2</c:v>
                </c:pt>
                <c:pt idx="33">
                  <c:v>4.2999999999999997E-2</c:v>
                </c:pt>
                <c:pt idx="34">
                  <c:v>4.71423333333333E-2</c:v>
                </c:pt>
                <c:pt idx="35">
                  <c:v>0.29728266666666597</c:v>
                </c:pt>
                <c:pt idx="36">
                  <c:v>0.25452999999999998</c:v>
                </c:pt>
                <c:pt idx="37">
                  <c:v>0.16056699999999999</c:v>
                </c:pt>
                <c:pt idx="38">
                  <c:v>0.24928800000000001</c:v>
                </c:pt>
                <c:pt idx="39">
                  <c:v>0.24690599999999999</c:v>
                </c:pt>
                <c:pt idx="40">
                  <c:v>0.41185033333333299</c:v>
                </c:pt>
                <c:pt idx="41">
                  <c:v>0.40433333333333299</c:v>
                </c:pt>
                <c:pt idx="42">
                  <c:v>0.421333333333333</c:v>
                </c:pt>
                <c:pt idx="43">
                  <c:v>0.50299666666666698</c:v>
                </c:pt>
                <c:pt idx="44">
                  <c:v>0.65771133333333298</c:v>
                </c:pt>
                <c:pt idx="45">
                  <c:v>0.51221133333333402</c:v>
                </c:pt>
                <c:pt idx="46">
                  <c:v>0.34501999999999999</c:v>
                </c:pt>
                <c:pt idx="47">
                  <c:v>0.288702666666667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EFCD-459D-BFC7-D57988FF3B25}"/>
            </c:ext>
          </c:extLst>
        </c:ser>
        <c:ser>
          <c:idx val="60"/>
          <c:order val="60"/>
          <c:tx>
            <c:v>BES_TR8_four1132_C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Demand_kW!$BK$2:$BK$49</c:f>
              <c:numCache>
                <c:formatCode>#,##0.000</c:formatCode>
                <c:ptCount val="48"/>
                <c:pt idx="0">
                  <c:v>0.123330666666667</c:v>
                </c:pt>
                <c:pt idx="1">
                  <c:v>0.231904</c:v>
                </c:pt>
                <c:pt idx="2">
                  <c:v>5.6076666666666698E-2</c:v>
                </c:pt>
                <c:pt idx="3">
                  <c:v>0.112613333333333</c:v>
                </c:pt>
                <c:pt idx="4">
                  <c:v>4.8000000000000001E-2</c:v>
                </c:pt>
                <c:pt idx="5">
                  <c:v>0.25877466666666699</c:v>
                </c:pt>
                <c:pt idx="6">
                  <c:v>0.104536666666667</c:v>
                </c:pt>
                <c:pt idx="7">
                  <c:v>6.94346666666667E-2</c:v>
                </c:pt>
                <c:pt idx="8">
                  <c:v>0.209226666666667</c:v>
                </c:pt>
                <c:pt idx="9">
                  <c:v>5.9959999999999999E-2</c:v>
                </c:pt>
                <c:pt idx="10">
                  <c:v>9.3898333333333306E-2</c:v>
                </c:pt>
                <c:pt idx="11">
                  <c:v>0.26941300000000001</c:v>
                </c:pt>
                <c:pt idx="12">
                  <c:v>4.8000000000000001E-2</c:v>
                </c:pt>
                <c:pt idx="13">
                  <c:v>0.174109766666667</c:v>
                </c:pt>
                <c:pt idx="14">
                  <c:v>0.1549209</c:v>
                </c:pt>
                <c:pt idx="15">
                  <c:v>0.123645</c:v>
                </c:pt>
                <c:pt idx="16">
                  <c:v>0.39670933333333303</c:v>
                </c:pt>
                <c:pt idx="17">
                  <c:v>1.4682773333333301</c:v>
                </c:pt>
                <c:pt idx="18">
                  <c:v>1.000156</c:v>
                </c:pt>
                <c:pt idx="19">
                  <c:v>1.11772</c:v>
                </c:pt>
                <c:pt idx="20">
                  <c:v>0.17419933333333301</c:v>
                </c:pt>
                <c:pt idx="21">
                  <c:v>5.33586666666667E-2</c:v>
                </c:pt>
                <c:pt idx="22">
                  <c:v>6.0038333333333402E-2</c:v>
                </c:pt>
                <c:pt idx="23">
                  <c:v>0.497985333333333</c:v>
                </c:pt>
                <c:pt idx="24">
                  <c:v>4.8000000000000001E-2</c:v>
                </c:pt>
                <c:pt idx="25">
                  <c:v>0.174708</c:v>
                </c:pt>
                <c:pt idx="26">
                  <c:v>0.219322666666667</c:v>
                </c:pt>
                <c:pt idx="27">
                  <c:v>7.35503666666667E-2</c:v>
                </c:pt>
                <c:pt idx="28">
                  <c:v>0.24029</c:v>
                </c:pt>
                <c:pt idx="29">
                  <c:v>0.123021333333333</c:v>
                </c:pt>
                <c:pt idx="30">
                  <c:v>0.15656999999999999</c:v>
                </c:pt>
                <c:pt idx="31">
                  <c:v>0.40044313333333398</c:v>
                </c:pt>
                <c:pt idx="32">
                  <c:v>0.110334133333333</c:v>
                </c:pt>
                <c:pt idx="33">
                  <c:v>0.167808333333333</c:v>
                </c:pt>
                <c:pt idx="34">
                  <c:v>7.2999999999999995E-2</c:v>
                </c:pt>
                <c:pt idx="35">
                  <c:v>0.30915833333333298</c:v>
                </c:pt>
                <c:pt idx="36">
                  <c:v>0.36784166666666701</c:v>
                </c:pt>
                <c:pt idx="37">
                  <c:v>0.342457333333334</c:v>
                </c:pt>
                <c:pt idx="38">
                  <c:v>0.1403074</c:v>
                </c:pt>
                <c:pt idx="39">
                  <c:v>0.36181533333333299</c:v>
                </c:pt>
                <c:pt idx="40">
                  <c:v>1.7030206666666701</c:v>
                </c:pt>
                <c:pt idx="41">
                  <c:v>1.8986940000000001</c:v>
                </c:pt>
                <c:pt idx="42">
                  <c:v>0.88801466666666695</c:v>
                </c:pt>
                <c:pt idx="43">
                  <c:v>0.24029</c:v>
                </c:pt>
                <c:pt idx="44">
                  <c:v>6.4153333333333298E-2</c:v>
                </c:pt>
                <c:pt idx="45">
                  <c:v>0.55442766666666699</c:v>
                </c:pt>
                <c:pt idx="46">
                  <c:v>0.22991963333333301</c:v>
                </c:pt>
                <c:pt idx="47">
                  <c:v>0.29530000000000001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EFCD-459D-BFC7-D57988FF3B25}"/>
            </c:ext>
          </c:extLst>
        </c:ser>
        <c:ser>
          <c:idx val="61"/>
          <c:order val="61"/>
          <c:tx>
            <c:v>BES_TR8_four126_A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Demand_kW!$BL$2:$BL$49</c:f>
              <c:numCache>
                <c:formatCode>#,##0.000</c:formatCode>
                <c:ptCount val="48"/>
                <c:pt idx="0">
                  <c:v>7.7798666666666599E-2</c:v>
                </c:pt>
                <c:pt idx="1">
                  <c:v>0.122824666666667</c:v>
                </c:pt>
                <c:pt idx="2">
                  <c:v>5.0999999999999997E-2</c:v>
                </c:pt>
                <c:pt idx="3">
                  <c:v>0.231228666666667</c:v>
                </c:pt>
                <c:pt idx="4">
                  <c:v>8.8664000000000104E-2</c:v>
                </c:pt>
                <c:pt idx="5">
                  <c:v>5.0999999999999997E-2</c:v>
                </c:pt>
                <c:pt idx="6">
                  <c:v>0.18964366666666699</c:v>
                </c:pt>
                <c:pt idx="7">
                  <c:v>0.130249</c:v>
                </c:pt>
                <c:pt idx="8">
                  <c:v>8.5222999999999993E-2</c:v>
                </c:pt>
                <c:pt idx="9">
                  <c:v>0.234669666666667</c:v>
                </c:pt>
                <c:pt idx="10">
                  <c:v>5.0999999999999997E-2</c:v>
                </c:pt>
                <c:pt idx="11">
                  <c:v>0.112564</c:v>
                </c:pt>
                <c:pt idx="12">
                  <c:v>0.20732866666666699</c:v>
                </c:pt>
                <c:pt idx="13">
                  <c:v>0.117694333333333</c:v>
                </c:pt>
                <c:pt idx="14">
                  <c:v>7.6651666666666701E-2</c:v>
                </c:pt>
                <c:pt idx="15">
                  <c:v>0.17654666666666699</c:v>
                </c:pt>
                <c:pt idx="16">
                  <c:v>0.143346</c:v>
                </c:pt>
                <c:pt idx="17">
                  <c:v>0.170269333333333</c:v>
                </c:pt>
                <c:pt idx="18">
                  <c:v>5.7277333333333298E-2</c:v>
                </c:pt>
                <c:pt idx="19">
                  <c:v>0.25633800000000001</c:v>
                </c:pt>
                <c:pt idx="20">
                  <c:v>6.3554666666666607E-2</c:v>
                </c:pt>
                <c:pt idx="21">
                  <c:v>9.7172999999999995E-2</c:v>
                </c:pt>
                <c:pt idx="22">
                  <c:v>0.153669</c:v>
                </c:pt>
                <c:pt idx="23">
                  <c:v>0.120050666666667</c:v>
                </c:pt>
                <c:pt idx="24">
                  <c:v>5.0999999999999997E-2</c:v>
                </c:pt>
                <c:pt idx="25">
                  <c:v>0.27461633333333302</c:v>
                </c:pt>
                <c:pt idx="26">
                  <c:v>0.123319533333333</c:v>
                </c:pt>
                <c:pt idx="27">
                  <c:v>0.25122</c:v>
                </c:pt>
                <c:pt idx="28">
                  <c:v>0.18336633333333299</c:v>
                </c:pt>
                <c:pt idx="29">
                  <c:v>0.15296463333333299</c:v>
                </c:pt>
                <c:pt idx="30">
                  <c:v>0.111736766666667</c:v>
                </c:pt>
                <c:pt idx="31">
                  <c:v>0.17495133333333299</c:v>
                </c:pt>
                <c:pt idx="32">
                  <c:v>5.0999999999999997E-2</c:v>
                </c:pt>
                <c:pt idx="33">
                  <c:v>0.25863199999999997</c:v>
                </c:pt>
                <c:pt idx="34">
                  <c:v>6.1260666666666602E-2</c:v>
                </c:pt>
                <c:pt idx="35">
                  <c:v>0.113773333333333</c:v>
                </c:pt>
                <c:pt idx="36">
                  <c:v>0.16957403333333301</c:v>
                </c:pt>
                <c:pt idx="37">
                  <c:v>0.19295200000000001</c:v>
                </c:pt>
                <c:pt idx="38">
                  <c:v>0.40750700000000001</c:v>
                </c:pt>
                <c:pt idx="39">
                  <c:v>0.306765333333333</c:v>
                </c:pt>
                <c:pt idx="40">
                  <c:v>0.28103933333333297</c:v>
                </c:pt>
                <c:pt idx="41">
                  <c:v>7.1521333333333298E-2</c:v>
                </c:pt>
                <c:pt idx="42">
                  <c:v>0.170269333333333</c:v>
                </c:pt>
                <c:pt idx="43">
                  <c:v>0.30539733333333302</c:v>
                </c:pt>
                <c:pt idx="44">
                  <c:v>0.20441400000000001</c:v>
                </c:pt>
                <c:pt idx="45">
                  <c:v>0.143346</c:v>
                </c:pt>
                <c:pt idx="46">
                  <c:v>0.17654666666666699</c:v>
                </c:pt>
                <c:pt idx="47">
                  <c:v>5.0999999999999997E-2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EFCD-459D-BFC7-D57988FF3B25}"/>
            </c:ext>
          </c:extLst>
        </c:ser>
        <c:ser>
          <c:idx val="62"/>
          <c:order val="62"/>
          <c:tx>
            <c:v>BES_TR8_four1187_A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Demand_kW!$BM$2:$BM$49</c:f>
              <c:numCache>
                <c:formatCode>#,##0.000</c:formatCode>
                <c:ptCount val="48"/>
                <c:pt idx="0">
                  <c:v>0.153077666666667</c:v>
                </c:pt>
                <c:pt idx="1">
                  <c:v>0.16844566666666699</c:v>
                </c:pt>
                <c:pt idx="2">
                  <c:v>8.4846000000000005E-2</c:v>
                </c:pt>
                <c:pt idx="3">
                  <c:v>0.29533500000000001</c:v>
                </c:pt>
                <c:pt idx="4">
                  <c:v>6.4649666666666702E-2</c:v>
                </c:pt>
                <c:pt idx="5">
                  <c:v>0.177136666666667</c:v>
                </c:pt>
                <c:pt idx="6">
                  <c:v>0.21169399999999999</c:v>
                </c:pt>
                <c:pt idx="7">
                  <c:v>8.0038333333333406E-2</c:v>
                </c:pt>
                <c:pt idx="8">
                  <c:v>0.118499666666667</c:v>
                </c:pt>
                <c:pt idx="9">
                  <c:v>5.6000000000000001E-2</c:v>
                </c:pt>
                <c:pt idx="10">
                  <c:v>0.332830666666667</c:v>
                </c:pt>
                <c:pt idx="11">
                  <c:v>5.6000000000000001E-2</c:v>
                </c:pt>
                <c:pt idx="12">
                  <c:v>0.29436933333333298</c:v>
                </c:pt>
                <c:pt idx="13">
                  <c:v>9.4461333333333397E-2</c:v>
                </c:pt>
                <c:pt idx="14">
                  <c:v>5.6000000000000001E-2</c:v>
                </c:pt>
                <c:pt idx="15">
                  <c:v>0.142538</c:v>
                </c:pt>
                <c:pt idx="16">
                  <c:v>5.6000000000000001E-2</c:v>
                </c:pt>
                <c:pt idx="17">
                  <c:v>0.332830666666667</c:v>
                </c:pt>
                <c:pt idx="18">
                  <c:v>8.4339333333333405E-2</c:v>
                </c:pt>
                <c:pt idx="19">
                  <c:v>0.39317733333333299</c:v>
                </c:pt>
                <c:pt idx="20">
                  <c:v>0.59628400000000004</c:v>
                </c:pt>
                <c:pt idx="21">
                  <c:v>0.40033200000000002</c:v>
                </c:pt>
                <c:pt idx="22">
                  <c:v>0.85933466666666702</c:v>
                </c:pt>
                <c:pt idx="23">
                  <c:v>2.7715000000000001</c:v>
                </c:pt>
                <c:pt idx="24">
                  <c:v>2.6415199999999999</c:v>
                </c:pt>
                <c:pt idx="25">
                  <c:v>0.65414300000000003</c:v>
                </c:pt>
                <c:pt idx="26">
                  <c:v>6.4649666666666702E-2</c:v>
                </c:pt>
                <c:pt idx="27">
                  <c:v>5.6000000000000001E-2</c:v>
                </c:pt>
                <c:pt idx="28">
                  <c:v>0.22034366666666699</c:v>
                </c:pt>
                <c:pt idx="29">
                  <c:v>0.24184600000000001</c:v>
                </c:pt>
                <c:pt idx="30">
                  <c:v>0.13962033333333301</c:v>
                </c:pt>
                <c:pt idx="31">
                  <c:v>0.24921033333333301</c:v>
                </c:pt>
                <c:pt idx="32">
                  <c:v>0.17263600000000001</c:v>
                </c:pt>
                <c:pt idx="33">
                  <c:v>0.82380133333333305</c:v>
                </c:pt>
                <c:pt idx="34">
                  <c:v>0.91525900000000004</c:v>
                </c:pt>
                <c:pt idx="35">
                  <c:v>1.13159566666667</c:v>
                </c:pt>
                <c:pt idx="36">
                  <c:v>0.84552099999999997</c:v>
                </c:pt>
                <c:pt idx="37">
                  <c:v>0.29864533333333299</c:v>
                </c:pt>
                <c:pt idx="38">
                  <c:v>0.243283</c:v>
                </c:pt>
                <c:pt idx="39">
                  <c:v>0.45617566666666698</c:v>
                </c:pt>
                <c:pt idx="40">
                  <c:v>0.40941233333333299</c:v>
                </c:pt>
                <c:pt idx="41">
                  <c:v>0.741387666666667</c:v>
                </c:pt>
                <c:pt idx="42">
                  <c:v>0.65219300000000002</c:v>
                </c:pt>
                <c:pt idx="43">
                  <c:v>0.681172</c:v>
                </c:pt>
                <c:pt idx="44">
                  <c:v>7.5230666666666696E-2</c:v>
                </c:pt>
                <c:pt idx="45">
                  <c:v>0.52673800000000004</c:v>
                </c:pt>
                <c:pt idx="46">
                  <c:v>0.355821</c:v>
                </c:pt>
                <c:pt idx="47">
                  <c:v>9.9268999999999996E-2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EFCD-459D-BFC7-D57988FF3B25}"/>
            </c:ext>
          </c:extLst>
        </c:ser>
        <c:ser>
          <c:idx val="63"/>
          <c:order val="63"/>
          <c:tx>
            <c:v>BES_TR8_four1207_B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Demand_kW!$BN$2:$BN$49</c:f>
              <c:numCache>
                <c:formatCode>#,##0.000</c:formatCode>
                <c:ptCount val="48"/>
                <c:pt idx="0">
                  <c:v>0.184294666666667</c:v>
                </c:pt>
                <c:pt idx="1">
                  <c:v>6.8223333333333303E-2</c:v>
                </c:pt>
                <c:pt idx="2">
                  <c:v>0.243796333333333</c:v>
                </c:pt>
                <c:pt idx="3">
                  <c:v>5.5E-2</c:v>
                </c:pt>
                <c:pt idx="4">
                  <c:v>0.171073</c:v>
                </c:pt>
                <c:pt idx="5">
                  <c:v>0.140951666666667</c:v>
                </c:pt>
                <c:pt idx="6">
                  <c:v>0.111568</c:v>
                </c:pt>
                <c:pt idx="7">
                  <c:v>0.15417500000000001</c:v>
                </c:pt>
                <c:pt idx="8">
                  <c:v>0.10128166666666701</c:v>
                </c:pt>
                <c:pt idx="9">
                  <c:v>0.114505</c:v>
                </c:pt>
                <c:pt idx="10">
                  <c:v>0.19751666666666701</c:v>
                </c:pt>
                <c:pt idx="11">
                  <c:v>5.5E-2</c:v>
                </c:pt>
                <c:pt idx="12">
                  <c:v>0.243798666666667</c:v>
                </c:pt>
                <c:pt idx="13">
                  <c:v>6.8223333333333303E-2</c:v>
                </c:pt>
                <c:pt idx="14">
                  <c:v>8.1446666666666695E-2</c:v>
                </c:pt>
                <c:pt idx="15">
                  <c:v>0.17401</c:v>
                </c:pt>
                <c:pt idx="16">
                  <c:v>9.5854666666666699E-2</c:v>
                </c:pt>
                <c:pt idx="17">
                  <c:v>7.0713333333333295E-2</c:v>
                </c:pt>
                <c:pt idx="18">
                  <c:v>0.187233333333333</c:v>
                </c:pt>
                <c:pt idx="19">
                  <c:v>0.12479066666666699</c:v>
                </c:pt>
                <c:pt idx="20">
                  <c:v>0.130870666666667</c:v>
                </c:pt>
                <c:pt idx="21">
                  <c:v>0.18115000000000001</c:v>
                </c:pt>
                <c:pt idx="22">
                  <c:v>0.25059999999999999</c:v>
                </c:pt>
                <c:pt idx="23">
                  <c:v>0.22461800000000001</c:v>
                </c:pt>
                <c:pt idx="24">
                  <c:v>6.7570666666666598E-2</c:v>
                </c:pt>
                <c:pt idx="25">
                  <c:v>0.200456666666667</c:v>
                </c:pt>
                <c:pt idx="26">
                  <c:v>0.111568</c:v>
                </c:pt>
                <c:pt idx="27">
                  <c:v>5.5E-2</c:v>
                </c:pt>
                <c:pt idx="28">
                  <c:v>0.23392299999999999</c:v>
                </c:pt>
                <c:pt idx="29">
                  <c:v>0.14625533333333299</c:v>
                </c:pt>
                <c:pt idx="30">
                  <c:v>5.5E-2</c:v>
                </c:pt>
                <c:pt idx="31">
                  <c:v>0.190906666666667</c:v>
                </c:pt>
                <c:pt idx="32">
                  <c:v>0.121116666666667</c:v>
                </c:pt>
                <c:pt idx="33">
                  <c:v>7.3039833333333304E-2</c:v>
                </c:pt>
                <c:pt idx="34">
                  <c:v>0.378514666666667</c:v>
                </c:pt>
                <c:pt idx="35">
                  <c:v>0.155247733333333</c:v>
                </c:pt>
                <c:pt idx="36">
                  <c:v>0.19555513333333299</c:v>
                </c:pt>
                <c:pt idx="37">
                  <c:v>0.367807</c:v>
                </c:pt>
                <c:pt idx="38">
                  <c:v>0.37044833333333299</c:v>
                </c:pt>
                <c:pt idx="39">
                  <c:v>0.71634466666666696</c:v>
                </c:pt>
                <c:pt idx="40">
                  <c:v>0.61302833333333395</c:v>
                </c:pt>
                <c:pt idx="41">
                  <c:v>0.389564666666667</c:v>
                </c:pt>
                <c:pt idx="42">
                  <c:v>0.45306733333333299</c:v>
                </c:pt>
                <c:pt idx="43">
                  <c:v>8.3283999999999997E-2</c:v>
                </c:pt>
                <c:pt idx="44">
                  <c:v>0.14591799999999999</c:v>
                </c:pt>
                <c:pt idx="45">
                  <c:v>0.247594333333333</c:v>
                </c:pt>
                <c:pt idx="46">
                  <c:v>5.5E-2</c:v>
                </c:pt>
                <c:pt idx="47">
                  <c:v>0.118179666666667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EFCD-459D-BFC7-D57988FF3B25}"/>
            </c:ext>
          </c:extLst>
        </c:ser>
        <c:ser>
          <c:idx val="64"/>
          <c:order val="64"/>
          <c:tx>
            <c:v>BES_TR8_five168_A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Demand_kW!$BO$2:$BO$49</c:f>
              <c:numCache>
                <c:formatCode>#,##0.000</c:formatCode>
                <c:ptCount val="48"/>
                <c:pt idx="0">
                  <c:v>1.9460999999999999</c:v>
                </c:pt>
                <c:pt idx="1">
                  <c:v>0.53397666666666699</c:v>
                </c:pt>
                <c:pt idx="2">
                  <c:v>7.7342666666666698E-2</c:v>
                </c:pt>
                <c:pt idx="3">
                  <c:v>0.14737066666666701</c:v>
                </c:pt>
                <c:pt idx="4">
                  <c:v>0.146942666666667</c:v>
                </c:pt>
                <c:pt idx="5">
                  <c:v>0.14153499999999999</c:v>
                </c:pt>
                <c:pt idx="6">
                  <c:v>0.15277833333333299</c:v>
                </c:pt>
                <c:pt idx="7">
                  <c:v>5.3999999999999999E-2</c:v>
                </c:pt>
                <c:pt idx="8">
                  <c:v>0.146942666666667</c:v>
                </c:pt>
                <c:pt idx="9">
                  <c:v>0.14737066666666701</c:v>
                </c:pt>
                <c:pt idx="10">
                  <c:v>6.1733333333333397E-2</c:v>
                </c:pt>
                <c:pt idx="11">
                  <c:v>0.23486399999999999</c:v>
                </c:pt>
                <c:pt idx="12">
                  <c:v>6.51013333333334E-2</c:v>
                </c:pt>
                <c:pt idx="13">
                  <c:v>0.10551199999999999</c:v>
                </c:pt>
                <c:pt idx="14">
                  <c:v>0.156393333333333</c:v>
                </c:pt>
                <c:pt idx="15">
                  <c:v>0.38697233333333297</c:v>
                </c:pt>
                <c:pt idx="16">
                  <c:v>0.207764</c:v>
                </c:pt>
                <c:pt idx="17">
                  <c:v>0.33493333333333303</c:v>
                </c:pt>
                <c:pt idx="18">
                  <c:v>0.25640233333333301</c:v>
                </c:pt>
                <c:pt idx="19">
                  <c:v>8.7813333333333396E-2</c:v>
                </c:pt>
                <c:pt idx="20">
                  <c:v>0.10957600000000001</c:v>
                </c:pt>
                <c:pt idx="21">
                  <c:v>0.13056000000000001</c:v>
                </c:pt>
                <c:pt idx="22">
                  <c:v>0.10736</c:v>
                </c:pt>
                <c:pt idx="23">
                  <c:v>0.27272333333333298</c:v>
                </c:pt>
                <c:pt idx="24">
                  <c:v>0.164033333333333</c:v>
                </c:pt>
                <c:pt idx="25">
                  <c:v>0.220059</c:v>
                </c:pt>
                <c:pt idx="26">
                  <c:v>5.3999999999999999E-2</c:v>
                </c:pt>
                <c:pt idx="27">
                  <c:v>0.17071333333333299</c:v>
                </c:pt>
                <c:pt idx="28">
                  <c:v>0.104</c:v>
                </c:pt>
                <c:pt idx="29">
                  <c:v>0.21113499999999999</c:v>
                </c:pt>
                <c:pt idx="30">
                  <c:v>0.12862473333333299</c:v>
                </c:pt>
                <c:pt idx="31">
                  <c:v>0.17523493333333301</c:v>
                </c:pt>
                <c:pt idx="32">
                  <c:v>0.28841800000000001</c:v>
                </c:pt>
                <c:pt idx="33">
                  <c:v>0.23958133333333301</c:v>
                </c:pt>
                <c:pt idx="34">
                  <c:v>0.41134100000000001</c:v>
                </c:pt>
                <c:pt idx="35">
                  <c:v>0.25751400000000002</c:v>
                </c:pt>
                <c:pt idx="36">
                  <c:v>0.31840659999999998</c:v>
                </c:pt>
                <c:pt idx="37">
                  <c:v>0.17500640000000001</c:v>
                </c:pt>
                <c:pt idx="38">
                  <c:v>0.97088833333333402</c:v>
                </c:pt>
                <c:pt idx="39">
                  <c:v>0.81762400000000002</c:v>
                </c:pt>
                <c:pt idx="40">
                  <c:v>0.60692999999999997</c:v>
                </c:pt>
                <c:pt idx="41">
                  <c:v>0.48688466666666702</c:v>
                </c:pt>
                <c:pt idx="42">
                  <c:v>0.53748333333333298</c:v>
                </c:pt>
                <c:pt idx="43">
                  <c:v>0.49546733333333298</c:v>
                </c:pt>
                <c:pt idx="44">
                  <c:v>0.69118599999999997</c:v>
                </c:pt>
                <c:pt idx="45">
                  <c:v>0.50860399999999995</c:v>
                </c:pt>
                <c:pt idx="46">
                  <c:v>0.12986366666666699</c:v>
                </c:pt>
                <c:pt idx="47">
                  <c:v>9.4849666666666596E-2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EFCD-459D-BFC7-D57988FF3B25}"/>
            </c:ext>
          </c:extLst>
        </c:ser>
        <c:ser>
          <c:idx val="65"/>
          <c:order val="65"/>
          <c:tx>
            <c:v>BES_TR8_five186_C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Demand_kW!$BP$2:$BP$49</c:f>
              <c:numCache>
                <c:formatCode>#,##0.000</c:formatCode>
                <c:ptCount val="4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0.201928</c:v>
                </c:pt>
                <c:pt idx="16">
                  <c:v>0.19459199999999999</c:v>
                </c:pt>
                <c:pt idx="17">
                  <c:v>0.136613333333333</c:v>
                </c:pt>
                <c:pt idx="18">
                  <c:v>0.05</c:v>
                </c:pt>
                <c:pt idx="19">
                  <c:v>0.18379466666666699</c:v>
                </c:pt>
                <c:pt idx="20">
                  <c:v>1.37974</c:v>
                </c:pt>
                <c:pt idx="21">
                  <c:v>0.22131933333333301</c:v>
                </c:pt>
                <c:pt idx="22">
                  <c:v>2.5823913333333302</c:v>
                </c:pt>
                <c:pt idx="23">
                  <c:v>1.09727666666667</c:v>
                </c:pt>
                <c:pt idx="24">
                  <c:v>1.7195069333333299</c:v>
                </c:pt>
                <c:pt idx="25">
                  <c:v>0.16915379999999999</c:v>
                </c:pt>
                <c:pt idx="26">
                  <c:v>6.2798566666666694E-2</c:v>
                </c:pt>
                <c:pt idx="27">
                  <c:v>0.29576659999999999</c:v>
                </c:pt>
                <c:pt idx="28">
                  <c:v>0.201848</c:v>
                </c:pt>
                <c:pt idx="29">
                  <c:v>0.149299866666667</c:v>
                </c:pt>
                <c:pt idx="30">
                  <c:v>0.188386</c:v>
                </c:pt>
                <c:pt idx="31">
                  <c:v>0.61119933333333298</c:v>
                </c:pt>
                <c:pt idx="32">
                  <c:v>1.5205266666666699</c:v>
                </c:pt>
                <c:pt idx="33">
                  <c:v>2.60683333333334</c:v>
                </c:pt>
                <c:pt idx="34">
                  <c:v>0.313669066666667</c:v>
                </c:pt>
                <c:pt idx="35">
                  <c:v>1.7603690000000001</c:v>
                </c:pt>
                <c:pt idx="36">
                  <c:v>4.0328633333333297</c:v>
                </c:pt>
                <c:pt idx="37">
                  <c:v>2.8136666666666699</c:v>
                </c:pt>
                <c:pt idx="38">
                  <c:v>0.654609</c:v>
                </c:pt>
                <c:pt idx="39">
                  <c:v>0.272890666666666</c:v>
                </c:pt>
                <c:pt idx="40">
                  <c:v>0.29419766666666702</c:v>
                </c:pt>
                <c:pt idx="41">
                  <c:v>1.8943540000000001</c:v>
                </c:pt>
                <c:pt idx="42">
                  <c:v>2.5317813333333299</c:v>
                </c:pt>
                <c:pt idx="43">
                  <c:v>1.14769066666667</c:v>
                </c:pt>
                <c:pt idx="44">
                  <c:v>0.33702666666666697</c:v>
                </c:pt>
                <c:pt idx="45">
                  <c:v>0.54580933333333304</c:v>
                </c:pt>
                <c:pt idx="46">
                  <c:v>0.34061533333333299</c:v>
                </c:pt>
                <c:pt idx="47">
                  <c:v>0.31285800000000002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EFCD-459D-BFC7-D57988FF3B25}"/>
            </c:ext>
          </c:extLst>
        </c:ser>
        <c:ser>
          <c:idx val="66"/>
          <c:order val="66"/>
          <c:tx>
            <c:v>BES_TR8_five194_C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Demand_kW!$BQ$2:$BQ$49</c:f>
              <c:numCache>
                <c:formatCode>#,##0.000</c:formatCode>
                <c:ptCount val="48"/>
                <c:pt idx="0">
                  <c:v>0.36297033333333301</c:v>
                </c:pt>
                <c:pt idx="1">
                  <c:v>3.6999999999999998E-2</c:v>
                </c:pt>
                <c:pt idx="2">
                  <c:v>3.6999999999999998E-2</c:v>
                </c:pt>
                <c:pt idx="3">
                  <c:v>0.207265333333333</c:v>
                </c:pt>
                <c:pt idx="4">
                  <c:v>3.6999999999999998E-2</c:v>
                </c:pt>
                <c:pt idx="5">
                  <c:v>0.12987199999999999</c:v>
                </c:pt>
                <c:pt idx="6">
                  <c:v>0.114393333333333</c:v>
                </c:pt>
                <c:pt idx="7">
                  <c:v>3.6999999999999998E-2</c:v>
                </c:pt>
                <c:pt idx="8">
                  <c:v>0.207265333333333</c:v>
                </c:pt>
                <c:pt idx="9">
                  <c:v>3.6999999999999998E-2</c:v>
                </c:pt>
                <c:pt idx="10">
                  <c:v>4.4739333333333298E-2</c:v>
                </c:pt>
                <c:pt idx="11">
                  <c:v>0.19952600000000001</c:v>
                </c:pt>
                <c:pt idx="12">
                  <c:v>3.6999999999999998E-2</c:v>
                </c:pt>
                <c:pt idx="13">
                  <c:v>0.207265333333333</c:v>
                </c:pt>
                <c:pt idx="14">
                  <c:v>3.6999999999999998E-2</c:v>
                </c:pt>
                <c:pt idx="15">
                  <c:v>0.249239666666667</c:v>
                </c:pt>
                <c:pt idx="16">
                  <c:v>0.25454500000000002</c:v>
                </c:pt>
                <c:pt idx="17">
                  <c:v>0.39828999999999998</c:v>
                </c:pt>
                <c:pt idx="18">
                  <c:v>0.207265333333333</c:v>
                </c:pt>
                <c:pt idx="19">
                  <c:v>3.9803499999999999E-2</c:v>
                </c:pt>
                <c:pt idx="20">
                  <c:v>0.294913166666667</c:v>
                </c:pt>
                <c:pt idx="21">
                  <c:v>9.4419500000000003E-2</c:v>
                </c:pt>
                <c:pt idx="22">
                  <c:v>0.18033299999999999</c:v>
                </c:pt>
                <c:pt idx="23">
                  <c:v>0.28033799999999998</c:v>
                </c:pt>
                <c:pt idx="24">
                  <c:v>0.112</c:v>
                </c:pt>
                <c:pt idx="25">
                  <c:v>0.28875499999999998</c:v>
                </c:pt>
                <c:pt idx="26">
                  <c:v>0.130592666666667</c:v>
                </c:pt>
                <c:pt idx="27">
                  <c:v>0.291995333333333</c:v>
                </c:pt>
                <c:pt idx="28">
                  <c:v>0.27282333333333397</c:v>
                </c:pt>
                <c:pt idx="29">
                  <c:v>0.316081</c:v>
                </c:pt>
                <c:pt idx="30">
                  <c:v>0.117414333333333</c:v>
                </c:pt>
                <c:pt idx="31">
                  <c:v>0.27615000000000001</c:v>
                </c:pt>
                <c:pt idx="32">
                  <c:v>0.205886666666667</c:v>
                </c:pt>
                <c:pt idx="33">
                  <c:v>3.6999999999999998E-2</c:v>
                </c:pt>
                <c:pt idx="34">
                  <c:v>0.23247799999999999</c:v>
                </c:pt>
                <c:pt idx="35">
                  <c:v>0.20183950000000001</c:v>
                </c:pt>
                <c:pt idx="36">
                  <c:v>0.11481483333333301</c:v>
                </c:pt>
                <c:pt idx="37">
                  <c:v>0.17630799999999999</c:v>
                </c:pt>
                <c:pt idx="38">
                  <c:v>3.6999999999999998E-2</c:v>
                </c:pt>
                <c:pt idx="39">
                  <c:v>0.114393333333333</c:v>
                </c:pt>
                <c:pt idx="40">
                  <c:v>0.12987199999999999</c:v>
                </c:pt>
                <c:pt idx="41">
                  <c:v>3.6999999999999998E-2</c:v>
                </c:pt>
                <c:pt idx="42">
                  <c:v>4.4476000000000002E-2</c:v>
                </c:pt>
                <c:pt idx="43">
                  <c:v>0.146666666666667</c:v>
                </c:pt>
                <c:pt idx="44">
                  <c:v>0.51225833333333304</c:v>
                </c:pt>
                <c:pt idx="45">
                  <c:v>0.31082733333333301</c:v>
                </c:pt>
                <c:pt idx="46">
                  <c:v>0.88343700000000003</c:v>
                </c:pt>
                <c:pt idx="47">
                  <c:v>0.75672766666666702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EFCD-459D-BFC7-D57988FF3B25}"/>
            </c:ext>
          </c:extLst>
        </c:ser>
        <c:ser>
          <c:idx val="67"/>
          <c:order val="67"/>
          <c:tx>
            <c:v>BES_TR8_five223_A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Demand_kW!$BR$2:$BR$49</c:f>
              <c:numCache>
                <c:formatCode>#,##0.000</c:formatCode>
                <c:ptCount val="48"/>
                <c:pt idx="0">
                  <c:v>6.7455000000000001E-2</c:v>
                </c:pt>
                <c:pt idx="1">
                  <c:v>0.291881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0.245752</c:v>
                </c:pt>
                <c:pt idx="5">
                  <c:v>0.113584</c:v>
                </c:pt>
                <c:pt idx="6">
                  <c:v>5.2999999999999999E-2</c:v>
                </c:pt>
                <c:pt idx="7">
                  <c:v>0.306336</c:v>
                </c:pt>
                <c:pt idx="8">
                  <c:v>5.2999999999999999E-2</c:v>
                </c:pt>
                <c:pt idx="9">
                  <c:v>0.13972999999999999</c:v>
                </c:pt>
                <c:pt idx="10">
                  <c:v>5.2999999999999999E-2</c:v>
                </c:pt>
                <c:pt idx="11">
                  <c:v>0.185168</c:v>
                </c:pt>
                <c:pt idx="12">
                  <c:v>0.17416799999999999</c:v>
                </c:pt>
                <c:pt idx="13">
                  <c:v>0.115638333333333</c:v>
                </c:pt>
                <c:pt idx="14">
                  <c:v>0.24369766666666701</c:v>
                </c:pt>
                <c:pt idx="15">
                  <c:v>0.13972999999999999</c:v>
                </c:pt>
                <c:pt idx="16">
                  <c:v>0.159022</c:v>
                </c:pt>
                <c:pt idx="17">
                  <c:v>0.15776533333333301</c:v>
                </c:pt>
                <c:pt idx="18">
                  <c:v>1.1347116666666699</c:v>
                </c:pt>
                <c:pt idx="19">
                  <c:v>0.458031666666667</c:v>
                </c:pt>
                <c:pt idx="20">
                  <c:v>0.24378</c:v>
                </c:pt>
                <c:pt idx="21">
                  <c:v>0.25428933333333298</c:v>
                </c:pt>
                <c:pt idx="22">
                  <c:v>9.6365000000000006E-2</c:v>
                </c:pt>
                <c:pt idx="23">
                  <c:v>9.6365000000000006E-2</c:v>
                </c:pt>
                <c:pt idx="24">
                  <c:v>0.19412299999999999</c:v>
                </c:pt>
                <c:pt idx="25">
                  <c:v>0.165213</c:v>
                </c:pt>
                <c:pt idx="26">
                  <c:v>0.15514</c:v>
                </c:pt>
                <c:pt idx="27">
                  <c:v>0.37478299999999998</c:v>
                </c:pt>
                <c:pt idx="28">
                  <c:v>0.585758</c:v>
                </c:pt>
                <c:pt idx="29">
                  <c:v>0.34129199999999998</c:v>
                </c:pt>
                <c:pt idx="30">
                  <c:v>0.29430000000000001</c:v>
                </c:pt>
                <c:pt idx="31">
                  <c:v>0.22673699999999999</c:v>
                </c:pt>
                <c:pt idx="32">
                  <c:v>0.25795753333333299</c:v>
                </c:pt>
                <c:pt idx="33">
                  <c:v>0.26564579999999999</c:v>
                </c:pt>
                <c:pt idx="34">
                  <c:v>0.151449</c:v>
                </c:pt>
                <c:pt idx="35">
                  <c:v>0.17415866666666699</c:v>
                </c:pt>
                <c:pt idx="36">
                  <c:v>0.117020333333333</c:v>
                </c:pt>
                <c:pt idx="37">
                  <c:v>0.18931400000000001</c:v>
                </c:pt>
                <c:pt idx="38">
                  <c:v>5.2999999999999999E-2</c:v>
                </c:pt>
                <c:pt idx="39">
                  <c:v>0.13972999999999999</c:v>
                </c:pt>
                <c:pt idx="40">
                  <c:v>5.2999999999999999E-2</c:v>
                </c:pt>
                <c:pt idx="41">
                  <c:v>0.219606</c:v>
                </c:pt>
                <c:pt idx="42">
                  <c:v>5.2999999999999999E-2</c:v>
                </c:pt>
                <c:pt idx="43">
                  <c:v>5.2999999999999999E-2</c:v>
                </c:pt>
                <c:pt idx="44">
                  <c:v>0.16659499999999999</c:v>
                </c:pt>
                <c:pt idx="45">
                  <c:v>0.25844</c:v>
                </c:pt>
                <c:pt idx="46">
                  <c:v>0.14538000000000001</c:v>
                </c:pt>
                <c:pt idx="47">
                  <c:v>0.26434366666666698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EFCD-459D-BFC7-D57988FF3B25}"/>
            </c:ext>
          </c:extLst>
        </c:ser>
        <c:ser>
          <c:idx val="68"/>
          <c:order val="68"/>
          <c:tx>
            <c:v>BES_TR8_five303_B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Demand_kW!$BS$2:$BS$49</c:f>
              <c:numCache>
                <c:formatCode>#,##0.000</c:formatCode>
                <c:ptCount val="48"/>
                <c:pt idx="0">
                  <c:v>0.425566</c:v>
                </c:pt>
                <c:pt idx="1">
                  <c:v>5.8999999999999997E-2</c:v>
                </c:pt>
                <c:pt idx="2">
                  <c:v>0.219486666666667</c:v>
                </c:pt>
                <c:pt idx="3">
                  <c:v>0.31575999999999999</c:v>
                </c:pt>
                <c:pt idx="4">
                  <c:v>5.8999999999999997E-2</c:v>
                </c:pt>
                <c:pt idx="5">
                  <c:v>5.8999999999999997E-2</c:v>
                </c:pt>
                <c:pt idx="6">
                  <c:v>0.233609333333333</c:v>
                </c:pt>
                <c:pt idx="7">
                  <c:v>0.301638666666667</c:v>
                </c:pt>
                <c:pt idx="8">
                  <c:v>5.8999999999999997E-2</c:v>
                </c:pt>
                <c:pt idx="9">
                  <c:v>0.28660266666666701</c:v>
                </c:pt>
                <c:pt idx="10">
                  <c:v>0.24864466666666701</c:v>
                </c:pt>
                <c:pt idx="11">
                  <c:v>5.8999999999999997E-2</c:v>
                </c:pt>
                <c:pt idx="12">
                  <c:v>0.47624266666666698</c:v>
                </c:pt>
                <c:pt idx="13">
                  <c:v>5.8999999999999997E-2</c:v>
                </c:pt>
                <c:pt idx="14">
                  <c:v>0.299323333333333</c:v>
                </c:pt>
                <c:pt idx="15">
                  <c:v>0.235922666666667</c:v>
                </c:pt>
                <c:pt idx="16">
                  <c:v>0.17262666666666701</c:v>
                </c:pt>
                <c:pt idx="17">
                  <c:v>0.85660313333333404</c:v>
                </c:pt>
                <c:pt idx="18">
                  <c:v>0.5609558</c:v>
                </c:pt>
                <c:pt idx="19">
                  <c:v>0.202082333333333</c:v>
                </c:pt>
                <c:pt idx="20">
                  <c:v>0.45925766666666701</c:v>
                </c:pt>
                <c:pt idx="21">
                  <c:v>0.33561233333333301</c:v>
                </c:pt>
                <c:pt idx="22">
                  <c:v>0.118276333333333</c:v>
                </c:pt>
                <c:pt idx="23">
                  <c:v>0.57118766666666698</c:v>
                </c:pt>
                <c:pt idx="24">
                  <c:v>0.38073299999999999</c:v>
                </c:pt>
                <c:pt idx="25">
                  <c:v>0.20921933333333301</c:v>
                </c:pt>
                <c:pt idx="26">
                  <c:v>1.1143179999999999</c:v>
                </c:pt>
                <c:pt idx="27">
                  <c:v>0.64414866666666704</c:v>
                </c:pt>
                <c:pt idx="28">
                  <c:v>0.29657733333333303</c:v>
                </c:pt>
                <c:pt idx="29">
                  <c:v>2.4824866666666701</c:v>
                </c:pt>
                <c:pt idx="30">
                  <c:v>2.7330433333333302</c:v>
                </c:pt>
                <c:pt idx="31">
                  <c:v>1.1557864</c:v>
                </c:pt>
                <c:pt idx="32">
                  <c:v>1.40917733333333</c:v>
                </c:pt>
                <c:pt idx="33">
                  <c:v>1.18419266666667</c:v>
                </c:pt>
                <c:pt idx="34">
                  <c:v>1.9045719999999999</c:v>
                </c:pt>
                <c:pt idx="35">
                  <c:v>0.57636433333333303</c:v>
                </c:pt>
                <c:pt idx="36">
                  <c:v>0.64403766666666695</c:v>
                </c:pt>
                <c:pt idx="37">
                  <c:v>0.52992333333333297</c:v>
                </c:pt>
                <c:pt idx="38">
                  <c:v>0.54080066666666704</c:v>
                </c:pt>
                <c:pt idx="39">
                  <c:v>0.64591133333333295</c:v>
                </c:pt>
                <c:pt idx="40">
                  <c:v>0.61767933333333402</c:v>
                </c:pt>
                <c:pt idx="41">
                  <c:v>0.705531666666666</c:v>
                </c:pt>
                <c:pt idx="42">
                  <c:v>0.72116833333333397</c:v>
                </c:pt>
                <c:pt idx="43">
                  <c:v>0.67125833333333396</c:v>
                </c:pt>
                <c:pt idx="44">
                  <c:v>0.74222333333333401</c:v>
                </c:pt>
                <c:pt idx="45">
                  <c:v>0.66899966666666599</c:v>
                </c:pt>
                <c:pt idx="46">
                  <c:v>0.34821466666666701</c:v>
                </c:pt>
                <c:pt idx="47">
                  <c:v>0.23638000000000001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EFCD-459D-BFC7-D57988FF3B25}"/>
            </c:ext>
          </c:extLst>
        </c:ser>
        <c:ser>
          <c:idx val="69"/>
          <c:order val="69"/>
          <c:tx>
            <c:v>BES_TR8_five324_B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Demand_kW!$BT$2:$BT$49</c:f>
              <c:numCache>
                <c:formatCode>#,##0.000</c:formatCode>
                <c:ptCount val="48"/>
                <c:pt idx="0">
                  <c:v>0.22558266666666699</c:v>
                </c:pt>
                <c:pt idx="1">
                  <c:v>5.2999999999999999E-2</c:v>
                </c:pt>
                <c:pt idx="2">
                  <c:v>0.12285</c:v>
                </c:pt>
                <c:pt idx="3">
                  <c:v>0.153261333333333</c:v>
                </c:pt>
                <c:pt idx="4">
                  <c:v>0.21379799999999999</c:v>
                </c:pt>
                <c:pt idx="5">
                  <c:v>6.2313333333333297E-2</c:v>
                </c:pt>
                <c:pt idx="6">
                  <c:v>0.18610866666666701</c:v>
                </c:pt>
                <c:pt idx="7">
                  <c:v>0.17629400000000001</c:v>
                </c:pt>
                <c:pt idx="8">
                  <c:v>9.3691999999999998E-2</c:v>
                </c:pt>
                <c:pt idx="9">
                  <c:v>0.26871066666666699</c:v>
                </c:pt>
                <c:pt idx="10">
                  <c:v>5.2999999999999999E-2</c:v>
                </c:pt>
                <c:pt idx="11">
                  <c:v>0.22558266666666699</c:v>
                </c:pt>
                <c:pt idx="12">
                  <c:v>0.104223333333333</c:v>
                </c:pt>
                <c:pt idx="13">
                  <c:v>0.22680066666666701</c:v>
                </c:pt>
                <c:pt idx="14">
                  <c:v>8.4378666666666602E-2</c:v>
                </c:pt>
                <c:pt idx="15">
                  <c:v>0.13144666666666699</c:v>
                </c:pt>
                <c:pt idx="16">
                  <c:v>0.14713599999999999</c:v>
                </c:pt>
                <c:pt idx="17">
                  <c:v>0.12285</c:v>
                </c:pt>
                <c:pt idx="18">
                  <c:v>0.239552666666667</c:v>
                </c:pt>
                <c:pt idx="19">
                  <c:v>0.13682</c:v>
                </c:pt>
                <c:pt idx="20">
                  <c:v>0.207044333333333</c:v>
                </c:pt>
                <c:pt idx="21">
                  <c:v>0.17247333333333301</c:v>
                </c:pt>
                <c:pt idx="22">
                  <c:v>0.13682</c:v>
                </c:pt>
                <c:pt idx="23">
                  <c:v>0.22558266666666699</c:v>
                </c:pt>
                <c:pt idx="24">
                  <c:v>0.13682</c:v>
                </c:pt>
                <c:pt idx="25">
                  <c:v>5.48296666666667E-2</c:v>
                </c:pt>
                <c:pt idx="26">
                  <c:v>5.7656666666666703E-2</c:v>
                </c:pt>
                <c:pt idx="27">
                  <c:v>0.27336733333333302</c:v>
                </c:pt>
                <c:pt idx="28">
                  <c:v>8.4378666666666602E-2</c:v>
                </c:pt>
                <c:pt idx="29">
                  <c:v>0.210886666666667</c:v>
                </c:pt>
                <c:pt idx="30">
                  <c:v>0.38839733333333398</c:v>
                </c:pt>
                <c:pt idx="31">
                  <c:v>0.26658333333333301</c:v>
                </c:pt>
                <c:pt idx="32">
                  <c:v>0.53989033333333403</c:v>
                </c:pt>
                <c:pt idx="33">
                  <c:v>0.51492700000000002</c:v>
                </c:pt>
                <c:pt idx="34">
                  <c:v>0.38377</c:v>
                </c:pt>
                <c:pt idx="35">
                  <c:v>0.50833766666666702</c:v>
                </c:pt>
                <c:pt idx="36">
                  <c:v>0.384220333333333</c:v>
                </c:pt>
                <c:pt idx="37">
                  <c:v>0.41857566666666701</c:v>
                </c:pt>
                <c:pt idx="38">
                  <c:v>2.1153093333333302</c:v>
                </c:pt>
                <c:pt idx="39">
                  <c:v>2.5706266666666702</c:v>
                </c:pt>
                <c:pt idx="40">
                  <c:v>1.6833340000000001</c:v>
                </c:pt>
                <c:pt idx="41">
                  <c:v>7.6534000000000005E-2</c:v>
                </c:pt>
                <c:pt idx="42">
                  <c:v>0.18292066666666701</c:v>
                </c:pt>
                <c:pt idx="43">
                  <c:v>0.179482</c:v>
                </c:pt>
                <c:pt idx="44">
                  <c:v>0.100068</c:v>
                </c:pt>
                <c:pt idx="45">
                  <c:v>0.17851466666666699</c:v>
                </c:pt>
                <c:pt idx="46">
                  <c:v>0.13682</c:v>
                </c:pt>
                <c:pt idx="47">
                  <c:v>0.17851466666666699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EFCD-459D-BFC7-D57988FF3B25}"/>
            </c:ext>
          </c:extLst>
        </c:ser>
        <c:ser>
          <c:idx val="70"/>
          <c:order val="70"/>
          <c:tx>
            <c:v>BES_TR8_five345_A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Demand_kW!$BU$2:$BU$49</c:f>
              <c:numCache>
                <c:formatCode>#,##0.000</c:formatCode>
                <c:ptCount val="48"/>
                <c:pt idx="0">
                  <c:v>0.16771533333333299</c:v>
                </c:pt>
                <c:pt idx="1">
                  <c:v>5.6000000000000001E-2</c:v>
                </c:pt>
                <c:pt idx="2">
                  <c:v>5.6000000000000001E-2</c:v>
                </c:pt>
                <c:pt idx="3">
                  <c:v>0.16771533333333299</c:v>
                </c:pt>
                <c:pt idx="4">
                  <c:v>5.6000000000000001E-2</c:v>
                </c:pt>
                <c:pt idx="5">
                  <c:v>0.16771533333333299</c:v>
                </c:pt>
                <c:pt idx="6">
                  <c:v>5.6000000000000001E-2</c:v>
                </c:pt>
                <c:pt idx="7">
                  <c:v>5.6000000000000001E-2</c:v>
                </c:pt>
                <c:pt idx="8">
                  <c:v>5.6000000000000001E-2</c:v>
                </c:pt>
                <c:pt idx="9">
                  <c:v>0.16771533333333299</c:v>
                </c:pt>
                <c:pt idx="10">
                  <c:v>5.6000000000000001E-2</c:v>
                </c:pt>
                <c:pt idx="11">
                  <c:v>5.6000000000000001E-2</c:v>
                </c:pt>
                <c:pt idx="12">
                  <c:v>0.16771533333333299</c:v>
                </c:pt>
                <c:pt idx="13">
                  <c:v>5.6000000000000001E-2</c:v>
                </c:pt>
                <c:pt idx="14">
                  <c:v>0.12781699999999999</c:v>
                </c:pt>
                <c:pt idx="15">
                  <c:v>9.5898333333333405E-2</c:v>
                </c:pt>
                <c:pt idx="16">
                  <c:v>5.6000000000000001E-2</c:v>
                </c:pt>
                <c:pt idx="17">
                  <c:v>5.6000000000000001E-2</c:v>
                </c:pt>
                <c:pt idx="18">
                  <c:v>0.16771533333333299</c:v>
                </c:pt>
                <c:pt idx="19">
                  <c:v>5.6000000000000001E-2</c:v>
                </c:pt>
                <c:pt idx="20">
                  <c:v>0.12781699999999999</c:v>
                </c:pt>
                <c:pt idx="21">
                  <c:v>9.5898333333333405E-2</c:v>
                </c:pt>
                <c:pt idx="22">
                  <c:v>5.6000000000000001E-2</c:v>
                </c:pt>
                <c:pt idx="23">
                  <c:v>0.16771533333333299</c:v>
                </c:pt>
                <c:pt idx="24">
                  <c:v>5.6000000000000001E-2</c:v>
                </c:pt>
                <c:pt idx="25">
                  <c:v>5.6000000000000001E-2</c:v>
                </c:pt>
                <c:pt idx="26">
                  <c:v>5.6000000000000001E-2</c:v>
                </c:pt>
                <c:pt idx="27">
                  <c:v>0.16771533333333299</c:v>
                </c:pt>
                <c:pt idx="28">
                  <c:v>5.6000000000000001E-2</c:v>
                </c:pt>
                <c:pt idx="29">
                  <c:v>0.151756</c:v>
                </c:pt>
                <c:pt idx="30">
                  <c:v>7.1959333333333403E-2</c:v>
                </c:pt>
                <c:pt idx="31">
                  <c:v>5.6000000000000001E-2</c:v>
                </c:pt>
                <c:pt idx="32">
                  <c:v>0.16771533333333299</c:v>
                </c:pt>
                <c:pt idx="33">
                  <c:v>5.6000000000000001E-2</c:v>
                </c:pt>
                <c:pt idx="34">
                  <c:v>5.6000000000000001E-2</c:v>
                </c:pt>
                <c:pt idx="35">
                  <c:v>0.16771533333333299</c:v>
                </c:pt>
                <c:pt idx="36">
                  <c:v>5.6000000000000001E-2</c:v>
                </c:pt>
                <c:pt idx="37">
                  <c:v>5.6000000000000001E-2</c:v>
                </c:pt>
                <c:pt idx="38">
                  <c:v>5.6000000000000001E-2</c:v>
                </c:pt>
                <c:pt idx="39">
                  <c:v>0.203141666666667</c:v>
                </c:pt>
                <c:pt idx="40">
                  <c:v>0.20101666666666701</c:v>
                </c:pt>
                <c:pt idx="41">
                  <c:v>0.21578433333333299</c:v>
                </c:pt>
                <c:pt idx="42">
                  <c:v>0.289673666666667</c:v>
                </c:pt>
                <c:pt idx="43">
                  <c:v>0.23972433333333301</c:v>
                </c:pt>
                <c:pt idx="44">
                  <c:v>0.45039099999999999</c:v>
                </c:pt>
                <c:pt idx="45">
                  <c:v>0.31077966666666701</c:v>
                </c:pt>
                <c:pt idx="46">
                  <c:v>0.36795166666666701</c:v>
                </c:pt>
                <c:pt idx="47">
                  <c:v>0.62400733333333402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EFCD-459D-BFC7-D57988FF3B25}"/>
            </c:ext>
          </c:extLst>
        </c:ser>
        <c:ser>
          <c:idx val="71"/>
          <c:order val="71"/>
          <c:tx>
            <c:v>BES_TR8_five421_A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Demand_kW!$BV$2:$BV$49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4.8000000000000001E-2</c:v>
                </c:pt>
                <c:pt idx="2">
                  <c:v>4.8000000000000001E-2</c:v>
                </c:pt>
                <c:pt idx="3">
                  <c:v>4.8000000000000001E-2</c:v>
                </c:pt>
                <c:pt idx="4">
                  <c:v>4.8000000000000001E-2</c:v>
                </c:pt>
                <c:pt idx="5">
                  <c:v>4.8000000000000001E-2</c:v>
                </c:pt>
                <c:pt idx="6">
                  <c:v>4.8000000000000001E-2</c:v>
                </c:pt>
                <c:pt idx="7">
                  <c:v>4.8000000000000001E-2</c:v>
                </c:pt>
                <c:pt idx="8">
                  <c:v>4.8000000000000001E-2</c:v>
                </c:pt>
                <c:pt idx="9">
                  <c:v>4.8000000000000001E-2</c:v>
                </c:pt>
                <c:pt idx="10">
                  <c:v>4.8000000000000001E-2</c:v>
                </c:pt>
                <c:pt idx="11">
                  <c:v>4.8000000000000001E-2</c:v>
                </c:pt>
                <c:pt idx="12">
                  <c:v>4.8000000000000001E-2</c:v>
                </c:pt>
                <c:pt idx="13">
                  <c:v>4.8000000000000001E-2</c:v>
                </c:pt>
                <c:pt idx="14">
                  <c:v>4.8000000000000001E-2</c:v>
                </c:pt>
                <c:pt idx="15">
                  <c:v>4.8000000000000001E-2</c:v>
                </c:pt>
                <c:pt idx="16">
                  <c:v>4.8000000000000001E-2</c:v>
                </c:pt>
                <c:pt idx="17">
                  <c:v>4.8000000000000001E-2</c:v>
                </c:pt>
                <c:pt idx="18">
                  <c:v>0.337361666666667</c:v>
                </c:pt>
                <c:pt idx="19">
                  <c:v>0.39991793333333298</c:v>
                </c:pt>
                <c:pt idx="20">
                  <c:v>5.00892E-2</c:v>
                </c:pt>
                <c:pt idx="21">
                  <c:v>4.8000000000000001E-2</c:v>
                </c:pt>
                <c:pt idx="22">
                  <c:v>4.8000000000000001E-2</c:v>
                </c:pt>
                <c:pt idx="23">
                  <c:v>4.8000000000000001E-2</c:v>
                </c:pt>
                <c:pt idx="24">
                  <c:v>4.8000000000000001E-2</c:v>
                </c:pt>
                <c:pt idx="25">
                  <c:v>4.8000000000000001E-2</c:v>
                </c:pt>
                <c:pt idx="26">
                  <c:v>4.8000000000000001E-2</c:v>
                </c:pt>
                <c:pt idx="27">
                  <c:v>7.8204266666666605E-2</c:v>
                </c:pt>
                <c:pt idx="28">
                  <c:v>0.21789106666666699</c:v>
                </c:pt>
                <c:pt idx="29">
                  <c:v>0.50889866666666606</c:v>
                </c:pt>
                <c:pt idx="30">
                  <c:v>0.51470633333333304</c:v>
                </c:pt>
                <c:pt idx="31">
                  <c:v>6.0055999999999998E-2</c:v>
                </c:pt>
                <c:pt idx="32">
                  <c:v>6.4439999999999997E-2</c:v>
                </c:pt>
                <c:pt idx="33">
                  <c:v>5.9507999999999998E-2</c:v>
                </c:pt>
                <c:pt idx="34">
                  <c:v>7.3333333333333403E-2</c:v>
                </c:pt>
                <c:pt idx="35">
                  <c:v>0.13223033333333301</c:v>
                </c:pt>
                <c:pt idx="36">
                  <c:v>0.54496800000000001</c:v>
                </c:pt>
                <c:pt idx="37">
                  <c:v>0.46113053333333298</c:v>
                </c:pt>
                <c:pt idx="38">
                  <c:v>0.59462026666666701</c:v>
                </c:pt>
                <c:pt idx="39">
                  <c:v>0.491226</c:v>
                </c:pt>
                <c:pt idx="40">
                  <c:v>0.549769333333333</c:v>
                </c:pt>
                <c:pt idx="41">
                  <c:v>0.44009666666666702</c:v>
                </c:pt>
                <c:pt idx="42">
                  <c:v>0.60019666666666704</c:v>
                </c:pt>
                <c:pt idx="43">
                  <c:v>0.38672533333333398</c:v>
                </c:pt>
                <c:pt idx="44">
                  <c:v>0.51315066666666698</c:v>
                </c:pt>
                <c:pt idx="45">
                  <c:v>0.49411433333333299</c:v>
                </c:pt>
                <c:pt idx="46">
                  <c:v>0.67325433333333395</c:v>
                </c:pt>
                <c:pt idx="47">
                  <c:v>0.51275033333333297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EFCD-459D-BFC7-D57988FF3B25}"/>
            </c:ext>
          </c:extLst>
        </c:ser>
        <c:ser>
          <c:idx val="72"/>
          <c:order val="72"/>
          <c:tx>
            <c:v>BES_TR8_five488_B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Demand_kW!$BW$2:$BW$49</c:f>
              <c:numCache>
                <c:formatCode>#,##0.000</c:formatCode>
                <c:ptCount val="48"/>
                <c:pt idx="0">
                  <c:v>0.115378666666667</c:v>
                </c:pt>
                <c:pt idx="1">
                  <c:v>0.05</c:v>
                </c:pt>
                <c:pt idx="2">
                  <c:v>0.33160766666666702</c:v>
                </c:pt>
                <c:pt idx="3">
                  <c:v>7.4517E-2</c:v>
                </c:pt>
                <c:pt idx="4">
                  <c:v>0.209022666666667</c:v>
                </c:pt>
                <c:pt idx="5">
                  <c:v>0.197102</c:v>
                </c:pt>
                <c:pt idx="6">
                  <c:v>0.05</c:v>
                </c:pt>
                <c:pt idx="7">
                  <c:v>0.35612466666666698</c:v>
                </c:pt>
                <c:pt idx="8">
                  <c:v>0.05</c:v>
                </c:pt>
                <c:pt idx="9">
                  <c:v>0.274401333333333</c:v>
                </c:pt>
                <c:pt idx="10">
                  <c:v>0.131723333333333</c:v>
                </c:pt>
                <c:pt idx="11">
                  <c:v>0.05</c:v>
                </c:pt>
                <c:pt idx="12">
                  <c:v>0.139895666666667</c:v>
                </c:pt>
                <c:pt idx="13">
                  <c:v>0.17147899999999999</c:v>
                </c:pt>
                <c:pt idx="14">
                  <c:v>0.14474999999999999</c:v>
                </c:pt>
                <c:pt idx="15">
                  <c:v>0.25505800000000001</c:v>
                </c:pt>
                <c:pt idx="16">
                  <c:v>0.15106666666666699</c:v>
                </c:pt>
                <c:pt idx="17">
                  <c:v>0.173334666666667</c:v>
                </c:pt>
                <c:pt idx="18">
                  <c:v>0.58738366666666697</c:v>
                </c:pt>
                <c:pt idx="19">
                  <c:v>0.65253799999999995</c:v>
                </c:pt>
                <c:pt idx="20">
                  <c:v>0.37718933333333299</c:v>
                </c:pt>
                <c:pt idx="21">
                  <c:v>0.32131066666666602</c:v>
                </c:pt>
                <c:pt idx="22">
                  <c:v>0.24242466666666701</c:v>
                </c:pt>
                <c:pt idx="23">
                  <c:v>0.05</c:v>
                </c:pt>
                <c:pt idx="24">
                  <c:v>0.24988433333333299</c:v>
                </c:pt>
                <c:pt idx="25">
                  <c:v>0.15624033333333301</c:v>
                </c:pt>
                <c:pt idx="26">
                  <c:v>8.9146666666666693E-2</c:v>
                </c:pt>
                <c:pt idx="27">
                  <c:v>0.67326066666666695</c:v>
                </c:pt>
                <c:pt idx="28">
                  <c:v>0.15352209999999999</c:v>
                </c:pt>
                <c:pt idx="29">
                  <c:v>0.299510533333333</c:v>
                </c:pt>
                <c:pt idx="30">
                  <c:v>0.216472</c:v>
                </c:pt>
                <c:pt idx="31">
                  <c:v>0.35504200000000002</c:v>
                </c:pt>
                <c:pt idx="32">
                  <c:v>0.258027333333333</c:v>
                </c:pt>
                <c:pt idx="33">
                  <c:v>0.20251</c:v>
                </c:pt>
                <c:pt idx="34">
                  <c:v>0.63456100000000004</c:v>
                </c:pt>
                <c:pt idx="35">
                  <c:v>0.69134633333333395</c:v>
                </c:pt>
                <c:pt idx="36">
                  <c:v>0.16744000000000001</c:v>
                </c:pt>
                <c:pt idx="37">
                  <c:v>0.339907666666667</c:v>
                </c:pt>
                <c:pt idx="38">
                  <c:v>0.18075733333333299</c:v>
                </c:pt>
                <c:pt idx="39">
                  <c:v>0.16220066666666699</c:v>
                </c:pt>
                <c:pt idx="40">
                  <c:v>0.113166666666667</c:v>
                </c:pt>
                <c:pt idx="41">
                  <c:v>0.05</c:v>
                </c:pt>
                <c:pt idx="42">
                  <c:v>0.29260166666666698</c:v>
                </c:pt>
                <c:pt idx="43">
                  <c:v>0.113523</c:v>
                </c:pt>
                <c:pt idx="44">
                  <c:v>0.16480600000000001</c:v>
                </c:pt>
                <c:pt idx="45">
                  <c:v>0.24131866666666699</c:v>
                </c:pt>
                <c:pt idx="46">
                  <c:v>0.05</c:v>
                </c:pt>
                <c:pt idx="47">
                  <c:v>0.109811666666667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EFCD-459D-BFC7-D57988FF3B25}"/>
            </c:ext>
          </c:extLst>
        </c:ser>
        <c:ser>
          <c:idx val="73"/>
          <c:order val="73"/>
          <c:tx>
            <c:v>BES_TR8_five513_B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Demand_kW!$BX$2:$BX$49</c:f>
              <c:numCache>
                <c:formatCode>#,##0.000</c:formatCode>
                <c:ptCount val="48"/>
                <c:pt idx="0">
                  <c:v>0.12564</c:v>
                </c:pt>
                <c:pt idx="1">
                  <c:v>5.0999999999999997E-2</c:v>
                </c:pt>
                <c:pt idx="2">
                  <c:v>5.5146666666666698E-2</c:v>
                </c:pt>
                <c:pt idx="3">
                  <c:v>0.121493333333333</c:v>
                </c:pt>
                <c:pt idx="4">
                  <c:v>5.0999999999999997E-2</c:v>
                </c:pt>
                <c:pt idx="5">
                  <c:v>5.0999999999999997E-2</c:v>
                </c:pt>
                <c:pt idx="6">
                  <c:v>9.6613333333333301E-2</c:v>
                </c:pt>
                <c:pt idx="7">
                  <c:v>8.0026666666666704E-2</c:v>
                </c:pt>
                <c:pt idx="8">
                  <c:v>5.0999999999999997E-2</c:v>
                </c:pt>
                <c:pt idx="9">
                  <c:v>7.5880000000000003E-2</c:v>
                </c:pt>
                <c:pt idx="10">
                  <c:v>0.10076</c:v>
                </c:pt>
                <c:pt idx="11">
                  <c:v>5.0999999999999997E-2</c:v>
                </c:pt>
                <c:pt idx="12">
                  <c:v>5.0999999999999997E-2</c:v>
                </c:pt>
                <c:pt idx="13">
                  <c:v>5.0999999999999997E-2</c:v>
                </c:pt>
                <c:pt idx="14">
                  <c:v>5.0999999999999997E-2</c:v>
                </c:pt>
                <c:pt idx="15">
                  <c:v>0.12564</c:v>
                </c:pt>
                <c:pt idx="16">
                  <c:v>0.29752766666666702</c:v>
                </c:pt>
                <c:pt idx="17">
                  <c:v>0.40556500000000001</c:v>
                </c:pt>
                <c:pt idx="18">
                  <c:v>0.28055099999999999</c:v>
                </c:pt>
                <c:pt idx="19">
                  <c:v>0.237157433333333</c:v>
                </c:pt>
                <c:pt idx="20">
                  <c:v>6.0458400000000002E-2</c:v>
                </c:pt>
                <c:pt idx="21">
                  <c:v>6.3439999999999996E-2</c:v>
                </c:pt>
                <c:pt idx="22">
                  <c:v>0.1132</c:v>
                </c:pt>
                <c:pt idx="23">
                  <c:v>5.0999999999999997E-2</c:v>
                </c:pt>
                <c:pt idx="24">
                  <c:v>0.20408000000000001</c:v>
                </c:pt>
                <c:pt idx="25">
                  <c:v>0.21407999999999999</c:v>
                </c:pt>
                <c:pt idx="26">
                  <c:v>0.12764</c:v>
                </c:pt>
                <c:pt idx="27">
                  <c:v>5.0999999999999997E-2</c:v>
                </c:pt>
                <c:pt idx="28">
                  <c:v>7.1733333333333302E-2</c:v>
                </c:pt>
                <c:pt idx="29">
                  <c:v>0.104906666666667</c:v>
                </c:pt>
                <c:pt idx="30">
                  <c:v>5.0999999999999997E-2</c:v>
                </c:pt>
                <c:pt idx="31">
                  <c:v>5.0999999999999997E-2</c:v>
                </c:pt>
                <c:pt idx="32">
                  <c:v>0.12564</c:v>
                </c:pt>
                <c:pt idx="33">
                  <c:v>5.0999999999999997E-2</c:v>
                </c:pt>
                <c:pt idx="34">
                  <c:v>0.109053333333333</c:v>
                </c:pt>
                <c:pt idx="35">
                  <c:v>6.7586666666666601E-2</c:v>
                </c:pt>
                <c:pt idx="36">
                  <c:v>9.6613333333333301E-2</c:v>
                </c:pt>
                <c:pt idx="37">
                  <c:v>8.0026666666666704E-2</c:v>
                </c:pt>
                <c:pt idx="38">
                  <c:v>5.0999999999999997E-2</c:v>
                </c:pt>
                <c:pt idx="39">
                  <c:v>5.0999999999999997E-2</c:v>
                </c:pt>
                <c:pt idx="40">
                  <c:v>8.8319999999999996E-2</c:v>
                </c:pt>
                <c:pt idx="41">
                  <c:v>8.8319999999999996E-2</c:v>
                </c:pt>
                <c:pt idx="42">
                  <c:v>5.0999999999999997E-2</c:v>
                </c:pt>
                <c:pt idx="43">
                  <c:v>0.12564</c:v>
                </c:pt>
                <c:pt idx="44">
                  <c:v>5.0999999999999997E-2</c:v>
                </c:pt>
                <c:pt idx="45">
                  <c:v>0.12564</c:v>
                </c:pt>
                <c:pt idx="46">
                  <c:v>5.0999999999999997E-2</c:v>
                </c:pt>
                <c:pt idx="47">
                  <c:v>5.0999999999999997E-2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EFCD-459D-BFC7-D57988FF3B25}"/>
            </c:ext>
          </c:extLst>
        </c:ser>
        <c:ser>
          <c:idx val="74"/>
          <c:order val="74"/>
          <c:tx>
            <c:v>BES_TR8_five537_C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Demand_kW!$BY$2:$BY$49</c:f>
              <c:numCache>
                <c:formatCode>#,##0.000</c:formatCode>
                <c:ptCount val="48"/>
                <c:pt idx="0">
                  <c:v>0.27143133333333302</c:v>
                </c:pt>
                <c:pt idx="1">
                  <c:v>8.3636000000000002E-2</c:v>
                </c:pt>
                <c:pt idx="2">
                  <c:v>0.183862</c:v>
                </c:pt>
                <c:pt idx="3">
                  <c:v>5.5E-2</c:v>
                </c:pt>
                <c:pt idx="4">
                  <c:v>0.14090800000000001</c:v>
                </c:pt>
                <c:pt idx="5">
                  <c:v>0.12659000000000001</c:v>
                </c:pt>
                <c:pt idx="6">
                  <c:v>5.5E-2</c:v>
                </c:pt>
                <c:pt idx="7">
                  <c:v>0.13374900000000001</c:v>
                </c:pt>
                <c:pt idx="8">
                  <c:v>0.13374900000000001</c:v>
                </c:pt>
                <c:pt idx="9">
                  <c:v>5.5E-2</c:v>
                </c:pt>
                <c:pt idx="10">
                  <c:v>0.176703</c:v>
                </c:pt>
                <c:pt idx="11">
                  <c:v>9.0795000000000001E-2</c:v>
                </c:pt>
                <c:pt idx="12">
                  <c:v>5.5E-2</c:v>
                </c:pt>
                <c:pt idx="13">
                  <c:v>0.162385</c:v>
                </c:pt>
                <c:pt idx="14">
                  <c:v>0.105113</c:v>
                </c:pt>
                <c:pt idx="15">
                  <c:v>0.100856666666667</c:v>
                </c:pt>
                <c:pt idx="16">
                  <c:v>1.177975</c:v>
                </c:pt>
                <c:pt idx="17">
                  <c:v>0.27131899999999998</c:v>
                </c:pt>
                <c:pt idx="18">
                  <c:v>1.36513366666667</c:v>
                </c:pt>
                <c:pt idx="19">
                  <c:v>2.9296150000000001</c:v>
                </c:pt>
                <c:pt idx="20">
                  <c:v>1.8908463333333301</c:v>
                </c:pt>
                <c:pt idx="21">
                  <c:v>1.6855946666666699</c:v>
                </c:pt>
                <c:pt idx="22">
                  <c:v>8.4704000000000002E-2</c:v>
                </c:pt>
                <c:pt idx="23">
                  <c:v>0.28084999999999999</c:v>
                </c:pt>
                <c:pt idx="24">
                  <c:v>0.14665966666666699</c:v>
                </c:pt>
                <c:pt idx="25">
                  <c:v>0.30598633333333303</c:v>
                </c:pt>
                <c:pt idx="26">
                  <c:v>0.22350400000000001</c:v>
                </c:pt>
                <c:pt idx="27">
                  <c:v>1.72858166666667</c:v>
                </c:pt>
                <c:pt idx="28">
                  <c:v>2.4446180000000002</c:v>
                </c:pt>
                <c:pt idx="29">
                  <c:v>0.94939466666666605</c:v>
                </c:pt>
                <c:pt idx="30">
                  <c:v>1.82686033333333</c:v>
                </c:pt>
                <c:pt idx="31">
                  <c:v>0.35682999999999998</c:v>
                </c:pt>
                <c:pt idx="32">
                  <c:v>0.35346</c:v>
                </c:pt>
                <c:pt idx="33">
                  <c:v>0.44747466666666702</c:v>
                </c:pt>
                <c:pt idx="34">
                  <c:v>0.61395666666666704</c:v>
                </c:pt>
                <c:pt idx="35">
                  <c:v>1.19795233333333</c:v>
                </c:pt>
                <c:pt idx="36">
                  <c:v>1.0537138666666701</c:v>
                </c:pt>
                <c:pt idx="37">
                  <c:v>0.23819173333333299</c:v>
                </c:pt>
                <c:pt idx="38">
                  <c:v>0.20078733333333301</c:v>
                </c:pt>
                <c:pt idx="39">
                  <c:v>0.169544</c:v>
                </c:pt>
                <c:pt idx="40">
                  <c:v>5.5E-2</c:v>
                </c:pt>
                <c:pt idx="41">
                  <c:v>0.21249799999999999</c:v>
                </c:pt>
                <c:pt idx="42">
                  <c:v>5.5E-2</c:v>
                </c:pt>
                <c:pt idx="43">
                  <c:v>5.5E-2</c:v>
                </c:pt>
                <c:pt idx="44">
                  <c:v>0.245608666666667</c:v>
                </c:pt>
                <c:pt idx="45">
                  <c:v>0.41196733333333302</c:v>
                </c:pt>
                <c:pt idx="46">
                  <c:v>0.24084666666666699</c:v>
                </c:pt>
                <c:pt idx="47">
                  <c:v>0.44744299999999998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EFCD-459D-BFC7-D57988FF3B25}"/>
            </c:ext>
          </c:extLst>
        </c:ser>
        <c:ser>
          <c:idx val="75"/>
          <c:order val="75"/>
          <c:tx>
            <c:v>BES_TR8_five540_A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Demand_kW!$BZ$2:$BZ$49</c:f>
              <c:numCache>
                <c:formatCode>#,##0.000</c:formatCode>
                <c:ptCount val="48"/>
                <c:pt idx="0">
                  <c:v>4.2999999999999997E-2</c:v>
                </c:pt>
                <c:pt idx="1">
                  <c:v>0.211454</c:v>
                </c:pt>
                <c:pt idx="2">
                  <c:v>4.2999999999999997E-2</c:v>
                </c:pt>
                <c:pt idx="3">
                  <c:v>0.16551199999999999</c:v>
                </c:pt>
                <c:pt idx="4">
                  <c:v>8.8942000000000104E-2</c:v>
                </c:pt>
                <c:pt idx="5">
                  <c:v>5.8313999999999998E-2</c:v>
                </c:pt>
                <c:pt idx="6">
                  <c:v>0.19614000000000001</c:v>
                </c:pt>
                <c:pt idx="7">
                  <c:v>4.2999999999999997E-2</c:v>
                </c:pt>
                <c:pt idx="8">
                  <c:v>0.211454</c:v>
                </c:pt>
                <c:pt idx="9">
                  <c:v>4.2999999999999997E-2</c:v>
                </c:pt>
                <c:pt idx="10">
                  <c:v>0.134884</c:v>
                </c:pt>
                <c:pt idx="11">
                  <c:v>0.11957</c:v>
                </c:pt>
                <c:pt idx="12">
                  <c:v>5.0657000000000001E-2</c:v>
                </c:pt>
                <c:pt idx="13">
                  <c:v>0.20379700000000001</c:v>
                </c:pt>
                <c:pt idx="14">
                  <c:v>5.3024666666666602E-2</c:v>
                </c:pt>
                <c:pt idx="15">
                  <c:v>0.152562633333333</c:v>
                </c:pt>
                <c:pt idx="16">
                  <c:v>0.16242166666666699</c:v>
                </c:pt>
                <c:pt idx="17">
                  <c:v>0.16505600000000001</c:v>
                </c:pt>
                <c:pt idx="18">
                  <c:v>0.28651450000000001</c:v>
                </c:pt>
                <c:pt idx="19">
                  <c:v>5.1520966666666598E-2</c:v>
                </c:pt>
                <c:pt idx="20">
                  <c:v>4.2999999999999997E-2</c:v>
                </c:pt>
                <c:pt idx="21">
                  <c:v>9.6599000000000004E-2</c:v>
                </c:pt>
                <c:pt idx="22">
                  <c:v>0.157855</c:v>
                </c:pt>
                <c:pt idx="23">
                  <c:v>4.2999999999999997E-2</c:v>
                </c:pt>
                <c:pt idx="24">
                  <c:v>0.267092</c:v>
                </c:pt>
                <c:pt idx="25">
                  <c:v>0.12249</c:v>
                </c:pt>
                <c:pt idx="26">
                  <c:v>1.1124130000000001</c:v>
                </c:pt>
                <c:pt idx="27">
                  <c:v>0.104256</c:v>
                </c:pt>
                <c:pt idx="28">
                  <c:v>4.2999999999999997E-2</c:v>
                </c:pt>
                <c:pt idx="29">
                  <c:v>4.2999999999999997E-2</c:v>
                </c:pt>
                <c:pt idx="30">
                  <c:v>0.16551199999999999</c:v>
                </c:pt>
                <c:pt idx="31">
                  <c:v>0.74804199999999998</c:v>
                </c:pt>
                <c:pt idx="32">
                  <c:v>0.27508126666666699</c:v>
                </c:pt>
                <c:pt idx="33">
                  <c:v>0.32783980000000001</c:v>
                </c:pt>
                <c:pt idx="34">
                  <c:v>0.161031333333333</c:v>
                </c:pt>
                <c:pt idx="35">
                  <c:v>0.23411933333333301</c:v>
                </c:pt>
                <c:pt idx="36">
                  <c:v>0.143136033333333</c:v>
                </c:pt>
                <c:pt idx="37">
                  <c:v>0.381774</c:v>
                </c:pt>
                <c:pt idx="38">
                  <c:v>0.50558756666666704</c:v>
                </c:pt>
                <c:pt idx="39">
                  <c:v>0.65409799999999996</c:v>
                </c:pt>
                <c:pt idx="40">
                  <c:v>1.07039366666667</c:v>
                </c:pt>
                <c:pt idx="41">
                  <c:v>0.201272333333333</c:v>
                </c:pt>
                <c:pt idx="42">
                  <c:v>0.34762733333333301</c:v>
                </c:pt>
                <c:pt idx="43">
                  <c:v>0.220323666666667</c:v>
                </c:pt>
                <c:pt idx="44">
                  <c:v>0.42357566666666702</c:v>
                </c:pt>
                <c:pt idx="45">
                  <c:v>0.262984</c:v>
                </c:pt>
                <c:pt idx="46">
                  <c:v>0.31655066666666698</c:v>
                </c:pt>
                <c:pt idx="47">
                  <c:v>4.2999999999999997E-2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EFCD-459D-BFC7-D57988FF3B25}"/>
            </c:ext>
          </c:extLst>
        </c:ser>
        <c:ser>
          <c:idx val="76"/>
          <c:order val="76"/>
          <c:tx>
            <c:v>BES_TR8_five551_C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Demand_kW!$CA$2:$CA$49</c:f>
              <c:numCache>
                <c:formatCode>#,##0.000</c:formatCode>
                <c:ptCount val="48"/>
                <c:pt idx="0">
                  <c:v>5.7000000000000002E-2</c:v>
                </c:pt>
                <c:pt idx="1">
                  <c:v>5.7000000000000002E-2</c:v>
                </c:pt>
                <c:pt idx="2">
                  <c:v>5.7000000000000002E-2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5.7000000000000002E-2</c:v>
                </c:pt>
                <c:pt idx="6">
                  <c:v>5.7000000000000002E-2</c:v>
                </c:pt>
                <c:pt idx="7">
                  <c:v>5.7000000000000002E-2</c:v>
                </c:pt>
                <c:pt idx="8">
                  <c:v>5.7000000000000002E-2</c:v>
                </c:pt>
                <c:pt idx="9">
                  <c:v>5.7000000000000002E-2</c:v>
                </c:pt>
                <c:pt idx="10">
                  <c:v>5.7000000000000002E-2</c:v>
                </c:pt>
                <c:pt idx="11">
                  <c:v>5.7000000000000002E-2</c:v>
                </c:pt>
                <c:pt idx="12">
                  <c:v>5.7000000000000002E-2</c:v>
                </c:pt>
                <c:pt idx="13">
                  <c:v>7.0131666666666606E-2</c:v>
                </c:pt>
                <c:pt idx="14">
                  <c:v>0.163432666666667</c:v>
                </c:pt>
                <c:pt idx="15">
                  <c:v>0.14505000000000001</c:v>
                </c:pt>
                <c:pt idx="16">
                  <c:v>1.0587583333333299</c:v>
                </c:pt>
                <c:pt idx="17">
                  <c:v>0.239493333333333</c:v>
                </c:pt>
                <c:pt idx="18">
                  <c:v>0.19646</c:v>
                </c:pt>
                <c:pt idx="19">
                  <c:v>0.18645999999999999</c:v>
                </c:pt>
                <c:pt idx="20">
                  <c:v>5.7000000000000002E-2</c:v>
                </c:pt>
                <c:pt idx="21">
                  <c:v>5.7000000000000002E-2</c:v>
                </c:pt>
                <c:pt idx="22">
                  <c:v>5.7000000000000002E-2</c:v>
                </c:pt>
                <c:pt idx="23">
                  <c:v>5.7000000000000002E-2</c:v>
                </c:pt>
                <c:pt idx="24">
                  <c:v>5.7000000000000002E-2</c:v>
                </c:pt>
                <c:pt idx="25">
                  <c:v>5.7000000000000002E-2</c:v>
                </c:pt>
                <c:pt idx="26">
                  <c:v>5.7000000000000002E-2</c:v>
                </c:pt>
                <c:pt idx="27">
                  <c:v>5.7000000000000002E-2</c:v>
                </c:pt>
                <c:pt idx="28">
                  <c:v>5.7000000000000002E-2</c:v>
                </c:pt>
                <c:pt idx="29">
                  <c:v>0.210887666666667</c:v>
                </c:pt>
                <c:pt idx="30">
                  <c:v>0.20549999999999999</c:v>
                </c:pt>
                <c:pt idx="31">
                  <c:v>0.20815600000000001</c:v>
                </c:pt>
                <c:pt idx="32">
                  <c:v>0.18576400000000001</c:v>
                </c:pt>
                <c:pt idx="33">
                  <c:v>0.24176500000000001</c:v>
                </c:pt>
                <c:pt idx="34">
                  <c:v>0.252392333333333</c:v>
                </c:pt>
                <c:pt idx="35">
                  <c:v>0.22009999999999999</c:v>
                </c:pt>
                <c:pt idx="36">
                  <c:v>0.116369</c:v>
                </c:pt>
                <c:pt idx="37">
                  <c:v>0.146315466666667</c:v>
                </c:pt>
                <c:pt idx="38">
                  <c:v>0.333011733333333</c:v>
                </c:pt>
                <c:pt idx="39">
                  <c:v>0.41708299999999998</c:v>
                </c:pt>
                <c:pt idx="40">
                  <c:v>0.25171233333333298</c:v>
                </c:pt>
                <c:pt idx="41">
                  <c:v>0.187266666666667</c:v>
                </c:pt>
                <c:pt idx="42">
                  <c:v>0.30234533333333302</c:v>
                </c:pt>
                <c:pt idx="43">
                  <c:v>0.344856</c:v>
                </c:pt>
                <c:pt idx="44">
                  <c:v>0.299439333333333</c:v>
                </c:pt>
                <c:pt idx="45">
                  <c:v>0.32107666666666701</c:v>
                </c:pt>
                <c:pt idx="46">
                  <c:v>5.7000000000000002E-2</c:v>
                </c:pt>
                <c:pt idx="47">
                  <c:v>5.7000000000000002E-2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EFCD-459D-BFC7-D57988FF3B25}"/>
            </c:ext>
          </c:extLst>
        </c:ser>
        <c:ser>
          <c:idx val="77"/>
          <c:order val="77"/>
          <c:tx>
            <c:v>BES_TR8_five631_B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Demand_kW!$CB$2:$CB$49</c:f>
              <c:numCache>
                <c:formatCode>#,##0.000</c:formatCode>
                <c:ptCount val="48"/>
                <c:pt idx="0">
                  <c:v>0.16150666666666699</c:v>
                </c:pt>
                <c:pt idx="1">
                  <c:v>0.13958000000000001</c:v>
                </c:pt>
                <c:pt idx="2">
                  <c:v>0.193201333333333</c:v>
                </c:pt>
                <c:pt idx="3">
                  <c:v>0.15567666666666699</c:v>
                </c:pt>
                <c:pt idx="4">
                  <c:v>0.124928</c:v>
                </c:pt>
                <c:pt idx="5">
                  <c:v>0.17566000000000001</c:v>
                </c:pt>
                <c:pt idx="6">
                  <c:v>0.10494466666666701</c:v>
                </c:pt>
                <c:pt idx="7">
                  <c:v>0.17954666666666699</c:v>
                </c:pt>
                <c:pt idx="8">
                  <c:v>6.7144999999999996E-2</c:v>
                </c:pt>
                <c:pt idx="9">
                  <c:v>0.28173300000000001</c:v>
                </c:pt>
                <c:pt idx="10">
                  <c:v>4.2999999999999997E-2</c:v>
                </c:pt>
                <c:pt idx="11">
                  <c:v>0.24443200000000001</c:v>
                </c:pt>
                <c:pt idx="12">
                  <c:v>0.104446</c:v>
                </c:pt>
                <c:pt idx="13">
                  <c:v>4.2999999999999997E-2</c:v>
                </c:pt>
                <c:pt idx="14">
                  <c:v>0.21223866666666699</c:v>
                </c:pt>
                <c:pt idx="15">
                  <c:v>0.136639333333333</c:v>
                </c:pt>
                <c:pt idx="16">
                  <c:v>4.2999999999999997E-2</c:v>
                </c:pt>
                <c:pt idx="17">
                  <c:v>0.30587799999999998</c:v>
                </c:pt>
                <c:pt idx="18">
                  <c:v>0.26051999999999997</c:v>
                </c:pt>
                <c:pt idx="19">
                  <c:v>0.23832700000000001</c:v>
                </c:pt>
                <c:pt idx="20">
                  <c:v>0.110551</c:v>
                </c:pt>
                <c:pt idx="21">
                  <c:v>6.3481999999999997E-2</c:v>
                </c:pt>
                <c:pt idx="22">
                  <c:v>0.36749266666666702</c:v>
                </c:pt>
                <c:pt idx="23">
                  <c:v>1.55582</c:v>
                </c:pt>
                <c:pt idx="24">
                  <c:v>0.25452000000000002</c:v>
                </c:pt>
                <c:pt idx="25">
                  <c:v>0.30587799999999998</c:v>
                </c:pt>
                <c:pt idx="26">
                  <c:v>0.10689333333333299</c:v>
                </c:pt>
                <c:pt idx="27">
                  <c:v>0.22222</c:v>
                </c:pt>
                <c:pt idx="28">
                  <c:v>0.30403533333333299</c:v>
                </c:pt>
                <c:pt idx="29">
                  <c:v>5.7439866666666603E-2</c:v>
                </c:pt>
                <c:pt idx="30">
                  <c:v>0.147628333333333</c:v>
                </c:pt>
                <c:pt idx="31">
                  <c:v>5.10483333333333E-2</c:v>
                </c:pt>
                <c:pt idx="32">
                  <c:v>0.14541000000000001</c:v>
                </c:pt>
                <c:pt idx="33">
                  <c:v>0.14712966666666699</c:v>
                </c:pt>
                <c:pt idx="34">
                  <c:v>9.9338333333333501E-2</c:v>
                </c:pt>
                <c:pt idx="35">
                  <c:v>0.12358066666666701</c:v>
                </c:pt>
                <c:pt idx="36">
                  <c:v>0.24580866666666701</c:v>
                </c:pt>
                <c:pt idx="37">
                  <c:v>5.7166666666666699E-2</c:v>
                </c:pt>
                <c:pt idx="38">
                  <c:v>0.64743333333333397</c:v>
                </c:pt>
                <c:pt idx="39">
                  <c:v>1.0318750000000001</c:v>
                </c:pt>
                <c:pt idx="40">
                  <c:v>0.30369866666666701</c:v>
                </c:pt>
                <c:pt idx="41">
                  <c:v>0.52384866666666696</c:v>
                </c:pt>
                <c:pt idx="42">
                  <c:v>1.496116</c:v>
                </c:pt>
                <c:pt idx="43">
                  <c:v>0.19749466666666701</c:v>
                </c:pt>
                <c:pt idx="44">
                  <c:v>0.193201333333333</c:v>
                </c:pt>
                <c:pt idx="45">
                  <c:v>0.15567666666666699</c:v>
                </c:pt>
                <c:pt idx="46">
                  <c:v>4.98273333333333E-2</c:v>
                </c:pt>
                <c:pt idx="47">
                  <c:v>0.194422333333333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EFCD-459D-BFC7-D57988FF3B25}"/>
            </c:ext>
          </c:extLst>
        </c:ser>
        <c:ser>
          <c:idx val="78"/>
          <c:order val="78"/>
          <c:tx>
            <c:v>BES_TR8_five649_A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Demand_kW!$CC$2:$CC$49</c:f>
              <c:numCache>
                <c:formatCode>#,##0.000</c:formatCode>
                <c:ptCount val="48"/>
                <c:pt idx="0">
                  <c:v>0.205302333333333</c:v>
                </c:pt>
                <c:pt idx="1">
                  <c:v>5.1999999999999998E-2</c:v>
                </c:pt>
                <c:pt idx="2">
                  <c:v>0.198367666666667</c:v>
                </c:pt>
                <c:pt idx="3">
                  <c:v>0.121218333333333</c:v>
                </c:pt>
                <c:pt idx="4">
                  <c:v>0.13296666666666701</c:v>
                </c:pt>
                <c:pt idx="5">
                  <c:v>0.186619333333333</c:v>
                </c:pt>
                <c:pt idx="6">
                  <c:v>5.1999999999999998E-2</c:v>
                </c:pt>
                <c:pt idx="7">
                  <c:v>5.1999999999999998E-2</c:v>
                </c:pt>
                <c:pt idx="8">
                  <c:v>0.16051399999999999</c:v>
                </c:pt>
                <c:pt idx="9">
                  <c:v>0.15907199999999999</c:v>
                </c:pt>
                <c:pt idx="10">
                  <c:v>9.6788333333333407E-2</c:v>
                </c:pt>
                <c:pt idx="11">
                  <c:v>0.222797666666667</c:v>
                </c:pt>
                <c:pt idx="12">
                  <c:v>7.6429999999999998E-2</c:v>
                </c:pt>
                <c:pt idx="13">
                  <c:v>0.10086000000000001</c:v>
                </c:pt>
                <c:pt idx="14">
                  <c:v>0.21618100000000001</c:v>
                </c:pt>
                <c:pt idx="15">
                  <c:v>7.6429999999999998E-2</c:v>
                </c:pt>
                <c:pt idx="16">
                  <c:v>0.17200799999999999</c:v>
                </c:pt>
                <c:pt idx="17">
                  <c:v>0.12314799999999999</c:v>
                </c:pt>
                <c:pt idx="18">
                  <c:v>6.0143333333333403E-2</c:v>
                </c:pt>
                <c:pt idx="19">
                  <c:v>0.117146666666667</c:v>
                </c:pt>
                <c:pt idx="20">
                  <c:v>5.1999999999999998E-2</c:v>
                </c:pt>
                <c:pt idx="21">
                  <c:v>0.17991799999999999</c:v>
                </c:pt>
                <c:pt idx="22">
                  <c:v>0.13966799999999999</c:v>
                </c:pt>
                <c:pt idx="23">
                  <c:v>0.11668000000000001</c:v>
                </c:pt>
                <c:pt idx="24">
                  <c:v>0.228126</c:v>
                </c:pt>
                <c:pt idx="25">
                  <c:v>9.6395333333333402E-2</c:v>
                </c:pt>
                <c:pt idx="26">
                  <c:v>0.33125733333333302</c:v>
                </c:pt>
                <c:pt idx="27">
                  <c:v>0.144309033333333</c:v>
                </c:pt>
                <c:pt idx="28">
                  <c:v>0.15408683333333301</c:v>
                </c:pt>
                <c:pt idx="29">
                  <c:v>0.918188</c:v>
                </c:pt>
                <c:pt idx="30">
                  <c:v>0.1794905</c:v>
                </c:pt>
                <c:pt idx="31">
                  <c:v>0.61224400000000101</c:v>
                </c:pt>
                <c:pt idx="32">
                  <c:v>0.12577766666666701</c:v>
                </c:pt>
                <c:pt idx="33">
                  <c:v>9.6788333333333407E-2</c:v>
                </c:pt>
                <c:pt idx="34">
                  <c:v>0.206511</c:v>
                </c:pt>
                <c:pt idx="35">
                  <c:v>0.13713649999999999</c:v>
                </c:pt>
                <c:pt idx="36">
                  <c:v>0.172985</c:v>
                </c:pt>
                <c:pt idx="37">
                  <c:v>0.32139716666666701</c:v>
                </c:pt>
                <c:pt idx="38">
                  <c:v>0.155945633333333</c:v>
                </c:pt>
                <c:pt idx="39">
                  <c:v>0.38399499999999998</c:v>
                </c:pt>
                <c:pt idx="40">
                  <c:v>0.36042566666666698</c:v>
                </c:pt>
                <c:pt idx="41">
                  <c:v>0.37977233333333299</c:v>
                </c:pt>
                <c:pt idx="42">
                  <c:v>0.47324366666666701</c:v>
                </c:pt>
                <c:pt idx="43">
                  <c:v>0.297841666666667</c:v>
                </c:pt>
                <c:pt idx="44">
                  <c:v>0.27103466666666698</c:v>
                </c:pt>
                <c:pt idx="45">
                  <c:v>0.45135399999999998</c:v>
                </c:pt>
                <c:pt idx="46">
                  <c:v>0.110212</c:v>
                </c:pt>
                <c:pt idx="47">
                  <c:v>5.1999999999999998E-2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EFCD-459D-BFC7-D57988FF3B25}"/>
            </c:ext>
          </c:extLst>
        </c:ser>
        <c:ser>
          <c:idx val="79"/>
          <c:order val="79"/>
          <c:tx>
            <c:v>BES_TR8_five663_C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Demand_kW!$CD$2:$CD$49</c:f>
              <c:numCache>
                <c:formatCode>#,##0.000</c:formatCode>
                <c:ptCount val="48"/>
                <c:pt idx="0">
                  <c:v>0.119498666666667</c:v>
                </c:pt>
                <c:pt idx="1">
                  <c:v>5.2999999999999999E-2</c:v>
                </c:pt>
                <c:pt idx="2">
                  <c:v>0.306097333333334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0.306097333333333</c:v>
                </c:pt>
                <c:pt idx="6">
                  <c:v>5.2999999999999999E-2</c:v>
                </c:pt>
                <c:pt idx="7">
                  <c:v>0.20977533333333301</c:v>
                </c:pt>
                <c:pt idx="8">
                  <c:v>0.14932200000000001</c:v>
                </c:pt>
                <c:pt idx="9">
                  <c:v>0.13723133333333301</c:v>
                </c:pt>
                <c:pt idx="10">
                  <c:v>0.22186600000000001</c:v>
                </c:pt>
                <c:pt idx="11">
                  <c:v>5.2999999999999999E-2</c:v>
                </c:pt>
                <c:pt idx="12">
                  <c:v>5.2999999999999999E-2</c:v>
                </c:pt>
                <c:pt idx="13">
                  <c:v>0.16109000000000001</c:v>
                </c:pt>
                <c:pt idx="14">
                  <c:v>0.17382600000000001</c:v>
                </c:pt>
                <c:pt idx="15">
                  <c:v>0.12522133333333299</c:v>
                </c:pt>
                <c:pt idx="16">
                  <c:v>0.12506</c:v>
                </c:pt>
                <c:pt idx="17">
                  <c:v>0.18599733333333299</c:v>
                </c:pt>
                <c:pt idx="18">
                  <c:v>0.13707</c:v>
                </c:pt>
                <c:pt idx="19">
                  <c:v>0.22202733333333299</c:v>
                </c:pt>
                <c:pt idx="20">
                  <c:v>0.13442100000000001</c:v>
                </c:pt>
                <c:pt idx="21">
                  <c:v>7.7581666666666604E-2</c:v>
                </c:pt>
                <c:pt idx="22">
                  <c:v>0.35839733333333301</c:v>
                </c:pt>
                <c:pt idx="23">
                  <c:v>0.94413873333333298</c:v>
                </c:pt>
                <c:pt idx="24">
                  <c:v>0.30632160000000003</c:v>
                </c:pt>
                <c:pt idx="25">
                  <c:v>0.18789486666666699</c:v>
                </c:pt>
                <c:pt idx="26">
                  <c:v>0.13854333333333299</c:v>
                </c:pt>
                <c:pt idx="27">
                  <c:v>0.29408733333333398</c:v>
                </c:pt>
                <c:pt idx="28">
                  <c:v>5.2999999999999999E-2</c:v>
                </c:pt>
                <c:pt idx="29">
                  <c:v>0.107206333333333</c:v>
                </c:pt>
                <c:pt idx="30">
                  <c:v>0.25189099999999998</c:v>
                </c:pt>
                <c:pt idx="31">
                  <c:v>5.2999999999999999E-2</c:v>
                </c:pt>
                <c:pt idx="32">
                  <c:v>0.26982533333333297</c:v>
                </c:pt>
                <c:pt idx="33">
                  <c:v>8.9272000000000004E-2</c:v>
                </c:pt>
                <c:pt idx="34">
                  <c:v>6.5090666666666699E-2</c:v>
                </c:pt>
                <c:pt idx="35">
                  <c:v>0.36424000000000001</c:v>
                </c:pt>
                <c:pt idx="36">
                  <c:v>1.1314200000000001</c:v>
                </c:pt>
                <c:pt idx="37">
                  <c:v>0.29736000000000001</c:v>
                </c:pt>
                <c:pt idx="38">
                  <c:v>0.33272233333333301</c:v>
                </c:pt>
                <c:pt idx="39">
                  <c:v>0.48189433333333298</c:v>
                </c:pt>
                <c:pt idx="40">
                  <c:v>0.51244000000000001</c:v>
                </c:pt>
                <c:pt idx="41">
                  <c:v>0.79746399999999995</c:v>
                </c:pt>
                <c:pt idx="42">
                  <c:v>0.71712266666666602</c:v>
                </c:pt>
                <c:pt idx="43">
                  <c:v>0.119498666666667</c:v>
                </c:pt>
                <c:pt idx="44">
                  <c:v>0.119498666666667</c:v>
                </c:pt>
                <c:pt idx="45">
                  <c:v>0.16709499999999999</c:v>
                </c:pt>
                <c:pt idx="46">
                  <c:v>0.33498386666666702</c:v>
                </c:pt>
                <c:pt idx="47">
                  <c:v>0.12804726666666699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EFCD-459D-BFC7-D57988FF3B25}"/>
            </c:ext>
          </c:extLst>
        </c:ser>
        <c:ser>
          <c:idx val="80"/>
          <c:order val="80"/>
          <c:tx>
            <c:v>BES_TR8_five670_C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Demand_kW!$CE$2:$CE$49</c:f>
              <c:numCache>
                <c:formatCode>#,##0.000</c:formatCode>
                <c:ptCount val="48"/>
                <c:pt idx="0">
                  <c:v>4.5999999999999999E-2</c:v>
                </c:pt>
                <c:pt idx="1">
                  <c:v>4.5999999999999999E-2</c:v>
                </c:pt>
                <c:pt idx="2">
                  <c:v>4.5999999999999999E-2</c:v>
                </c:pt>
                <c:pt idx="3">
                  <c:v>4.5999999999999999E-2</c:v>
                </c:pt>
                <c:pt idx="4">
                  <c:v>4.5999999999999999E-2</c:v>
                </c:pt>
                <c:pt idx="5">
                  <c:v>4.5999999999999999E-2</c:v>
                </c:pt>
                <c:pt idx="6">
                  <c:v>4.5999999999999999E-2</c:v>
                </c:pt>
                <c:pt idx="7">
                  <c:v>4.5999999999999999E-2</c:v>
                </c:pt>
                <c:pt idx="8">
                  <c:v>4.5999999999999999E-2</c:v>
                </c:pt>
                <c:pt idx="9">
                  <c:v>4.5999999999999999E-2</c:v>
                </c:pt>
                <c:pt idx="10">
                  <c:v>4.5999999999999999E-2</c:v>
                </c:pt>
                <c:pt idx="11">
                  <c:v>4.5999999999999999E-2</c:v>
                </c:pt>
                <c:pt idx="12">
                  <c:v>4.5999999999999999E-2</c:v>
                </c:pt>
                <c:pt idx="13">
                  <c:v>4.5999999999999999E-2</c:v>
                </c:pt>
                <c:pt idx="14">
                  <c:v>0.190826</c:v>
                </c:pt>
                <c:pt idx="15">
                  <c:v>4.9363499999999998E-2</c:v>
                </c:pt>
                <c:pt idx="16">
                  <c:v>4.5999999999999999E-2</c:v>
                </c:pt>
                <c:pt idx="17">
                  <c:v>4.5999999999999999E-2</c:v>
                </c:pt>
                <c:pt idx="18">
                  <c:v>4.5999999999999999E-2</c:v>
                </c:pt>
                <c:pt idx="19">
                  <c:v>4.5999999999999999E-2</c:v>
                </c:pt>
                <c:pt idx="20">
                  <c:v>4.5999999999999999E-2</c:v>
                </c:pt>
                <c:pt idx="21">
                  <c:v>4.5999999999999999E-2</c:v>
                </c:pt>
                <c:pt idx="22">
                  <c:v>4.5999999999999999E-2</c:v>
                </c:pt>
                <c:pt idx="23">
                  <c:v>4.5999999999999999E-2</c:v>
                </c:pt>
                <c:pt idx="24">
                  <c:v>4.5999999999999999E-2</c:v>
                </c:pt>
                <c:pt idx="25">
                  <c:v>4.5999999999999999E-2</c:v>
                </c:pt>
                <c:pt idx="26">
                  <c:v>4.5999999999999999E-2</c:v>
                </c:pt>
                <c:pt idx="27">
                  <c:v>4.5999999999999999E-2</c:v>
                </c:pt>
                <c:pt idx="28">
                  <c:v>4.5999999999999999E-2</c:v>
                </c:pt>
                <c:pt idx="29">
                  <c:v>4.5999999999999999E-2</c:v>
                </c:pt>
                <c:pt idx="30">
                  <c:v>4.5999999999999999E-2</c:v>
                </c:pt>
                <c:pt idx="31">
                  <c:v>4.5999999999999999E-2</c:v>
                </c:pt>
                <c:pt idx="32">
                  <c:v>4.5999999999999999E-2</c:v>
                </c:pt>
                <c:pt idx="33">
                  <c:v>4.5999999999999999E-2</c:v>
                </c:pt>
                <c:pt idx="34">
                  <c:v>4.5999999999999999E-2</c:v>
                </c:pt>
                <c:pt idx="35">
                  <c:v>4.5999999999999999E-2</c:v>
                </c:pt>
                <c:pt idx="36">
                  <c:v>4.5999999999999999E-2</c:v>
                </c:pt>
                <c:pt idx="37">
                  <c:v>4.5999999999999999E-2</c:v>
                </c:pt>
                <c:pt idx="38">
                  <c:v>4.5999999999999999E-2</c:v>
                </c:pt>
                <c:pt idx="39">
                  <c:v>4.5999999999999999E-2</c:v>
                </c:pt>
                <c:pt idx="40">
                  <c:v>4.5999999999999999E-2</c:v>
                </c:pt>
                <c:pt idx="41">
                  <c:v>4.5999999999999999E-2</c:v>
                </c:pt>
                <c:pt idx="42">
                  <c:v>4.5999999999999999E-2</c:v>
                </c:pt>
                <c:pt idx="43">
                  <c:v>0.100669333333333</c:v>
                </c:pt>
                <c:pt idx="44">
                  <c:v>0.23417333333333301</c:v>
                </c:pt>
                <c:pt idx="45">
                  <c:v>0.35162700000000002</c:v>
                </c:pt>
                <c:pt idx="46">
                  <c:v>0.13123000000000001</c:v>
                </c:pt>
                <c:pt idx="47">
                  <c:v>8.08796666666666E-2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EFCD-459D-BFC7-D57988FF3B25}"/>
            </c:ext>
          </c:extLst>
        </c:ser>
        <c:ser>
          <c:idx val="81"/>
          <c:order val="81"/>
          <c:tx>
            <c:v>BES_TR8_five704_A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Demand_kW!$CF$2:$CF$49</c:f>
              <c:numCache>
                <c:formatCode>#,##0.000</c:formatCode>
                <c:ptCount val="48"/>
                <c:pt idx="0">
                  <c:v>0.67774833333333295</c:v>
                </c:pt>
                <c:pt idx="1">
                  <c:v>0.29747899999999999</c:v>
                </c:pt>
                <c:pt idx="2">
                  <c:v>0.13314266666666699</c:v>
                </c:pt>
                <c:pt idx="3">
                  <c:v>0.203416666666667</c:v>
                </c:pt>
                <c:pt idx="4">
                  <c:v>3.9E-2</c:v>
                </c:pt>
                <c:pt idx="5">
                  <c:v>0.15170666666666699</c:v>
                </c:pt>
                <c:pt idx="6">
                  <c:v>3.9E-2</c:v>
                </c:pt>
                <c:pt idx="7">
                  <c:v>0.17822299999999999</c:v>
                </c:pt>
                <c:pt idx="8">
                  <c:v>0.152701</c:v>
                </c:pt>
                <c:pt idx="9">
                  <c:v>6.4524333333333295E-2</c:v>
                </c:pt>
                <c:pt idx="10">
                  <c:v>0.170599</c:v>
                </c:pt>
                <c:pt idx="11">
                  <c:v>0.146071333333333</c:v>
                </c:pt>
                <c:pt idx="12">
                  <c:v>0.19048799999999999</c:v>
                </c:pt>
                <c:pt idx="13">
                  <c:v>0.146071333333333</c:v>
                </c:pt>
                <c:pt idx="14">
                  <c:v>0.29043566666666698</c:v>
                </c:pt>
                <c:pt idx="15">
                  <c:v>0.32352233333333302</c:v>
                </c:pt>
                <c:pt idx="16">
                  <c:v>0.17756166666666701</c:v>
                </c:pt>
                <c:pt idx="17">
                  <c:v>0.125185666666667</c:v>
                </c:pt>
                <c:pt idx="18">
                  <c:v>3.9E-2</c:v>
                </c:pt>
                <c:pt idx="19">
                  <c:v>0.125185666666667</c:v>
                </c:pt>
                <c:pt idx="20">
                  <c:v>0.21137366666666699</c:v>
                </c:pt>
                <c:pt idx="21">
                  <c:v>7.21483333333333E-2</c:v>
                </c:pt>
                <c:pt idx="22">
                  <c:v>0.26441100000000001</c:v>
                </c:pt>
                <c:pt idx="23">
                  <c:v>3.9E-2</c:v>
                </c:pt>
                <c:pt idx="24">
                  <c:v>0.204080333333333</c:v>
                </c:pt>
                <c:pt idx="25">
                  <c:v>0.13247900000000001</c:v>
                </c:pt>
                <c:pt idx="26">
                  <c:v>3.9E-2</c:v>
                </c:pt>
                <c:pt idx="27">
                  <c:v>0.207394</c:v>
                </c:pt>
                <c:pt idx="28">
                  <c:v>0.12916533333333299</c:v>
                </c:pt>
                <c:pt idx="29">
                  <c:v>6.1541333333333302E-2</c:v>
                </c:pt>
                <c:pt idx="30">
                  <c:v>1.192952</c:v>
                </c:pt>
                <c:pt idx="31">
                  <c:v>0.583716666666666</c:v>
                </c:pt>
                <c:pt idx="32">
                  <c:v>6.2904966666666604E-2</c:v>
                </c:pt>
                <c:pt idx="33">
                  <c:v>0.27448466666666699</c:v>
                </c:pt>
                <c:pt idx="34">
                  <c:v>0.27986499999999997</c:v>
                </c:pt>
                <c:pt idx="35">
                  <c:v>1.7069650000000001</c:v>
                </c:pt>
                <c:pt idx="36">
                  <c:v>0.61225133333333404</c:v>
                </c:pt>
                <c:pt idx="37">
                  <c:v>1.0008986666666699</c:v>
                </c:pt>
                <c:pt idx="38">
                  <c:v>2.8028266666666699</c:v>
                </c:pt>
                <c:pt idx="39">
                  <c:v>2.0250733333333302</c:v>
                </c:pt>
                <c:pt idx="40">
                  <c:v>0.47563499999999997</c:v>
                </c:pt>
                <c:pt idx="41">
                  <c:v>1.4461660000000001</c:v>
                </c:pt>
                <c:pt idx="42">
                  <c:v>9.5353333333333401E-2</c:v>
                </c:pt>
                <c:pt idx="43">
                  <c:v>0.208057666666667</c:v>
                </c:pt>
                <c:pt idx="44">
                  <c:v>0.117231</c:v>
                </c:pt>
                <c:pt idx="45">
                  <c:v>0.106624</c:v>
                </c:pt>
                <c:pt idx="46">
                  <c:v>0.2243</c:v>
                </c:pt>
                <c:pt idx="47">
                  <c:v>0.112259333333333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EFCD-459D-BFC7-D57988FF3B25}"/>
            </c:ext>
          </c:extLst>
        </c:ser>
        <c:ser>
          <c:idx val="82"/>
          <c:order val="82"/>
          <c:tx>
            <c:v>BES_TR8_five719_A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Demand_kW!$CG$2:$CG$49</c:f>
              <c:numCache>
                <c:formatCode>#,##0.000</c:formatCode>
                <c:ptCount val="48"/>
                <c:pt idx="0">
                  <c:v>0.21273700000000001</c:v>
                </c:pt>
                <c:pt idx="1">
                  <c:v>0.28406999999999999</c:v>
                </c:pt>
                <c:pt idx="2">
                  <c:v>0.13477666666666699</c:v>
                </c:pt>
                <c:pt idx="3">
                  <c:v>4.1000000000000002E-2</c:v>
                </c:pt>
                <c:pt idx="4">
                  <c:v>0.259253333333333</c:v>
                </c:pt>
                <c:pt idx="5">
                  <c:v>4.1000000000000002E-2</c:v>
                </c:pt>
                <c:pt idx="6">
                  <c:v>4.1000000000000002E-2</c:v>
                </c:pt>
                <c:pt idx="7">
                  <c:v>4.1000000000000002E-2</c:v>
                </c:pt>
                <c:pt idx="8">
                  <c:v>0.13477666666666699</c:v>
                </c:pt>
                <c:pt idx="9">
                  <c:v>4.1000000000000002E-2</c:v>
                </c:pt>
                <c:pt idx="10">
                  <c:v>4.1000000000000002E-2</c:v>
                </c:pt>
                <c:pt idx="11">
                  <c:v>5.4396666666666697E-2</c:v>
                </c:pt>
                <c:pt idx="12">
                  <c:v>0.12138</c:v>
                </c:pt>
                <c:pt idx="13">
                  <c:v>4.1000000000000002E-2</c:v>
                </c:pt>
                <c:pt idx="14">
                  <c:v>4.1000000000000002E-2</c:v>
                </c:pt>
                <c:pt idx="15">
                  <c:v>0.13477666666666699</c:v>
                </c:pt>
                <c:pt idx="16">
                  <c:v>4.1000000000000002E-2</c:v>
                </c:pt>
                <c:pt idx="17">
                  <c:v>0.84151266666666702</c:v>
                </c:pt>
                <c:pt idx="18">
                  <c:v>1.6425670000000001</c:v>
                </c:pt>
                <c:pt idx="19">
                  <c:v>1.36056546666667</c:v>
                </c:pt>
                <c:pt idx="20">
                  <c:v>0.95986666666666598</c:v>
                </c:pt>
                <c:pt idx="21">
                  <c:v>0.95021666666666704</c:v>
                </c:pt>
                <c:pt idx="22">
                  <c:v>0.122896266666667</c:v>
                </c:pt>
                <c:pt idx="23">
                  <c:v>0.10024</c:v>
                </c:pt>
                <c:pt idx="24">
                  <c:v>0.200604</c:v>
                </c:pt>
                <c:pt idx="25">
                  <c:v>5.8484000000000001E-2</c:v>
                </c:pt>
                <c:pt idx="26">
                  <c:v>4.1000000000000002E-2</c:v>
                </c:pt>
                <c:pt idx="27">
                  <c:v>0.13477666666666699</c:v>
                </c:pt>
                <c:pt idx="28">
                  <c:v>4.1000000000000002E-2</c:v>
                </c:pt>
                <c:pt idx="29">
                  <c:v>0.12807833333333299</c:v>
                </c:pt>
                <c:pt idx="30">
                  <c:v>4.7698333333333301E-2</c:v>
                </c:pt>
                <c:pt idx="31">
                  <c:v>4.1000000000000002E-2</c:v>
                </c:pt>
                <c:pt idx="32">
                  <c:v>0.15226200000000001</c:v>
                </c:pt>
                <c:pt idx="33">
                  <c:v>0.17780509999999999</c:v>
                </c:pt>
                <c:pt idx="34">
                  <c:v>9.1271000000000005E-2</c:v>
                </c:pt>
                <c:pt idx="35">
                  <c:v>0.2381856</c:v>
                </c:pt>
                <c:pt idx="36">
                  <c:v>0.17338066666666699</c:v>
                </c:pt>
                <c:pt idx="37">
                  <c:v>0.25427866666666699</c:v>
                </c:pt>
                <c:pt idx="38">
                  <c:v>0.47475899999999999</c:v>
                </c:pt>
                <c:pt idx="39">
                  <c:v>0.31869666666666702</c:v>
                </c:pt>
                <c:pt idx="40">
                  <c:v>0.124885333333333</c:v>
                </c:pt>
                <c:pt idx="41">
                  <c:v>0.29409166666666697</c:v>
                </c:pt>
                <c:pt idx="42">
                  <c:v>0.17480599999999999</c:v>
                </c:pt>
                <c:pt idx="43">
                  <c:v>0.55447633333333302</c:v>
                </c:pt>
                <c:pt idx="44">
                  <c:v>0.24392666666666701</c:v>
                </c:pt>
                <c:pt idx="45">
                  <c:v>0.52915000000000001</c:v>
                </c:pt>
                <c:pt idx="46">
                  <c:v>0.32583800000000002</c:v>
                </c:pt>
                <c:pt idx="47">
                  <c:v>4.1000000000000002E-2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EFCD-459D-BFC7-D57988FF3B25}"/>
            </c:ext>
          </c:extLst>
        </c:ser>
        <c:ser>
          <c:idx val="83"/>
          <c:order val="83"/>
          <c:tx>
            <c:v>BES_TR8_five750_B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Demand_kW!$CH$2:$CH$49</c:f>
              <c:numCache>
                <c:formatCode>#,##0.000</c:formatCode>
                <c:ptCount val="48"/>
                <c:pt idx="0">
                  <c:v>0.19029333333333301</c:v>
                </c:pt>
                <c:pt idx="1">
                  <c:v>4.7E-2</c:v>
                </c:pt>
                <c:pt idx="2">
                  <c:v>0.17726666666666699</c:v>
                </c:pt>
                <c:pt idx="3">
                  <c:v>6.0026666666666603E-2</c:v>
                </c:pt>
                <c:pt idx="4">
                  <c:v>0.13818666666666701</c:v>
                </c:pt>
                <c:pt idx="5">
                  <c:v>9.9106666666666801E-2</c:v>
                </c:pt>
                <c:pt idx="6">
                  <c:v>4.7E-2</c:v>
                </c:pt>
                <c:pt idx="7">
                  <c:v>0.19029333333333301</c:v>
                </c:pt>
                <c:pt idx="8">
                  <c:v>4.7E-2</c:v>
                </c:pt>
                <c:pt idx="9">
                  <c:v>7.3053333333333303E-2</c:v>
                </c:pt>
                <c:pt idx="10">
                  <c:v>0.16424</c:v>
                </c:pt>
                <c:pt idx="11">
                  <c:v>4.7E-2</c:v>
                </c:pt>
                <c:pt idx="12">
                  <c:v>0.18378</c:v>
                </c:pt>
                <c:pt idx="13">
                  <c:v>0.28452166666666701</c:v>
                </c:pt>
                <c:pt idx="14">
                  <c:v>4.7E-2</c:v>
                </c:pt>
                <c:pt idx="15">
                  <c:v>6.7278333333333301E-2</c:v>
                </c:pt>
                <c:pt idx="16">
                  <c:v>0.17726666666666699</c:v>
                </c:pt>
                <c:pt idx="17">
                  <c:v>0.27304166666666702</c:v>
                </c:pt>
                <c:pt idx="18">
                  <c:v>0.21006533333333299</c:v>
                </c:pt>
                <c:pt idx="19">
                  <c:v>8.4257600000000002E-2</c:v>
                </c:pt>
                <c:pt idx="20">
                  <c:v>0.155295033333333</c:v>
                </c:pt>
                <c:pt idx="21">
                  <c:v>9.9106666666666801E-2</c:v>
                </c:pt>
                <c:pt idx="22">
                  <c:v>4.7E-2</c:v>
                </c:pt>
                <c:pt idx="23">
                  <c:v>0.36807000000000001</c:v>
                </c:pt>
                <c:pt idx="24">
                  <c:v>9.6410000000000107E-2</c:v>
                </c:pt>
                <c:pt idx="25">
                  <c:v>0.28182499999999999</c:v>
                </c:pt>
                <c:pt idx="26">
                  <c:v>6.9934866666666706E-2</c:v>
                </c:pt>
                <c:pt idx="27">
                  <c:v>6.1286E-2</c:v>
                </c:pt>
                <c:pt idx="28">
                  <c:v>0.14394193333333299</c:v>
                </c:pt>
                <c:pt idx="29">
                  <c:v>0.379659466666667</c:v>
                </c:pt>
                <c:pt idx="30">
                  <c:v>9.1961433333333301E-2</c:v>
                </c:pt>
                <c:pt idx="31">
                  <c:v>0.235704466666667</c:v>
                </c:pt>
                <c:pt idx="32">
                  <c:v>7.5140999999999902E-2</c:v>
                </c:pt>
                <c:pt idx="33">
                  <c:v>0.18502976666666701</c:v>
                </c:pt>
                <c:pt idx="34">
                  <c:v>0.1024</c:v>
                </c:pt>
                <c:pt idx="35">
                  <c:v>0.19444946666666699</c:v>
                </c:pt>
                <c:pt idx="36">
                  <c:v>0.2918461</c:v>
                </c:pt>
                <c:pt idx="37">
                  <c:v>5.7336999999999999E-2</c:v>
                </c:pt>
                <c:pt idx="38">
                  <c:v>0.32775310000000002</c:v>
                </c:pt>
                <c:pt idx="39">
                  <c:v>0.37320399999999998</c:v>
                </c:pt>
                <c:pt idx="40">
                  <c:v>0.53986999999999996</c:v>
                </c:pt>
                <c:pt idx="41">
                  <c:v>0.47811666666666702</c:v>
                </c:pt>
                <c:pt idx="42">
                  <c:v>0.26111633333333301</c:v>
                </c:pt>
                <c:pt idx="43">
                  <c:v>4.7E-2</c:v>
                </c:pt>
                <c:pt idx="44">
                  <c:v>9.2593333333333305E-2</c:v>
                </c:pt>
                <c:pt idx="45">
                  <c:v>0.1447</c:v>
                </c:pt>
                <c:pt idx="46">
                  <c:v>4.7E-2</c:v>
                </c:pt>
                <c:pt idx="47">
                  <c:v>4.7E-2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EFCD-459D-BFC7-D57988FF3B25}"/>
            </c:ext>
          </c:extLst>
        </c:ser>
        <c:ser>
          <c:idx val="84"/>
          <c:order val="84"/>
          <c:tx>
            <c:v>BES_TR8_five793_A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Demand_kW!$CI$2:$CI$49</c:f>
              <c:numCache>
                <c:formatCode>#,##0.000</c:formatCode>
                <c:ptCount val="48"/>
                <c:pt idx="0">
                  <c:v>0.117696</c:v>
                </c:pt>
                <c:pt idx="1">
                  <c:v>0.22699266666666701</c:v>
                </c:pt>
                <c:pt idx="2">
                  <c:v>5.0999999999999997E-2</c:v>
                </c:pt>
                <c:pt idx="3">
                  <c:v>0.117696</c:v>
                </c:pt>
                <c:pt idx="4">
                  <c:v>7.4998999999999996E-2</c:v>
                </c:pt>
                <c:pt idx="5">
                  <c:v>0.26969233333333298</c:v>
                </c:pt>
                <c:pt idx="6">
                  <c:v>5.0999999999999997E-2</c:v>
                </c:pt>
                <c:pt idx="7">
                  <c:v>0.243167666666667</c:v>
                </c:pt>
                <c:pt idx="8">
                  <c:v>0.101526666666667</c:v>
                </c:pt>
                <c:pt idx="9">
                  <c:v>5.0999999999999997E-2</c:v>
                </c:pt>
                <c:pt idx="10">
                  <c:v>0.29369400000000001</c:v>
                </c:pt>
                <c:pt idx="11">
                  <c:v>5.0999999999999997E-2</c:v>
                </c:pt>
                <c:pt idx="12">
                  <c:v>0.17099500000000001</c:v>
                </c:pt>
                <c:pt idx="13">
                  <c:v>0.106997666666667</c:v>
                </c:pt>
                <c:pt idx="14">
                  <c:v>9.8998000000000003E-2</c:v>
                </c:pt>
                <c:pt idx="15">
                  <c:v>0.178994666666667</c:v>
                </c:pt>
                <c:pt idx="16">
                  <c:v>5.0999999999999997E-2</c:v>
                </c:pt>
                <c:pt idx="17">
                  <c:v>0.46497300000000003</c:v>
                </c:pt>
                <c:pt idx="18">
                  <c:v>0.35262233333333298</c:v>
                </c:pt>
                <c:pt idx="19">
                  <c:v>2.8682623333333299</c:v>
                </c:pt>
                <c:pt idx="20">
                  <c:v>0.40297566666666601</c:v>
                </c:pt>
                <c:pt idx="21">
                  <c:v>0.363676</c:v>
                </c:pt>
                <c:pt idx="22">
                  <c:v>0.25523499999999999</c:v>
                </c:pt>
                <c:pt idx="23">
                  <c:v>0.31507933333333299</c:v>
                </c:pt>
                <c:pt idx="24">
                  <c:v>0.117696</c:v>
                </c:pt>
                <c:pt idx="25">
                  <c:v>0.16611266666666699</c:v>
                </c:pt>
                <c:pt idx="26">
                  <c:v>0.17857999999999999</c:v>
                </c:pt>
                <c:pt idx="27">
                  <c:v>0.16240733333333299</c:v>
                </c:pt>
                <c:pt idx="28">
                  <c:v>0.2328548</c:v>
                </c:pt>
                <c:pt idx="29">
                  <c:v>1.4726964</c:v>
                </c:pt>
                <c:pt idx="30">
                  <c:v>0.143763</c:v>
                </c:pt>
                <c:pt idx="31">
                  <c:v>0.117696</c:v>
                </c:pt>
                <c:pt idx="32">
                  <c:v>0.22699266666666701</c:v>
                </c:pt>
                <c:pt idx="33">
                  <c:v>5.0999999999999997E-2</c:v>
                </c:pt>
                <c:pt idx="34">
                  <c:v>0.173693666666667</c:v>
                </c:pt>
                <c:pt idx="35">
                  <c:v>0.17099500000000001</c:v>
                </c:pt>
                <c:pt idx="36">
                  <c:v>0.117696</c:v>
                </c:pt>
                <c:pt idx="37">
                  <c:v>0.22699266666666701</c:v>
                </c:pt>
                <c:pt idx="38">
                  <c:v>5.0999999999999997E-2</c:v>
                </c:pt>
                <c:pt idx="39">
                  <c:v>0.117696</c:v>
                </c:pt>
                <c:pt idx="40">
                  <c:v>0.22699266666666701</c:v>
                </c:pt>
                <c:pt idx="41">
                  <c:v>5.0999999999999997E-2</c:v>
                </c:pt>
                <c:pt idx="42">
                  <c:v>0.13546466666666701</c:v>
                </c:pt>
                <c:pt idx="43">
                  <c:v>0.29547266666666699</c:v>
                </c:pt>
                <c:pt idx="44">
                  <c:v>0.194994</c:v>
                </c:pt>
                <c:pt idx="45">
                  <c:v>5.47053333333333E-2</c:v>
                </c:pt>
                <c:pt idx="46">
                  <c:v>0.22598633333333301</c:v>
                </c:pt>
                <c:pt idx="47">
                  <c:v>0.13722933333333301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EFCD-459D-BFC7-D57988FF3B25}"/>
            </c:ext>
          </c:extLst>
        </c:ser>
        <c:ser>
          <c:idx val="85"/>
          <c:order val="85"/>
          <c:tx>
            <c:v>BES_TR8_five801_C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Demand_kW!$CJ$2:$CJ$49</c:f>
              <c:numCache>
                <c:formatCode>#,##0.000</c:formatCode>
                <c:ptCount val="48"/>
                <c:pt idx="0">
                  <c:v>0.30668766666666702</c:v>
                </c:pt>
                <c:pt idx="1">
                  <c:v>4.9000000000000002E-2</c:v>
                </c:pt>
                <c:pt idx="2">
                  <c:v>0.181733333333333</c:v>
                </c:pt>
                <c:pt idx="3">
                  <c:v>4.9000000000000002E-2</c:v>
                </c:pt>
                <c:pt idx="4">
                  <c:v>0.13346666666666701</c:v>
                </c:pt>
                <c:pt idx="5">
                  <c:v>9.7266666666666599E-2</c:v>
                </c:pt>
                <c:pt idx="6">
                  <c:v>8.5199999999999998E-2</c:v>
                </c:pt>
                <c:pt idx="7">
                  <c:v>0.14553333333333299</c:v>
                </c:pt>
                <c:pt idx="8">
                  <c:v>4.9000000000000002E-2</c:v>
                </c:pt>
                <c:pt idx="9">
                  <c:v>4.9000000000000002E-2</c:v>
                </c:pt>
                <c:pt idx="10">
                  <c:v>0.14553333333333299</c:v>
                </c:pt>
                <c:pt idx="11">
                  <c:v>8.5199999999999998E-2</c:v>
                </c:pt>
                <c:pt idx="12">
                  <c:v>4.9000000000000002E-2</c:v>
                </c:pt>
                <c:pt idx="13">
                  <c:v>0.16966666666666699</c:v>
                </c:pt>
                <c:pt idx="14">
                  <c:v>6.1066666666666602E-2</c:v>
                </c:pt>
                <c:pt idx="15">
                  <c:v>6.7100000000000007E-2</c:v>
                </c:pt>
                <c:pt idx="16">
                  <c:v>1.0817636666666699</c:v>
                </c:pt>
                <c:pt idx="17">
                  <c:v>0.15337566666666699</c:v>
                </c:pt>
                <c:pt idx="18">
                  <c:v>4.9000000000000002E-2</c:v>
                </c:pt>
                <c:pt idx="19">
                  <c:v>0.59136666666666704</c:v>
                </c:pt>
                <c:pt idx="20">
                  <c:v>6.6890666666666695E-2</c:v>
                </c:pt>
                <c:pt idx="21">
                  <c:v>6.9373599999999994E-2</c:v>
                </c:pt>
                <c:pt idx="22">
                  <c:v>1.04024133333333</c:v>
                </c:pt>
                <c:pt idx="23">
                  <c:v>0.25865453333333399</c:v>
                </c:pt>
                <c:pt idx="24">
                  <c:v>4.9000000000000002E-2</c:v>
                </c:pt>
                <c:pt idx="25">
                  <c:v>4.9000000000000002E-2</c:v>
                </c:pt>
                <c:pt idx="26">
                  <c:v>7.9166666666666705E-2</c:v>
                </c:pt>
                <c:pt idx="27">
                  <c:v>0.15156666666666699</c:v>
                </c:pt>
                <c:pt idx="28">
                  <c:v>4.9000000000000002E-2</c:v>
                </c:pt>
                <c:pt idx="29">
                  <c:v>0.181733333333333</c:v>
                </c:pt>
                <c:pt idx="30">
                  <c:v>4.9000000000000002E-2</c:v>
                </c:pt>
                <c:pt idx="31">
                  <c:v>0.15759999999999999</c:v>
                </c:pt>
                <c:pt idx="32">
                  <c:v>0.155233333333333</c:v>
                </c:pt>
                <c:pt idx="33">
                  <c:v>0.12631999999999999</c:v>
                </c:pt>
                <c:pt idx="34">
                  <c:v>0.19005333333333299</c:v>
                </c:pt>
                <c:pt idx="35">
                  <c:v>5.4823999999999998E-2</c:v>
                </c:pt>
                <c:pt idx="36">
                  <c:v>0.17941306666666701</c:v>
                </c:pt>
                <c:pt idx="37">
                  <c:v>0.14967333333333299</c:v>
                </c:pt>
                <c:pt idx="38">
                  <c:v>0.200025166666667</c:v>
                </c:pt>
                <c:pt idx="39">
                  <c:v>0.414708666666666</c:v>
                </c:pt>
                <c:pt idx="40">
                  <c:v>0.38421566666666701</c:v>
                </c:pt>
                <c:pt idx="41">
                  <c:v>0.65812000000000004</c:v>
                </c:pt>
                <c:pt idx="42">
                  <c:v>1.4278439999999999</c:v>
                </c:pt>
                <c:pt idx="43">
                  <c:v>1.212439</c:v>
                </c:pt>
                <c:pt idx="44">
                  <c:v>0.63226466666666603</c:v>
                </c:pt>
                <c:pt idx="45">
                  <c:v>0.40655333333333299</c:v>
                </c:pt>
                <c:pt idx="46">
                  <c:v>0.39323066666666701</c:v>
                </c:pt>
                <c:pt idx="47">
                  <c:v>5.5033333333333302E-2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EFCD-459D-BFC7-D57988FF3B25}"/>
            </c:ext>
          </c:extLst>
        </c:ser>
        <c:ser>
          <c:idx val="86"/>
          <c:order val="86"/>
          <c:tx>
            <c:v>BES_TR8_five905_B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Demand_kW!$CK$2:$CK$49</c:f>
              <c:numCache>
                <c:formatCode>#,##0.000</c:formatCode>
                <c:ptCount val="48"/>
                <c:pt idx="0">
                  <c:v>0.21742666666666699</c:v>
                </c:pt>
                <c:pt idx="1">
                  <c:v>0.18875866666666699</c:v>
                </c:pt>
                <c:pt idx="2">
                  <c:v>4.9000000000000002E-2</c:v>
                </c:pt>
                <c:pt idx="3">
                  <c:v>8.7885333333333301E-2</c:v>
                </c:pt>
                <c:pt idx="4">
                  <c:v>0.172467333333333</c:v>
                </c:pt>
                <c:pt idx="5">
                  <c:v>0.26487666666666698</c:v>
                </c:pt>
                <c:pt idx="6">
                  <c:v>0.123334</c:v>
                </c:pt>
                <c:pt idx="7">
                  <c:v>4.9000000000000002E-2</c:v>
                </c:pt>
                <c:pt idx="8">
                  <c:v>0.26309266666666697</c:v>
                </c:pt>
                <c:pt idx="9">
                  <c:v>4.9000000000000002E-2</c:v>
                </c:pt>
                <c:pt idx="10">
                  <c:v>0.174155333333333</c:v>
                </c:pt>
                <c:pt idx="11">
                  <c:v>0.137937333333333</c:v>
                </c:pt>
                <c:pt idx="12">
                  <c:v>0.123334</c:v>
                </c:pt>
                <c:pt idx="13">
                  <c:v>8.7115999999999999E-2</c:v>
                </c:pt>
                <c:pt idx="14">
                  <c:v>0.22497666666666699</c:v>
                </c:pt>
                <c:pt idx="15">
                  <c:v>4.9000000000000002E-2</c:v>
                </c:pt>
                <c:pt idx="16">
                  <c:v>0.56166300000000002</c:v>
                </c:pt>
                <c:pt idx="17">
                  <c:v>0.119204333333333</c:v>
                </c:pt>
                <c:pt idx="18">
                  <c:v>0.118879333333333</c:v>
                </c:pt>
                <c:pt idx="19">
                  <c:v>0.220257333333333</c:v>
                </c:pt>
                <c:pt idx="20">
                  <c:v>0.20933599999999999</c:v>
                </c:pt>
                <c:pt idx="21">
                  <c:v>0.28111033333333302</c:v>
                </c:pt>
                <c:pt idx="22">
                  <c:v>0.104465</c:v>
                </c:pt>
                <c:pt idx="23">
                  <c:v>0.26775900000000002</c:v>
                </c:pt>
                <c:pt idx="24">
                  <c:v>6.9648333333333298E-2</c:v>
                </c:pt>
                <c:pt idx="25">
                  <c:v>0.12809633333333301</c:v>
                </c:pt>
                <c:pt idx="26">
                  <c:v>0.18399633333333401</c:v>
                </c:pt>
                <c:pt idx="27">
                  <c:v>9.0296666666666595E-2</c:v>
                </c:pt>
                <c:pt idx="28">
                  <c:v>0.22179599999999999</c:v>
                </c:pt>
                <c:pt idx="29">
                  <c:v>9.0999999999999998E-2</c:v>
                </c:pt>
                <c:pt idx="30">
                  <c:v>0.217256333333333</c:v>
                </c:pt>
                <c:pt idx="31">
                  <c:v>7.0110599999999995E-2</c:v>
                </c:pt>
                <c:pt idx="32">
                  <c:v>0.19588673333333301</c:v>
                </c:pt>
                <c:pt idx="33">
                  <c:v>0.15556</c:v>
                </c:pt>
                <c:pt idx="34">
                  <c:v>0.18205753333333299</c:v>
                </c:pt>
                <c:pt idx="35">
                  <c:v>0.61591799999999997</c:v>
                </c:pt>
                <c:pt idx="36">
                  <c:v>7.1794066666666698E-2</c:v>
                </c:pt>
                <c:pt idx="37">
                  <c:v>1.13051366666667</c:v>
                </c:pt>
                <c:pt idx="38">
                  <c:v>9.1319266666666704E-2</c:v>
                </c:pt>
                <c:pt idx="39">
                  <c:v>0.48631533333333299</c:v>
                </c:pt>
                <c:pt idx="40">
                  <c:v>0.153953333333333</c:v>
                </c:pt>
                <c:pt idx="41">
                  <c:v>0.114433333333333</c:v>
                </c:pt>
                <c:pt idx="42">
                  <c:v>0.19765933333333399</c:v>
                </c:pt>
                <c:pt idx="43">
                  <c:v>5.31296666666667E-2</c:v>
                </c:pt>
                <c:pt idx="44">
                  <c:v>0.119204333333333</c:v>
                </c:pt>
                <c:pt idx="45">
                  <c:v>4.9000000000000002E-2</c:v>
                </c:pt>
                <c:pt idx="46">
                  <c:v>4.9000000000000002E-2</c:v>
                </c:pt>
                <c:pt idx="47">
                  <c:v>0.180508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EFCD-459D-BFC7-D57988FF3B25}"/>
            </c:ext>
          </c:extLst>
        </c:ser>
        <c:ser>
          <c:idx val="87"/>
          <c:order val="87"/>
          <c:tx>
            <c:v>BES_TR8_five118_B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Demand_kW!$CL$2:$CL$49</c:f>
              <c:numCache>
                <c:formatCode>#,##0.000</c:formatCode>
                <c:ptCount val="4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0.09</c:v>
                </c:pt>
                <c:pt idx="17">
                  <c:v>0.85211999999999999</c:v>
                </c:pt>
                <c:pt idx="18">
                  <c:v>0.34744999999999998</c:v>
                </c:pt>
                <c:pt idx="19">
                  <c:v>0.15</c:v>
                </c:pt>
                <c:pt idx="20">
                  <c:v>0.179768333333333</c:v>
                </c:pt>
                <c:pt idx="21">
                  <c:v>8.3699999999999997E-2</c:v>
                </c:pt>
                <c:pt idx="22">
                  <c:v>0.32245000000000001</c:v>
                </c:pt>
                <c:pt idx="23">
                  <c:v>0.107736766666667</c:v>
                </c:pt>
                <c:pt idx="24">
                  <c:v>6.1728999999999999E-2</c:v>
                </c:pt>
                <c:pt idx="25">
                  <c:v>1.3952423</c:v>
                </c:pt>
                <c:pt idx="26">
                  <c:v>1.0523</c:v>
                </c:pt>
                <c:pt idx="27">
                  <c:v>0.75046666666666695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5.50825666666667E-2</c:v>
                </c:pt>
                <c:pt idx="38">
                  <c:v>6.0166666666666702E-2</c:v>
                </c:pt>
                <c:pt idx="39">
                  <c:v>0.16383413333333299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0.05</c:v>
                </c:pt>
                <c:pt idx="46">
                  <c:v>0.05</c:v>
                </c:pt>
                <c:pt idx="4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EFCD-459D-BFC7-D57988FF3B25}"/>
            </c:ext>
          </c:extLst>
        </c:ser>
        <c:ser>
          <c:idx val="88"/>
          <c:order val="88"/>
          <c:tx>
            <c:v>BES_TR8_five123_B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Demand_kW!$CM$2:$CM$49</c:f>
              <c:numCache>
                <c:formatCode>#,##0.000</c:formatCode>
                <c:ptCount val="48"/>
                <c:pt idx="0">
                  <c:v>0.05</c:v>
                </c:pt>
                <c:pt idx="1">
                  <c:v>0.12900200000000001</c:v>
                </c:pt>
                <c:pt idx="2">
                  <c:v>0.195086333333333</c:v>
                </c:pt>
                <c:pt idx="3">
                  <c:v>0.10406899999999999</c:v>
                </c:pt>
                <c:pt idx="4">
                  <c:v>9.8061333333333403E-2</c:v>
                </c:pt>
                <c:pt idx="5">
                  <c:v>0.28009600000000001</c:v>
                </c:pt>
                <c:pt idx="6">
                  <c:v>0.05</c:v>
                </c:pt>
                <c:pt idx="7">
                  <c:v>0.194950333333333</c:v>
                </c:pt>
                <c:pt idx="8">
                  <c:v>0.18320700000000001</c:v>
                </c:pt>
                <c:pt idx="9">
                  <c:v>0.100274</c:v>
                </c:pt>
                <c:pt idx="10">
                  <c:v>0.27788333333333298</c:v>
                </c:pt>
                <c:pt idx="11">
                  <c:v>5.7181999999999997E-2</c:v>
                </c:pt>
                <c:pt idx="12">
                  <c:v>0.200822</c:v>
                </c:pt>
                <c:pt idx="13">
                  <c:v>0.05</c:v>
                </c:pt>
                <c:pt idx="14">
                  <c:v>0.32815733333333302</c:v>
                </c:pt>
                <c:pt idx="15">
                  <c:v>9.9152833333333301E-2</c:v>
                </c:pt>
                <c:pt idx="16">
                  <c:v>0.49935833333333302</c:v>
                </c:pt>
                <c:pt idx="17">
                  <c:v>1.3634090000000001</c:v>
                </c:pt>
                <c:pt idx="18">
                  <c:v>0.28247666666666699</c:v>
                </c:pt>
                <c:pt idx="19">
                  <c:v>0.115891333333333</c:v>
                </c:pt>
                <c:pt idx="20">
                  <c:v>0.257375666666667</c:v>
                </c:pt>
                <c:pt idx="21">
                  <c:v>9.2053666666666603E-2</c:v>
                </c:pt>
                <c:pt idx="22">
                  <c:v>9.3091999999999994E-2</c:v>
                </c:pt>
                <c:pt idx="23">
                  <c:v>0.23700399999999999</c:v>
                </c:pt>
                <c:pt idx="24">
                  <c:v>0.110115133333333</c:v>
                </c:pt>
                <c:pt idx="25">
                  <c:v>1.48520733333333</c:v>
                </c:pt>
                <c:pt idx="26">
                  <c:v>8.75214666666667E-2</c:v>
                </c:pt>
                <c:pt idx="27">
                  <c:v>0.449378533333334</c:v>
                </c:pt>
                <c:pt idx="28">
                  <c:v>0.134107333333333</c:v>
                </c:pt>
                <c:pt idx="29">
                  <c:v>0.24404999999999999</c:v>
                </c:pt>
                <c:pt idx="30">
                  <c:v>0.116084333333333</c:v>
                </c:pt>
                <c:pt idx="31">
                  <c:v>0.19025300000000001</c:v>
                </c:pt>
                <c:pt idx="32">
                  <c:v>0.12182</c:v>
                </c:pt>
                <c:pt idx="33">
                  <c:v>0.05</c:v>
                </c:pt>
                <c:pt idx="34">
                  <c:v>0.17015333333333299</c:v>
                </c:pt>
                <c:pt idx="35">
                  <c:v>0.05</c:v>
                </c:pt>
                <c:pt idx="36">
                  <c:v>0.34812866666666697</c:v>
                </c:pt>
                <c:pt idx="37">
                  <c:v>6.73406E-2</c:v>
                </c:pt>
                <c:pt idx="38">
                  <c:v>0.108068</c:v>
                </c:pt>
                <c:pt idx="39">
                  <c:v>0.43325666666666701</c:v>
                </c:pt>
                <c:pt idx="40">
                  <c:v>0.50489200000000001</c:v>
                </c:pt>
                <c:pt idx="41">
                  <c:v>0.48047166666666602</c:v>
                </c:pt>
                <c:pt idx="42">
                  <c:v>0.60334866666666698</c:v>
                </c:pt>
                <c:pt idx="43">
                  <c:v>0.57610533333333303</c:v>
                </c:pt>
                <c:pt idx="44">
                  <c:v>0.494259333333333</c:v>
                </c:pt>
                <c:pt idx="45">
                  <c:v>0.58638933333333298</c:v>
                </c:pt>
                <c:pt idx="46">
                  <c:v>0.49533700000000003</c:v>
                </c:pt>
                <c:pt idx="47">
                  <c:v>0.32815733333333302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EFCD-459D-BFC7-D57988FF3B25}"/>
            </c:ext>
          </c:extLst>
        </c:ser>
        <c:ser>
          <c:idx val="89"/>
          <c:order val="89"/>
          <c:tx>
            <c:v>BES_TR8_six64_A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Demand_kW!$CN$2:$CN$49</c:f>
              <c:numCache>
                <c:formatCode>#,##0.000</c:formatCode>
                <c:ptCount val="48"/>
                <c:pt idx="0">
                  <c:v>0.148716666666667</c:v>
                </c:pt>
                <c:pt idx="1">
                  <c:v>0.1431</c:v>
                </c:pt>
                <c:pt idx="2">
                  <c:v>4.1000000000000002E-2</c:v>
                </c:pt>
                <c:pt idx="3">
                  <c:v>8.1839999999999996E-2</c:v>
                </c:pt>
                <c:pt idx="4">
                  <c:v>0.14990666666666699</c:v>
                </c:pt>
                <c:pt idx="5">
                  <c:v>4.1000000000000002E-2</c:v>
                </c:pt>
                <c:pt idx="6">
                  <c:v>0.19074666666666701</c:v>
                </c:pt>
                <c:pt idx="7">
                  <c:v>4.1000000000000002E-2</c:v>
                </c:pt>
                <c:pt idx="8">
                  <c:v>0.17032666666666699</c:v>
                </c:pt>
                <c:pt idx="9">
                  <c:v>6.1420000000000002E-2</c:v>
                </c:pt>
                <c:pt idx="10">
                  <c:v>4.1000000000000002E-2</c:v>
                </c:pt>
                <c:pt idx="11">
                  <c:v>4.1000000000000002E-2</c:v>
                </c:pt>
                <c:pt idx="12">
                  <c:v>0.14990666666666699</c:v>
                </c:pt>
                <c:pt idx="13">
                  <c:v>8.1839999999999899E-2</c:v>
                </c:pt>
                <c:pt idx="14">
                  <c:v>5.1140666666666702E-2</c:v>
                </c:pt>
                <c:pt idx="15">
                  <c:v>1.2043856666666699</c:v>
                </c:pt>
                <c:pt idx="16">
                  <c:v>0.20368773333333301</c:v>
                </c:pt>
                <c:pt idx="17">
                  <c:v>4.9593999999999999E-2</c:v>
                </c:pt>
                <c:pt idx="18">
                  <c:v>0.259555166666667</c:v>
                </c:pt>
                <c:pt idx="19">
                  <c:v>0.14951666666666699</c:v>
                </c:pt>
                <c:pt idx="20">
                  <c:v>0.22007133333333301</c:v>
                </c:pt>
                <c:pt idx="21">
                  <c:v>0.31248666666666602</c:v>
                </c:pt>
                <c:pt idx="22">
                  <c:v>1.91319533333333</c:v>
                </c:pt>
                <c:pt idx="23">
                  <c:v>1.1067973333333301</c:v>
                </c:pt>
                <c:pt idx="24">
                  <c:v>1.3464993333333299</c:v>
                </c:pt>
                <c:pt idx="25">
                  <c:v>0.16274</c:v>
                </c:pt>
                <c:pt idx="26">
                  <c:v>0.32993600000000001</c:v>
                </c:pt>
                <c:pt idx="27">
                  <c:v>0.395625333333333</c:v>
                </c:pt>
                <c:pt idx="28">
                  <c:v>0.39454499999999998</c:v>
                </c:pt>
                <c:pt idx="29">
                  <c:v>0.172818</c:v>
                </c:pt>
                <c:pt idx="30">
                  <c:v>7.7095833333333294E-2</c:v>
                </c:pt>
                <c:pt idx="31">
                  <c:v>0.57470833333333304</c:v>
                </c:pt>
                <c:pt idx="32">
                  <c:v>7.4817966666666597E-2</c:v>
                </c:pt>
                <c:pt idx="33">
                  <c:v>0.23899000000000001</c:v>
                </c:pt>
                <c:pt idx="34">
                  <c:v>0.31386333333333399</c:v>
                </c:pt>
                <c:pt idx="35">
                  <c:v>0.13984533333333299</c:v>
                </c:pt>
                <c:pt idx="36">
                  <c:v>0.12042310000000001</c:v>
                </c:pt>
                <c:pt idx="37">
                  <c:v>0.47158603333333299</c:v>
                </c:pt>
                <c:pt idx="38">
                  <c:v>0.15582733333333301</c:v>
                </c:pt>
                <c:pt idx="39">
                  <c:v>0.44711466666666699</c:v>
                </c:pt>
                <c:pt idx="40">
                  <c:v>0.646000666666667</c:v>
                </c:pt>
                <c:pt idx="41">
                  <c:v>0.74403166666666598</c:v>
                </c:pt>
                <c:pt idx="42">
                  <c:v>0.58533999999999997</c:v>
                </c:pt>
                <c:pt idx="43">
                  <c:v>0.67420833333333297</c:v>
                </c:pt>
                <c:pt idx="44">
                  <c:v>0.50304533333333301</c:v>
                </c:pt>
                <c:pt idx="45">
                  <c:v>1.8848703333333301</c:v>
                </c:pt>
                <c:pt idx="46">
                  <c:v>0.18393999999999999</c:v>
                </c:pt>
                <c:pt idx="47">
                  <c:v>4.1000000000000002E-2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EFCD-459D-BFC7-D57988FF3B25}"/>
            </c:ext>
          </c:extLst>
        </c:ser>
        <c:ser>
          <c:idx val="90"/>
          <c:order val="90"/>
          <c:tx>
            <c:v>BES_TR8_six154_C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Demand_kW!$CO$2:$CO$49</c:f>
              <c:numCache>
                <c:formatCode>#,##0.000</c:formatCode>
                <c:ptCount val="48"/>
                <c:pt idx="0">
                  <c:v>0.19530400000000001</c:v>
                </c:pt>
                <c:pt idx="1">
                  <c:v>0.15493199999999999</c:v>
                </c:pt>
                <c:pt idx="2">
                  <c:v>5.1999999999999998E-2</c:v>
                </c:pt>
                <c:pt idx="3">
                  <c:v>0.298236</c:v>
                </c:pt>
                <c:pt idx="4">
                  <c:v>5.1999999999999998E-2</c:v>
                </c:pt>
                <c:pt idx="5">
                  <c:v>0.24404266666666699</c:v>
                </c:pt>
                <c:pt idx="6">
                  <c:v>0.106193333333333</c:v>
                </c:pt>
                <c:pt idx="7">
                  <c:v>0.107285333333333</c:v>
                </c:pt>
                <c:pt idx="8">
                  <c:v>0.189121333333333</c:v>
                </c:pt>
                <c:pt idx="9">
                  <c:v>0.105829333333333</c:v>
                </c:pt>
                <c:pt idx="10">
                  <c:v>0.204034666666667</c:v>
                </c:pt>
                <c:pt idx="11">
                  <c:v>0.14620133333333299</c:v>
                </c:pt>
                <c:pt idx="12">
                  <c:v>5.1999999999999998E-2</c:v>
                </c:pt>
                <c:pt idx="13">
                  <c:v>0.204034666666667</c:v>
                </c:pt>
                <c:pt idx="14">
                  <c:v>0.16750266666666699</c:v>
                </c:pt>
                <c:pt idx="15">
                  <c:v>0.26743066666666698</c:v>
                </c:pt>
                <c:pt idx="16">
                  <c:v>0.203721333333333</c:v>
                </c:pt>
                <c:pt idx="17">
                  <c:v>0.25916933333333297</c:v>
                </c:pt>
                <c:pt idx="18">
                  <c:v>0.386346666666667</c:v>
                </c:pt>
                <c:pt idx="19">
                  <c:v>0.26912533333333299</c:v>
                </c:pt>
                <c:pt idx="20">
                  <c:v>0.446768</c:v>
                </c:pt>
                <c:pt idx="21">
                  <c:v>0.14620133333333299</c:v>
                </c:pt>
                <c:pt idx="22">
                  <c:v>5.1999999999999998E-2</c:v>
                </c:pt>
                <c:pt idx="23">
                  <c:v>0.27805000000000002</c:v>
                </c:pt>
                <c:pt idx="24">
                  <c:v>7.2186E-2</c:v>
                </c:pt>
                <c:pt idx="25">
                  <c:v>5.1999999999999998E-2</c:v>
                </c:pt>
                <c:pt idx="26">
                  <c:v>0.14620133333333299</c:v>
                </c:pt>
                <c:pt idx="27">
                  <c:v>0.14874933333333301</c:v>
                </c:pt>
                <c:pt idx="28">
                  <c:v>0.20148666666666701</c:v>
                </c:pt>
                <c:pt idx="29">
                  <c:v>5.1999999999999998E-2</c:v>
                </c:pt>
                <c:pt idx="30">
                  <c:v>0.203670666666667</c:v>
                </c:pt>
                <c:pt idx="31">
                  <c:v>0.14656533333333299</c:v>
                </c:pt>
                <c:pt idx="32">
                  <c:v>0.107285333333333</c:v>
                </c:pt>
                <c:pt idx="33">
                  <c:v>0.24295066666666601</c:v>
                </c:pt>
                <c:pt idx="34">
                  <c:v>0.15822133333333299</c:v>
                </c:pt>
                <c:pt idx="35">
                  <c:v>0.45103533333333301</c:v>
                </c:pt>
                <c:pt idx="36">
                  <c:v>0.28486</c:v>
                </c:pt>
                <c:pt idx="37">
                  <c:v>0.32132533333333302</c:v>
                </c:pt>
                <c:pt idx="38">
                  <c:v>0.36770999999999998</c:v>
                </c:pt>
                <c:pt idx="39">
                  <c:v>5.1999999999999998E-2</c:v>
                </c:pt>
                <c:pt idx="40">
                  <c:v>0.16693333333333299</c:v>
                </c:pt>
                <c:pt idx="41">
                  <c:v>0.183302666666666</c:v>
                </c:pt>
                <c:pt idx="42">
                  <c:v>0.105829333333333</c:v>
                </c:pt>
                <c:pt idx="43">
                  <c:v>0.44508399999999998</c:v>
                </c:pt>
                <c:pt idx="44">
                  <c:v>5.1999999999999998E-2</c:v>
                </c:pt>
                <c:pt idx="45">
                  <c:v>0.14620133333333299</c:v>
                </c:pt>
                <c:pt idx="46">
                  <c:v>5.8910666666666701E-2</c:v>
                </c:pt>
                <c:pt idx="47">
                  <c:v>0.24422466666666601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EFCD-459D-BFC7-D57988FF3B25}"/>
            </c:ext>
          </c:extLst>
        </c:ser>
        <c:ser>
          <c:idx val="91"/>
          <c:order val="91"/>
          <c:tx>
            <c:v>BES_TR8_six173_C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Demand_kW!$CP$2:$CP$49</c:f>
              <c:numCache>
                <c:formatCode>#,##0.000</c:formatCode>
                <c:ptCount val="48"/>
                <c:pt idx="0">
                  <c:v>4.9000000000000002E-2</c:v>
                </c:pt>
                <c:pt idx="1">
                  <c:v>0.10996</c:v>
                </c:pt>
                <c:pt idx="2">
                  <c:v>4.9000000000000002E-2</c:v>
                </c:pt>
                <c:pt idx="3">
                  <c:v>0.10996</c:v>
                </c:pt>
                <c:pt idx="4">
                  <c:v>4.9000000000000002E-2</c:v>
                </c:pt>
                <c:pt idx="5">
                  <c:v>8.6253333333333307E-2</c:v>
                </c:pt>
                <c:pt idx="6">
                  <c:v>7.27066666666666E-2</c:v>
                </c:pt>
                <c:pt idx="7">
                  <c:v>4.9000000000000002E-2</c:v>
                </c:pt>
                <c:pt idx="8">
                  <c:v>4.9000000000000002E-2</c:v>
                </c:pt>
                <c:pt idx="9">
                  <c:v>0.10996</c:v>
                </c:pt>
                <c:pt idx="10">
                  <c:v>4.9000000000000002E-2</c:v>
                </c:pt>
                <c:pt idx="11">
                  <c:v>4.9000000000000002E-2</c:v>
                </c:pt>
                <c:pt idx="12">
                  <c:v>5.9181999999999998E-2</c:v>
                </c:pt>
                <c:pt idx="13">
                  <c:v>4.9000000000000002E-2</c:v>
                </c:pt>
                <c:pt idx="14">
                  <c:v>0.10996</c:v>
                </c:pt>
                <c:pt idx="15">
                  <c:v>6.2546666666666695E-2</c:v>
                </c:pt>
                <c:pt idx="16">
                  <c:v>9.6413333333333295E-2</c:v>
                </c:pt>
                <c:pt idx="17">
                  <c:v>4.9000000000000002E-2</c:v>
                </c:pt>
                <c:pt idx="18">
                  <c:v>9.3026666666666702E-2</c:v>
                </c:pt>
                <c:pt idx="19">
                  <c:v>6.5933333333333302E-2</c:v>
                </c:pt>
                <c:pt idx="20">
                  <c:v>4.9000000000000002E-2</c:v>
                </c:pt>
                <c:pt idx="21">
                  <c:v>5.4091E-2</c:v>
                </c:pt>
                <c:pt idx="22">
                  <c:v>7.9546000000000103E-2</c:v>
                </c:pt>
                <c:pt idx="23">
                  <c:v>0.38130380000000003</c:v>
                </c:pt>
                <c:pt idx="24">
                  <c:v>7.0480000000000001E-2</c:v>
                </c:pt>
                <c:pt idx="25">
                  <c:v>0.10996</c:v>
                </c:pt>
                <c:pt idx="26">
                  <c:v>4.9000000000000002E-2</c:v>
                </c:pt>
                <c:pt idx="27">
                  <c:v>0.10996</c:v>
                </c:pt>
                <c:pt idx="28">
                  <c:v>4.9000000000000002E-2</c:v>
                </c:pt>
                <c:pt idx="29">
                  <c:v>4.9000000000000002E-2</c:v>
                </c:pt>
                <c:pt idx="30">
                  <c:v>0.10996</c:v>
                </c:pt>
                <c:pt idx="31">
                  <c:v>4.9000000000000002E-2</c:v>
                </c:pt>
                <c:pt idx="32">
                  <c:v>5.0799999999999998E-2</c:v>
                </c:pt>
                <c:pt idx="33">
                  <c:v>0.11355999999999999</c:v>
                </c:pt>
                <c:pt idx="34">
                  <c:v>4.9000000000000002E-2</c:v>
                </c:pt>
                <c:pt idx="35">
                  <c:v>0.10996</c:v>
                </c:pt>
                <c:pt idx="36">
                  <c:v>0.15405466666666701</c:v>
                </c:pt>
                <c:pt idx="37">
                  <c:v>0.21987999999999999</c:v>
                </c:pt>
                <c:pt idx="38">
                  <c:v>0.1535685</c:v>
                </c:pt>
                <c:pt idx="39">
                  <c:v>0.4225604</c:v>
                </c:pt>
                <c:pt idx="40">
                  <c:v>0.75875866666666703</c:v>
                </c:pt>
                <c:pt idx="41">
                  <c:v>2.7296</c:v>
                </c:pt>
                <c:pt idx="42">
                  <c:v>2.9558266666666699</c:v>
                </c:pt>
                <c:pt idx="43">
                  <c:v>0.52078599999999997</c:v>
                </c:pt>
                <c:pt idx="44">
                  <c:v>0.25866866666666699</c:v>
                </c:pt>
                <c:pt idx="45">
                  <c:v>0.231713</c:v>
                </c:pt>
                <c:pt idx="46">
                  <c:v>0.52397333333333296</c:v>
                </c:pt>
                <c:pt idx="47">
                  <c:v>0.3624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EFCD-459D-BFC7-D57988FF3B25}"/>
            </c:ext>
          </c:extLst>
        </c:ser>
        <c:ser>
          <c:idx val="92"/>
          <c:order val="92"/>
          <c:tx>
            <c:v>BES_TR8_six232_C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Demand_kW!$CQ$2:$CQ$49</c:f>
              <c:numCache>
                <c:formatCode>#,##0.000</c:formatCode>
                <c:ptCount val="48"/>
                <c:pt idx="0">
                  <c:v>1.5652170000000001</c:v>
                </c:pt>
                <c:pt idx="1">
                  <c:v>5.8000000000000003E-2</c:v>
                </c:pt>
                <c:pt idx="2">
                  <c:v>0.10128</c:v>
                </c:pt>
                <c:pt idx="3">
                  <c:v>0.173413333333333</c:v>
                </c:pt>
                <c:pt idx="4">
                  <c:v>5.8000000000000003E-2</c:v>
                </c:pt>
                <c:pt idx="5">
                  <c:v>0.21669333333333299</c:v>
                </c:pt>
                <c:pt idx="6">
                  <c:v>5.8000000000000003E-2</c:v>
                </c:pt>
                <c:pt idx="7">
                  <c:v>0.18062666666666699</c:v>
                </c:pt>
                <c:pt idx="8">
                  <c:v>9.4066666666666604E-2</c:v>
                </c:pt>
                <c:pt idx="9">
                  <c:v>5.8000000000000003E-2</c:v>
                </c:pt>
                <c:pt idx="10">
                  <c:v>0.21669333333333299</c:v>
                </c:pt>
                <c:pt idx="11">
                  <c:v>5.8000000000000003E-2</c:v>
                </c:pt>
                <c:pt idx="12">
                  <c:v>0.195053333333333</c:v>
                </c:pt>
                <c:pt idx="13">
                  <c:v>7.9640000000000002E-2</c:v>
                </c:pt>
                <c:pt idx="14">
                  <c:v>5.8000000000000003E-2</c:v>
                </c:pt>
                <c:pt idx="15">
                  <c:v>5.8000000000000003E-2</c:v>
                </c:pt>
                <c:pt idx="16">
                  <c:v>0.18062666666666699</c:v>
                </c:pt>
                <c:pt idx="17">
                  <c:v>9.4066666666666604E-2</c:v>
                </c:pt>
                <c:pt idx="18">
                  <c:v>0.15746933333333299</c:v>
                </c:pt>
                <c:pt idx="19">
                  <c:v>0.173413333333333</c:v>
                </c:pt>
                <c:pt idx="20">
                  <c:v>5.8000000000000003E-2</c:v>
                </c:pt>
                <c:pt idx="21">
                  <c:v>0.25118119999999999</c:v>
                </c:pt>
                <c:pt idx="22">
                  <c:v>0.1290472</c:v>
                </c:pt>
                <c:pt idx="23">
                  <c:v>0.24882699999999999</c:v>
                </c:pt>
                <c:pt idx="24">
                  <c:v>0.109803333333333</c:v>
                </c:pt>
                <c:pt idx="25">
                  <c:v>0.21669333333333299</c:v>
                </c:pt>
                <c:pt idx="26">
                  <c:v>5.8000000000000003E-2</c:v>
                </c:pt>
                <c:pt idx="27">
                  <c:v>8.6853333333333393E-2</c:v>
                </c:pt>
                <c:pt idx="28">
                  <c:v>0.18784000000000001</c:v>
                </c:pt>
                <c:pt idx="29">
                  <c:v>5.8000000000000003E-2</c:v>
                </c:pt>
                <c:pt idx="30">
                  <c:v>5.8000000000000003E-2</c:v>
                </c:pt>
                <c:pt idx="31">
                  <c:v>0.20226666666666701</c:v>
                </c:pt>
                <c:pt idx="32">
                  <c:v>0.12422999999999999</c:v>
                </c:pt>
                <c:pt idx="33">
                  <c:v>0.385492</c:v>
                </c:pt>
                <c:pt idx="34">
                  <c:v>0.64297833333333299</c:v>
                </c:pt>
                <c:pt idx="35">
                  <c:v>0.32454033333333299</c:v>
                </c:pt>
                <c:pt idx="36">
                  <c:v>0.24185000000000001</c:v>
                </c:pt>
                <c:pt idx="37">
                  <c:v>0.252016666666667</c:v>
                </c:pt>
                <c:pt idx="38">
                  <c:v>0.39286700000000002</c:v>
                </c:pt>
                <c:pt idx="39">
                  <c:v>0.65873333333333295</c:v>
                </c:pt>
                <c:pt idx="40">
                  <c:v>0.55633233333333298</c:v>
                </c:pt>
                <c:pt idx="41">
                  <c:v>0.73277099999999995</c:v>
                </c:pt>
                <c:pt idx="42">
                  <c:v>0.53134400000000004</c:v>
                </c:pt>
                <c:pt idx="43">
                  <c:v>0.62215799999999999</c:v>
                </c:pt>
                <c:pt idx="44">
                  <c:v>0.43307200000000001</c:v>
                </c:pt>
                <c:pt idx="45">
                  <c:v>0.14404</c:v>
                </c:pt>
                <c:pt idx="46">
                  <c:v>0.21669333333333299</c:v>
                </c:pt>
                <c:pt idx="47">
                  <c:v>5.8000000000000003E-2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EFCD-459D-BFC7-D57988FF3B25}"/>
            </c:ext>
          </c:extLst>
        </c:ser>
        <c:ser>
          <c:idx val="93"/>
          <c:order val="93"/>
          <c:tx>
            <c:v>BES_TR8_six238_A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Demand_kW!$CR$2:$CR$49</c:f>
              <c:numCache>
                <c:formatCode>#,##0.000</c:formatCode>
                <c:ptCount val="48"/>
                <c:pt idx="0">
                  <c:v>4.1000000000000002E-2</c:v>
                </c:pt>
                <c:pt idx="1">
                  <c:v>0.22893266666666701</c:v>
                </c:pt>
                <c:pt idx="2">
                  <c:v>7.2853333333333298E-2</c:v>
                </c:pt>
                <c:pt idx="3">
                  <c:v>0.10382066666666701</c:v>
                </c:pt>
                <c:pt idx="4">
                  <c:v>0.19796533333333399</c:v>
                </c:pt>
                <c:pt idx="5">
                  <c:v>4.1000000000000002E-2</c:v>
                </c:pt>
                <c:pt idx="6">
                  <c:v>5.3741333333333301E-2</c:v>
                </c:pt>
                <c:pt idx="7">
                  <c:v>0.181684333333333</c:v>
                </c:pt>
                <c:pt idx="8">
                  <c:v>0.10735500000000001</c:v>
                </c:pt>
                <c:pt idx="9">
                  <c:v>0.12381866666666699</c:v>
                </c:pt>
                <c:pt idx="10">
                  <c:v>9.8336000000000007E-2</c:v>
                </c:pt>
                <c:pt idx="11">
                  <c:v>9.2737466666666699E-2</c:v>
                </c:pt>
                <c:pt idx="12">
                  <c:v>0.16723816666666699</c:v>
                </c:pt>
                <c:pt idx="13">
                  <c:v>4.1000000000000002E-2</c:v>
                </c:pt>
                <c:pt idx="14">
                  <c:v>0.18115466666666699</c:v>
                </c:pt>
                <c:pt idx="15">
                  <c:v>0.120626</c:v>
                </c:pt>
                <c:pt idx="16">
                  <c:v>0.18115466666666699</c:v>
                </c:pt>
                <c:pt idx="17">
                  <c:v>4.1000000000000002E-2</c:v>
                </c:pt>
                <c:pt idx="18">
                  <c:v>0.20681333333333299</c:v>
                </c:pt>
                <c:pt idx="19">
                  <c:v>9.4973333333333299E-2</c:v>
                </c:pt>
                <c:pt idx="20">
                  <c:v>8.5008133333333305E-2</c:v>
                </c:pt>
                <c:pt idx="21">
                  <c:v>0.14293066666666701</c:v>
                </c:pt>
                <c:pt idx="22">
                  <c:v>0.120626</c:v>
                </c:pt>
                <c:pt idx="23">
                  <c:v>0.16824</c:v>
                </c:pt>
                <c:pt idx="24">
                  <c:v>0.49056866666666699</c:v>
                </c:pt>
                <c:pt idx="25">
                  <c:v>0.28596933333333302</c:v>
                </c:pt>
                <c:pt idx="26">
                  <c:v>0.51889666666666701</c:v>
                </c:pt>
                <c:pt idx="27">
                  <c:v>0.35537533333333399</c:v>
                </c:pt>
                <c:pt idx="28">
                  <c:v>0.38693766666666701</c:v>
                </c:pt>
                <c:pt idx="29">
                  <c:v>0.39451633333333302</c:v>
                </c:pt>
                <c:pt idx="30">
                  <c:v>0.31380433333333302</c:v>
                </c:pt>
                <c:pt idx="31">
                  <c:v>0.37032599999999999</c:v>
                </c:pt>
                <c:pt idx="32">
                  <c:v>0.37695800000000002</c:v>
                </c:pt>
                <c:pt idx="33">
                  <c:v>0.37789933333333398</c:v>
                </c:pt>
                <c:pt idx="34">
                  <c:v>0.67475866666666695</c:v>
                </c:pt>
                <c:pt idx="35">
                  <c:v>1.1619550000000001</c:v>
                </c:pt>
                <c:pt idx="36">
                  <c:v>0.23205066666666699</c:v>
                </c:pt>
                <c:pt idx="37">
                  <c:v>0.16824</c:v>
                </c:pt>
                <c:pt idx="38">
                  <c:v>0.24840733333333301</c:v>
                </c:pt>
                <c:pt idx="39">
                  <c:v>0.521401</c:v>
                </c:pt>
                <c:pt idx="40">
                  <c:v>0.53876866666666701</c:v>
                </c:pt>
                <c:pt idx="41">
                  <c:v>0.423580333333333</c:v>
                </c:pt>
                <c:pt idx="42">
                  <c:v>0.81721033333333304</c:v>
                </c:pt>
                <c:pt idx="43">
                  <c:v>0.63947066666666696</c:v>
                </c:pt>
                <c:pt idx="44">
                  <c:v>0.70780333333333301</c:v>
                </c:pt>
                <c:pt idx="45">
                  <c:v>0.40825866666666699</c:v>
                </c:pt>
                <c:pt idx="46">
                  <c:v>0.331743333333333</c:v>
                </c:pt>
                <c:pt idx="47">
                  <c:v>0.29207080000000002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EFCD-459D-BFC7-D57988FF3B25}"/>
            </c:ext>
          </c:extLst>
        </c:ser>
        <c:ser>
          <c:idx val="94"/>
          <c:order val="94"/>
          <c:tx>
            <c:v>BES_TR8_six269_C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Demand_kW!$CS$2:$CS$49</c:f>
              <c:numCache>
                <c:formatCode>#,##0.000</c:formatCode>
                <c:ptCount val="48"/>
                <c:pt idx="0">
                  <c:v>0.45129866666666701</c:v>
                </c:pt>
                <c:pt idx="1">
                  <c:v>0.323226666666667</c:v>
                </c:pt>
                <c:pt idx="2">
                  <c:v>0.27266899999999999</c:v>
                </c:pt>
                <c:pt idx="3">
                  <c:v>0.13630200000000001</c:v>
                </c:pt>
                <c:pt idx="4">
                  <c:v>5.7000000000000002E-2</c:v>
                </c:pt>
                <c:pt idx="5">
                  <c:v>0.13630200000000001</c:v>
                </c:pt>
                <c:pt idx="6">
                  <c:v>5.7000000000000002E-2</c:v>
                </c:pt>
                <c:pt idx="7">
                  <c:v>5.7000000000000002E-2</c:v>
                </c:pt>
                <c:pt idx="8">
                  <c:v>6.5811333333333305E-2</c:v>
                </c:pt>
                <c:pt idx="9">
                  <c:v>0.127490666666667</c:v>
                </c:pt>
                <c:pt idx="10">
                  <c:v>5.7000000000000002E-2</c:v>
                </c:pt>
                <c:pt idx="11">
                  <c:v>5.7000000000000002E-2</c:v>
                </c:pt>
                <c:pt idx="12">
                  <c:v>0.101056666666667</c:v>
                </c:pt>
                <c:pt idx="13">
                  <c:v>9.2245333333333304E-2</c:v>
                </c:pt>
                <c:pt idx="14">
                  <c:v>5.7000000000000002E-2</c:v>
                </c:pt>
                <c:pt idx="15">
                  <c:v>0.10584399999999999</c:v>
                </c:pt>
                <c:pt idx="16">
                  <c:v>6.8199066666666697E-2</c:v>
                </c:pt>
                <c:pt idx="17">
                  <c:v>0.88605943333333403</c:v>
                </c:pt>
                <c:pt idx="18">
                  <c:v>0.13630200000000001</c:v>
                </c:pt>
                <c:pt idx="19">
                  <c:v>5.7000000000000002E-2</c:v>
                </c:pt>
                <c:pt idx="20">
                  <c:v>5.7000000000000002E-2</c:v>
                </c:pt>
                <c:pt idx="21">
                  <c:v>5.7000000000000002E-2</c:v>
                </c:pt>
                <c:pt idx="22">
                  <c:v>0.10986799999999999</c:v>
                </c:pt>
                <c:pt idx="23">
                  <c:v>8.3433999999999994E-2</c:v>
                </c:pt>
                <c:pt idx="24">
                  <c:v>5.7000000000000002E-2</c:v>
                </c:pt>
                <c:pt idx="25">
                  <c:v>0.13630200000000001</c:v>
                </c:pt>
                <c:pt idx="26">
                  <c:v>5.7000000000000002E-2</c:v>
                </c:pt>
                <c:pt idx="27">
                  <c:v>0.13630200000000001</c:v>
                </c:pt>
                <c:pt idx="28">
                  <c:v>5.7000000000000002E-2</c:v>
                </c:pt>
                <c:pt idx="29">
                  <c:v>0.13630200000000001</c:v>
                </c:pt>
                <c:pt idx="30">
                  <c:v>5.7000000000000002E-2</c:v>
                </c:pt>
                <c:pt idx="31">
                  <c:v>5.7000000000000002E-2</c:v>
                </c:pt>
                <c:pt idx="32">
                  <c:v>5.7000000000000002E-2</c:v>
                </c:pt>
                <c:pt idx="33">
                  <c:v>1.2629629333333301</c:v>
                </c:pt>
                <c:pt idx="34">
                  <c:v>0.83845150000000102</c:v>
                </c:pt>
                <c:pt idx="35">
                  <c:v>0.10421646666666699</c:v>
                </c:pt>
                <c:pt idx="36">
                  <c:v>0.18515773333333299</c:v>
                </c:pt>
                <c:pt idx="37">
                  <c:v>0.246728</c:v>
                </c:pt>
                <c:pt idx="38">
                  <c:v>1.0521653333333301</c:v>
                </c:pt>
                <c:pt idx="39">
                  <c:v>1.3461733333333299</c:v>
                </c:pt>
                <c:pt idx="40">
                  <c:v>1.3783523333333401</c:v>
                </c:pt>
                <c:pt idx="41">
                  <c:v>0.35421233333333302</c:v>
                </c:pt>
                <c:pt idx="42">
                  <c:v>0.46313266666666703</c:v>
                </c:pt>
                <c:pt idx="43">
                  <c:v>0.83803033333333399</c:v>
                </c:pt>
                <c:pt idx="44">
                  <c:v>0.63845700000000005</c:v>
                </c:pt>
                <c:pt idx="45">
                  <c:v>0.56513599999999997</c:v>
                </c:pt>
                <c:pt idx="46">
                  <c:v>0.43990000000000001</c:v>
                </c:pt>
                <c:pt idx="47">
                  <c:v>0.61555199999999999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EFCD-459D-BFC7-D57988FF3B25}"/>
            </c:ext>
          </c:extLst>
        </c:ser>
        <c:ser>
          <c:idx val="95"/>
          <c:order val="95"/>
          <c:tx>
            <c:v>BES_TR8_six289_C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Demand_kW!$CT$2:$CT$49</c:f>
              <c:numCache>
                <c:formatCode>#,##0.000</c:formatCode>
                <c:ptCount val="48"/>
                <c:pt idx="0">
                  <c:v>0.15466099999999999</c:v>
                </c:pt>
                <c:pt idx="1">
                  <c:v>4.7E-2</c:v>
                </c:pt>
                <c:pt idx="2">
                  <c:v>4.7E-2</c:v>
                </c:pt>
                <c:pt idx="3">
                  <c:v>0.15466099999999999</c:v>
                </c:pt>
                <c:pt idx="4">
                  <c:v>6.5999000000000002E-2</c:v>
                </c:pt>
                <c:pt idx="5">
                  <c:v>7.8664999999999999E-2</c:v>
                </c:pt>
                <c:pt idx="6">
                  <c:v>0.14199500000000001</c:v>
                </c:pt>
                <c:pt idx="7">
                  <c:v>4.7E-2</c:v>
                </c:pt>
                <c:pt idx="8">
                  <c:v>8.4998000000000004E-2</c:v>
                </c:pt>
                <c:pt idx="9">
                  <c:v>0.135662</c:v>
                </c:pt>
                <c:pt idx="10">
                  <c:v>4.7E-2</c:v>
                </c:pt>
                <c:pt idx="11">
                  <c:v>4.7E-2</c:v>
                </c:pt>
                <c:pt idx="12">
                  <c:v>0.17366000000000001</c:v>
                </c:pt>
                <c:pt idx="13">
                  <c:v>4.7E-2</c:v>
                </c:pt>
                <c:pt idx="14">
                  <c:v>4.7E-2</c:v>
                </c:pt>
                <c:pt idx="15">
                  <c:v>4.7E-2</c:v>
                </c:pt>
                <c:pt idx="16">
                  <c:v>0.219380666666667</c:v>
                </c:pt>
                <c:pt idx="17">
                  <c:v>0.15934726666666699</c:v>
                </c:pt>
                <c:pt idx="18">
                  <c:v>1.47426146666667</c:v>
                </c:pt>
                <c:pt idx="19">
                  <c:v>0.17895066666666701</c:v>
                </c:pt>
                <c:pt idx="20">
                  <c:v>0.11600000000000001</c:v>
                </c:pt>
                <c:pt idx="21">
                  <c:v>0.162462</c:v>
                </c:pt>
                <c:pt idx="22">
                  <c:v>0.17739333333333299</c:v>
                </c:pt>
                <c:pt idx="23">
                  <c:v>0.186205333333333</c:v>
                </c:pt>
                <c:pt idx="24">
                  <c:v>1.627667</c:v>
                </c:pt>
                <c:pt idx="25">
                  <c:v>1.6979740000000001</c:v>
                </c:pt>
                <c:pt idx="26">
                  <c:v>0.50620699999999996</c:v>
                </c:pt>
                <c:pt idx="27">
                  <c:v>0.369016333333333</c:v>
                </c:pt>
                <c:pt idx="28">
                  <c:v>0.30377999999999999</c:v>
                </c:pt>
                <c:pt idx="29">
                  <c:v>0.30377999999999999</c:v>
                </c:pt>
                <c:pt idx="30">
                  <c:v>0.26866433333333301</c:v>
                </c:pt>
                <c:pt idx="31">
                  <c:v>0.33467000000000002</c:v>
                </c:pt>
                <c:pt idx="32">
                  <c:v>0.33144566666666703</c:v>
                </c:pt>
                <c:pt idx="33">
                  <c:v>0.23825233333333301</c:v>
                </c:pt>
                <c:pt idx="34">
                  <c:v>0.16114899999999999</c:v>
                </c:pt>
                <c:pt idx="35">
                  <c:v>5.9665999999999997E-2</c:v>
                </c:pt>
                <c:pt idx="36">
                  <c:v>0.83819833333333305</c:v>
                </c:pt>
                <c:pt idx="37">
                  <c:v>4.7E-2</c:v>
                </c:pt>
                <c:pt idx="38">
                  <c:v>4.7E-2</c:v>
                </c:pt>
                <c:pt idx="39">
                  <c:v>0.17366000000000001</c:v>
                </c:pt>
                <c:pt idx="40">
                  <c:v>4.7E-2</c:v>
                </c:pt>
                <c:pt idx="41">
                  <c:v>0.17366000000000001</c:v>
                </c:pt>
                <c:pt idx="42">
                  <c:v>4.7E-2</c:v>
                </c:pt>
                <c:pt idx="43">
                  <c:v>4.7E-2</c:v>
                </c:pt>
                <c:pt idx="44">
                  <c:v>0.10399700000000001</c:v>
                </c:pt>
                <c:pt idx="45">
                  <c:v>0.116663</c:v>
                </c:pt>
                <c:pt idx="46">
                  <c:v>0.50746666666666695</c:v>
                </c:pt>
                <c:pt idx="47">
                  <c:v>0.53738833333333302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EFCD-459D-BFC7-D57988FF3B25}"/>
            </c:ext>
          </c:extLst>
        </c:ser>
        <c:ser>
          <c:idx val="96"/>
          <c:order val="96"/>
          <c:tx>
            <c:v>BES_TR8_six317_C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Demand_kW!$CU$2:$CU$49</c:f>
              <c:numCache>
                <c:formatCode>#,##0.000</c:formatCode>
                <c:ptCount val="48"/>
                <c:pt idx="0">
                  <c:v>1.4919313333333299</c:v>
                </c:pt>
                <c:pt idx="1">
                  <c:v>0.19798199999999999</c:v>
                </c:pt>
                <c:pt idx="2">
                  <c:v>5.3999999999999999E-2</c:v>
                </c:pt>
                <c:pt idx="3">
                  <c:v>0.26933400000000002</c:v>
                </c:pt>
                <c:pt idx="4">
                  <c:v>0.18691199999999999</c:v>
                </c:pt>
                <c:pt idx="5">
                  <c:v>5.3999999999999999E-2</c:v>
                </c:pt>
                <c:pt idx="6">
                  <c:v>0.163242</c:v>
                </c:pt>
                <c:pt idx="7">
                  <c:v>0.17888000000000001</c:v>
                </c:pt>
                <c:pt idx="8">
                  <c:v>0.168124</c:v>
                </c:pt>
                <c:pt idx="9">
                  <c:v>0.163242</c:v>
                </c:pt>
                <c:pt idx="10">
                  <c:v>0.220716</c:v>
                </c:pt>
                <c:pt idx="11">
                  <c:v>0.18871199999999999</c:v>
                </c:pt>
                <c:pt idx="12">
                  <c:v>0.11597399999999999</c:v>
                </c:pt>
                <c:pt idx="13">
                  <c:v>0.27784799999999998</c:v>
                </c:pt>
                <c:pt idx="14">
                  <c:v>0.32944333333333298</c:v>
                </c:pt>
                <c:pt idx="15">
                  <c:v>1.2673099999999999</c:v>
                </c:pt>
                <c:pt idx="16">
                  <c:v>0.23100399999999999</c:v>
                </c:pt>
                <c:pt idx="17">
                  <c:v>0.18875666666666699</c:v>
                </c:pt>
                <c:pt idx="18">
                  <c:v>0.22131600000000001</c:v>
                </c:pt>
                <c:pt idx="19">
                  <c:v>0.30318580000000001</c:v>
                </c:pt>
                <c:pt idx="20">
                  <c:v>0.4066186</c:v>
                </c:pt>
                <c:pt idx="21">
                  <c:v>0.122249466666667</c:v>
                </c:pt>
                <c:pt idx="22">
                  <c:v>0.20459633333333299</c:v>
                </c:pt>
                <c:pt idx="23">
                  <c:v>0.54462999999999995</c:v>
                </c:pt>
                <c:pt idx="24">
                  <c:v>1.7556449999999999</c:v>
                </c:pt>
                <c:pt idx="25">
                  <c:v>1.6945539999999999</c:v>
                </c:pt>
                <c:pt idx="26">
                  <c:v>0.35907666666666699</c:v>
                </c:pt>
                <c:pt idx="27">
                  <c:v>0.19847860000000001</c:v>
                </c:pt>
                <c:pt idx="28">
                  <c:v>0.31661333333333302</c:v>
                </c:pt>
                <c:pt idx="29">
                  <c:v>1.2721226666666701</c:v>
                </c:pt>
                <c:pt idx="30">
                  <c:v>0.39482766666666702</c:v>
                </c:pt>
                <c:pt idx="31">
                  <c:v>0.1747476</c:v>
                </c:pt>
                <c:pt idx="32">
                  <c:v>0.131045666666667</c:v>
                </c:pt>
                <c:pt idx="33">
                  <c:v>0.37101499999999998</c:v>
                </c:pt>
                <c:pt idx="34">
                  <c:v>0.14529066666666701</c:v>
                </c:pt>
                <c:pt idx="35">
                  <c:v>0.21992400000000001</c:v>
                </c:pt>
                <c:pt idx="36">
                  <c:v>0.24687773333333299</c:v>
                </c:pt>
                <c:pt idx="37">
                  <c:v>0.73325019999999996</c:v>
                </c:pt>
                <c:pt idx="38">
                  <c:v>1.761131</c:v>
                </c:pt>
                <c:pt idx="39">
                  <c:v>0.44136466666666702</c:v>
                </c:pt>
                <c:pt idx="40">
                  <c:v>0.43479000000000001</c:v>
                </c:pt>
                <c:pt idx="41">
                  <c:v>0.51737599999999995</c:v>
                </c:pt>
                <c:pt idx="42">
                  <c:v>0.751734666666666</c:v>
                </c:pt>
                <c:pt idx="43">
                  <c:v>0.51884533333333405</c:v>
                </c:pt>
                <c:pt idx="44">
                  <c:v>0.88802766666666599</c:v>
                </c:pt>
                <c:pt idx="45">
                  <c:v>0.42549066666666702</c:v>
                </c:pt>
                <c:pt idx="46">
                  <c:v>0.16145000000000001</c:v>
                </c:pt>
                <c:pt idx="47">
                  <c:v>0.294796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EFCD-459D-BFC7-D57988FF3B25}"/>
            </c:ext>
          </c:extLst>
        </c:ser>
        <c:ser>
          <c:idx val="97"/>
          <c:order val="97"/>
          <c:tx>
            <c:v>BES_TR8_six326_A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Demand_kW!$CV$2:$CV$49</c:f>
              <c:numCache>
                <c:formatCode>#,##0.000</c:formatCode>
                <c:ptCount val="48"/>
                <c:pt idx="0">
                  <c:v>5.3999999999999999E-2</c:v>
                </c:pt>
                <c:pt idx="1">
                  <c:v>0.18836</c:v>
                </c:pt>
                <c:pt idx="2">
                  <c:v>5.3999999999999999E-2</c:v>
                </c:pt>
                <c:pt idx="3">
                  <c:v>0.18836</c:v>
                </c:pt>
                <c:pt idx="4">
                  <c:v>5.3999999999999999E-2</c:v>
                </c:pt>
                <c:pt idx="5">
                  <c:v>0.15476999999999999</c:v>
                </c:pt>
                <c:pt idx="6">
                  <c:v>8.7590000000000001E-2</c:v>
                </c:pt>
                <c:pt idx="7">
                  <c:v>0.10774400000000001</c:v>
                </c:pt>
                <c:pt idx="8">
                  <c:v>0.13461600000000001</c:v>
                </c:pt>
                <c:pt idx="9">
                  <c:v>5.3999999999999999E-2</c:v>
                </c:pt>
                <c:pt idx="10">
                  <c:v>5.3999999999999999E-2</c:v>
                </c:pt>
                <c:pt idx="11">
                  <c:v>5.3999999999999999E-2</c:v>
                </c:pt>
                <c:pt idx="12">
                  <c:v>0.18836</c:v>
                </c:pt>
                <c:pt idx="13">
                  <c:v>5.3999999999999999E-2</c:v>
                </c:pt>
                <c:pt idx="14">
                  <c:v>8.7590000000000001E-2</c:v>
                </c:pt>
                <c:pt idx="15">
                  <c:v>0.22341666666666701</c:v>
                </c:pt>
                <c:pt idx="16">
                  <c:v>5.3999999999999999E-2</c:v>
                </c:pt>
                <c:pt idx="17">
                  <c:v>0.174924</c:v>
                </c:pt>
                <c:pt idx="18">
                  <c:v>6.7435999999999996E-2</c:v>
                </c:pt>
                <c:pt idx="19">
                  <c:v>0.22425300000000001</c:v>
                </c:pt>
                <c:pt idx="20">
                  <c:v>0.31490899999999999</c:v>
                </c:pt>
                <c:pt idx="21">
                  <c:v>0.29946666666666699</c:v>
                </c:pt>
                <c:pt idx="22">
                  <c:v>0.25000600000000001</c:v>
                </c:pt>
                <c:pt idx="23">
                  <c:v>0.56579299999999999</c:v>
                </c:pt>
                <c:pt idx="24">
                  <c:v>0.23608399999999999</c:v>
                </c:pt>
                <c:pt idx="25">
                  <c:v>0.161953333333333</c:v>
                </c:pt>
                <c:pt idx="26">
                  <c:v>5.3999999999999999E-2</c:v>
                </c:pt>
                <c:pt idx="27">
                  <c:v>5.3999999999999999E-2</c:v>
                </c:pt>
                <c:pt idx="28">
                  <c:v>0.34427000000000002</c:v>
                </c:pt>
                <c:pt idx="29">
                  <c:v>0.36744066666666603</c:v>
                </c:pt>
                <c:pt idx="30">
                  <c:v>1.34894133333333</c:v>
                </c:pt>
                <c:pt idx="31">
                  <c:v>0.756002333333333</c:v>
                </c:pt>
                <c:pt idx="32">
                  <c:v>1.5053673333333299</c:v>
                </c:pt>
                <c:pt idx="33">
                  <c:v>1.69577933333333</c:v>
                </c:pt>
                <c:pt idx="34">
                  <c:v>0.318745</c:v>
                </c:pt>
                <c:pt idx="35">
                  <c:v>0.30637266666666702</c:v>
                </c:pt>
                <c:pt idx="36">
                  <c:v>0.17204166666666701</c:v>
                </c:pt>
                <c:pt idx="37">
                  <c:v>0.16386066666666699</c:v>
                </c:pt>
                <c:pt idx="38">
                  <c:v>8.62666666666667E-2</c:v>
                </c:pt>
                <c:pt idx="39">
                  <c:v>0.36263499999999999</c:v>
                </c:pt>
                <c:pt idx="40">
                  <c:v>0.28338000000000002</c:v>
                </c:pt>
                <c:pt idx="41">
                  <c:v>0.35232833333333302</c:v>
                </c:pt>
                <c:pt idx="42">
                  <c:v>0.50089499999999998</c:v>
                </c:pt>
                <c:pt idx="43">
                  <c:v>0.58557599999999999</c:v>
                </c:pt>
                <c:pt idx="44">
                  <c:v>0.69588633333333405</c:v>
                </c:pt>
                <c:pt idx="45">
                  <c:v>0.46088499999999999</c:v>
                </c:pt>
                <c:pt idx="46">
                  <c:v>0.37022699999999997</c:v>
                </c:pt>
                <c:pt idx="47">
                  <c:v>0.19189800000000001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EFCD-459D-BFC7-D57988FF3B25}"/>
            </c:ext>
          </c:extLst>
        </c:ser>
        <c:ser>
          <c:idx val="98"/>
          <c:order val="98"/>
          <c:tx>
            <c:v>BES_TR8_six329_A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Demand_kW!$CW$2:$CW$49</c:f>
              <c:numCache>
                <c:formatCode>#,##0.000</c:formatCode>
                <c:ptCount val="48"/>
                <c:pt idx="0">
                  <c:v>0.04</c:v>
                </c:pt>
                <c:pt idx="1">
                  <c:v>9.5691999999999999E-2</c:v>
                </c:pt>
                <c:pt idx="2">
                  <c:v>0.15934000000000001</c:v>
                </c:pt>
                <c:pt idx="3">
                  <c:v>0.04</c:v>
                </c:pt>
                <c:pt idx="4">
                  <c:v>0.17525199999999999</c:v>
                </c:pt>
                <c:pt idx="5">
                  <c:v>7.9780000000000004E-2</c:v>
                </c:pt>
                <c:pt idx="6">
                  <c:v>0.04</c:v>
                </c:pt>
                <c:pt idx="7">
                  <c:v>0.103648</c:v>
                </c:pt>
                <c:pt idx="8">
                  <c:v>0.15138399999999999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0.167296</c:v>
                </c:pt>
                <c:pt idx="13">
                  <c:v>8.7735999999999995E-2</c:v>
                </c:pt>
                <c:pt idx="14">
                  <c:v>8.7735999999999995E-2</c:v>
                </c:pt>
                <c:pt idx="15">
                  <c:v>0.167296</c:v>
                </c:pt>
                <c:pt idx="16">
                  <c:v>0.04</c:v>
                </c:pt>
                <c:pt idx="17">
                  <c:v>0.215032</c:v>
                </c:pt>
                <c:pt idx="18">
                  <c:v>0.04</c:v>
                </c:pt>
                <c:pt idx="19">
                  <c:v>0.04</c:v>
                </c:pt>
                <c:pt idx="20">
                  <c:v>0.334382666666666</c:v>
                </c:pt>
                <c:pt idx="21">
                  <c:v>8.6706666666666696E-2</c:v>
                </c:pt>
                <c:pt idx="22">
                  <c:v>0.217532</c:v>
                </c:pt>
                <c:pt idx="23">
                  <c:v>0.17930499999999999</c:v>
                </c:pt>
                <c:pt idx="24">
                  <c:v>0.29587999999999998</c:v>
                </c:pt>
                <c:pt idx="25">
                  <c:v>0.25337999999999999</c:v>
                </c:pt>
                <c:pt idx="26">
                  <c:v>0.27860600000000002</c:v>
                </c:pt>
                <c:pt idx="27">
                  <c:v>0.27996199999999999</c:v>
                </c:pt>
                <c:pt idx="28">
                  <c:v>4.7955999999999999E-2</c:v>
                </c:pt>
                <c:pt idx="29">
                  <c:v>0.20707600000000001</c:v>
                </c:pt>
                <c:pt idx="30">
                  <c:v>0.04</c:v>
                </c:pt>
                <c:pt idx="31">
                  <c:v>0.191164</c:v>
                </c:pt>
                <c:pt idx="32">
                  <c:v>0.21831800000000001</c:v>
                </c:pt>
                <c:pt idx="33">
                  <c:v>0.50534699999999999</c:v>
                </c:pt>
                <c:pt idx="34">
                  <c:v>0.45327466666666599</c:v>
                </c:pt>
                <c:pt idx="35">
                  <c:v>0.41855900000000001</c:v>
                </c:pt>
                <c:pt idx="36">
                  <c:v>0.28655000000000003</c:v>
                </c:pt>
                <c:pt idx="37">
                  <c:v>0.28736699999999998</c:v>
                </c:pt>
                <c:pt idx="38">
                  <c:v>0.11338910000000001</c:v>
                </c:pt>
                <c:pt idx="39">
                  <c:v>0.13621030000000001</c:v>
                </c:pt>
                <c:pt idx="40">
                  <c:v>0.33644879999999999</c:v>
                </c:pt>
                <c:pt idx="41">
                  <c:v>0.34687093333333302</c:v>
                </c:pt>
                <c:pt idx="42">
                  <c:v>0.486850333333333</c:v>
                </c:pt>
                <c:pt idx="43">
                  <c:v>0.28601199999999999</c:v>
                </c:pt>
                <c:pt idx="44">
                  <c:v>0.43421199999999999</c:v>
                </c:pt>
                <c:pt idx="45">
                  <c:v>0.76517500000000005</c:v>
                </c:pt>
                <c:pt idx="46">
                  <c:v>5.5912000000000003E-2</c:v>
                </c:pt>
                <c:pt idx="47">
                  <c:v>0.19911999999999999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EFCD-459D-BFC7-D57988FF3B25}"/>
            </c:ext>
          </c:extLst>
        </c:ser>
        <c:ser>
          <c:idx val="99"/>
          <c:order val="99"/>
          <c:tx>
            <c:v>BES_TR8_six342_A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Demand_kW!$CX$2:$CX$49</c:f>
              <c:numCache>
                <c:formatCode>#,##0.000</c:formatCode>
                <c:ptCount val="48"/>
                <c:pt idx="0">
                  <c:v>5.8000000000000003E-2</c:v>
                </c:pt>
                <c:pt idx="1">
                  <c:v>0.30314799999999997</c:v>
                </c:pt>
                <c:pt idx="2">
                  <c:v>9.9751999999999896E-2</c:v>
                </c:pt>
                <c:pt idx="3">
                  <c:v>0.21875</c:v>
                </c:pt>
                <c:pt idx="4">
                  <c:v>0.19946</c:v>
                </c:pt>
                <c:pt idx="5">
                  <c:v>0.14091266666666699</c:v>
                </c:pt>
                <c:pt idx="6">
                  <c:v>0.24420066666666601</c:v>
                </c:pt>
                <c:pt idx="7">
                  <c:v>0.20847333333333301</c:v>
                </c:pt>
                <c:pt idx="8">
                  <c:v>0.13189933333333301</c:v>
                </c:pt>
                <c:pt idx="9">
                  <c:v>0.306724</c:v>
                </c:pt>
                <c:pt idx="10">
                  <c:v>5.8000000000000003E-2</c:v>
                </c:pt>
                <c:pt idx="11">
                  <c:v>0.27711333333333299</c:v>
                </c:pt>
                <c:pt idx="12">
                  <c:v>6.5256666666666699E-2</c:v>
                </c:pt>
                <c:pt idx="13">
                  <c:v>0.30225000000000002</c:v>
                </c:pt>
                <c:pt idx="14">
                  <c:v>5.8000000000000003E-2</c:v>
                </c:pt>
                <c:pt idx="15">
                  <c:v>0.25159666666666702</c:v>
                </c:pt>
                <c:pt idx="16">
                  <c:v>0.20688000000000001</c:v>
                </c:pt>
                <c:pt idx="17">
                  <c:v>0.27912566666666699</c:v>
                </c:pt>
                <c:pt idx="18">
                  <c:v>0.16814799999999999</c:v>
                </c:pt>
                <c:pt idx="19">
                  <c:v>0.33113933333333301</c:v>
                </c:pt>
                <c:pt idx="20">
                  <c:v>0.198064666666667</c:v>
                </c:pt>
                <c:pt idx="21">
                  <c:v>0.29034599999999999</c:v>
                </c:pt>
                <c:pt idx="22">
                  <c:v>0.47387200000000002</c:v>
                </c:pt>
                <c:pt idx="23">
                  <c:v>0.59897650000000002</c:v>
                </c:pt>
                <c:pt idx="24">
                  <c:v>1.183929</c:v>
                </c:pt>
                <c:pt idx="25">
                  <c:v>0.34181</c:v>
                </c:pt>
                <c:pt idx="26">
                  <c:v>0.44988166666666701</c:v>
                </c:pt>
                <c:pt idx="27">
                  <c:v>0.459845333333333</c:v>
                </c:pt>
                <c:pt idx="28">
                  <c:v>0.71404933333333398</c:v>
                </c:pt>
                <c:pt idx="29">
                  <c:v>0.25659399999999999</c:v>
                </c:pt>
                <c:pt idx="30">
                  <c:v>0.22132733333333299</c:v>
                </c:pt>
                <c:pt idx="31">
                  <c:v>0.18157266666666699</c:v>
                </c:pt>
                <c:pt idx="32">
                  <c:v>0.109033333333333</c:v>
                </c:pt>
                <c:pt idx="33">
                  <c:v>0.46258266666666698</c:v>
                </c:pt>
                <c:pt idx="34">
                  <c:v>0.29416666666666702</c:v>
                </c:pt>
                <c:pt idx="35">
                  <c:v>0.53797933333333303</c:v>
                </c:pt>
                <c:pt idx="36">
                  <c:v>1.20641833333333</c:v>
                </c:pt>
                <c:pt idx="37">
                  <c:v>0.72825899999999999</c:v>
                </c:pt>
                <c:pt idx="38">
                  <c:v>3.1452266666666699</c:v>
                </c:pt>
                <c:pt idx="39">
                  <c:v>2.9911333333333299</c:v>
                </c:pt>
                <c:pt idx="40">
                  <c:v>1.44039266666667</c:v>
                </c:pt>
                <c:pt idx="41">
                  <c:v>0.57113833333333297</c:v>
                </c:pt>
                <c:pt idx="42">
                  <c:v>0.63262633333333296</c:v>
                </c:pt>
                <c:pt idx="43">
                  <c:v>0.66662533333333296</c:v>
                </c:pt>
                <c:pt idx="44">
                  <c:v>0.29594300000000001</c:v>
                </c:pt>
                <c:pt idx="45">
                  <c:v>0.55482799999999999</c:v>
                </c:pt>
                <c:pt idx="46">
                  <c:v>0.197118666666667</c:v>
                </c:pt>
                <c:pt idx="47">
                  <c:v>0.49606499999999998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EFCD-459D-BFC7-D57988FF3B25}"/>
            </c:ext>
          </c:extLst>
        </c:ser>
        <c:ser>
          <c:idx val="100"/>
          <c:order val="100"/>
          <c:tx>
            <c:v>BES_TR8_six350_B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Demand_kW!$CY$2:$CY$49</c:f>
              <c:numCache>
                <c:formatCode>#,##0.000</c:formatCode>
                <c:ptCount val="48"/>
                <c:pt idx="0">
                  <c:v>8.9652999999999899E-2</c:v>
                </c:pt>
                <c:pt idx="1">
                  <c:v>3.4000000000000002E-2</c:v>
                </c:pt>
                <c:pt idx="2">
                  <c:v>3.4000000000000002E-2</c:v>
                </c:pt>
                <c:pt idx="3">
                  <c:v>9.8214999999999997E-2</c:v>
                </c:pt>
                <c:pt idx="4">
                  <c:v>4.6843000000000003E-2</c:v>
                </c:pt>
                <c:pt idx="5">
                  <c:v>8.2096666666666596E-2</c:v>
                </c:pt>
                <c:pt idx="6">
                  <c:v>6.8248000000000003E-2</c:v>
                </c:pt>
                <c:pt idx="7">
                  <c:v>7.6810000000000003E-2</c:v>
                </c:pt>
                <c:pt idx="8">
                  <c:v>3.4000000000000002E-2</c:v>
                </c:pt>
                <c:pt idx="9">
                  <c:v>8.1090999999999996E-2</c:v>
                </c:pt>
                <c:pt idx="10">
                  <c:v>6.3966999999999996E-2</c:v>
                </c:pt>
                <c:pt idx="11">
                  <c:v>3.4000000000000002E-2</c:v>
                </c:pt>
                <c:pt idx="12">
                  <c:v>3.4000000000000002E-2</c:v>
                </c:pt>
                <c:pt idx="13">
                  <c:v>0.111058</c:v>
                </c:pt>
                <c:pt idx="14">
                  <c:v>0.29181766666666697</c:v>
                </c:pt>
                <c:pt idx="15">
                  <c:v>0.179814</c:v>
                </c:pt>
                <c:pt idx="16">
                  <c:v>0.17972733333333299</c:v>
                </c:pt>
                <c:pt idx="17">
                  <c:v>7.2528999999999996E-2</c:v>
                </c:pt>
                <c:pt idx="18">
                  <c:v>7.2528999999999996E-2</c:v>
                </c:pt>
                <c:pt idx="19">
                  <c:v>8.5372000000000003E-2</c:v>
                </c:pt>
                <c:pt idx="20">
                  <c:v>5.9686000000000003E-2</c:v>
                </c:pt>
                <c:pt idx="21">
                  <c:v>0.119706666666667</c:v>
                </c:pt>
                <c:pt idx="22">
                  <c:v>0.41452800000000001</c:v>
                </c:pt>
                <c:pt idx="23">
                  <c:v>0.168023333333333</c:v>
                </c:pt>
                <c:pt idx="24">
                  <c:v>0.249285333333333</c:v>
                </c:pt>
                <c:pt idx="25">
                  <c:v>0.16269</c:v>
                </c:pt>
                <c:pt idx="26">
                  <c:v>1.3401586666666701</c:v>
                </c:pt>
                <c:pt idx="27">
                  <c:v>0.77513333333333501</c:v>
                </c:pt>
                <c:pt idx="28">
                  <c:v>0.26087900000000003</c:v>
                </c:pt>
                <c:pt idx="29">
                  <c:v>0.18114733333333299</c:v>
                </c:pt>
                <c:pt idx="30">
                  <c:v>0.22462399999999999</c:v>
                </c:pt>
                <c:pt idx="31">
                  <c:v>0.20176466666666701</c:v>
                </c:pt>
                <c:pt idx="32">
                  <c:v>0.25769433333333303</c:v>
                </c:pt>
                <c:pt idx="33">
                  <c:v>0.22691366666666701</c:v>
                </c:pt>
                <c:pt idx="34">
                  <c:v>0.52685000000000004</c:v>
                </c:pt>
                <c:pt idx="35">
                  <c:v>1.79018733333333</c:v>
                </c:pt>
                <c:pt idx="36">
                  <c:v>1.1047676666666699</c:v>
                </c:pt>
                <c:pt idx="37">
                  <c:v>0.19469</c:v>
                </c:pt>
                <c:pt idx="38">
                  <c:v>1.02207166666667</c:v>
                </c:pt>
                <c:pt idx="39">
                  <c:v>0.348335333333333</c:v>
                </c:pt>
                <c:pt idx="40">
                  <c:v>0.238324333333333</c:v>
                </c:pt>
                <c:pt idx="41">
                  <c:v>0.434846333333334</c:v>
                </c:pt>
                <c:pt idx="42">
                  <c:v>0.28580033333333299</c:v>
                </c:pt>
                <c:pt idx="43">
                  <c:v>0.28529666666666698</c:v>
                </c:pt>
                <c:pt idx="44">
                  <c:v>3.4000000000000002E-2</c:v>
                </c:pt>
                <c:pt idx="45">
                  <c:v>0.13570133333333301</c:v>
                </c:pt>
                <c:pt idx="46">
                  <c:v>0.216043333333333</c:v>
                </c:pt>
                <c:pt idx="47">
                  <c:v>0.308894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EFCD-459D-BFC7-D57988FF3B25}"/>
            </c:ext>
          </c:extLst>
        </c:ser>
        <c:ser>
          <c:idx val="101"/>
          <c:order val="101"/>
          <c:tx>
            <c:v>BES_TR8_six365_C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Demand_kW!$CZ$2:$CZ$49</c:f>
              <c:numCache>
                <c:formatCode>#,##0.000</c:formatCode>
                <c:ptCount val="48"/>
                <c:pt idx="0">
                  <c:v>0.12542200000000001</c:v>
                </c:pt>
                <c:pt idx="1">
                  <c:v>5.1999999999999998E-2</c:v>
                </c:pt>
                <c:pt idx="2">
                  <c:v>0.12542200000000001</c:v>
                </c:pt>
                <c:pt idx="3">
                  <c:v>5.1999999999999998E-2</c:v>
                </c:pt>
                <c:pt idx="4">
                  <c:v>0.12542200000000001</c:v>
                </c:pt>
                <c:pt idx="5">
                  <c:v>5.1999999999999998E-2</c:v>
                </c:pt>
                <c:pt idx="6">
                  <c:v>7.2395000000000001E-2</c:v>
                </c:pt>
                <c:pt idx="7">
                  <c:v>0.105027</c:v>
                </c:pt>
                <c:pt idx="8">
                  <c:v>5.1999999999999998E-2</c:v>
                </c:pt>
                <c:pt idx="9">
                  <c:v>5.1999999999999998E-2</c:v>
                </c:pt>
                <c:pt idx="10">
                  <c:v>5.1999999999999998E-2</c:v>
                </c:pt>
                <c:pt idx="11">
                  <c:v>5.1999999999999998E-2</c:v>
                </c:pt>
                <c:pt idx="12">
                  <c:v>6.4237000000000002E-2</c:v>
                </c:pt>
                <c:pt idx="13">
                  <c:v>0.11318499999999999</c:v>
                </c:pt>
                <c:pt idx="14">
                  <c:v>5.1999999999999998E-2</c:v>
                </c:pt>
                <c:pt idx="15">
                  <c:v>0.12542200000000001</c:v>
                </c:pt>
                <c:pt idx="16">
                  <c:v>5.1999999999999998E-2</c:v>
                </c:pt>
                <c:pt idx="17">
                  <c:v>0.21612999999999999</c:v>
                </c:pt>
                <c:pt idx="18">
                  <c:v>0.28363300000000002</c:v>
                </c:pt>
                <c:pt idx="19">
                  <c:v>0.22645933333333301</c:v>
                </c:pt>
                <c:pt idx="20">
                  <c:v>0.117405466666667</c:v>
                </c:pt>
                <c:pt idx="21">
                  <c:v>0.1133952</c:v>
                </c:pt>
                <c:pt idx="22">
                  <c:v>0.55776313333333305</c:v>
                </c:pt>
                <c:pt idx="23">
                  <c:v>0.265158333333334</c:v>
                </c:pt>
                <c:pt idx="24">
                  <c:v>0.192024</c:v>
                </c:pt>
                <c:pt idx="25">
                  <c:v>0.17718999999999999</c:v>
                </c:pt>
                <c:pt idx="26">
                  <c:v>0.17718999999999999</c:v>
                </c:pt>
                <c:pt idx="27">
                  <c:v>0.52839000000000003</c:v>
                </c:pt>
                <c:pt idx="28">
                  <c:v>5.1999999999999998E-2</c:v>
                </c:pt>
                <c:pt idx="29">
                  <c:v>0.12542200000000001</c:v>
                </c:pt>
                <c:pt idx="30">
                  <c:v>5.1999999999999998E-2</c:v>
                </c:pt>
                <c:pt idx="31">
                  <c:v>0.12542200000000001</c:v>
                </c:pt>
                <c:pt idx="32">
                  <c:v>0.21805833333333299</c:v>
                </c:pt>
                <c:pt idx="33">
                  <c:v>0.20219000000000001</c:v>
                </c:pt>
                <c:pt idx="34">
                  <c:v>0.242753</c:v>
                </c:pt>
                <c:pt idx="35">
                  <c:v>0.64077333333333297</c:v>
                </c:pt>
                <c:pt idx="36">
                  <c:v>1.60155766666667</c:v>
                </c:pt>
                <c:pt idx="37">
                  <c:v>0.105713666666667</c:v>
                </c:pt>
                <c:pt idx="38">
                  <c:v>0.103433333333333</c:v>
                </c:pt>
                <c:pt idx="39">
                  <c:v>1.3380476666666701</c:v>
                </c:pt>
                <c:pt idx="40">
                  <c:v>0.867350333333333</c:v>
                </c:pt>
                <c:pt idx="41">
                  <c:v>0.58390666666666702</c:v>
                </c:pt>
                <c:pt idx="42">
                  <c:v>0.43523200000000001</c:v>
                </c:pt>
                <c:pt idx="43">
                  <c:v>0.32433133333333303</c:v>
                </c:pt>
                <c:pt idx="44">
                  <c:v>0.316272</c:v>
                </c:pt>
                <c:pt idx="45">
                  <c:v>0.413248333333333</c:v>
                </c:pt>
                <c:pt idx="46">
                  <c:v>1.439179</c:v>
                </c:pt>
                <c:pt idx="47">
                  <c:v>0.631548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EFCD-459D-BFC7-D57988FF3B25}"/>
            </c:ext>
          </c:extLst>
        </c:ser>
        <c:ser>
          <c:idx val="102"/>
          <c:order val="102"/>
          <c:tx>
            <c:v>BES_TR8_six75_A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Demand_kW!$DA$2:$DA$49</c:f>
              <c:numCache>
                <c:formatCode>#,##0.000</c:formatCode>
                <c:ptCount val="48"/>
                <c:pt idx="0">
                  <c:v>5.7000000000000002E-2</c:v>
                </c:pt>
                <c:pt idx="1">
                  <c:v>5.7000000000000002E-2</c:v>
                </c:pt>
                <c:pt idx="2">
                  <c:v>5.7000000000000002E-2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5.7000000000000002E-2</c:v>
                </c:pt>
                <c:pt idx="6">
                  <c:v>5.7000000000000002E-2</c:v>
                </c:pt>
                <c:pt idx="7">
                  <c:v>5.7000000000000002E-2</c:v>
                </c:pt>
                <c:pt idx="8">
                  <c:v>5.7000000000000002E-2</c:v>
                </c:pt>
                <c:pt idx="9">
                  <c:v>5.7000000000000002E-2</c:v>
                </c:pt>
                <c:pt idx="10">
                  <c:v>5.7000000000000002E-2</c:v>
                </c:pt>
                <c:pt idx="11">
                  <c:v>5.7000000000000002E-2</c:v>
                </c:pt>
                <c:pt idx="12">
                  <c:v>5.7000000000000002E-2</c:v>
                </c:pt>
                <c:pt idx="13">
                  <c:v>9.5733333333333295E-2</c:v>
                </c:pt>
                <c:pt idx="14">
                  <c:v>0.20225000000000001</c:v>
                </c:pt>
                <c:pt idx="15">
                  <c:v>1.5860366666666701</c:v>
                </c:pt>
                <c:pt idx="16">
                  <c:v>0.21358333333333299</c:v>
                </c:pt>
                <c:pt idx="17">
                  <c:v>0.240422</c:v>
                </c:pt>
                <c:pt idx="18">
                  <c:v>0.32949000000000001</c:v>
                </c:pt>
                <c:pt idx="19">
                  <c:v>0.23866000000000001</c:v>
                </c:pt>
                <c:pt idx="20">
                  <c:v>0.26660333333333303</c:v>
                </c:pt>
                <c:pt idx="21">
                  <c:v>0.21728466666666699</c:v>
                </c:pt>
                <c:pt idx="22">
                  <c:v>0.21479000000000001</c:v>
                </c:pt>
                <c:pt idx="23">
                  <c:v>0.20392199999999999</c:v>
                </c:pt>
                <c:pt idx="24">
                  <c:v>6.6683333333333303E-2</c:v>
                </c:pt>
                <c:pt idx="25">
                  <c:v>0.27892</c:v>
                </c:pt>
                <c:pt idx="26">
                  <c:v>5.7000000000000002E-2</c:v>
                </c:pt>
                <c:pt idx="27">
                  <c:v>8.7454000000000004E-2</c:v>
                </c:pt>
                <c:pt idx="28">
                  <c:v>0.13586146666666701</c:v>
                </c:pt>
                <c:pt idx="29">
                  <c:v>0.16545073333333399</c:v>
                </c:pt>
                <c:pt idx="30">
                  <c:v>0.220209666666667</c:v>
                </c:pt>
                <c:pt idx="31">
                  <c:v>0.42414499999999999</c:v>
                </c:pt>
                <c:pt idx="32">
                  <c:v>1.5294126666666701</c:v>
                </c:pt>
                <c:pt idx="33">
                  <c:v>0.152709333333333</c:v>
                </c:pt>
                <c:pt idx="34">
                  <c:v>0.1178</c:v>
                </c:pt>
                <c:pt idx="35">
                  <c:v>0.393967333333333</c:v>
                </c:pt>
                <c:pt idx="36">
                  <c:v>0.43342333333333299</c:v>
                </c:pt>
                <c:pt idx="37">
                  <c:v>0.42488999999999999</c:v>
                </c:pt>
                <c:pt idx="38">
                  <c:v>0.450147666666667</c:v>
                </c:pt>
                <c:pt idx="39">
                  <c:v>1.3017036666666699</c:v>
                </c:pt>
                <c:pt idx="40">
                  <c:v>0.35815999999999998</c:v>
                </c:pt>
                <c:pt idx="41">
                  <c:v>0.30337033333333302</c:v>
                </c:pt>
                <c:pt idx="42">
                  <c:v>0.389251666666667</c:v>
                </c:pt>
                <c:pt idx="43">
                  <c:v>0.61334066666666698</c:v>
                </c:pt>
                <c:pt idx="44">
                  <c:v>0.67864599999999997</c:v>
                </c:pt>
                <c:pt idx="45">
                  <c:v>0.48114299999999999</c:v>
                </c:pt>
                <c:pt idx="46">
                  <c:v>0.31007000000000001</c:v>
                </c:pt>
                <c:pt idx="47">
                  <c:v>5.7000000000000002E-2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EFCD-459D-BFC7-D57988FF3B25}"/>
            </c:ext>
          </c:extLst>
        </c:ser>
        <c:ser>
          <c:idx val="103"/>
          <c:order val="103"/>
          <c:tx>
            <c:v>BES_TR8_six385_B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Demand_kW!$DB$2:$DB$49</c:f>
              <c:numCache>
                <c:formatCode>#,##0.000</c:formatCode>
                <c:ptCount val="48"/>
                <c:pt idx="0">
                  <c:v>0.100000333333333</c:v>
                </c:pt>
                <c:pt idx="1">
                  <c:v>3.9E-2</c:v>
                </c:pt>
                <c:pt idx="2">
                  <c:v>0.16100066666666701</c:v>
                </c:pt>
                <c:pt idx="3">
                  <c:v>3.9E-2</c:v>
                </c:pt>
                <c:pt idx="4">
                  <c:v>3.9E-2</c:v>
                </c:pt>
                <c:pt idx="5">
                  <c:v>3.9E-2</c:v>
                </c:pt>
                <c:pt idx="6">
                  <c:v>0.16100066666666701</c:v>
                </c:pt>
                <c:pt idx="7">
                  <c:v>3.9E-2</c:v>
                </c:pt>
                <c:pt idx="8">
                  <c:v>3.9E-2</c:v>
                </c:pt>
                <c:pt idx="9">
                  <c:v>0.16100066666666701</c:v>
                </c:pt>
                <c:pt idx="10">
                  <c:v>3.9E-2</c:v>
                </c:pt>
                <c:pt idx="11">
                  <c:v>0.11742900000000001</c:v>
                </c:pt>
                <c:pt idx="12">
                  <c:v>8.2571666666666696E-2</c:v>
                </c:pt>
                <c:pt idx="13">
                  <c:v>3.9E-2</c:v>
                </c:pt>
                <c:pt idx="14">
                  <c:v>0.11742900000000001</c:v>
                </c:pt>
                <c:pt idx="15">
                  <c:v>8.2571666666666696E-2</c:v>
                </c:pt>
                <c:pt idx="16">
                  <c:v>3.9E-2</c:v>
                </c:pt>
                <c:pt idx="17">
                  <c:v>0.14357200000000001</c:v>
                </c:pt>
                <c:pt idx="18">
                  <c:v>5.6428666666666599E-2</c:v>
                </c:pt>
                <c:pt idx="19">
                  <c:v>5.6428666666666703E-2</c:v>
                </c:pt>
                <c:pt idx="20">
                  <c:v>0.44319199999999997</c:v>
                </c:pt>
                <c:pt idx="21">
                  <c:v>0.3621548</c:v>
                </c:pt>
                <c:pt idx="22">
                  <c:v>0.39650479999999999</c:v>
                </c:pt>
                <c:pt idx="23">
                  <c:v>0.1465108</c:v>
                </c:pt>
                <c:pt idx="24">
                  <c:v>0.30792439999999999</c:v>
                </c:pt>
                <c:pt idx="25">
                  <c:v>0.38301433333333301</c:v>
                </c:pt>
                <c:pt idx="26">
                  <c:v>0.1012757</c:v>
                </c:pt>
                <c:pt idx="27">
                  <c:v>0.16959433333333301</c:v>
                </c:pt>
                <c:pt idx="28">
                  <c:v>0.31692346666666699</c:v>
                </c:pt>
                <c:pt idx="29">
                  <c:v>0.41793340000000001</c:v>
                </c:pt>
                <c:pt idx="30">
                  <c:v>0.256220433333333</c:v>
                </c:pt>
                <c:pt idx="31">
                  <c:v>0.13228500000000001</c:v>
                </c:pt>
                <c:pt idx="32">
                  <c:v>1.196569</c:v>
                </c:pt>
                <c:pt idx="33">
                  <c:v>0.51172200000000001</c:v>
                </c:pt>
                <c:pt idx="34">
                  <c:v>0.37232320000000002</c:v>
                </c:pt>
                <c:pt idx="35">
                  <c:v>0.153548766666667</c:v>
                </c:pt>
                <c:pt idx="36">
                  <c:v>0.25038833333333299</c:v>
                </c:pt>
                <c:pt idx="37">
                  <c:v>0.29411999999999999</c:v>
                </c:pt>
                <c:pt idx="38">
                  <c:v>0.49666466666666698</c:v>
                </c:pt>
                <c:pt idx="39">
                  <c:v>0.58271866666666705</c:v>
                </c:pt>
                <c:pt idx="40">
                  <c:v>0.83306500000000006</c:v>
                </c:pt>
                <c:pt idx="41">
                  <c:v>0.74300333333333402</c:v>
                </c:pt>
                <c:pt idx="42">
                  <c:v>0.95897933333333296</c:v>
                </c:pt>
                <c:pt idx="43">
                  <c:v>0.50672966666666697</c:v>
                </c:pt>
                <c:pt idx="44">
                  <c:v>0.62226033333333297</c:v>
                </c:pt>
                <c:pt idx="45">
                  <c:v>1.545884</c:v>
                </c:pt>
                <c:pt idx="46">
                  <c:v>0.49645333333333302</c:v>
                </c:pt>
                <c:pt idx="47">
                  <c:v>0.47516166666666698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EFCD-459D-BFC7-D57988FF3B25}"/>
            </c:ext>
          </c:extLst>
        </c:ser>
        <c:ser>
          <c:idx val="104"/>
          <c:order val="104"/>
          <c:tx>
            <c:v>BES_TR8_six431_C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Demand_kW!$DC$2:$DC$49</c:f>
              <c:numCache>
                <c:formatCode>#,##0.000</c:formatCode>
                <c:ptCount val="48"/>
                <c:pt idx="0">
                  <c:v>0.31546233333333301</c:v>
                </c:pt>
                <c:pt idx="1">
                  <c:v>9.3175999999999898E-2</c:v>
                </c:pt>
                <c:pt idx="2">
                  <c:v>9.3175999999999995E-2</c:v>
                </c:pt>
                <c:pt idx="3">
                  <c:v>0.24310599999999999</c:v>
                </c:pt>
                <c:pt idx="4">
                  <c:v>0.14401466666666701</c:v>
                </c:pt>
                <c:pt idx="5">
                  <c:v>0.27761866666666701</c:v>
                </c:pt>
                <c:pt idx="6">
                  <c:v>0.119101333333333</c:v>
                </c:pt>
                <c:pt idx="7">
                  <c:v>0.14834066666666701</c:v>
                </c:pt>
                <c:pt idx="8">
                  <c:v>0.14354800000000001</c:v>
                </c:pt>
                <c:pt idx="9">
                  <c:v>0.201838666666667</c:v>
                </c:pt>
                <c:pt idx="10">
                  <c:v>0.23278966666666701</c:v>
                </c:pt>
                <c:pt idx="11">
                  <c:v>0.123638333333333</c:v>
                </c:pt>
                <c:pt idx="12">
                  <c:v>0.15267800000000001</c:v>
                </c:pt>
                <c:pt idx="13">
                  <c:v>0.15528666666666699</c:v>
                </c:pt>
                <c:pt idx="14">
                  <c:v>0.18576266666666699</c:v>
                </c:pt>
                <c:pt idx="15">
                  <c:v>0.13058400000000001</c:v>
                </c:pt>
                <c:pt idx="16">
                  <c:v>0.20111599999999999</c:v>
                </c:pt>
                <c:pt idx="17">
                  <c:v>0.40096233333333298</c:v>
                </c:pt>
                <c:pt idx="18">
                  <c:v>0.32972000000000001</c:v>
                </c:pt>
                <c:pt idx="19">
                  <c:v>2.20306633333333</c:v>
                </c:pt>
                <c:pt idx="20">
                  <c:v>0.37027033333333398</c:v>
                </c:pt>
                <c:pt idx="21">
                  <c:v>0.28669666666666699</c:v>
                </c:pt>
                <c:pt idx="22">
                  <c:v>0.33226966666666702</c:v>
                </c:pt>
                <c:pt idx="23">
                  <c:v>0.22053500000000001</c:v>
                </c:pt>
                <c:pt idx="24">
                  <c:v>0.22178</c:v>
                </c:pt>
                <c:pt idx="25">
                  <c:v>0.22378000000000001</c:v>
                </c:pt>
                <c:pt idx="26">
                  <c:v>0.36168133333333302</c:v>
                </c:pt>
                <c:pt idx="27">
                  <c:v>0.35635333333333302</c:v>
                </c:pt>
                <c:pt idx="28">
                  <c:v>0.255749333333333</c:v>
                </c:pt>
                <c:pt idx="29">
                  <c:v>8.9420666666666704E-2</c:v>
                </c:pt>
                <c:pt idx="30">
                  <c:v>0.182564</c:v>
                </c:pt>
                <c:pt idx="31">
                  <c:v>6.2994999999999995E-2</c:v>
                </c:pt>
                <c:pt idx="32">
                  <c:v>0.273287</c:v>
                </c:pt>
                <c:pt idx="33">
                  <c:v>0.29082966666666699</c:v>
                </c:pt>
                <c:pt idx="34">
                  <c:v>0.27623766666666699</c:v>
                </c:pt>
                <c:pt idx="35">
                  <c:v>1.4791700000000001</c:v>
                </c:pt>
                <c:pt idx="36">
                  <c:v>0.65780233333333304</c:v>
                </c:pt>
                <c:pt idx="37">
                  <c:v>0.30240699999999998</c:v>
                </c:pt>
                <c:pt idx="38">
                  <c:v>0.43209700000000001</c:v>
                </c:pt>
                <c:pt idx="39">
                  <c:v>0.53149299999999999</c:v>
                </c:pt>
                <c:pt idx="40">
                  <c:v>0.12596533333333301</c:v>
                </c:pt>
                <c:pt idx="41">
                  <c:v>0.229139333333333</c:v>
                </c:pt>
                <c:pt idx="42">
                  <c:v>0.51729499999999995</c:v>
                </c:pt>
                <c:pt idx="43">
                  <c:v>0.32057000000000002</c:v>
                </c:pt>
                <c:pt idx="44">
                  <c:v>0.57400399999999996</c:v>
                </c:pt>
                <c:pt idx="45">
                  <c:v>0.41360333333333299</c:v>
                </c:pt>
                <c:pt idx="46">
                  <c:v>0.412057333333333</c:v>
                </c:pt>
                <c:pt idx="47">
                  <c:v>0.63323066666666705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EFCD-459D-BFC7-D57988FF3B25}"/>
            </c:ext>
          </c:extLst>
        </c:ser>
        <c:ser>
          <c:idx val="105"/>
          <c:order val="105"/>
          <c:tx>
            <c:v>BES_TR8_six571_C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Demand_kW!$DD$2:$DD$49</c:f>
              <c:numCache>
                <c:formatCode>#,##0.000</c:formatCode>
                <c:ptCount val="48"/>
                <c:pt idx="0">
                  <c:v>4.2000000000000003E-2</c:v>
                </c:pt>
                <c:pt idx="1">
                  <c:v>0.114984</c:v>
                </c:pt>
                <c:pt idx="2">
                  <c:v>4.2000000000000003E-2</c:v>
                </c:pt>
                <c:pt idx="3">
                  <c:v>4.2000000000000003E-2</c:v>
                </c:pt>
                <c:pt idx="4">
                  <c:v>4.2000000000000003E-2</c:v>
                </c:pt>
                <c:pt idx="5">
                  <c:v>0.11092933333333301</c:v>
                </c:pt>
                <c:pt idx="6">
                  <c:v>4.6054666666666702E-2</c:v>
                </c:pt>
                <c:pt idx="7">
                  <c:v>4.2000000000000003E-2</c:v>
                </c:pt>
                <c:pt idx="8">
                  <c:v>4.2000000000000003E-2</c:v>
                </c:pt>
                <c:pt idx="9">
                  <c:v>4.2000000000000003E-2</c:v>
                </c:pt>
                <c:pt idx="10">
                  <c:v>0.11092933333333301</c:v>
                </c:pt>
                <c:pt idx="11">
                  <c:v>4.6054666666666702E-2</c:v>
                </c:pt>
                <c:pt idx="12">
                  <c:v>4.2000000000000003E-2</c:v>
                </c:pt>
                <c:pt idx="13">
                  <c:v>4.2000000000000003E-2</c:v>
                </c:pt>
                <c:pt idx="14">
                  <c:v>9.4710666666666707E-2</c:v>
                </c:pt>
                <c:pt idx="15">
                  <c:v>0.101983333333333</c:v>
                </c:pt>
                <c:pt idx="16">
                  <c:v>4.2000000000000003E-2</c:v>
                </c:pt>
                <c:pt idx="17">
                  <c:v>4.2000000000000003E-2</c:v>
                </c:pt>
                <c:pt idx="18">
                  <c:v>4.2000000000000003E-2</c:v>
                </c:pt>
                <c:pt idx="19">
                  <c:v>0.24456333333333299</c:v>
                </c:pt>
                <c:pt idx="20">
                  <c:v>4.2000000000000003E-2</c:v>
                </c:pt>
                <c:pt idx="21">
                  <c:v>9.4710666666666707E-2</c:v>
                </c:pt>
                <c:pt idx="22">
                  <c:v>6.2273333333333403E-2</c:v>
                </c:pt>
                <c:pt idx="23">
                  <c:v>4.2000000000000003E-2</c:v>
                </c:pt>
                <c:pt idx="24">
                  <c:v>4.2000000000000003E-2</c:v>
                </c:pt>
                <c:pt idx="25">
                  <c:v>0.114984</c:v>
                </c:pt>
                <c:pt idx="26">
                  <c:v>4.2000000000000003E-2</c:v>
                </c:pt>
                <c:pt idx="27">
                  <c:v>4.2000000000000003E-2</c:v>
                </c:pt>
                <c:pt idx="28">
                  <c:v>0.114984</c:v>
                </c:pt>
                <c:pt idx="29">
                  <c:v>4.2000000000000003E-2</c:v>
                </c:pt>
                <c:pt idx="30">
                  <c:v>0.13525400000000001</c:v>
                </c:pt>
                <c:pt idx="31">
                  <c:v>8.2546666666666602E-2</c:v>
                </c:pt>
                <c:pt idx="32">
                  <c:v>0.144623</c:v>
                </c:pt>
                <c:pt idx="33">
                  <c:v>0.18637500000000001</c:v>
                </c:pt>
                <c:pt idx="34">
                  <c:v>4.2000000000000003E-2</c:v>
                </c:pt>
                <c:pt idx="35">
                  <c:v>7.5263333333333404E-2</c:v>
                </c:pt>
                <c:pt idx="36">
                  <c:v>0.136686</c:v>
                </c:pt>
                <c:pt idx="37">
                  <c:v>1.327132</c:v>
                </c:pt>
                <c:pt idx="38">
                  <c:v>4.2000000000000003E-2</c:v>
                </c:pt>
                <c:pt idx="39">
                  <c:v>4.2000000000000003E-2</c:v>
                </c:pt>
                <c:pt idx="40">
                  <c:v>0.114984</c:v>
                </c:pt>
                <c:pt idx="41">
                  <c:v>4.2000000000000003E-2</c:v>
                </c:pt>
                <c:pt idx="42">
                  <c:v>0.114984</c:v>
                </c:pt>
                <c:pt idx="43">
                  <c:v>4.2000000000000003E-2</c:v>
                </c:pt>
                <c:pt idx="44">
                  <c:v>4.6054666666666702E-2</c:v>
                </c:pt>
                <c:pt idx="45">
                  <c:v>0.11092933333333301</c:v>
                </c:pt>
                <c:pt idx="46">
                  <c:v>7.0382666666666704E-2</c:v>
                </c:pt>
                <c:pt idx="47">
                  <c:v>8.6601333333333294E-2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EFCD-459D-BFC7-D57988FF3B25}"/>
            </c:ext>
          </c:extLst>
        </c:ser>
        <c:ser>
          <c:idx val="106"/>
          <c:order val="106"/>
          <c:tx>
            <c:v>BES_TR8_six595_B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Demand_kW!$DE$2:$DE$49</c:f>
              <c:numCache>
                <c:formatCode>#,##0.000</c:formatCode>
                <c:ptCount val="48"/>
                <c:pt idx="0">
                  <c:v>0.154724</c:v>
                </c:pt>
                <c:pt idx="1">
                  <c:v>0.18325333333333299</c:v>
                </c:pt>
                <c:pt idx="2">
                  <c:v>5.6000000000000001E-2</c:v>
                </c:pt>
                <c:pt idx="3">
                  <c:v>5.6000000000000001E-2</c:v>
                </c:pt>
                <c:pt idx="4">
                  <c:v>0.25895533333333298</c:v>
                </c:pt>
                <c:pt idx="5">
                  <c:v>7.9022000000000106E-2</c:v>
                </c:pt>
                <c:pt idx="6">
                  <c:v>7.0264666666666697E-2</c:v>
                </c:pt>
                <c:pt idx="7">
                  <c:v>0.26771266666666699</c:v>
                </c:pt>
                <c:pt idx="8">
                  <c:v>5.6000000000000001E-2</c:v>
                </c:pt>
                <c:pt idx="9">
                  <c:v>5.6000000000000001E-2</c:v>
                </c:pt>
                <c:pt idx="10">
                  <c:v>5.6000000000000001E-2</c:v>
                </c:pt>
                <c:pt idx="11">
                  <c:v>0.26771266666666699</c:v>
                </c:pt>
                <c:pt idx="12">
                  <c:v>7.0264666666666697E-2</c:v>
                </c:pt>
                <c:pt idx="13">
                  <c:v>0.160773</c:v>
                </c:pt>
                <c:pt idx="14">
                  <c:v>0.17720433333333299</c:v>
                </c:pt>
                <c:pt idx="15">
                  <c:v>0.11924333333333299</c:v>
                </c:pt>
                <c:pt idx="16">
                  <c:v>0.40607466666666697</c:v>
                </c:pt>
                <c:pt idx="17">
                  <c:v>1.6454486666666699</c:v>
                </c:pt>
                <c:pt idx="18">
                  <c:v>2.76189333333333</c:v>
                </c:pt>
                <c:pt idx="19">
                  <c:v>1.0943273333333301</c:v>
                </c:pt>
                <c:pt idx="20">
                  <c:v>5.6000000000000001E-2</c:v>
                </c:pt>
                <c:pt idx="21">
                  <c:v>0.22054000000000001</c:v>
                </c:pt>
                <c:pt idx="22">
                  <c:v>0.117437333333333</c:v>
                </c:pt>
                <c:pt idx="23">
                  <c:v>0.196866666666667</c:v>
                </c:pt>
                <c:pt idx="24">
                  <c:v>1.6702633333333301</c:v>
                </c:pt>
                <c:pt idx="25">
                  <c:v>1.17589066666667</c:v>
                </c:pt>
                <c:pt idx="26">
                  <c:v>0.25951966666666698</c:v>
                </c:pt>
                <c:pt idx="27">
                  <c:v>0.38704</c:v>
                </c:pt>
                <c:pt idx="28">
                  <c:v>0.14067933333333299</c:v>
                </c:pt>
                <c:pt idx="29">
                  <c:v>0.11576699999999999</c:v>
                </c:pt>
                <c:pt idx="30">
                  <c:v>0.22604733333333299</c:v>
                </c:pt>
                <c:pt idx="31">
                  <c:v>0.67081299999999999</c:v>
                </c:pt>
                <c:pt idx="32">
                  <c:v>1.87590066666667</c:v>
                </c:pt>
                <c:pt idx="33">
                  <c:v>0.662758333333334</c:v>
                </c:pt>
                <c:pt idx="34">
                  <c:v>0.40270499999999998</c:v>
                </c:pt>
                <c:pt idx="35">
                  <c:v>0.39056833333333302</c:v>
                </c:pt>
                <c:pt idx="36">
                  <c:v>0.219263333333333</c:v>
                </c:pt>
                <c:pt idx="37">
                  <c:v>0.33438933333333298</c:v>
                </c:pt>
                <c:pt idx="38">
                  <c:v>0.37346400000000002</c:v>
                </c:pt>
                <c:pt idx="39">
                  <c:v>0.62670700000000001</c:v>
                </c:pt>
                <c:pt idx="40">
                  <c:v>0.72397100000000003</c:v>
                </c:pt>
                <c:pt idx="41">
                  <c:v>0.63586733333333301</c:v>
                </c:pt>
                <c:pt idx="42">
                  <c:v>0.50235600000000002</c:v>
                </c:pt>
                <c:pt idx="43">
                  <c:v>0.48737200000000003</c:v>
                </c:pt>
                <c:pt idx="44">
                  <c:v>0.36303999999999997</c:v>
                </c:pt>
                <c:pt idx="45">
                  <c:v>0.942139333333333</c:v>
                </c:pt>
                <c:pt idx="46">
                  <c:v>0.41821666666666701</c:v>
                </c:pt>
                <c:pt idx="47">
                  <c:v>0.207896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EFCD-459D-BFC7-D57988FF3B25}"/>
            </c:ext>
          </c:extLst>
        </c:ser>
        <c:ser>
          <c:idx val="107"/>
          <c:order val="107"/>
          <c:tx>
            <c:v>BES_TR8_six643_A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Demand_kW!$DF$2:$DF$49</c:f>
              <c:numCache>
                <c:formatCode>#,##0.000</c:formatCode>
                <c:ptCount val="48"/>
                <c:pt idx="0">
                  <c:v>0.71935233333333404</c:v>
                </c:pt>
                <c:pt idx="1">
                  <c:v>0.50780433333333297</c:v>
                </c:pt>
                <c:pt idx="2">
                  <c:v>0.50585266666666695</c:v>
                </c:pt>
                <c:pt idx="3">
                  <c:v>0.48313666666666699</c:v>
                </c:pt>
                <c:pt idx="4">
                  <c:v>0.143433333333333</c:v>
                </c:pt>
                <c:pt idx="5">
                  <c:v>0.15543533333333301</c:v>
                </c:pt>
                <c:pt idx="6">
                  <c:v>0.1978</c:v>
                </c:pt>
                <c:pt idx="7">
                  <c:v>0.15866333333333299</c:v>
                </c:pt>
                <c:pt idx="8">
                  <c:v>0.155738666666667</c:v>
                </c:pt>
                <c:pt idx="9">
                  <c:v>0.15896666666666701</c:v>
                </c:pt>
                <c:pt idx="10">
                  <c:v>0.14847566666666701</c:v>
                </c:pt>
                <c:pt idx="11">
                  <c:v>0.235826333333333</c:v>
                </c:pt>
                <c:pt idx="12">
                  <c:v>5.8000000000000003E-2</c:v>
                </c:pt>
                <c:pt idx="13">
                  <c:v>7.1919333333333405E-2</c:v>
                </c:pt>
                <c:pt idx="14">
                  <c:v>0.360972666666667</c:v>
                </c:pt>
                <c:pt idx="15">
                  <c:v>5.8000000000000003E-2</c:v>
                </c:pt>
                <c:pt idx="16">
                  <c:v>0.19507566666666701</c:v>
                </c:pt>
                <c:pt idx="17">
                  <c:v>0.189226333333333</c:v>
                </c:pt>
                <c:pt idx="18">
                  <c:v>0.21814666666666699</c:v>
                </c:pt>
                <c:pt idx="19">
                  <c:v>0.60694433333333297</c:v>
                </c:pt>
                <c:pt idx="20">
                  <c:v>0.630436</c:v>
                </c:pt>
                <c:pt idx="21">
                  <c:v>0.146386666666667</c:v>
                </c:pt>
                <c:pt idx="22">
                  <c:v>0.28801533333333301</c:v>
                </c:pt>
                <c:pt idx="23">
                  <c:v>0.29430133333333303</c:v>
                </c:pt>
                <c:pt idx="24">
                  <c:v>0.35491333333333402</c:v>
                </c:pt>
                <c:pt idx="25">
                  <c:v>0.18368933333333301</c:v>
                </c:pt>
                <c:pt idx="26">
                  <c:v>0.1910896</c:v>
                </c:pt>
                <c:pt idx="27">
                  <c:v>0.157855</c:v>
                </c:pt>
                <c:pt idx="28">
                  <c:v>0.29910933333333301</c:v>
                </c:pt>
                <c:pt idx="29">
                  <c:v>3.0261213333333301</c:v>
                </c:pt>
                <c:pt idx="30">
                  <c:v>2.9470533333333302</c:v>
                </c:pt>
                <c:pt idx="31">
                  <c:v>0.58794866666666701</c:v>
                </c:pt>
                <c:pt idx="32">
                  <c:v>0.24372933333333299</c:v>
                </c:pt>
                <c:pt idx="33">
                  <c:v>0.34858763333333298</c:v>
                </c:pt>
                <c:pt idx="34">
                  <c:v>0.10596496666666699</c:v>
                </c:pt>
                <c:pt idx="35">
                  <c:v>0.24409666666666699</c:v>
                </c:pt>
                <c:pt idx="36">
                  <c:v>0.143096</c:v>
                </c:pt>
                <c:pt idx="37">
                  <c:v>2.0565926666666701</c:v>
                </c:pt>
                <c:pt idx="38">
                  <c:v>1.7341726666666699</c:v>
                </c:pt>
                <c:pt idx="39">
                  <c:v>0.68271933333333301</c:v>
                </c:pt>
                <c:pt idx="40">
                  <c:v>0.59824100000000002</c:v>
                </c:pt>
                <c:pt idx="41">
                  <c:v>0.91908500000000004</c:v>
                </c:pt>
                <c:pt idx="42">
                  <c:v>0.73749399999999998</c:v>
                </c:pt>
                <c:pt idx="43">
                  <c:v>0.64366566666666702</c:v>
                </c:pt>
                <c:pt idx="44">
                  <c:v>0.73501733333333297</c:v>
                </c:pt>
                <c:pt idx="45">
                  <c:v>0.78225033333333305</c:v>
                </c:pt>
                <c:pt idx="46">
                  <c:v>0.33056200000000002</c:v>
                </c:pt>
                <c:pt idx="47">
                  <c:v>0.20556666666666701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EFCD-459D-BFC7-D57988FF3B25}"/>
            </c:ext>
          </c:extLst>
        </c:ser>
        <c:ser>
          <c:idx val="108"/>
          <c:order val="108"/>
          <c:tx>
            <c:v>BES_TR8_six652_A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Demand_kW!$DG$2:$DG$49</c:f>
              <c:numCache>
                <c:formatCode>#,##0.000</c:formatCode>
                <c:ptCount val="48"/>
                <c:pt idx="0">
                  <c:v>5.8000000000000003E-2</c:v>
                </c:pt>
                <c:pt idx="1">
                  <c:v>5.8000000000000003E-2</c:v>
                </c:pt>
                <c:pt idx="2">
                  <c:v>0.16072500000000001</c:v>
                </c:pt>
                <c:pt idx="3">
                  <c:v>0.105938333333333</c:v>
                </c:pt>
                <c:pt idx="4">
                  <c:v>9.2241666666666694E-2</c:v>
                </c:pt>
                <c:pt idx="5">
                  <c:v>0.174421666666667</c:v>
                </c:pt>
                <c:pt idx="6">
                  <c:v>5.8000000000000003E-2</c:v>
                </c:pt>
                <c:pt idx="7">
                  <c:v>0.20181499999999999</c:v>
                </c:pt>
                <c:pt idx="8">
                  <c:v>6.4848333333333397E-2</c:v>
                </c:pt>
                <c:pt idx="9">
                  <c:v>0.14702833333333301</c:v>
                </c:pt>
                <c:pt idx="10">
                  <c:v>0.11963500000000001</c:v>
                </c:pt>
                <c:pt idx="11">
                  <c:v>5.8000000000000003E-2</c:v>
                </c:pt>
                <c:pt idx="12">
                  <c:v>0.13333166666666699</c:v>
                </c:pt>
                <c:pt idx="13">
                  <c:v>0.13333166666666699</c:v>
                </c:pt>
                <c:pt idx="14">
                  <c:v>5.8000000000000003E-2</c:v>
                </c:pt>
                <c:pt idx="15">
                  <c:v>0.174421666666667</c:v>
                </c:pt>
                <c:pt idx="16">
                  <c:v>9.2241666666666597E-2</c:v>
                </c:pt>
                <c:pt idx="17">
                  <c:v>5.8000000000000003E-2</c:v>
                </c:pt>
                <c:pt idx="18">
                  <c:v>0.20866333333333301</c:v>
                </c:pt>
                <c:pt idx="19">
                  <c:v>0.21133866666666701</c:v>
                </c:pt>
                <c:pt idx="20">
                  <c:v>0.366759</c:v>
                </c:pt>
                <c:pt idx="21">
                  <c:v>0.42779266666666699</c:v>
                </c:pt>
                <c:pt idx="22">
                  <c:v>0.42492400000000002</c:v>
                </c:pt>
                <c:pt idx="23">
                  <c:v>4.2310333333333299</c:v>
                </c:pt>
                <c:pt idx="24">
                  <c:v>3.2232266666666698</c:v>
                </c:pt>
                <c:pt idx="25">
                  <c:v>0.65944733333333305</c:v>
                </c:pt>
                <c:pt idx="26">
                  <c:v>0.33349499999999999</c:v>
                </c:pt>
                <c:pt idx="27">
                  <c:v>0.888459</c:v>
                </c:pt>
                <c:pt idx="28">
                  <c:v>0.93435900000000005</c:v>
                </c:pt>
                <c:pt idx="29">
                  <c:v>0.37534066666666699</c:v>
                </c:pt>
                <c:pt idx="30">
                  <c:v>0.35594799999999999</c:v>
                </c:pt>
                <c:pt idx="31">
                  <c:v>0.82942866666666704</c:v>
                </c:pt>
                <c:pt idx="32">
                  <c:v>0.269704</c:v>
                </c:pt>
                <c:pt idx="33">
                  <c:v>0.28670400000000001</c:v>
                </c:pt>
                <c:pt idx="34">
                  <c:v>0.364375333333333</c:v>
                </c:pt>
                <c:pt idx="35">
                  <c:v>0.23426</c:v>
                </c:pt>
                <c:pt idx="36">
                  <c:v>0.38604066666666698</c:v>
                </c:pt>
                <c:pt idx="37">
                  <c:v>0.45374266666666702</c:v>
                </c:pt>
                <c:pt idx="38">
                  <c:v>0.14018</c:v>
                </c:pt>
                <c:pt idx="39">
                  <c:v>5.8000000000000003E-2</c:v>
                </c:pt>
                <c:pt idx="40">
                  <c:v>0.16072500000000001</c:v>
                </c:pt>
                <c:pt idx="41">
                  <c:v>0.105938333333333</c:v>
                </c:pt>
                <c:pt idx="42">
                  <c:v>1.0090625666666699</c:v>
                </c:pt>
                <c:pt idx="43">
                  <c:v>1.06174793333333</c:v>
                </c:pt>
                <c:pt idx="44">
                  <c:v>5.8000000000000003E-2</c:v>
                </c:pt>
                <c:pt idx="45">
                  <c:v>0.188118333333333</c:v>
                </c:pt>
                <c:pt idx="46">
                  <c:v>7.8545000000000004E-2</c:v>
                </c:pt>
                <c:pt idx="47">
                  <c:v>5.8000000000000003E-2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EFCD-459D-BFC7-D57988FF3B25}"/>
            </c:ext>
          </c:extLst>
        </c:ser>
        <c:ser>
          <c:idx val="109"/>
          <c:order val="109"/>
          <c:tx>
            <c:v>BES_TR8_six667_A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Demand_kW!$DH$2:$DH$49</c:f>
              <c:numCache>
                <c:formatCode>#,##0.000</c:formatCode>
                <c:ptCount val="48"/>
                <c:pt idx="0">
                  <c:v>0.05</c:v>
                </c:pt>
                <c:pt idx="1">
                  <c:v>0.12123200000000001</c:v>
                </c:pt>
                <c:pt idx="2">
                  <c:v>0.10347666666666699</c:v>
                </c:pt>
                <c:pt idx="3">
                  <c:v>8.5615999999999998E-2</c:v>
                </c:pt>
                <c:pt idx="4">
                  <c:v>8.5615999999999901E-2</c:v>
                </c:pt>
                <c:pt idx="5">
                  <c:v>0.05</c:v>
                </c:pt>
                <c:pt idx="6">
                  <c:v>0.12123200000000001</c:v>
                </c:pt>
                <c:pt idx="7">
                  <c:v>5.7914666666666698E-2</c:v>
                </c:pt>
                <c:pt idx="8">
                  <c:v>0.11331733333333301</c:v>
                </c:pt>
                <c:pt idx="9">
                  <c:v>6.5829333333333406E-2</c:v>
                </c:pt>
                <c:pt idx="10">
                  <c:v>0.10540266666666701</c:v>
                </c:pt>
                <c:pt idx="11">
                  <c:v>0.05</c:v>
                </c:pt>
                <c:pt idx="12">
                  <c:v>0.12123200000000001</c:v>
                </c:pt>
                <c:pt idx="13">
                  <c:v>0.05</c:v>
                </c:pt>
                <c:pt idx="14">
                  <c:v>0.12123200000000001</c:v>
                </c:pt>
                <c:pt idx="15">
                  <c:v>0.05</c:v>
                </c:pt>
                <c:pt idx="16">
                  <c:v>1.3899534</c:v>
                </c:pt>
                <c:pt idx="17">
                  <c:v>1.9818453333333299</c:v>
                </c:pt>
                <c:pt idx="18">
                  <c:v>9.2914666666666604E-2</c:v>
                </c:pt>
                <c:pt idx="19">
                  <c:v>7.7440400000000006E-2</c:v>
                </c:pt>
                <c:pt idx="20">
                  <c:v>0.17074626666666701</c:v>
                </c:pt>
                <c:pt idx="21">
                  <c:v>0.21215719999999999</c:v>
                </c:pt>
                <c:pt idx="22">
                  <c:v>9.6803999999999904E-2</c:v>
                </c:pt>
                <c:pt idx="23">
                  <c:v>0.05</c:v>
                </c:pt>
                <c:pt idx="24">
                  <c:v>8.9573333333333297E-2</c:v>
                </c:pt>
                <c:pt idx="25">
                  <c:v>8.1658666666666602E-2</c:v>
                </c:pt>
                <c:pt idx="26">
                  <c:v>0.245825666666667</c:v>
                </c:pt>
                <c:pt idx="27">
                  <c:v>0.13908573333333299</c:v>
                </c:pt>
                <c:pt idx="28">
                  <c:v>0.15417006666666699</c:v>
                </c:pt>
                <c:pt idx="29">
                  <c:v>0.164845466666667</c:v>
                </c:pt>
                <c:pt idx="30">
                  <c:v>0.197301333333333</c:v>
                </c:pt>
                <c:pt idx="31">
                  <c:v>0.19817899999999999</c:v>
                </c:pt>
                <c:pt idx="32">
                  <c:v>7.1613999999999997E-2</c:v>
                </c:pt>
                <c:pt idx="33">
                  <c:v>7.60348E-2</c:v>
                </c:pt>
                <c:pt idx="34">
                  <c:v>5.5098000000000001E-2</c:v>
                </c:pt>
                <c:pt idx="35">
                  <c:v>0.17072426666666701</c:v>
                </c:pt>
                <c:pt idx="36">
                  <c:v>0.12677973333333301</c:v>
                </c:pt>
                <c:pt idx="37">
                  <c:v>0.157043666666667</c:v>
                </c:pt>
                <c:pt idx="38">
                  <c:v>0.34651533333333301</c:v>
                </c:pt>
                <c:pt idx="39">
                  <c:v>0.167714</c:v>
                </c:pt>
                <c:pt idx="40">
                  <c:v>0.15647866666666699</c:v>
                </c:pt>
                <c:pt idx="41">
                  <c:v>0.31004933333333301</c:v>
                </c:pt>
                <c:pt idx="42">
                  <c:v>0.38301333333333398</c:v>
                </c:pt>
                <c:pt idx="43">
                  <c:v>0.46262066666666701</c:v>
                </c:pt>
                <c:pt idx="44">
                  <c:v>0.32910866666666699</c:v>
                </c:pt>
                <c:pt idx="45">
                  <c:v>0.11243133333333299</c:v>
                </c:pt>
                <c:pt idx="46">
                  <c:v>0.12123200000000001</c:v>
                </c:pt>
                <c:pt idx="47">
                  <c:v>5.7914666666666698E-2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EFCD-459D-BFC7-D57988FF3B25}"/>
            </c:ext>
          </c:extLst>
        </c:ser>
        <c:ser>
          <c:idx val="110"/>
          <c:order val="110"/>
          <c:tx>
            <c:v>BES_TR8_six699_C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Demand_kW!$DI$2:$DI$49</c:f>
              <c:numCache>
                <c:formatCode>#,##0.000</c:formatCode>
                <c:ptCount val="48"/>
                <c:pt idx="0">
                  <c:v>0.23492099999999999</c:v>
                </c:pt>
                <c:pt idx="1">
                  <c:v>0.202722666666667</c:v>
                </c:pt>
                <c:pt idx="2">
                  <c:v>9.9667333333333302E-2</c:v>
                </c:pt>
                <c:pt idx="3">
                  <c:v>0.20261899999999999</c:v>
                </c:pt>
                <c:pt idx="4">
                  <c:v>0.27069733333333301</c:v>
                </c:pt>
                <c:pt idx="5">
                  <c:v>0.24806566666666699</c:v>
                </c:pt>
                <c:pt idx="6">
                  <c:v>6.2142000000000003E-2</c:v>
                </c:pt>
                <c:pt idx="7">
                  <c:v>0.32745733333333299</c:v>
                </c:pt>
                <c:pt idx="8">
                  <c:v>0.16519900000000001</c:v>
                </c:pt>
                <c:pt idx="9">
                  <c:v>0.24469866666666701</c:v>
                </c:pt>
                <c:pt idx="10">
                  <c:v>0.15486866666666699</c:v>
                </c:pt>
                <c:pt idx="11">
                  <c:v>0.218207333333333</c:v>
                </c:pt>
                <c:pt idx="12">
                  <c:v>0.110568</c:v>
                </c:pt>
                <c:pt idx="13">
                  <c:v>0.15167800000000001</c:v>
                </c:pt>
                <c:pt idx="14">
                  <c:v>0.28596133333333301</c:v>
                </c:pt>
                <c:pt idx="15">
                  <c:v>0.117063866666667</c:v>
                </c:pt>
                <c:pt idx="16">
                  <c:v>0.93210999999999999</c:v>
                </c:pt>
                <c:pt idx="17">
                  <c:v>0.65608100000000003</c:v>
                </c:pt>
                <c:pt idx="18">
                  <c:v>0.32242466666666703</c:v>
                </c:pt>
                <c:pt idx="19">
                  <c:v>0.18558133333333299</c:v>
                </c:pt>
                <c:pt idx="20">
                  <c:v>0.27749200000000002</c:v>
                </c:pt>
                <c:pt idx="21">
                  <c:v>0.22572</c:v>
                </c:pt>
                <c:pt idx="22">
                  <c:v>0.12623733333333301</c:v>
                </c:pt>
                <c:pt idx="23">
                  <c:v>0.37100666666666698</c:v>
                </c:pt>
                <c:pt idx="24">
                  <c:v>6.7522666666666703E-2</c:v>
                </c:pt>
                <c:pt idx="25">
                  <c:v>0.150449</c:v>
                </c:pt>
                <c:pt idx="26">
                  <c:v>0.33603100000000002</c:v>
                </c:pt>
                <c:pt idx="27">
                  <c:v>0.15940399999999999</c:v>
                </c:pt>
                <c:pt idx="28">
                  <c:v>0.15486866666666699</c:v>
                </c:pt>
                <c:pt idx="29">
                  <c:v>0.15361333333333299</c:v>
                </c:pt>
                <c:pt idx="30">
                  <c:v>0.110581</c:v>
                </c:pt>
                <c:pt idx="31">
                  <c:v>0.238506</c:v>
                </c:pt>
                <c:pt idx="32">
                  <c:v>0.24998300000000001</c:v>
                </c:pt>
                <c:pt idx="33">
                  <c:v>0.42558233333333301</c:v>
                </c:pt>
                <c:pt idx="34">
                  <c:v>0.11182549999999999</c:v>
                </c:pt>
                <c:pt idx="35">
                  <c:v>0.34419633333333299</c:v>
                </c:pt>
                <c:pt idx="36">
                  <c:v>0.15386966666666699</c:v>
                </c:pt>
                <c:pt idx="37">
                  <c:v>0.23881720000000001</c:v>
                </c:pt>
                <c:pt idx="38">
                  <c:v>0.34876000000000001</c:v>
                </c:pt>
                <c:pt idx="39">
                  <c:v>0.78481833333333295</c:v>
                </c:pt>
                <c:pt idx="40">
                  <c:v>0.91732666666666696</c:v>
                </c:pt>
                <c:pt idx="41">
                  <c:v>0.63498966666666701</c:v>
                </c:pt>
                <c:pt idx="42">
                  <c:v>0.878363</c:v>
                </c:pt>
                <c:pt idx="43">
                  <c:v>0.63217366666666697</c:v>
                </c:pt>
                <c:pt idx="44">
                  <c:v>0.69299699999999997</c:v>
                </c:pt>
                <c:pt idx="45">
                  <c:v>0.84284300000000001</c:v>
                </c:pt>
                <c:pt idx="46">
                  <c:v>0.70148100000000002</c:v>
                </c:pt>
                <c:pt idx="47">
                  <c:v>0.685066333333333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EFCD-459D-BFC7-D57988FF3B25}"/>
            </c:ext>
          </c:extLst>
        </c:ser>
        <c:ser>
          <c:idx val="111"/>
          <c:order val="111"/>
          <c:tx>
            <c:v>BES_TR8_six723_B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Demand_kW!$DJ$2:$DJ$49</c:f>
              <c:numCache>
                <c:formatCode>#,##0.000</c:formatCode>
                <c:ptCount val="48"/>
                <c:pt idx="0">
                  <c:v>0.27314066666666698</c:v>
                </c:pt>
                <c:pt idx="1">
                  <c:v>0.24962799999999999</c:v>
                </c:pt>
                <c:pt idx="2">
                  <c:v>0.16691066666666701</c:v>
                </c:pt>
                <c:pt idx="3">
                  <c:v>7.6396000000000006E-2</c:v>
                </c:pt>
                <c:pt idx="4">
                  <c:v>0.39235666666666702</c:v>
                </c:pt>
                <c:pt idx="5">
                  <c:v>0.130412</c:v>
                </c:pt>
                <c:pt idx="6">
                  <c:v>0.122789333333333</c:v>
                </c:pt>
                <c:pt idx="7">
                  <c:v>0.27067266666666701</c:v>
                </c:pt>
                <c:pt idx="8">
                  <c:v>0.18630666666666701</c:v>
                </c:pt>
                <c:pt idx="9">
                  <c:v>0.27311400000000002</c:v>
                </c:pt>
                <c:pt idx="10">
                  <c:v>0.120348</c:v>
                </c:pt>
                <c:pt idx="11">
                  <c:v>5.7000000000000002E-2</c:v>
                </c:pt>
                <c:pt idx="12">
                  <c:v>0.21372933333333299</c:v>
                </c:pt>
                <c:pt idx="13">
                  <c:v>0.22680266666666701</c:v>
                </c:pt>
                <c:pt idx="14">
                  <c:v>0.188507333333333</c:v>
                </c:pt>
                <c:pt idx="15">
                  <c:v>0.112736</c:v>
                </c:pt>
                <c:pt idx="16">
                  <c:v>0.17984133333333399</c:v>
                </c:pt>
                <c:pt idx="17">
                  <c:v>0.33646199999999998</c:v>
                </c:pt>
                <c:pt idx="18">
                  <c:v>5.7000000000000002E-2</c:v>
                </c:pt>
                <c:pt idx="19">
                  <c:v>0.169237</c:v>
                </c:pt>
                <c:pt idx="20">
                  <c:v>0.35353166666666702</c:v>
                </c:pt>
                <c:pt idx="21">
                  <c:v>5.7000000000000002E-2</c:v>
                </c:pt>
                <c:pt idx="22">
                  <c:v>0.16390766666666701</c:v>
                </c:pt>
                <c:pt idx="23">
                  <c:v>0.25541566666666699</c:v>
                </c:pt>
                <c:pt idx="24">
                  <c:v>0.22718866666666701</c:v>
                </c:pt>
                <c:pt idx="25">
                  <c:v>0.37794499999999998</c:v>
                </c:pt>
                <c:pt idx="26">
                  <c:v>0.53743200000000002</c:v>
                </c:pt>
                <c:pt idx="27">
                  <c:v>0.33463700000000002</c:v>
                </c:pt>
                <c:pt idx="28">
                  <c:v>1.7766439999999999</c:v>
                </c:pt>
                <c:pt idx="29">
                  <c:v>0.1970981</c:v>
                </c:pt>
                <c:pt idx="30">
                  <c:v>0.45529140000000001</c:v>
                </c:pt>
                <c:pt idx="31">
                  <c:v>0.18674263333333299</c:v>
                </c:pt>
                <c:pt idx="32">
                  <c:v>5.7000000000000002E-2</c:v>
                </c:pt>
                <c:pt idx="33">
                  <c:v>0.32238466666666699</c:v>
                </c:pt>
                <c:pt idx="34">
                  <c:v>7.1077333333333298E-2</c:v>
                </c:pt>
                <c:pt idx="35">
                  <c:v>0.12811866666666699</c:v>
                </c:pt>
                <c:pt idx="36">
                  <c:v>0.29596600000000001</c:v>
                </c:pt>
                <c:pt idx="37">
                  <c:v>0.181545333333333</c:v>
                </c:pt>
                <c:pt idx="38">
                  <c:v>0.25898666666666698</c:v>
                </c:pt>
                <c:pt idx="39">
                  <c:v>0.237920666666667</c:v>
                </c:pt>
                <c:pt idx="40">
                  <c:v>0.11044266666666699</c:v>
                </c:pt>
                <c:pt idx="41">
                  <c:v>0.40410233333333401</c:v>
                </c:pt>
                <c:pt idx="42">
                  <c:v>9.1084999999999999E-2</c:v>
                </c:pt>
                <c:pt idx="43">
                  <c:v>0.25898666666666698</c:v>
                </c:pt>
                <c:pt idx="44">
                  <c:v>0.237920666666667</c:v>
                </c:pt>
                <c:pt idx="45">
                  <c:v>0.208569333333333</c:v>
                </c:pt>
                <c:pt idx="46">
                  <c:v>0.264857333333333</c:v>
                </c:pt>
                <c:pt idx="47">
                  <c:v>0.21279400000000001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EFCD-459D-BFC7-D57988FF3B25}"/>
            </c:ext>
          </c:extLst>
        </c:ser>
        <c:ser>
          <c:idx val="112"/>
          <c:order val="112"/>
          <c:tx>
            <c:v>BES_TR8_six740_A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Demand_kW!$DK$2:$DK$49</c:f>
              <c:numCache>
                <c:formatCode>#,##0.000</c:formatCode>
                <c:ptCount val="48"/>
                <c:pt idx="0">
                  <c:v>0.156162666666667</c:v>
                </c:pt>
                <c:pt idx="1">
                  <c:v>5.3999999999999999E-2</c:v>
                </c:pt>
                <c:pt idx="2">
                  <c:v>5.3999999999999999E-2</c:v>
                </c:pt>
                <c:pt idx="3">
                  <c:v>0.16402133333333399</c:v>
                </c:pt>
                <c:pt idx="4">
                  <c:v>5.3999999999999999E-2</c:v>
                </c:pt>
                <c:pt idx="5">
                  <c:v>0.16402133333333299</c:v>
                </c:pt>
                <c:pt idx="6">
                  <c:v>5.3999999999999999E-2</c:v>
                </c:pt>
                <c:pt idx="7">
                  <c:v>5.3999999999999999E-2</c:v>
                </c:pt>
                <c:pt idx="8">
                  <c:v>0.10901066666666701</c:v>
                </c:pt>
                <c:pt idx="9">
                  <c:v>0.10901066666666701</c:v>
                </c:pt>
                <c:pt idx="10">
                  <c:v>5.3999999999999999E-2</c:v>
                </c:pt>
                <c:pt idx="11">
                  <c:v>0.16402133333333299</c:v>
                </c:pt>
                <c:pt idx="12">
                  <c:v>5.3999999999999999E-2</c:v>
                </c:pt>
                <c:pt idx="13">
                  <c:v>5.3999999999999999E-2</c:v>
                </c:pt>
                <c:pt idx="14">
                  <c:v>0.39997389999999999</c:v>
                </c:pt>
                <c:pt idx="15">
                  <c:v>0.26613999999999999</c:v>
                </c:pt>
                <c:pt idx="16">
                  <c:v>0.19777666666666699</c:v>
                </c:pt>
                <c:pt idx="17">
                  <c:v>0.19370999999999999</c:v>
                </c:pt>
                <c:pt idx="18">
                  <c:v>0.23300499999999999</c:v>
                </c:pt>
                <c:pt idx="19">
                  <c:v>0.26817433333333301</c:v>
                </c:pt>
                <c:pt idx="20">
                  <c:v>0.19691</c:v>
                </c:pt>
                <c:pt idx="21">
                  <c:v>0.308802666666667</c:v>
                </c:pt>
                <c:pt idx="22">
                  <c:v>0.23811233333333401</c:v>
                </c:pt>
                <c:pt idx="23">
                  <c:v>5.3999999999999999E-2</c:v>
                </c:pt>
                <c:pt idx="24">
                  <c:v>0.25716366666666701</c:v>
                </c:pt>
                <c:pt idx="25">
                  <c:v>0.31151400000000001</c:v>
                </c:pt>
                <c:pt idx="26">
                  <c:v>5.3999999999999999E-2</c:v>
                </c:pt>
                <c:pt idx="27">
                  <c:v>0.16402133333333299</c:v>
                </c:pt>
                <c:pt idx="28">
                  <c:v>5.3999999999999999E-2</c:v>
                </c:pt>
                <c:pt idx="29">
                  <c:v>5.3999999999999999E-2</c:v>
                </c:pt>
                <c:pt idx="30">
                  <c:v>5.3999999999999999E-2</c:v>
                </c:pt>
                <c:pt idx="31">
                  <c:v>0.16402133333333299</c:v>
                </c:pt>
                <c:pt idx="32">
                  <c:v>5.3999999999999999E-2</c:v>
                </c:pt>
                <c:pt idx="33">
                  <c:v>9.3293333333333395E-2</c:v>
                </c:pt>
                <c:pt idx="34">
                  <c:v>0.12472800000000001</c:v>
                </c:pt>
                <c:pt idx="35">
                  <c:v>5.3999999999999999E-2</c:v>
                </c:pt>
                <c:pt idx="36">
                  <c:v>0.296314666666667</c:v>
                </c:pt>
                <c:pt idx="37">
                  <c:v>1.7298453333333299</c:v>
                </c:pt>
                <c:pt idx="38">
                  <c:v>2.3109933333333301</c:v>
                </c:pt>
                <c:pt idx="39">
                  <c:v>1.0316593333333299</c:v>
                </c:pt>
                <c:pt idx="40">
                  <c:v>0.40942833333333301</c:v>
                </c:pt>
                <c:pt idx="41">
                  <c:v>1.2764486666666699</c:v>
                </c:pt>
                <c:pt idx="42">
                  <c:v>0.66434533333333301</c:v>
                </c:pt>
                <c:pt idx="43">
                  <c:v>0.685875666666666</c:v>
                </c:pt>
                <c:pt idx="44">
                  <c:v>0.63255799999999995</c:v>
                </c:pt>
                <c:pt idx="45">
                  <c:v>0.61160999999999999</c:v>
                </c:pt>
                <c:pt idx="46">
                  <c:v>0.33025933333333302</c:v>
                </c:pt>
                <c:pt idx="47">
                  <c:v>0.70146533333333405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EFCD-459D-BFC7-D57988FF3B25}"/>
            </c:ext>
          </c:extLst>
        </c:ser>
        <c:ser>
          <c:idx val="113"/>
          <c:order val="113"/>
          <c:tx>
            <c:v>BES_TR8_six90_B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Demand_kW!$DL$2:$DL$49</c:f>
              <c:numCache>
                <c:formatCode>#,##0.000</c:formatCode>
                <c:ptCount val="48"/>
                <c:pt idx="0">
                  <c:v>0.16683400000000001</c:v>
                </c:pt>
                <c:pt idx="1">
                  <c:v>0.26204666666666698</c:v>
                </c:pt>
                <c:pt idx="2">
                  <c:v>0.188247366666667</c:v>
                </c:pt>
                <c:pt idx="3">
                  <c:v>0.236883333333333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0.06</c:v>
                </c:pt>
                <c:pt idx="8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0.06</c:v>
                </c:pt>
                <c:pt idx="12">
                  <c:v>0.06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0.06</c:v>
                </c:pt>
                <c:pt idx="17">
                  <c:v>0.06</c:v>
                </c:pt>
                <c:pt idx="18">
                  <c:v>0.06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2">
                  <c:v>8.9663000000000007E-2</c:v>
                </c:pt>
                <c:pt idx="23">
                  <c:v>9.86740333333333E-2</c:v>
                </c:pt>
                <c:pt idx="24">
                  <c:v>0.06</c:v>
                </c:pt>
                <c:pt idx="25">
                  <c:v>0.10165766666666699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0.15685716666666699</c:v>
                </c:pt>
                <c:pt idx="35">
                  <c:v>0.113001166666667</c:v>
                </c:pt>
                <c:pt idx="36">
                  <c:v>8.5000000000000006E-2</c:v>
                </c:pt>
                <c:pt idx="37">
                  <c:v>8.8954666666666696E-2</c:v>
                </c:pt>
                <c:pt idx="38">
                  <c:v>0.24246266666666699</c:v>
                </c:pt>
                <c:pt idx="39">
                  <c:v>0.37961933333333397</c:v>
                </c:pt>
                <c:pt idx="40">
                  <c:v>0.50418466666666695</c:v>
                </c:pt>
                <c:pt idx="41">
                  <c:v>0.53860333333333299</c:v>
                </c:pt>
                <c:pt idx="42">
                  <c:v>0.73285933333333297</c:v>
                </c:pt>
                <c:pt idx="43">
                  <c:v>0.36871999999999999</c:v>
                </c:pt>
                <c:pt idx="44">
                  <c:v>0.48834100000000003</c:v>
                </c:pt>
                <c:pt idx="45">
                  <c:v>0.59799999999999998</c:v>
                </c:pt>
                <c:pt idx="46">
                  <c:v>0.55483333333333296</c:v>
                </c:pt>
                <c:pt idx="47">
                  <c:v>0.62299066666666703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EFCD-459D-BFC7-D57988FF3B25}"/>
            </c:ext>
          </c:extLst>
        </c:ser>
        <c:ser>
          <c:idx val="114"/>
          <c:order val="114"/>
          <c:tx>
            <c:v>BES_TR8_six801_C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Demand_kW!$DM$2:$DM$49</c:f>
              <c:numCache>
                <c:formatCode>#,##0.000</c:formatCode>
                <c:ptCount val="48"/>
                <c:pt idx="0">
                  <c:v>0.16659933333333299</c:v>
                </c:pt>
                <c:pt idx="1">
                  <c:v>0.12880466666666701</c:v>
                </c:pt>
                <c:pt idx="2">
                  <c:v>5.0497666666666698E-2</c:v>
                </c:pt>
                <c:pt idx="3">
                  <c:v>0.108793</c:v>
                </c:pt>
                <c:pt idx="4">
                  <c:v>0.18784733333333301</c:v>
                </c:pt>
                <c:pt idx="5">
                  <c:v>6.4843333333333406E-2</c:v>
                </c:pt>
                <c:pt idx="6">
                  <c:v>0.119317333333333</c:v>
                </c:pt>
                <c:pt idx="7">
                  <c:v>0.112722</c:v>
                </c:pt>
                <c:pt idx="8">
                  <c:v>4.2000000000000003E-2</c:v>
                </c:pt>
                <c:pt idx="9">
                  <c:v>0.210693666666667</c:v>
                </c:pt>
                <c:pt idx="10">
                  <c:v>0.112722</c:v>
                </c:pt>
                <c:pt idx="11">
                  <c:v>0.13337333333333301</c:v>
                </c:pt>
                <c:pt idx="12">
                  <c:v>0.154678333333333</c:v>
                </c:pt>
                <c:pt idx="13">
                  <c:v>0.136753666666667</c:v>
                </c:pt>
                <c:pt idx="14">
                  <c:v>0.15129799999999999</c:v>
                </c:pt>
                <c:pt idx="15">
                  <c:v>0.26937133333333302</c:v>
                </c:pt>
                <c:pt idx="16">
                  <c:v>0.36018933333333297</c:v>
                </c:pt>
                <c:pt idx="17">
                  <c:v>0.370813333333333</c:v>
                </c:pt>
                <c:pt idx="18">
                  <c:v>0.26543666666666699</c:v>
                </c:pt>
                <c:pt idx="19">
                  <c:v>0.27068466666666702</c:v>
                </c:pt>
                <c:pt idx="20">
                  <c:v>0.33039733333333299</c:v>
                </c:pt>
                <c:pt idx="21">
                  <c:v>0.258826</c:v>
                </c:pt>
                <c:pt idx="22">
                  <c:v>0.28309066666666699</c:v>
                </c:pt>
                <c:pt idx="23">
                  <c:v>0.15077866666666701</c:v>
                </c:pt>
                <c:pt idx="24">
                  <c:v>1.0042546666666701</c:v>
                </c:pt>
                <c:pt idx="25">
                  <c:v>0.12614400000000001</c:v>
                </c:pt>
                <c:pt idx="26">
                  <c:v>0.10827199999999999</c:v>
                </c:pt>
                <c:pt idx="27">
                  <c:v>0.13337333333333301</c:v>
                </c:pt>
                <c:pt idx="28">
                  <c:v>0.117613333333333</c:v>
                </c:pt>
                <c:pt idx="29">
                  <c:v>0.114426</c:v>
                </c:pt>
                <c:pt idx="30">
                  <c:v>0.13337333333333301</c:v>
                </c:pt>
                <c:pt idx="31">
                  <c:v>0.146820333333333</c:v>
                </c:pt>
                <c:pt idx="32">
                  <c:v>9.8924999999999902E-2</c:v>
                </c:pt>
                <c:pt idx="33">
                  <c:v>0.19698533333333301</c:v>
                </c:pt>
                <c:pt idx="34">
                  <c:v>0.15143066666666699</c:v>
                </c:pt>
                <c:pt idx="35">
                  <c:v>0.182174</c:v>
                </c:pt>
                <c:pt idx="36">
                  <c:v>0.18688133333333301</c:v>
                </c:pt>
                <c:pt idx="37">
                  <c:v>0.29544583333333302</c:v>
                </c:pt>
                <c:pt idx="38">
                  <c:v>0.4106804</c:v>
                </c:pt>
                <c:pt idx="39">
                  <c:v>0.30555199999999999</c:v>
                </c:pt>
                <c:pt idx="40">
                  <c:v>0.52184333333333299</c:v>
                </c:pt>
                <c:pt idx="41">
                  <c:v>0.70912399999999998</c:v>
                </c:pt>
                <c:pt idx="42">
                  <c:v>0.61315133333333305</c:v>
                </c:pt>
                <c:pt idx="43">
                  <c:v>0.13663966666666699</c:v>
                </c:pt>
                <c:pt idx="44">
                  <c:v>0.10609</c:v>
                </c:pt>
                <c:pt idx="45">
                  <c:v>0.190039333333333</c:v>
                </c:pt>
                <c:pt idx="46">
                  <c:v>0.13337333333333301</c:v>
                </c:pt>
                <c:pt idx="47">
                  <c:v>0.112722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EFCD-459D-BFC7-D57988FF3B25}"/>
            </c:ext>
          </c:extLst>
        </c:ser>
        <c:ser>
          <c:idx val="115"/>
          <c:order val="115"/>
          <c:tx>
            <c:v>BES_TR8_six807_A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Demand_kW!$DN$2:$DN$49</c:f>
              <c:numCache>
                <c:formatCode>#,##0.000</c:formatCode>
                <c:ptCount val="48"/>
                <c:pt idx="0">
                  <c:v>3.4000000000000002E-2</c:v>
                </c:pt>
                <c:pt idx="1">
                  <c:v>3.4000000000000002E-2</c:v>
                </c:pt>
                <c:pt idx="2">
                  <c:v>0.15091499999999999</c:v>
                </c:pt>
                <c:pt idx="3">
                  <c:v>8.8560333333333199E-2</c:v>
                </c:pt>
                <c:pt idx="4">
                  <c:v>3.4000000000000002E-2</c:v>
                </c:pt>
                <c:pt idx="5">
                  <c:v>3.4000000000000002E-2</c:v>
                </c:pt>
                <c:pt idx="6">
                  <c:v>3.4000000000000002E-2</c:v>
                </c:pt>
                <c:pt idx="7">
                  <c:v>0.182092333333333</c:v>
                </c:pt>
                <c:pt idx="8">
                  <c:v>5.7383000000000003E-2</c:v>
                </c:pt>
                <c:pt idx="9">
                  <c:v>8.0766000000000004E-2</c:v>
                </c:pt>
                <c:pt idx="10">
                  <c:v>0.15870933333333301</c:v>
                </c:pt>
                <c:pt idx="11">
                  <c:v>3.4000000000000002E-2</c:v>
                </c:pt>
                <c:pt idx="12">
                  <c:v>3.4000000000000002E-2</c:v>
                </c:pt>
                <c:pt idx="13">
                  <c:v>0.20547533333333301</c:v>
                </c:pt>
                <c:pt idx="14">
                  <c:v>3.4000000000000002E-2</c:v>
                </c:pt>
                <c:pt idx="15">
                  <c:v>0.15870933333333301</c:v>
                </c:pt>
                <c:pt idx="16">
                  <c:v>8.0765999999999893E-2</c:v>
                </c:pt>
                <c:pt idx="17">
                  <c:v>3.4000000000000002E-2</c:v>
                </c:pt>
                <c:pt idx="18">
                  <c:v>0.34542200000000001</c:v>
                </c:pt>
                <c:pt idx="19">
                  <c:v>3.4000000000000002E-2</c:v>
                </c:pt>
                <c:pt idx="20">
                  <c:v>0.18988666666666701</c:v>
                </c:pt>
                <c:pt idx="21">
                  <c:v>0.14905333333333301</c:v>
                </c:pt>
                <c:pt idx="22">
                  <c:v>3.4000000000000002E-2</c:v>
                </c:pt>
                <c:pt idx="23">
                  <c:v>0.255948333333333</c:v>
                </c:pt>
                <c:pt idx="24">
                  <c:v>0.33553539999999998</c:v>
                </c:pt>
                <c:pt idx="25">
                  <c:v>1.3298666666666701</c:v>
                </c:pt>
                <c:pt idx="26">
                  <c:v>0.18673653333333301</c:v>
                </c:pt>
                <c:pt idx="27">
                  <c:v>0.24959000000000001</c:v>
                </c:pt>
                <c:pt idx="28">
                  <c:v>0.40449433333333301</c:v>
                </c:pt>
                <c:pt idx="29">
                  <c:v>0.52964366666666696</c:v>
                </c:pt>
                <c:pt idx="30">
                  <c:v>0.36727799999999999</c:v>
                </c:pt>
                <c:pt idx="31">
                  <c:v>1.67241</c:v>
                </c:pt>
                <c:pt idx="32">
                  <c:v>1.17133333333333</c:v>
                </c:pt>
                <c:pt idx="33">
                  <c:v>1.7739036666666701</c:v>
                </c:pt>
                <c:pt idx="34">
                  <c:v>0.24282466666666699</c:v>
                </c:pt>
                <c:pt idx="35">
                  <c:v>1.2951600000000001</c:v>
                </c:pt>
                <c:pt idx="36">
                  <c:v>0.97460166666666703</c:v>
                </c:pt>
                <c:pt idx="37">
                  <c:v>1.667038</c:v>
                </c:pt>
                <c:pt idx="38">
                  <c:v>0.46143833333333301</c:v>
                </c:pt>
                <c:pt idx="39">
                  <c:v>0.26026033333333298</c:v>
                </c:pt>
                <c:pt idx="40">
                  <c:v>0.43400433333333399</c:v>
                </c:pt>
                <c:pt idx="41">
                  <c:v>0.355090666666666</c:v>
                </c:pt>
                <c:pt idx="42">
                  <c:v>0.55572699999999997</c:v>
                </c:pt>
                <c:pt idx="43">
                  <c:v>0.75896166666666698</c:v>
                </c:pt>
                <c:pt idx="44">
                  <c:v>0.50089099999999998</c:v>
                </c:pt>
                <c:pt idx="45">
                  <c:v>0.37142766666666699</c:v>
                </c:pt>
                <c:pt idx="46">
                  <c:v>0.38933133333333297</c:v>
                </c:pt>
                <c:pt idx="47">
                  <c:v>0.33706166666666698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EFCD-459D-BFC7-D57988FF3B25}"/>
            </c:ext>
          </c:extLst>
        </c:ser>
        <c:ser>
          <c:idx val="116"/>
          <c:order val="116"/>
          <c:tx>
            <c:v>BES_TR8_six844_C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Demand_kW!$DO$2:$DO$49</c:f>
              <c:numCache>
                <c:formatCode>#,##0.000</c:formatCode>
                <c:ptCount val="48"/>
                <c:pt idx="0">
                  <c:v>3.7999999999999999E-2</c:v>
                </c:pt>
                <c:pt idx="1">
                  <c:v>0.138258666666667</c:v>
                </c:pt>
                <c:pt idx="2">
                  <c:v>8.4082000000000004E-2</c:v>
                </c:pt>
                <c:pt idx="3">
                  <c:v>0.26114233333333298</c:v>
                </c:pt>
                <c:pt idx="4">
                  <c:v>3.7999999999999999E-2</c:v>
                </c:pt>
                <c:pt idx="5">
                  <c:v>0.206967333333333</c:v>
                </c:pt>
                <c:pt idx="6">
                  <c:v>0.138258666666667</c:v>
                </c:pt>
                <c:pt idx="7">
                  <c:v>0.17624600000000001</c:v>
                </c:pt>
                <c:pt idx="8">
                  <c:v>0.14749599999999999</c:v>
                </c:pt>
                <c:pt idx="9">
                  <c:v>5.9484000000000002E-2</c:v>
                </c:pt>
                <c:pt idx="10">
                  <c:v>0.16036600000000001</c:v>
                </c:pt>
                <c:pt idx="11">
                  <c:v>0.18485733333333301</c:v>
                </c:pt>
                <c:pt idx="12">
                  <c:v>3.7999999999999999E-2</c:v>
                </c:pt>
                <c:pt idx="13">
                  <c:v>0.138258666666667</c:v>
                </c:pt>
                <c:pt idx="14">
                  <c:v>0.206967333333333</c:v>
                </c:pt>
                <c:pt idx="15">
                  <c:v>3.7999999999999999E-2</c:v>
                </c:pt>
                <c:pt idx="16">
                  <c:v>0.158808</c:v>
                </c:pt>
                <c:pt idx="17">
                  <c:v>0.18641333333333401</c:v>
                </c:pt>
                <c:pt idx="18">
                  <c:v>3.7999999999999999E-2</c:v>
                </c:pt>
                <c:pt idx="19">
                  <c:v>9.1762333333333307E-2</c:v>
                </c:pt>
                <c:pt idx="20">
                  <c:v>0.231979666666667</c:v>
                </c:pt>
                <c:pt idx="21">
                  <c:v>5.9484000000000002E-2</c:v>
                </c:pt>
                <c:pt idx="22">
                  <c:v>0.206967333333333</c:v>
                </c:pt>
                <c:pt idx="23">
                  <c:v>0.18686866666666699</c:v>
                </c:pt>
                <c:pt idx="24">
                  <c:v>0.29650700000000002</c:v>
                </c:pt>
                <c:pt idx="25">
                  <c:v>0.124455</c:v>
                </c:pt>
                <c:pt idx="26">
                  <c:v>6.7164333333333395E-2</c:v>
                </c:pt>
                <c:pt idx="27">
                  <c:v>0.19928699999999999</c:v>
                </c:pt>
                <c:pt idx="28">
                  <c:v>0.138258666666667</c:v>
                </c:pt>
                <c:pt idx="29">
                  <c:v>0.16088533333333299</c:v>
                </c:pt>
                <c:pt idx="30">
                  <c:v>8.4081999999999907E-2</c:v>
                </c:pt>
                <c:pt idx="31">
                  <c:v>0.138258666666667</c:v>
                </c:pt>
                <c:pt idx="32">
                  <c:v>0.19160666666666701</c:v>
                </c:pt>
                <c:pt idx="33">
                  <c:v>0.10349</c:v>
                </c:pt>
                <c:pt idx="34">
                  <c:v>0.11885066666666699</c:v>
                </c:pt>
                <c:pt idx="35">
                  <c:v>0.17624600000000001</c:v>
                </c:pt>
                <c:pt idx="36">
                  <c:v>0.27692733333333303</c:v>
                </c:pt>
                <c:pt idx="37">
                  <c:v>0.35642533333333298</c:v>
                </c:pt>
                <c:pt idx="38">
                  <c:v>0.43745133333333303</c:v>
                </c:pt>
                <c:pt idx="39">
                  <c:v>0.56458699999999995</c:v>
                </c:pt>
                <c:pt idx="40">
                  <c:v>0.375462666666667</c:v>
                </c:pt>
                <c:pt idx="41">
                  <c:v>0.24578166666666701</c:v>
                </c:pt>
                <c:pt idx="42">
                  <c:v>3.7999999999999999E-2</c:v>
                </c:pt>
                <c:pt idx="43">
                  <c:v>6.6645333333333404E-2</c:v>
                </c:pt>
                <c:pt idx="44">
                  <c:v>0.240179</c:v>
                </c:pt>
                <c:pt idx="45">
                  <c:v>7.6401666666666701E-2</c:v>
                </c:pt>
                <c:pt idx="46">
                  <c:v>0.138258666666667</c:v>
                </c:pt>
                <c:pt idx="47">
                  <c:v>0.206967333333333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EFCD-459D-BFC7-D57988FF3B25}"/>
            </c:ext>
          </c:extLst>
        </c:ser>
        <c:ser>
          <c:idx val="117"/>
          <c:order val="117"/>
          <c:tx>
            <c:v>BES_TR8_six860_C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Demand_kW!$DP$2:$DP$49</c:f>
              <c:numCache>
                <c:formatCode>#,##0.000</c:formatCode>
                <c:ptCount val="48"/>
                <c:pt idx="0">
                  <c:v>0.17833866666666701</c:v>
                </c:pt>
                <c:pt idx="1">
                  <c:v>0.10125199999999999</c:v>
                </c:pt>
                <c:pt idx="2">
                  <c:v>0.12785199999999999</c:v>
                </c:pt>
                <c:pt idx="3">
                  <c:v>0.22459066666666699</c:v>
                </c:pt>
                <c:pt idx="4">
                  <c:v>6.3094666666666702E-2</c:v>
                </c:pt>
                <c:pt idx="5">
                  <c:v>0.11975733333333299</c:v>
                </c:pt>
                <c:pt idx="6">
                  <c:v>0.24482733333333301</c:v>
                </c:pt>
                <c:pt idx="7">
                  <c:v>0.10761533333333299</c:v>
                </c:pt>
                <c:pt idx="8">
                  <c:v>0.238276666666667</c:v>
                </c:pt>
                <c:pt idx="9">
                  <c:v>0.114166</c:v>
                </c:pt>
                <c:pt idx="10">
                  <c:v>7.5236666666666702E-2</c:v>
                </c:pt>
                <c:pt idx="11">
                  <c:v>0.246371333333333</c:v>
                </c:pt>
                <c:pt idx="12">
                  <c:v>8.5834666666666698E-2</c:v>
                </c:pt>
                <c:pt idx="13">
                  <c:v>8.5834666666666698E-2</c:v>
                </c:pt>
                <c:pt idx="14">
                  <c:v>0.26660800000000001</c:v>
                </c:pt>
                <c:pt idx="15">
                  <c:v>5.5E-2</c:v>
                </c:pt>
                <c:pt idx="16">
                  <c:v>0.22687399999999999</c:v>
                </c:pt>
                <c:pt idx="17">
                  <c:v>0.43342126666666703</c:v>
                </c:pt>
                <c:pt idx="18">
                  <c:v>0.264382333333333</c:v>
                </c:pt>
                <c:pt idx="19">
                  <c:v>0.30321999999999999</c:v>
                </c:pt>
                <c:pt idx="20">
                  <c:v>0.32930733333333301</c:v>
                </c:pt>
                <c:pt idx="21">
                  <c:v>1.07545293333333</c:v>
                </c:pt>
                <c:pt idx="22">
                  <c:v>0.167091666666667</c:v>
                </c:pt>
                <c:pt idx="23">
                  <c:v>1.1581980000000001</c:v>
                </c:pt>
                <c:pt idx="24">
                  <c:v>2.1677266666666699</c:v>
                </c:pt>
                <c:pt idx="25">
                  <c:v>1.64635873333333</c:v>
                </c:pt>
                <c:pt idx="26">
                  <c:v>0.21170720000000001</c:v>
                </c:pt>
                <c:pt idx="27">
                  <c:v>0.24725179999999999</c:v>
                </c:pt>
                <c:pt idx="28">
                  <c:v>0.1004946</c:v>
                </c:pt>
                <c:pt idx="29">
                  <c:v>0.31553053333333397</c:v>
                </c:pt>
                <c:pt idx="30">
                  <c:v>9.3543333333333395E-2</c:v>
                </c:pt>
                <c:pt idx="31">
                  <c:v>0.10125199999999999</c:v>
                </c:pt>
                <c:pt idx="32">
                  <c:v>0.23904866666666699</c:v>
                </c:pt>
                <c:pt idx="33">
                  <c:v>6.7141999999999993E-2</c:v>
                </c:pt>
                <c:pt idx="34">
                  <c:v>0.24964666666666699</c:v>
                </c:pt>
                <c:pt idx="35">
                  <c:v>0.102796</c:v>
                </c:pt>
                <c:pt idx="36">
                  <c:v>5.5E-2</c:v>
                </c:pt>
                <c:pt idx="37">
                  <c:v>0.106843333333333</c:v>
                </c:pt>
                <c:pt idx="38">
                  <c:v>0.245599333333333</c:v>
                </c:pt>
                <c:pt idx="39">
                  <c:v>5.5E-2</c:v>
                </c:pt>
                <c:pt idx="40">
                  <c:v>0.28202533333333302</c:v>
                </c:pt>
                <c:pt idx="41">
                  <c:v>7.0417333333333304E-2</c:v>
                </c:pt>
                <c:pt idx="42">
                  <c:v>0.14095333333333299</c:v>
                </c:pt>
                <c:pt idx="43">
                  <c:v>0.211489333333333</c:v>
                </c:pt>
                <c:pt idx="44">
                  <c:v>5.5E-2</c:v>
                </c:pt>
                <c:pt idx="45">
                  <c:v>0.26101666666666701</c:v>
                </c:pt>
                <c:pt idx="46">
                  <c:v>9.1426000000000104E-2</c:v>
                </c:pt>
                <c:pt idx="47">
                  <c:v>0.22013133333333301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EFCD-459D-BFC7-D57988FF3B25}"/>
            </c:ext>
          </c:extLst>
        </c:ser>
        <c:ser>
          <c:idx val="118"/>
          <c:order val="118"/>
          <c:tx>
            <c:v>BES_TR8_six909_C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Demand_kW!$DQ$2:$DQ$49</c:f>
              <c:numCache>
                <c:formatCode>#,##0.000</c:formatCode>
                <c:ptCount val="48"/>
                <c:pt idx="0">
                  <c:v>0.145344</c:v>
                </c:pt>
                <c:pt idx="1">
                  <c:v>4.7E-2</c:v>
                </c:pt>
                <c:pt idx="2">
                  <c:v>0.114288</c:v>
                </c:pt>
                <c:pt idx="3">
                  <c:v>0.18312200000000001</c:v>
                </c:pt>
                <c:pt idx="4">
                  <c:v>8.3232E-2</c:v>
                </c:pt>
                <c:pt idx="5">
                  <c:v>0.21417800000000001</c:v>
                </c:pt>
                <c:pt idx="6">
                  <c:v>4.7E-2</c:v>
                </c:pt>
                <c:pt idx="7">
                  <c:v>0.102524333333333</c:v>
                </c:pt>
                <c:pt idx="8">
                  <c:v>0.19488566666666701</c:v>
                </c:pt>
                <c:pt idx="9">
                  <c:v>4.7E-2</c:v>
                </c:pt>
                <c:pt idx="10">
                  <c:v>4.7E-2</c:v>
                </c:pt>
                <c:pt idx="11">
                  <c:v>0.13653799999999999</c:v>
                </c:pt>
                <c:pt idx="12">
                  <c:v>0.16087199999999999</c:v>
                </c:pt>
                <c:pt idx="13">
                  <c:v>4.7E-2</c:v>
                </c:pt>
                <c:pt idx="14">
                  <c:v>0.119464</c:v>
                </c:pt>
                <c:pt idx="15">
                  <c:v>0.167997333333333</c:v>
                </c:pt>
                <c:pt idx="16">
                  <c:v>7.7652666666666703E-2</c:v>
                </c:pt>
                <c:pt idx="17">
                  <c:v>0.14016799999999999</c:v>
                </c:pt>
                <c:pt idx="18">
                  <c:v>0.13653799999999999</c:v>
                </c:pt>
                <c:pt idx="19">
                  <c:v>0.58336266666666703</c:v>
                </c:pt>
                <c:pt idx="20">
                  <c:v>0.97096333333333296</c:v>
                </c:pt>
                <c:pt idx="21">
                  <c:v>4.7E-2</c:v>
                </c:pt>
                <c:pt idx="22">
                  <c:v>0.155696</c:v>
                </c:pt>
                <c:pt idx="23">
                  <c:v>0.14171400000000001</c:v>
                </c:pt>
                <c:pt idx="24">
                  <c:v>4.7E-2</c:v>
                </c:pt>
                <c:pt idx="25">
                  <c:v>0.182205333333333</c:v>
                </c:pt>
                <c:pt idx="26">
                  <c:v>0.176538</c:v>
                </c:pt>
                <c:pt idx="27">
                  <c:v>0.117067666666667</c:v>
                </c:pt>
                <c:pt idx="28">
                  <c:v>0.193675666666667</c:v>
                </c:pt>
                <c:pt idx="29">
                  <c:v>9.0499999999999997E-2</c:v>
                </c:pt>
                <c:pt idx="30">
                  <c:v>0.20601800000000001</c:v>
                </c:pt>
                <c:pt idx="31">
                  <c:v>0.17512800000000001</c:v>
                </c:pt>
                <c:pt idx="32">
                  <c:v>0.130646233333333</c:v>
                </c:pt>
                <c:pt idx="33">
                  <c:v>0.127486933333333</c:v>
                </c:pt>
                <c:pt idx="34">
                  <c:v>0.1981842</c:v>
                </c:pt>
                <c:pt idx="35">
                  <c:v>0.1183332</c:v>
                </c:pt>
                <c:pt idx="36">
                  <c:v>0.269681</c:v>
                </c:pt>
                <c:pt idx="37">
                  <c:v>0.36505933333333301</c:v>
                </c:pt>
                <c:pt idx="38">
                  <c:v>0.25570999999999999</c:v>
                </c:pt>
                <c:pt idx="39">
                  <c:v>0.40818333333333301</c:v>
                </c:pt>
                <c:pt idx="40">
                  <c:v>0.58860100000000004</c:v>
                </c:pt>
                <c:pt idx="41">
                  <c:v>0.62531266666666696</c:v>
                </c:pt>
                <c:pt idx="42">
                  <c:v>4.7E-2</c:v>
                </c:pt>
                <c:pt idx="43">
                  <c:v>0.119464</c:v>
                </c:pt>
                <c:pt idx="44">
                  <c:v>8.8408E-2</c:v>
                </c:pt>
                <c:pt idx="45">
                  <c:v>6.1922999999999999E-2</c:v>
                </c:pt>
                <c:pt idx="46">
                  <c:v>0.235487</c:v>
                </c:pt>
                <c:pt idx="47">
                  <c:v>4.7E-2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EFCD-459D-BFC7-D57988FF3B25}"/>
            </c:ext>
          </c:extLst>
        </c:ser>
        <c:ser>
          <c:idx val="119"/>
          <c:order val="119"/>
          <c:tx>
            <c:v>BES_TR8_six914_A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Demand_kW!$DR$2:$DR$49</c:f>
              <c:numCache>
                <c:formatCode>#,##0.000</c:formatCode>
                <c:ptCount val="48"/>
                <c:pt idx="0">
                  <c:v>0.367209333333333</c:v>
                </c:pt>
                <c:pt idx="1">
                  <c:v>0.447135333333333</c:v>
                </c:pt>
                <c:pt idx="2">
                  <c:v>0.17234133333333301</c:v>
                </c:pt>
                <c:pt idx="3">
                  <c:v>0.54443433333333302</c:v>
                </c:pt>
                <c:pt idx="4">
                  <c:v>0.23124366666666701</c:v>
                </c:pt>
                <c:pt idx="5">
                  <c:v>0.33340966666666699</c:v>
                </c:pt>
                <c:pt idx="6">
                  <c:v>0.520193666666666</c:v>
                </c:pt>
                <c:pt idx="7">
                  <c:v>7.5623999999999997E-2</c:v>
                </c:pt>
                <c:pt idx="8">
                  <c:v>4.8000000000000001E-2</c:v>
                </c:pt>
                <c:pt idx="9">
                  <c:v>4.8000000000000001E-2</c:v>
                </c:pt>
                <c:pt idx="10">
                  <c:v>0.199932</c:v>
                </c:pt>
                <c:pt idx="11">
                  <c:v>4.8000000000000001E-2</c:v>
                </c:pt>
                <c:pt idx="12">
                  <c:v>0.16540199999999999</c:v>
                </c:pt>
                <c:pt idx="13">
                  <c:v>8.2530000000000006E-2</c:v>
                </c:pt>
                <c:pt idx="14">
                  <c:v>0.12396600000000001</c:v>
                </c:pt>
                <c:pt idx="15">
                  <c:v>0.12396600000000001</c:v>
                </c:pt>
                <c:pt idx="16">
                  <c:v>4.8000000000000001E-2</c:v>
                </c:pt>
                <c:pt idx="17">
                  <c:v>8.2530000000000006E-2</c:v>
                </c:pt>
                <c:pt idx="18">
                  <c:v>0.16540199999999999</c:v>
                </c:pt>
                <c:pt idx="19">
                  <c:v>4.8000000000000001E-2</c:v>
                </c:pt>
                <c:pt idx="20">
                  <c:v>4.8000000000000001E-2</c:v>
                </c:pt>
                <c:pt idx="21">
                  <c:v>4.8000000000000001E-2</c:v>
                </c:pt>
                <c:pt idx="22">
                  <c:v>0.199932</c:v>
                </c:pt>
                <c:pt idx="23">
                  <c:v>4.8000000000000001E-2</c:v>
                </c:pt>
                <c:pt idx="24">
                  <c:v>0.14468400000000001</c:v>
                </c:pt>
                <c:pt idx="25">
                  <c:v>0.10324800000000001</c:v>
                </c:pt>
                <c:pt idx="26">
                  <c:v>4.8000000000000001E-2</c:v>
                </c:pt>
                <c:pt idx="27">
                  <c:v>8.9436000000000002E-2</c:v>
                </c:pt>
                <c:pt idx="28">
                  <c:v>0.158496</c:v>
                </c:pt>
                <c:pt idx="29">
                  <c:v>4.8000000000000001E-2</c:v>
                </c:pt>
                <c:pt idx="30">
                  <c:v>4.8000000000000001E-2</c:v>
                </c:pt>
                <c:pt idx="31">
                  <c:v>0.199932</c:v>
                </c:pt>
                <c:pt idx="32">
                  <c:v>4.8000000000000001E-2</c:v>
                </c:pt>
                <c:pt idx="33">
                  <c:v>0.18612000000000001</c:v>
                </c:pt>
                <c:pt idx="34">
                  <c:v>6.1811999999999999E-2</c:v>
                </c:pt>
                <c:pt idx="35">
                  <c:v>5.8776866666666698E-2</c:v>
                </c:pt>
                <c:pt idx="36">
                  <c:v>4.8000000000000001E-2</c:v>
                </c:pt>
                <c:pt idx="37">
                  <c:v>0.460160333333333</c:v>
                </c:pt>
                <c:pt idx="38">
                  <c:v>0.200128</c:v>
                </c:pt>
                <c:pt idx="39">
                  <c:v>0.20539199999999999</c:v>
                </c:pt>
                <c:pt idx="40">
                  <c:v>0.27731733333333303</c:v>
                </c:pt>
                <c:pt idx="41">
                  <c:v>0.19616</c:v>
                </c:pt>
                <c:pt idx="42">
                  <c:v>0.36911533333333302</c:v>
                </c:pt>
                <c:pt idx="43">
                  <c:v>0.36746166666666702</c:v>
                </c:pt>
                <c:pt idx="44">
                  <c:v>0.44893</c:v>
                </c:pt>
                <c:pt idx="45">
                  <c:v>0.439406666666667</c:v>
                </c:pt>
                <c:pt idx="46">
                  <c:v>0.44</c:v>
                </c:pt>
                <c:pt idx="47">
                  <c:v>0.25321466666666698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EFCD-459D-BFC7-D57988FF3B25}"/>
            </c:ext>
          </c:extLst>
        </c:ser>
        <c:ser>
          <c:idx val="120"/>
          <c:order val="120"/>
          <c:tx>
            <c:v>BES_TR8_six111_C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Demand_kW!$DS$2:$DS$49</c:f>
              <c:numCache>
                <c:formatCode>#,##0.000</c:formatCode>
                <c:ptCount val="48"/>
                <c:pt idx="0">
                  <c:v>0.75684533333333304</c:v>
                </c:pt>
                <c:pt idx="1">
                  <c:v>1.7480433333333301</c:v>
                </c:pt>
                <c:pt idx="2">
                  <c:v>0.25795600000000002</c:v>
                </c:pt>
                <c:pt idx="3">
                  <c:v>0.52382166666666696</c:v>
                </c:pt>
                <c:pt idx="4">
                  <c:v>0.30180499999999999</c:v>
                </c:pt>
                <c:pt idx="5">
                  <c:v>0.155168</c:v>
                </c:pt>
                <c:pt idx="6">
                  <c:v>5.7037333333333301E-2</c:v>
                </c:pt>
                <c:pt idx="7">
                  <c:v>2.9000000000000001E-2</c:v>
                </c:pt>
                <c:pt idx="8">
                  <c:v>0.17619599999999999</c:v>
                </c:pt>
                <c:pt idx="9">
                  <c:v>3.6009333333333303E-2</c:v>
                </c:pt>
                <c:pt idx="10">
                  <c:v>8.5074666666666701E-2</c:v>
                </c:pt>
                <c:pt idx="11">
                  <c:v>0.127130666666667</c:v>
                </c:pt>
                <c:pt idx="12">
                  <c:v>2.9000000000000001E-2</c:v>
                </c:pt>
                <c:pt idx="13">
                  <c:v>0.183205333333333</c:v>
                </c:pt>
                <c:pt idx="14">
                  <c:v>2.9000000000000001E-2</c:v>
                </c:pt>
                <c:pt idx="15">
                  <c:v>5.7037333333333301E-2</c:v>
                </c:pt>
                <c:pt idx="16">
                  <c:v>0.155168</c:v>
                </c:pt>
                <c:pt idx="17">
                  <c:v>2.9000000000000001E-2</c:v>
                </c:pt>
                <c:pt idx="18">
                  <c:v>2.9000000000000001E-2</c:v>
                </c:pt>
                <c:pt idx="19">
                  <c:v>7.8065333333333403E-2</c:v>
                </c:pt>
                <c:pt idx="20">
                  <c:v>0.13414000000000001</c:v>
                </c:pt>
                <c:pt idx="21">
                  <c:v>2.9000000000000001E-2</c:v>
                </c:pt>
                <c:pt idx="22">
                  <c:v>0.340897333333333</c:v>
                </c:pt>
                <c:pt idx="23">
                  <c:v>0.30540699999999998</c:v>
                </c:pt>
                <c:pt idx="24">
                  <c:v>3.60093333333334E-2</c:v>
                </c:pt>
                <c:pt idx="25">
                  <c:v>0.17619599999999999</c:v>
                </c:pt>
                <c:pt idx="26">
                  <c:v>2.9000000000000001E-2</c:v>
                </c:pt>
                <c:pt idx="27">
                  <c:v>0.16217733333333301</c:v>
                </c:pt>
                <c:pt idx="28">
                  <c:v>0.30194466666666703</c:v>
                </c:pt>
                <c:pt idx="29">
                  <c:v>0.25594600000000001</c:v>
                </c:pt>
                <c:pt idx="30">
                  <c:v>0.187586</c:v>
                </c:pt>
                <c:pt idx="31">
                  <c:v>0.31188266666666697</c:v>
                </c:pt>
                <c:pt idx="32">
                  <c:v>0.395336666666667</c:v>
                </c:pt>
                <c:pt idx="33">
                  <c:v>0.24297299999999999</c:v>
                </c:pt>
                <c:pt idx="34">
                  <c:v>0.18336620000000001</c:v>
                </c:pt>
                <c:pt idx="35">
                  <c:v>0.113455</c:v>
                </c:pt>
                <c:pt idx="36">
                  <c:v>0.75419400000000003</c:v>
                </c:pt>
                <c:pt idx="37">
                  <c:v>0.59002666666666703</c:v>
                </c:pt>
                <c:pt idx="38">
                  <c:v>0.437973</c:v>
                </c:pt>
                <c:pt idx="39">
                  <c:v>1.3968496666666701</c:v>
                </c:pt>
                <c:pt idx="40">
                  <c:v>0.63030466666666696</c:v>
                </c:pt>
                <c:pt idx="41">
                  <c:v>0.29464633333333301</c:v>
                </c:pt>
                <c:pt idx="42">
                  <c:v>0.28426400000000002</c:v>
                </c:pt>
                <c:pt idx="43">
                  <c:v>0.35944999999999999</c:v>
                </c:pt>
                <c:pt idx="44">
                  <c:v>0.30606533333333402</c:v>
                </c:pt>
                <c:pt idx="45">
                  <c:v>0.38595933333333299</c:v>
                </c:pt>
                <c:pt idx="46">
                  <c:v>0.27684700000000001</c:v>
                </c:pt>
                <c:pt idx="47">
                  <c:v>9.0284666666666694E-2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EFCD-459D-BFC7-D57988FF3B25}"/>
            </c:ext>
          </c:extLst>
        </c:ser>
        <c:ser>
          <c:idx val="121"/>
          <c:order val="121"/>
          <c:tx>
            <c:v>BES_TR8_six1006_C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Demand_kW!$DT$2:$DT$49</c:f>
              <c:numCache>
                <c:formatCode>#,##0.000</c:formatCode>
                <c:ptCount val="48"/>
                <c:pt idx="0">
                  <c:v>0.17779600000000001</c:v>
                </c:pt>
                <c:pt idx="1">
                  <c:v>5.1999999999999998E-2</c:v>
                </c:pt>
                <c:pt idx="2">
                  <c:v>0.205750666666667</c:v>
                </c:pt>
                <c:pt idx="3">
                  <c:v>5.1999999999999998E-2</c:v>
                </c:pt>
                <c:pt idx="4">
                  <c:v>0.107909333333333</c:v>
                </c:pt>
                <c:pt idx="5">
                  <c:v>0.14984133333333299</c:v>
                </c:pt>
                <c:pt idx="6">
                  <c:v>5.1999999999999998E-2</c:v>
                </c:pt>
                <c:pt idx="7">
                  <c:v>5.1999999999999998E-2</c:v>
                </c:pt>
                <c:pt idx="8">
                  <c:v>0.121886666666667</c:v>
                </c:pt>
                <c:pt idx="9">
                  <c:v>0.13586400000000001</c:v>
                </c:pt>
                <c:pt idx="10">
                  <c:v>5.1999999999999998E-2</c:v>
                </c:pt>
                <c:pt idx="11">
                  <c:v>5.1999999999999998E-2</c:v>
                </c:pt>
                <c:pt idx="12">
                  <c:v>0.205750666666667</c:v>
                </c:pt>
                <c:pt idx="13">
                  <c:v>1.4302616666666701</c:v>
                </c:pt>
                <c:pt idx="14">
                  <c:v>0.76162700000000005</c:v>
                </c:pt>
                <c:pt idx="15">
                  <c:v>0.64166666666666705</c:v>
                </c:pt>
                <c:pt idx="16">
                  <c:v>0.43598199999999998</c:v>
                </c:pt>
                <c:pt idx="17">
                  <c:v>0.39753066666666598</c:v>
                </c:pt>
                <c:pt idx="18">
                  <c:v>0.25189</c:v>
                </c:pt>
                <c:pt idx="19">
                  <c:v>0.36964066666666701</c:v>
                </c:pt>
                <c:pt idx="20">
                  <c:v>1.49473533333333</c:v>
                </c:pt>
                <c:pt idx="21">
                  <c:v>0.21889</c:v>
                </c:pt>
                <c:pt idx="22">
                  <c:v>0.70035866666666702</c:v>
                </c:pt>
                <c:pt idx="23">
                  <c:v>1.88100666666667</c:v>
                </c:pt>
                <c:pt idx="24">
                  <c:v>7.9954666666666702E-2</c:v>
                </c:pt>
                <c:pt idx="25">
                  <c:v>0.36581733333333399</c:v>
                </c:pt>
                <c:pt idx="26">
                  <c:v>5.86666666666667E-2</c:v>
                </c:pt>
                <c:pt idx="27">
                  <c:v>0.54452800000000001</c:v>
                </c:pt>
                <c:pt idx="28">
                  <c:v>0.110818666666667</c:v>
                </c:pt>
                <c:pt idx="29">
                  <c:v>0.390374</c:v>
                </c:pt>
                <c:pt idx="30">
                  <c:v>1.3998539999999999</c:v>
                </c:pt>
                <c:pt idx="31">
                  <c:v>0.78711966666666699</c:v>
                </c:pt>
                <c:pt idx="32">
                  <c:v>0.56317933333333403</c:v>
                </c:pt>
                <c:pt idx="33">
                  <c:v>0.442960666666667</c:v>
                </c:pt>
                <c:pt idx="34">
                  <c:v>0.68773099999999998</c:v>
                </c:pt>
                <c:pt idx="35">
                  <c:v>0.43012533333333303</c:v>
                </c:pt>
                <c:pt idx="36">
                  <c:v>0.639940333333333</c:v>
                </c:pt>
                <c:pt idx="37">
                  <c:v>3.0957063333333301</c:v>
                </c:pt>
                <c:pt idx="38">
                  <c:v>3.6970333333333301</c:v>
                </c:pt>
                <c:pt idx="39">
                  <c:v>1.0453779999999999</c:v>
                </c:pt>
                <c:pt idx="40">
                  <c:v>0.47305399999999997</c:v>
                </c:pt>
                <c:pt idx="41">
                  <c:v>0.50479333333333298</c:v>
                </c:pt>
                <c:pt idx="42">
                  <c:v>1.6946383333333299</c:v>
                </c:pt>
                <c:pt idx="43">
                  <c:v>0.88264866666666697</c:v>
                </c:pt>
                <c:pt idx="44">
                  <c:v>0.87443666666666697</c:v>
                </c:pt>
                <c:pt idx="45">
                  <c:v>0.170231666666666</c:v>
                </c:pt>
                <c:pt idx="46">
                  <c:v>5.1999999999999998E-2</c:v>
                </c:pt>
                <c:pt idx="47">
                  <c:v>0.205750666666667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EFCD-459D-BFC7-D57988FF3B25}"/>
            </c:ext>
          </c:extLst>
        </c:ser>
        <c:ser>
          <c:idx val="122"/>
          <c:order val="122"/>
          <c:tx>
            <c:v>BES_TR8_six1020_A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Demand_kW!$DU$2:$DU$49</c:f>
              <c:numCache>
                <c:formatCode>#,##0.000</c:formatCode>
                <c:ptCount val="48"/>
                <c:pt idx="0">
                  <c:v>0.16739799999999999</c:v>
                </c:pt>
                <c:pt idx="1">
                  <c:v>6.7488666666666697E-2</c:v>
                </c:pt>
                <c:pt idx="2">
                  <c:v>5.5E-2</c:v>
                </c:pt>
                <c:pt idx="3">
                  <c:v>5.5E-2</c:v>
                </c:pt>
                <c:pt idx="4">
                  <c:v>0.179886666666667</c:v>
                </c:pt>
                <c:pt idx="5">
                  <c:v>5.5E-2</c:v>
                </c:pt>
                <c:pt idx="6">
                  <c:v>0.17364233333333301</c:v>
                </c:pt>
                <c:pt idx="7">
                  <c:v>6.1244333333333303E-2</c:v>
                </c:pt>
                <c:pt idx="8">
                  <c:v>5.5E-2</c:v>
                </c:pt>
                <c:pt idx="9">
                  <c:v>5.5E-2</c:v>
                </c:pt>
                <c:pt idx="10">
                  <c:v>0.117443333333333</c:v>
                </c:pt>
                <c:pt idx="11">
                  <c:v>0.117443333333333</c:v>
                </c:pt>
                <c:pt idx="12">
                  <c:v>5.5E-2</c:v>
                </c:pt>
                <c:pt idx="13">
                  <c:v>5.5E-2</c:v>
                </c:pt>
                <c:pt idx="14">
                  <c:v>0.14866499999999999</c:v>
                </c:pt>
                <c:pt idx="15">
                  <c:v>8.6221666666666696E-2</c:v>
                </c:pt>
                <c:pt idx="16">
                  <c:v>0.23348666666666701</c:v>
                </c:pt>
                <c:pt idx="17">
                  <c:v>0.25451400000000002</c:v>
                </c:pt>
                <c:pt idx="18">
                  <c:v>0.662791666666666</c:v>
                </c:pt>
                <c:pt idx="19">
                  <c:v>5.6099999999999997E-2</c:v>
                </c:pt>
                <c:pt idx="20">
                  <c:v>0.36827500000000002</c:v>
                </c:pt>
                <c:pt idx="21">
                  <c:v>8.6888333333333401E-2</c:v>
                </c:pt>
                <c:pt idx="22">
                  <c:v>0.107799333333333</c:v>
                </c:pt>
                <c:pt idx="23">
                  <c:v>0.142420666666667</c:v>
                </c:pt>
                <c:pt idx="24">
                  <c:v>6.7488666666666697E-2</c:v>
                </c:pt>
                <c:pt idx="25">
                  <c:v>0.16739799999999999</c:v>
                </c:pt>
                <c:pt idx="26">
                  <c:v>0.17027999999999999</c:v>
                </c:pt>
                <c:pt idx="27">
                  <c:v>0.83582166666666702</c:v>
                </c:pt>
                <c:pt idx="28">
                  <c:v>1.394158</c:v>
                </c:pt>
                <c:pt idx="29">
                  <c:v>0.69433333333333302</c:v>
                </c:pt>
                <c:pt idx="30">
                  <c:v>1.0668120000000001</c:v>
                </c:pt>
                <c:pt idx="31">
                  <c:v>2.7364666666666699</c:v>
                </c:pt>
                <c:pt idx="32">
                  <c:v>2.6476500000000001</c:v>
                </c:pt>
                <c:pt idx="33">
                  <c:v>0.16952066666666701</c:v>
                </c:pt>
                <c:pt idx="34">
                  <c:v>5.5E-2</c:v>
                </c:pt>
                <c:pt idx="35">
                  <c:v>5.5E-2</c:v>
                </c:pt>
                <c:pt idx="36">
                  <c:v>0.13617633333333301</c:v>
                </c:pt>
                <c:pt idx="37">
                  <c:v>9.87103333333334E-2</c:v>
                </c:pt>
                <c:pt idx="38">
                  <c:v>5.5E-2</c:v>
                </c:pt>
                <c:pt idx="39">
                  <c:v>0.179886666666667</c:v>
                </c:pt>
                <c:pt idx="40">
                  <c:v>0.53648533333333304</c:v>
                </c:pt>
                <c:pt idx="41">
                  <c:v>0.45955333333333298</c:v>
                </c:pt>
                <c:pt idx="42">
                  <c:v>0.44376900000000002</c:v>
                </c:pt>
                <c:pt idx="43">
                  <c:v>0.55416233333333298</c:v>
                </c:pt>
                <c:pt idx="44">
                  <c:v>1.4945090000000001</c:v>
                </c:pt>
                <c:pt idx="45">
                  <c:v>1.2286060000000001</c:v>
                </c:pt>
                <c:pt idx="46">
                  <c:v>0.50835399999999997</c:v>
                </c:pt>
                <c:pt idx="47">
                  <c:v>0.152933333333333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EFCD-459D-BFC7-D57988FF3B25}"/>
            </c:ext>
          </c:extLst>
        </c:ser>
        <c:ser>
          <c:idx val="123"/>
          <c:order val="123"/>
          <c:tx>
            <c:v>BES_TR8_six1064_C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Demand_kW!$DV$2:$DV$49</c:f>
              <c:numCache>
                <c:formatCode>#,##0.000</c:formatCode>
                <c:ptCount val="48"/>
                <c:pt idx="0">
                  <c:v>9.0445999999999999E-2</c:v>
                </c:pt>
                <c:pt idx="1">
                  <c:v>4.9000000000000002E-2</c:v>
                </c:pt>
                <c:pt idx="2">
                  <c:v>0.22083133333333299</c:v>
                </c:pt>
                <c:pt idx="3">
                  <c:v>0.15434400000000001</c:v>
                </c:pt>
                <c:pt idx="4">
                  <c:v>9.4117999999999993E-2</c:v>
                </c:pt>
                <c:pt idx="5">
                  <c:v>0.28105833333333302</c:v>
                </c:pt>
                <c:pt idx="6">
                  <c:v>4.9000000000000002E-2</c:v>
                </c:pt>
                <c:pt idx="7">
                  <c:v>0.29163966666666702</c:v>
                </c:pt>
                <c:pt idx="8">
                  <c:v>8.3538333333333298E-2</c:v>
                </c:pt>
                <c:pt idx="9">
                  <c:v>0.22947300000000001</c:v>
                </c:pt>
                <c:pt idx="10">
                  <c:v>0.14570733333333299</c:v>
                </c:pt>
                <c:pt idx="11">
                  <c:v>0.174213333333333</c:v>
                </c:pt>
                <c:pt idx="12">
                  <c:v>0.111169</c:v>
                </c:pt>
                <c:pt idx="13">
                  <c:v>0.23897033333333301</c:v>
                </c:pt>
                <c:pt idx="14">
                  <c:v>7.4042666666666604E-2</c:v>
                </c:pt>
                <c:pt idx="15">
                  <c:v>0.28416333333333399</c:v>
                </c:pt>
                <c:pt idx="16">
                  <c:v>0.24892400000000001</c:v>
                </c:pt>
                <c:pt idx="17">
                  <c:v>0.50824533333333299</c:v>
                </c:pt>
                <c:pt idx="18">
                  <c:v>0.77082700000000004</c:v>
                </c:pt>
                <c:pt idx="19">
                  <c:v>0.34351466666666702</c:v>
                </c:pt>
                <c:pt idx="20">
                  <c:v>0.42735299999999998</c:v>
                </c:pt>
                <c:pt idx="21">
                  <c:v>0.53767533333333295</c:v>
                </c:pt>
                <c:pt idx="22">
                  <c:v>0.476314666666667</c:v>
                </c:pt>
                <c:pt idx="23">
                  <c:v>0.63893299999999997</c:v>
                </c:pt>
                <c:pt idx="24">
                  <c:v>2.14759066666667</c:v>
                </c:pt>
                <c:pt idx="25">
                  <c:v>0.42405599999999999</c:v>
                </c:pt>
                <c:pt idx="26">
                  <c:v>0.111169</c:v>
                </c:pt>
                <c:pt idx="27">
                  <c:v>0.52634133333333399</c:v>
                </c:pt>
                <c:pt idx="28">
                  <c:v>0.108246</c:v>
                </c:pt>
                <c:pt idx="29">
                  <c:v>0.35696866666666699</c:v>
                </c:pt>
                <c:pt idx="30">
                  <c:v>0.348302</c:v>
                </c:pt>
                <c:pt idx="31">
                  <c:v>0.57863766666666705</c:v>
                </c:pt>
                <c:pt idx="32">
                  <c:v>0.48132666666666601</c:v>
                </c:pt>
                <c:pt idx="33">
                  <c:v>1.4765523333333299</c:v>
                </c:pt>
                <c:pt idx="34">
                  <c:v>0.98822333333333301</c:v>
                </c:pt>
                <c:pt idx="35">
                  <c:v>0.42903766666666698</c:v>
                </c:pt>
                <c:pt idx="36">
                  <c:v>7.3960666666666702E-2</c:v>
                </c:pt>
                <c:pt idx="37">
                  <c:v>0.36404466666666702</c:v>
                </c:pt>
                <c:pt idx="38">
                  <c:v>0.40396433333333298</c:v>
                </c:pt>
                <c:pt idx="39">
                  <c:v>0.13038866666666701</c:v>
                </c:pt>
                <c:pt idx="40">
                  <c:v>0.19643966666666701</c:v>
                </c:pt>
                <c:pt idx="41">
                  <c:v>9.7353666666666602E-2</c:v>
                </c:pt>
                <c:pt idx="42">
                  <c:v>0.56770666666666703</c:v>
                </c:pt>
                <c:pt idx="43">
                  <c:v>0.73761533333333396</c:v>
                </c:pt>
                <c:pt idx="44">
                  <c:v>0.93333100000000002</c:v>
                </c:pt>
                <c:pt idx="45">
                  <c:v>0.35247366666666702</c:v>
                </c:pt>
                <c:pt idx="46">
                  <c:v>0.48569333333333398</c:v>
                </c:pt>
                <c:pt idx="47">
                  <c:v>0.56935199999999997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EFCD-459D-BFC7-D57988FF3B25}"/>
            </c:ext>
          </c:extLst>
        </c:ser>
        <c:ser>
          <c:idx val="124"/>
          <c:order val="124"/>
          <c:tx>
            <c:v>fleet average</c:v>
          </c:tx>
          <c:spPr>
            <a:ln w="28575">
              <a:solidFill>
                <a:srgbClr val="2D7BD8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ChartData!$U$2:$U$49</c:f>
              <c:numCache>
                <c:formatCode>#,##0.000</c:formatCode>
                <c:ptCount val="48"/>
                <c:pt idx="0">
                  <c:v>0.23955601881720429</c:v>
                </c:pt>
                <c:pt idx="1">
                  <c:v>0.16206497903225803</c:v>
                </c:pt>
                <c:pt idx="2">
                  <c:v>0.12509534059139787</c:v>
                </c:pt>
                <c:pt idx="3">
                  <c:v>0.13857774946236556</c:v>
                </c:pt>
                <c:pt idx="4">
                  <c:v>0.11135693548387104</c:v>
                </c:pt>
                <c:pt idx="5">
                  <c:v>0.12965302096774203</c:v>
                </c:pt>
                <c:pt idx="6">
                  <c:v>0.1092712983870968</c:v>
                </c:pt>
                <c:pt idx="7">
                  <c:v>0.14391196827956984</c:v>
                </c:pt>
                <c:pt idx="8">
                  <c:v>0.11276629301075269</c:v>
                </c:pt>
                <c:pt idx="9">
                  <c:v>0.11641531989247308</c:v>
                </c:pt>
                <c:pt idx="10">
                  <c:v>0.11359414516129028</c:v>
                </c:pt>
                <c:pt idx="11">
                  <c:v>0.10878060322580646</c:v>
                </c:pt>
                <c:pt idx="12">
                  <c:v>0.12444465672043016</c:v>
                </c:pt>
                <c:pt idx="13">
                  <c:v>0.14643169086021512</c:v>
                </c:pt>
                <c:pt idx="14">
                  <c:v>0.15143361451612911</c:v>
                </c:pt>
                <c:pt idx="15">
                  <c:v>0.18172697123655918</c:v>
                </c:pt>
                <c:pt idx="16">
                  <c:v>0.24661520026881714</c:v>
                </c:pt>
                <c:pt idx="17">
                  <c:v>0.29846375134408609</c:v>
                </c:pt>
                <c:pt idx="18">
                  <c:v>0.32811404973118286</c:v>
                </c:pt>
                <c:pt idx="19">
                  <c:v>0.33597752688172067</c:v>
                </c:pt>
                <c:pt idx="20">
                  <c:v>0.36159769327956987</c:v>
                </c:pt>
                <c:pt idx="21">
                  <c:v>0.3795653126344084</c:v>
                </c:pt>
                <c:pt idx="22">
                  <c:v>0.34430338602150512</c:v>
                </c:pt>
                <c:pt idx="23">
                  <c:v>0.43832856720430091</c:v>
                </c:pt>
                <c:pt idx="24">
                  <c:v>0.40914113172042998</c:v>
                </c:pt>
                <c:pt idx="25">
                  <c:v>0.30636427499999985</c:v>
                </c:pt>
                <c:pt idx="26">
                  <c:v>0.25108695860215047</c:v>
                </c:pt>
                <c:pt idx="27">
                  <c:v>0.27932642150537645</c:v>
                </c:pt>
                <c:pt idx="28">
                  <c:v>0.3032334688172042</c:v>
                </c:pt>
                <c:pt idx="29">
                  <c:v>0.31197876747311837</c:v>
                </c:pt>
                <c:pt idx="30">
                  <c:v>0.29433453897849443</c:v>
                </c:pt>
                <c:pt idx="31">
                  <c:v>0.28844957069892474</c:v>
                </c:pt>
                <c:pt idx="32">
                  <c:v>0.32764239354838709</c:v>
                </c:pt>
                <c:pt idx="33">
                  <c:v>0.34157784247311823</c:v>
                </c:pt>
                <c:pt idx="34">
                  <c:v>0.27242533306451611</c:v>
                </c:pt>
                <c:pt idx="35">
                  <c:v>0.33750082903225825</c:v>
                </c:pt>
                <c:pt idx="36">
                  <c:v>0.34378557284946226</c:v>
                </c:pt>
                <c:pt idx="37">
                  <c:v>0.3782684938172044</c:v>
                </c:pt>
                <c:pt idx="38">
                  <c:v>0.40720557553763437</c:v>
                </c:pt>
                <c:pt idx="39">
                  <c:v>0.46524391586021502</c:v>
                </c:pt>
                <c:pt idx="40">
                  <c:v>0.47521734784946207</c:v>
                </c:pt>
                <c:pt idx="41">
                  <c:v>0.54752188655913969</c:v>
                </c:pt>
                <c:pt idx="42">
                  <c:v>0.54479221021505342</c:v>
                </c:pt>
                <c:pt idx="43">
                  <c:v>0.48870208897849449</c:v>
                </c:pt>
                <c:pt idx="44">
                  <c:v>0.44740721666666688</c:v>
                </c:pt>
                <c:pt idx="45">
                  <c:v>0.4246335268817204</c:v>
                </c:pt>
                <c:pt idx="46">
                  <c:v>0.30184586397849444</c:v>
                </c:pt>
                <c:pt idx="47">
                  <c:v>0.23287321021505381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EFCD-459D-BFC7-D57988FF3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4.8"/>
          <c:min val="-0.2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Demand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/>
              <a:t>PV generation per prosumer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BES_TR8_one223_B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PV_kW!$C$2:$C$49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69-42E0-904E-6CE68D79CDDB}"/>
            </c:ext>
          </c:extLst>
        </c:ser>
        <c:ser>
          <c:idx val="1"/>
          <c:order val="1"/>
          <c:tx>
            <c:v>BES_TR8_one252_C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PV_kW!$D$2:$D$49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69-42E0-904E-6CE68D79CDDB}"/>
            </c:ext>
          </c:extLst>
        </c:ser>
        <c:ser>
          <c:idx val="2"/>
          <c:order val="2"/>
          <c:tx>
            <c:v>BES_TR8_one280_A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PV_kW!$E$2:$E$49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69-42E0-904E-6CE68D79CDDB}"/>
            </c:ext>
          </c:extLst>
        </c:ser>
        <c:ser>
          <c:idx val="3"/>
          <c:order val="3"/>
          <c:tx>
            <c:v>BES_TR8_one313_A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PV_kW!$F$2:$F$49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69-42E0-904E-6CE68D79CDDB}"/>
            </c:ext>
          </c:extLst>
        </c:ser>
        <c:ser>
          <c:idx val="4"/>
          <c:order val="4"/>
          <c:tx>
            <c:v>BES_TR8_one321_C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PV_kW!$G$2:$G$49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69-42E0-904E-6CE68D79CDDB}"/>
            </c:ext>
          </c:extLst>
        </c:ser>
        <c:ser>
          <c:idx val="5"/>
          <c:order val="5"/>
          <c:tx>
            <c:v>BES_TR8_one345_A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PV_kW!$H$2:$H$49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869-42E0-904E-6CE68D79CDDB}"/>
            </c:ext>
          </c:extLst>
        </c:ser>
        <c:ser>
          <c:idx val="6"/>
          <c:order val="6"/>
          <c:tx>
            <c:v>BES_TR8_one375_C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PV_kW!$I$2:$I$49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869-42E0-904E-6CE68D79CDDB}"/>
            </c:ext>
          </c:extLst>
        </c:ser>
        <c:ser>
          <c:idx val="7"/>
          <c:order val="7"/>
          <c:tx>
            <c:v>BES_TR8_one410_B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PV_kW!$J$2:$J$49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869-42E0-904E-6CE68D79CDDB}"/>
            </c:ext>
          </c:extLst>
        </c:ser>
        <c:ser>
          <c:idx val="8"/>
          <c:order val="8"/>
          <c:tx>
            <c:v>BES_TR8_one416_C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PV_kW!$K$2:$K$49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869-42E0-904E-6CE68D79CDDB}"/>
            </c:ext>
          </c:extLst>
        </c:ser>
        <c:ser>
          <c:idx val="9"/>
          <c:order val="9"/>
          <c:tx>
            <c:v>BES_TR8_one423_B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PV_kW!$L$2:$L$49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869-42E0-904E-6CE68D79CDDB}"/>
            </c:ext>
          </c:extLst>
        </c:ser>
        <c:ser>
          <c:idx val="10"/>
          <c:order val="10"/>
          <c:tx>
            <c:v>BES_TR8_one446_B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PV_kW!$M$2:$M$49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869-42E0-904E-6CE68D79CDDB}"/>
            </c:ext>
          </c:extLst>
        </c:ser>
        <c:ser>
          <c:idx val="11"/>
          <c:order val="11"/>
          <c:tx>
            <c:v>BES_TR8_one469_A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PV_kW!$N$2:$N$49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869-42E0-904E-6CE68D79CDDB}"/>
            </c:ext>
          </c:extLst>
        </c:ser>
        <c:ser>
          <c:idx val="12"/>
          <c:order val="12"/>
          <c:tx>
            <c:v>BES_TR8_one477_A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PV_kW!$O$2:$O$49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869-42E0-904E-6CE68D79CDDB}"/>
            </c:ext>
          </c:extLst>
        </c:ser>
        <c:ser>
          <c:idx val="13"/>
          <c:order val="13"/>
          <c:tx>
            <c:v>BES_TR8_one482_B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PV_kW!$P$2:$P$49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869-42E0-904E-6CE68D79CDDB}"/>
            </c:ext>
          </c:extLst>
        </c:ser>
        <c:ser>
          <c:idx val="14"/>
          <c:order val="14"/>
          <c:tx>
            <c:v>BES_TR8_one61_A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PV_kW!$Q$2:$Q$49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869-42E0-904E-6CE68D79CDDB}"/>
            </c:ext>
          </c:extLst>
        </c:ser>
        <c:ser>
          <c:idx val="15"/>
          <c:order val="15"/>
          <c:tx>
            <c:v>BES_TR8_one552_B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PV_kW!$R$2:$R$49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869-42E0-904E-6CE68D79CDDB}"/>
            </c:ext>
          </c:extLst>
        </c:ser>
        <c:ser>
          <c:idx val="16"/>
          <c:order val="16"/>
          <c:tx>
            <c:v>BES_TR8_one560_C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PV_kW!$S$2:$S$49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869-42E0-904E-6CE68D79CDDB}"/>
            </c:ext>
          </c:extLst>
        </c:ser>
        <c:ser>
          <c:idx val="17"/>
          <c:order val="17"/>
          <c:tx>
            <c:v>BES_TR8_one73_A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PV_kW!$T$2:$T$49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8.6020086666666702E-4</c:v>
                </c:pt>
                <c:pt idx="8">
                  <c:v>1.2433623133333301E-2</c:v>
                </c:pt>
                <c:pt idx="9">
                  <c:v>5.8143389300000001E-2</c:v>
                </c:pt>
                <c:pt idx="10">
                  <c:v>0.115335072066667</c:v>
                </c:pt>
                <c:pt idx="11">
                  <c:v>0.18546449413333299</c:v>
                </c:pt>
                <c:pt idx="12">
                  <c:v>0.26197964816666702</c:v>
                </c:pt>
                <c:pt idx="13">
                  <c:v>0.33943529193333299</c:v>
                </c:pt>
                <c:pt idx="14">
                  <c:v>0.41648986370000002</c:v>
                </c:pt>
                <c:pt idx="15">
                  <c:v>0.49365652249999997</c:v>
                </c:pt>
                <c:pt idx="16">
                  <c:v>0.56608234956666703</c:v>
                </c:pt>
                <c:pt idx="17">
                  <c:v>0.63416273339999996</c:v>
                </c:pt>
                <c:pt idx="18">
                  <c:v>0.69214384066666701</c:v>
                </c:pt>
                <c:pt idx="19">
                  <c:v>0.74159585153333296</c:v>
                </c:pt>
                <c:pt idx="20">
                  <c:v>0.78500223576666694</c:v>
                </c:pt>
                <c:pt idx="21">
                  <c:v>0.82082628030000004</c:v>
                </c:pt>
                <c:pt idx="22">
                  <c:v>0.84624448116666695</c:v>
                </c:pt>
                <c:pt idx="23">
                  <c:v>0.85739167719999998</c:v>
                </c:pt>
                <c:pt idx="24">
                  <c:v>0.86062033226666701</c:v>
                </c:pt>
                <c:pt idx="25">
                  <c:v>0.85458041799999995</c:v>
                </c:pt>
                <c:pt idx="26">
                  <c:v>0.8342896205</c:v>
                </c:pt>
                <c:pt idx="27">
                  <c:v>0.80333358186666703</c:v>
                </c:pt>
                <c:pt idx="28">
                  <c:v>0.76637697329999999</c:v>
                </c:pt>
                <c:pt idx="29">
                  <c:v>0.71954754326666703</c:v>
                </c:pt>
                <c:pt idx="30">
                  <c:v>0.66978212370000001</c:v>
                </c:pt>
                <c:pt idx="31">
                  <c:v>0.60989596346666697</c:v>
                </c:pt>
                <c:pt idx="32">
                  <c:v>0.54245001433333295</c:v>
                </c:pt>
                <c:pt idx="33">
                  <c:v>0.46101781823333299</c:v>
                </c:pt>
                <c:pt idx="34">
                  <c:v>0.38480293183333297</c:v>
                </c:pt>
                <c:pt idx="35">
                  <c:v>0.30648740530000002</c:v>
                </c:pt>
                <c:pt idx="36">
                  <c:v>0.23072923366666701</c:v>
                </c:pt>
                <c:pt idx="37">
                  <c:v>0.15768768150000001</c:v>
                </c:pt>
                <c:pt idx="38">
                  <c:v>9.2080186933333294E-2</c:v>
                </c:pt>
                <c:pt idx="39">
                  <c:v>2.6789987099999999E-2</c:v>
                </c:pt>
                <c:pt idx="40">
                  <c:v>4.9409440666666696E-3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869-42E0-904E-6CE68D79CDDB}"/>
            </c:ext>
          </c:extLst>
        </c:ser>
        <c:ser>
          <c:idx val="18"/>
          <c:order val="18"/>
          <c:tx>
            <c:v>BES_TR8_one137_A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PV_kW!$U$2:$U$49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869-42E0-904E-6CE68D79CDDB}"/>
            </c:ext>
          </c:extLst>
        </c:ser>
        <c:ser>
          <c:idx val="19"/>
          <c:order val="19"/>
          <c:tx>
            <c:v>BES_TR8_four50_C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PV_kW!$V$2:$V$49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869-42E0-904E-6CE68D79CDDB}"/>
            </c:ext>
          </c:extLst>
        </c:ser>
        <c:ser>
          <c:idx val="20"/>
          <c:order val="20"/>
          <c:tx>
            <c:v>BES_TR8_four171_A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PV_kW!$W$2:$W$49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869-42E0-904E-6CE68D79CDDB}"/>
            </c:ext>
          </c:extLst>
        </c:ser>
        <c:ser>
          <c:idx val="21"/>
          <c:order val="21"/>
          <c:tx>
            <c:v>BES_TR8_four180_A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PV_kW!$X$2:$X$49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869-42E0-904E-6CE68D79CDDB}"/>
            </c:ext>
          </c:extLst>
        </c:ser>
        <c:ser>
          <c:idx val="22"/>
          <c:order val="22"/>
          <c:tx>
            <c:v>BES_TR8_four200_A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PV_kW!$Y$2:$Y$49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869-42E0-904E-6CE68D79CDDB}"/>
            </c:ext>
          </c:extLst>
        </c:ser>
        <c:ser>
          <c:idx val="23"/>
          <c:order val="23"/>
          <c:tx>
            <c:v>BES_TR8_four239_A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PV_kW!$Z$2:$Z$49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869-42E0-904E-6CE68D79CDDB}"/>
            </c:ext>
          </c:extLst>
        </c:ser>
        <c:ser>
          <c:idx val="24"/>
          <c:order val="24"/>
          <c:tx>
            <c:v>BES_TR8_four259_B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PV_kW!$AA$2:$AA$49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869-42E0-904E-6CE68D79CDDB}"/>
            </c:ext>
          </c:extLst>
        </c:ser>
        <c:ser>
          <c:idx val="25"/>
          <c:order val="25"/>
          <c:tx>
            <c:v>BES_TR8_four265_C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PV_kW!$AB$2:$AB$49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869-42E0-904E-6CE68D79CDDB}"/>
            </c:ext>
          </c:extLst>
        </c:ser>
        <c:ser>
          <c:idx val="26"/>
          <c:order val="26"/>
          <c:tx>
            <c:v>BES_TR8_four54_C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PV_kW!$AC$2:$AC$49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869-42E0-904E-6CE68D79CDDB}"/>
            </c:ext>
          </c:extLst>
        </c:ser>
        <c:ser>
          <c:idx val="27"/>
          <c:order val="27"/>
          <c:tx>
            <c:v>BES_TR8_four288_B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PV_kW!$AD$2:$AD$49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869-42E0-904E-6CE68D79CDDB}"/>
            </c:ext>
          </c:extLst>
        </c:ser>
        <c:ser>
          <c:idx val="28"/>
          <c:order val="28"/>
          <c:tx>
            <c:v>BES_TR8_four289_B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PV_kW!$AE$2:$AE$49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869-42E0-904E-6CE68D79CDDB}"/>
            </c:ext>
          </c:extLst>
        </c:ser>
        <c:ser>
          <c:idx val="29"/>
          <c:order val="29"/>
          <c:tx>
            <c:v>BES_TR8_four292_C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PV_kW!$AF$2:$AF$49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869-42E0-904E-6CE68D79CDDB}"/>
            </c:ext>
          </c:extLst>
        </c:ser>
        <c:ser>
          <c:idx val="30"/>
          <c:order val="30"/>
          <c:tx>
            <c:v>BES_TR8_four301_C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PV_kW!$AG$2:$AG$49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869-42E0-904E-6CE68D79CDDB}"/>
            </c:ext>
          </c:extLst>
        </c:ser>
        <c:ser>
          <c:idx val="31"/>
          <c:order val="31"/>
          <c:tx>
            <c:v>BES_TR8_four326_A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PV_kW!$AH$2:$AH$49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869-42E0-904E-6CE68D79CDDB}"/>
            </c:ext>
          </c:extLst>
        </c:ser>
        <c:ser>
          <c:idx val="32"/>
          <c:order val="32"/>
          <c:tx>
            <c:v>BES_TR8_four352_A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PV_kW!$AI$2:$AI$49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869-42E0-904E-6CE68D79CDDB}"/>
            </c:ext>
          </c:extLst>
        </c:ser>
        <c:ser>
          <c:idx val="33"/>
          <c:order val="33"/>
          <c:tx>
            <c:v>BES_TR8_four358_C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PV_kW!$AJ$2:$AJ$49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0869-42E0-904E-6CE68D79CDDB}"/>
            </c:ext>
          </c:extLst>
        </c:ser>
        <c:ser>
          <c:idx val="34"/>
          <c:order val="34"/>
          <c:tx>
            <c:v>BES_TR8_four368_C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PV_kW!$AK$2:$AK$49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869-42E0-904E-6CE68D79CDDB}"/>
            </c:ext>
          </c:extLst>
        </c:ser>
        <c:ser>
          <c:idx val="35"/>
          <c:order val="35"/>
          <c:tx>
            <c:v>BES_TR8_four372_C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PV_kW!$AL$2:$AL$49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0869-42E0-904E-6CE68D79CDDB}"/>
            </c:ext>
          </c:extLst>
        </c:ser>
        <c:ser>
          <c:idx val="36"/>
          <c:order val="36"/>
          <c:tx>
            <c:v>BES_TR8_four381_A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PV_kW!$AM$2:$AM$49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869-42E0-904E-6CE68D79CDDB}"/>
            </c:ext>
          </c:extLst>
        </c:ser>
        <c:ser>
          <c:idx val="37"/>
          <c:order val="37"/>
          <c:tx>
            <c:v>BES_TR8_four385_A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PV_kW!$AN$2:$AN$49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0869-42E0-904E-6CE68D79CDDB}"/>
            </c:ext>
          </c:extLst>
        </c:ser>
        <c:ser>
          <c:idx val="38"/>
          <c:order val="38"/>
          <c:tx>
            <c:v>BES_TR8_four423_C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PV_kW!$AO$2:$AO$49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869-42E0-904E-6CE68D79CDDB}"/>
            </c:ext>
          </c:extLst>
        </c:ser>
        <c:ser>
          <c:idx val="39"/>
          <c:order val="39"/>
          <c:tx>
            <c:v>BES_TR8_four437_A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PV_kW!$AP$2:$AP$49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0869-42E0-904E-6CE68D79CDDB}"/>
            </c:ext>
          </c:extLst>
        </c:ser>
        <c:ser>
          <c:idx val="40"/>
          <c:order val="40"/>
          <c:tx>
            <c:v>BES_TR8_four446_B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PV_kW!$AQ$2:$AQ$49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869-42E0-904E-6CE68D79CDDB}"/>
            </c:ext>
          </c:extLst>
        </c:ser>
        <c:ser>
          <c:idx val="41"/>
          <c:order val="41"/>
          <c:tx>
            <c:v>BES_TR8_four466_C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PV_kW!$AR$2:$AR$49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0869-42E0-904E-6CE68D79CDDB}"/>
            </c:ext>
          </c:extLst>
        </c:ser>
        <c:ser>
          <c:idx val="42"/>
          <c:order val="42"/>
          <c:tx>
            <c:v>BES_TR8_four467_C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PV_kW!$AS$2:$AS$49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869-42E0-904E-6CE68D79CDDB}"/>
            </c:ext>
          </c:extLst>
        </c:ser>
        <c:ser>
          <c:idx val="43"/>
          <c:order val="43"/>
          <c:tx>
            <c:v>BES_TR8_four548_B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PV_kW!$AT$2:$AT$49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0869-42E0-904E-6CE68D79CDDB}"/>
            </c:ext>
          </c:extLst>
        </c:ser>
        <c:ser>
          <c:idx val="44"/>
          <c:order val="44"/>
          <c:tx>
            <c:v>BES_TR8_four558_C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PV_kW!$AU$2:$AU$49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0869-42E0-904E-6CE68D79CDDB}"/>
            </c:ext>
          </c:extLst>
        </c:ser>
        <c:ser>
          <c:idx val="45"/>
          <c:order val="45"/>
          <c:tx>
            <c:v>BES_TR8_four562_C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PV_kW!$AV$2:$AV$49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0869-42E0-904E-6CE68D79CDDB}"/>
            </c:ext>
          </c:extLst>
        </c:ser>
        <c:ser>
          <c:idx val="46"/>
          <c:order val="46"/>
          <c:tx>
            <c:v>BES_TR8_four590_A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PV_kW!$AW$2:$AW$49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0869-42E0-904E-6CE68D79CDDB}"/>
            </c:ext>
          </c:extLst>
        </c:ser>
        <c:ser>
          <c:idx val="47"/>
          <c:order val="47"/>
          <c:tx>
            <c:v>BES_TR8_four604_A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PV_kW!$AX$2:$AX$49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0869-42E0-904E-6CE68D79CDDB}"/>
            </c:ext>
          </c:extLst>
        </c:ser>
        <c:ser>
          <c:idx val="48"/>
          <c:order val="48"/>
          <c:tx>
            <c:v>BES_TR8_four78_B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PV_kW!$AY$2:$AY$49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0869-42E0-904E-6CE68D79CDDB}"/>
            </c:ext>
          </c:extLst>
        </c:ser>
        <c:ser>
          <c:idx val="49"/>
          <c:order val="49"/>
          <c:tx>
            <c:v>BES_TR8_four734_A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PV_kW!$AZ$2:$AZ$49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0869-42E0-904E-6CE68D79CDDB}"/>
            </c:ext>
          </c:extLst>
        </c:ser>
        <c:ser>
          <c:idx val="50"/>
          <c:order val="50"/>
          <c:tx>
            <c:v>BES_TR8_four797_C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PV_kW!$BA$2:$BA$49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0869-42E0-904E-6CE68D79CDDB}"/>
            </c:ext>
          </c:extLst>
        </c:ser>
        <c:ser>
          <c:idx val="51"/>
          <c:order val="51"/>
          <c:tx>
            <c:v>BES_TR8_four846_C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PV_kW!$BB$2:$BB$49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0869-42E0-904E-6CE68D79CDDB}"/>
            </c:ext>
          </c:extLst>
        </c:ser>
        <c:ser>
          <c:idx val="52"/>
          <c:order val="52"/>
          <c:tx>
            <c:v>BES_TR8_four854_A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PV_kW!$BC$2:$BC$49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0869-42E0-904E-6CE68D79CDDB}"/>
            </c:ext>
          </c:extLst>
        </c:ser>
        <c:ser>
          <c:idx val="53"/>
          <c:order val="53"/>
          <c:tx>
            <c:v>BES_TR8_four936_C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PV_kW!$BD$2:$BD$49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0869-42E0-904E-6CE68D79CDDB}"/>
            </c:ext>
          </c:extLst>
        </c:ser>
        <c:ser>
          <c:idx val="54"/>
          <c:order val="54"/>
          <c:tx>
            <c:v>BES_TR8_four950_B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PV_kW!$BE$2:$BE$49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0869-42E0-904E-6CE68D79CDDB}"/>
            </c:ext>
          </c:extLst>
        </c:ser>
        <c:ser>
          <c:idx val="55"/>
          <c:order val="55"/>
          <c:tx>
            <c:v>BES_TR8_four978_A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PV_kW!$BF$2:$BF$49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0869-42E0-904E-6CE68D79CDDB}"/>
            </c:ext>
          </c:extLst>
        </c:ser>
        <c:ser>
          <c:idx val="56"/>
          <c:order val="56"/>
          <c:tx>
            <c:v>BES_TR8_four104_A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PV_kW!$BG$2:$BG$49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0869-42E0-904E-6CE68D79CDDB}"/>
            </c:ext>
          </c:extLst>
        </c:ser>
        <c:ser>
          <c:idx val="57"/>
          <c:order val="57"/>
          <c:tx>
            <c:v>BES_TR8_four988_A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PV_kW!$BH$2:$BH$49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0869-42E0-904E-6CE68D79CDDB}"/>
            </c:ext>
          </c:extLst>
        </c:ser>
        <c:ser>
          <c:idx val="58"/>
          <c:order val="58"/>
          <c:tx>
            <c:v>BES_TR8_four1013_B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PV_kW!$BI$2:$BI$49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0869-42E0-904E-6CE68D79CDDB}"/>
            </c:ext>
          </c:extLst>
        </c:ser>
        <c:ser>
          <c:idx val="59"/>
          <c:order val="59"/>
          <c:tx>
            <c:v>BES_TR8_four1027_A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PV_kW!$BJ$2:$BJ$49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0869-42E0-904E-6CE68D79CDDB}"/>
            </c:ext>
          </c:extLst>
        </c:ser>
        <c:ser>
          <c:idx val="60"/>
          <c:order val="60"/>
          <c:tx>
            <c:v>BES_TR8_four1132_C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PV_kW!$BK$2:$BK$49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0869-42E0-904E-6CE68D79CDDB}"/>
            </c:ext>
          </c:extLst>
        </c:ser>
        <c:ser>
          <c:idx val="61"/>
          <c:order val="61"/>
          <c:tx>
            <c:v>BES_TR8_four126_A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PV_kW!$BL$2:$BL$49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0869-42E0-904E-6CE68D79CDDB}"/>
            </c:ext>
          </c:extLst>
        </c:ser>
        <c:ser>
          <c:idx val="62"/>
          <c:order val="62"/>
          <c:tx>
            <c:v>BES_TR8_four1187_A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PV_kW!$BM$2:$BM$49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0869-42E0-904E-6CE68D79CDDB}"/>
            </c:ext>
          </c:extLst>
        </c:ser>
        <c:ser>
          <c:idx val="63"/>
          <c:order val="63"/>
          <c:tx>
            <c:v>BES_TR8_four1207_B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PV_kW!$BN$2:$BN$49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0869-42E0-904E-6CE68D79CDDB}"/>
            </c:ext>
          </c:extLst>
        </c:ser>
        <c:ser>
          <c:idx val="64"/>
          <c:order val="64"/>
          <c:tx>
            <c:v>BES_TR8_five168_A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PV_kW!$BO$2:$BO$49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0869-42E0-904E-6CE68D79CDDB}"/>
            </c:ext>
          </c:extLst>
        </c:ser>
        <c:ser>
          <c:idx val="65"/>
          <c:order val="65"/>
          <c:tx>
            <c:v>BES_TR8_five186_C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PV_kW!$BP$2:$BP$49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0869-42E0-904E-6CE68D79CDDB}"/>
            </c:ext>
          </c:extLst>
        </c:ser>
        <c:ser>
          <c:idx val="66"/>
          <c:order val="66"/>
          <c:tx>
            <c:v>BES_TR8_five194_C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PV_kW!$BQ$2:$BQ$49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0869-42E0-904E-6CE68D79CDDB}"/>
            </c:ext>
          </c:extLst>
        </c:ser>
        <c:ser>
          <c:idx val="67"/>
          <c:order val="67"/>
          <c:tx>
            <c:v>BES_TR8_five223_A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PV_kW!$BR$2:$BR$49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0869-42E0-904E-6CE68D79CDDB}"/>
            </c:ext>
          </c:extLst>
        </c:ser>
        <c:ser>
          <c:idx val="68"/>
          <c:order val="68"/>
          <c:tx>
            <c:v>BES_TR8_five303_B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PV_kW!$BS$2:$BS$49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0869-42E0-904E-6CE68D79CDDB}"/>
            </c:ext>
          </c:extLst>
        </c:ser>
        <c:ser>
          <c:idx val="69"/>
          <c:order val="69"/>
          <c:tx>
            <c:v>BES_TR8_five324_B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PV_kW!$BT$2:$BT$49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0869-42E0-904E-6CE68D79CDDB}"/>
            </c:ext>
          </c:extLst>
        </c:ser>
        <c:ser>
          <c:idx val="70"/>
          <c:order val="70"/>
          <c:tx>
            <c:v>BES_TR8_five345_A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PV_kW!$BU$2:$BU$49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0869-42E0-904E-6CE68D79CDDB}"/>
            </c:ext>
          </c:extLst>
        </c:ser>
        <c:ser>
          <c:idx val="71"/>
          <c:order val="71"/>
          <c:tx>
            <c:v>BES_TR8_five421_A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PV_kW!$BV$2:$BV$49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0869-42E0-904E-6CE68D79CDDB}"/>
            </c:ext>
          </c:extLst>
        </c:ser>
        <c:ser>
          <c:idx val="72"/>
          <c:order val="72"/>
          <c:tx>
            <c:v>BES_TR8_five488_B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PV_kW!$BW$2:$BW$49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0869-42E0-904E-6CE68D79CDDB}"/>
            </c:ext>
          </c:extLst>
        </c:ser>
        <c:ser>
          <c:idx val="73"/>
          <c:order val="73"/>
          <c:tx>
            <c:v>BES_TR8_five513_B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PV_kW!$BX$2:$BX$49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0869-42E0-904E-6CE68D79CDDB}"/>
            </c:ext>
          </c:extLst>
        </c:ser>
        <c:ser>
          <c:idx val="74"/>
          <c:order val="74"/>
          <c:tx>
            <c:v>BES_TR8_five537_C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PV_kW!$BY$2:$BY$49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0869-42E0-904E-6CE68D79CDDB}"/>
            </c:ext>
          </c:extLst>
        </c:ser>
        <c:ser>
          <c:idx val="75"/>
          <c:order val="75"/>
          <c:tx>
            <c:v>BES_TR8_five540_A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PV_kW!$BZ$2:$BZ$49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0869-42E0-904E-6CE68D79CDDB}"/>
            </c:ext>
          </c:extLst>
        </c:ser>
        <c:ser>
          <c:idx val="76"/>
          <c:order val="76"/>
          <c:tx>
            <c:v>BES_TR8_five551_C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PV_kW!$CA$2:$CA$49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0869-42E0-904E-6CE68D79CDDB}"/>
            </c:ext>
          </c:extLst>
        </c:ser>
        <c:ser>
          <c:idx val="77"/>
          <c:order val="77"/>
          <c:tx>
            <c:v>BES_TR8_five631_B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PV_kW!$CB$2:$CB$49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0869-42E0-904E-6CE68D79CDDB}"/>
            </c:ext>
          </c:extLst>
        </c:ser>
        <c:ser>
          <c:idx val="78"/>
          <c:order val="78"/>
          <c:tx>
            <c:v>BES_TR8_five649_A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PV_kW!$CC$2:$CC$49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0869-42E0-904E-6CE68D79CDDB}"/>
            </c:ext>
          </c:extLst>
        </c:ser>
        <c:ser>
          <c:idx val="79"/>
          <c:order val="79"/>
          <c:tx>
            <c:v>BES_TR8_five663_C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PV_kW!$CD$2:$CD$49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0869-42E0-904E-6CE68D79CDDB}"/>
            </c:ext>
          </c:extLst>
        </c:ser>
        <c:ser>
          <c:idx val="80"/>
          <c:order val="80"/>
          <c:tx>
            <c:v>BES_TR8_five670_C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PV_kW!$CE$2:$CE$49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0869-42E0-904E-6CE68D79CDDB}"/>
            </c:ext>
          </c:extLst>
        </c:ser>
        <c:ser>
          <c:idx val="81"/>
          <c:order val="81"/>
          <c:tx>
            <c:v>BES_TR8_five704_A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PV_kW!$CF$2:$CF$49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0869-42E0-904E-6CE68D79CDDB}"/>
            </c:ext>
          </c:extLst>
        </c:ser>
        <c:ser>
          <c:idx val="82"/>
          <c:order val="82"/>
          <c:tx>
            <c:v>BES_TR8_five719_A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PV_kW!$CG$2:$CG$49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0869-42E0-904E-6CE68D79CDDB}"/>
            </c:ext>
          </c:extLst>
        </c:ser>
        <c:ser>
          <c:idx val="83"/>
          <c:order val="83"/>
          <c:tx>
            <c:v>BES_TR8_five750_B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PV_kW!$CH$2:$CH$49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0869-42E0-904E-6CE68D79CDDB}"/>
            </c:ext>
          </c:extLst>
        </c:ser>
        <c:ser>
          <c:idx val="84"/>
          <c:order val="84"/>
          <c:tx>
            <c:v>BES_TR8_five793_A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PV_kW!$CI$2:$CI$49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0869-42E0-904E-6CE68D79CDDB}"/>
            </c:ext>
          </c:extLst>
        </c:ser>
        <c:ser>
          <c:idx val="85"/>
          <c:order val="85"/>
          <c:tx>
            <c:v>BES_TR8_five801_C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PV_kW!$CJ$2:$CJ$49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0869-42E0-904E-6CE68D79CDDB}"/>
            </c:ext>
          </c:extLst>
        </c:ser>
        <c:ser>
          <c:idx val="86"/>
          <c:order val="86"/>
          <c:tx>
            <c:v>BES_TR8_five905_B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PV_kW!$CK$2:$CK$49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0869-42E0-904E-6CE68D79CDDB}"/>
            </c:ext>
          </c:extLst>
        </c:ser>
        <c:ser>
          <c:idx val="87"/>
          <c:order val="87"/>
          <c:tx>
            <c:v>BES_TR8_five118_B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PV_kW!$CL$2:$CL$49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0869-42E0-904E-6CE68D79CDDB}"/>
            </c:ext>
          </c:extLst>
        </c:ser>
        <c:ser>
          <c:idx val="88"/>
          <c:order val="88"/>
          <c:tx>
            <c:v>BES_TR8_five123_B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PV_kW!$CM$2:$CM$49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0869-42E0-904E-6CE68D79CDDB}"/>
            </c:ext>
          </c:extLst>
        </c:ser>
        <c:ser>
          <c:idx val="89"/>
          <c:order val="89"/>
          <c:tx>
            <c:v>BES_TR8_six64_A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PV_kW!$CN$2:$CN$49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0869-42E0-904E-6CE68D79CDDB}"/>
            </c:ext>
          </c:extLst>
        </c:ser>
        <c:ser>
          <c:idx val="90"/>
          <c:order val="90"/>
          <c:tx>
            <c:v>BES_TR8_six154_C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PV_kW!$CO$2:$CO$49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0869-42E0-904E-6CE68D79CDDB}"/>
            </c:ext>
          </c:extLst>
        </c:ser>
        <c:ser>
          <c:idx val="91"/>
          <c:order val="91"/>
          <c:tx>
            <c:v>BES_TR8_six173_C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PV_kW!$CP$2:$CP$49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0869-42E0-904E-6CE68D79CDDB}"/>
            </c:ext>
          </c:extLst>
        </c:ser>
        <c:ser>
          <c:idx val="92"/>
          <c:order val="92"/>
          <c:tx>
            <c:v>BES_TR8_six232_C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PV_kW!$CQ$2:$CQ$49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0869-42E0-904E-6CE68D79CDDB}"/>
            </c:ext>
          </c:extLst>
        </c:ser>
        <c:ser>
          <c:idx val="93"/>
          <c:order val="93"/>
          <c:tx>
            <c:v>BES_TR8_six238_A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PV_kW!$CR$2:$CR$49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0869-42E0-904E-6CE68D79CDDB}"/>
            </c:ext>
          </c:extLst>
        </c:ser>
        <c:ser>
          <c:idx val="94"/>
          <c:order val="94"/>
          <c:tx>
            <c:v>BES_TR8_six269_C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PV_kW!$CS$2:$CS$49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0869-42E0-904E-6CE68D79CDDB}"/>
            </c:ext>
          </c:extLst>
        </c:ser>
        <c:ser>
          <c:idx val="95"/>
          <c:order val="95"/>
          <c:tx>
            <c:v>BES_TR8_six289_C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PV_kW!$CT$2:$CT$49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0869-42E0-904E-6CE68D79CDDB}"/>
            </c:ext>
          </c:extLst>
        </c:ser>
        <c:ser>
          <c:idx val="96"/>
          <c:order val="96"/>
          <c:tx>
            <c:v>BES_TR8_six317_C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PV_kW!$CU$2:$CU$49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0869-42E0-904E-6CE68D79CDDB}"/>
            </c:ext>
          </c:extLst>
        </c:ser>
        <c:ser>
          <c:idx val="97"/>
          <c:order val="97"/>
          <c:tx>
            <c:v>BES_TR8_six326_A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PV_kW!$CV$2:$CV$49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0869-42E0-904E-6CE68D79CDDB}"/>
            </c:ext>
          </c:extLst>
        </c:ser>
        <c:ser>
          <c:idx val="98"/>
          <c:order val="98"/>
          <c:tx>
            <c:v>BES_TR8_six329_A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PV_kW!$CW$2:$CW$49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0869-42E0-904E-6CE68D79CDDB}"/>
            </c:ext>
          </c:extLst>
        </c:ser>
        <c:ser>
          <c:idx val="99"/>
          <c:order val="99"/>
          <c:tx>
            <c:v>BES_TR8_six342_A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PV_kW!$CX$2:$CX$49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0869-42E0-904E-6CE68D79CDDB}"/>
            </c:ext>
          </c:extLst>
        </c:ser>
        <c:ser>
          <c:idx val="100"/>
          <c:order val="100"/>
          <c:tx>
            <c:v>BES_TR8_six350_B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PV_kW!$CY$2:$CY$49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0869-42E0-904E-6CE68D79CDDB}"/>
            </c:ext>
          </c:extLst>
        </c:ser>
        <c:ser>
          <c:idx val="101"/>
          <c:order val="101"/>
          <c:tx>
            <c:v>BES_TR8_six365_C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PV_kW!$CZ$2:$CZ$49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0869-42E0-904E-6CE68D79CDDB}"/>
            </c:ext>
          </c:extLst>
        </c:ser>
        <c:ser>
          <c:idx val="102"/>
          <c:order val="102"/>
          <c:tx>
            <c:v>BES_TR8_six75_A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PV_kW!$DA$2:$DA$49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0869-42E0-904E-6CE68D79CDDB}"/>
            </c:ext>
          </c:extLst>
        </c:ser>
        <c:ser>
          <c:idx val="103"/>
          <c:order val="103"/>
          <c:tx>
            <c:v>BES_TR8_six385_B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PV_kW!$DB$2:$DB$49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0869-42E0-904E-6CE68D79CDDB}"/>
            </c:ext>
          </c:extLst>
        </c:ser>
        <c:ser>
          <c:idx val="104"/>
          <c:order val="104"/>
          <c:tx>
            <c:v>BES_TR8_six431_C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PV_kW!$DC$2:$DC$49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1.290301300000001E-3</c:v>
                </c:pt>
                <c:pt idx="8">
                  <c:v>1.8650434699999951E-2</c:v>
                </c:pt>
                <c:pt idx="9">
                  <c:v>8.7215083949999994E-2</c:v>
                </c:pt>
                <c:pt idx="10">
                  <c:v>0.17300260810000051</c:v>
                </c:pt>
                <c:pt idx="11">
                  <c:v>0.27819674119999949</c:v>
                </c:pt>
                <c:pt idx="12">
                  <c:v>0.39296947225000062</c:v>
                </c:pt>
                <c:pt idx="13">
                  <c:v>0.50915293789999949</c:v>
                </c:pt>
                <c:pt idx="14">
                  <c:v>0.62473479555</c:v>
                </c:pt>
                <c:pt idx="15">
                  <c:v>0.74048478374999993</c:v>
                </c:pt>
                <c:pt idx="16">
                  <c:v>0.8491235243500006</c:v>
                </c:pt>
                <c:pt idx="17">
                  <c:v>0.95124410009999993</c:v>
                </c:pt>
                <c:pt idx="18">
                  <c:v>1.038215761</c:v>
                </c:pt>
                <c:pt idx="19">
                  <c:v>1.112393777299999</c:v>
                </c:pt>
                <c:pt idx="20">
                  <c:v>1.1775033536499999</c:v>
                </c:pt>
                <c:pt idx="21">
                  <c:v>1.2312394204499999</c:v>
                </c:pt>
                <c:pt idx="22">
                  <c:v>1.26936672175</c:v>
                </c:pt>
                <c:pt idx="23">
                  <c:v>1.2860875158</c:v>
                </c:pt>
                <c:pt idx="24">
                  <c:v>1.290930498400001</c:v>
                </c:pt>
                <c:pt idx="25">
                  <c:v>1.281870627</c:v>
                </c:pt>
                <c:pt idx="26">
                  <c:v>1.25143443075</c:v>
                </c:pt>
                <c:pt idx="27">
                  <c:v>1.2050003728000001</c:v>
                </c:pt>
                <c:pt idx="28">
                  <c:v>1.14956545995</c:v>
                </c:pt>
                <c:pt idx="29">
                  <c:v>1.0793213149000001</c:v>
                </c:pt>
                <c:pt idx="30">
                  <c:v>1.00467318555</c:v>
                </c:pt>
                <c:pt idx="31">
                  <c:v>0.91484394520000045</c:v>
                </c:pt>
                <c:pt idx="32">
                  <c:v>0.81367502149999948</c:v>
                </c:pt>
                <c:pt idx="33">
                  <c:v>0.69152672734999943</c:v>
                </c:pt>
                <c:pt idx="34">
                  <c:v>0.57720439774999943</c:v>
                </c:pt>
                <c:pt idx="35">
                  <c:v>0.45973110795000011</c:v>
                </c:pt>
                <c:pt idx="36">
                  <c:v>0.34609385050000052</c:v>
                </c:pt>
                <c:pt idx="37">
                  <c:v>0.23653152224999999</c:v>
                </c:pt>
                <c:pt idx="38">
                  <c:v>0.13812028039999991</c:v>
                </c:pt>
                <c:pt idx="39">
                  <c:v>4.018498065E-2</c:v>
                </c:pt>
                <c:pt idx="40">
                  <c:v>7.4114161000000036E-3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0869-42E0-904E-6CE68D79CDDB}"/>
            </c:ext>
          </c:extLst>
        </c:ser>
        <c:ser>
          <c:idx val="105"/>
          <c:order val="105"/>
          <c:tx>
            <c:v>BES_TR8_six571_C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PV_kW!$DD$2:$DD$49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0869-42E0-904E-6CE68D79CDDB}"/>
            </c:ext>
          </c:extLst>
        </c:ser>
        <c:ser>
          <c:idx val="106"/>
          <c:order val="106"/>
          <c:tx>
            <c:v>BES_TR8_six595_B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PV_kW!$DE$2:$DE$49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0869-42E0-904E-6CE68D79CDDB}"/>
            </c:ext>
          </c:extLst>
        </c:ser>
        <c:ser>
          <c:idx val="107"/>
          <c:order val="107"/>
          <c:tx>
            <c:v>BES_TR8_six643_A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PV_kW!$DF$2:$DF$49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0869-42E0-904E-6CE68D79CDDB}"/>
            </c:ext>
          </c:extLst>
        </c:ser>
        <c:ser>
          <c:idx val="108"/>
          <c:order val="108"/>
          <c:tx>
            <c:v>BES_TR8_six652_A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PV_kW!$DG$2:$DG$49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0869-42E0-904E-6CE68D79CDDB}"/>
            </c:ext>
          </c:extLst>
        </c:ser>
        <c:ser>
          <c:idx val="109"/>
          <c:order val="109"/>
          <c:tx>
            <c:v>BES_TR8_six667_A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PV_kW!$DH$2:$DH$49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0869-42E0-904E-6CE68D79CDDB}"/>
            </c:ext>
          </c:extLst>
        </c:ser>
        <c:ser>
          <c:idx val="110"/>
          <c:order val="110"/>
          <c:tx>
            <c:v>BES_TR8_six699_C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PV_kW!$DI$2:$DI$49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0869-42E0-904E-6CE68D79CDDB}"/>
            </c:ext>
          </c:extLst>
        </c:ser>
        <c:ser>
          <c:idx val="111"/>
          <c:order val="111"/>
          <c:tx>
            <c:v>BES_TR8_six723_B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PV_kW!$DJ$2:$DJ$49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0869-42E0-904E-6CE68D79CDDB}"/>
            </c:ext>
          </c:extLst>
        </c:ser>
        <c:ser>
          <c:idx val="112"/>
          <c:order val="112"/>
          <c:tx>
            <c:v>BES_TR8_six740_A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PV_kW!$DK$2:$DK$49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3.0107030333333339E-3</c:v>
                </c:pt>
                <c:pt idx="8">
                  <c:v>4.3517680966666562E-2</c:v>
                </c:pt>
                <c:pt idx="9">
                  <c:v>0.20350186255</c:v>
                </c:pt>
                <c:pt idx="10">
                  <c:v>0.40367275223333449</c:v>
                </c:pt>
                <c:pt idx="11">
                  <c:v>0.64912572946666547</c:v>
                </c:pt>
                <c:pt idx="12">
                  <c:v>0.91692876858333461</c:v>
                </c:pt>
                <c:pt idx="13">
                  <c:v>1.188023521766665</c:v>
                </c:pt>
                <c:pt idx="14">
                  <c:v>1.4577145229499999</c:v>
                </c:pt>
                <c:pt idx="15">
                  <c:v>1.72779782875</c:v>
                </c:pt>
                <c:pt idx="16">
                  <c:v>1.9812882234833351</c:v>
                </c:pt>
                <c:pt idx="17">
                  <c:v>2.2195695669000002</c:v>
                </c:pt>
                <c:pt idx="18">
                  <c:v>2.4225034423333351</c:v>
                </c:pt>
                <c:pt idx="19">
                  <c:v>2.5955854803666649</c:v>
                </c:pt>
                <c:pt idx="20">
                  <c:v>2.7475078251833338</c:v>
                </c:pt>
                <c:pt idx="21">
                  <c:v>2.87289198105</c:v>
                </c:pt>
                <c:pt idx="22">
                  <c:v>2.9618556840833339</c:v>
                </c:pt>
                <c:pt idx="23">
                  <c:v>3.0008708702</c:v>
                </c:pt>
                <c:pt idx="24">
                  <c:v>3.0121711629333352</c:v>
                </c:pt>
                <c:pt idx="25">
                  <c:v>2.9910314630000001</c:v>
                </c:pt>
                <c:pt idx="26">
                  <c:v>2.92001367175</c:v>
                </c:pt>
                <c:pt idx="27">
                  <c:v>2.811667536533335</c:v>
                </c:pt>
                <c:pt idx="28">
                  <c:v>2.68231940655</c:v>
                </c:pt>
                <c:pt idx="29">
                  <c:v>2.5184164014333348</c:v>
                </c:pt>
                <c:pt idx="30">
                  <c:v>2.34423743295</c:v>
                </c:pt>
                <c:pt idx="31">
                  <c:v>2.1346358721333338</c:v>
                </c:pt>
                <c:pt idx="32">
                  <c:v>1.8985750501666649</c:v>
                </c:pt>
                <c:pt idx="33">
                  <c:v>1.613562363816665</c:v>
                </c:pt>
                <c:pt idx="34">
                  <c:v>1.346810261416665</c:v>
                </c:pt>
                <c:pt idx="35">
                  <c:v>1.0727059185500001</c:v>
                </c:pt>
                <c:pt idx="36">
                  <c:v>0.80755231783333448</c:v>
                </c:pt>
                <c:pt idx="37">
                  <c:v>0.55190688524999998</c:v>
                </c:pt>
                <c:pt idx="38">
                  <c:v>0.32228065426666652</c:v>
                </c:pt>
                <c:pt idx="39">
                  <c:v>9.3764954849999999E-2</c:v>
                </c:pt>
                <c:pt idx="40">
                  <c:v>1.7293304233333341E-2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0869-42E0-904E-6CE68D79CDDB}"/>
            </c:ext>
          </c:extLst>
        </c:ser>
        <c:ser>
          <c:idx val="113"/>
          <c:order val="113"/>
          <c:tx>
            <c:v>BES_TR8_six90_B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PV_kW!$DL$2:$DL$49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2.5806026000000011E-3</c:v>
                </c:pt>
                <c:pt idx="8">
                  <c:v>3.7300869399999902E-2</c:v>
                </c:pt>
                <c:pt idx="9">
                  <c:v>0.17443016789999999</c:v>
                </c:pt>
                <c:pt idx="10">
                  <c:v>0.34600521620000102</c:v>
                </c:pt>
                <c:pt idx="11">
                  <c:v>0.55639348239999897</c:v>
                </c:pt>
                <c:pt idx="12">
                  <c:v>0.78593894450000112</c:v>
                </c:pt>
                <c:pt idx="13">
                  <c:v>1.018305875799999</c:v>
                </c:pt>
                <c:pt idx="14">
                  <c:v>1.2494695911</c:v>
                </c:pt>
                <c:pt idx="15">
                  <c:v>1.4809695675000001</c:v>
                </c:pt>
                <c:pt idx="16">
                  <c:v>1.698247048700001</c:v>
                </c:pt>
                <c:pt idx="17">
                  <c:v>1.9024882002000001</c:v>
                </c:pt>
                <c:pt idx="18">
                  <c:v>2.0764315220000009</c:v>
                </c:pt>
                <c:pt idx="19">
                  <c:v>2.2247875545999989</c:v>
                </c:pt>
                <c:pt idx="20">
                  <c:v>2.3550067073000012</c:v>
                </c:pt>
                <c:pt idx="21">
                  <c:v>2.4624788408999998</c:v>
                </c:pt>
                <c:pt idx="22">
                  <c:v>2.5387334435000009</c:v>
                </c:pt>
                <c:pt idx="23">
                  <c:v>2.5721750316000001</c:v>
                </c:pt>
                <c:pt idx="24">
                  <c:v>2.581860996800001</c:v>
                </c:pt>
                <c:pt idx="25">
                  <c:v>2.563741254</c:v>
                </c:pt>
                <c:pt idx="26">
                  <c:v>2.5028688615000001</c:v>
                </c:pt>
                <c:pt idx="27">
                  <c:v>2.410000745600001</c:v>
                </c:pt>
                <c:pt idx="28">
                  <c:v>2.2991309199000001</c:v>
                </c:pt>
                <c:pt idx="29">
                  <c:v>2.158642629800001</c:v>
                </c:pt>
                <c:pt idx="30">
                  <c:v>2.0093463710999999</c:v>
                </c:pt>
                <c:pt idx="31">
                  <c:v>1.8296878904000009</c:v>
                </c:pt>
                <c:pt idx="32">
                  <c:v>1.627350042999999</c:v>
                </c:pt>
                <c:pt idx="33">
                  <c:v>1.3830534546999991</c:v>
                </c:pt>
                <c:pt idx="34">
                  <c:v>1.1544087954999991</c:v>
                </c:pt>
                <c:pt idx="35">
                  <c:v>0.9194622159000001</c:v>
                </c:pt>
                <c:pt idx="36">
                  <c:v>0.69218770100000104</c:v>
                </c:pt>
                <c:pt idx="37">
                  <c:v>0.47306304449999997</c:v>
                </c:pt>
                <c:pt idx="38">
                  <c:v>0.27624056079999992</c:v>
                </c:pt>
                <c:pt idx="39">
                  <c:v>8.0369961300000001E-2</c:v>
                </c:pt>
                <c:pt idx="40">
                  <c:v>1.4822832200000011E-2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0869-42E0-904E-6CE68D79CDDB}"/>
            </c:ext>
          </c:extLst>
        </c:ser>
        <c:ser>
          <c:idx val="114"/>
          <c:order val="114"/>
          <c:tx>
            <c:v>BES_TR8_six801_C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PV_kW!$DM$2:$DM$49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0869-42E0-904E-6CE68D79CDDB}"/>
            </c:ext>
          </c:extLst>
        </c:ser>
        <c:ser>
          <c:idx val="115"/>
          <c:order val="115"/>
          <c:tx>
            <c:v>BES_TR8_six807_A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PV_kW!$DN$2:$DN$49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0869-42E0-904E-6CE68D79CDDB}"/>
            </c:ext>
          </c:extLst>
        </c:ser>
        <c:ser>
          <c:idx val="116"/>
          <c:order val="116"/>
          <c:tx>
            <c:v>BES_TR8_six844_C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PV_kW!$DO$2:$DO$49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0869-42E0-904E-6CE68D79CDDB}"/>
            </c:ext>
          </c:extLst>
        </c:ser>
        <c:ser>
          <c:idx val="117"/>
          <c:order val="117"/>
          <c:tx>
            <c:v>BES_TR8_six860_C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PV_kW!$DP$2:$DP$49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0869-42E0-904E-6CE68D79CDDB}"/>
            </c:ext>
          </c:extLst>
        </c:ser>
        <c:ser>
          <c:idx val="118"/>
          <c:order val="118"/>
          <c:tx>
            <c:v>BES_TR8_six909_C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PV_kW!$DQ$2:$DQ$49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2.1505021666666682E-3</c:v>
                </c:pt>
                <c:pt idx="8">
                  <c:v>3.1084057833333251E-2</c:v>
                </c:pt>
                <c:pt idx="9">
                  <c:v>0.14535847325000001</c:v>
                </c:pt>
                <c:pt idx="10">
                  <c:v>0.2883376801666675</c:v>
                </c:pt>
                <c:pt idx="11">
                  <c:v>0.46366123533333248</c:v>
                </c:pt>
                <c:pt idx="12">
                  <c:v>0.65494912041666753</c:v>
                </c:pt>
                <c:pt idx="13">
                  <c:v>0.84858822983333249</c:v>
                </c:pt>
                <c:pt idx="14">
                  <c:v>1.0412246592500001</c:v>
                </c:pt>
                <c:pt idx="15">
                  <c:v>1.23414130625</c:v>
                </c:pt>
                <c:pt idx="16">
                  <c:v>1.415205873916668</c:v>
                </c:pt>
                <c:pt idx="17">
                  <c:v>1.5854068335</c:v>
                </c:pt>
                <c:pt idx="18">
                  <c:v>1.730359601666668</c:v>
                </c:pt>
                <c:pt idx="19">
                  <c:v>1.853989628833332</c:v>
                </c:pt>
                <c:pt idx="20">
                  <c:v>1.962505589416667</c:v>
                </c:pt>
                <c:pt idx="21">
                  <c:v>2.0520657007500001</c:v>
                </c:pt>
                <c:pt idx="22">
                  <c:v>2.1156112029166669</c:v>
                </c:pt>
                <c:pt idx="23">
                  <c:v>2.1434791930000001</c:v>
                </c:pt>
                <c:pt idx="24">
                  <c:v>2.1515508306666669</c:v>
                </c:pt>
                <c:pt idx="25">
                  <c:v>2.1364510449999998</c:v>
                </c:pt>
                <c:pt idx="26">
                  <c:v>2.0857240512500002</c:v>
                </c:pt>
                <c:pt idx="27">
                  <c:v>2.008333954666667</c:v>
                </c:pt>
                <c:pt idx="28">
                  <c:v>1.9159424332499999</c:v>
                </c:pt>
                <c:pt idx="29">
                  <c:v>1.7988688581666681</c:v>
                </c:pt>
                <c:pt idx="30">
                  <c:v>1.6744553092500001</c:v>
                </c:pt>
                <c:pt idx="31">
                  <c:v>1.524739908666668</c:v>
                </c:pt>
                <c:pt idx="32">
                  <c:v>1.3561250358333321</c:v>
                </c:pt>
                <c:pt idx="33">
                  <c:v>1.152544545583333</c:v>
                </c:pt>
                <c:pt idx="34">
                  <c:v>0.96200732958333246</c:v>
                </c:pt>
                <c:pt idx="35">
                  <c:v>0.76621851325000001</c:v>
                </c:pt>
                <c:pt idx="36">
                  <c:v>0.5768230841666675</c:v>
                </c:pt>
                <c:pt idx="37">
                  <c:v>0.39421920375000002</c:v>
                </c:pt>
                <c:pt idx="38">
                  <c:v>0.23020046733333319</c:v>
                </c:pt>
                <c:pt idx="39">
                  <c:v>6.6974967750000003E-2</c:v>
                </c:pt>
                <c:pt idx="40">
                  <c:v>1.235236016666667E-2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0869-42E0-904E-6CE68D79CDDB}"/>
            </c:ext>
          </c:extLst>
        </c:ser>
        <c:ser>
          <c:idx val="119"/>
          <c:order val="119"/>
          <c:tx>
            <c:v>BES_TR8_six914_A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PV_kW!$DR$2:$DR$49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3.4408034666666681E-3</c:v>
                </c:pt>
                <c:pt idx="8">
                  <c:v>4.9734492533333202E-2</c:v>
                </c:pt>
                <c:pt idx="9">
                  <c:v>0.2325735572</c:v>
                </c:pt>
                <c:pt idx="10">
                  <c:v>0.46134028826666801</c:v>
                </c:pt>
                <c:pt idx="11">
                  <c:v>0.74185797653333196</c:v>
                </c:pt>
                <c:pt idx="12">
                  <c:v>1.0479185926666681</c:v>
                </c:pt>
                <c:pt idx="13">
                  <c:v>1.357741167733332</c:v>
                </c:pt>
                <c:pt idx="14">
                  <c:v>1.6659594548000001</c:v>
                </c:pt>
                <c:pt idx="15">
                  <c:v>1.9746260899999999</c:v>
                </c:pt>
                <c:pt idx="16">
                  <c:v>2.2643293982666681</c:v>
                </c:pt>
                <c:pt idx="17">
                  <c:v>2.5366509335999998</c:v>
                </c:pt>
                <c:pt idx="18">
                  <c:v>2.768575362666668</c:v>
                </c:pt>
                <c:pt idx="19">
                  <c:v>2.9663834061333318</c:v>
                </c:pt>
                <c:pt idx="20">
                  <c:v>3.1400089430666678</c:v>
                </c:pt>
                <c:pt idx="21">
                  <c:v>3.2833051212000002</c:v>
                </c:pt>
                <c:pt idx="22">
                  <c:v>3.3849779246666678</c:v>
                </c:pt>
                <c:pt idx="23">
                  <c:v>3.4295667087999999</c:v>
                </c:pt>
                <c:pt idx="24">
                  <c:v>3.442481329066668</c:v>
                </c:pt>
                <c:pt idx="25">
                  <c:v>3.4183216719999998</c:v>
                </c:pt>
                <c:pt idx="26">
                  <c:v>3.337158482</c:v>
                </c:pt>
                <c:pt idx="27">
                  <c:v>3.2133343274666681</c:v>
                </c:pt>
                <c:pt idx="28">
                  <c:v>3.0655078931999999</c:v>
                </c:pt>
                <c:pt idx="29">
                  <c:v>2.8781901730666681</c:v>
                </c:pt>
                <c:pt idx="30">
                  <c:v>2.6791284948</c:v>
                </c:pt>
                <c:pt idx="31">
                  <c:v>2.4395838538666679</c:v>
                </c:pt>
                <c:pt idx="32">
                  <c:v>2.1698000573333318</c:v>
                </c:pt>
                <c:pt idx="33">
                  <c:v>1.844071272933332</c:v>
                </c:pt>
                <c:pt idx="34">
                  <c:v>1.5392117273333319</c:v>
                </c:pt>
                <c:pt idx="35">
                  <c:v>1.2259496212000001</c:v>
                </c:pt>
                <c:pt idx="36">
                  <c:v>0.92291693466666802</c:v>
                </c:pt>
                <c:pt idx="37">
                  <c:v>0.63075072600000004</c:v>
                </c:pt>
                <c:pt idx="38">
                  <c:v>0.36832074773333318</c:v>
                </c:pt>
                <c:pt idx="39">
                  <c:v>0.1071599484</c:v>
                </c:pt>
                <c:pt idx="40">
                  <c:v>1.9763776266666679E-2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0869-42E0-904E-6CE68D79CDDB}"/>
            </c:ext>
          </c:extLst>
        </c:ser>
        <c:ser>
          <c:idx val="120"/>
          <c:order val="120"/>
          <c:tx>
            <c:v>BES_TR8_six111_C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PV_kW!$DS$2:$DS$49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0869-42E0-904E-6CE68D79CDDB}"/>
            </c:ext>
          </c:extLst>
        </c:ser>
        <c:ser>
          <c:idx val="121"/>
          <c:order val="121"/>
          <c:tx>
            <c:v>BES_TR8_six1006_C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PV_kW!$DT$2:$DT$49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0869-42E0-904E-6CE68D79CDDB}"/>
            </c:ext>
          </c:extLst>
        </c:ser>
        <c:ser>
          <c:idx val="122"/>
          <c:order val="122"/>
          <c:tx>
            <c:v>BES_TR8_six1020_A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PV_kW!$DU$2:$DU$49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1.720401733333334E-3</c:v>
                </c:pt>
                <c:pt idx="8">
                  <c:v>2.4867246266666601E-2</c:v>
                </c:pt>
                <c:pt idx="9">
                  <c:v>0.1162867786</c:v>
                </c:pt>
                <c:pt idx="10">
                  <c:v>0.230670144133334</c:v>
                </c:pt>
                <c:pt idx="11">
                  <c:v>0.37092898826666598</c:v>
                </c:pt>
                <c:pt idx="12">
                  <c:v>0.52395929633333405</c:v>
                </c:pt>
                <c:pt idx="13">
                  <c:v>0.67887058386666599</c:v>
                </c:pt>
                <c:pt idx="14">
                  <c:v>0.83297972740000004</c:v>
                </c:pt>
                <c:pt idx="15">
                  <c:v>0.98731304499999994</c:v>
                </c:pt>
                <c:pt idx="16">
                  <c:v>1.1321646991333341</c:v>
                </c:pt>
                <c:pt idx="17">
                  <c:v>1.2683254667999999</c:v>
                </c:pt>
                <c:pt idx="18">
                  <c:v>1.384287681333334</c:v>
                </c:pt>
                <c:pt idx="19">
                  <c:v>1.4831917030666659</c:v>
                </c:pt>
                <c:pt idx="20">
                  <c:v>1.5700044715333339</c:v>
                </c:pt>
                <c:pt idx="21">
                  <c:v>1.6416525606000001</c:v>
                </c:pt>
                <c:pt idx="22">
                  <c:v>1.6924889623333339</c:v>
                </c:pt>
                <c:pt idx="23">
                  <c:v>1.7147833544</c:v>
                </c:pt>
                <c:pt idx="24">
                  <c:v>1.721240664533334</c:v>
                </c:pt>
                <c:pt idx="25">
                  <c:v>1.7091608359999999</c:v>
                </c:pt>
                <c:pt idx="26">
                  <c:v>1.668579241</c:v>
                </c:pt>
                <c:pt idx="27">
                  <c:v>1.6066671637333341</c:v>
                </c:pt>
                <c:pt idx="28">
                  <c:v>1.5327539466</c:v>
                </c:pt>
                <c:pt idx="29">
                  <c:v>1.4390950865333341</c:v>
                </c:pt>
                <c:pt idx="30">
                  <c:v>1.3395642474</c:v>
                </c:pt>
                <c:pt idx="31">
                  <c:v>1.2197919269333339</c:v>
                </c:pt>
                <c:pt idx="32">
                  <c:v>1.0849000286666659</c:v>
                </c:pt>
                <c:pt idx="33">
                  <c:v>0.92203563646666598</c:v>
                </c:pt>
                <c:pt idx="34">
                  <c:v>0.76960586366666595</c:v>
                </c:pt>
                <c:pt idx="35">
                  <c:v>0.61297481060000003</c:v>
                </c:pt>
                <c:pt idx="36">
                  <c:v>0.46145846733333401</c:v>
                </c:pt>
                <c:pt idx="37">
                  <c:v>0.31537536300000002</c:v>
                </c:pt>
                <c:pt idx="38">
                  <c:v>0.18416037386666659</c:v>
                </c:pt>
                <c:pt idx="39">
                  <c:v>5.3579974199999998E-2</c:v>
                </c:pt>
                <c:pt idx="40">
                  <c:v>9.8818881333333393E-3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0869-42E0-904E-6CE68D79CDDB}"/>
            </c:ext>
          </c:extLst>
        </c:ser>
        <c:ser>
          <c:idx val="123"/>
          <c:order val="123"/>
          <c:tx>
            <c:v>BES_TR8_six1064_C</c:v>
          </c:tx>
          <c:spPr>
            <a:ln w="3810">
              <a:solidFill>
                <a:srgbClr val="CED4DA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PV_kW!$DV$2:$DV$49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8.6020086666666702E-4</c:v>
                </c:pt>
                <c:pt idx="8">
                  <c:v>1.2433623133333301E-2</c:v>
                </c:pt>
                <c:pt idx="9">
                  <c:v>5.8143389300000001E-2</c:v>
                </c:pt>
                <c:pt idx="10">
                  <c:v>0.115335072066667</c:v>
                </c:pt>
                <c:pt idx="11">
                  <c:v>0.18546449413333299</c:v>
                </c:pt>
                <c:pt idx="12">
                  <c:v>0.26197964816666702</c:v>
                </c:pt>
                <c:pt idx="13">
                  <c:v>0.33943529193333299</c:v>
                </c:pt>
                <c:pt idx="14">
                  <c:v>0.41648986370000002</c:v>
                </c:pt>
                <c:pt idx="15">
                  <c:v>0.49365652249999997</c:v>
                </c:pt>
                <c:pt idx="16">
                  <c:v>0.56608234956666703</c:v>
                </c:pt>
                <c:pt idx="17">
                  <c:v>0.63416273339999996</c:v>
                </c:pt>
                <c:pt idx="18">
                  <c:v>0.69214384066666701</c:v>
                </c:pt>
                <c:pt idx="19">
                  <c:v>0.74159585153333296</c:v>
                </c:pt>
                <c:pt idx="20">
                  <c:v>0.78500223576666694</c:v>
                </c:pt>
                <c:pt idx="21">
                  <c:v>0.82082628030000004</c:v>
                </c:pt>
                <c:pt idx="22">
                  <c:v>0.84624448116666695</c:v>
                </c:pt>
                <c:pt idx="23">
                  <c:v>0.85739167719999998</c:v>
                </c:pt>
                <c:pt idx="24">
                  <c:v>0.86062033226666701</c:v>
                </c:pt>
                <c:pt idx="25">
                  <c:v>0.85458041799999995</c:v>
                </c:pt>
                <c:pt idx="26">
                  <c:v>0.8342896205</c:v>
                </c:pt>
                <c:pt idx="27">
                  <c:v>0.80333358186666703</c:v>
                </c:pt>
                <c:pt idx="28">
                  <c:v>0.76637697329999999</c:v>
                </c:pt>
                <c:pt idx="29">
                  <c:v>0.71954754326666703</c:v>
                </c:pt>
                <c:pt idx="30">
                  <c:v>0.66978212370000001</c:v>
                </c:pt>
                <c:pt idx="31">
                  <c:v>0.60989596346666697</c:v>
                </c:pt>
                <c:pt idx="32">
                  <c:v>0.54245001433333295</c:v>
                </c:pt>
                <c:pt idx="33">
                  <c:v>0.46101781823333299</c:v>
                </c:pt>
                <c:pt idx="34">
                  <c:v>0.38480293183333297</c:v>
                </c:pt>
                <c:pt idx="35">
                  <c:v>0.30648740530000002</c:v>
                </c:pt>
                <c:pt idx="36">
                  <c:v>0.23072923366666701</c:v>
                </c:pt>
                <c:pt idx="37">
                  <c:v>0.15768768150000001</c:v>
                </c:pt>
                <c:pt idx="38">
                  <c:v>9.2080186933333294E-2</c:v>
                </c:pt>
                <c:pt idx="39">
                  <c:v>2.6789987099999999E-2</c:v>
                </c:pt>
                <c:pt idx="40">
                  <c:v>4.9409440666666696E-3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0869-42E0-904E-6CE68D79CDDB}"/>
            </c:ext>
          </c:extLst>
        </c:ser>
        <c:ser>
          <c:idx val="124"/>
          <c:order val="124"/>
          <c:tx>
            <c:v>fleet average</c:v>
          </c:tx>
          <c:spPr>
            <a:ln w="28575">
              <a:solidFill>
                <a:srgbClr val="E6A000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ChartData!$V$2:$V$49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2.6465050857526883E-3</c:v>
                </c:pt>
                <c:pt idx="8">
                  <c:v>3.8253445365860152E-2</c:v>
                </c:pt>
                <c:pt idx="9">
                  <c:v>0.17888470175766105</c:v>
                </c:pt>
                <c:pt idx="10">
                  <c:v>0.35484137091478601</c:v>
                </c:pt>
                <c:pt idx="11">
                  <c:v>0.57060245574085966</c:v>
                </c:pt>
                <c:pt idx="12">
                  <c:v>0.80600996593212404</c:v>
                </c:pt>
                <c:pt idx="13">
                  <c:v>1.0443109989723116</c:v>
                </c:pt>
                <c:pt idx="14">
                  <c:v>1.2813780887221773</c:v>
                </c:pt>
                <c:pt idx="15">
                  <c:v>1.5187900268850794</c:v>
                </c:pt>
                <c:pt idx="16">
                  <c:v>1.7416162609651937</c:v>
                </c:pt>
                <c:pt idx="17">
                  <c:v>1.9510732483233852</c:v>
                </c:pt>
                <c:pt idx="18">
                  <c:v>2.1294586710833348</c:v>
                </c:pt>
                <c:pt idx="19">
                  <c:v>2.2816033658061787</c:v>
                </c:pt>
                <c:pt idx="20">
                  <c:v>2.415148007620834</c:v>
                </c:pt>
                <c:pt idx="21">
                  <c:v>2.5253647252778202</c:v>
                </c:pt>
                <c:pt idx="22">
                  <c:v>2.6035666900409944</c:v>
                </c:pt>
                <c:pt idx="23">
                  <c:v>2.6378622971919365</c:v>
                </c:pt>
                <c:pt idx="24">
                  <c:v>2.6477956190301093</c:v>
                </c:pt>
                <c:pt idx="25">
                  <c:v>2.6292131408629031</c:v>
                </c:pt>
                <c:pt idx="26">
                  <c:v>2.5667862114576625</c:v>
                </c:pt>
                <c:pt idx="27">
                  <c:v>2.4715464635655904</c:v>
                </c:pt>
                <c:pt idx="28">
                  <c:v>2.3578452847899163</c:v>
                </c:pt>
                <c:pt idx="29">
                  <c:v>2.213769256098657</c:v>
                </c:pt>
                <c:pt idx="30">
                  <c:v>2.0606603241254047</c:v>
                </c:pt>
                <c:pt idx="31">
                  <c:v>1.8764137908268865</c:v>
                </c:pt>
                <c:pt idx="32">
                  <c:v>1.6689087134529561</c:v>
                </c:pt>
                <c:pt idx="33">
                  <c:v>1.4183733681936816</c:v>
                </c:pt>
                <c:pt idx="34">
                  <c:v>1.1838896652775537</c:v>
                </c:pt>
                <c:pt idx="35">
                  <c:v>0.94294310582217733</c:v>
                </c:pt>
                <c:pt idx="36">
                  <c:v>0.70986453745026978</c:v>
                </c:pt>
                <c:pt idx="37">
                  <c:v>0.48514395558266149</c:v>
                </c:pt>
                <c:pt idx="38">
                  <c:v>0.28329509125053753</c:v>
                </c:pt>
                <c:pt idx="39">
                  <c:v>8.2422419989112844E-2</c:v>
                </c:pt>
                <c:pt idx="40">
                  <c:v>1.5201372269623667E-2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0869-42E0-904E-6CE68D79C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3.7"/>
          <c:min val="-0.2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PV generation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/>
              <a:t>Battery charging per prosumer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BES_TR8_one223_B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Charge_kW!$C$2:$C$49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7.2999999999999995E-2</c:v>
                </c:pt>
                <c:pt idx="10">
                  <c:v>0.188</c:v>
                </c:pt>
                <c:pt idx="11">
                  <c:v>0.191</c:v>
                </c:pt>
                <c:pt idx="12">
                  <c:v>0.48099999999999998</c:v>
                </c:pt>
                <c:pt idx="13">
                  <c:v>0.63600000000000001</c:v>
                </c:pt>
                <c:pt idx="14">
                  <c:v>0.79</c:v>
                </c:pt>
                <c:pt idx="15">
                  <c:v>0.94399999999999995</c:v>
                </c:pt>
                <c:pt idx="16">
                  <c:v>1.089</c:v>
                </c:pt>
                <c:pt idx="17">
                  <c:v>1.109</c:v>
                </c:pt>
                <c:pt idx="18">
                  <c:v>0.73099999999999998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E1-4649-B473-1078BC904F97}"/>
            </c:ext>
          </c:extLst>
        </c:ser>
        <c:ser>
          <c:idx val="1"/>
          <c:order val="1"/>
          <c:tx>
            <c:v>BES_TR8_one252_C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Charge_kW!$D$2:$D$49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0.23899999999999999</c:v>
                </c:pt>
                <c:pt idx="11">
                  <c:v>0.33700000000000002</c:v>
                </c:pt>
                <c:pt idx="12">
                  <c:v>0.49399999999999999</c:v>
                </c:pt>
                <c:pt idx="13">
                  <c:v>0.8</c:v>
                </c:pt>
                <c:pt idx="14">
                  <c:v>0.85400000000000009</c:v>
                </c:pt>
                <c:pt idx="15">
                  <c:v>1.133</c:v>
                </c:pt>
                <c:pt idx="16">
                  <c:v>1.2969999999999999</c:v>
                </c:pt>
                <c:pt idx="17">
                  <c:v>1.3460000000000001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E1-4649-B473-1078BC904F97}"/>
            </c:ext>
          </c:extLst>
        </c:ser>
        <c:ser>
          <c:idx val="2"/>
          <c:order val="2"/>
          <c:tx>
            <c:v>BES_TR8_one280_A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Charge_kW!$E$2:$E$49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9.4E-2</c:v>
                </c:pt>
                <c:pt idx="10">
                  <c:v>0.23699999999999999</c:v>
                </c:pt>
                <c:pt idx="11">
                  <c:v>0.41299999999999998</c:v>
                </c:pt>
                <c:pt idx="12">
                  <c:v>0.60400000000000009</c:v>
                </c:pt>
                <c:pt idx="13">
                  <c:v>0.79800000000000004</c:v>
                </c:pt>
                <c:pt idx="14">
                  <c:v>0.99</c:v>
                </c:pt>
                <c:pt idx="15">
                  <c:v>1.1830000000000001</c:v>
                </c:pt>
                <c:pt idx="16">
                  <c:v>1.3640000000000001</c:v>
                </c:pt>
                <c:pt idx="17">
                  <c:v>0.20300000000000001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E1-4649-B473-1078BC904F97}"/>
            </c:ext>
          </c:extLst>
        </c:ser>
        <c:ser>
          <c:idx val="3"/>
          <c:order val="3"/>
          <c:tx>
            <c:v>BES_TR8_one313_A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Charge_kW!$F$2:$F$49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5.7000000000000002E-2</c:v>
                </c:pt>
                <c:pt idx="10">
                  <c:v>0.17199999999999999</c:v>
                </c:pt>
                <c:pt idx="11">
                  <c:v>0.312</c:v>
                </c:pt>
                <c:pt idx="12">
                  <c:v>0.46500000000000002</c:v>
                </c:pt>
                <c:pt idx="13">
                  <c:v>0.62</c:v>
                </c:pt>
                <c:pt idx="14">
                  <c:v>0.77399999999999991</c:v>
                </c:pt>
                <c:pt idx="15">
                  <c:v>0.92800000000000005</c:v>
                </c:pt>
                <c:pt idx="16">
                  <c:v>0.57600000000000007</c:v>
                </c:pt>
                <c:pt idx="17">
                  <c:v>0.70600000000000007</c:v>
                </c:pt>
                <c:pt idx="18">
                  <c:v>0</c:v>
                </c:pt>
                <c:pt idx="19">
                  <c:v>1.0309999999999999</c:v>
                </c:pt>
                <c:pt idx="20">
                  <c:v>0.44900000000000001</c:v>
                </c:pt>
                <c:pt idx="21">
                  <c:v>0.16300000000000001</c:v>
                </c:pt>
                <c:pt idx="22">
                  <c:v>0</c:v>
                </c:pt>
                <c:pt idx="23">
                  <c:v>0</c:v>
                </c:pt>
                <c:pt idx="24">
                  <c:v>1.165</c:v>
                </c:pt>
                <c:pt idx="25">
                  <c:v>1.65</c:v>
                </c:pt>
                <c:pt idx="26">
                  <c:v>0.85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E1-4649-B473-1078BC904F97}"/>
            </c:ext>
          </c:extLst>
        </c:ser>
        <c:ser>
          <c:idx val="4"/>
          <c:order val="4"/>
          <c:tx>
            <c:v>BES_TR8_one321_C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Charge_kW!$G$2:$G$49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3.0000000000000001E-3</c:v>
                </c:pt>
                <c:pt idx="9">
                  <c:v>0.186</c:v>
                </c:pt>
                <c:pt idx="10">
                  <c:v>0.41399999999999998</c:v>
                </c:pt>
                <c:pt idx="11">
                  <c:v>0.65</c:v>
                </c:pt>
                <c:pt idx="12">
                  <c:v>0.97799999999999987</c:v>
                </c:pt>
                <c:pt idx="13">
                  <c:v>1.3109999999999999</c:v>
                </c:pt>
                <c:pt idx="14">
                  <c:v>1.619</c:v>
                </c:pt>
                <c:pt idx="15">
                  <c:v>1.9279999999999999</c:v>
                </c:pt>
                <c:pt idx="16">
                  <c:v>6.8000000000000005E-2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0E1-4649-B473-1078BC904F97}"/>
            </c:ext>
          </c:extLst>
        </c:ser>
        <c:ser>
          <c:idx val="5"/>
          <c:order val="5"/>
          <c:tx>
            <c:v>BES_TR8_one345_A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Charge_kW!$H$2:$H$49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7.8E-2</c:v>
                </c:pt>
                <c:pt idx="10">
                  <c:v>0.40300000000000002</c:v>
                </c:pt>
                <c:pt idx="11">
                  <c:v>0.54199999999999993</c:v>
                </c:pt>
                <c:pt idx="12">
                  <c:v>0.96100000000000008</c:v>
                </c:pt>
                <c:pt idx="13">
                  <c:v>1.1040000000000001</c:v>
                </c:pt>
                <c:pt idx="14">
                  <c:v>1.5569999999999999</c:v>
                </c:pt>
                <c:pt idx="15">
                  <c:v>1.821</c:v>
                </c:pt>
                <c:pt idx="16">
                  <c:v>0.16300000000000001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0E1-4649-B473-1078BC904F97}"/>
            </c:ext>
          </c:extLst>
        </c:ser>
        <c:ser>
          <c:idx val="6"/>
          <c:order val="6"/>
          <c:tx>
            <c:v>BES_TR8_one375_C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Charge_kW!$I$2:$I$49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3.2000000000000001E-2</c:v>
                </c:pt>
                <c:pt idx="10">
                  <c:v>0.28699999999999998</c:v>
                </c:pt>
                <c:pt idx="11">
                  <c:v>0.68900000000000006</c:v>
                </c:pt>
                <c:pt idx="12">
                  <c:v>0.995</c:v>
                </c:pt>
                <c:pt idx="13">
                  <c:v>1.145</c:v>
                </c:pt>
                <c:pt idx="14">
                  <c:v>1.5029999999999999</c:v>
                </c:pt>
                <c:pt idx="15">
                  <c:v>1.9219999999999999</c:v>
                </c:pt>
                <c:pt idx="16">
                  <c:v>0.109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0E1-4649-B473-1078BC904F97}"/>
            </c:ext>
          </c:extLst>
        </c:ser>
        <c:ser>
          <c:idx val="7"/>
          <c:order val="7"/>
          <c:tx>
            <c:v>BES_TR8_one410_B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Charge_kW!$J$2:$J$49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0.315</c:v>
                </c:pt>
                <c:pt idx="11">
                  <c:v>0.38900000000000001</c:v>
                </c:pt>
                <c:pt idx="12">
                  <c:v>0.73099999999999998</c:v>
                </c:pt>
                <c:pt idx="13">
                  <c:v>0.55000000000000004</c:v>
                </c:pt>
                <c:pt idx="14">
                  <c:v>1.163</c:v>
                </c:pt>
                <c:pt idx="15">
                  <c:v>0.7649999999999999</c:v>
                </c:pt>
                <c:pt idx="16">
                  <c:v>0</c:v>
                </c:pt>
                <c:pt idx="17">
                  <c:v>1.8460000000000001</c:v>
                </c:pt>
                <c:pt idx="18">
                  <c:v>0.8630000000000001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0E1-4649-B473-1078BC904F97}"/>
            </c:ext>
          </c:extLst>
        </c:ser>
        <c:ser>
          <c:idx val="8"/>
          <c:order val="8"/>
          <c:tx>
            <c:v>BES_TR8_one416_C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Charge_kW!$K$2:$K$49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6.2E-2</c:v>
                </c:pt>
                <c:pt idx="10">
                  <c:v>0</c:v>
                </c:pt>
                <c:pt idx="11">
                  <c:v>0.317</c:v>
                </c:pt>
                <c:pt idx="12">
                  <c:v>0.42599999999999999</c:v>
                </c:pt>
                <c:pt idx="13">
                  <c:v>0.39400000000000002</c:v>
                </c:pt>
                <c:pt idx="14">
                  <c:v>0.76700000000000002</c:v>
                </c:pt>
                <c:pt idx="15">
                  <c:v>0.82099999999999995</c:v>
                </c:pt>
                <c:pt idx="16">
                  <c:v>0.90700000000000003</c:v>
                </c:pt>
                <c:pt idx="17">
                  <c:v>0.64100000000000001</c:v>
                </c:pt>
                <c:pt idx="18">
                  <c:v>1.1659999999999999</c:v>
                </c:pt>
                <c:pt idx="19">
                  <c:v>1.2849999999999999</c:v>
                </c:pt>
                <c:pt idx="20">
                  <c:v>0.19700000000000001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0E1-4649-B473-1078BC904F97}"/>
            </c:ext>
          </c:extLst>
        </c:ser>
        <c:ser>
          <c:idx val="9"/>
          <c:order val="9"/>
          <c:tx>
            <c:v>BES_TR8_one423_B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Charge_kW!$L$2:$L$49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0.29499999999999998</c:v>
                </c:pt>
                <c:pt idx="11">
                  <c:v>0.505</c:v>
                </c:pt>
                <c:pt idx="12">
                  <c:v>0.60799999999999998</c:v>
                </c:pt>
                <c:pt idx="13">
                  <c:v>0.96699999999999997</c:v>
                </c:pt>
                <c:pt idx="14">
                  <c:v>1.071</c:v>
                </c:pt>
                <c:pt idx="15">
                  <c:v>1.43</c:v>
                </c:pt>
                <c:pt idx="16">
                  <c:v>1.448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0E1-4649-B473-1078BC904F97}"/>
            </c:ext>
          </c:extLst>
        </c:ser>
        <c:ser>
          <c:idx val="10"/>
          <c:order val="10"/>
          <c:tx>
            <c:v>BES_TR8_one446_B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Charge_kW!$M$2:$M$49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2E-3</c:v>
                </c:pt>
                <c:pt idx="9">
                  <c:v>0.185</c:v>
                </c:pt>
                <c:pt idx="10">
                  <c:v>0.33100000000000002</c:v>
                </c:pt>
                <c:pt idx="11">
                  <c:v>0.65899999999999992</c:v>
                </c:pt>
                <c:pt idx="12">
                  <c:v>1</c:v>
                </c:pt>
                <c:pt idx="13">
                  <c:v>1.1919999999999999</c:v>
                </c:pt>
                <c:pt idx="14">
                  <c:v>1.605</c:v>
                </c:pt>
                <c:pt idx="15">
                  <c:v>1.155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0E1-4649-B473-1078BC904F97}"/>
            </c:ext>
          </c:extLst>
        </c:ser>
        <c:ser>
          <c:idx val="11"/>
          <c:order val="11"/>
          <c:tx>
            <c:v>BES_TR8_one469_A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Charge_kW!$N$2:$N$49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0.186</c:v>
                </c:pt>
                <c:pt idx="10">
                  <c:v>0.246</c:v>
                </c:pt>
                <c:pt idx="11">
                  <c:v>0.69499999999999995</c:v>
                </c:pt>
                <c:pt idx="12">
                  <c:v>1.0009999999999999</c:v>
                </c:pt>
                <c:pt idx="13">
                  <c:v>1.2949999999999999</c:v>
                </c:pt>
                <c:pt idx="14">
                  <c:v>1.446</c:v>
                </c:pt>
                <c:pt idx="15">
                  <c:v>1.59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0.54199999999999993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0E1-4649-B473-1078BC904F97}"/>
            </c:ext>
          </c:extLst>
        </c:ser>
        <c:ser>
          <c:idx val="12"/>
          <c:order val="12"/>
          <c:tx>
            <c:v>BES_TR8_one477_A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Charge_kW!$O$2:$O$49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0.129</c:v>
                </c:pt>
                <c:pt idx="10">
                  <c:v>0.24099999999999999</c:v>
                </c:pt>
                <c:pt idx="11">
                  <c:v>0.69</c:v>
                </c:pt>
                <c:pt idx="12">
                  <c:v>0.77600000000000002</c:v>
                </c:pt>
                <c:pt idx="13">
                  <c:v>1.28</c:v>
                </c:pt>
                <c:pt idx="14">
                  <c:v>1.5369999999999999</c:v>
                </c:pt>
                <c:pt idx="15">
                  <c:v>1.831</c:v>
                </c:pt>
                <c:pt idx="16">
                  <c:v>1.4850000000000001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0E1-4649-B473-1078BC904F97}"/>
            </c:ext>
          </c:extLst>
        </c:ser>
        <c:ser>
          <c:idx val="13"/>
          <c:order val="13"/>
          <c:tx>
            <c:v>BES_TR8_one482_B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Charge_kW!$P$2:$P$49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9.5000000000000001E-2</c:v>
                </c:pt>
                <c:pt idx="10">
                  <c:v>0.34599999999999997</c:v>
                </c:pt>
                <c:pt idx="11">
                  <c:v>0.60400000000000009</c:v>
                </c:pt>
                <c:pt idx="12">
                  <c:v>0.52100000000000002</c:v>
                </c:pt>
                <c:pt idx="13">
                  <c:v>0.9840000000000001</c:v>
                </c:pt>
                <c:pt idx="14">
                  <c:v>1.1599999999999999</c:v>
                </c:pt>
                <c:pt idx="15">
                  <c:v>1.639</c:v>
                </c:pt>
                <c:pt idx="16">
                  <c:v>1.262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0E1-4649-B473-1078BC904F97}"/>
            </c:ext>
          </c:extLst>
        </c:ser>
        <c:ser>
          <c:idx val="14"/>
          <c:order val="14"/>
          <c:tx>
            <c:v>BES_TR8_one61_A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Charge_kW!$Q$2:$Q$49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6.8000000000000005E-2</c:v>
                </c:pt>
                <c:pt idx="10">
                  <c:v>0</c:v>
                </c:pt>
                <c:pt idx="11">
                  <c:v>0.309</c:v>
                </c:pt>
                <c:pt idx="12">
                  <c:v>0.45800000000000002</c:v>
                </c:pt>
                <c:pt idx="13">
                  <c:v>0.46200000000000002</c:v>
                </c:pt>
                <c:pt idx="14">
                  <c:v>0.69</c:v>
                </c:pt>
                <c:pt idx="15">
                  <c:v>0.91600000000000004</c:v>
                </c:pt>
                <c:pt idx="16">
                  <c:v>0</c:v>
                </c:pt>
                <c:pt idx="17">
                  <c:v>1.101</c:v>
                </c:pt>
                <c:pt idx="18">
                  <c:v>0</c:v>
                </c:pt>
                <c:pt idx="19">
                  <c:v>1.093</c:v>
                </c:pt>
                <c:pt idx="20">
                  <c:v>1.4750000000000001</c:v>
                </c:pt>
                <c:pt idx="21">
                  <c:v>0.39300000000000002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0.39700000000000002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0E1-4649-B473-1078BC904F97}"/>
            </c:ext>
          </c:extLst>
        </c:ser>
        <c:ser>
          <c:idx val="15"/>
          <c:order val="15"/>
          <c:tx>
            <c:v>BES_TR8_one552_B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Charge_kW!$R$2:$R$49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2.3E-2</c:v>
                </c:pt>
                <c:pt idx="11">
                  <c:v>0.159</c:v>
                </c:pt>
                <c:pt idx="12">
                  <c:v>0</c:v>
                </c:pt>
                <c:pt idx="13">
                  <c:v>8.6000000000000007E-2</c:v>
                </c:pt>
                <c:pt idx="14">
                  <c:v>0.33400000000000002</c:v>
                </c:pt>
                <c:pt idx="15">
                  <c:v>0.55900000000000005</c:v>
                </c:pt>
                <c:pt idx="16">
                  <c:v>0</c:v>
                </c:pt>
                <c:pt idx="17">
                  <c:v>0.7</c:v>
                </c:pt>
                <c:pt idx="18">
                  <c:v>0.88500000000000001</c:v>
                </c:pt>
                <c:pt idx="19">
                  <c:v>0.75</c:v>
                </c:pt>
                <c:pt idx="20">
                  <c:v>0.61199999999999999</c:v>
                </c:pt>
                <c:pt idx="21">
                  <c:v>0</c:v>
                </c:pt>
                <c:pt idx="22">
                  <c:v>1.0049999999999999</c:v>
                </c:pt>
                <c:pt idx="23">
                  <c:v>0</c:v>
                </c:pt>
                <c:pt idx="24">
                  <c:v>0.92500000000000004</c:v>
                </c:pt>
                <c:pt idx="25">
                  <c:v>0</c:v>
                </c:pt>
                <c:pt idx="26">
                  <c:v>0.77600000000000002</c:v>
                </c:pt>
                <c:pt idx="27">
                  <c:v>0.71599999999999997</c:v>
                </c:pt>
                <c:pt idx="28">
                  <c:v>0.60799999999999998</c:v>
                </c:pt>
                <c:pt idx="29">
                  <c:v>0.85400000000000009</c:v>
                </c:pt>
                <c:pt idx="30">
                  <c:v>0.60599999999999998</c:v>
                </c:pt>
                <c:pt idx="31">
                  <c:v>0.56999999999999995</c:v>
                </c:pt>
                <c:pt idx="32">
                  <c:v>0.49700000000000011</c:v>
                </c:pt>
                <c:pt idx="33">
                  <c:v>0.28899999999999998</c:v>
                </c:pt>
                <c:pt idx="34">
                  <c:v>1.4999999999999999E-2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0E1-4649-B473-1078BC904F97}"/>
            </c:ext>
          </c:extLst>
        </c:ser>
        <c:ser>
          <c:idx val="16"/>
          <c:order val="16"/>
          <c:tx>
            <c:v>BES_TR8_one560_C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Charge_kW!$S$2:$S$49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6.2E-2</c:v>
                </c:pt>
                <c:pt idx="10">
                  <c:v>0.115</c:v>
                </c:pt>
                <c:pt idx="11">
                  <c:v>0.30499999999999999</c:v>
                </c:pt>
                <c:pt idx="12">
                  <c:v>0.45400000000000001</c:v>
                </c:pt>
                <c:pt idx="13">
                  <c:v>0.47499999999999998</c:v>
                </c:pt>
                <c:pt idx="14">
                  <c:v>0.75800000000000001</c:v>
                </c:pt>
                <c:pt idx="15">
                  <c:v>0.88</c:v>
                </c:pt>
                <c:pt idx="16">
                  <c:v>1.0409999999999999</c:v>
                </c:pt>
                <c:pt idx="17">
                  <c:v>1.177</c:v>
                </c:pt>
                <c:pt idx="18">
                  <c:v>1.33</c:v>
                </c:pt>
                <c:pt idx="19">
                  <c:v>1.371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0E1-4649-B473-1078BC904F97}"/>
            </c:ext>
          </c:extLst>
        </c:ser>
        <c:ser>
          <c:idx val="17"/>
          <c:order val="17"/>
          <c:tx>
            <c:v>BES_TR8_one73_A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Charge_kW!$T$2:$T$49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4.5999999999999999E-2</c:v>
                </c:pt>
                <c:pt idx="11">
                  <c:v>0</c:v>
                </c:pt>
                <c:pt idx="12">
                  <c:v>0.14000000000000001</c:v>
                </c:pt>
                <c:pt idx="13">
                  <c:v>0.187</c:v>
                </c:pt>
                <c:pt idx="14">
                  <c:v>0.14899999999999999</c:v>
                </c:pt>
                <c:pt idx="15">
                  <c:v>0.14599999999999999</c:v>
                </c:pt>
                <c:pt idx="16">
                  <c:v>0.121</c:v>
                </c:pt>
                <c:pt idx="17">
                  <c:v>0</c:v>
                </c:pt>
                <c:pt idx="18">
                  <c:v>0.312</c:v>
                </c:pt>
                <c:pt idx="19">
                  <c:v>0.43</c:v>
                </c:pt>
                <c:pt idx="20">
                  <c:v>0.35299999999999998</c:v>
                </c:pt>
                <c:pt idx="21">
                  <c:v>0</c:v>
                </c:pt>
                <c:pt idx="22">
                  <c:v>0.39800000000000002</c:v>
                </c:pt>
                <c:pt idx="23">
                  <c:v>0.78</c:v>
                </c:pt>
                <c:pt idx="24">
                  <c:v>0.56200000000000006</c:v>
                </c:pt>
                <c:pt idx="25">
                  <c:v>0.75700000000000001</c:v>
                </c:pt>
                <c:pt idx="26">
                  <c:v>0.78100000000000003</c:v>
                </c:pt>
                <c:pt idx="27">
                  <c:v>0.48799999999999999</c:v>
                </c:pt>
                <c:pt idx="28">
                  <c:v>0.66200000000000003</c:v>
                </c:pt>
                <c:pt idx="29">
                  <c:v>0.58799999999999997</c:v>
                </c:pt>
                <c:pt idx="30">
                  <c:v>0.374</c:v>
                </c:pt>
                <c:pt idx="31">
                  <c:v>0.56400000000000006</c:v>
                </c:pt>
                <c:pt idx="32">
                  <c:v>7.2000000000000008E-2</c:v>
                </c:pt>
                <c:pt idx="33">
                  <c:v>0.28199999999999997</c:v>
                </c:pt>
                <c:pt idx="34">
                  <c:v>1.2E-2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0E1-4649-B473-1078BC904F97}"/>
            </c:ext>
          </c:extLst>
        </c:ser>
        <c:ser>
          <c:idx val="18"/>
          <c:order val="18"/>
          <c:tx>
            <c:v>BES_TR8_one137_A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Charge_kW!$U$2:$U$49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0.111</c:v>
                </c:pt>
                <c:pt idx="10">
                  <c:v>0.35499999999999998</c:v>
                </c:pt>
                <c:pt idx="11">
                  <c:v>0.57499999999999996</c:v>
                </c:pt>
                <c:pt idx="12">
                  <c:v>0.99400000000000011</c:v>
                </c:pt>
                <c:pt idx="13">
                  <c:v>1.1459999999999999</c:v>
                </c:pt>
                <c:pt idx="14">
                  <c:v>1.6040000000000001</c:v>
                </c:pt>
                <c:pt idx="15">
                  <c:v>1.857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0E1-4649-B473-1078BC904F97}"/>
            </c:ext>
          </c:extLst>
        </c:ser>
        <c:ser>
          <c:idx val="19"/>
          <c:order val="19"/>
          <c:tx>
            <c:v>BES_TR8_four50_C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Charge_kW!$V$2:$V$49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0.17399999999999999</c:v>
                </c:pt>
                <c:pt idx="10">
                  <c:v>0.27400000000000002</c:v>
                </c:pt>
                <c:pt idx="11">
                  <c:v>0.67</c:v>
                </c:pt>
                <c:pt idx="12">
                  <c:v>0.9890000000000001</c:v>
                </c:pt>
                <c:pt idx="13">
                  <c:v>1.2989999999999999</c:v>
                </c:pt>
                <c:pt idx="14">
                  <c:v>1.4219999999999999</c:v>
                </c:pt>
                <c:pt idx="15">
                  <c:v>1.675</c:v>
                </c:pt>
                <c:pt idx="16">
                  <c:v>9.2999999999999999E-2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0E1-4649-B473-1078BC904F97}"/>
            </c:ext>
          </c:extLst>
        </c:ser>
        <c:ser>
          <c:idx val="20"/>
          <c:order val="20"/>
          <c:tx>
            <c:v>BES_TR8_four171_A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Charge_kW!$W$2:$W$49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3.0000000000000001E-3</c:v>
                </c:pt>
                <c:pt idx="10">
                  <c:v>0</c:v>
                </c:pt>
                <c:pt idx="11">
                  <c:v>0.32300000000000001</c:v>
                </c:pt>
                <c:pt idx="12">
                  <c:v>0.46</c:v>
                </c:pt>
                <c:pt idx="13">
                  <c:v>0.36399999999999999</c:v>
                </c:pt>
                <c:pt idx="14">
                  <c:v>0.76700000000000002</c:v>
                </c:pt>
                <c:pt idx="15">
                  <c:v>0.79699999999999993</c:v>
                </c:pt>
                <c:pt idx="16">
                  <c:v>0.92500000000000004</c:v>
                </c:pt>
                <c:pt idx="17">
                  <c:v>1.165</c:v>
                </c:pt>
                <c:pt idx="18">
                  <c:v>1.1220000000000001</c:v>
                </c:pt>
                <c:pt idx="19">
                  <c:v>1.1020000000000001</c:v>
                </c:pt>
                <c:pt idx="20">
                  <c:v>0</c:v>
                </c:pt>
                <c:pt idx="21">
                  <c:v>0</c:v>
                </c:pt>
                <c:pt idx="22">
                  <c:v>1.22</c:v>
                </c:pt>
                <c:pt idx="23">
                  <c:v>1.3959999999999999</c:v>
                </c:pt>
                <c:pt idx="24">
                  <c:v>0.32600000000000001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0E1-4649-B473-1078BC904F97}"/>
            </c:ext>
          </c:extLst>
        </c:ser>
        <c:ser>
          <c:idx val="21"/>
          <c:order val="21"/>
          <c:tx>
            <c:v>BES_TR8_four180_A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Charge_kW!$X$2:$X$49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0.219</c:v>
                </c:pt>
                <c:pt idx="11">
                  <c:v>0.40699999999999997</c:v>
                </c:pt>
                <c:pt idx="12">
                  <c:v>0.55599999999999994</c:v>
                </c:pt>
                <c:pt idx="13">
                  <c:v>0.71500000000000008</c:v>
                </c:pt>
                <c:pt idx="14">
                  <c:v>0.9840000000000001</c:v>
                </c:pt>
                <c:pt idx="15">
                  <c:v>1.1479999999999999</c:v>
                </c:pt>
                <c:pt idx="16">
                  <c:v>1.103</c:v>
                </c:pt>
                <c:pt idx="17">
                  <c:v>0.85899999999999999</c:v>
                </c:pt>
                <c:pt idx="18">
                  <c:v>0.27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0E1-4649-B473-1078BC904F97}"/>
            </c:ext>
          </c:extLst>
        </c:ser>
        <c:ser>
          <c:idx val="22"/>
          <c:order val="22"/>
          <c:tx>
            <c:v>BES_TR8_four200_A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Charge_kW!$Y$2:$Y$49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0.14299999999999999</c:v>
                </c:pt>
                <c:pt idx="10">
                  <c:v>0.20200000000000001</c:v>
                </c:pt>
                <c:pt idx="11">
                  <c:v>0.52500000000000002</c:v>
                </c:pt>
                <c:pt idx="12">
                  <c:v>0.64200000000000002</c:v>
                </c:pt>
                <c:pt idx="13">
                  <c:v>0.98699999999999999</c:v>
                </c:pt>
                <c:pt idx="14">
                  <c:v>1.151</c:v>
                </c:pt>
                <c:pt idx="15">
                  <c:v>1.405</c:v>
                </c:pt>
                <c:pt idx="16">
                  <c:v>0.89600000000000002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0E1-4649-B473-1078BC904F97}"/>
            </c:ext>
          </c:extLst>
        </c:ser>
        <c:ser>
          <c:idx val="23"/>
          <c:order val="23"/>
          <c:tx>
            <c:v>BES_TR8_four239_A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Charge_kW!$Z$2:$Z$49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0.17799999999999999</c:v>
                </c:pt>
                <c:pt idx="10">
                  <c:v>0.40600000000000003</c:v>
                </c:pt>
                <c:pt idx="11">
                  <c:v>0.6</c:v>
                </c:pt>
                <c:pt idx="12">
                  <c:v>0.92100000000000004</c:v>
                </c:pt>
                <c:pt idx="13">
                  <c:v>1.288</c:v>
                </c:pt>
                <c:pt idx="14">
                  <c:v>1.466</c:v>
                </c:pt>
                <c:pt idx="15">
                  <c:v>1.4750000000000001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0E1-4649-B473-1078BC904F97}"/>
            </c:ext>
          </c:extLst>
        </c:ser>
        <c:ser>
          <c:idx val="24"/>
          <c:order val="24"/>
          <c:tx>
            <c:v>BES_TR8_four259_B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Charge_kW!$AA$2:$AA$49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3.6999999999999998E-2</c:v>
                </c:pt>
                <c:pt idx="10">
                  <c:v>0.35099999999999998</c:v>
                </c:pt>
                <c:pt idx="11">
                  <c:v>0.505</c:v>
                </c:pt>
                <c:pt idx="12">
                  <c:v>0.84099999999999997</c:v>
                </c:pt>
                <c:pt idx="13">
                  <c:v>1.032</c:v>
                </c:pt>
                <c:pt idx="14">
                  <c:v>0.5109999999999999</c:v>
                </c:pt>
                <c:pt idx="15">
                  <c:v>1.59</c:v>
                </c:pt>
                <c:pt idx="16">
                  <c:v>1.3009999999999999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0E1-4649-B473-1078BC904F97}"/>
            </c:ext>
          </c:extLst>
        </c:ser>
        <c:ser>
          <c:idx val="25"/>
          <c:order val="25"/>
          <c:tx>
            <c:v>BES_TR8_four265_C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Charge_kW!$AB$2:$AB$49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0.23400000000000001</c:v>
                </c:pt>
                <c:pt idx="11">
                  <c:v>0.20300000000000001</c:v>
                </c:pt>
                <c:pt idx="12">
                  <c:v>0.45200000000000001</c:v>
                </c:pt>
                <c:pt idx="13">
                  <c:v>0.67199999999999993</c:v>
                </c:pt>
                <c:pt idx="14">
                  <c:v>0.90300000000000002</c:v>
                </c:pt>
                <c:pt idx="15">
                  <c:v>0.96699999999999997</c:v>
                </c:pt>
                <c:pt idx="16">
                  <c:v>1.2509999999999999</c:v>
                </c:pt>
                <c:pt idx="17">
                  <c:v>1.379</c:v>
                </c:pt>
                <c:pt idx="18">
                  <c:v>1.1919999999999999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0E1-4649-B473-1078BC904F97}"/>
            </c:ext>
          </c:extLst>
        </c:ser>
        <c:ser>
          <c:idx val="26"/>
          <c:order val="26"/>
          <c:tx>
            <c:v>BES_TR8_four54_C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Charge_kW!$AC$2:$AC$49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0.105</c:v>
                </c:pt>
                <c:pt idx="10">
                  <c:v>0.41099999999999998</c:v>
                </c:pt>
                <c:pt idx="11">
                  <c:v>0.503</c:v>
                </c:pt>
                <c:pt idx="12">
                  <c:v>0.97299999999999998</c:v>
                </c:pt>
                <c:pt idx="13">
                  <c:v>1.2410000000000001</c:v>
                </c:pt>
                <c:pt idx="14">
                  <c:v>1.4690000000000001</c:v>
                </c:pt>
                <c:pt idx="15">
                  <c:v>1.8819999999999999</c:v>
                </c:pt>
                <c:pt idx="16">
                  <c:v>3.1E-2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0E1-4649-B473-1078BC904F97}"/>
            </c:ext>
          </c:extLst>
        </c:ser>
        <c:ser>
          <c:idx val="27"/>
          <c:order val="27"/>
          <c:tx>
            <c:v>BES_TR8_four288_B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Charge_kW!$AD$2:$AD$49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0.112</c:v>
                </c:pt>
                <c:pt idx="10">
                  <c:v>0.312</c:v>
                </c:pt>
                <c:pt idx="11">
                  <c:v>0.58499999999999996</c:v>
                </c:pt>
                <c:pt idx="12">
                  <c:v>0.71399999999999997</c:v>
                </c:pt>
                <c:pt idx="13">
                  <c:v>1.1950000000000001</c:v>
                </c:pt>
                <c:pt idx="14">
                  <c:v>1.615</c:v>
                </c:pt>
                <c:pt idx="15">
                  <c:v>1.8340000000000001</c:v>
                </c:pt>
                <c:pt idx="16">
                  <c:v>0.47399999999999998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0E1-4649-B473-1078BC904F97}"/>
            </c:ext>
          </c:extLst>
        </c:ser>
        <c:ser>
          <c:idx val="28"/>
          <c:order val="28"/>
          <c:tx>
            <c:v>BES_TR8_four289_B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Charge_kW!$AE$2:$AE$49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0.17799999999999999</c:v>
                </c:pt>
                <c:pt idx="10">
                  <c:v>0.40600000000000003</c:v>
                </c:pt>
                <c:pt idx="11">
                  <c:v>0.68700000000000006</c:v>
                </c:pt>
                <c:pt idx="12">
                  <c:v>0.91299999999999992</c:v>
                </c:pt>
                <c:pt idx="13">
                  <c:v>0.16600000000000001</c:v>
                </c:pt>
                <c:pt idx="14">
                  <c:v>1.611</c:v>
                </c:pt>
                <c:pt idx="15">
                  <c:v>1.873</c:v>
                </c:pt>
                <c:pt idx="16">
                  <c:v>1.0620000000000001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0E1-4649-B473-1078BC904F97}"/>
            </c:ext>
          </c:extLst>
        </c:ser>
        <c:ser>
          <c:idx val="29"/>
          <c:order val="29"/>
          <c:tx>
            <c:v>BES_TR8_four292_C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Charge_kW!$AF$2:$AF$49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0.25700000000000001</c:v>
                </c:pt>
                <c:pt idx="11">
                  <c:v>0.42899999999999999</c:v>
                </c:pt>
                <c:pt idx="12">
                  <c:v>0.64300000000000002</c:v>
                </c:pt>
                <c:pt idx="13">
                  <c:v>0.96799999999999997</c:v>
                </c:pt>
                <c:pt idx="14">
                  <c:v>1.0289999999999999</c:v>
                </c:pt>
                <c:pt idx="15">
                  <c:v>1.431</c:v>
                </c:pt>
                <c:pt idx="16">
                  <c:v>1.5549999999999999</c:v>
                </c:pt>
                <c:pt idx="17">
                  <c:v>0.54699999999999993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0E1-4649-B473-1078BC904F97}"/>
            </c:ext>
          </c:extLst>
        </c:ser>
        <c:ser>
          <c:idx val="30"/>
          <c:order val="30"/>
          <c:tx>
            <c:v>BES_TR8_four301_C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Charge_kW!$AG$2:$AG$49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0.22700000000000001</c:v>
                </c:pt>
                <c:pt idx="11">
                  <c:v>0.40300000000000002</c:v>
                </c:pt>
                <c:pt idx="12">
                  <c:v>0.43</c:v>
                </c:pt>
                <c:pt idx="13">
                  <c:v>0.78799999999999992</c:v>
                </c:pt>
                <c:pt idx="14">
                  <c:v>0.86799999999999999</c:v>
                </c:pt>
                <c:pt idx="15">
                  <c:v>1.0900000000000001</c:v>
                </c:pt>
                <c:pt idx="16">
                  <c:v>1.3540000000000001</c:v>
                </c:pt>
                <c:pt idx="17">
                  <c:v>1.288</c:v>
                </c:pt>
                <c:pt idx="18">
                  <c:v>0.59899999999999998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0E1-4649-B473-1078BC904F97}"/>
            </c:ext>
          </c:extLst>
        </c:ser>
        <c:ser>
          <c:idx val="31"/>
          <c:order val="31"/>
          <c:tx>
            <c:v>BES_TR8_four326_A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Charge_kW!$AH$2:$AH$49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4.0000000000000001E-3</c:v>
                </c:pt>
                <c:pt idx="9">
                  <c:v>0.187</c:v>
                </c:pt>
                <c:pt idx="10">
                  <c:v>0.41499999999999998</c:v>
                </c:pt>
                <c:pt idx="11">
                  <c:v>0.69599999999999995</c:v>
                </c:pt>
                <c:pt idx="12">
                  <c:v>1.002</c:v>
                </c:pt>
                <c:pt idx="13">
                  <c:v>1.3120000000000001</c:v>
                </c:pt>
                <c:pt idx="14">
                  <c:v>1.62</c:v>
                </c:pt>
                <c:pt idx="15">
                  <c:v>1.929</c:v>
                </c:pt>
                <c:pt idx="16">
                  <c:v>6.2E-2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0E1-4649-B473-1078BC904F97}"/>
            </c:ext>
          </c:extLst>
        </c:ser>
        <c:ser>
          <c:idx val="32"/>
          <c:order val="32"/>
          <c:tx>
            <c:v>BES_TR8_four352_A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Charge_kW!$AI$2:$AI$49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0.21199999999999999</c:v>
                </c:pt>
                <c:pt idx="11">
                  <c:v>0.501</c:v>
                </c:pt>
                <c:pt idx="12">
                  <c:v>0.64</c:v>
                </c:pt>
                <c:pt idx="13">
                  <c:v>1.1419999999999999</c:v>
                </c:pt>
                <c:pt idx="14">
                  <c:v>1.179</c:v>
                </c:pt>
                <c:pt idx="15">
                  <c:v>1.589</c:v>
                </c:pt>
                <c:pt idx="16">
                  <c:v>1.577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0E1-4649-B473-1078BC904F97}"/>
            </c:ext>
          </c:extLst>
        </c:ser>
        <c:ser>
          <c:idx val="33"/>
          <c:order val="33"/>
          <c:tx>
            <c:v>BES_TR8_four358_C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Charge_kW!$AJ$2:$AJ$49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0.153</c:v>
                </c:pt>
                <c:pt idx="10">
                  <c:v>0.22800000000000001</c:v>
                </c:pt>
                <c:pt idx="11">
                  <c:v>0.55099999999999993</c:v>
                </c:pt>
                <c:pt idx="12">
                  <c:v>0.86599999999999999</c:v>
                </c:pt>
                <c:pt idx="13">
                  <c:v>1.044</c:v>
                </c:pt>
                <c:pt idx="14">
                  <c:v>1.329</c:v>
                </c:pt>
                <c:pt idx="15">
                  <c:v>1.6579999999999999</c:v>
                </c:pt>
                <c:pt idx="16">
                  <c:v>0.66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80E1-4649-B473-1078BC904F97}"/>
            </c:ext>
          </c:extLst>
        </c:ser>
        <c:ser>
          <c:idx val="34"/>
          <c:order val="34"/>
          <c:tx>
            <c:v>BES_TR8_four368_C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Charge_kW!$AK$2:$AK$49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0.28299999999999997</c:v>
                </c:pt>
                <c:pt idx="11">
                  <c:v>0.50800000000000001</c:v>
                </c:pt>
                <c:pt idx="12">
                  <c:v>0.73</c:v>
                </c:pt>
                <c:pt idx="13">
                  <c:v>0.80699999999999994</c:v>
                </c:pt>
                <c:pt idx="14">
                  <c:v>1.2010000000000001</c:v>
                </c:pt>
                <c:pt idx="15">
                  <c:v>1.4330000000000001</c:v>
                </c:pt>
                <c:pt idx="16">
                  <c:v>1.427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0E1-4649-B473-1078BC904F97}"/>
            </c:ext>
          </c:extLst>
        </c:ser>
        <c:ser>
          <c:idx val="35"/>
          <c:order val="35"/>
          <c:tx>
            <c:v>BES_TR8_four372_C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Charge_kW!$AL$2:$AL$49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</c:v>
                </c:pt>
                <c:pt idx="10">
                  <c:v>0.24299999999999999</c:v>
                </c:pt>
                <c:pt idx="11">
                  <c:v>0.252</c:v>
                </c:pt>
                <c:pt idx="12">
                  <c:v>0.61</c:v>
                </c:pt>
                <c:pt idx="13">
                  <c:v>0.80400000000000005</c:v>
                </c:pt>
                <c:pt idx="14">
                  <c:v>0.9890000000000001</c:v>
                </c:pt>
                <c:pt idx="15">
                  <c:v>0.79500000000000004</c:v>
                </c:pt>
                <c:pt idx="16">
                  <c:v>1.3340000000000001</c:v>
                </c:pt>
                <c:pt idx="17">
                  <c:v>5.7000000000000002E-2</c:v>
                </c:pt>
                <c:pt idx="18">
                  <c:v>1.0960000000000001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1.4E-2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80E1-4649-B473-1078BC904F97}"/>
            </c:ext>
          </c:extLst>
        </c:ser>
        <c:ser>
          <c:idx val="36"/>
          <c:order val="36"/>
          <c:tx>
            <c:v>BES_TR8_four381_A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Charge_kW!$AM$2:$AM$49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2.1999999999999999E-2</c:v>
                </c:pt>
                <c:pt idx="11">
                  <c:v>0.27500000000000002</c:v>
                </c:pt>
                <c:pt idx="12">
                  <c:v>0.28999999999999998</c:v>
                </c:pt>
                <c:pt idx="13">
                  <c:v>0.59299999999999997</c:v>
                </c:pt>
                <c:pt idx="14">
                  <c:v>0.63200000000000001</c:v>
                </c:pt>
                <c:pt idx="15">
                  <c:v>0.82200000000000006</c:v>
                </c:pt>
                <c:pt idx="16">
                  <c:v>0.98299999999999998</c:v>
                </c:pt>
                <c:pt idx="17">
                  <c:v>0</c:v>
                </c:pt>
                <c:pt idx="18">
                  <c:v>0.83</c:v>
                </c:pt>
                <c:pt idx="19">
                  <c:v>1.296</c:v>
                </c:pt>
                <c:pt idx="20">
                  <c:v>1.0860000000000001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1.6E-2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0E1-4649-B473-1078BC904F97}"/>
            </c:ext>
          </c:extLst>
        </c:ser>
        <c:ser>
          <c:idx val="37"/>
          <c:order val="37"/>
          <c:tx>
            <c:v>BES_TR8_four385_A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Charge_kW!$AN$2:$AN$49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0.186</c:v>
                </c:pt>
                <c:pt idx="10">
                  <c:v>0.36900000000000011</c:v>
                </c:pt>
                <c:pt idx="11">
                  <c:v>0.57499999999999996</c:v>
                </c:pt>
                <c:pt idx="12">
                  <c:v>1.0009999999999999</c:v>
                </c:pt>
                <c:pt idx="13">
                  <c:v>1.1459999999999999</c:v>
                </c:pt>
                <c:pt idx="14">
                  <c:v>1.619</c:v>
                </c:pt>
                <c:pt idx="15">
                  <c:v>1.556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80E1-4649-B473-1078BC904F97}"/>
            </c:ext>
          </c:extLst>
        </c:ser>
        <c:ser>
          <c:idx val="38"/>
          <c:order val="38"/>
          <c:tx>
            <c:v>BES_TR8_four423_C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Charge_kW!$AO$2:$AO$49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3.4000000000000002E-2</c:v>
                </c:pt>
                <c:pt idx="10">
                  <c:v>0.30099999999999999</c:v>
                </c:pt>
                <c:pt idx="11">
                  <c:v>0.61799999999999999</c:v>
                </c:pt>
                <c:pt idx="12">
                  <c:v>0.82499999999999996</c:v>
                </c:pt>
                <c:pt idx="13">
                  <c:v>1.2310000000000001</c:v>
                </c:pt>
                <c:pt idx="14">
                  <c:v>1.5189999999999999</c:v>
                </c:pt>
                <c:pt idx="15">
                  <c:v>1.6559999999999999</c:v>
                </c:pt>
                <c:pt idx="16">
                  <c:v>0.94200000000000006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0E1-4649-B473-1078BC904F97}"/>
            </c:ext>
          </c:extLst>
        </c:ser>
        <c:ser>
          <c:idx val="39"/>
          <c:order val="39"/>
          <c:tx>
            <c:v>BES_TR8_four437_A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Charge_kW!$AP$2:$AP$49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0.158</c:v>
                </c:pt>
                <c:pt idx="10">
                  <c:v>0.11</c:v>
                </c:pt>
                <c:pt idx="11">
                  <c:v>0.60299999999999998</c:v>
                </c:pt>
                <c:pt idx="12">
                  <c:v>0.871</c:v>
                </c:pt>
                <c:pt idx="13">
                  <c:v>1.1419999999999999</c:v>
                </c:pt>
                <c:pt idx="14">
                  <c:v>1.4119999999999999</c:v>
                </c:pt>
                <c:pt idx="15">
                  <c:v>1.4259999999999999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80E1-4649-B473-1078BC904F97}"/>
            </c:ext>
          </c:extLst>
        </c:ser>
        <c:ser>
          <c:idx val="40"/>
          <c:order val="40"/>
          <c:tx>
            <c:v>BES_TR8_four446_B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Charge_kW!$AQ$2:$AQ$49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0.151</c:v>
                </c:pt>
                <c:pt idx="10">
                  <c:v>0.27500000000000002</c:v>
                </c:pt>
                <c:pt idx="11">
                  <c:v>0.59599999999999997</c:v>
                </c:pt>
                <c:pt idx="12">
                  <c:v>0.78799999999999992</c:v>
                </c:pt>
                <c:pt idx="13">
                  <c:v>1.135</c:v>
                </c:pt>
                <c:pt idx="14">
                  <c:v>1.405</c:v>
                </c:pt>
                <c:pt idx="15">
                  <c:v>1.599</c:v>
                </c:pt>
                <c:pt idx="16">
                  <c:v>0.17899999999999999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0.83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80E1-4649-B473-1078BC904F97}"/>
            </c:ext>
          </c:extLst>
        </c:ser>
        <c:ser>
          <c:idx val="41"/>
          <c:order val="41"/>
          <c:tx>
            <c:v>BES_TR8_four466_C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Charge_kW!$AR$2:$AR$49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0.17799999999999999</c:v>
                </c:pt>
                <c:pt idx="10">
                  <c:v>0.40600000000000003</c:v>
                </c:pt>
                <c:pt idx="11">
                  <c:v>0.64499999999999991</c:v>
                </c:pt>
                <c:pt idx="12">
                  <c:v>0.85299999999999998</c:v>
                </c:pt>
                <c:pt idx="13">
                  <c:v>1.254</c:v>
                </c:pt>
                <c:pt idx="14">
                  <c:v>1.611</c:v>
                </c:pt>
                <c:pt idx="15">
                  <c:v>1.92</c:v>
                </c:pt>
                <c:pt idx="16">
                  <c:v>1.103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80E1-4649-B473-1078BC904F97}"/>
            </c:ext>
          </c:extLst>
        </c:ser>
        <c:ser>
          <c:idx val="42"/>
          <c:order val="42"/>
          <c:tx>
            <c:v>BES_TR8_four467_C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Charge_kW!$AS$2:$AS$49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0.17499999999999999</c:v>
                </c:pt>
                <c:pt idx="10">
                  <c:v>0.40300000000000002</c:v>
                </c:pt>
                <c:pt idx="11">
                  <c:v>0.68400000000000005</c:v>
                </c:pt>
                <c:pt idx="12">
                  <c:v>0.90600000000000003</c:v>
                </c:pt>
                <c:pt idx="13">
                  <c:v>1.3</c:v>
                </c:pt>
                <c:pt idx="14">
                  <c:v>1.54</c:v>
                </c:pt>
                <c:pt idx="15">
                  <c:v>0</c:v>
                </c:pt>
                <c:pt idx="16">
                  <c:v>0.52200000000000002</c:v>
                </c:pt>
                <c:pt idx="17">
                  <c:v>0</c:v>
                </c:pt>
                <c:pt idx="18">
                  <c:v>0.67500000000000004</c:v>
                </c:pt>
                <c:pt idx="19">
                  <c:v>0</c:v>
                </c:pt>
                <c:pt idx="20">
                  <c:v>0</c:v>
                </c:pt>
                <c:pt idx="21">
                  <c:v>0.3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0.28899999999999998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0.9840000000000001</c:v>
                </c:pt>
                <c:pt idx="32">
                  <c:v>0.49099999999999999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0E1-4649-B473-1078BC904F97}"/>
            </c:ext>
          </c:extLst>
        </c:ser>
        <c:ser>
          <c:idx val="43"/>
          <c:order val="43"/>
          <c:tx>
            <c:v>BES_TR8_four548_B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Charge_kW!$AT$2:$AT$49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0.191</c:v>
                </c:pt>
                <c:pt idx="11">
                  <c:v>0.13700000000000001</c:v>
                </c:pt>
                <c:pt idx="12">
                  <c:v>0.48399999999999999</c:v>
                </c:pt>
                <c:pt idx="13">
                  <c:v>0.39800000000000002</c:v>
                </c:pt>
                <c:pt idx="14">
                  <c:v>0.57899999999999996</c:v>
                </c:pt>
                <c:pt idx="15">
                  <c:v>0.84299999999999997</c:v>
                </c:pt>
                <c:pt idx="16">
                  <c:v>0.94</c:v>
                </c:pt>
                <c:pt idx="17">
                  <c:v>1.024</c:v>
                </c:pt>
                <c:pt idx="18">
                  <c:v>0.48099999999999998</c:v>
                </c:pt>
                <c:pt idx="19">
                  <c:v>1.046</c:v>
                </c:pt>
                <c:pt idx="20">
                  <c:v>0</c:v>
                </c:pt>
                <c:pt idx="21">
                  <c:v>0</c:v>
                </c:pt>
                <c:pt idx="22">
                  <c:v>0.83299999999999996</c:v>
                </c:pt>
                <c:pt idx="23">
                  <c:v>9.6000000000000002E-2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0.38300000000000001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8.3000000000000004E-2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80E1-4649-B473-1078BC904F97}"/>
            </c:ext>
          </c:extLst>
        </c:ser>
        <c:ser>
          <c:idx val="44"/>
          <c:order val="44"/>
          <c:tx>
            <c:v>BES_TR8_four558_C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Charge_kW!$AU$2:$AU$49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0.183</c:v>
                </c:pt>
                <c:pt idx="10">
                  <c:v>0.39600000000000002</c:v>
                </c:pt>
                <c:pt idx="11">
                  <c:v>0.60400000000000009</c:v>
                </c:pt>
                <c:pt idx="12">
                  <c:v>0.998</c:v>
                </c:pt>
                <c:pt idx="13">
                  <c:v>1.3080000000000001</c:v>
                </c:pt>
                <c:pt idx="14">
                  <c:v>1.57</c:v>
                </c:pt>
                <c:pt idx="15">
                  <c:v>1.0189999999999999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80E1-4649-B473-1078BC904F97}"/>
            </c:ext>
          </c:extLst>
        </c:ser>
        <c:ser>
          <c:idx val="45"/>
          <c:order val="45"/>
          <c:tx>
            <c:v>BES_TR8_four562_C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Charge_kW!$AV$2:$AV$49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0.13700000000000001</c:v>
                </c:pt>
                <c:pt idx="10">
                  <c:v>0.28100000000000003</c:v>
                </c:pt>
                <c:pt idx="11">
                  <c:v>0.43</c:v>
                </c:pt>
                <c:pt idx="12">
                  <c:v>0.79500000000000004</c:v>
                </c:pt>
                <c:pt idx="13">
                  <c:v>1.0289999999999999</c:v>
                </c:pt>
                <c:pt idx="14">
                  <c:v>1.2869999999999999</c:v>
                </c:pt>
                <c:pt idx="15">
                  <c:v>1.6619999999999999</c:v>
                </c:pt>
                <c:pt idx="16">
                  <c:v>1.3089999999999999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80E1-4649-B473-1078BC904F97}"/>
            </c:ext>
          </c:extLst>
        </c:ser>
        <c:ser>
          <c:idx val="46"/>
          <c:order val="46"/>
          <c:tx>
            <c:v>BES_TR8_four590_A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Charge_kW!$AW$2:$AW$49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0.17299999999999999</c:v>
                </c:pt>
                <c:pt idx="10">
                  <c:v>0.40100000000000002</c:v>
                </c:pt>
                <c:pt idx="11">
                  <c:v>0.68199999999999994</c:v>
                </c:pt>
                <c:pt idx="12">
                  <c:v>0.98799999999999999</c:v>
                </c:pt>
                <c:pt idx="13">
                  <c:v>1.298</c:v>
                </c:pt>
                <c:pt idx="14">
                  <c:v>1.6060000000000001</c:v>
                </c:pt>
                <c:pt idx="15">
                  <c:v>0.70600000000000007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80E1-4649-B473-1078BC904F97}"/>
            </c:ext>
          </c:extLst>
        </c:ser>
        <c:ser>
          <c:idx val="47"/>
          <c:order val="47"/>
          <c:tx>
            <c:v>BES_TR8_four604_A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Charge_kW!$AX$2:$AX$49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8.6000000000000007E-2</c:v>
                </c:pt>
                <c:pt idx="10">
                  <c:v>0.122</c:v>
                </c:pt>
                <c:pt idx="11">
                  <c:v>0.40500000000000003</c:v>
                </c:pt>
                <c:pt idx="12">
                  <c:v>0.48899999999999988</c:v>
                </c:pt>
                <c:pt idx="13">
                  <c:v>0.67599999999999993</c:v>
                </c:pt>
                <c:pt idx="14">
                  <c:v>0.98199999999999998</c:v>
                </c:pt>
                <c:pt idx="15">
                  <c:v>0.879</c:v>
                </c:pt>
                <c:pt idx="16">
                  <c:v>1.1399999999999999</c:v>
                </c:pt>
                <c:pt idx="17">
                  <c:v>1.385</c:v>
                </c:pt>
                <c:pt idx="18">
                  <c:v>0.44500000000000001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80E1-4649-B473-1078BC904F97}"/>
            </c:ext>
          </c:extLst>
        </c:ser>
        <c:ser>
          <c:idx val="48"/>
          <c:order val="48"/>
          <c:tx>
            <c:v>BES_TR8_four78_B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Charge_kW!$AY$2:$AY$49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0.185</c:v>
                </c:pt>
                <c:pt idx="10">
                  <c:v>0.316</c:v>
                </c:pt>
                <c:pt idx="11">
                  <c:v>0.69399999999999995</c:v>
                </c:pt>
                <c:pt idx="12">
                  <c:v>1</c:v>
                </c:pt>
                <c:pt idx="13">
                  <c:v>1.141</c:v>
                </c:pt>
                <c:pt idx="14">
                  <c:v>1.6180000000000001</c:v>
                </c:pt>
                <c:pt idx="15">
                  <c:v>1.3440000000000001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80E1-4649-B473-1078BC904F97}"/>
            </c:ext>
          </c:extLst>
        </c:ser>
        <c:ser>
          <c:idx val="49"/>
          <c:order val="49"/>
          <c:tx>
            <c:v>BES_TR8_four734_A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Charge_kW!$AZ$2:$AZ$49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0.122</c:v>
                </c:pt>
                <c:pt idx="10">
                  <c:v>0.29399999999999998</c:v>
                </c:pt>
                <c:pt idx="11">
                  <c:v>0.504</c:v>
                </c:pt>
                <c:pt idx="12">
                  <c:v>0.73399999999999999</c:v>
                </c:pt>
                <c:pt idx="13">
                  <c:v>0.91799999999999993</c:v>
                </c:pt>
                <c:pt idx="14">
                  <c:v>1.1970000000000001</c:v>
                </c:pt>
                <c:pt idx="15">
                  <c:v>1.429</c:v>
                </c:pt>
                <c:pt idx="16">
                  <c:v>1.5549999999999999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1.2410000000000001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80E1-4649-B473-1078BC904F97}"/>
            </c:ext>
          </c:extLst>
        </c:ser>
        <c:ser>
          <c:idx val="50"/>
          <c:order val="50"/>
          <c:tx>
            <c:v>BES_TR8_four797_C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Charge_kW!$BA$2:$BA$49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0.13500000000000001</c:v>
                </c:pt>
                <c:pt idx="10">
                  <c:v>0.307</c:v>
                </c:pt>
                <c:pt idx="11">
                  <c:v>0.51700000000000002</c:v>
                </c:pt>
                <c:pt idx="12">
                  <c:v>0.747</c:v>
                </c:pt>
                <c:pt idx="13">
                  <c:v>0.97900000000000009</c:v>
                </c:pt>
                <c:pt idx="14">
                  <c:v>0.97799999999999987</c:v>
                </c:pt>
                <c:pt idx="15">
                  <c:v>0.56400000000000006</c:v>
                </c:pt>
                <c:pt idx="16">
                  <c:v>1.635</c:v>
                </c:pt>
                <c:pt idx="17">
                  <c:v>0.158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80E1-4649-B473-1078BC904F97}"/>
            </c:ext>
          </c:extLst>
        </c:ser>
        <c:ser>
          <c:idx val="51"/>
          <c:order val="51"/>
          <c:tx>
            <c:v>BES_TR8_four846_C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Charge_kW!$BB$2:$BB$49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8.3999999999999991E-2</c:v>
                </c:pt>
                <c:pt idx="10">
                  <c:v>0.32400000000000001</c:v>
                </c:pt>
                <c:pt idx="11">
                  <c:v>0.67800000000000005</c:v>
                </c:pt>
                <c:pt idx="12">
                  <c:v>0.83199999999999996</c:v>
                </c:pt>
                <c:pt idx="13">
                  <c:v>1.2949999999999999</c:v>
                </c:pt>
                <c:pt idx="14">
                  <c:v>1.617</c:v>
                </c:pt>
                <c:pt idx="15">
                  <c:v>1.6859999999999999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80E1-4649-B473-1078BC904F97}"/>
            </c:ext>
          </c:extLst>
        </c:ser>
        <c:ser>
          <c:idx val="52"/>
          <c:order val="52"/>
          <c:tx>
            <c:v>BES_TR8_four854_A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Charge_kW!$BC$2:$BC$49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0.218</c:v>
                </c:pt>
                <c:pt idx="11">
                  <c:v>0.71199999999999997</c:v>
                </c:pt>
                <c:pt idx="12">
                  <c:v>1.018</c:v>
                </c:pt>
                <c:pt idx="13">
                  <c:v>1.2290000000000001</c:v>
                </c:pt>
                <c:pt idx="14">
                  <c:v>1.603</c:v>
                </c:pt>
                <c:pt idx="15">
                  <c:v>1.905</c:v>
                </c:pt>
                <c:pt idx="16">
                  <c:v>0.29199999999999998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80E1-4649-B473-1078BC904F97}"/>
            </c:ext>
          </c:extLst>
        </c:ser>
        <c:ser>
          <c:idx val="53"/>
          <c:order val="53"/>
          <c:tx>
            <c:v>BES_TR8_four936_C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Charge_kW!$BD$2:$BD$49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2.5999999999999999E-2</c:v>
                </c:pt>
                <c:pt idx="10">
                  <c:v>4.5000000000000012E-2</c:v>
                </c:pt>
                <c:pt idx="11">
                  <c:v>0</c:v>
                </c:pt>
                <c:pt idx="12">
                  <c:v>0.35199999999999998</c:v>
                </c:pt>
                <c:pt idx="13">
                  <c:v>0.17799999999999999</c:v>
                </c:pt>
                <c:pt idx="14">
                  <c:v>0.44600000000000001</c:v>
                </c:pt>
                <c:pt idx="15">
                  <c:v>0.59699999999999998</c:v>
                </c:pt>
                <c:pt idx="16">
                  <c:v>0.64</c:v>
                </c:pt>
                <c:pt idx="17">
                  <c:v>0.83299999999999996</c:v>
                </c:pt>
                <c:pt idx="18">
                  <c:v>0.80300000000000005</c:v>
                </c:pt>
                <c:pt idx="19">
                  <c:v>0.995</c:v>
                </c:pt>
                <c:pt idx="20">
                  <c:v>0.85400000000000009</c:v>
                </c:pt>
                <c:pt idx="21">
                  <c:v>1.0129999999999999</c:v>
                </c:pt>
                <c:pt idx="22">
                  <c:v>0.223</c:v>
                </c:pt>
                <c:pt idx="23">
                  <c:v>0</c:v>
                </c:pt>
                <c:pt idx="24">
                  <c:v>0</c:v>
                </c:pt>
                <c:pt idx="25">
                  <c:v>4.2000000000000003E-2</c:v>
                </c:pt>
                <c:pt idx="26">
                  <c:v>0</c:v>
                </c:pt>
                <c:pt idx="27">
                  <c:v>0.36299999999999999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0.45800000000000002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80E1-4649-B473-1078BC904F97}"/>
            </c:ext>
          </c:extLst>
        </c:ser>
        <c:ser>
          <c:idx val="54"/>
          <c:order val="54"/>
          <c:tx>
            <c:v>BES_TR8_four950_B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Charge_kW!$BE$2:$BE$49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3.1E-2</c:v>
                </c:pt>
                <c:pt idx="10">
                  <c:v>0.34300000000000003</c:v>
                </c:pt>
                <c:pt idx="11">
                  <c:v>0.60199999999999998</c:v>
                </c:pt>
                <c:pt idx="12">
                  <c:v>0.99199999999999999</c:v>
                </c:pt>
                <c:pt idx="13">
                  <c:v>1.0940000000000001</c:v>
                </c:pt>
                <c:pt idx="14">
                  <c:v>1.61</c:v>
                </c:pt>
                <c:pt idx="15">
                  <c:v>1.76</c:v>
                </c:pt>
                <c:pt idx="16">
                  <c:v>0.15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80E1-4649-B473-1078BC904F97}"/>
            </c:ext>
          </c:extLst>
        </c:ser>
        <c:ser>
          <c:idx val="55"/>
          <c:order val="55"/>
          <c:tx>
            <c:v>BES_TR8_four978_A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Charge_kW!$BF$2:$BF$49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1.0999999999999999E-2</c:v>
                </c:pt>
                <c:pt idx="10">
                  <c:v>0.23100000000000001</c:v>
                </c:pt>
                <c:pt idx="11">
                  <c:v>0.29099999999999998</c:v>
                </c:pt>
                <c:pt idx="12">
                  <c:v>0.505</c:v>
                </c:pt>
                <c:pt idx="13">
                  <c:v>0.753</c:v>
                </c:pt>
                <c:pt idx="14">
                  <c:v>0.81499999999999995</c:v>
                </c:pt>
                <c:pt idx="15">
                  <c:v>1.099</c:v>
                </c:pt>
                <c:pt idx="16">
                  <c:v>1.304</c:v>
                </c:pt>
                <c:pt idx="17">
                  <c:v>1.401</c:v>
                </c:pt>
                <c:pt idx="18">
                  <c:v>0.81099999999999994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80E1-4649-B473-1078BC904F97}"/>
            </c:ext>
          </c:extLst>
        </c:ser>
        <c:ser>
          <c:idx val="56"/>
          <c:order val="56"/>
          <c:tx>
            <c:v>BES_TR8_four104_A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Charge_kW!$BG$2:$BG$49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2.9000000000000001E-2</c:v>
                </c:pt>
                <c:pt idx="11">
                  <c:v>0.22600000000000001</c:v>
                </c:pt>
                <c:pt idx="12">
                  <c:v>0.192</c:v>
                </c:pt>
                <c:pt idx="13">
                  <c:v>0.372</c:v>
                </c:pt>
                <c:pt idx="14">
                  <c:v>0</c:v>
                </c:pt>
                <c:pt idx="15">
                  <c:v>0.34200000000000003</c:v>
                </c:pt>
                <c:pt idx="16">
                  <c:v>0.76999999999999991</c:v>
                </c:pt>
                <c:pt idx="17">
                  <c:v>0.86399999999999999</c:v>
                </c:pt>
                <c:pt idx="18">
                  <c:v>0.90700000000000003</c:v>
                </c:pt>
                <c:pt idx="19">
                  <c:v>1.0840000000000001</c:v>
                </c:pt>
                <c:pt idx="20">
                  <c:v>0.95200000000000007</c:v>
                </c:pt>
                <c:pt idx="21">
                  <c:v>0</c:v>
                </c:pt>
                <c:pt idx="22">
                  <c:v>0.75600000000000001</c:v>
                </c:pt>
                <c:pt idx="23">
                  <c:v>0.63400000000000001</c:v>
                </c:pt>
                <c:pt idx="24">
                  <c:v>1.075</c:v>
                </c:pt>
                <c:pt idx="25">
                  <c:v>6.0999999999999999E-2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0.10299999999999999</c:v>
                </c:pt>
                <c:pt idx="32">
                  <c:v>0.215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80E1-4649-B473-1078BC904F97}"/>
            </c:ext>
          </c:extLst>
        </c:ser>
        <c:ser>
          <c:idx val="57"/>
          <c:order val="57"/>
          <c:tx>
            <c:v>BES_TR8_four988_A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Charge_kW!$BH$2:$BH$49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6.6000000000000003E-2</c:v>
                </c:pt>
                <c:pt idx="10">
                  <c:v>0.18099999999999999</c:v>
                </c:pt>
                <c:pt idx="11">
                  <c:v>0.16300000000000001</c:v>
                </c:pt>
                <c:pt idx="12">
                  <c:v>0.47399999999999998</c:v>
                </c:pt>
                <c:pt idx="13">
                  <c:v>0.51400000000000001</c:v>
                </c:pt>
                <c:pt idx="14">
                  <c:v>0.57799999999999996</c:v>
                </c:pt>
                <c:pt idx="15">
                  <c:v>0.78500000000000003</c:v>
                </c:pt>
                <c:pt idx="16">
                  <c:v>0.60699999999999998</c:v>
                </c:pt>
                <c:pt idx="17">
                  <c:v>1.218</c:v>
                </c:pt>
                <c:pt idx="18">
                  <c:v>1.1180000000000001</c:v>
                </c:pt>
                <c:pt idx="19">
                  <c:v>0.78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80E1-4649-B473-1078BC904F97}"/>
            </c:ext>
          </c:extLst>
        </c:ser>
        <c:ser>
          <c:idx val="58"/>
          <c:order val="58"/>
          <c:tx>
            <c:v>BES_TR8_four1013_B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Charge_kW!$BI$2:$BI$49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0.155</c:v>
                </c:pt>
                <c:pt idx="10">
                  <c:v>0.28899999999999998</c:v>
                </c:pt>
                <c:pt idx="11">
                  <c:v>0.61699999999999999</c:v>
                </c:pt>
                <c:pt idx="12">
                  <c:v>0.98599999999999988</c:v>
                </c:pt>
                <c:pt idx="13">
                  <c:v>1.123</c:v>
                </c:pt>
                <c:pt idx="14">
                  <c:v>1.6020000000000001</c:v>
                </c:pt>
                <c:pt idx="15">
                  <c:v>1.7589999999999999</c:v>
                </c:pt>
                <c:pt idx="16">
                  <c:v>9.1999999999999998E-2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80E1-4649-B473-1078BC904F97}"/>
            </c:ext>
          </c:extLst>
        </c:ser>
        <c:ser>
          <c:idx val="59"/>
          <c:order val="59"/>
          <c:tx>
            <c:v>BES_TR8_four1027_A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Charge_kW!$BJ$2:$BJ$49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7.2999999999999995E-2</c:v>
                </c:pt>
                <c:pt idx="10">
                  <c:v>0.113</c:v>
                </c:pt>
                <c:pt idx="11">
                  <c:v>0.32800000000000001</c:v>
                </c:pt>
                <c:pt idx="12">
                  <c:v>0.43099999999999999</c:v>
                </c:pt>
                <c:pt idx="13">
                  <c:v>0.61099999999999999</c:v>
                </c:pt>
                <c:pt idx="14">
                  <c:v>0.79</c:v>
                </c:pt>
                <c:pt idx="15">
                  <c:v>0.94399999999999995</c:v>
                </c:pt>
                <c:pt idx="16">
                  <c:v>0.89100000000000001</c:v>
                </c:pt>
                <c:pt idx="17">
                  <c:v>1.0640000000000001</c:v>
                </c:pt>
                <c:pt idx="18">
                  <c:v>0.76600000000000001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80E1-4649-B473-1078BC904F97}"/>
            </c:ext>
          </c:extLst>
        </c:ser>
        <c:ser>
          <c:idx val="60"/>
          <c:order val="60"/>
          <c:tx>
            <c:v>BES_TR8_four1132_C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Charge_kW!$BK$2:$BK$49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0.14399999999999999</c:v>
                </c:pt>
                <c:pt idx="10">
                  <c:v>0.31</c:v>
                </c:pt>
                <c:pt idx="11">
                  <c:v>0.38</c:v>
                </c:pt>
                <c:pt idx="12">
                  <c:v>0.86899999999999999</c:v>
                </c:pt>
                <c:pt idx="13">
                  <c:v>1.014</c:v>
                </c:pt>
                <c:pt idx="14">
                  <c:v>1.3029999999999999</c:v>
                </c:pt>
                <c:pt idx="15">
                  <c:v>1.6040000000000001</c:v>
                </c:pt>
                <c:pt idx="16">
                  <c:v>0.98699999999999999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80E1-4649-B473-1078BC904F97}"/>
            </c:ext>
          </c:extLst>
        </c:ser>
        <c:ser>
          <c:idx val="61"/>
          <c:order val="61"/>
          <c:tx>
            <c:v>BES_TR8_four126_A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Charge_kW!$BL$2:$BL$49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0.35299999999999998</c:v>
                </c:pt>
                <c:pt idx="11">
                  <c:v>0.53700000000000003</c:v>
                </c:pt>
                <c:pt idx="12">
                  <c:v>0.71</c:v>
                </c:pt>
                <c:pt idx="13">
                  <c:v>1.07</c:v>
                </c:pt>
                <c:pt idx="14">
                  <c:v>1.381</c:v>
                </c:pt>
                <c:pt idx="15">
                  <c:v>1.5509999999999999</c:v>
                </c:pt>
                <c:pt idx="16">
                  <c:v>0.83600000000000008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80E1-4649-B473-1078BC904F97}"/>
            </c:ext>
          </c:extLst>
        </c:ser>
        <c:ser>
          <c:idx val="62"/>
          <c:order val="62"/>
          <c:tx>
            <c:v>BES_TR8_four1187_A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Charge_kW!$BM$2:$BM$49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0.06</c:v>
                </c:pt>
                <c:pt idx="10">
                  <c:v>0</c:v>
                </c:pt>
                <c:pt idx="11">
                  <c:v>0.315</c:v>
                </c:pt>
                <c:pt idx="12">
                  <c:v>0.23</c:v>
                </c:pt>
                <c:pt idx="13">
                  <c:v>0.58399999999999996</c:v>
                </c:pt>
                <c:pt idx="14">
                  <c:v>0.77700000000000002</c:v>
                </c:pt>
                <c:pt idx="15">
                  <c:v>0.84500000000000008</c:v>
                </c:pt>
                <c:pt idx="16">
                  <c:v>1.0760000000000001</c:v>
                </c:pt>
                <c:pt idx="17">
                  <c:v>0.93499999999999994</c:v>
                </c:pt>
                <c:pt idx="18">
                  <c:v>1.3</c:v>
                </c:pt>
                <c:pt idx="19">
                  <c:v>0.77800000000000002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1.0549999999999999</c:v>
                </c:pt>
                <c:pt idx="26">
                  <c:v>1.1419999999999999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1.7000000000000001E-2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80E1-4649-B473-1078BC904F97}"/>
            </c:ext>
          </c:extLst>
        </c:ser>
        <c:ser>
          <c:idx val="63"/>
          <c:order val="63"/>
          <c:tx>
            <c:v>BES_TR8_four1207_B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Charge_kW!$BN$2:$BN$49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0.223</c:v>
                </c:pt>
                <c:pt idx="12">
                  <c:v>0.14899999999999999</c:v>
                </c:pt>
                <c:pt idx="13">
                  <c:v>0.441</c:v>
                </c:pt>
                <c:pt idx="14">
                  <c:v>0.54299999999999993</c:v>
                </c:pt>
                <c:pt idx="15">
                  <c:v>0.56599999999999995</c:v>
                </c:pt>
                <c:pt idx="16">
                  <c:v>0.753</c:v>
                </c:pt>
                <c:pt idx="17">
                  <c:v>0.88099999999999989</c:v>
                </c:pt>
                <c:pt idx="18">
                  <c:v>0.85099999999999998</c:v>
                </c:pt>
                <c:pt idx="19">
                  <c:v>0.98799999999999999</c:v>
                </c:pt>
                <c:pt idx="20">
                  <c:v>1.0469999999999999</c:v>
                </c:pt>
                <c:pt idx="21">
                  <c:v>0.27300000000000002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80E1-4649-B473-1078BC904F97}"/>
            </c:ext>
          </c:extLst>
        </c:ser>
        <c:ser>
          <c:idx val="64"/>
          <c:order val="64"/>
          <c:tx>
            <c:v>BES_TR8_five168_A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Charge_kW!$BO$2:$BO$49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5.6000000000000001E-2</c:v>
                </c:pt>
                <c:pt idx="10">
                  <c:v>0.34200000000000003</c:v>
                </c:pt>
                <c:pt idx="11">
                  <c:v>0.41399999999999998</c:v>
                </c:pt>
                <c:pt idx="12">
                  <c:v>0.85199999999999998</c:v>
                </c:pt>
                <c:pt idx="13">
                  <c:v>1.083</c:v>
                </c:pt>
                <c:pt idx="14">
                  <c:v>1.3009999999999999</c:v>
                </c:pt>
                <c:pt idx="15">
                  <c:v>1.341</c:v>
                </c:pt>
                <c:pt idx="16">
                  <c:v>1.774</c:v>
                </c:pt>
                <c:pt idx="17">
                  <c:v>0.80599999999999994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80E1-4649-B473-1078BC904F97}"/>
            </c:ext>
          </c:extLst>
        </c:ser>
        <c:ser>
          <c:idx val="65"/>
          <c:order val="65"/>
          <c:tx>
            <c:v>BES_TR8_five186_C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Charge_kW!$BP$2:$BP$49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0.124</c:v>
                </c:pt>
                <c:pt idx="10">
                  <c:v>0.29599999999999999</c:v>
                </c:pt>
                <c:pt idx="11">
                  <c:v>0.50600000000000001</c:v>
                </c:pt>
                <c:pt idx="12">
                  <c:v>0.73599999999999999</c:v>
                </c:pt>
                <c:pt idx="13">
                  <c:v>0.96799999999999997</c:v>
                </c:pt>
                <c:pt idx="14">
                  <c:v>1.1990000000000001</c:v>
                </c:pt>
                <c:pt idx="15">
                  <c:v>1.2789999999999999</c:v>
                </c:pt>
                <c:pt idx="16">
                  <c:v>0.65899999999999992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4.9000000000000002E-2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0.84099999999999997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80E1-4649-B473-1078BC904F97}"/>
            </c:ext>
          </c:extLst>
        </c:ser>
        <c:ser>
          <c:idx val="66"/>
          <c:order val="66"/>
          <c:tx>
            <c:v>BES_TR8_five194_C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Charge_kW!$BQ$2:$BQ$49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0.19600000000000001</c:v>
                </c:pt>
                <c:pt idx="10">
                  <c:v>0.41699999999999998</c:v>
                </c:pt>
                <c:pt idx="11">
                  <c:v>0.54199999999999993</c:v>
                </c:pt>
                <c:pt idx="12">
                  <c:v>1.0109999999999999</c:v>
                </c:pt>
                <c:pt idx="13">
                  <c:v>1.1499999999999999</c:v>
                </c:pt>
                <c:pt idx="14">
                  <c:v>1.629</c:v>
                </c:pt>
                <c:pt idx="15">
                  <c:v>1.6080000000000001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80E1-4649-B473-1078BC904F97}"/>
            </c:ext>
          </c:extLst>
        </c:ser>
        <c:ser>
          <c:idx val="67"/>
          <c:order val="67"/>
          <c:tx>
            <c:v>BES_TR8_five223_A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Charge_kW!$BR$2:$BR$49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6.4000000000000001E-2</c:v>
                </c:pt>
                <c:pt idx="10">
                  <c:v>0.35099999999999998</c:v>
                </c:pt>
                <c:pt idx="11">
                  <c:v>0.46400000000000002</c:v>
                </c:pt>
                <c:pt idx="12">
                  <c:v>0.74299999999999999</c:v>
                </c:pt>
                <c:pt idx="13">
                  <c:v>1.0720000000000001</c:v>
                </c:pt>
                <c:pt idx="14">
                  <c:v>1.214</c:v>
                </c:pt>
                <c:pt idx="15">
                  <c:v>1.5880000000000001</c:v>
                </c:pt>
                <c:pt idx="16">
                  <c:v>1.1399999999999999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80E1-4649-B473-1078BC904F97}"/>
            </c:ext>
          </c:extLst>
        </c:ser>
        <c:ser>
          <c:idx val="68"/>
          <c:order val="68"/>
          <c:tx>
            <c:v>BES_TR8_five303_B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Charge_kW!$BS$2:$BS$49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0.312</c:v>
                </c:pt>
                <c:pt idx="12">
                  <c:v>4.8000000000000001E-2</c:v>
                </c:pt>
                <c:pt idx="13">
                  <c:v>0.62</c:v>
                </c:pt>
                <c:pt idx="14">
                  <c:v>0.53399999999999992</c:v>
                </c:pt>
                <c:pt idx="15">
                  <c:v>0.751</c:v>
                </c:pt>
                <c:pt idx="16">
                  <c:v>0.96000000000000008</c:v>
                </c:pt>
                <c:pt idx="17">
                  <c:v>0.41199999999999998</c:v>
                </c:pt>
                <c:pt idx="18">
                  <c:v>0.82299999999999995</c:v>
                </c:pt>
                <c:pt idx="19">
                  <c:v>1.2809999999999999</c:v>
                </c:pt>
                <c:pt idx="20">
                  <c:v>1.111</c:v>
                </c:pt>
                <c:pt idx="21">
                  <c:v>0.56599999999999995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6.4000000000000001E-2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3.6999999999999998E-2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80E1-4649-B473-1078BC904F97}"/>
            </c:ext>
          </c:extLst>
        </c:ser>
        <c:ser>
          <c:idx val="69"/>
          <c:order val="69"/>
          <c:tx>
            <c:v>BES_TR8_five324_B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Charge_kW!$BT$2:$BT$49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0.29299999999999998</c:v>
                </c:pt>
                <c:pt idx="11">
                  <c:v>0.33100000000000002</c:v>
                </c:pt>
                <c:pt idx="12">
                  <c:v>0.68199999999999994</c:v>
                </c:pt>
                <c:pt idx="13">
                  <c:v>0.79199999999999993</c:v>
                </c:pt>
                <c:pt idx="14">
                  <c:v>1.165</c:v>
                </c:pt>
                <c:pt idx="15">
                  <c:v>1.35</c:v>
                </c:pt>
                <c:pt idx="16">
                  <c:v>1.5509999999999999</c:v>
                </c:pt>
                <c:pt idx="17">
                  <c:v>0.64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80E1-4649-B473-1078BC904F97}"/>
            </c:ext>
          </c:extLst>
        </c:ser>
        <c:ser>
          <c:idx val="70"/>
          <c:order val="70"/>
          <c:tx>
            <c:v>BES_TR8_five345_A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Charge_kW!$BU$2:$BU$49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6.4999999999999988E-2</c:v>
                </c:pt>
                <c:pt idx="10">
                  <c:v>0.40500000000000003</c:v>
                </c:pt>
                <c:pt idx="11">
                  <c:v>0.68599999999999994</c:v>
                </c:pt>
                <c:pt idx="12">
                  <c:v>0.88</c:v>
                </c:pt>
                <c:pt idx="13">
                  <c:v>1.302</c:v>
                </c:pt>
                <c:pt idx="14">
                  <c:v>1.538</c:v>
                </c:pt>
                <c:pt idx="15">
                  <c:v>1.31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80E1-4649-B473-1078BC904F97}"/>
            </c:ext>
          </c:extLst>
        </c:ser>
        <c:ser>
          <c:idx val="71"/>
          <c:order val="71"/>
          <c:tx>
            <c:v>BES_TR8_five421_A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Charge_kW!$BV$2:$BV$49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0.126</c:v>
                </c:pt>
                <c:pt idx="10">
                  <c:v>0.29799999999999999</c:v>
                </c:pt>
                <c:pt idx="11">
                  <c:v>0.50800000000000001</c:v>
                </c:pt>
                <c:pt idx="12">
                  <c:v>0.7380000000000001</c:v>
                </c:pt>
                <c:pt idx="13">
                  <c:v>0.97000000000000008</c:v>
                </c:pt>
                <c:pt idx="14">
                  <c:v>1.2010000000000001</c:v>
                </c:pt>
                <c:pt idx="15">
                  <c:v>1.4330000000000001</c:v>
                </c:pt>
                <c:pt idx="16">
                  <c:v>0.47299999999999998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80E1-4649-B473-1078BC904F97}"/>
            </c:ext>
          </c:extLst>
        </c:ser>
        <c:ser>
          <c:idx val="72"/>
          <c:order val="72"/>
          <c:tx>
            <c:v>BES_TR8_five488_B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Charge_kW!$BW$2:$BW$49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0.33</c:v>
                </c:pt>
                <c:pt idx="11">
                  <c:v>0.69200000000000006</c:v>
                </c:pt>
                <c:pt idx="12">
                  <c:v>0.90799999999999992</c:v>
                </c:pt>
                <c:pt idx="13">
                  <c:v>1.1859999999999999</c:v>
                </c:pt>
                <c:pt idx="14">
                  <c:v>1.5209999999999999</c:v>
                </c:pt>
                <c:pt idx="15">
                  <c:v>1.72</c:v>
                </c:pt>
                <c:pt idx="16">
                  <c:v>0.53600000000000003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80E1-4649-B473-1078BC904F97}"/>
            </c:ext>
          </c:extLst>
        </c:ser>
        <c:ser>
          <c:idx val="73"/>
          <c:order val="73"/>
          <c:tx>
            <c:v>BES_TR8_five513_B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Charge_kW!$BX$2:$BX$49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0.128</c:v>
                </c:pt>
                <c:pt idx="10">
                  <c:v>0.30299999999999999</c:v>
                </c:pt>
                <c:pt idx="11">
                  <c:v>0.59799999999999998</c:v>
                </c:pt>
                <c:pt idx="12">
                  <c:v>0.86599999999999999</c:v>
                </c:pt>
                <c:pt idx="13">
                  <c:v>1.137</c:v>
                </c:pt>
                <c:pt idx="14">
                  <c:v>1.407</c:v>
                </c:pt>
                <c:pt idx="15">
                  <c:v>1.581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80E1-4649-B473-1078BC904F97}"/>
            </c:ext>
          </c:extLst>
        </c:ser>
        <c:ser>
          <c:idx val="74"/>
          <c:order val="74"/>
          <c:tx>
            <c:v>BES_TR8_five537_C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Charge_kW!$BY$2:$BY$49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0.17799999999999999</c:v>
                </c:pt>
                <c:pt idx="10">
                  <c:v>0.28499999999999998</c:v>
                </c:pt>
                <c:pt idx="11">
                  <c:v>0.65100000000000002</c:v>
                </c:pt>
                <c:pt idx="12">
                  <c:v>0.99299999999999999</c:v>
                </c:pt>
                <c:pt idx="13">
                  <c:v>1.1950000000000001</c:v>
                </c:pt>
                <c:pt idx="14">
                  <c:v>1.5609999999999999</c:v>
                </c:pt>
                <c:pt idx="15">
                  <c:v>1.706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0.14499999999999999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80E1-4649-B473-1078BC904F97}"/>
            </c:ext>
          </c:extLst>
        </c:ser>
        <c:ser>
          <c:idx val="75"/>
          <c:order val="75"/>
          <c:tx>
            <c:v>BES_TR8_five540_A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Charge_kW!$BZ$2:$BZ$49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0.13100000000000001</c:v>
                </c:pt>
                <c:pt idx="10">
                  <c:v>0.21099999999999999</c:v>
                </c:pt>
                <c:pt idx="11">
                  <c:v>0.437</c:v>
                </c:pt>
                <c:pt idx="12">
                  <c:v>0.73499999999999999</c:v>
                </c:pt>
                <c:pt idx="13">
                  <c:v>0.81499999999999995</c:v>
                </c:pt>
                <c:pt idx="14">
                  <c:v>1.196</c:v>
                </c:pt>
                <c:pt idx="15">
                  <c:v>1.3280000000000001</c:v>
                </c:pt>
                <c:pt idx="16">
                  <c:v>1.536</c:v>
                </c:pt>
                <c:pt idx="17">
                  <c:v>5.7000000000000002E-2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80E1-4649-B473-1078BC904F97}"/>
            </c:ext>
          </c:extLst>
        </c:ser>
        <c:ser>
          <c:idx val="76"/>
          <c:order val="76"/>
          <c:tx>
            <c:v>BES_TR8_five551_C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Charge_kW!$CA$2:$CA$49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0.17599999999999999</c:v>
                </c:pt>
                <c:pt idx="10">
                  <c:v>0.40400000000000003</c:v>
                </c:pt>
                <c:pt idx="11">
                  <c:v>0.68499999999999994</c:v>
                </c:pt>
                <c:pt idx="12">
                  <c:v>0.99099999999999988</c:v>
                </c:pt>
                <c:pt idx="13">
                  <c:v>1.288</c:v>
                </c:pt>
                <c:pt idx="14">
                  <c:v>1.5029999999999999</c:v>
                </c:pt>
                <c:pt idx="15">
                  <c:v>0.77800000000000002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80E1-4649-B473-1078BC904F97}"/>
            </c:ext>
          </c:extLst>
        </c:ser>
        <c:ser>
          <c:idx val="77"/>
          <c:order val="77"/>
          <c:tx>
            <c:v>BES_TR8_five631_B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Charge_kW!$CB$2:$CB$49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0.30299999999999999</c:v>
                </c:pt>
                <c:pt idx="11">
                  <c:v>0.312</c:v>
                </c:pt>
                <c:pt idx="12">
                  <c:v>0.68099999999999994</c:v>
                </c:pt>
                <c:pt idx="13">
                  <c:v>0.97499999999999998</c:v>
                </c:pt>
                <c:pt idx="14">
                  <c:v>1.0369999999999999</c:v>
                </c:pt>
                <c:pt idx="15">
                  <c:v>1.3440000000000001</c:v>
                </c:pt>
                <c:pt idx="16">
                  <c:v>1.655</c:v>
                </c:pt>
                <c:pt idx="17">
                  <c:v>0.52600000000000002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80E1-4649-B473-1078BC904F97}"/>
            </c:ext>
          </c:extLst>
        </c:ser>
        <c:ser>
          <c:idx val="78"/>
          <c:order val="78"/>
          <c:tx>
            <c:v>BES_TR8_five649_A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Charge_kW!$CC$2:$CC$49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7.3999999999999996E-2</c:v>
                </c:pt>
                <c:pt idx="10">
                  <c:v>0.36499999999999999</c:v>
                </c:pt>
                <c:pt idx="11">
                  <c:v>0.51900000000000002</c:v>
                </c:pt>
                <c:pt idx="12">
                  <c:v>0.97099999999999997</c:v>
                </c:pt>
                <c:pt idx="13">
                  <c:v>1.2569999999999999</c:v>
                </c:pt>
                <c:pt idx="14">
                  <c:v>1.45</c:v>
                </c:pt>
                <c:pt idx="15">
                  <c:v>1.8979999999999999</c:v>
                </c:pt>
                <c:pt idx="16">
                  <c:v>0.01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80E1-4649-B473-1078BC904F97}"/>
            </c:ext>
          </c:extLst>
        </c:ser>
        <c:ser>
          <c:idx val="79"/>
          <c:order val="79"/>
          <c:tx>
            <c:v>BES_TR8_five663_C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Charge_kW!$CD$2:$CD$49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3.6999999999999998E-2</c:v>
                </c:pt>
                <c:pt idx="10">
                  <c:v>0.124</c:v>
                </c:pt>
                <c:pt idx="11">
                  <c:v>0.503</c:v>
                </c:pt>
                <c:pt idx="12">
                  <c:v>0.73299999999999998</c:v>
                </c:pt>
                <c:pt idx="13">
                  <c:v>0.85699999999999998</c:v>
                </c:pt>
                <c:pt idx="14">
                  <c:v>1.0760000000000001</c:v>
                </c:pt>
                <c:pt idx="15">
                  <c:v>1.3560000000000001</c:v>
                </c:pt>
                <c:pt idx="16">
                  <c:v>1.573</c:v>
                </c:pt>
                <c:pt idx="17">
                  <c:v>0.45600000000000002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0.17599999999999999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80E1-4649-B473-1078BC904F97}"/>
            </c:ext>
          </c:extLst>
        </c:ser>
        <c:ser>
          <c:idx val="80"/>
          <c:order val="80"/>
          <c:tx>
            <c:v>BES_TR8_five670_C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Charge_kW!$CE$2:$CE$49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9.8999999999999991E-2</c:v>
                </c:pt>
                <c:pt idx="10">
                  <c:v>0.24199999999999999</c:v>
                </c:pt>
                <c:pt idx="11">
                  <c:v>0.41799999999999998</c:v>
                </c:pt>
                <c:pt idx="12">
                  <c:v>0.60899999999999999</c:v>
                </c:pt>
                <c:pt idx="13">
                  <c:v>0.80300000000000005</c:v>
                </c:pt>
                <c:pt idx="14">
                  <c:v>0.85</c:v>
                </c:pt>
                <c:pt idx="15">
                  <c:v>1.1850000000000001</c:v>
                </c:pt>
                <c:pt idx="16">
                  <c:v>1.369</c:v>
                </c:pt>
                <c:pt idx="17">
                  <c:v>0.16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80E1-4649-B473-1078BC904F97}"/>
            </c:ext>
          </c:extLst>
        </c:ser>
        <c:ser>
          <c:idx val="81"/>
          <c:order val="81"/>
          <c:tx>
            <c:v>BES_TR8_five704_A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Charge_kW!$CF$2:$CF$49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0.16800000000000001</c:v>
                </c:pt>
                <c:pt idx="10">
                  <c:v>0.29099999999999998</c:v>
                </c:pt>
                <c:pt idx="11">
                  <c:v>0.59599999999999997</c:v>
                </c:pt>
                <c:pt idx="12">
                  <c:v>0.85699999999999998</c:v>
                </c:pt>
                <c:pt idx="13">
                  <c:v>1.212</c:v>
                </c:pt>
                <c:pt idx="14">
                  <c:v>1.3759999999999999</c:v>
                </c:pt>
                <c:pt idx="15">
                  <c:v>1.651</c:v>
                </c:pt>
                <c:pt idx="16">
                  <c:v>1.1839999999999999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0.311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80E1-4649-B473-1078BC904F97}"/>
            </c:ext>
          </c:extLst>
        </c:ser>
        <c:ser>
          <c:idx val="82"/>
          <c:order val="82"/>
          <c:tx>
            <c:v>BES_TR8_five719_A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Charge_kW!$CG$2:$CG$49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0.192</c:v>
                </c:pt>
                <c:pt idx="10">
                  <c:v>0.42</c:v>
                </c:pt>
                <c:pt idx="11">
                  <c:v>0.68700000000000006</c:v>
                </c:pt>
                <c:pt idx="12">
                  <c:v>0.92699999999999994</c:v>
                </c:pt>
                <c:pt idx="13">
                  <c:v>1.3169999999999999</c:v>
                </c:pt>
                <c:pt idx="14">
                  <c:v>1.625</c:v>
                </c:pt>
                <c:pt idx="15">
                  <c:v>1.4079999999999999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80E1-4649-B473-1078BC904F97}"/>
            </c:ext>
          </c:extLst>
        </c:ser>
        <c:ser>
          <c:idx val="83"/>
          <c:order val="83"/>
          <c:tx>
            <c:v>BES_TR8_five750_B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Charge_kW!$CH$2:$CH$49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3.0000000000000001E-3</c:v>
                </c:pt>
                <c:pt idx="9">
                  <c:v>0.16</c:v>
                </c:pt>
                <c:pt idx="10">
                  <c:v>0.29699999999999999</c:v>
                </c:pt>
                <c:pt idx="11">
                  <c:v>0.69499999999999995</c:v>
                </c:pt>
                <c:pt idx="12">
                  <c:v>0.86399999999999999</c:v>
                </c:pt>
                <c:pt idx="13">
                  <c:v>1.073</c:v>
                </c:pt>
                <c:pt idx="14">
                  <c:v>1.619</c:v>
                </c:pt>
                <c:pt idx="15">
                  <c:v>1.653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80E1-4649-B473-1078BC904F97}"/>
            </c:ext>
          </c:extLst>
        </c:ser>
        <c:ser>
          <c:idx val="84"/>
          <c:order val="84"/>
          <c:tx>
            <c:v>BES_TR8_five793_A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Charge_kW!$CI$2:$CI$49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3.5999999999999997E-2</c:v>
                </c:pt>
                <c:pt idx="10">
                  <c:v>0</c:v>
                </c:pt>
                <c:pt idx="11">
                  <c:v>0.22700000000000001</c:v>
                </c:pt>
                <c:pt idx="12">
                  <c:v>0.222</c:v>
                </c:pt>
                <c:pt idx="13">
                  <c:v>0.40200000000000002</c:v>
                </c:pt>
                <c:pt idx="14">
                  <c:v>0.52600000000000002</c:v>
                </c:pt>
                <c:pt idx="15">
                  <c:v>0.56099999999999994</c:v>
                </c:pt>
                <c:pt idx="16">
                  <c:v>0.79800000000000004</c:v>
                </c:pt>
                <c:pt idx="17">
                  <c:v>0.48599999999999999</c:v>
                </c:pt>
                <c:pt idx="18">
                  <c:v>0.68599999999999994</c:v>
                </c:pt>
                <c:pt idx="19">
                  <c:v>0</c:v>
                </c:pt>
                <c:pt idx="20">
                  <c:v>0.77500000000000002</c:v>
                </c:pt>
                <c:pt idx="21">
                  <c:v>0.86799999999999999</c:v>
                </c:pt>
                <c:pt idx="22">
                  <c:v>1.014</c:v>
                </c:pt>
                <c:pt idx="23">
                  <c:v>0.97099999999999997</c:v>
                </c:pt>
                <c:pt idx="24">
                  <c:v>1.173</c:v>
                </c:pt>
                <c:pt idx="25">
                  <c:v>2.3E-2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0.437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80E1-4649-B473-1078BC904F97}"/>
            </c:ext>
          </c:extLst>
        </c:ser>
        <c:ser>
          <c:idx val="85"/>
          <c:order val="85"/>
          <c:tx>
            <c:v>BES_TR8_five801_C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Charge_kW!$CJ$2:$CJ$49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0.155</c:v>
                </c:pt>
                <c:pt idx="10">
                  <c:v>0.25800000000000001</c:v>
                </c:pt>
                <c:pt idx="11">
                  <c:v>0.56400000000000006</c:v>
                </c:pt>
                <c:pt idx="12">
                  <c:v>0.86799999999999999</c:v>
                </c:pt>
                <c:pt idx="13">
                  <c:v>1.018</c:v>
                </c:pt>
                <c:pt idx="14">
                  <c:v>1.397</c:v>
                </c:pt>
                <c:pt idx="15">
                  <c:v>1.661</c:v>
                </c:pt>
                <c:pt idx="16">
                  <c:v>0.55900000000000005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80E1-4649-B473-1078BC904F97}"/>
            </c:ext>
          </c:extLst>
        </c:ser>
        <c:ser>
          <c:idx val="86"/>
          <c:order val="86"/>
          <c:tx>
            <c:v>BES_TR8_five905_B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Charge_kW!$CK$2:$CK$49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9.6000000000000002E-2</c:v>
                </c:pt>
                <c:pt idx="10">
                  <c:v>0.114</c:v>
                </c:pt>
                <c:pt idx="11">
                  <c:v>0.32600000000000001</c:v>
                </c:pt>
                <c:pt idx="12">
                  <c:v>0.53200000000000003</c:v>
                </c:pt>
                <c:pt idx="13">
                  <c:v>0.76100000000000001</c:v>
                </c:pt>
                <c:pt idx="14">
                  <c:v>0.81599999999999995</c:v>
                </c:pt>
                <c:pt idx="15">
                  <c:v>1.1850000000000001</c:v>
                </c:pt>
                <c:pt idx="16">
                  <c:v>0.85400000000000009</c:v>
                </c:pt>
                <c:pt idx="17">
                  <c:v>1.466</c:v>
                </c:pt>
                <c:pt idx="18">
                  <c:v>0.69800000000000006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0.13900000000000001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80E1-4649-B473-1078BC904F97}"/>
            </c:ext>
          </c:extLst>
        </c:ser>
        <c:ser>
          <c:idx val="87"/>
          <c:order val="87"/>
          <c:tx>
            <c:v>BES_TR8_five118_B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Charge_kW!$CL$2:$CL$49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0.124</c:v>
                </c:pt>
                <c:pt idx="10">
                  <c:v>0.29599999999999999</c:v>
                </c:pt>
                <c:pt idx="11">
                  <c:v>0.50600000000000001</c:v>
                </c:pt>
                <c:pt idx="12">
                  <c:v>0.73599999999999999</c:v>
                </c:pt>
                <c:pt idx="13">
                  <c:v>0.96799999999999997</c:v>
                </c:pt>
                <c:pt idx="14">
                  <c:v>1.1990000000000001</c:v>
                </c:pt>
                <c:pt idx="15">
                  <c:v>1.431</c:v>
                </c:pt>
                <c:pt idx="16">
                  <c:v>0.50700000000000001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80E1-4649-B473-1078BC904F97}"/>
            </c:ext>
          </c:extLst>
        </c:ser>
        <c:ser>
          <c:idx val="88"/>
          <c:order val="88"/>
          <c:tx>
            <c:v>BES_TR8_five123_B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Charge_kW!$CM$2:$CM$49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7.3999999999999996E-2</c:v>
                </c:pt>
                <c:pt idx="10">
                  <c:v>6.8000000000000005E-2</c:v>
                </c:pt>
                <c:pt idx="11">
                  <c:v>0.499</c:v>
                </c:pt>
                <c:pt idx="12">
                  <c:v>0.58499999999999996</c:v>
                </c:pt>
                <c:pt idx="13">
                  <c:v>0.96799999999999997</c:v>
                </c:pt>
                <c:pt idx="14">
                  <c:v>0.92100000000000004</c:v>
                </c:pt>
                <c:pt idx="15">
                  <c:v>1.3819999999999999</c:v>
                </c:pt>
                <c:pt idx="16">
                  <c:v>1.1990000000000001</c:v>
                </c:pt>
                <c:pt idx="17">
                  <c:v>0.53900000000000003</c:v>
                </c:pt>
                <c:pt idx="18">
                  <c:v>0.45900000000000002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80E1-4649-B473-1078BC904F97}"/>
            </c:ext>
          </c:extLst>
        </c:ser>
        <c:ser>
          <c:idx val="89"/>
          <c:order val="89"/>
          <c:tx>
            <c:v>BES_TR8_six64_A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Charge_kW!$CN$2:$CN$49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5.5E-2</c:v>
                </c:pt>
                <c:pt idx="10">
                  <c:v>0.19</c:v>
                </c:pt>
                <c:pt idx="11">
                  <c:v>0.33</c:v>
                </c:pt>
                <c:pt idx="12">
                  <c:v>0.374</c:v>
                </c:pt>
                <c:pt idx="13">
                  <c:v>0.59699999999999998</c:v>
                </c:pt>
                <c:pt idx="14">
                  <c:v>0.78200000000000003</c:v>
                </c:pt>
                <c:pt idx="15">
                  <c:v>0</c:v>
                </c:pt>
                <c:pt idx="16">
                  <c:v>0.92800000000000005</c:v>
                </c:pt>
                <c:pt idx="17">
                  <c:v>1.2190000000000001</c:v>
                </c:pt>
                <c:pt idx="18">
                  <c:v>1.125</c:v>
                </c:pt>
                <c:pt idx="19">
                  <c:v>1.044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0.245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2.8000000000000001E-2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80E1-4649-B473-1078BC904F97}"/>
            </c:ext>
          </c:extLst>
        </c:ser>
        <c:ser>
          <c:idx val="90"/>
          <c:order val="90"/>
          <c:tx>
            <c:v>BES_TR8_six154_C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Charge_kW!$CO$2:$CO$49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6.8999999999999992E-2</c:v>
                </c:pt>
                <c:pt idx="10">
                  <c:v>0.14199999999999999</c:v>
                </c:pt>
                <c:pt idx="11">
                  <c:v>0.41</c:v>
                </c:pt>
                <c:pt idx="12">
                  <c:v>0.73399999999999999</c:v>
                </c:pt>
                <c:pt idx="13">
                  <c:v>0.81400000000000006</c:v>
                </c:pt>
                <c:pt idx="14">
                  <c:v>1.0820000000000001</c:v>
                </c:pt>
                <c:pt idx="15">
                  <c:v>1.214</c:v>
                </c:pt>
                <c:pt idx="16">
                  <c:v>1.4950000000000001</c:v>
                </c:pt>
                <c:pt idx="17">
                  <c:v>0.86399999999999999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2.8000000000000001E-2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80E1-4649-B473-1078BC904F97}"/>
            </c:ext>
          </c:extLst>
        </c:ser>
        <c:ser>
          <c:idx val="91"/>
          <c:order val="91"/>
          <c:tx>
            <c:v>BES_TR8_six173_C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Charge_kW!$CP$2:$CP$49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1E-3</c:v>
                </c:pt>
                <c:pt idx="9">
                  <c:v>0.123</c:v>
                </c:pt>
                <c:pt idx="10">
                  <c:v>0.41199999999999998</c:v>
                </c:pt>
                <c:pt idx="11">
                  <c:v>0.69300000000000006</c:v>
                </c:pt>
                <c:pt idx="12">
                  <c:v>0.9890000000000001</c:v>
                </c:pt>
                <c:pt idx="13">
                  <c:v>1.3089999999999999</c:v>
                </c:pt>
                <c:pt idx="14">
                  <c:v>1.556</c:v>
                </c:pt>
                <c:pt idx="15">
                  <c:v>0.86499999999999999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80E1-4649-B473-1078BC904F97}"/>
            </c:ext>
          </c:extLst>
        </c:ser>
        <c:ser>
          <c:idx val="92"/>
          <c:order val="92"/>
          <c:tx>
            <c:v>BES_TR8_six232_C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Charge_kW!$CQ$2:$CQ$49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5.8000000000000003E-2</c:v>
                </c:pt>
                <c:pt idx="10">
                  <c:v>1.4E-2</c:v>
                </c:pt>
                <c:pt idx="11">
                  <c:v>0.313</c:v>
                </c:pt>
                <c:pt idx="12">
                  <c:v>0.32900000000000001</c:v>
                </c:pt>
                <c:pt idx="13">
                  <c:v>0.59899999999999998</c:v>
                </c:pt>
                <c:pt idx="14">
                  <c:v>0.77500000000000002</c:v>
                </c:pt>
                <c:pt idx="15">
                  <c:v>0.92900000000000005</c:v>
                </c:pt>
                <c:pt idx="16">
                  <c:v>0.95200000000000007</c:v>
                </c:pt>
                <c:pt idx="17">
                  <c:v>1.1739999999999999</c:v>
                </c:pt>
                <c:pt idx="18">
                  <c:v>1.2270000000000001</c:v>
                </c:pt>
                <c:pt idx="19">
                  <c:v>1.31</c:v>
                </c:pt>
                <c:pt idx="20">
                  <c:v>0.28899999999999998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80E1-4649-B473-1078BC904F97}"/>
            </c:ext>
          </c:extLst>
        </c:ser>
        <c:ser>
          <c:idx val="93"/>
          <c:order val="93"/>
          <c:tx>
            <c:v>BES_TR8_six238_A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Charge_kW!$CR$2:$CR$49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7.4999999999999997E-2</c:v>
                </c:pt>
                <c:pt idx="11">
                  <c:v>0.185</c:v>
                </c:pt>
                <c:pt idx="12">
                  <c:v>0.22600000000000001</c:v>
                </c:pt>
                <c:pt idx="13">
                  <c:v>0.46800000000000003</c:v>
                </c:pt>
                <c:pt idx="14">
                  <c:v>0.44400000000000001</c:v>
                </c:pt>
                <c:pt idx="15">
                  <c:v>0.62</c:v>
                </c:pt>
                <c:pt idx="16">
                  <c:v>0.66799999999999993</c:v>
                </c:pt>
                <c:pt idx="17">
                  <c:v>0.91</c:v>
                </c:pt>
                <c:pt idx="18">
                  <c:v>0.83100000000000007</c:v>
                </c:pt>
                <c:pt idx="19">
                  <c:v>1.0169999999999999</c:v>
                </c:pt>
                <c:pt idx="20">
                  <c:v>1.0289999999999999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0.114</c:v>
                </c:pt>
                <c:pt idx="37">
                  <c:v>6.8000000000000005E-2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80E1-4649-B473-1078BC904F97}"/>
            </c:ext>
          </c:extLst>
        </c:ser>
        <c:ser>
          <c:idx val="94"/>
          <c:order val="94"/>
          <c:tx>
            <c:v>BES_TR8_six269_C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Charge_kW!$CS$2:$CS$49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0.105</c:v>
                </c:pt>
                <c:pt idx="10">
                  <c:v>0.40400000000000003</c:v>
                </c:pt>
                <c:pt idx="11">
                  <c:v>0.68499999999999994</c:v>
                </c:pt>
                <c:pt idx="12">
                  <c:v>0.94700000000000006</c:v>
                </c:pt>
                <c:pt idx="13">
                  <c:v>1.2649999999999999</c:v>
                </c:pt>
                <c:pt idx="14">
                  <c:v>1.609</c:v>
                </c:pt>
                <c:pt idx="15">
                  <c:v>1.869</c:v>
                </c:pt>
                <c:pt idx="16">
                  <c:v>9.8999999999999991E-2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80E1-4649-B473-1078BC904F97}"/>
            </c:ext>
          </c:extLst>
        </c:ser>
        <c:ser>
          <c:idx val="95"/>
          <c:order val="95"/>
          <c:tx>
            <c:v>BES_TR8_six289_C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Charge_kW!$CT$2:$CT$49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6.8000000000000005E-2</c:v>
                </c:pt>
                <c:pt idx="10">
                  <c:v>0.35699999999999998</c:v>
                </c:pt>
                <c:pt idx="11">
                  <c:v>0.60199999999999998</c:v>
                </c:pt>
                <c:pt idx="12">
                  <c:v>0.74299999999999999</c:v>
                </c:pt>
                <c:pt idx="13">
                  <c:v>1.141</c:v>
                </c:pt>
                <c:pt idx="14">
                  <c:v>1.411</c:v>
                </c:pt>
                <c:pt idx="15">
                  <c:v>1.681</c:v>
                </c:pt>
                <c:pt idx="16">
                  <c:v>0.17199999999999999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3.4000000000000002E-2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80E1-4649-B473-1078BC904F97}"/>
            </c:ext>
          </c:extLst>
        </c:ser>
        <c:ser>
          <c:idx val="96"/>
          <c:order val="96"/>
          <c:tx>
            <c:v>BES_TR8_six317_C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Charge_kW!$CU$2:$CU$49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0.04</c:v>
                </c:pt>
                <c:pt idx="10">
                  <c:v>0.183</c:v>
                </c:pt>
                <c:pt idx="11">
                  <c:v>0.46</c:v>
                </c:pt>
                <c:pt idx="12">
                  <c:v>0.80099999999999993</c:v>
                </c:pt>
                <c:pt idx="13">
                  <c:v>0.91</c:v>
                </c:pt>
                <c:pt idx="14">
                  <c:v>1.1279999999999999</c:v>
                </c:pt>
                <c:pt idx="15">
                  <c:v>0.46</c:v>
                </c:pt>
                <c:pt idx="16">
                  <c:v>1.75</c:v>
                </c:pt>
                <c:pt idx="17">
                  <c:v>2.0310000000000001</c:v>
                </c:pt>
                <c:pt idx="18">
                  <c:v>0.20399999999999999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80E1-4649-B473-1078BC904F97}"/>
            </c:ext>
          </c:extLst>
        </c:ser>
        <c:ser>
          <c:idx val="97"/>
          <c:order val="97"/>
          <c:tx>
            <c:v>BES_TR8_six326_A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Charge_kW!$CV$2:$CV$49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</c:v>
                </c:pt>
                <c:pt idx="10">
                  <c:v>0.35</c:v>
                </c:pt>
                <c:pt idx="11">
                  <c:v>0.59500000000000008</c:v>
                </c:pt>
                <c:pt idx="12">
                  <c:v>0.72900000000000009</c:v>
                </c:pt>
                <c:pt idx="13">
                  <c:v>1.1339999999999999</c:v>
                </c:pt>
                <c:pt idx="14">
                  <c:v>1.37</c:v>
                </c:pt>
                <c:pt idx="15">
                  <c:v>1.504</c:v>
                </c:pt>
                <c:pt idx="16">
                  <c:v>0.56700000000000006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9.0999999999999998E-2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80E1-4649-B473-1078BC904F97}"/>
            </c:ext>
          </c:extLst>
        </c:ser>
        <c:ser>
          <c:idx val="98"/>
          <c:order val="98"/>
          <c:tx>
            <c:v>BES_TR8_six329_A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Charge_kW!$CW$2:$CW$49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4.7E-2</c:v>
                </c:pt>
                <c:pt idx="10">
                  <c:v>0.13300000000000001</c:v>
                </c:pt>
                <c:pt idx="11">
                  <c:v>0.23799999999999999</c:v>
                </c:pt>
                <c:pt idx="12">
                  <c:v>0.22600000000000001</c:v>
                </c:pt>
                <c:pt idx="13">
                  <c:v>0.42099999999999999</c:v>
                </c:pt>
                <c:pt idx="14">
                  <c:v>0.53700000000000003</c:v>
                </c:pt>
                <c:pt idx="15">
                  <c:v>0.57300000000000006</c:v>
                </c:pt>
                <c:pt idx="16">
                  <c:v>0.80900000000000005</c:v>
                </c:pt>
                <c:pt idx="17">
                  <c:v>0.73599999999999999</c:v>
                </c:pt>
                <c:pt idx="18">
                  <c:v>0.998</c:v>
                </c:pt>
                <c:pt idx="19">
                  <c:v>1.0720000000000001</c:v>
                </c:pt>
                <c:pt idx="20">
                  <c:v>0.48199999999999998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2.5000000000000001E-2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80E1-4649-B473-1078BC904F97}"/>
            </c:ext>
          </c:extLst>
        </c:ser>
        <c:ser>
          <c:idx val="99"/>
          <c:order val="99"/>
          <c:tx>
            <c:v>BES_TR8_six342_A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Charge_kW!$CX$2:$CX$49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0.115</c:v>
                </c:pt>
                <c:pt idx="11">
                  <c:v>1E-3</c:v>
                </c:pt>
                <c:pt idx="12">
                  <c:v>0.32800000000000001</c:v>
                </c:pt>
                <c:pt idx="13">
                  <c:v>0.20699999999999999</c:v>
                </c:pt>
                <c:pt idx="14">
                  <c:v>0.56700000000000006</c:v>
                </c:pt>
                <c:pt idx="15">
                  <c:v>0.48899999999999988</c:v>
                </c:pt>
                <c:pt idx="16">
                  <c:v>0.64200000000000002</c:v>
                </c:pt>
                <c:pt idx="17">
                  <c:v>0.67199999999999993</c:v>
                </c:pt>
                <c:pt idx="18">
                  <c:v>0.87</c:v>
                </c:pt>
                <c:pt idx="19">
                  <c:v>0.78100000000000003</c:v>
                </c:pt>
                <c:pt idx="20">
                  <c:v>0.97900000000000009</c:v>
                </c:pt>
                <c:pt idx="21">
                  <c:v>0.94099999999999995</c:v>
                </c:pt>
                <c:pt idx="22">
                  <c:v>0.72499999999999998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80E1-4649-B473-1078BC904F97}"/>
            </c:ext>
          </c:extLst>
        </c:ser>
        <c:ser>
          <c:idx val="100"/>
          <c:order val="100"/>
          <c:tx>
            <c:v>BES_TR8_six350_B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Charge_kW!$CY$2:$CY$49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1.6E-2</c:v>
                </c:pt>
                <c:pt idx="9">
                  <c:v>0.151</c:v>
                </c:pt>
                <c:pt idx="10">
                  <c:v>0.39700000000000002</c:v>
                </c:pt>
                <c:pt idx="11">
                  <c:v>0.70799999999999996</c:v>
                </c:pt>
                <c:pt idx="12">
                  <c:v>1.014</c:v>
                </c:pt>
                <c:pt idx="13">
                  <c:v>1.2470000000000001</c:v>
                </c:pt>
                <c:pt idx="14">
                  <c:v>1.3740000000000001</c:v>
                </c:pt>
                <c:pt idx="15">
                  <c:v>0.99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0.43600000000000011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80E1-4649-B473-1078BC904F97}"/>
            </c:ext>
          </c:extLst>
        </c:ser>
        <c:ser>
          <c:idx val="101"/>
          <c:order val="101"/>
          <c:tx>
            <c:v>BES_TR8_six365_C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Charge_kW!$CZ$2:$CZ$49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6.4000000000000001E-2</c:v>
                </c:pt>
                <c:pt idx="10">
                  <c:v>0.17899999999999999</c:v>
                </c:pt>
                <c:pt idx="11">
                  <c:v>0.31900000000000001</c:v>
                </c:pt>
                <c:pt idx="12">
                  <c:v>0.46</c:v>
                </c:pt>
                <c:pt idx="13">
                  <c:v>0.56599999999999995</c:v>
                </c:pt>
                <c:pt idx="14">
                  <c:v>0.78100000000000003</c:v>
                </c:pt>
                <c:pt idx="15">
                  <c:v>0.86199999999999999</c:v>
                </c:pt>
                <c:pt idx="16">
                  <c:v>1.08</c:v>
                </c:pt>
                <c:pt idx="17">
                  <c:v>1.052</c:v>
                </c:pt>
                <c:pt idx="18">
                  <c:v>0.76700000000000002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0.21</c:v>
                </c:pt>
                <c:pt idx="38">
                  <c:v>8.1000000000000003E-2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80E1-4649-B473-1078BC904F97}"/>
            </c:ext>
          </c:extLst>
        </c:ser>
        <c:ser>
          <c:idx val="102"/>
          <c:order val="102"/>
          <c:tx>
            <c:v>BES_TR8_six75_A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Charge_kW!$DA$2:$DA$49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0.17599999999999999</c:v>
                </c:pt>
                <c:pt idx="10">
                  <c:v>0.40400000000000003</c:v>
                </c:pt>
                <c:pt idx="11">
                  <c:v>0.68499999999999994</c:v>
                </c:pt>
                <c:pt idx="12">
                  <c:v>0.99099999999999988</c:v>
                </c:pt>
                <c:pt idx="13">
                  <c:v>1.262</c:v>
                </c:pt>
                <c:pt idx="14">
                  <c:v>1.464</c:v>
                </c:pt>
                <c:pt idx="15">
                  <c:v>0.38900000000000001</c:v>
                </c:pt>
                <c:pt idx="16">
                  <c:v>0.45300000000000001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80E1-4649-B473-1078BC904F97}"/>
            </c:ext>
          </c:extLst>
        </c:ser>
        <c:ser>
          <c:idx val="103"/>
          <c:order val="103"/>
          <c:tx>
            <c:v>BES_TR8_six385_B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Charge_kW!$DB$2:$DB$49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0.249</c:v>
                </c:pt>
                <c:pt idx="11">
                  <c:v>0.34599999999999997</c:v>
                </c:pt>
                <c:pt idx="12">
                  <c:v>0.57200000000000006</c:v>
                </c:pt>
                <c:pt idx="13">
                  <c:v>0.80999999999999994</c:v>
                </c:pt>
                <c:pt idx="14">
                  <c:v>0.92400000000000004</c:v>
                </c:pt>
                <c:pt idx="15">
                  <c:v>1.1519999999999999</c:v>
                </c:pt>
                <c:pt idx="16">
                  <c:v>1.3759999999999999</c:v>
                </c:pt>
                <c:pt idx="17">
                  <c:v>0.59299999999999997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80E1-4649-B473-1078BC904F97}"/>
            </c:ext>
          </c:extLst>
        </c:ser>
        <c:ser>
          <c:idx val="104"/>
          <c:order val="104"/>
          <c:tx>
            <c:v>BES_TR8_six431_C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Charge_kW!$DC$2:$DC$49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0.155</c:v>
                </c:pt>
                <c:pt idx="12">
                  <c:v>0.24</c:v>
                </c:pt>
                <c:pt idx="13">
                  <c:v>0.35399999999999998</c:v>
                </c:pt>
                <c:pt idx="14">
                  <c:v>0.439</c:v>
                </c:pt>
                <c:pt idx="15">
                  <c:v>0.61</c:v>
                </c:pt>
                <c:pt idx="16">
                  <c:v>0.64800000000000002</c:v>
                </c:pt>
                <c:pt idx="17">
                  <c:v>0.55000000000000004</c:v>
                </c:pt>
                <c:pt idx="18">
                  <c:v>0.70799999999999996</c:v>
                </c:pt>
                <c:pt idx="19">
                  <c:v>0</c:v>
                </c:pt>
                <c:pt idx="20">
                  <c:v>0.80699999999999994</c:v>
                </c:pt>
                <c:pt idx="21">
                  <c:v>0.94499999999999995</c:v>
                </c:pt>
                <c:pt idx="22">
                  <c:v>0.93700000000000006</c:v>
                </c:pt>
                <c:pt idx="23">
                  <c:v>1.0660000000000001</c:v>
                </c:pt>
                <c:pt idx="24">
                  <c:v>0.99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80E1-4649-B473-1078BC904F97}"/>
            </c:ext>
          </c:extLst>
        </c:ser>
        <c:ser>
          <c:idx val="105"/>
          <c:order val="105"/>
          <c:tx>
            <c:v>BES_TR8_six571_C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Charge_kW!$DD$2:$DD$49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7.3999999999999996E-2</c:v>
                </c:pt>
                <c:pt idx="10">
                  <c:v>0.12</c:v>
                </c:pt>
                <c:pt idx="11">
                  <c:v>0.32500000000000001</c:v>
                </c:pt>
                <c:pt idx="12">
                  <c:v>0.48199999999999998</c:v>
                </c:pt>
                <c:pt idx="13">
                  <c:v>0.63700000000000001</c:v>
                </c:pt>
                <c:pt idx="14">
                  <c:v>0.7380000000000001</c:v>
                </c:pt>
                <c:pt idx="15">
                  <c:v>0.88500000000000001</c:v>
                </c:pt>
                <c:pt idx="16">
                  <c:v>1.0900000000000001</c:v>
                </c:pt>
                <c:pt idx="17">
                  <c:v>1.226</c:v>
                </c:pt>
                <c:pt idx="18">
                  <c:v>0.28699999999999998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0.14199999999999999</c:v>
                </c:pt>
                <c:pt idx="39">
                  <c:v>1.2E-2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80E1-4649-B473-1078BC904F97}"/>
            </c:ext>
          </c:extLst>
        </c:ser>
        <c:ser>
          <c:idx val="106"/>
          <c:order val="106"/>
          <c:tx>
            <c:v>BES_TR8_six595_B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Charge_kW!$DE$2:$DE$49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0.06</c:v>
                </c:pt>
                <c:pt idx="10">
                  <c:v>0.17499999999999999</c:v>
                </c:pt>
                <c:pt idx="11">
                  <c:v>0.10299999999999999</c:v>
                </c:pt>
                <c:pt idx="12">
                  <c:v>0.45400000000000001</c:v>
                </c:pt>
                <c:pt idx="13">
                  <c:v>0.51800000000000002</c:v>
                </c:pt>
                <c:pt idx="14">
                  <c:v>0.65600000000000003</c:v>
                </c:pt>
                <c:pt idx="15">
                  <c:v>0.86799999999999999</c:v>
                </c:pt>
                <c:pt idx="16">
                  <c:v>0.72599999999999998</c:v>
                </c:pt>
                <c:pt idx="17">
                  <c:v>0</c:v>
                </c:pt>
                <c:pt idx="18">
                  <c:v>0</c:v>
                </c:pt>
                <c:pt idx="19">
                  <c:v>0.38900000000000001</c:v>
                </c:pt>
                <c:pt idx="20">
                  <c:v>1.514</c:v>
                </c:pt>
                <c:pt idx="21">
                  <c:v>1.421</c:v>
                </c:pt>
                <c:pt idx="22">
                  <c:v>1.575</c:v>
                </c:pt>
                <c:pt idx="23">
                  <c:v>8.6999999999999994E-2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0.25900000000000001</c:v>
                </c:pt>
                <c:pt idx="34">
                  <c:v>0.36699999999999999</c:v>
                </c:pt>
                <c:pt idx="35">
                  <c:v>0.222</c:v>
                </c:pt>
                <c:pt idx="36">
                  <c:v>0.03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80E1-4649-B473-1078BC904F97}"/>
            </c:ext>
          </c:extLst>
        </c:ser>
        <c:ser>
          <c:idx val="107"/>
          <c:order val="107"/>
          <c:tx>
            <c:v>BES_TR8_six643_A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Charge_kW!$DF$2:$DF$49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4.5000000000000012E-2</c:v>
                </c:pt>
                <c:pt idx="10">
                  <c:v>0.255</c:v>
                </c:pt>
                <c:pt idx="11">
                  <c:v>0.41299999999999998</c:v>
                </c:pt>
                <c:pt idx="12">
                  <c:v>0.85899999999999999</c:v>
                </c:pt>
                <c:pt idx="13">
                  <c:v>1.1160000000000001</c:v>
                </c:pt>
                <c:pt idx="14">
                  <c:v>1.097</c:v>
                </c:pt>
                <c:pt idx="15">
                  <c:v>1.67</c:v>
                </c:pt>
                <c:pt idx="16">
                  <c:v>1.786</c:v>
                </c:pt>
                <c:pt idx="17">
                  <c:v>0.72799999999999998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1.234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80E1-4649-B473-1078BC904F97}"/>
            </c:ext>
          </c:extLst>
        </c:ser>
        <c:ser>
          <c:idx val="108"/>
          <c:order val="108"/>
          <c:tx>
            <c:v>BES_TR8_six652_A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Charge_kW!$DG$2:$DG$49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8.6000000000000007E-2</c:v>
                </c:pt>
                <c:pt idx="10">
                  <c:v>0.34200000000000003</c:v>
                </c:pt>
                <c:pt idx="11">
                  <c:v>0.68400000000000005</c:v>
                </c:pt>
                <c:pt idx="12">
                  <c:v>0.91500000000000004</c:v>
                </c:pt>
                <c:pt idx="13">
                  <c:v>1.224</c:v>
                </c:pt>
                <c:pt idx="14">
                  <c:v>1.6080000000000001</c:v>
                </c:pt>
                <c:pt idx="15">
                  <c:v>1.478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0.219</c:v>
                </c:pt>
                <c:pt idx="25">
                  <c:v>0.67100000000000004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80E1-4649-B473-1078BC904F97}"/>
            </c:ext>
          </c:extLst>
        </c:ser>
        <c:ser>
          <c:idx val="109"/>
          <c:order val="109"/>
          <c:tx>
            <c:v>BES_TR8_six667_A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Charge_kW!$DH$2:$DH$49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0.16700000000000001</c:v>
                </c:pt>
                <c:pt idx="10">
                  <c:v>0.35599999999999998</c:v>
                </c:pt>
                <c:pt idx="11">
                  <c:v>0.69200000000000006</c:v>
                </c:pt>
                <c:pt idx="12">
                  <c:v>0.92699999999999994</c:v>
                </c:pt>
                <c:pt idx="13">
                  <c:v>1.3080000000000001</c:v>
                </c:pt>
                <c:pt idx="14">
                  <c:v>1.5449999999999999</c:v>
                </c:pt>
                <c:pt idx="15">
                  <c:v>1.1359999999999999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80E1-4649-B473-1078BC904F97}"/>
            </c:ext>
          </c:extLst>
        </c:ser>
        <c:ser>
          <c:idx val="110"/>
          <c:order val="110"/>
          <c:tx>
            <c:v>BES_TR8_six699_C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Charge_kW!$DI$2:$DI$49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0.249</c:v>
                </c:pt>
                <c:pt idx="11">
                  <c:v>0.43099999999999999</c:v>
                </c:pt>
                <c:pt idx="12">
                  <c:v>0.80599999999999994</c:v>
                </c:pt>
                <c:pt idx="13">
                  <c:v>1.036</c:v>
                </c:pt>
                <c:pt idx="14">
                  <c:v>1.1719999999999999</c:v>
                </c:pt>
                <c:pt idx="15">
                  <c:v>1.611</c:v>
                </c:pt>
                <c:pt idx="16">
                  <c:v>1.0489999999999999</c:v>
                </c:pt>
                <c:pt idx="17">
                  <c:v>0.96699999999999997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80E1-4649-B473-1078BC904F97}"/>
            </c:ext>
          </c:extLst>
        </c:ser>
        <c:ser>
          <c:idx val="111"/>
          <c:order val="111"/>
          <c:tx>
            <c:v>BES_TR8_six723_B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Charge_kW!$DJ$2:$DJ$49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0.34100000000000003</c:v>
                </c:pt>
                <c:pt idx="11">
                  <c:v>0.68499999999999994</c:v>
                </c:pt>
                <c:pt idx="12">
                  <c:v>0.83399999999999996</c:v>
                </c:pt>
                <c:pt idx="13">
                  <c:v>1.131</c:v>
                </c:pt>
                <c:pt idx="14">
                  <c:v>1.4770000000000001</c:v>
                </c:pt>
                <c:pt idx="15">
                  <c:v>1.8620000000000001</c:v>
                </c:pt>
                <c:pt idx="16">
                  <c:v>1.044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80E1-4649-B473-1078BC904F97}"/>
            </c:ext>
          </c:extLst>
        </c:ser>
        <c:ser>
          <c:idx val="112"/>
          <c:order val="112"/>
          <c:tx>
            <c:v>BES_TR8_six740_A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Charge_kW!$DK$2:$DK$49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9.4E-2</c:v>
                </c:pt>
                <c:pt idx="10">
                  <c:v>0.35</c:v>
                </c:pt>
                <c:pt idx="11">
                  <c:v>0.48499999999999999</c:v>
                </c:pt>
                <c:pt idx="12">
                  <c:v>0.8630000000000001</c:v>
                </c:pt>
                <c:pt idx="13">
                  <c:v>1.1339999999999999</c:v>
                </c:pt>
                <c:pt idx="14">
                  <c:v>1.0580000000000001</c:v>
                </c:pt>
                <c:pt idx="15">
                  <c:v>1.462</c:v>
                </c:pt>
                <c:pt idx="16">
                  <c:v>0.77399999999999991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80E1-4649-B473-1078BC904F97}"/>
            </c:ext>
          </c:extLst>
        </c:ser>
        <c:ser>
          <c:idx val="113"/>
          <c:order val="113"/>
          <c:tx>
            <c:v>BES_TR8_six90_B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Charge_kW!$DL$2:$DL$49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0.114</c:v>
                </c:pt>
                <c:pt idx="10">
                  <c:v>0.28599999999999998</c:v>
                </c:pt>
                <c:pt idx="11">
                  <c:v>0.496</c:v>
                </c:pt>
                <c:pt idx="12">
                  <c:v>0.72599999999999998</c:v>
                </c:pt>
                <c:pt idx="13">
                  <c:v>0.95799999999999996</c:v>
                </c:pt>
                <c:pt idx="14">
                  <c:v>1.1890000000000001</c:v>
                </c:pt>
                <c:pt idx="15">
                  <c:v>1.421</c:v>
                </c:pt>
                <c:pt idx="16">
                  <c:v>1.359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80E1-4649-B473-1078BC904F97}"/>
            </c:ext>
          </c:extLst>
        </c:ser>
        <c:ser>
          <c:idx val="114"/>
          <c:order val="114"/>
          <c:tx>
            <c:v>BES_TR8_six801_C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Charge_kW!$DM$2:$DM$49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8.0000000000000002E-3</c:v>
                </c:pt>
                <c:pt idx="9">
                  <c:v>2.1999999999999999E-2</c:v>
                </c:pt>
                <c:pt idx="10">
                  <c:v>0.34899999999999998</c:v>
                </c:pt>
                <c:pt idx="11">
                  <c:v>0.60799999999999998</c:v>
                </c:pt>
                <c:pt idx="12">
                  <c:v>0.89300000000000002</c:v>
                </c:pt>
                <c:pt idx="13">
                  <c:v>1.2210000000000001</c:v>
                </c:pt>
                <c:pt idx="14">
                  <c:v>1.5149999999999999</c:v>
                </c:pt>
                <c:pt idx="15">
                  <c:v>1.7050000000000001</c:v>
                </c:pt>
                <c:pt idx="16">
                  <c:v>3.2000000000000001E-2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80E1-4649-B473-1078BC904F97}"/>
            </c:ext>
          </c:extLst>
        </c:ser>
        <c:ser>
          <c:idx val="115"/>
          <c:order val="115"/>
          <c:tx>
            <c:v>BES_TR8_six807_A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Charge_kW!$DN$2:$DN$49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0.152</c:v>
                </c:pt>
                <c:pt idx="10">
                  <c:v>0.30299999999999999</c:v>
                </c:pt>
                <c:pt idx="11">
                  <c:v>0.70799999999999996</c:v>
                </c:pt>
                <c:pt idx="12">
                  <c:v>1.014</c:v>
                </c:pt>
                <c:pt idx="13">
                  <c:v>1.1519999999999999</c:v>
                </c:pt>
                <c:pt idx="14">
                  <c:v>1.6319999999999999</c:v>
                </c:pt>
                <c:pt idx="15">
                  <c:v>1.014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80E1-4649-B473-1078BC904F97}"/>
            </c:ext>
          </c:extLst>
        </c:ser>
        <c:ser>
          <c:idx val="116"/>
          <c:order val="116"/>
          <c:tx>
            <c:v>BES_TR8_six844_C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Charge_kW!$DO$2:$DO$49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0.17299999999999999</c:v>
                </c:pt>
                <c:pt idx="10">
                  <c:v>0.30099999999999999</c:v>
                </c:pt>
                <c:pt idx="11">
                  <c:v>0.55699999999999994</c:v>
                </c:pt>
                <c:pt idx="12">
                  <c:v>1.01</c:v>
                </c:pt>
                <c:pt idx="13">
                  <c:v>1.2190000000000001</c:v>
                </c:pt>
                <c:pt idx="14">
                  <c:v>1.4590000000000001</c:v>
                </c:pt>
                <c:pt idx="15">
                  <c:v>1.899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80E1-4649-B473-1078BC904F97}"/>
            </c:ext>
          </c:extLst>
        </c:ser>
        <c:ser>
          <c:idx val="117"/>
          <c:order val="117"/>
          <c:tx>
            <c:v>BES_TR8_six860_C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Charge_kW!$DP$2:$DP$49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3.1E-2</c:v>
                </c:pt>
                <c:pt idx="10">
                  <c:v>0.21299999999999999</c:v>
                </c:pt>
                <c:pt idx="11">
                  <c:v>0.217</c:v>
                </c:pt>
                <c:pt idx="12">
                  <c:v>0.56899999999999995</c:v>
                </c:pt>
                <c:pt idx="13">
                  <c:v>0.76300000000000001</c:v>
                </c:pt>
                <c:pt idx="14">
                  <c:v>0.77500000000000002</c:v>
                </c:pt>
                <c:pt idx="15">
                  <c:v>1.179</c:v>
                </c:pt>
                <c:pt idx="16">
                  <c:v>1.1879999999999999</c:v>
                </c:pt>
                <c:pt idx="17">
                  <c:v>1.1519999999999999</c:v>
                </c:pt>
                <c:pt idx="18">
                  <c:v>0.75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1.7999999999999999E-2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0.79600000000000004</c:v>
                </c:pt>
                <c:pt idx="32">
                  <c:v>2.1999999999999999E-2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1.2E-2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80E1-4649-B473-1078BC904F97}"/>
            </c:ext>
          </c:extLst>
        </c:ser>
        <c:ser>
          <c:idx val="118"/>
          <c:order val="118"/>
          <c:tx>
            <c:v>BES_TR8_six909_C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Charge_kW!$DQ$2:$DQ$49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9.8000000000000004E-2</c:v>
                </c:pt>
                <c:pt idx="10">
                  <c:v>0.24099999999999999</c:v>
                </c:pt>
                <c:pt idx="11">
                  <c:v>0.32700000000000001</c:v>
                </c:pt>
                <c:pt idx="12">
                  <c:v>0.49399999999999999</c:v>
                </c:pt>
                <c:pt idx="13">
                  <c:v>0.80199999999999994</c:v>
                </c:pt>
                <c:pt idx="14">
                  <c:v>0.92199999999999993</c:v>
                </c:pt>
                <c:pt idx="15">
                  <c:v>1.0660000000000001</c:v>
                </c:pt>
                <c:pt idx="16">
                  <c:v>1.3380000000000001</c:v>
                </c:pt>
                <c:pt idx="17">
                  <c:v>1.2450000000000001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80E1-4649-B473-1078BC904F97}"/>
            </c:ext>
          </c:extLst>
        </c:ser>
        <c:ser>
          <c:idx val="119"/>
          <c:order val="119"/>
          <c:tx>
            <c:v>BES_TR8_six914_A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Charge_kW!$DR$2:$DR$49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2E-3</c:v>
                </c:pt>
                <c:pt idx="9">
                  <c:v>0.185</c:v>
                </c:pt>
                <c:pt idx="10">
                  <c:v>0.26100000000000001</c:v>
                </c:pt>
                <c:pt idx="11">
                  <c:v>0.69399999999999995</c:v>
                </c:pt>
                <c:pt idx="12">
                  <c:v>0.88300000000000001</c:v>
                </c:pt>
                <c:pt idx="13">
                  <c:v>1.2749999999999999</c:v>
                </c:pt>
                <c:pt idx="14">
                  <c:v>1.542</c:v>
                </c:pt>
                <c:pt idx="15">
                  <c:v>1.851</c:v>
                </c:pt>
                <c:pt idx="16">
                  <c:v>1.2769999999999999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80E1-4649-B473-1078BC904F97}"/>
            </c:ext>
          </c:extLst>
        </c:ser>
        <c:ser>
          <c:idx val="120"/>
          <c:order val="120"/>
          <c:tx>
            <c:v>BES_TR8_six111_C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Charge_kW!$DS$2:$DS$49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0.08</c:v>
                </c:pt>
                <c:pt idx="10">
                  <c:v>0.14599999999999999</c:v>
                </c:pt>
                <c:pt idx="11">
                  <c:v>0.24399999999999999</c:v>
                </c:pt>
                <c:pt idx="12">
                  <c:v>0.495</c:v>
                </c:pt>
                <c:pt idx="13">
                  <c:v>0.496</c:v>
                </c:pt>
                <c:pt idx="14">
                  <c:v>0.80400000000000005</c:v>
                </c:pt>
                <c:pt idx="15">
                  <c:v>0.93</c:v>
                </c:pt>
                <c:pt idx="16">
                  <c:v>0.97699999999999998</c:v>
                </c:pt>
                <c:pt idx="17">
                  <c:v>1.2390000000000001</c:v>
                </c:pt>
                <c:pt idx="18">
                  <c:v>1.355</c:v>
                </c:pt>
                <c:pt idx="19">
                  <c:v>1.2030000000000001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80E1-4649-B473-1078BC904F97}"/>
            </c:ext>
          </c:extLst>
        </c:ser>
        <c:ser>
          <c:idx val="121"/>
          <c:order val="121"/>
          <c:tx>
            <c:v>BES_TR8_six1006_C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Charge_kW!$DT$2:$DT$49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0.17899999999999999</c:v>
                </c:pt>
                <c:pt idx="11">
                  <c:v>0.31900000000000001</c:v>
                </c:pt>
                <c:pt idx="12">
                  <c:v>0.318</c:v>
                </c:pt>
                <c:pt idx="13">
                  <c:v>0</c:v>
                </c:pt>
                <c:pt idx="14">
                  <c:v>7.1000000000000008E-2</c:v>
                </c:pt>
                <c:pt idx="15">
                  <c:v>0.34599999999999997</c:v>
                </c:pt>
                <c:pt idx="16">
                  <c:v>0.69599999999999995</c:v>
                </c:pt>
                <c:pt idx="17">
                  <c:v>0.871</c:v>
                </c:pt>
                <c:pt idx="18">
                  <c:v>1.1319999999999999</c:v>
                </c:pt>
                <c:pt idx="19">
                  <c:v>1.1140000000000001</c:v>
                </c:pt>
                <c:pt idx="20">
                  <c:v>7.4999999999999997E-2</c:v>
                </c:pt>
                <c:pt idx="21">
                  <c:v>1.423</c:v>
                </c:pt>
                <c:pt idx="22">
                  <c:v>0.67500000000000004</c:v>
                </c:pt>
                <c:pt idx="23">
                  <c:v>0</c:v>
                </c:pt>
                <c:pt idx="24">
                  <c:v>0.185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6.7000000000000004E-2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80E1-4649-B473-1078BC904F97}"/>
            </c:ext>
          </c:extLst>
        </c:ser>
        <c:ser>
          <c:idx val="122"/>
          <c:order val="122"/>
          <c:tx>
            <c:v>BES_TR8_six1020_A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Charge_kW!$DU$2:$DU$49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6.0999999999999999E-2</c:v>
                </c:pt>
                <c:pt idx="10">
                  <c:v>0.113</c:v>
                </c:pt>
                <c:pt idx="11">
                  <c:v>0.253</c:v>
                </c:pt>
                <c:pt idx="12">
                  <c:v>0.46899999999999997</c:v>
                </c:pt>
                <c:pt idx="13">
                  <c:v>0.624</c:v>
                </c:pt>
                <c:pt idx="14">
                  <c:v>0.68400000000000005</c:v>
                </c:pt>
                <c:pt idx="15">
                  <c:v>0.90100000000000002</c:v>
                </c:pt>
                <c:pt idx="16">
                  <c:v>0.89899999999999991</c:v>
                </c:pt>
                <c:pt idx="17">
                  <c:v>1.014</c:v>
                </c:pt>
                <c:pt idx="18">
                  <c:v>0.72099999999999997</c:v>
                </c:pt>
                <c:pt idx="19">
                  <c:v>0.50900000000000001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0.753</c:v>
                </c:pt>
                <c:pt idx="34">
                  <c:v>0.71500000000000008</c:v>
                </c:pt>
                <c:pt idx="35">
                  <c:v>0.55800000000000005</c:v>
                </c:pt>
                <c:pt idx="36">
                  <c:v>0.32500000000000001</c:v>
                </c:pt>
                <c:pt idx="37">
                  <c:v>0.217</c:v>
                </c:pt>
                <c:pt idx="38">
                  <c:v>0.129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80E1-4649-B473-1078BC904F97}"/>
            </c:ext>
          </c:extLst>
        </c:ser>
        <c:ser>
          <c:idx val="123"/>
          <c:order val="123"/>
          <c:tx>
            <c:v>BES_TR8_six1064_C</c:v>
          </c:tx>
          <c:spPr>
            <a:ln w="3810">
              <a:solidFill>
                <a:srgbClr val="D7DDE3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Charge_kW!$DV$2:$DV$49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1.0999999999999999E-2</c:v>
                </c:pt>
                <c:pt idx="12">
                  <c:v>0.151</c:v>
                </c:pt>
                <c:pt idx="13">
                  <c:v>0.1</c:v>
                </c:pt>
                <c:pt idx="14">
                  <c:v>0.34200000000000003</c:v>
                </c:pt>
                <c:pt idx="15">
                  <c:v>0.20899999999999999</c:v>
                </c:pt>
                <c:pt idx="16">
                  <c:v>0.317</c:v>
                </c:pt>
                <c:pt idx="17">
                  <c:v>0.126</c:v>
                </c:pt>
                <c:pt idx="18">
                  <c:v>0</c:v>
                </c:pt>
                <c:pt idx="19">
                  <c:v>0.39800000000000002</c:v>
                </c:pt>
                <c:pt idx="20">
                  <c:v>0.35799999999999998</c:v>
                </c:pt>
                <c:pt idx="21">
                  <c:v>0.28299999999999997</c:v>
                </c:pt>
                <c:pt idx="22">
                  <c:v>0.37</c:v>
                </c:pt>
                <c:pt idx="23">
                  <c:v>0.218</c:v>
                </c:pt>
                <c:pt idx="24">
                  <c:v>0</c:v>
                </c:pt>
                <c:pt idx="25">
                  <c:v>0.43099999999999999</c:v>
                </c:pt>
                <c:pt idx="26">
                  <c:v>0.72299999999999998</c:v>
                </c:pt>
                <c:pt idx="27">
                  <c:v>0.27700000000000002</c:v>
                </c:pt>
                <c:pt idx="28">
                  <c:v>0.65799999999999992</c:v>
                </c:pt>
                <c:pt idx="29">
                  <c:v>0.36299999999999999</c:v>
                </c:pt>
                <c:pt idx="30">
                  <c:v>0.32100000000000001</c:v>
                </c:pt>
                <c:pt idx="31">
                  <c:v>3.1E-2</c:v>
                </c:pt>
                <c:pt idx="32">
                  <c:v>6.0999999999999999E-2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0.157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80E1-4649-B473-1078BC904F97}"/>
            </c:ext>
          </c:extLst>
        </c:ser>
        <c:ser>
          <c:idx val="124"/>
          <c:order val="124"/>
          <c:tx>
            <c:v>fleet average</c:v>
          </c:tx>
          <c:spPr>
            <a:ln w="28575">
              <a:solidFill>
                <a:srgbClr val="19A974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ChartData!$W$2:$W$49</c:f>
              <c:numCache>
                <c:formatCode>#,##0.000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3.1451612903225811E-4</c:v>
                </c:pt>
                <c:pt idx="9">
                  <c:v>8.3451612903225794E-2</c:v>
                </c:pt>
                <c:pt idx="10">
                  <c:v>0.24564516129032257</c:v>
                </c:pt>
                <c:pt idx="11">
                  <c:v>0.46278225806451606</c:v>
                </c:pt>
                <c:pt idx="12">
                  <c:v>0.69041129032258031</c:v>
                </c:pt>
                <c:pt idx="13">
                  <c:v>0.9039435483870969</c:v>
                </c:pt>
                <c:pt idx="14">
                  <c:v>1.1330241935483871</c:v>
                </c:pt>
                <c:pt idx="15">
                  <c:v>1.234475806451613</c:v>
                </c:pt>
                <c:pt idx="16">
                  <c:v>0.71991129032258061</c:v>
                </c:pt>
                <c:pt idx="17">
                  <c:v>0.38551612903225796</c:v>
                </c:pt>
                <c:pt idx="18">
                  <c:v>0.25962903225806455</c:v>
                </c:pt>
                <c:pt idx="19">
                  <c:v>0.19473387096774186</c:v>
                </c:pt>
                <c:pt idx="20">
                  <c:v>0.11648387096774195</c:v>
                </c:pt>
                <c:pt idx="21">
                  <c:v>6.9266129032258067E-2</c:v>
                </c:pt>
                <c:pt idx="22">
                  <c:v>7.8475806451612909E-2</c:v>
                </c:pt>
                <c:pt idx="23">
                  <c:v>4.4693548387096771E-2</c:v>
                </c:pt>
                <c:pt idx="24">
                  <c:v>5.3387096774193551E-2</c:v>
                </c:pt>
                <c:pt idx="25">
                  <c:v>3.7967741935483863E-2</c:v>
                </c:pt>
                <c:pt idx="26">
                  <c:v>3.6782258064516127E-2</c:v>
                </c:pt>
                <c:pt idx="27">
                  <c:v>1.4870967741935482E-2</c:v>
                </c:pt>
                <c:pt idx="28">
                  <c:v>1.5548387096774193E-2</c:v>
                </c:pt>
                <c:pt idx="29">
                  <c:v>3.1258064516129037E-2</c:v>
                </c:pt>
                <c:pt idx="30">
                  <c:v>1.7217741935483873E-2</c:v>
                </c:pt>
                <c:pt idx="31">
                  <c:v>3.558870967741936E-2</c:v>
                </c:pt>
                <c:pt idx="32">
                  <c:v>1.0951612903225808E-2</c:v>
                </c:pt>
                <c:pt idx="33">
                  <c:v>1.9548387096774193E-2</c:v>
                </c:pt>
                <c:pt idx="34">
                  <c:v>1.6459677419354841E-2</c:v>
                </c:pt>
                <c:pt idx="35">
                  <c:v>6.5887096774193557E-3</c:v>
                </c:pt>
                <c:pt idx="36">
                  <c:v>1.204032258064516E-2</c:v>
                </c:pt>
                <c:pt idx="37">
                  <c:v>1.0508064516129033E-2</c:v>
                </c:pt>
                <c:pt idx="38">
                  <c:v>5.1854838709677418E-3</c:v>
                </c:pt>
                <c:pt idx="39">
                  <c:v>4.1935483870967743E-4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80E1-4649-B473-1078BC904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Hour of day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2.8"/>
          <c:min val="-0.1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Charging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 sz="900"/>
              <a:t>Battery discharging per prosumer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BES_TR8_one223_B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Discharge_kW!$C$2:$C$49</c:f>
              <c:numCache>
                <c:formatCode>#,##0.000</c:formatCode>
                <c:ptCount val="48"/>
                <c:pt idx="0">
                  <c:v>9.8000000000000004E-2</c:v>
                </c:pt>
                <c:pt idx="1">
                  <c:v>4.2999999999999997E-2</c:v>
                </c:pt>
                <c:pt idx="2">
                  <c:v>0.18</c:v>
                </c:pt>
                <c:pt idx="3">
                  <c:v>4.2999999999999997E-2</c:v>
                </c:pt>
                <c:pt idx="4">
                  <c:v>0.05</c:v>
                </c:pt>
                <c:pt idx="5">
                  <c:v>0.17299999999999999</c:v>
                </c:pt>
                <c:pt idx="6">
                  <c:v>4.2999999999999997E-2</c:v>
                </c:pt>
                <c:pt idx="7">
                  <c:v>0.11700000000000001</c:v>
                </c:pt>
                <c:pt idx="8">
                  <c:v>0.08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0.17</c:v>
                </c:pt>
                <c:pt idx="41">
                  <c:v>4.2999999999999997E-2</c:v>
                </c:pt>
                <c:pt idx="42">
                  <c:v>0.16700000000000001</c:v>
                </c:pt>
                <c:pt idx="43">
                  <c:v>5.7000000000000002E-2</c:v>
                </c:pt>
                <c:pt idx="44">
                  <c:v>0.28299999999999997</c:v>
                </c:pt>
                <c:pt idx="45">
                  <c:v>1.8169999999999999</c:v>
                </c:pt>
                <c:pt idx="46">
                  <c:v>0.56400000000000006</c:v>
                </c:pt>
                <c:pt idx="47">
                  <c:v>0.69300000000000006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5E-4534-A86E-CF78270D6413}"/>
            </c:ext>
          </c:extLst>
        </c:ser>
        <c:ser>
          <c:idx val="1"/>
          <c:order val="1"/>
          <c:tx>
            <c:v>BES_TR8_one252_C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Discharge_kW!$D$2:$D$49</c:f>
              <c:numCache>
                <c:formatCode>#,##0.000</c:formatCode>
                <c:ptCount val="48"/>
                <c:pt idx="0">
                  <c:v>4.9000000000000002E-2</c:v>
                </c:pt>
                <c:pt idx="1">
                  <c:v>0.23899999999999999</c:v>
                </c:pt>
                <c:pt idx="2">
                  <c:v>4.9000000000000002E-2</c:v>
                </c:pt>
                <c:pt idx="3">
                  <c:v>0.20399999999999999</c:v>
                </c:pt>
                <c:pt idx="4">
                  <c:v>8.3000000000000004E-2</c:v>
                </c:pt>
                <c:pt idx="5">
                  <c:v>4.9000000000000002E-2</c:v>
                </c:pt>
                <c:pt idx="6">
                  <c:v>0.13500000000000001</c:v>
                </c:pt>
                <c:pt idx="7">
                  <c:v>0.15</c:v>
                </c:pt>
                <c:pt idx="8">
                  <c:v>1.7999999999999999E-2</c:v>
                </c:pt>
                <c:pt idx="9">
                  <c:v>9.2999999999999999E-2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0.218</c:v>
                </c:pt>
                <c:pt idx="41">
                  <c:v>4.9000000000000002E-2</c:v>
                </c:pt>
                <c:pt idx="42">
                  <c:v>0.20399999999999999</c:v>
                </c:pt>
                <c:pt idx="43">
                  <c:v>8.3000000000000004E-2</c:v>
                </c:pt>
                <c:pt idx="44">
                  <c:v>4.9000000000000002E-2</c:v>
                </c:pt>
                <c:pt idx="45">
                  <c:v>4.9000000000000002E-2</c:v>
                </c:pt>
                <c:pt idx="46">
                  <c:v>0.23899999999999999</c:v>
                </c:pt>
                <c:pt idx="47">
                  <c:v>4.9000000000000002E-2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75E-4534-A86E-CF78270D6413}"/>
            </c:ext>
          </c:extLst>
        </c:ser>
        <c:ser>
          <c:idx val="2"/>
          <c:order val="2"/>
          <c:tx>
            <c:v>BES_TR8_one280_A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Discharge_kW!$E$2:$E$49</c:f>
              <c:numCache>
                <c:formatCode>#,##0.000</c:formatCode>
                <c:ptCount val="48"/>
                <c:pt idx="0">
                  <c:v>5.5E-2</c:v>
                </c:pt>
                <c:pt idx="1">
                  <c:v>0.126</c:v>
                </c:pt>
                <c:pt idx="2">
                  <c:v>6.3E-2</c:v>
                </c:pt>
                <c:pt idx="3">
                  <c:v>5.0999999999999997E-2</c:v>
                </c:pt>
                <c:pt idx="4">
                  <c:v>5.0999999999999997E-2</c:v>
                </c:pt>
                <c:pt idx="5">
                  <c:v>5.0999999999999997E-2</c:v>
                </c:pt>
                <c:pt idx="6">
                  <c:v>5.0999999999999997E-2</c:v>
                </c:pt>
                <c:pt idx="7">
                  <c:v>4.9000000000000002E-2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3.9E-2</c:v>
                </c:pt>
                <c:pt idx="41">
                  <c:v>5.0999999999999997E-2</c:v>
                </c:pt>
                <c:pt idx="42">
                  <c:v>5.0999999999999997E-2</c:v>
                </c:pt>
                <c:pt idx="43">
                  <c:v>0.10199999999999999</c:v>
                </c:pt>
                <c:pt idx="44">
                  <c:v>5.0999999999999997E-2</c:v>
                </c:pt>
                <c:pt idx="45">
                  <c:v>5.0999999999999997E-2</c:v>
                </c:pt>
                <c:pt idx="46">
                  <c:v>5.0999999999999997E-2</c:v>
                </c:pt>
                <c:pt idx="47">
                  <c:v>5.0999999999999997E-2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75E-4534-A86E-CF78270D6413}"/>
            </c:ext>
          </c:extLst>
        </c:ser>
        <c:ser>
          <c:idx val="3"/>
          <c:order val="3"/>
          <c:tx>
            <c:v>BES_TR8_one313_A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Discharge_kW!$F$2:$F$49</c:f>
              <c:numCache>
                <c:formatCode>#,##0.000</c:formatCode>
                <c:ptCount val="48"/>
                <c:pt idx="0">
                  <c:v>5.8999999999999997E-2</c:v>
                </c:pt>
                <c:pt idx="1">
                  <c:v>5.8999999999999997E-2</c:v>
                </c:pt>
                <c:pt idx="2">
                  <c:v>5.8999999999999997E-2</c:v>
                </c:pt>
                <c:pt idx="3">
                  <c:v>5.8999999999999997E-2</c:v>
                </c:pt>
                <c:pt idx="4">
                  <c:v>5.8999999999999997E-2</c:v>
                </c:pt>
                <c:pt idx="5">
                  <c:v>5.8999999999999997E-2</c:v>
                </c:pt>
                <c:pt idx="6">
                  <c:v>5.8999999999999997E-2</c:v>
                </c:pt>
                <c:pt idx="7">
                  <c:v>5.7000000000000002E-2</c:v>
                </c:pt>
                <c:pt idx="8">
                  <c:v>3.4000000000000002E-2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0.34100000000000003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0.373</c:v>
                </c:pt>
                <c:pt idx="23">
                  <c:v>2.9260000000000002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0.17100000000000001</c:v>
                </c:pt>
                <c:pt idx="40">
                  <c:v>0.65300000000000002</c:v>
                </c:pt>
                <c:pt idx="41">
                  <c:v>0.621</c:v>
                </c:pt>
                <c:pt idx="42">
                  <c:v>0.58699999999999997</c:v>
                </c:pt>
                <c:pt idx="43">
                  <c:v>0.55099999999999993</c:v>
                </c:pt>
                <c:pt idx="44">
                  <c:v>5.8999999999999997E-2</c:v>
                </c:pt>
                <c:pt idx="45">
                  <c:v>5.8999999999999997E-2</c:v>
                </c:pt>
                <c:pt idx="46">
                  <c:v>5.8999999999999997E-2</c:v>
                </c:pt>
                <c:pt idx="47">
                  <c:v>5.8999999999999997E-2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75E-4534-A86E-CF78270D6413}"/>
            </c:ext>
          </c:extLst>
        </c:ser>
        <c:ser>
          <c:idx val="4"/>
          <c:order val="4"/>
          <c:tx>
            <c:v>BES_TR8_one321_C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Discharge_kW!$G$2:$G$49</c:f>
              <c:numCache>
                <c:formatCode>#,##0.000</c:formatCode>
                <c:ptCount val="48"/>
                <c:pt idx="0">
                  <c:v>4.7E-2</c:v>
                </c:pt>
                <c:pt idx="1">
                  <c:v>4.7E-2</c:v>
                </c:pt>
                <c:pt idx="2">
                  <c:v>4.7E-2</c:v>
                </c:pt>
                <c:pt idx="3">
                  <c:v>4.7E-2</c:v>
                </c:pt>
                <c:pt idx="4">
                  <c:v>4.7E-2</c:v>
                </c:pt>
                <c:pt idx="5">
                  <c:v>4.7E-2</c:v>
                </c:pt>
                <c:pt idx="6">
                  <c:v>4.7E-2</c:v>
                </c:pt>
                <c:pt idx="7">
                  <c:v>1.33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0.33700000000000002</c:v>
                </c:pt>
                <c:pt idx="41">
                  <c:v>0.214</c:v>
                </c:pt>
                <c:pt idx="42">
                  <c:v>0.35099999999999998</c:v>
                </c:pt>
                <c:pt idx="43">
                  <c:v>0.53100000000000003</c:v>
                </c:pt>
                <c:pt idx="44">
                  <c:v>0.35799999999999998</c:v>
                </c:pt>
                <c:pt idx="45">
                  <c:v>4.7E-2</c:v>
                </c:pt>
                <c:pt idx="46">
                  <c:v>4.7E-2</c:v>
                </c:pt>
                <c:pt idx="47">
                  <c:v>4.7E-2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5E-4534-A86E-CF78270D6413}"/>
            </c:ext>
          </c:extLst>
        </c:ser>
        <c:ser>
          <c:idx val="5"/>
          <c:order val="5"/>
          <c:tx>
            <c:v>BES_TR8_one345_A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Discharge_kW!$H$2:$H$49</c:f>
              <c:numCache>
                <c:formatCode>#,##0.000</c:formatCode>
                <c:ptCount val="48"/>
                <c:pt idx="0">
                  <c:v>0.15</c:v>
                </c:pt>
                <c:pt idx="1">
                  <c:v>0.108</c:v>
                </c:pt>
                <c:pt idx="2">
                  <c:v>9.8000000000000004E-2</c:v>
                </c:pt>
                <c:pt idx="3">
                  <c:v>0.108</c:v>
                </c:pt>
                <c:pt idx="4">
                  <c:v>0.156</c:v>
                </c:pt>
                <c:pt idx="5">
                  <c:v>0.20599999999999999</c:v>
                </c:pt>
                <c:pt idx="6">
                  <c:v>5.0999999999999997E-2</c:v>
                </c:pt>
                <c:pt idx="7">
                  <c:v>0.307</c:v>
                </c:pt>
                <c:pt idx="8">
                  <c:v>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0.21199999999999999</c:v>
                </c:pt>
                <c:pt idx="40">
                  <c:v>0.52800000000000002</c:v>
                </c:pt>
                <c:pt idx="41">
                  <c:v>2.0550000000000002</c:v>
                </c:pt>
                <c:pt idx="42">
                  <c:v>0.30399999999999999</c:v>
                </c:pt>
                <c:pt idx="43">
                  <c:v>0.34499999999999997</c:v>
                </c:pt>
                <c:pt idx="44">
                  <c:v>0.23499999999999999</c:v>
                </c:pt>
                <c:pt idx="45">
                  <c:v>0.17599999999999999</c:v>
                </c:pt>
                <c:pt idx="46">
                  <c:v>0.108</c:v>
                </c:pt>
                <c:pt idx="47">
                  <c:v>5.0999999999999997E-2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5E-4534-A86E-CF78270D6413}"/>
            </c:ext>
          </c:extLst>
        </c:ser>
        <c:ser>
          <c:idx val="6"/>
          <c:order val="6"/>
          <c:tx>
            <c:v>BES_TR8_one375_C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Discharge_kW!$I$2:$I$49</c:f>
              <c:numCache>
                <c:formatCode>#,##0.000</c:formatCode>
                <c:ptCount val="48"/>
                <c:pt idx="0">
                  <c:v>0.13200000000000001</c:v>
                </c:pt>
                <c:pt idx="1">
                  <c:v>0.24399999999999999</c:v>
                </c:pt>
                <c:pt idx="2">
                  <c:v>5.2999999999999999E-2</c:v>
                </c:pt>
                <c:pt idx="3">
                  <c:v>0.18099999999999999</c:v>
                </c:pt>
                <c:pt idx="4">
                  <c:v>0.19400000000000001</c:v>
                </c:pt>
                <c:pt idx="5">
                  <c:v>5.7000000000000002E-2</c:v>
                </c:pt>
                <c:pt idx="6">
                  <c:v>0.11899999999999999</c:v>
                </c:pt>
                <c:pt idx="7">
                  <c:v>0.249</c:v>
                </c:pt>
                <c:pt idx="8">
                  <c:v>3.0000000000000001E-3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0.42799999999999999</c:v>
                </c:pt>
                <c:pt idx="40">
                  <c:v>0.47199999999999998</c:v>
                </c:pt>
                <c:pt idx="41">
                  <c:v>2.5089999999999999</c:v>
                </c:pt>
                <c:pt idx="42">
                  <c:v>0.84599999999999997</c:v>
                </c:pt>
                <c:pt idx="43">
                  <c:v>0.46400000000000002</c:v>
                </c:pt>
                <c:pt idx="44">
                  <c:v>0.56200000000000006</c:v>
                </c:pt>
                <c:pt idx="45">
                  <c:v>0.34100000000000003</c:v>
                </c:pt>
                <c:pt idx="46">
                  <c:v>0.61199999999999999</c:v>
                </c:pt>
                <c:pt idx="47">
                  <c:v>0.191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75E-4534-A86E-CF78270D6413}"/>
            </c:ext>
          </c:extLst>
        </c:ser>
        <c:ser>
          <c:idx val="7"/>
          <c:order val="7"/>
          <c:tx>
            <c:v>BES_TR8_one410_B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Discharge_kW!$J$2:$J$49</c:f>
              <c:numCache>
                <c:formatCode>#,##0.000</c:formatCode>
                <c:ptCount val="48"/>
                <c:pt idx="0">
                  <c:v>0.255</c:v>
                </c:pt>
                <c:pt idx="1">
                  <c:v>3.1E-2</c:v>
                </c:pt>
                <c:pt idx="2">
                  <c:v>3.1E-2</c:v>
                </c:pt>
                <c:pt idx="3">
                  <c:v>0.16800000000000001</c:v>
                </c:pt>
                <c:pt idx="4">
                  <c:v>0.14199999999999999</c:v>
                </c:pt>
                <c:pt idx="5">
                  <c:v>0.106</c:v>
                </c:pt>
                <c:pt idx="6">
                  <c:v>0.125</c:v>
                </c:pt>
                <c:pt idx="7">
                  <c:v>0.108</c:v>
                </c:pt>
                <c:pt idx="8">
                  <c:v>6.8000000000000005E-2</c:v>
                </c:pt>
                <c:pt idx="9">
                  <c:v>0.03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0.114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0.247</c:v>
                </c:pt>
                <c:pt idx="40">
                  <c:v>0.31900000000000001</c:v>
                </c:pt>
                <c:pt idx="41">
                  <c:v>0.24399999999999999</c:v>
                </c:pt>
                <c:pt idx="42">
                  <c:v>0.65300000000000002</c:v>
                </c:pt>
                <c:pt idx="43">
                  <c:v>0.58899999999999997</c:v>
                </c:pt>
                <c:pt idx="44">
                  <c:v>0.41299999999999998</c:v>
                </c:pt>
                <c:pt idx="45">
                  <c:v>0.19700000000000001</c:v>
                </c:pt>
                <c:pt idx="46">
                  <c:v>0.14299999999999999</c:v>
                </c:pt>
                <c:pt idx="47">
                  <c:v>8.6999999999999994E-2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75E-4534-A86E-CF78270D6413}"/>
            </c:ext>
          </c:extLst>
        </c:ser>
        <c:ser>
          <c:idx val="8"/>
          <c:order val="8"/>
          <c:tx>
            <c:v>BES_TR8_one416_C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Discharge_kW!$K$2:$K$49</c:f>
              <c:numCache>
                <c:formatCode>#,##0.000</c:formatCode>
                <c:ptCount val="48"/>
                <c:pt idx="0">
                  <c:v>0.17799999999999999</c:v>
                </c:pt>
                <c:pt idx="1">
                  <c:v>0.17699999999999999</c:v>
                </c:pt>
                <c:pt idx="2">
                  <c:v>8.1000000000000003E-2</c:v>
                </c:pt>
                <c:pt idx="3">
                  <c:v>0.17799999999999999</c:v>
                </c:pt>
                <c:pt idx="4">
                  <c:v>5.3999999999999999E-2</c:v>
                </c:pt>
                <c:pt idx="5">
                  <c:v>0.29099999999999998</c:v>
                </c:pt>
                <c:pt idx="6">
                  <c:v>9.1999999999999998E-2</c:v>
                </c:pt>
                <c:pt idx="7">
                  <c:v>0.19800000000000001</c:v>
                </c:pt>
                <c:pt idx="8">
                  <c:v>0.158</c:v>
                </c:pt>
                <c:pt idx="9">
                  <c:v>0</c:v>
                </c:pt>
                <c:pt idx="10">
                  <c:v>9.8000000000000004E-2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0.48699999999999999</c:v>
                </c:pt>
                <c:pt idx="40">
                  <c:v>0.57999999999999996</c:v>
                </c:pt>
                <c:pt idx="41">
                  <c:v>0.80400000000000005</c:v>
                </c:pt>
                <c:pt idx="42">
                  <c:v>0.59799999999999998</c:v>
                </c:pt>
                <c:pt idx="43">
                  <c:v>0.70299999999999996</c:v>
                </c:pt>
                <c:pt idx="44">
                  <c:v>0.5</c:v>
                </c:pt>
                <c:pt idx="45">
                  <c:v>0.27700000000000002</c:v>
                </c:pt>
                <c:pt idx="46">
                  <c:v>0.38800000000000001</c:v>
                </c:pt>
                <c:pt idx="47">
                  <c:v>0.50600000000000001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75E-4534-A86E-CF78270D6413}"/>
            </c:ext>
          </c:extLst>
        </c:ser>
        <c:ser>
          <c:idx val="9"/>
          <c:order val="9"/>
          <c:tx>
            <c:v>BES_TR8_one423_B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Discharge_kW!$L$2:$L$49</c:f>
              <c:numCache>
                <c:formatCode>#,##0.000</c:formatCode>
                <c:ptCount val="48"/>
                <c:pt idx="0">
                  <c:v>0.159</c:v>
                </c:pt>
                <c:pt idx="1">
                  <c:v>5.0999999999999997E-2</c:v>
                </c:pt>
                <c:pt idx="2">
                  <c:v>0.17799999999999999</c:v>
                </c:pt>
                <c:pt idx="3">
                  <c:v>5.0999999999999997E-2</c:v>
                </c:pt>
                <c:pt idx="4">
                  <c:v>7.5999999999999998E-2</c:v>
                </c:pt>
                <c:pt idx="5">
                  <c:v>0.153</c:v>
                </c:pt>
                <c:pt idx="6">
                  <c:v>5.7000000000000002E-2</c:v>
                </c:pt>
                <c:pt idx="7">
                  <c:v>0.16900000000000001</c:v>
                </c:pt>
                <c:pt idx="8">
                  <c:v>1.4E-2</c:v>
                </c:pt>
                <c:pt idx="9">
                  <c:v>4.0000000000000001E-3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3.5000000000000003E-2</c:v>
                </c:pt>
                <c:pt idx="38">
                  <c:v>0.19500000000000001</c:v>
                </c:pt>
                <c:pt idx="39">
                  <c:v>0.64400000000000002</c:v>
                </c:pt>
                <c:pt idx="40">
                  <c:v>1.0880000000000001</c:v>
                </c:pt>
                <c:pt idx="41">
                  <c:v>0.72400000000000009</c:v>
                </c:pt>
                <c:pt idx="42">
                  <c:v>0.64700000000000002</c:v>
                </c:pt>
                <c:pt idx="43">
                  <c:v>0.501</c:v>
                </c:pt>
                <c:pt idx="44">
                  <c:v>0.504</c:v>
                </c:pt>
                <c:pt idx="45">
                  <c:v>0.82</c:v>
                </c:pt>
                <c:pt idx="46">
                  <c:v>0.29399999999999998</c:v>
                </c:pt>
                <c:pt idx="47">
                  <c:v>0.153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75E-4534-A86E-CF78270D6413}"/>
            </c:ext>
          </c:extLst>
        </c:ser>
        <c:ser>
          <c:idx val="10"/>
          <c:order val="10"/>
          <c:tx>
            <c:v>BES_TR8_one446_B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Discharge_kW!$M$2:$M$49</c:f>
              <c:numCache>
                <c:formatCode>#,##0.000</c:formatCode>
                <c:ptCount val="48"/>
                <c:pt idx="0">
                  <c:v>0.16600000000000001</c:v>
                </c:pt>
                <c:pt idx="1">
                  <c:v>4.8000000000000001E-2</c:v>
                </c:pt>
                <c:pt idx="2">
                  <c:v>0.16600000000000001</c:v>
                </c:pt>
                <c:pt idx="3">
                  <c:v>4.8000000000000001E-2</c:v>
                </c:pt>
                <c:pt idx="4">
                  <c:v>4.8000000000000001E-2</c:v>
                </c:pt>
                <c:pt idx="5">
                  <c:v>4.8000000000000001E-2</c:v>
                </c:pt>
                <c:pt idx="6">
                  <c:v>0.16600000000000001</c:v>
                </c:pt>
                <c:pt idx="7">
                  <c:v>4.5000000000000012E-2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0.25</c:v>
                </c:pt>
                <c:pt idx="40">
                  <c:v>0.13400000000000001</c:v>
                </c:pt>
                <c:pt idx="41">
                  <c:v>0.127</c:v>
                </c:pt>
                <c:pt idx="42">
                  <c:v>0.25900000000000001</c:v>
                </c:pt>
                <c:pt idx="43">
                  <c:v>0.153</c:v>
                </c:pt>
                <c:pt idx="44">
                  <c:v>0.193</c:v>
                </c:pt>
                <c:pt idx="45">
                  <c:v>0.22500000000000001</c:v>
                </c:pt>
                <c:pt idx="46">
                  <c:v>0.20799999999999999</c:v>
                </c:pt>
                <c:pt idx="47">
                  <c:v>0.21199999999999999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975E-4534-A86E-CF78270D6413}"/>
            </c:ext>
          </c:extLst>
        </c:ser>
        <c:ser>
          <c:idx val="11"/>
          <c:order val="11"/>
          <c:tx>
            <c:v>BES_TR8_one469_A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Discharge_kW!$N$2:$N$49</c:f>
              <c:numCache>
                <c:formatCode>#,##0.000</c:formatCode>
                <c:ptCount val="48"/>
                <c:pt idx="0">
                  <c:v>0.223</c:v>
                </c:pt>
                <c:pt idx="1">
                  <c:v>0.185</c:v>
                </c:pt>
                <c:pt idx="2">
                  <c:v>4.7E-2</c:v>
                </c:pt>
                <c:pt idx="3">
                  <c:v>9.2999999999999999E-2</c:v>
                </c:pt>
                <c:pt idx="4">
                  <c:v>0.16900000000000001</c:v>
                </c:pt>
                <c:pt idx="5">
                  <c:v>4.7E-2</c:v>
                </c:pt>
                <c:pt idx="6">
                  <c:v>4.7E-2</c:v>
                </c:pt>
                <c:pt idx="7">
                  <c:v>9.2999999999999999E-2</c:v>
                </c:pt>
                <c:pt idx="8">
                  <c:v>0.127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0.48799999999999999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1.4419999999999999</c:v>
                </c:pt>
                <c:pt idx="40">
                  <c:v>1.603</c:v>
                </c:pt>
                <c:pt idx="41">
                  <c:v>1.054</c:v>
                </c:pt>
                <c:pt idx="42">
                  <c:v>0.66600000000000004</c:v>
                </c:pt>
                <c:pt idx="43">
                  <c:v>0.43099999999999999</c:v>
                </c:pt>
                <c:pt idx="44">
                  <c:v>0.14599999999999999</c:v>
                </c:pt>
                <c:pt idx="45">
                  <c:v>4.7E-2</c:v>
                </c:pt>
                <c:pt idx="46">
                  <c:v>0.185</c:v>
                </c:pt>
                <c:pt idx="47">
                  <c:v>7.8E-2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975E-4534-A86E-CF78270D6413}"/>
            </c:ext>
          </c:extLst>
        </c:ser>
        <c:ser>
          <c:idx val="12"/>
          <c:order val="12"/>
          <c:tx>
            <c:v>BES_TR8_one477_A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Discharge_kW!$O$2:$O$49</c:f>
              <c:numCache>
                <c:formatCode>#,##0.000</c:formatCode>
                <c:ptCount val="48"/>
                <c:pt idx="0">
                  <c:v>0.53</c:v>
                </c:pt>
                <c:pt idx="1">
                  <c:v>0.72699999999999998</c:v>
                </c:pt>
                <c:pt idx="2">
                  <c:v>0.129</c:v>
                </c:pt>
                <c:pt idx="3">
                  <c:v>0.152</c:v>
                </c:pt>
                <c:pt idx="4">
                  <c:v>0.19800000000000001</c:v>
                </c:pt>
                <c:pt idx="5">
                  <c:v>0.129</c:v>
                </c:pt>
                <c:pt idx="6">
                  <c:v>0.373</c:v>
                </c:pt>
                <c:pt idx="7">
                  <c:v>0.154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0.14899999999999999</c:v>
                </c:pt>
                <c:pt idx="39">
                  <c:v>0.14000000000000001</c:v>
                </c:pt>
                <c:pt idx="40">
                  <c:v>0.52800000000000002</c:v>
                </c:pt>
                <c:pt idx="41">
                  <c:v>0.66</c:v>
                </c:pt>
                <c:pt idx="42">
                  <c:v>0.21199999999999999</c:v>
                </c:pt>
                <c:pt idx="43">
                  <c:v>0.31900000000000001</c:v>
                </c:pt>
                <c:pt idx="44">
                  <c:v>0.46899999999999997</c:v>
                </c:pt>
                <c:pt idx="45">
                  <c:v>0.152</c:v>
                </c:pt>
                <c:pt idx="46">
                  <c:v>0.24299999999999999</c:v>
                </c:pt>
                <c:pt idx="47">
                  <c:v>0.107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975E-4534-A86E-CF78270D6413}"/>
            </c:ext>
          </c:extLst>
        </c:ser>
        <c:ser>
          <c:idx val="13"/>
          <c:order val="13"/>
          <c:tx>
            <c:v>BES_TR8_one482_B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Discharge_kW!$P$2:$P$49</c:f>
              <c:numCache>
                <c:formatCode>#,##0.000</c:formatCode>
                <c:ptCount val="48"/>
                <c:pt idx="0">
                  <c:v>0.18</c:v>
                </c:pt>
                <c:pt idx="1">
                  <c:v>4.5000000000000012E-2</c:v>
                </c:pt>
                <c:pt idx="2">
                  <c:v>0.22</c:v>
                </c:pt>
                <c:pt idx="3">
                  <c:v>0.121</c:v>
                </c:pt>
                <c:pt idx="4">
                  <c:v>4.5000000000000012E-2</c:v>
                </c:pt>
                <c:pt idx="5">
                  <c:v>0.14799999999999999</c:v>
                </c:pt>
                <c:pt idx="6">
                  <c:v>0.11600000000000001</c:v>
                </c:pt>
                <c:pt idx="7">
                  <c:v>0.14899999999999999</c:v>
                </c:pt>
                <c:pt idx="8">
                  <c:v>0.14499999999999999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4.3999999999999997E-2</c:v>
                </c:pt>
                <c:pt idx="38">
                  <c:v>0.33800000000000002</c:v>
                </c:pt>
                <c:pt idx="39">
                  <c:v>0.52700000000000002</c:v>
                </c:pt>
                <c:pt idx="40">
                  <c:v>0.48799999999999999</c:v>
                </c:pt>
                <c:pt idx="41">
                  <c:v>0.56400000000000006</c:v>
                </c:pt>
                <c:pt idx="42">
                  <c:v>0.40100000000000002</c:v>
                </c:pt>
                <c:pt idx="43">
                  <c:v>0.54</c:v>
                </c:pt>
                <c:pt idx="44">
                  <c:v>0.876</c:v>
                </c:pt>
                <c:pt idx="45">
                  <c:v>0.58499999999999996</c:v>
                </c:pt>
                <c:pt idx="46">
                  <c:v>0.29499999999999998</c:v>
                </c:pt>
                <c:pt idx="47">
                  <c:v>4.5000000000000012E-2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975E-4534-A86E-CF78270D6413}"/>
            </c:ext>
          </c:extLst>
        </c:ser>
        <c:ser>
          <c:idx val="14"/>
          <c:order val="14"/>
          <c:tx>
            <c:v>BES_TR8_one61_A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Discharge_kW!$Q$2:$Q$49</c:f>
              <c:numCache>
                <c:formatCode>#,##0.000</c:formatCode>
                <c:ptCount val="48"/>
                <c:pt idx="0">
                  <c:v>7.4999999999999997E-2</c:v>
                </c:pt>
                <c:pt idx="1">
                  <c:v>0.13100000000000001</c:v>
                </c:pt>
                <c:pt idx="2">
                  <c:v>0.17399999999999999</c:v>
                </c:pt>
                <c:pt idx="3">
                  <c:v>0.13</c:v>
                </c:pt>
                <c:pt idx="4">
                  <c:v>0.16700000000000001</c:v>
                </c:pt>
                <c:pt idx="5">
                  <c:v>0.13300000000000001</c:v>
                </c:pt>
                <c:pt idx="6">
                  <c:v>0.08</c:v>
                </c:pt>
                <c:pt idx="7">
                  <c:v>0.187</c:v>
                </c:pt>
                <c:pt idx="8">
                  <c:v>0.11899999999999999</c:v>
                </c:pt>
                <c:pt idx="9">
                  <c:v>0</c:v>
                </c:pt>
                <c:pt idx="10">
                  <c:v>0.04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0.23</c:v>
                </c:pt>
                <c:pt idx="17">
                  <c:v>0</c:v>
                </c:pt>
                <c:pt idx="18">
                  <c:v>2.1000000000000001E-2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0.35699999999999998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0.28499999999999998</c:v>
                </c:pt>
                <c:pt idx="40">
                  <c:v>0.39300000000000002</c:v>
                </c:pt>
                <c:pt idx="41">
                  <c:v>0.161</c:v>
                </c:pt>
                <c:pt idx="42">
                  <c:v>0.48399999999999999</c:v>
                </c:pt>
                <c:pt idx="43">
                  <c:v>0.38800000000000001</c:v>
                </c:pt>
                <c:pt idx="44">
                  <c:v>6.8999999999999992E-2</c:v>
                </c:pt>
                <c:pt idx="45">
                  <c:v>0.26400000000000001</c:v>
                </c:pt>
                <c:pt idx="46">
                  <c:v>4.8000000000000001E-2</c:v>
                </c:pt>
                <c:pt idx="47">
                  <c:v>0.20300000000000001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975E-4534-A86E-CF78270D6413}"/>
            </c:ext>
          </c:extLst>
        </c:ser>
        <c:ser>
          <c:idx val="15"/>
          <c:order val="15"/>
          <c:tx>
            <c:v>BES_TR8_one552_B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Discharge_kW!$R$2:$R$49</c:f>
              <c:numCache>
                <c:formatCode>#,##0.000</c:formatCode>
                <c:ptCount val="48"/>
                <c:pt idx="0">
                  <c:v>0.59299999999999997</c:v>
                </c:pt>
                <c:pt idx="1">
                  <c:v>0.38300000000000001</c:v>
                </c:pt>
                <c:pt idx="2">
                  <c:v>0.55900000000000005</c:v>
                </c:pt>
                <c:pt idx="3">
                  <c:v>0.26200000000000001</c:v>
                </c:pt>
                <c:pt idx="4">
                  <c:v>9.4E-2</c:v>
                </c:pt>
                <c:pt idx="5">
                  <c:v>0.24399999999999999</c:v>
                </c:pt>
                <c:pt idx="6">
                  <c:v>4.5999999999999999E-2</c:v>
                </c:pt>
                <c:pt idx="7">
                  <c:v>0.21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0.16300000000000001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0.73499999999999999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0.93499999999999994</c:v>
                </c:pt>
                <c:pt idx="22">
                  <c:v>0</c:v>
                </c:pt>
                <c:pt idx="23">
                  <c:v>0.39200000000000002</c:v>
                </c:pt>
                <c:pt idx="24">
                  <c:v>0</c:v>
                </c:pt>
                <c:pt idx="25">
                  <c:v>0.47499999999999998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0.11600000000000001</c:v>
                </c:pt>
                <c:pt idx="39">
                  <c:v>0.38400000000000001</c:v>
                </c:pt>
                <c:pt idx="40">
                  <c:v>0.622</c:v>
                </c:pt>
                <c:pt idx="41">
                  <c:v>0.49399999999999999</c:v>
                </c:pt>
                <c:pt idx="42">
                  <c:v>0.55699999999999994</c:v>
                </c:pt>
                <c:pt idx="43">
                  <c:v>0.68499999999999994</c:v>
                </c:pt>
                <c:pt idx="44">
                  <c:v>0.73399999999999999</c:v>
                </c:pt>
                <c:pt idx="45">
                  <c:v>0.9</c:v>
                </c:pt>
                <c:pt idx="46">
                  <c:v>0.76999999999999991</c:v>
                </c:pt>
                <c:pt idx="47">
                  <c:v>0.16300000000000001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975E-4534-A86E-CF78270D6413}"/>
            </c:ext>
          </c:extLst>
        </c:ser>
        <c:ser>
          <c:idx val="16"/>
          <c:order val="16"/>
          <c:tx>
            <c:v>BES_TR8_one560_C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Discharge_kW!$S$2:$S$49</c:f>
              <c:numCache>
                <c:formatCode>#,##0.000</c:formatCode>
                <c:ptCount val="48"/>
                <c:pt idx="0">
                  <c:v>0.96100000000000008</c:v>
                </c:pt>
                <c:pt idx="1">
                  <c:v>0.81899999999999995</c:v>
                </c:pt>
                <c:pt idx="2">
                  <c:v>0.61099999999999999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5.2999999999999999E-2</c:v>
                </c:pt>
                <c:pt idx="39">
                  <c:v>0.4</c:v>
                </c:pt>
                <c:pt idx="40">
                  <c:v>1.319</c:v>
                </c:pt>
                <c:pt idx="41">
                  <c:v>1.8640000000000001</c:v>
                </c:pt>
                <c:pt idx="42">
                  <c:v>0.42499999999999999</c:v>
                </c:pt>
                <c:pt idx="43">
                  <c:v>0.375</c:v>
                </c:pt>
                <c:pt idx="44">
                  <c:v>0.56999999999999995</c:v>
                </c:pt>
                <c:pt idx="45">
                  <c:v>0.53700000000000003</c:v>
                </c:pt>
                <c:pt idx="46">
                  <c:v>0.36099999999999999</c:v>
                </c:pt>
                <c:pt idx="47">
                  <c:v>0.17499999999999999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75E-4534-A86E-CF78270D6413}"/>
            </c:ext>
          </c:extLst>
        </c:ser>
        <c:ser>
          <c:idx val="17"/>
          <c:order val="17"/>
          <c:tx>
            <c:v>BES_TR8_one73_A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Discharge_kW!$T$2:$T$49</c:f>
              <c:numCache>
                <c:formatCode>#,##0.000</c:formatCode>
                <c:ptCount val="48"/>
                <c:pt idx="0">
                  <c:v>0.183</c:v>
                </c:pt>
                <c:pt idx="1">
                  <c:v>0.24</c:v>
                </c:pt>
                <c:pt idx="2">
                  <c:v>0.152</c:v>
                </c:pt>
                <c:pt idx="3">
                  <c:v>0.223</c:v>
                </c:pt>
                <c:pt idx="4">
                  <c:v>0.14099999999999999</c:v>
                </c:pt>
                <c:pt idx="5">
                  <c:v>0.14799999999999999</c:v>
                </c:pt>
                <c:pt idx="6">
                  <c:v>0.27900000000000003</c:v>
                </c:pt>
                <c:pt idx="7">
                  <c:v>4.5000000000000012E-2</c:v>
                </c:pt>
                <c:pt idx="8">
                  <c:v>0.13200000000000001</c:v>
                </c:pt>
                <c:pt idx="9">
                  <c:v>0.155</c:v>
                </c:pt>
                <c:pt idx="10">
                  <c:v>0</c:v>
                </c:pt>
                <c:pt idx="11">
                  <c:v>9.7000000000000003E-2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0.48899999999999988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0.32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5.1999999999999998E-2</c:v>
                </c:pt>
                <c:pt idx="37">
                  <c:v>3.9E-2</c:v>
                </c:pt>
                <c:pt idx="38">
                  <c:v>0.16600000000000001</c:v>
                </c:pt>
                <c:pt idx="39">
                  <c:v>0.43099999999999999</c:v>
                </c:pt>
                <c:pt idx="40">
                  <c:v>1</c:v>
                </c:pt>
                <c:pt idx="41">
                  <c:v>0.72699999999999998</c:v>
                </c:pt>
                <c:pt idx="42">
                  <c:v>0.96899999999999997</c:v>
                </c:pt>
                <c:pt idx="43">
                  <c:v>0.59599999999999997</c:v>
                </c:pt>
                <c:pt idx="44">
                  <c:v>1.7250000000000001</c:v>
                </c:pt>
                <c:pt idx="45">
                  <c:v>0.70799999999999996</c:v>
                </c:pt>
                <c:pt idx="46">
                  <c:v>0.52600000000000002</c:v>
                </c:pt>
                <c:pt idx="47">
                  <c:v>0.23200000000000001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75E-4534-A86E-CF78270D6413}"/>
            </c:ext>
          </c:extLst>
        </c:ser>
        <c:ser>
          <c:idx val="18"/>
          <c:order val="18"/>
          <c:tx>
            <c:v>BES_TR8_one137_A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Discharge_kW!$U$2:$U$49</c:f>
              <c:numCache>
                <c:formatCode>#,##0.000</c:formatCode>
                <c:ptCount val="48"/>
                <c:pt idx="0">
                  <c:v>7.2999999999999995E-2</c:v>
                </c:pt>
                <c:pt idx="1">
                  <c:v>0.12</c:v>
                </c:pt>
                <c:pt idx="2">
                  <c:v>9.0999999999999998E-2</c:v>
                </c:pt>
                <c:pt idx="3">
                  <c:v>0.16800000000000001</c:v>
                </c:pt>
                <c:pt idx="4">
                  <c:v>0.152</c:v>
                </c:pt>
                <c:pt idx="5">
                  <c:v>0.13800000000000001</c:v>
                </c:pt>
                <c:pt idx="6">
                  <c:v>0.20399999999999999</c:v>
                </c:pt>
                <c:pt idx="7">
                  <c:v>0.13100000000000001</c:v>
                </c:pt>
                <c:pt idx="8">
                  <c:v>0.121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0.51900000000000002</c:v>
                </c:pt>
                <c:pt idx="39">
                  <c:v>0.29499999999999998</c:v>
                </c:pt>
                <c:pt idx="40">
                  <c:v>0.47299999999999998</c:v>
                </c:pt>
                <c:pt idx="41">
                  <c:v>0.49799999999999989</c:v>
                </c:pt>
                <c:pt idx="42">
                  <c:v>0.51600000000000001</c:v>
                </c:pt>
                <c:pt idx="43">
                  <c:v>0.45600000000000002</c:v>
                </c:pt>
                <c:pt idx="44">
                  <c:v>0.77700000000000002</c:v>
                </c:pt>
                <c:pt idx="45">
                  <c:v>2.1800000000000002</c:v>
                </c:pt>
                <c:pt idx="46">
                  <c:v>0.46</c:v>
                </c:pt>
                <c:pt idx="47">
                  <c:v>0.13200000000000001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75E-4534-A86E-CF78270D6413}"/>
            </c:ext>
          </c:extLst>
        </c:ser>
        <c:ser>
          <c:idx val="19"/>
          <c:order val="19"/>
          <c:tx>
            <c:v>BES_TR8_four50_C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Discharge_kW!$V$2:$V$49</c:f>
              <c:numCache>
                <c:formatCode>#,##0.000</c:formatCode>
                <c:ptCount val="48"/>
                <c:pt idx="0">
                  <c:v>0.23400000000000001</c:v>
                </c:pt>
                <c:pt idx="1">
                  <c:v>0.13600000000000001</c:v>
                </c:pt>
                <c:pt idx="2">
                  <c:v>5.8999999999999997E-2</c:v>
                </c:pt>
                <c:pt idx="3">
                  <c:v>0.2</c:v>
                </c:pt>
                <c:pt idx="4">
                  <c:v>5.8999999999999997E-2</c:v>
                </c:pt>
                <c:pt idx="5">
                  <c:v>0.11</c:v>
                </c:pt>
                <c:pt idx="6">
                  <c:v>0.14899999999999999</c:v>
                </c:pt>
                <c:pt idx="7">
                  <c:v>5.6000000000000001E-2</c:v>
                </c:pt>
                <c:pt idx="8">
                  <c:v>0.151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0.77899999999999991</c:v>
                </c:pt>
                <c:pt idx="38">
                  <c:v>0.214</c:v>
                </c:pt>
                <c:pt idx="39">
                  <c:v>0.57499999999999996</c:v>
                </c:pt>
                <c:pt idx="40">
                  <c:v>0.433</c:v>
                </c:pt>
                <c:pt idx="41">
                  <c:v>0.32800000000000001</c:v>
                </c:pt>
                <c:pt idx="42">
                  <c:v>0.67300000000000004</c:v>
                </c:pt>
                <c:pt idx="43">
                  <c:v>0.96799999999999997</c:v>
                </c:pt>
                <c:pt idx="44">
                  <c:v>0.17599999999999999</c:v>
                </c:pt>
                <c:pt idx="45">
                  <c:v>0.30399999999999999</c:v>
                </c:pt>
                <c:pt idx="46">
                  <c:v>8.5000000000000006E-2</c:v>
                </c:pt>
                <c:pt idx="47">
                  <c:v>0.17499999999999999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75E-4534-A86E-CF78270D6413}"/>
            </c:ext>
          </c:extLst>
        </c:ser>
        <c:ser>
          <c:idx val="20"/>
          <c:order val="20"/>
          <c:tx>
            <c:v>BES_TR8_four171_A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Discharge_kW!$W$2:$W$49</c:f>
              <c:numCache>
                <c:formatCode>#,##0.000</c:formatCode>
                <c:ptCount val="48"/>
                <c:pt idx="0">
                  <c:v>0.22800000000000001</c:v>
                </c:pt>
                <c:pt idx="1">
                  <c:v>4.8000000000000001E-2</c:v>
                </c:pt>
                <c:pt idx="2">
                  <c:v>0.22700000000000001</c:v>
                </c:pt>
                <c:pt idx="3">
                  <c:v>0.17</c:v>
                </c:pt>
                <c:pt idx="4">
                  <c:v>0.17</c:v>
                </c:pt>
                <c:pt idx="5">
                  <c:v>0.22800000000000001</c:v>
                </c:pt>
                <c:pt idx="6">
                  <c:v>4.8000000000000001E-2</c:v>
                </c:pt>
                <c:pt idx="7">
                  <c:v>0.307</c:v>
                </c:pt>
                <c:pt idx="8">
                  <c:v>6.4000000000000001E-2</c:v>
                </c:pt>
                <c:pt idx="9">
                  <c:v>0</c:v>
                </c:pt>
                <c:pt idx="10">
                  <c:v>5.3999999999999999E-2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1.3540000000000001</c:v>
                </c:pt>
                <c:pt idx="21">
                  <c:v>1.2929999999999999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0.39100000000000001</c:v>
                </c:pt>
                <c:pt idx="40">
                  <c:v>0.57600000000000007</c:v>
                </c:pt>
                <c:pt idx="41">
                  <c:v>0.33100000000000002</c:v>
                </c:pt>
                <c:pt idx="42">
                  <c:v>0.41899999999999998</c:v>
                </c:pt>
                <c:pt idx="43">
                  <c:v>0.69599999999999995</c:v>
                </c:pt>
                <c:pt idx="44">
                  <c:v>0.29299999999999998</c:v>
                </c:pt>
                <c:pt idx="45">
                  <c:v>0.105</c:v>
                </c:pt>
                <c:pt idx="46">
                  <c:v>4.8000000000000001E-2</c:v>
                </c:pt>
                <c:pt idx="47">
                  <c:v>0.111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75E-4534-A86E-CF78270D6413}"/>
            </c:ext>
          </c:extLst>
        </c:ser>
        <c:ser>
          <c:idx val="21"/>
          <c:order val="21"/>
          <c:tx>
            <c:v>BES_TR8_four180_A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Discharge_kW!$X$2:$X$49</c:f>
              <c:numCache>
                <c:formatCode>#,##0.000</c:formatCode>
                <c:ptCount val="48"/>
                <c:pt idx="0">
                  <c:v>5.7000000000000002E-2</c:v>
                </c:pt>
                <c:pt idx="1">
                  <c:v>5.7000000000000002E-2</c:v>
                </c:pt>
                <c:pt idx="2">
                  <c:v>5.7000000000000002E-2</c:v>
                </c:pt>
                <c:pt idx="3">
                  <c:v>0.17499999999999999</c:v>
                </c:pt>
                <c:pt idx="4">
                  <c:v>5.7000000000000002E-2</c:v>
                </c:pt>
                <c:pt idx="5">
                  <c:v>0.17499999999999999</c:v>
                </c:pt>
                <c:pt idx="6">
                  <c:v>5.7000000000000002E-2</c:v>
                </c:pt>
                <c:pt idx="7">
                  <c:v>0.161</c:v>
                </c:pt>
                <c:pt idx="8">
                  <c:v>3.7999999999999999E-2</c:v>
                </c:pt>
                <c:pt idx="9">
                  <c:v>1.7999999999999999E-2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9.7000000000000003E-2</c:v>
                </c:pt>
                <c:pt idx="40">
                  <c:v>5.6000000000000001E-2</c:v>
                </c:pt>
                <c:pt idx="41">
                  <c:v>9.2999999999999999E-2</c:v>
                </c:pt>
                <c:pt idx="42">
                  <c:v>0.14000000000000001</c:v>
                </c:pt>
                <c:pt idx="43">
                  <c:v>9.2999999999999999E-2</c:v>
                </c:pt>
                <c:pt idx="44">
                  <c:v>0.14000000000000001</c:v>
                </c:pt>
                <c:pt idx="45">
                  <c:v>5.7000000000000002E-2</c:v>
                </c:pt>
                <c:pt idx="46">
                  <c:v>5.7000000000000002E-2</c:v>
                </c:pt>
                <c:pt idx="47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75E-4534-A86E-CF78270D6413}"/>
            </c:ext>
          </c:extLst>
        </c:ser>
        <c:ser>
          <c:idx val="22"/>
          <c:order val="22"/>
          <c:tx>
            <c:v>BES_TR8_four200_A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Discharge_kW!$Y$2:$Y$49</c:f>
              <c:numCache>
                <c:formatCode>#,##0.000</c:formatCode>
                <c:ptCount val="48"/>
                <c:pt idx="0">
                  <c:v>3.1E-2</c:v>
                </c:pt>
                <c:pt idx="1">
                  <c:v>0.127</c:v>
                </c:pt>
                <c:pt idx="2">
                  <c:v>4.8000000000000001E-2</c:v>
                </c:pt>
                <c:pt idx="3">
                  <c:v>8.2000000000000003E-2</c:v>
                </c:pt>
                <c:pt idx="4">
                  <c:v>9.2999999999999999E-2</c:v>
                </c:pt>
                <c:pt idx="5">
                  <c:v>3.1E-2</c:v>
                </c:pt>
                <c:pt idx="6">
                  <c:v>3.1E-2</c:v>
                </c:pt>
                <c:pt idx="7">
                  <c:v>7.9000000000000001E-2</c:v>
                </c:pt>
                <c:pt idx="8">
                  <c:v>5.6000000000000001E-2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4.8000000000000001E-2</c:v>
                </c:pt>
                <c:pt idx="39">
                  <c:v>0.40699999999999997</c:v>
                </c:pt>
                <c:pt idx="40">
                  <c:v>0.84099999999999997</c:v>
                </c:pt>
                <c:pt idx="41">
                  <c:v>0.72699999999999998</c:v>
                </c:pt>
                <c:pt idx="42">
                  <c:v>0.68499999999999994</c:v>
                </c:pt>
                <c:pt idx="43">
                  <c:v>0.41399999999999998</c:v>
                </c:pt>
                <c:pt idx="44">
                  <c:v>0.14399999999999999</c:v>
                </c:pt>
                <c:pt idx="45">
                  <c:v>3.1E-2</c:v>
                </c:pt>
                <c:pt idx="46">
                  <c:v>3.1E-2</c:v>
                </c:pt>
                <c:pt idx="47">
                  <c:v>0.14399999999999999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975E-4534-A86E-CF78270D6413}"/>
            </c:ext>
          </c:extLst>
        </c:ser>
        <c:ser>
          <c:idx val="23"/>
          <c:order val="23"/>
          <c:tx>
            <c:v>BES_TR8_four239_A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Discharge_kW!$Z$2:$Z$49</c:f>
              <c:numCache>
                <c:formatCode>#,##0.000</c:formatCode>
                <c:ptCount val="48"/>
                <c:pt idx="0">
                  <c:v>5.5E-2</c:v>
                </c:pt>
                <c:pt idx="1">
                  <c:v>5.5E-2</c:v>
                </c:pt>
                <c:pt idx="2">
                  <c:v>0.214</c:v>
                </c:pt>
                <c:pt idx="3">
                  <c:v>5.5E-2</c:v>
                </c:pt>
                <c:pt idx="4">
                  <c:v>0.16400000000000001</c:v>
                </c:pt>
                <c:pt idx="5">
                  <c:v>0.106</c:v>
                </c:pt>
                <c:pt idx="6">
                  <c:v>7.6999999999999999E-2</c:v>
                </c:pt>
                <c:pt idx="7">
                  <c:v>0.189</c:v>
                </c:pt>
                <c:pt idx="8">
                  <c:v>5.0000000000000001E-3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5.6000000000000001E-2</c:v>
                </c:pt>
                <c:pt idx="40">
                  <c:v>3.5000000000000003E-2</c:v>
                </c:pt>
                <c:pt idx="41">
                  <c:v>6.2E-2</c:v>
                </c:pt>
                <c:pt idx="42">
                  <c:v>0.20699999999999999</c:v>
                </c:pt>
                <c:pt idx="43">
                  <c:v>5.5E-2</c:v>
                </c:pt>
                <c:pt idx="44">
                  <c:v>0.214</c:v>
                </c:pt>
                <c:pt idx="45">
                  <c:v>5.5E-2</c:v>
                </c:pt>
                <c:pt idx="46">
                  <c:v>8.3999999999999991E-2</c:v>
                </c:pt>
                <c:pt idx="47">
                  <c:v>0.185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75E-4534-A86E-CF78270D6413}"/>
            </c:ext>
          </c:extLst>
        </c:ser>
        <c:ser>
          <c:idx val="24"/>
          <c:order val="24"/>
          <c:tx>
            <c:v>BES_TR8_four259_B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Discharge_kW!$AA$2:$AA$49</c:f>
              <c:numCache>
                <c:formatCode>#,##0.000</c:formatCode>
                <c:ptCount val="48"/>
                <c:pt idx="0">
                  <c:v>6.4000000000000001E-2</c:v>
                </c:pt>
                <c:pt idx="1">
                  <c:v>0.155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0.16600000000000001</c:v>
                </c:pt>
                <c:pt idx="5">
                  <c:v>5.2999999999999999E-2</c:v>
                </c:pt>
                <c:pt idx="6">
                  <c:v>0.104</c:v>
                </c:pt>
                <c:pt idx="7">
                  <c:v>0.112</c:v>
                </c:pt>
                <c:pt idx="8">
                  <c:v>9.0000000000000011E-3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3.5999999999999997E-2</c:v>
                </c:pt>
                <c:pt idx="41">
                  <c:v>0.127</c:v>
                </c:pt>
                <c:pt idx="42">
                  <c:v>9.2999999999999999E-2</c:v>
                </c:pt>
                <c:pt idx="43">
                  <c:v>5.2999999999999999E-2</c:v>
                </c:pt>
                <c:pt idx="44">
                  <c:v>5.2999999999999999E-2</c:v>
                </c:pt>
                <c:pt idx="45">
                  <c:v>9.2999999999999999E-2</c:v>
                </c:pt>
                <c:pt idx="46">
                  <c:v>0.127</c:v>
                </c:pt>
                <c:pt idx="47">
                  <c:v>5.2999999999999999E-2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975E-4534-A86E-CF78270D6413}"/>
            </c:ext>
          </c:extLst>
        </c:ser>
        <c:ser>
          <c:idx val="25"/>
          <c:order val="25"/>
          <c:tx>
            <c:v>BES_TR8_four265_C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Discharge_kW!$AB$2:$AB$49</c:f>
              <c:numCache>
                <c:formatCode>#,##0.000</c:formatCode>
                <c:ptCount val="48"/>
                <c:pt idx="0">
                  <c:v>0.192</c:v>
                </c:pt>
                <c:pt idx="1">
                  <c:v>0.218</c:v>
                </c:pt>
                <c:pt idx="2">
                  <c:v>0.08</c:v>
                </c:pt>
                <c:pt idx="3">
                  <c:v>0.30599999999999999</c:v>
                </c:pt>
                <c:pt idx="4">
                  <c:v>0.151</c:v>
                </c:pt>
                <c:pt idx="5">
                  <c:v>0.14899999999999999</c:v>
                </c:pt>
                <c:pt idx="6">
                  <c:v>0.315</c:v>
                </c:pt>
                <c:pt idx="7">
                  <c:v>9.1999999999999998E-2</c:v>
                </c:pt>
                <c:pt idx="8">
                  <c:v>0.17599999999999999</c:v>
                </c:pt>
                <c:pt idx="9">
                  <c:v>6.9999999999999993E-2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1.792</c:v>
                </c:pt>
                <c:pt idx="37">
                  <c:v>9.6000000000000002E-2</c:v>
                </c:pt>
                <c:pt idx="38">
                  <c:v>0.189</c:v>
                </c:pt>
                <c:pt idx="39">
                  <c:v>0.65300000000000002</c:v>
                </c:pt>
                <c:pt idx="40">
                  <c:v>0.76200000000000001</c:v>
                </c:pt>
                <c:pt idx="41">
                  <c:v>1.2070000000000001</c:v>
                </c:pt>
                <c:pt idx="42">
                  <c:v>1.081</c:v>
                </c:pt>
                <c:pt idx="43">
                  <c:v>0.86099999999999999</c:v>
                </c:pt>
                <c:pt idx="44">
                  <c:v>0.53100000000000003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75E-4534-A86E-CF78270D6413}"/>
            </c:ext>
          </c:extLst>
        </c:ser>
        <c:ser>
          <c:idx val="26"/>
          <c:order val="26"/>
          <c:tx>
            <c:v>BES_TR8_four54_C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Discharge_kW!$AC$2:$AC$49</c:f>
              <c:numCache>
                <c:formatCode>#,##0.000</c:formatCode>
                <c:ptCount val="48"/>
                <c:pt idx="0">
                  <c:v>0.186</c:v>
                </c:pt>
                <c:pt idx="1">
                  <c:v>0.127</c:v>
                </c:pt>
                <c:pt idx="2">
                  <c:v>0.05</c:v>
                </c:pt>
                <c:pt idx="3">
                  <c:v>0.14899999999999999</c:v>
                </c:pt>
                <c:pt idx="4">
                  <c:v>0.104</c:v>
                </c:pt>
                <c:pt idx="5">
                  <c:v>0.17199999999999999</c:v>
                </c:pt>
                <c:pt idx="6">
                  <c:v>0.14099999999999999</c:v>
                </c:pt>
                <c:pt idx="7">
                  <c:v>0.107</c:v>
                </c:pt>
                <c:pt idx="8">
                  <c:v>0.13600000000000001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3.1E-2</c:v>
                </c:pt>
                <c:pt idx="39">
                  <c:v>0.68700000000000006</c:v>
                </c:pt>
                <c:pt idx="40">
                  <c:v>0.70200000000000007</c:v>
                </c:pt>
                <c:pt idx="41">
                  <c:v>0.91299999999999992</c:v>
                </c:pt>
                <c:pt idx="42">
                  <c:v>0.39100000000000001</c:v>
                </c:pt>
                <c:pt idx="43">
                  <c:v>0.42399999999999999</c:v>
                </c:pt>
                <c:pt idx="44">
                  <c:v>0.40699999999999997</c:v>
                </c:pt>
                <c:pt idx="45">
                  <c:v>0.47199999999999998</c:v>
                </c:pt>
                <c:pt idx="46">
                  <c:v>0.57799999999999996</c:v>
                </c:pt>
                <c:pt idx="47">
                  <c:v>5.8999999999999997E-2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975E-4534-A86E-CF78270D6413}"/>
            </c:ext>
          </c:extLst>
        </c:ser>
        <c:ser>
          <c:idx val="27"/>
          <c:order val="27"/>
          <c:tx>
            <c:v>BES_TR8_four288_B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Discharge_kW!$AD$2:$AD$49</c:f>
              <c:numCache>
                <c:formatCode>#,##0.000</c:formatCode>
                <c:ptCount val="48"/>
                <c:pt idx="0">
                  <c:v>0.25600000000000001</c:v>
                </c:pt>
                <c:pt idx="1">
                  <c:v>9.5000000000000001E-2</c:v>
                </c:pt>
                <c:pt idx="2">
                  <c:v>5.0999999999999997E-2</c:v>
                </c:pt>
                <c:pt idx="3">
                  <c:v>0.3</c:v>
                </c:pt>
                <c:pt idx="4">
                  <c:v>5.0999999999999997E-2</c:v>
                </c:pt>
                <c:pt idx="5">
                  <c:v>0.10199999999999999</c:v>
                </c:pt>
                <c:pt idx="6">
                  <c:v>0.249</c:v>
                </c:pt>
                <c:pt idx="7">
                  <c:v>9.1999999999999998E-2</c:v>
                </c:pt>
                <c:pt idx="8">
                  <c:v>0.18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0.26900000000000002</c:v>
                </c:pt>
                <c:pt idx="41">
                  <c:v>6.2E-2</c:v>
                </c:pt>
                <c:pt idx="42">
                  <c:v>0.17499999999999999</c:v>
                </c:pt>
                <c:pt idx="43">
                  <c:v>0.27700000000000002</c:v>
                </c:pt>
                <c:pt idx="44">
                  <c:v>8.2000000000000003E-2</c:v>
                </c:pt>
                <c:pt idx="45">
                  <c:v>0.26900000000000002</c:v>
                </c:pt>
                <c:pt idx="46">
                  <c:v>5.0999999999999997E-2</c:v>
                </c:pt>
                <c:pt idx="47">
                  <c:v>0.23100000000000001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75E-4534-A86E-CF78270D6413}"/>
            </c:ext>
          </c:extLst>
        </c:ser>
        <c:ser>
          <c:idx val="28"/>
          <c:order val="28"/>
          <c:tx>
            <c:v>BES_TR8_four289_B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Discharge_kW!$AE$2:$AE$49</c:f>
              <c:numCache>
                <c:formatCode>#,##0.000</c:formatCode>
                <c:ptCount val="48"/>
                <c:pt idx="0">
                  <c:v>0.55999999999999994</c:v>
                </c:pt>
                <c:pt idx="1">
                  <c:v>0.53399999999999992</c:v>
                </c:pt>
                <c:pt idx="2">
                  <c:v>5.5E-2</c:v>
                </c:pt>
                <c:pt idx="3">
                  <c:v>5.5E-2</c:v>
                </c:pt>
                <c:pt idx="4">
                  <c:v>5.5E-2</c:v>
                </c:pt>
                <c:pt idx="5">
                  <c:v>5.5E-2</c:v>
                </c:pt>
                <c:pt idx="6">
                  <c:v>5.5E-2</c:v>
                </c:pt>
                <c:pt idx="7">
                  <c:v>5.1999999999999998E-2</c:v>
                </c:pt>
                <c:pt idx="8">
                  <c:v>5.0000000000000001E-3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0.11799999999999999</c:v>
                </c:pt>
                <c:pt idx="40">
                  <c:v>0.39900000000000002</c:v>
                </c:pt>
                <c:pt idx="41">
                  <c:v>1.6850000000000001</c:v>
                </c:pt>
                <c:pt idx="42">
                  <c:v>0.60499999999999998</c:v>
                </c:pt>
                <c:pt idx="43">
                  <c:v>0.73899999999999999</c:v>
                </c:pt>
                <c:pt idx="44">
                  <c:v>0.77700000000000002</c:v>
                </c:pt>
                <c:pt idx="45">
                  <c:v>0.54500000000000004</c:v>
                </c:pt>
                <c:pt idx="46">
                  <c:v>0.219</c:v>
                </c:pt>
                <c:pt idx="47">
                  <c:v>5.5E-2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975E-4534-A86E-CF78270D6413}"/>
            </c:ext>
          </c:extLst>
        </c:ser>
        <c:ser>
          <c:idx val="29"/>
          <c:order val="29"/>
          <c:tx>
            <c:v>BES_TR8_four292_C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Discharge_kW!$AF$2:$AF$49</c:f>
              <c:numCache>
                <c:formatCode>#,##0.000</c:formatCode>
                <c:ptCount val="48"/>
                <c:pt idx="0">
                  <c:v>0.221</c:v>
                </c:pt>
                <c:pt idx="1">
                  <c:v>0.05</c:v>
                </c:pt>
                <c:pt idx="2">
                  <c:v>0.21299999999999999</c:v>
                </c:pt>
                <c:pt idx="3">
                  <c:v>5.8000000000000003E-2</c:v>
                </c:pt>
                <c:pt idx="4">
                  <c:v>8.8999999999999996E-2</c:v>
                </c:pt>
                <c:pt idx="5">
                  <c:v>0.182</c:v>
                </c:pt>
                <c:pt idx="6">
                  <c:v>0.05</c:v>
                </c:pt>
                <c:pt idx="7">
                  <c:v>0.218</c:v>
                </c:pt>
                <c:pt idx="8">
                  <c:v>0.30199999999999999</c:v>
                </c:pt>
                <c:pt idx="9">
                  <c:v>8.0000000000000002E-3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3.5000000000000003E-2</c:v>
                </c:pt>
                <c:pt idx="41">
                  <c:v>0.12</c:v>
                </c:pt>
                <c:pt idx="42">
                  <c:v>0.151</c:v>
                </c:pt>
                <c:pt idx="43">
                  <c:v>0.05</c:v>
                </c:pt>
                <c:pt idx="44">
                  <c:v>0.221</c:v>
                </c:pt>
                <c:pt idx="45">
                  <c:v>0.05</c:v>
                </c:pt>
                <c:pt idx="46">
                  <c:v>0.12</c:v>
                </c:pt>
                <c:pt idx="47">
                  <c:v>0.151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75E-4534-A86E-CF78270D6413}"/>
            </c:ext>
          </c:extLst>
        </c:ser>
        <c:ser>
          <c:idx val="30"/>
          <c:order val="30"/>
          <c:tx>
            <c:v>BES_TR8_four301_C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Discharge_kW!$AG$2:$AG$49</c:f>
              <c:numCache>
                <c:formatCode>#,##0.000</c:formatCode>
                <c:ptCount val="48"/>
                <c:pt idx="0">
                  <c:v>0.378</c:v>
                </c:pt>
                <c:pt idx="1">
                  <c:v>0.38200000000000001</c:v>
                </c:pt>
                <c:pt idx="2">
                  <c:v>6.0999999999999999E-2</c:v>
                </c:pt>
                <c:pt idx="3">
                  <c:v>0.22500000000000001</c:v>
                </c:pt>
                <c:pt idx="4">
                  <c:v>6.0999999999999999E-2</c:v>
                </c:pt>
                <c:pt idx="5">
                  <c:v>6.0999999999999999E-2</c:v>
                </c:pt>
                <c:pt idx="6">
                  <c:v>0.21</c:v>
                </c:pt>
                <c:pt idx="7">
                  <c:v>7.3999999999999996E-2</c:v>
                </c:pt>
                <c:pt idx="8">
                  <c:v>0.03</c:v>
                </c:pt>
                <c:pt idx="9">
                  <c:v>0.08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0.41899999999999998</c:v>
                </c:pt>
                <c:pt idx="39">
                  <c:v>0.754</c:v>
                </c:pt>
                <c:pt idx="40">
                  <c:v>1.421</c:v>
                </c:pt>
                <c:pt idx="41">
                  <c:v>0.98</c:v>
                </c:pt>
                <c:pt idx="42">
                  <c:v>0.69599999999999995</c:v>
                </c:pt>
                <c:pt idx="43">
                  <c:v>1.744</c:v>
                </c:pt>
                <c:pt idx="44">
                  <c:v>0.99</c:v>
                </c:pt>
                <c:pt idx="45">
                  <c:v>0.16900000000000001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975E-4534-A86E-CF78270D6413}"/>
            </c:ext>
          </c:extLst>
        </c:ser>
        <c:ser>
          <c:idx val="31"/>
          <c:order val="31"/>
          <c:tx>
            <c:v>BES_TR8_four326_A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Discharge_kW!$AH$2:$AH$49</c:f>
              <c:numCache>
                <c:formatCode>#,##0.000</c:formatCode>
                <c:ptCount val="48"/>
                <c:pt idx="0">
                  <c:v>0.48399999999999999</c:v>
                </c:pt>
                <c:pt idx="1">
                  <c:v>0.50600000000000001</c:v>
                </c:pt>
                <c:pt idx="2">
                  <c:v>0.38400000000000001</c:v>
                </c:pt>
                <c:pt idx="3">
                  <c:v>0.16700000000000001</c:v>
                </c:pt>
                <c:pt idx="4">
                  <c:v>4.5999999999999999E-2</c:v>
                </c:pt>
                <c:pt idx="5">
                  <c:v>4.5999999999999999E-2</c:v>
                </c:pt>
                <c:pt idx="6">
                  <c:v>4.5999999999999999E-2</c:v>
                </c:pt>
                <c:pt idx="7">
                  <c:v>4.2999999999999997E-2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0.21</c:v>
                </c:pt>
                <c:pt idx="40">
                  <c:v>0.28999999999999998</c:v>
                </c:pt>
                <c:pt idx="41">
                  <c:v>0.47599999999999998</c:v>
                </c:pt>
                <c:pt idx="42">
                  <c:v>0.438</c:v>
                </c:pt>
                <c:pt idx="43">
                  <c:v>0.48799999999999999</c:v>
                </c:pt>
                <c:pt idx="44">
                  <c:v>0.40500000000000003</c:v>
                </c:pt>
                <c:pt idx="45">
                  <c:v>0.32300000000000001</c:v>
                </c:pt>
                <c:pt idx="46">
                  <c:v>0.59399999999999997</c:v>
                </c:pt>
                <c:pt idx="47">
                  <c:v>0.504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75E-4534-A86E-CF78270D6413}"/>
            </c:ext>
          </c:extLst>
        </c:ser>
        <c:ser>
          <c:idx val="32"/>
          <c:order val="32"/>
          <c:tx>
            <c:v>BES_TR8_four352_A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Discharge_kW!$AI$2:$AI$49</c:f>
              <c:numCache>
                <c:formatCode>#,##0.000</c:formatCode>
                <c:ptCount val="48"/>
                <c:pt idx="0">
                  <c:v>0.06</c:v>
                </c:pt>
                <c:pt idx="1">
                  <c:v>0.30299999999999999</c:v>
                </c:pt>
                <c:pt idx="2">
                  <c:v>0.10100000000000001</c:v>
                </c:pt>
                <c:pt idx="3">
                  <c:v>0.126</c:v>
                </c:pt>
                <c:pt idx="4">
                  <c:v>0.3</c:v>
                </c:pt>
                <c:pt idx="5">
                  <c:v>3.7999999999999999E-2</c:v>
                </c:pt>
                <c:pt idx="6">
                  <c:v>0.30099999999999999</c:v>
                </c:pt>
                <c:pt idx="7">
                  <c:v>8.6000000000000007E-2</c:v>
                </c:pt>
                <c:pt idx="8">
                  <c:v>2.9000000000000001E-2</c:v>
                </c:pt>
                <c:pt idx="9">
                  <c:v>3.1E-2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0.184</c:v>
                </c:pt>
                <c:pt idx="39">
                  <c:v>0.433</c:v>
                </c:pt>
                <c:pt idx="40">
                  <c:v>7.2999999999999995E-2</c:v>
                </c:pt>
                <c:pt idx="41">
                  <c:v>0.17399999999999999</c:v>
                </c:pt>
                <c:pt idx="42">
                  <c:v>0.16200000000000001</c:v>
                </c:pt>
                <c:pt idx="43">
                  <c:v>7.4999999999999997E-2</c:v>
                </c:pt>
                <c:pt idx="44">
                  <c:v>0.20100000000000001</c:v>
                </c:pt>
                <c:pt idx="45">
                  <c:v>0.59000000000000008</c:v>
                </c:pt>
                <c:pt idx="46">
                  <c:v>5.0999999999999997E-2</c:v>
                </c:pt>
                <c:pt idx="47">
                  <c:v>0.311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75E-4534-A86E-CF78270D6413}"/>
            </c:ext>
          </c:extLst>
        </c:ser>
        <c:ser>
          <c:idx val="33"/>
          <c:order val="33"/>
          <c:tx>
            <c:v>BES_TR8_four358_C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Discharge_kW!$AJ$2:$AJ$49</c:f>
              <c:numCache>
                <c:formatCode>#,##0.000</c:formatCode>
                <c:ptCount val="48"/>
                <c:pt idx="0">
                  <c:v>0.183</c:v>
                </c:pt>
                <c:pt idx="1">
                  <c:v>5.0999999999999997E-2</c:v>
                </c:pt>
                <c:pt idx="2">
                  <c:v>6.7000000000000004E-2</c:v>
                </c:pt>
                <c:pt idx="3">
                  <c:v>0.20699999999999999</c:v>
                </c:pt>
                <c:pt idx="4">
                  <c:v>5.0999999999999997E-2</c:v>
                </c:pt>
                <c:pt idx="5">
                  <c:v>0.20699999999999999</c:v>
                </c:pt>
                <c:pt idx="6">
                  <c:v>6.7000000000000004E-2</c:v>
                </c:pt>
                <c:pt idx="7">
                  <c:v>4.8000000000000001E-2</c:v>
                </c:pt>
                <c:pt idx="8">
                  <c:v>0.17899999999999999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</c:v>
                </c:pt>
                <c:pt idx="40">
                  <c:v>0.43099999999999999</c:v>
                </c:pt>
                <c:pt idx="41">
                  <c:v>0.629</c:v>
                </c:pt>
                <c:pt idx="42">
                  <c:v>0.56800000000000006</c:v>
                </c:pt>
                <c:pt idx="43">
                  <c:v>0.437</c:v>
                </c:pt>
                <c:pt idx="44">
                  <c:v>0.46700000000000003</c:v>
                </c:pt>
                <c:pt idx="45">
                  <c:v>0.76200000000000001</c:v>
                </c:pt>
                <c:pt idx="46">
                  <c:v>0.317</c:v>
                </c:pt>
                <c:pt idx="47">
                  <c:v>0.434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975E-4534-A86E-CF78270D6413}"/>
            </c:ext>
          </c:extLst>
        </c:ser>
        <c:ser>
          <c:idx val="34"/>
          <c:order val="34"/>
          <c:tx>
            <c:v>BES_TR8_four368_C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Discharge_kW!$AK$2:$AK$49</c:f>
              <c:numCache>
                <c:formatCode>#,##0.000</c:formatCode>
                <c:ptCount val="48"/>
                <c:pt idx="0">
                  <c:v>0.13</c:v>
                </c:pt>
                <c:pt idx="1">
                  <c:v>0.13</c:v>
                </c:pt>
                <c:pt idx="2">
                  <c:v>0.112</c:v>
                </c:pt>
                <c:pt idx="3">
                  <c:v>0.107</c:v>
                </c:pt>
                <c:pt idx="4">
                  <c:v>0.152</c:v>
                </c:pt>
                <c:pt idx="5">
                  <c:v>4.8000000000000001E-2</c:v>
                </c:pt>
                <c:pt idx="6">
                  <c:v>6.3E-2</c:v>
                </c:pt>
                <c:pt idx="7">
                  <c:v>0.19400000000000001</c:v>
                </c:pt>
                <c:pt idx="8">
                  <c:v>1.0999999999999999E-2</c:v>
                </c:pt>
                <c:pt idx="9">
                  <c:v>2.1999999999999999E-2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0.58699999999999997</c:v>
                </c:pt>
                <c:pt idx="39">
                  <c:v>0.84799999999999998</c:v>
                </c:pt>
                <c:pt idx="40">
                  <c:v>1.5309999999999999</c:v>
                </c:pt>
                <c:pt idx="41">
                  <c:v>0.86399999999999999</c:v>
                </c:pt>
                <c:pt idx="42">
                  <c:v>0.49299999999999988</c:v>
                </c:pt>
                <c:pt idx="43">
                  <c:v>1.5620000000000001</c:v>
                </c:pt>
                <c:pt idx="44">
                  <c:v>0.38500000000000001</c:v>
                </c:pt>
                <c:pt idx="45">
                  <c:v>0.40100000000000002</c:v>
                </c:pt>
                <c:pt idx="46">
                  <c:v>0.502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75E-4534-A86E-CF78270D6413}"/>
            </c:ext>
          </c:extLst>
        </c:ser>
        <c:ser>
          <c:idx val="35"/>
          <c:order val="35"/>
          <c:tx>
            <c:v>BES_TR8_four372_C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Discharge_kW!$AL$2:$AL$49</c:f>
              <c:numCache>
                <c:formatCode>#,##0.000</c:formatCode>
                <c:ptCount val="48"/>
                <c:pt idx="0">
                  <c:v>4.5000000000000012E-2</c:v>
                </c:pt>
                <c:pt idx="1">
                  <c:v>4.5000000000000012E-2</c:v>
                </c:pt>
                <c:pt idx="2">
                  <c:v>0.06</c:v>
                </c:pt>
                <c:pt idx="3">
                  <c:v>0.19600000000000001</c:v>
                </c:pt>
                <c:pt idx="4">
                  <c:v>4.5000000000000012E-2</c:v>
                </c:pt>
                <c:pt idx="5">
                  <c:v>7.4999999999999997E-2</c:v>
                </c:pt>
                <c:pt idx="6">
                  <c:v>0.18099999999999999</c:v>
                </c:pt>
                <c:pt idx="7">
                  <c:v>4.2999999999999997E-2</c:v>
                </c:pt>
                <c:pt idx="8">
                  <c:v>0.18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1.08</c:v>
                </c:pt>
                <c:pt idx="35">
                  <c:v>6.7000000000000004E-2</c:v>
                </c:pt>
                <c:pt idx="36">
                  <c:v>0</c:v>
                </c:pt>
                <c:pt idx="37">
                  <c:v>0.33</c:v>
                </c:pt>
                <c:pt idx="38">
                  <c:v>0.251</c:v>
                </c:pt>
                <c:pt idx="39">
                  <c:v>0.28899999999999998</c:v>
                </c:pt>
                <c:pt idx="40">
                  <c:v>0.47299999999999998</c:v>
                </c:pt>
                <c:pt idx="41">
                  <c:v>1.657</c:v>
                </c:pt>
                <c:pt idx="42">
                  <c:v>1.1879999999999999</c:v>
                </c:pt>
                <c:pt idx="43">
                  <c:v>0.86699999999999999</c:v>
                </c:pt>
                <c:pt idx="44">
                  <c:v>0.9</c:v>
                </c:pt>
                <c:pt idx="45">
                  <c:v>8.3000000000000004E-2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975E-4534-A86E-CF78270D6413}"/>
            </c:ext>
          </c:extLst>
        </c:ser>
        <c:ser>
          <c:idx val="36"/>
          <c:order val="36"/>
          <c:tx>
            <c:v>BES_TR8_four381_A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Discharge_kW!$AM$2:$AM$49</c:f>
              <c:numCache>
                <c:formatCode>#,##0.000</c:formatCode>
                <c:ptCount val="48"/>
                <c:pt idx="0">
                  <c:v>7.9000000000000001E-2</c:v>
                </c:pt>
                <c:pt idx="1">
                  <c:v>0.28799999999999998</c:v>
                </c:pt>
                <c:pt idx="2">
                  <c:v>0.05</c:v>
                </c:pt>
                <c:pt idx="3">
                  <c:v>0.05</c:v>
                </c:pt>
                <c:pt idx="4">
                  <c:v>0.29499999999999998</c:v>
                </c:pt>
                <c:pt idx="5">
                  <c:v>7.2000000000000008E-2</c:v>
                </c:pt>
                <c:pt idx="6">
                  <c:v>0.127</c:v>
                </c:pt>
                <c:pt idx="7">
                  <c:v>0.223</c:v>
                </c:pt>
                <c:pt idx="8">
                  <c:v>0.04</c:v>
                </c:pt>
                <c:pt idx="9">
                  <c:v>4.2000000000000003E-2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3.2000000000000001E-2</c:v>
                </c:pt>
                <c:pt idx="38">
                  <c:v>0</c:v>
                </c:pt>
                <c:pt idx="39">
                  <c:v>0.36299999999999999</c:v>
                </c:pt>
                <c:pt idx="40">
                  <c:v>1.875</c:v>
                </c:pt>
                <c:pt idx="41">
                  <c:v>0.60899999999999999</c:v>
                </c:pt>
                <c:pt idx="42">
                  <c:v>0.76300000000000001</c:v>
                </c:pt>
                <c:pt idx="43">
                  <c:v>0.92900000000000005</c:v>
                </c:pt>
                <c:pt idx="44">
                  <c:v>0.73099999999999998</c:v>
                </c:pt>
                <c:pt idx="45">
                  <c:v>0.55000000000000004</c:v>
                </c:pt>
                <c:pt idx="46">
                  <c:v>0.442</c:v>
                </c:pt>
                <c:pt idx="47">
                  <c:v>0.61599999999999999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975E-4534-A86E-CF78270D6413}"/>
            </c:ext>
          </c:extLst>
        </c:ser>
        <c:ser>
          <c:idx val="37"/>
          <c:order val="37"/>
          <c:tx>
            <c:v>BES_TR8_four385_A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Discharge_kW!$AN$2:$AN$49</c:f>
              <c:numCache>
                <c:formatCode>#,##0.000</c:formatCode>
                <c:ptCount val="48"/>
                <c:pt idx="0">
                  <c:v>0.107</c:v>
                </c:pt>
                <c:pt idx="1">
                  <c:v>4.7E-2</c:v>
                </c:pt>
                <c:pt idx="2">
                  <c:v>0.16</c:v>
                </c:pt>
                <c:pt idx="3">
                  <c:v>0.1</c:v>
                </c:pt>
                <c:pt idx="4">
                  <c:v>5.0999999999999997E-2</c:v>
                </c:pt>
                <c:pt idx="5">
                  <c:v>0.19400000000000001</c:v>
                </c:pt>
                <c:pt idx="6">
                  <c:v>0.16</c:v>
                </c:pt>
                <c:pt idx="7">
                  <c:v>4.3999999999999997E-2</c:v>
                </c:pt>
                <c:pt idx="8">
                  <c:v>0.16200000000000001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0.105</c:v>
                </c:pt>
                <c:pt idx="40">
                  <c:v>2.7E-2</c:v>
                </c:pt>
                <c:pt idx="41">
                  <c:v>7.1000000000000008E-2</c:v>
                </c:pt>
                <c:pt idx="42">
                  <c:v>0.21299999999999999</c:v>
                </c:pt>
                <c:pt idx="43">
                  <c:v>0.47799999999999998</c:v>
                </c:pt>
                <c:pt idx="44">
                  <c:v>0.32600000000000001</c:v>
                </c:pt>
                <c:pt idx="45">
                  <c:v>0.26600000000000001</c:v>
                </c:pt>
                <c:pt idx="46">
                  <c:v>0.36199999999999999</c:v>
                </c:pt>
                <c:pt idx="47">
                  <c:v>0.55699999999999994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975E-4534-A86E-CF78270D6413}"/>
            </c:ext>
          </c:extLst>
        </c:ser>
        <c:ser>
          <c:idx val="38"/>
          <c:order val="38"/>
          <c:tx>
            <c:v>BES_TR8_four423_C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Discharge_kW!$AO$2:$AO$49</c:f>
              <c:numCache>
                <c:formatCode>#,##0.000</c:formatCode>
                <c:ptCount val="48"/>
                <c:pt idx="0">
                  <c:v>0.1</c:v>
                </c:pt>
                <c:pt idx="1">
                  <c:v>0.33100000000000002</c:v>
                </c:pt>
                <c:pt idx="2">
                  <c:v>5.8000000000000003E-2</c:v>
                </c:pt>
                <c:pt idx="3">
                  <c:v>0.22600000000000001</c:v>
                </c:pt>
                <c:pt idx="4">
                  <c:v>0.155</c:v>
                </c:pt>
                <c:pt idx="5">
                  <c:v>0.17399999999999999</c:v>
                </c:pt>
                <c:pt idx="6">
                  <c:v>0.20899999999999999</c:v>
                </c:pt>
                <c:pt idx="7">
                  <c:v>0.24399999999999999</c:v>
                </c:pt>
                <c:pt idx="8">
                  <c:v>0.13400000000000001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0.33800000000000002</c:v>
                </c:pt>
                <c:pt idx="40">
                  <c:v>0.59299999999999997</c:v>
                </c:pt>
                <c:pt idx="41">
                  <c:v>0.505</c:v>
                </c:pt>
                <c:pt idx="42">
                  <c:v>0.217</c:v>
                </c:pt>
                <c:pt idx="43">
                  <c:v>0.36099999999999999</c:v>
                </c:pt>
                <c:pt idx="44">
                  <c:v>5.8000000000000003E-2</c:v>
                </c:pt>
                <c:pt idx="45">
                  <c:v>0.30599999999999999</c:v>
                </c:pt>
                <c:pt idx="46">
                  <c:v>0.151</c:v>
                </c:pt>
                <c:pt idx="47">
                  <c:v>6.2E-2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975E-4534-A86E-CF78270D6413}"/>
            </c:ext>
          </c:extLst>
        </c:ser>
        <c:ser>
          <c:idx val="39"/>
          <c:order val="39"/>
          <c:tx>
            <c:v>BES_TR8_four437_A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Discharge_kW!$AP$2:$AP$49</c:f>
              <c:numCache>
                <c:formatCode>#,##0.000</c:formatCode>
                <c:ptCount val="48"/>
                <c:pt idx="0">
                  <c:v>4.5999999999999999E-2</c:v>
                </c:pt>
                <c:pt idx="1">
                  <c:v>4.5999999999999999E-2</c:v>
                </c:pt>
                <c:pt idx="2">
                  <c:v>4.5999999999999999E-2</c:v>
                </c:pt>
                <c:pt idx="3">
                  <c:v>4.5999999999999999E-2</c:v>
                </c:pt>
                <c:pt idx="4">
                  <c:v>4.5999999999999999E-2</c:v>
                </c:pt>
                <c:pt idx="5">
                  <c:v>4.5999999999999999E-2</c:v>
                </c:pt>
                <c:pt idx="6">
                  <c:v>4.5999999999999999E-2</c:v>
                </c:pt>
                <c:pt idx="7">
                  <c:v>4.2999999999999997E-2</c:v>
                </c:pt>
                <c:pt idx="8">
                  <c:v>2E-3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0.34200000000000003</c:v>
                </c:pt>
                <c:pt idx="40">
                  <c:v>2.9000000000000001E-2</c:v>
                </c:pt>
                <c:pt idx="41">
                  <c:v>4.5999999999999999E-2</c:v>
                </c:pt>
                <c:pt idx="42">
                  <c:v>0.84599999999999997</c:v>
                </c:pt>
                <c:pt idx="43">
                  <c:v>4.5999999999999999E-2</c:v>
                </c:pt>
                <c:pt idx="44">
                  <c:v>4.5999999999999999E-2</c:v>
                </c:pt>
                <c:pt idx="45">
                  <c:v>4.5999999999999999E-2</c:v>
                </c:pt>
                <c:pt idx="46">
                  <c:v>4.5999999999999999E-2</c:v>
                </c:pt>
                <c:pt idx="47">
                  <c:v>4.5999999999999999E-2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975E-4534-A86E-CF78270D6413}"/>
            </c:ext>
          </c:extLst>
        </c:ser>
        <c:ser>
          <c:idx val="40"/>
          <c:order val="40"/>
          <c:tx>
            <c:v>BES_TR8_four446_B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Discharge_kW!$AQ$2:$AQ$49</c:f>
              <c:numCache>
                <c:formatCode>#,##0.000</c:formatCode>
                <c:ptCount val="48"/>
                <c:pt idx="0">
                  <c:v>0.129</c:v>
                </c:pt>
                <c:pt idx="1">
                  <c:v>5.2999999999999999E-2</c:v>
                </c:pt>
                <c:pt idx="2">
                  <c:v>0.12</c:v>
                </c:pt>
                <c:pt idx="3">
                  <c:v>6.0999999999999999E-2</c:v>
                </c:pt>
                <c:pt idx="4">
                  <c:v>9.5000000000000001E-2</c:v>
                </c:pt>
                <c:pt idx="5">
                  <c:v>8.6999999999999994E-2</c:v>
                </c:pt>
                <c:pt idx="6">
                  <c:v>5.2999999999999999E-2</c:v>
                </c:pt>
                <c:pt idx="7">
                  <c:v>0.126</c:v>
                </c:pt>
                <c:pt idx="8">
                  <c:v>9.0000000000000011E-3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0.747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0.34899999999999998</c:v>
                </c:pt>
                <c:pt idx="40">
                  <c:v>0.57999999999999996</c:v>
                </c:pt>
                <c:pt idx="41">
                  <c:v>1.8320000000000001</c:v>
                </c:pt>
                <c:pt idx="42">
                  <c:v>0.52500000000000002</c:v>
                </c:pt>
                <c:pt idx="43">
                  <c:v>0.32100000000000001</c:v>
                </c:pt>
                <c:pt idx="44">
                  <c:v>0.46200000000000002</c:v>
                </c:pt>
                <c:pt idx="45">
                  <c:v>0.68599999999999994</c:v>
                </c:pt>
                <c:pt idx="46">
                  <c:v>0.68300000000000005</c:v>
                </c:pt>
                <c:pt idx="47">
                  <c:v>0.33800000000000002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975E-4534-A86E-CF78270D6413}"/>
            </c:ext>
          </c:extLst>
        </c:ser>
        <c:ser>
          <c:idx val="41"/>
          <c:order val="41"/>
          <c:tx>
            <c:v>BES_TR8_four466_C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Discharge_kW!$AR$2:$AR$49</c:f>
              <c:numCache>
                <c:formatCode>#,##0.000</c:formatCode>
                <c:ptCount val="48"/>
                <c:pt idx="0">
                  <c:v>2.391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3.5000000000000003E-2</c:v>
                </c:pt>
                <c:pt idx="41">
                  <c:v>5.5E-2</c:v>
                </c:pt>
                <c:pt idx="42">
                  <c:v>5.5E-2</c:v>
                </c:pt>
                <c:pt idx="43">
                  <c:v>0.30599999999999999</c:v>
                </c:pt>
                <c:pt idx="44">
                  <c:v>0.36399999999999999</c:v>
                </c:pt>
                <c:pt idx="45">
                  <c:v>0.25900000000000001</c:v>
                </c:pt>
                <c:pt idx="46">
                  <c:v>5.5E-2</c:v>
                </c:pt>
                <c:pt idx="47">
                  <c:v>5.5E-2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975E-4534-A86E-CF78270D6413}"/>
            </c:ext>
          </c:extLst>
        </c:ser>
        <c:ser>
          <c:idx val="42"/>
          <c:order val="42"/>
          <c:tx>
            <c:v>BES_TR8_four467_C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Discharge_kW!$AS$2:$AS$49</c:f>
              <c:numCache>
                <c:formatCode>#,##0.000</c:formatCode>
                <c:ptCount val="48"/>
                <c:pt idx="0">
                  <c:v>9.5000000000000001E-2</c:v>
                </c:pt>
                <c:pt idx="1">
                  <c:v>0.104</c:v>
                </c:pt>
                <c:pt idx="2">
                  <c:v>5.8000000000000003E-2</c:v>
                </c:pt>
                <c:pt idx="3">
                  <c:v>0.13200000000000001</c:v>
                </c:pt>
                <c:pt idx="4">
                  <c:v>6.7000000000000004E-2</c:v>
                </c:pt>
                <c:pt idx="5">
                  <c:v>0.1</c:v>
                </c:pt>
                <c:pt idx="6">
                  <c:v>0.1</c:v>
                </c:pt>
                <c:pt idx="7">
                  <c:v>5.5E-2</c:v>
                </c:pt>
                <c:pt idx="8">
                  <c:v>9.1999999999999998E-2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0.27</c:v>
                </c:pt>
                <c:pt idx="20">
                  <c:v>0</c:v>
                </c:pt>
                <c:pt idx="21">
                  <c:v>0</c:v>
                </c:pt>
                <c:pt idx="22">
                  <c:v>0.42199999999999999</c:v>
                </c:pt>
                <c:pt idx="23">
                  <c:v>0</c:v>
                </c:pt>
                <c:pt idx="24">
                  <c:v>0</c:v>
                </c:pt>
                <c:pt idx="25">
                  <c:v>0.13700000000000001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0.71699999999999997</c:v>
                </c:pt>
                <c:pt idx="30">
                  <c:v>0.312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7.0000000000000001E-3</c:v>
                </c:pt>
                <c:pt idx="40">
                  <c:v>0.17</c:v>
                </c:pt>
                <c:pt idx="41">
                  <c:v>1.7809999999999999</c:v>
                </c:pt>
                <c:pt idx="42">
                  <c:v>1.476</c:v>
                </c:pt>
                <c:pt idx="43">
                  <c:v>1.0189999999999999</c:v>
                </c:pt>
                <c:pt idx="44">
                  <c:v>0.51</c:v>
                </c:pt>
                <c:pt idx="45">
                  <c:v>0.31900000000000001</c:v>
                </c:pt>
                <c:pt idx="46">
                  <c:v>0.14199999999999999</c:v>
                </c:pt>
                <c:pt idx="47">
                  <c:v>5.8000000000000003E-2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975E-4534-A86E-CF78270D6413}"/>
            </c:ext>
          </c:extLst>
        </c:ser>
        <c:ser>
          <c:idx val="43"/>
          <c:order val="43"/>
          <c:tx>
            <c:v>BES_TR8_four548_B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Discharge_kW!$AT$2:$AT$49</c:f>
              <c:numCache>
                <c:formatCode>#,##0.000</c:formatCode>
                <c:ptCount val="48"/>
                <c:pt idx="0">
                  <c:v>0.04</c:v>
                </c:pt>
                <c:pt idx="1">
                  <c:v>0.109</c:v>
                </c:pt>
                <c:pt idx="2">
                  <c:v>0.16500000000000001</c:v>
                </c:pt>
                <c:pt idx="3">
                  <c:v>6.3E-2</c:v>
                </c:pt>
                <c:pt idx="4">
                  <c:v>0.11700000000000001</c:v>
                </c:pt>
                <c:pt idx="5">
                  <c:v>0.14099999999999999</c:v>
                </c:pt>
                <c:pt idx="6">
                  <c:v>0.12</c:v>
                </c:pt>
                <c:pt idx="7">
                  <c:v>0.14399999999999999</c:v>
                </c:pt>
                <c:pt idx="8">
                  <c:v>8.3000000000000004E-2</c:v>
                </c:pt>
                <c:pt idx="9">
                  <c:v>4.9000000000000002E-2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0.13100000000000001</c:v>
                </c:pt>
                <c:pt idx="21">
                  <c:v>0.40400000000000003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0.34499999999999997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1.1819999999999999</c:v>
                </c:pt>
                <c:pt idx="38">
                  <c:v>0</c:v>
                </c:pt>
                <c:pt idx="39">
                  <c:v>0.111</c:v>
                </c:pt>
                <c:pt idx="40">
                  <c:v>9.8999999999999991E-2</c:v>
                </c:pt>
                <c:pt idx="41">
                  <c:v>0.04</c:v>
                </c:pt>
                <c:pt idx="42">
                  <c:v>0.10199999999999999</c:v>
                </c:pt>
                <c:pt idx="43">
                  <c:v>0.10199999999999999</c:v>
                </c:pt>
                <c:pt idx="44">
                  <c:v>0.04</c:v>
                </c:pt>
                <c:pt idx="45">
                  <c:v>7.3999999999999996E-2</c:v>
                </c:pt>
                <c:pt idx="46">
                  <c:v>9.2999999999999999E-2</c:v>
                </c:pt>
                <c:pt idx="47">
                  <c:v>0.17299999999999999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975E-4534-A86E-CF78270D6413}"/>
            </c:ext>
          </c:extLst>
        </c:ser>
        <c:ser>
          <c:idx val="44"/>
          <c:order val="44"/>
          <c:tx>
            <c:v>BES_TR8_four558_C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Discharge_kW!$AU$2:$AU$49</c:f>
              <c:numCache>
                <c:formatCode>#,##0.000</c:formatCode>
                <c:ptCount val="48"/>
                <c:pt idx="0">
                  <c:v>0.13300000000000001</c:v>
                </c:pt>
                <c:pt idx="1">
                  <c:v>0.05</c:v>
                </c:pt>
                <c:pt idx="2">
                  <c:v>8.6000000000000007E-2</c:v>
                </c:pt>
                <c:pt idx="3">
                  <c:v>0.11700000000000001</c:v>
                </c:pt>
                <c:pt idx="4">
                  <c:v>0.05</c:v>
                </c:pt>
                <c:pt idx="5">
                  <c:v>0.154</c:v>
                </c:pt>
                <c:pt idx="6">
                  <c:v>0.05</c:v>
                </c:pt>
                <c:pt idx="7">
                  <c:v>4.7E-2</c:v>
                </c:pt>
                <c:pt idx="8">
                  <c:v>2.6551299999999999E-4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8.7999999999999995E-2</c:v>
                </c:pt>
                <c:pt idx="40">
                  <c:v>0.14699999999999999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0.14899999999999999</c:v>
                </c:pt>
                <c:pt idx="45">
                  <c:v>5.5E-2</c:v>
                </c:pt>
                <c:pt idx="46">
                  <c:v>6.6000000000000003E-2</c:v>
                </c:pt>
                <c:pt idx="47">
                  <c:v>0.13800000000000001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975E-4534-A86E-CF78270D6413}"/>
            </c:ext>
          </c:extLst>
        </c:ser>
        <c:ser>
          <c:idx val="45"/>
          <c:order val="45"/>
          <c:tx>
            <c:v>BES_TR8_four562_C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Discharge_kW!$AV$2:$AV$49</c:f>
              <c:numCache>
                <c:formatCode>#,##0.000</c:formatCode>
                <c:ptCount val="48"/>
                <c:pt idx="0">
                  <c:v>0.19700000000000001</c:v>
                </c:pt>
                <c:pt idx="1">
                  <c:v>5.5E-2</c:v>
                </c:pt>
                <c:pt idx="2">
                  <c:v>0.38800000000000001</c:v>
                </c:pt>
                <c:pt idx="3">
                  <c:v>6.9999999999999993E-2</c:v>
                </c:pt>
                <c:pt idx="4">
                  <c:v>0.107</c:v>
                </c:pt>
                <c:pt idx="5">
                  <c:v>0.23400000000000001</c:v>
                </c:pt>
                <c:pt idx="6">
                  <c:v>0.1</c:v>
                </c:pt>
                <c:pt idx="7">
                  <c:v>0.16400000000000001</c:v>
                </c:pt>
                <c:pt idx="8">
                  <c:v>0.14199999999999999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2.1000000000000001E-2</c:v>
                </c:pt>
                <c:pt idx="38">
                  <c:v>0.11799999999999999</c:v>
                </c:pt>
                <c:pt idx="39">
                  <c:v>0.27600000000000002</c:v>
                </c:pt>
                <c:pt idx="40">
                  <c:v>0.65300000000000002</c:v>
                </c:pt>
                <c:pt idx="41">
                  <c:v>1.325</c:v>
                </c:pt>
                <c:pt idx="42">
                  <c:v>3.07</c:v>
                </c:pt>
                <c:pt idx="43">
                  <c:v>1.7090000000000001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975E-4534-A86E-CF78270D6413}"/>
            </c:ext>
          </c:extLst>
        </c:ser>
        <c:ser>
          <c:idx val="46"/>
          <c:order val="46"/>
          <c:tx>
            <c:v>BES_TR8_four590_A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Discharge_kW!$AW$2:$AW$49</c:f>
              <c:numCache>
                <c:formatCode>#,##0.000</c:formatCode>
                <c:ptCount val="48"/>
                <c:pt idx="0">
                  <c:v>0.06</c:v>
                </c:pt>
                <c:pt idx="1">
                  <c:v>0.06</c:v>
                </c:pt>
                <c:pt idx="2">
                  <c:v>0.06</c:v>
                </c:pt>
                <c:pt idx="3">
                  <c:v>0.06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5.7000000000000002E-2</c:v>
                </c:pt>
                <c:pt idx="8">
                  <c:v>0.01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0.19800000000000001</c:v>
                </c:pt>
                <c:pt idx="40">
                  <c:v>0.27700000000000002</c:v>
                </c:pt>
                <c:pt idx="41">
                  <c:v>0.37</c:v>
                </c:pt>
                <c:pt idx="42">
                  <c:v>0.52500000000000002</c:v>
                </c:pt>
                <c:pt idx="43">
                  <c:v>0.44</c:v>
                </c:pt>
                <c:pt idx="44">
                  <c:v>0.45700000000000002</c:v>
                </c:pt>
                <c:pt idx="45">
                  <c:v>1.7430000000000001</c:v>
                </c:pt>
                <c:pt idx="46">
                  <c:v>1.5249999999999999</c:v>
                </c:pt>
                <c:pt idx="47">
                  <c:v>1.103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975E-4534-A86E-CF78270D6413}"/>
            </c:ext>
          </c:extLst>
        </c:ser>
        <c:ser>
          <c:idx val="47"/>
          <c:order val="47"/>
          <c:tx>
            <c:v>BES_TR8_four604_A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Discharge_kW!$AX$2:$AX$49</c:f>
              <c:numCache>
                <c:formatCode>#,##0.000</c:formatCode>
                <c:ptCount val="48"/>
                <c:pt idx="0">
                  <c:v>5.8999999999999997E-2</c:v>
                </c:pt>
                <c:pt idx="1">
                  <c:v>0.17299999999999999</c:v>
                </c:pt>
                <c:pt idx="2">
                  <c:v>0.16600000000000001</c:v>
                </c:pt>
                <c:pt idx="3">
                  <c:v>0.17299999999999999</c:v>
                </c:pt>
                <c:pt idx="4">
                  <c:v>5.8999999999999997E-2</c:v>
                </c:pt>
                <c:pt idx="5">
                  <c:v>0.26800000000000002</c:v>
                </c:pt>
                <c:pt idx="6">
                  <c:v>6.9999999999999993E-2</c:v>
                </c:pt>
                <c:pt idx="7">
                  <c:v>0.08</c:v>
                </c:pt>
                <c:pt idx="8">
                  <c:v>0.11899999999999999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0.18099999999999999</c:v>
                </c:pt>
                <c:pt idx="40">
                  <c:v>0.55999999999999994</c:v>
                </c:pt>
                <c:pt idx="41">
                  <c:v>0.63600000000000001</c:v>
                </c:pt>
                <c:pt idx="42">
                  <c:v>0.49399999999999999</c:v>
                </c:pt>
                <c:pt idx="43">
                  <c:v>0.60499999999999998</c:v>
                </c:pt>
                <c:pt idx="44">
                  <c:v>0.85499999999999998</c:v>
                </c:pt>
                <c:pt idx="45">
                  <c:v>0.60499999999999998</c:v>
                </c:pt>
                <c:pt idx="46">
                  <c:v>0.151</c:v>
                </c:pt>
                <c:pt idx="47">
                  <c:v>0.16500000000000001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975E-4534-A86E-CF78270D6413}"/>
            </c:ext>
          </c:extLst>
        </c:ser>
        <c:ser>
          <c:idx val="48"/>
          <c:order val="48"/>
          <c:tx>
            <c:v>BES_TR8_four78_B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Discharge_kW!$AY$2:$AY$49</c:f>
              <c:numCache>
                <c:formatCode>#,##0.000</c:formatCode>
                <c:ptCount val="48"/>
                <c:pt idx="0">
                  <c:v>0.112</c:v>
                </c:pt>
                <c:pt idx="1">
                  <c:v>8.2000000000000003E-2</c:v>
                </c:pt>
                <c:pt idx="2">
                  <c:v>4.8000000000000001E-2</c:v>
                </c:pt>
                <c:pt idx="3">
                  <c:v>0.11899999999999999</c:v>
                </c:pt>
                <c:pt idx="4">
                  <c:v>4.8000000000000001E-2</c:v>
                </c:pt>
                <c:pt idx="5">
                  <c:v>0.11899999999999999</c:v>
                </c:pt>
                <c:pt idx="6">
                  <c:v>0.14599999999999999</c:v>
                </c:pt>
                <c:pt idx="7">
                  <c:v>4.9000000000000002E-2</c:v>
                </c:pt>
                <c:pt idx="8">
                  <c:v>0.16300000000000001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0.42799999999999999</c:v>
                </c:pt>
                <c:pt idx="40">
                  <c:v>0.65799999999999992</c:v>
                </c:pt>
                <c:pt idx="41">
                  <c:v>1.0409999999999999</c:v>
                </c:pt>
                <c:pt idx="42">
                  <c:v>1.153</c:v>
                </c:pt>
                <c:pt idx="43">
                  <c:v>1.1739999999999999</c:v>
                </c:pt>
                <c:pt idx="44">
                  <c:v>1.0429999999999999</c:v>
                </c:pt>
                <c:pt idx="45">
                  <c:v>1.2749999999999999</c:v>
                </c:pt>
                <c:pt idx="46">
                  <c:v>0.4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975E-4534-A86E-CF78270D6413}"/>
            </c:ext>
          </c:extLst>
        </c:ser>
        <c:ser>
          <c:idx val="49"/>
          <c:order val="49"/>
          <c:tx>
            <c:v>BES_TR8_four734_A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Discharge_kW!$AZ$2:$AZ$49</c:f>
              <c:numCache>
                <c:formatCode>#,##0.000</c:formatCode>
                <c:ptCount val="48"/>
                <c:pt idx="0">
                  <c:v>0.52600000000000002</c:v>
                </c:pt>
                <c:pt idx="1">
                  <c:v>0.44700000000000001</c:v>
                </c:pt>
                <c:pt idx="2">
                  <c:v>5.1999999999999998E-2</c:v>
                </c:pt>
                <c:pt idx="3">
                  <c:v>5.1999999999999998E-2</c:v>
                </c:pt>
                <c:pt idx="4">
                  <c:v>5.1999999999999998E-2</c:v>
                </c:pt>
                <c:pt idx="5">
                  <c:v>5.1999999999999998E-2</c:v>
                </c:pt>
                <c:pt idx="6">
                  <c:v>5.1999999999999998E-2</c:v>
                </c:pt>
                <c:pt idx="7">
                  <c:v>4.9000000000000002E-2</c:v>
                </c:pt>
                <c:pt idx="8">
                  <c:v>1.4999999999999999E-2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0.38600000000000001</c:v>
                </c:pt>
                <c:pt idx="28">
                  <c:v>0.73099999999999998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8.1000000000000003E-2</c:v>
                </c:pt>
                <c:pt idx="40">
                  <c:v>0.44</c:v>
                </c:pt>
                <c:pt idx="41">
                  <c:v>0.437</c:v>
                </c:pt>
                <c:pt idx="42">
                  <c:v>0.99900000000000011</c:v>
                </c:pt>
                <c:pt idx="43">
                  <c:v>2.823</c:v>
                </c:pt>
                <c:pt idx="44">
                  <c:v>2.3919999999999999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975E-4534-A86E-CF78270D6413}"/>
            </c:ext>
          </c:extLst>
        </c:ser>
        <c:ser>
          <c:idx val="50"/>
          <c:order val="50"/>
          <c:tx>
            <c:v>BES_TR8_four797_C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Discharge_kW!$BA$2:$BA$49</c:f>
              <c:numCache>
                <c:formatCode>#,##0.000</c:formatCode>
                <c:ptCount val="48"/>
                <c:pt idx="0">
                  <c:v>0.36499999999999999</c:v>
                </c:pt>
                <c:pt idx="1">
                  <c:v>3.9E-2</c:v>
                </c:pt>
                <c:pt idx="2">
                  <c:v>3.9E-2</c:v>
                </c:pt>
                <c:pt idx="3">
                  <c:v>3.9E-2</c:v>
                </c:pt>
                <c:pt idx="4">
                  <c:v>3.9E-2</c:v>
                </c:pt>
                <c:pt idx="5">
                  <c:v>3.9E-2</c:v>
                </c:pt>
                <c:pt idx="6">
                  <c:v>3.9E-2</c:v>
                </c:pt>
                <c:pt idx="7">
                  <c:v>3.5999999999999997E-2</c:v>
                </c:pt>
                <c:pt idx="8">
                  <c:v>2E-3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0.14399999999999999</c:v>
                </c:pt>
                <c:pt idx="39">
                  <c:v>0.53799999999999992</c:v>
                </c:pt>
                <c:pt idx="40">
                  <c:v>0.57300000000000006</c:v>
                </c:pt>
                <c:pt idx="41">
                  <c:v>0.74</c:v>
                </c:pt>
                <c:pt idx="42">
                  <c:v>0.70100000000000007</c:v>
                </c:pt>
                <c:pt idx="43">
                  <c:v>0.49799999999999989</c:v>
                </c:pt>
                <c:pt idx="44">
                  <c:v>0.435</c:v>
                </c:pt>
                <c:pt idx="45">
                  <c:v>0.55800000000000005</c:v>
                </c:pt>
                <c:pt idx="46">
                  <c:v>0.28299999999999997</c:v>
                </c:pt>
                <c:pt idx="47">
                  <c:v>0.27900000000000003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975E-4534-A86E-CF78270D6413}"/>
            </c:ext>
          </c:extLst>
        </c:ser>
        <c:ser>
          <c:idx val="51"/>
          <c:order val="51"/>
          <c:tx>
            <c:v>BES_TR8_four846_C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Discharge_kW!$BB$2:$BB$49</c:f>
              <c:numCache>
                <c:formatCode>#,##0.000</c:formatCode>
                <c:ptCount val="48"/>
                <c:pt idx="0">
                  <c:v>0.218</c:v>
                </c:pt>
                <c:pt idx="1">
                  <c:v>8.1000000000000003E-2</c:v>
                </c:pt>
                <c:pt idx="2">
                  <c:v>0.128</c:v>
                </c:pt>
                <c:pt idx="3">
                  <c:v>0.17399999999999999</c:v>
                </c:pt>
                <c:pt idx="4">
                  <c:v>6.8000000000000005E-2</c:v>
                </c:pt>
                <c:pt idx="5">
                  <c:v>0.11799999999999999</c:v>
                </c:pt>
                <c:pt idx="6">
                  <c:v>0.156</c:v>
                </c:pt>
                <c:pt idx="7">
                  <c:v>9.4E-2</c:v>
                </c:pt>
                <c:pt idx="8">
                  <c:v>4.5999999999999999E-2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0.31</c:v>
                </c:pt>
                <c:pt idx="40">
                  <c:v>6.8000000000000005E-2</c:v>
                </c:pt>
                <c:pt idx="41">
                  <c:v>0.224</c:v>
                </c:pt>
                <c:pt idx="42">
                  <c:v>0.35</c:v>
                </c:pt>
                <c:pt idx="43">
                  <c:v>0.46700000000000003</c:v>
                </c:pt>
                <c:pt idx="44">
                  <c:v>0.52300000000000002</c:v>
                </c:pt>
                <c:pt idx="45">
                  <c:v>0.50700000000000001</c:v>
                </c:pt>
                <c:pt idx="46">
                  <c:v>0.155</c:v>
                </c:pt>
                <c:pt idx="47">
                  <c:v>0.16200000000000001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975E-4534-A86E-CF78270D6413}"/>
            </c:ext>
          </c:extLst>
        </c:ser>
        <c:ser>
          <c:idx val="52"/>
          <c:order val="52"/>
          <c:tx>
            <c:v>BES_TR8_four854_A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Discharge_kW!$BC$2:$BC$49</c:f>
              <c:numCache>
                <c:formatCode>#,##0.000</c:formatCode>
                <c:ptCount val="48"/>
                <c:pt idx="0">
                  <c:v>0.03</c:v>
                </c:pt>
                <c:pt idx="1">
                  <c:v>0.161</c:v>
                </c:pt>
                <c:pt idx="2">
                  <c:v>0.03</c:v>
                </c:pt>
                <c:pt idx="3">
                  <c:v>0.161</c:v>
                </c:pt>
                <c:pt idx="4">
                  <c:v>0.03</c:v>
                </c:pt>
                <c:pt idx="5">
                  <c:v>0.115</c:v>
                </c:pt>
                <c:pt idx="6">
                  <c:v>7.5999999999999998E-2</c:v>
                </c:pt>
                <c:pt idx="7">
                  <c:v>7.9000000000000001E-2</c:v>
                </c:pt>
                <c:pt idx="8">
                  <c:v>5.8999999999999997E-2</c:v>
                </c:pt>
                <c:pt idx="9">
                  <c:v>0.755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2.1000000000000001E-2</c:v>
                </c:pt>
                <c:pt idx="40">
                  <c:v>2.3E-2</c:v>
                </c:pt>
                <c:pt idx="41">
                  <c:v>0.32300000000000001</c:v>
                </c:pt>
                <c:pt idx="42">
                  <c:v>0.30499999999999999</c:v>
                </c:pt>
                <c:pt idx="43">
                  <c:v>0.43</c:v>
                </c:pt>
                <c:pt idx="44">
                  <c:v>0.41599999999999998</c:v>
                </c:pt>
                <c:pt idx="45">
                  <c:v>0.03</c:v>
                </c:pt>
                <c:pt idx="46">
                  <c:v>0.03</c:v>
                </c:pt>
                <c:pt idx="47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975E-4534-A86E-CF78270D6413}"/>
            </c:ext>
          </c:extLst>
        </c:ser>
        <c:ser>
          <c:idx val="53"/>
          <c:order val="53"/>
          <c:tx>
            <c:v>BES_TR8_four936_C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Discharge_kW!$BD$2:$BD$49</c:f>
              <c:numCache>
                <c:formatCode>#,##0.000</c:formatCode>
                <c:ptCount val="48"/>
                <c:pt idx="0">
                  <c:v>0.29299999999999998</c:v>
                </c:pt>
                <c:pt idx="1">
                  <c:v>8.7999999999999995E-2</c:v>
                </c:pt>
                <c:pt idx="2">
                  <c:v>0.19800000000000001</c:v>
                </c:pt>
                <c:pt idx="3">
                  <c:v>5.8000000000000003E-2</c:v>
                </c:pt>
                <c:pt idx="4">
                  <c:v>9.0999999999999998E-2</c:v>
                </c:pt>
                <c:pt idx="5">
                  <c:v>0.33900000000000002</c:v>
                </c:pt>
                <c:pt idx="6">
                  <c:v>4.1000000000000002E-2</c:v>
                </c:pt>
                <c:pt idx="7">
                  <c:v>0.22</c:v>
                </c:pt>
                <c:pt idx="8">
                  <c:v>0.16900000000000001</c:v>
                </c:pt>
                <c:pt idx="9">
                  <c:v>0</c:v>
                </c:pt>
                <c:pt idx="10">
                  <c:v>0</c:v>
                </c:pt>
                <c:pt idx="11">
                  <c:v>2.4E-2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3.7999999999999999E-2</c:v>
                </c:pt>
                <c:pt idx="25">
                  <c:v>0</c:v>
                </c:pt>
                <c:pt idx="26">
                  <c:v>0.32600000000000001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1.002</c:v>
                </c:pt>
                <c:pt idx="33">
                  <c:v>0</c:v>
                </c:pt>
                <c:pt idx="34">
                  <c:v>0.58600000000000008</c:v>
                </c:pt>
                <c:pt idx="35">
                  <c:v>1.599</c:v>
                </c:pt>
                <c:pt idx="36">
                  <c:v>0.216</c:v>
                </c:pt>
                <c:pt idx="37">
                  <c:v>0.20499999999999999</c:v>
                </c:pt>
                <c:pt idx="38">
                  <c:v>6.7000000000000004E-2</c:v>
                </c:pt>
                <c:pt idx="39">
                  <c:v>0.39900000000000002</c:v>
                </c:pt>
                <c:pt idx="40">
                  <c:v>0.54400000000000004</c:v>
                </c:pt>
                <c:pt idx="41">
                  <c:v>0.40400000000000003</c:v>
                </c:pt>
                <c:pt idx="42">
                  <c:v>0.755</c:v>
                </c:pt>
                <c:pt idx="43">
                  <c:v>0.66200000000000003</c:v>
                </c:pt>
                <c:pt idx="44">
                  <c:v>0.54199999999999993</c:v>
                </c:pt>
                <c:pt idx="45">
                  <c:v>0.41199999999999998</c:v>
                </c:pt>
                <c:pt idx="46">
                  <c:v>5.8000000000000003E-2</c:v>
                </c:pt>
                <c:pt idx="47">
                  <c:v>0.13300000000000001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975E-4534-A86E-CF78270D6413}"/>
            </c:ext>
          </c:extLst>
        </c:ser>
        <c:ser>
          <c:idx val="54"/>
          <c:order val="54"/>
          <c:tx>
            <c:v>BES_TR8_four950_B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Discharge_kW!$BE$2:$BE$49</c:f>
              <c:numCache>
                <c:formatCode>#,##0.000</c:formatCode>
                <c:ptCount val="48"/>
                <c:pt idx="0">
                  <c:v>0.124</c:v>
                </c:pt>
                <c:pt idx="1">
                  <c:v>0.14000000000000001</c:v>
                </c:pt>
                <c:pt idx="2">
                  <c:v>0.18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0.112</c:v>
                </c:pt>
                <c:pt idx="6">
                  <c:v>8.3999999999999991E-2</c:v>
                </c:pt>
                <c:pt idx="7">
                  <c:v>0.13300000000000001</c:v>
                </c:pt>
                <c:pt idx="8">
                  <c:v>0.05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0.49399999999999999</c:v>
                </c:pt>
                <c:pt idx="40">
                  <c:v>0.54600000000000004</c:v>
                </c:pt>
                <c:pt idx="41">
                  <c:v>0.55900000000000005</c:v>
                </c:pt>
                <c:pt idx="42">
                  <c:v>0.68</c:v>
                </c:pt>
                <c:pt idx="43">
                  <c:v>0.41199999999999998</c:v>
                </c:pt>
                <c:pt idx="44">
                  <c:v>0.51300000000000001</c:v>
                </c:pt>
                <c:pt idx="45">
                  <c:v>0.438</c:v>
                </c:pt>
                <c:pt idx="46">
                  <c:v>0.17599999999999999</c:v>
                </c:pt>
                <c:pt idx="47">
                  <c:v>6.9999999999999993E-2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975E-4534-A86E-CF78270D6413}"/>
            </c:ext>
          </c:extLst>
        </c:ser>
        <c:ser>
          <c:idx val="55"/>
          <c:order val="55"/>
          <c:tx>
            <c:v>BES_TR8_four978_A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Discharge_kW!$BF$2:$BF$49</c:f>
              <c:numCache>
                <c:formatCode>#,##0.000</c:formatCode>
                <c:ptCount val="48"/>
                <c:pt idx="0">
                  <c:v>0.55300000000000005</c:v>
                </c:pt>
                <c:pt idx="1">
                  <c:v>0.13500000000000001</c:v>
                </c:pt>
                <c:pt idx="2">
                  <c:v>0.18</c:v>
                </c:pt>
                <c:pt idx="3">
                  <c:v>0.18099999999999999</c:v>
                </c:pt>
                <c:pt idx="4">
                  <c:v>5.7000000000000002E-2</c:v>
                </c:pt>
                <c:pt idx="5">
                  <c:v>0.26600000000000001</c:v>
                </c:pt>
                <c:pt idx="6">
                  <c:v>0.108</c:v>
                </c:pt>
                <c:pt idx="7">
                  <c:v>0.12</c:v>
                </c:pt>
                <c:pt idx="8">
                  <c:v>0.11799999999999999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0.44700000000000001</c:v>
                </c:pt>
                <c:pt idx="37">
                  <c:v>0.56800000000000006</c:v>
                </c:pt>
                <c:pt idx="38">
                  <c:v>0.153</c:v>
                </c:pt>
                <c:pt idx="39">
                  <c:v>0.49</c:v>
                </c:pt>
                <c:pt idx="40">
                  <c:v>0.48899999999999988</c:v>
                </c:pt>
                <c:pt idx="41">
                  <c:v>0.57700000000000007</c:v>
                </c:pt>
                <c:pt idx="42">
                  <c:v>1.2949999999999999</c:v>
                </c:pt>
                <c:pt idx="43">
                  <c:v>1.2529999999999999</c:v>
                </c:pt>
                <c:pt idx="44">
                  <c:v>0.79800000000000004</c:v>
                </c:pt>
                <c:pt idx="45">
                  <c:v>0.26600000000000001</c:v>
                </c:pt>
                <c:pt idx="46">
                  <c:v>0.20300000000000001</c:v>
                </c:pt>
                <c:pt idx="47">
                  <c:v>0.158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975E-4534-A86E-CF78270D6413}"/>
            </c:ext>
          </c:extLst>
        </c:ser>
        <c:ser>
          <c:idx val="56"/>
          <c:order val="56"/>
          <c:tx>
            <c:v>BES_TR8_four104_A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Discharge_kW!$BG$2:$BG$49</c:f>
              <c:numCache>
                <c:formatCode>#,##0.000</c:formatCode>
                <c:ptCount val="48"/>
                <c:pt idx="0">
                  <c:v>0.26300000000000001</c:v>
                </c:pt>
                <c:pt idx="1">
                  <c:v>5.5E-2</c:v>
                </c:pt>
                <c:pt idx="2">
                  <c:v>0.245</c:v>
                </c:pt>
                <c:pt idx="3">
                  <c:v>6.4999999999999988E-2</c:v>
                </c:pt>
                <c:pt idx="4">
                  <c:v>0.16900000000000001</c:v>
                </c:pt>
                <c:pt idx="5">
                  <c:v>0.157</c:v>
                </c:pt>
                <c:pt idx="6">
                  <c:v>0.182</c:v>
                </c:pt>
                <c:pt idx="7">
                  <c:v>7.6999999999999999E-2</c:v>
                </c:pt>
                <c:pt idx="8">
                  <c:v>9.8999999999999991E-2</c:v>
                </c:pt>
                <c:pt idx="9">
                  <c:v>8.1000000000000003E-2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0.45100000000000001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0.81300000000000006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0.28599999999999998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2.7E-2</c:v>
                </c:pt>
                <c:pt idx="39">
                  <c:v>0.13400000000000001</c:v>
                </c:pt>
                <c:pt idx="40">
                  <c:v>7.8E-2</c:v>
                </c:pt>
                <c:pt idx="41">
                  <c:v>0.40500000000000003</c:v>
                </c:pt>
                <c:pt idx="42">
                  <c:v>0.48199999999999998</c:v>
                </c:pt>
                <c:pt idx="43">
                  <c:v>0.49199999999999999</c:v>
                </c:pt>
                <c:pt idx="44">
                  <c:v>1.2250000000000001</c:v>
                </c:pt>
                <c:pt idx="45">
                  <c:v>0.28799999999999998</c:v>
                </c:pt>
                <c:pt idx="46">
                  <c:v>0.46700000000000003</c:v>
                </c:pt>
                <c:pt idx="47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975E-4534-A86E-CF78270D6413}"/>
            </c:ext>
          </c:extLst>
        </c:ser>
        <c:ser>
          <c:idx val="57"/>
          <c:order val="57"/>
          <c:tx>
            <c:v>BES_TR8_four988_A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Discharge_kW!$BH$2:$BH$49</c:f>
              <c:numCache>
                <c:formatCode>#,##0.000</c:formatCode>
                <c:ptCount val="48"/>
                <c:pt idx="0">
                  <c:v>0.17899999999999999</c:v>
                </c:pt>
                <c:pt idx="1">
                  <c:v>7.9000000000000001E-2</c:v>
                </c:pt>
                <c:pt idx="2">
                  <c:v>5.7000000000000002E-2</c:v>
                </c:pt>
                <c:pt idx="3">
                  <c:v>0.20100000000000001</c:v>
                </c:pt>
                <c:pt idx="4">
                  <c:v>0.05</c:v>
                </c:pt>
                <c:pt idx="5">
                  <c:v>0.13600000000000001</c:v>
                </c:pt>
                <c:pt idx="6">
                  <c:v>0.122</c:v>
                </c:pt>
                <c:pt idx="7">
                  <c:v>7.6999999999999999E-2</c:v>
                </c:pt>
                <c:pt idx="8">
                  <c:v>0.154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8.5000000000000006E-2</c:v>
                </c:pt>
                <c:pt idx="38">
                  <c:v>8.1000000000000003E-2</c:v>
                </c:pt>
                <c:pt idx="39">
                  <c:v>0.45</c:v>
                </c:pt>
                <c:pt idx="40">
                  <c:v>0.25</c:v>
                </c:pt>
                <c:pt idx="41">
                  <c:v>0.33800000000000002</c:v>
                </c:pt>
                <c:pt idx="42">
                  <c:v>0.76999999999999991</c:v>
                </c:pt>
                <c:pt idx="43">
                  <c:v>0.41699999999999998</c:v>
                </c:pt>
                <c:pt idx="44">
                  <c:v>0.39900000000000002</c:v>
                </c:pt>
                <c:pt idx="45">
                  <c:v>0.67</c:v>
                </c:pt>
                <c:pt idx="46">
                  <c:v>0.05</c:v>
                </c:pt>
                <c:pt idx="4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975E-4534-A86E-CF78270D6413}"/>
            </c:ext>
          </c:extLst>
        </c:ser>
        <c:ser>
          <c:idx val="58"/>
          <c:order val="58"/>
          <c:tx>
            <c:v>BES_TR8_four1013_B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Discharge_kW!$BI$2:$BI$49</c:f>
              <c:numCache>
                <c:formatCode>#,##0.000</c:formatCode>
                <c:ptCount val="48"/>
                <c:pt idx="0">
                  <c:v>0.22700000000000001</c:v>
                </c:pt>
                <c:pt idx="1">
                  <c:v>6.9999999999999993E-2</c:v>
                </c:pt>
                <c:pt idx="2">
                  <c:v>0.14799999999999999</c:v>
                </c:pt>
                <c:pt idx="3">
                  <c:v>0.14799999999999999</c:v>
                </c:pt>
                <c:pt idx="4">
                  <c:v>6.2E-2</c:v>
                </c:pt>
                <c:pt idx="5">
                  <c:v>0.11700000000000001</c:v>
                </c:pt>
                <c:pt idx="6">
                  <c:v>0.18</c:v>
                </c:pt>
                <c:pt idx="7">
                  <c:v>5.8999999999999997E-2</c:v>
                </c:pt>
                <c:pt idx="8">
                  <c:v>0.16900000000000001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0.13600000000000001</c:v>
                </c:pt>
                <c:pt idx="41">
                  <c:v>0.14099999999999999</c:v>
                </c:pt>
                <c:pt idx="42">
                  <c:v>6.2E-2</c:v>
                </c:pt>
                <c:pt idx="43">
                  <c:v>0.23499999999999999</c:v>
                </c:pt>
                <c:pt idx="44">
                  <c:v>6.2E-2</c:v>
                </c:pt>
                <c:pt idx="45">
                  <c:v>0.16400000000000001</c:v>
                </c:pt>
                <c:pt idx="46">
                  <c:v>0.13300000000000001</c:v>
                </c:pt>
                <c:pt idx="47">
                  <c:v>6.2E-2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975E-4534-A86E-CF78270D6413}"/>
            </c:ext>
          </c:extLst>
        </c:ser>
        <c:ser>
          <c:idx val="59"/>
          <c:order val="59"/>
          <c:tx>
            <c:v>BES_TR8_four1027_A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Discharge_kW!$BJ$2:$BJ$49</c:f>
              <c:numCache>
                <c:formatCode>#,##0.000</c:formatCode>
                <c:ptCount val="48"/>
                <c:pt idx="0">
                  <c:v>8.8999999999999996E-2</c:v>
                </c:pt>
                <c:pt idx="1">
                  <c:v>0.08</c:v>
                </c:pt>
                <c:pt idx="2">
                  <c:v>0.08</c:v>
                </c:pt>
                <c:pt idx="3">
                  <c:v>0.10100000000000001</c:v>
                </c:pt>
                <c:pt idx="4">
                  <c:v>0.06</c:v>
                </c:pt>
                <c:pt idx="5">
                  <c:v>4.2999999999999997E-2</c:v>
                </c:pt>
                <c:pt idx="6">
                  <c:v>4.2999999999999997E-2</c:v>
                </c:pt>
                <c:pt idx="7">
                  <c:v>0.11600000000000001</c:v>
                </c:pt>
                <c:pt idx="8">
                  <c:v>1.7999999999999999E-2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6.4999999999999988E-2</c:v>
                </c:pt>
                <c:pt idx="39">
                  <c:v>0.193</c:v>
                </c:pt>
                <c:pt idx="40">
                  <c:v>0.40200000000000002</c:v>
                </c:pt>
                <c:pt idx="41">
                  <c:v>0.40400000000000003</c:v>
                </c:pt>
                <c:pt idx="42">
                  <c:v>0.42099999999999999</c:v>
                </c:pt>
                <c:pt idx="43">
                  <c:v>0.503</c:v>
                </c:pt>
                <c:pt idx="44">
                  <c:v>0.65799999999999992</c:v>
                </c:pt>
                <c:pt idx="45">
                  <c:v>0.51200000000000001</c:v>
                </c:pt>
                <c:pt idx="46">
                  <c:v>0.34499999999999997</c:v>
                </c:pt>
                <c:pt idx="47">
                  <c:v>0.28899999999999998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975E-4534-A86E-CF78270D6413}"/>
            </c:ext>
          </c:extLst>
        </c:ser>
        <c:ser>
          <c:idx val="60"/>
          <c:order val="60"/>
          <c:tx>
            <c:v>BES_TR8_four1132_C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Discharge_kW!$BK$2:$BK$49</c:f>
              <c:numCache>
                <c:formatCode>#,##0.000</c:formatCode>
                <c:ptCount val="48"/>
                <c:pt idx="0">
                  <c:v>0.123</c:v>
                </c:pt>
                <c:pt idx="1">
                  <c:v>0.23200000000000001</c:v>
                </c:pt>
                <c:pt idx="2">
                  <c:v>5.6000000000000001E-2</c:v>
                </c:pt>
                <c:pt idx="3">
                  <c:v>0.113</c:v>
                </c:pt>
                <c:pt idx="4">
                  <c:v>4.8000000000000001E-2</c:v>
                </c:pt>
                <c:pt idx="5">
                  <c:v>0.25900000000000001</c:v>
                </c:pt>
                <c:pt idx="6">
                  <c:v>0.105</c:v>
                </c:pt>
                <c:pt idx="7">
                  <c:v>6.6000000000000003E-2</c:v>
                </c:pt>
                <c:pt idx="8">
                  <c:v>0.16600000000000001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0.26800000000000002</c:v>
                </c:pt>
                <c:pt idx="40">
                  <c:v>1.6859999999999999</c:v>
                </c:pt>
                <c:pt idx="41">
                  <c:v>1.899</c:v>
                </c:pt>
                <c:pt idx="42">
                  <c:v>0.88800000000000001</c:v>
                </c:pt>
                <c:pt idx="43">
                  <c:v>0.24</c:v>
                </c:pt>
                <c:pt idx="44">
                  <c:v>6.4000000000000001E-2</c:v>
                </c:pt>
                <c:pt idx="45">
                  <c:v>0.55400000000000005</c:v>
                </c:pt>
                <c:pt idx="46">
                  <c:v>0.23</c:v>
                </c:pt>
                <c:pt idx="47">
                  <c:v>0.29499999999999998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975E-4534-A86E-CF78270D6413}"/>
            </c:ext>
          </c:extLst>
        </c:ser>
        <c:ser>
          <c:idx val="61"/>
          <c:order val="61"/>
          <c:tx>
            <c:v>BES_TR8_four126_A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Discharge_kW!$BL$2:$BL$49</c:f>
              <c:numCache>
                <c:formatCode>#,##0.000</c:formatCode>
                <c:ptCount val="48"/>
                <c:pt idx="0">
                  <c:v>7.8E-2</c:v>
                </c:pt>
                <c:pt idx="1">
                  <c:v>0.123</c:v>
                </c:pt>
                <c:pt idx="2">
                  <c:v>5.0999999999999997E-2</c:v>
                </c:pt>
                <c:pt idx="3">
                  <c:v>0.23100000000000001</c:v>
                </c:pt>
                <c:pt idx="4">
                  <c:v>8.8999999999999996E-2</c:v>
                </c:pt>
                <c:pt idx="5">
                  <c:v>5.0999999999999997E-2</c:v>
                </c:pt>
                <c:pt idx="6">
                  <c:v>0.19</c:v>
                </c:pt>
                <c:pt idx="7">
                  <c:v>0.127</c:v>
                </c:pt>
                <c:pt idx="8">
                  <c:v>4.2000000000000003E-2</c:v>
                </c:pt>
                <c:pt idx="9">
                  <c:v>3.1E-2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8.5000000000000006E-2</c:v>
                </c:pt>
                <c:pt idx="39">
                  <c:v>0.21299999999999999</c:v>
                </c:pt>
                <c:pt idx="40">
                  <c:v>0.26400000000000001</c:v>
                </c:pt>
                <c:pt idx="41">
                  <c:v>7.2000000000000008E-2</c:v>
                </c:pt>
                <c:pt idx="42">
                  <c:v>0.17</c:v>
                </c:pt>
                <c:pt idx="43">
                  <c:v>0.30499999999999999</c:v>
                </c:pt>
                <c:pt idx="44">
                  <c:v>0.20399999999999999</c:v>
                </c:pt>
                <c:pt idx="45">
                  <c:v>0.14299999999999999</c:v>
                </c:pt>
                <c:pt idx="46">
                  <c:v>0.17699999999999999</c:v>
                </c:pt>
                <c:pt idx="47">
                  <c:v>5.0999999999999997E-2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975E-4534-A86E-CF78270D6413}"/>
            </c:ext>
          </c:extLst>
        </c:ser>
        <c:ser>
          <c:idx val="62"/>
          <c:order val="62"/>
          <c:tx>
            <c:v>BES_TR8_four1187_A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Discharge_kW!$BM$2:$BM$49</c:f>
              <c:numCache>
                <c:formatCode>#,##0.000</c:formatCode>
                <c:ptCount val="48"/>
                <c:pt idx="0">
                  <c:v>0.153</c:v>
                </c:pt>
                <c:pt idx="1">
                  <c:v>0.16800000000000001</c:v>
                </c:pt>
                <c:pt idx="2">
                  <c:v>8.5000000000000006E-2</c:v>
                </c:pt>
                <c:pt idx="3">
                  <c:v>0.29499999999999998</c:v>
                </c:pt>
                <c:pt idx="4">
                  <c:v>6.4999999999999988E-2</c:v>
                </c:pt>
                <c:pt idx="5">
                  <c:v>0.17699999999999999</c:v>
                </c:pt>
                <c:pt idx="6">
                  <c:v>0.21199999999999999</c:v>
                </c:pt>
                <c:pt idx="7">
                  <c:v>7.8E-2</c:v>
                </c:pt>
                <c:pt idx="8">
                  <c:v>9.4E-2</c:v>
                </c:pt>
                <c:pt idx="9">
                  <c:v>0</c:v>
                </c:pt>
                <c:pt idx="10">
                  <c:v>0.10199999999999999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1.0569999999999999</c:v>
                </c:pt>
                <c:pt idx="24">
                  <c:v>0.92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0.14599999999999999</c:v>
                </c:pt>
                <c:pt idx="35">
                  <c:v>0.51900000000000002</c:v>
                </c:pt>
                <c:pt idx="36">
                  <c:v>0.38400000000000001</c:v>
                </c:pt>
                <c:pt idx="37">
                  <c:v>0</c:v>
                </c:pt>
                <c:pt idx="38">
                  <c:v>5.8999999999999997E-2</c:v>
                </c:pt>
                <c:pt idx="39">
                  <c:v>0.40300000000000002</c:v>
                </c:pt>
                <c:pt idx="40">
                  <c:v>0.4</c:v>
                </c:pt>
                <c:pt idx="41">
                  <c:v>0.74099999999999999</c:v>
                </c:pt>
                <c:pt idx="42">
                  <c:v>0.65200000000000002</c:v>
                </c:pt>
                <c:pt idx="43">
                  <c:v>0.68099999999999994</c:v>
                </c:pt>
                <c:pt idx="44">
                  <c:v>7.4999999999999997E-2</c:v>
                </c:pt>
                <c:pt idx="45">
                  <c:v>0.52700000000000002</c:v>
                </c:pt>
                <c:pt idx="46">
                  <c:v>0.35599999999999998</c:v>
                </c:pt>
                <c:pt idx="47">
                  <c:v>9.8999999999999991E-2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975E-4534-A86E-CF78270D6413}"/>
            </c:ext>
          </c:extLst>
        </c:ser>
        <c:ser>
          <c:idx val="63"/>
          <c:order val="63"/>
          <c:tx>
            <c:v>BES_TR8_four1207_B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Discharge_kW!$BN$2:$BN$49</c:f>
              <c:numCache>
                <c:formatCode>#,##0.000</c:formatCode>
                <c:ptCount val="48"/>
                <c:pt idx="0">
                  <c:v>0.184</c:v>
                </c:pt>
                <c:pt idx="1">
                  <c:v>6.8000000000000005E-2</c:v>
                </c:pt>
                <c:pt idx="2">
                  <c:v>0.24399999999999999</c:v>
                </c:pt>
                <c:pt idx="3">
                  <c:v>5.5E-2</c:v>
                </c:pt>
                <c:pt idx="4">
                  <c:v>0.17100000000000001</c:v>
                </c:pt>
                <c:pt idx="5">
                  <c:v>0.14099999999999999</c:v>
                </c:pt>
                <c:pt idx="6">
                  <c:v>0.112</c:v>
                </c:pt>
                <c:pt idx="7">
                  <c:v>0.153</c:v>
                </c:pt>
                <c:pt idx="8">
                  <c:v>8.3000000000000004E-2</c:v>
                </c:pt>
                <c:pt idx="9">
                  <c:v>2.7E-2</c:v>
                </c:pt>
                <c:pt idx="10">
                  <c:v>2.5000000000000001E-2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0.13100000000000001</c:v>
                </c:pt>
                <c:pt idx="38">
                  <c:v>0.23200000000000001</c:v>
                </c:pt>
                <c:pt idx="39">
                  <c:v>0.67599999999999993</c:v>
                </c:pt>
                <c:pt idx="40">
                  <c:v>0.60599999999999998</c:v>
                </c:pt>
                <c:pt idx="41">
                  <c:v>0.39</c:v>
                </c:pt>
                <c:pt idx="42">
                  <c:v>0.45300000000000001</c:v>
                </c:pt>
                <c:pt idx="43">
                  <c:v>8.3000000000000004E-2</c:v>
                </c:pt>
                <c:pt idx="44">
                  <c:v>0.14599999999999999</c:v>
                </c:pt>
                <c:pt idx="45">
                  <c:v>0.248</c:v>
                </c:pt>
                <c:pt idx="46">
                  <c:v>5.5E-2</c:v>
                </c:pt>
                <c:pt idx="47">
                  <c:v>0.11799999999999999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975E-4534-A86E-CF78270D6413}"/>
            </c:ext>
          </c:extLst>
        </c:ser>
        <c:ser>
          <c:idx val="64"/>
          <c:order val="64"/>
          <c:tx>
            <c:v>BES_TR8_five168_A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Discharge_kW!$BO$2:$BO$49</c:f>
              <c:numCache>
                <c:formatCode>#,##0.000</c:formatCode>
                <c:ptCount val="48"/>
                <c:pt idx="0">
                  <c:v>1.946</c:v>
                </c:pt>
                <c:pt idx="1">
                  <c:v>0.44500000000000001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0.64899999999999991</c:v>
                </c:pt>
                <c:pt idx="39">
                  <c:v>0.72400000000000009</c:v>
                </c:pt>
                <c:pt idx="40">
                  <c:v>0.59000000000000008</c:v>
                </c:pt>
                <c:pt idx="41">
                  <c:v>0.48699999999999999</c:v>
                </c:pt>
                <c:pt idx="42">
                  <c:v>0.53700000000000003</c:v>
                </c:pt>
                <c:pt idx="43">
                  <c:v>0.495</c:v>
                </c:pt>
                <c:pt idx="44">
                  <c:v>0.69099999999999995</c:v>
                </c:pt>
                <c:pt idx="45">
                  <c:v>0.50900000000000001</c:v>
                </c:pt>
                <c:pt idx="46">
                  <c:v>0.13</c:v>
                </c:pt>
                <c:pt idx="47">
                  <c:v>9.5000000000000001E-2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975E-4534-A86E-CF78270D6413}"/>
            </c:ext>
          </c:extLst>
        </c:ser>
        <c:ser>
          <c:idx val="65"/>
          <c:order val="65"/>
          <c:tx>
            <c:v>BES_TR8_five186_C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Discharge_kW!$BP$2:$BP$49</c:f>
              <c:numCache>
                <c:formatCode>#,##0.000</c:formatCode>
                <c:ptCount val="4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4.7E-2</c:v>
                </c:pt>
                <c:pt idx="8">
                  <c:v>1.2999999999999999E-2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4.3999999999999997E-2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1.224</c:v>
                </c:pt>
                <c:pt idx="34">
                  <c:v>0</c:v>
                </c:pt>
                <c:pt idx="35">
                  <c:v>0.84099999999999997</c:v>
                </c:pt>
                <c:pt idx="36">
                  <c:v>3.3410000000000002</c:v>
                </c:pt>
                <c:pt idx="37">
                  <c:v>2.3410000000000002</c:v>
                </c:pt>
                <c:pt idx="38">
                  <c:v>0.183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975E-4534-A86E-CF78270D6413}"/>
            </c:ext>
          </c:extLst>
        </c:ser>
        <c:ser>
          <c:idx val="66"/>
          <c:order val="66"/>
          <c:tx>
            <c:v>BES_TR8_five194_C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Discharge_kW!$BQ$2:$BQ$49</c:f>
              <c:numCache>
                <c:formatCode>#,##0.000</c:formatCode>
                <c:ptCount val="48"/>
                <c:pt idx="0">
                  <c:v>0.36299999999999999</c:v>
                </c:pt>
                <c:pt idx="1">
                  <c:v>3.6999999999999998E-2</c:v>
                </c:pt>
                <c:pt idx="2">
                  <c:v>3.6999999999999998E-2</c:v>
                </c:pt>
                <c:pt idx="3">
                  <c:v>0.20699999999999999</c:v>
                </c:pt>
                <c:pt idx="4">
                  <c:v>3.6999999999999998E-2</c:v>
                </c:pt>
                <c:pt idx="5">
                  <c:v>0.13</c:v>
                </c:pt>
                <c:pt idx="6">
                  <c:v>0.114</c:v>
                </c:pt>
                <c:pt idx="7">
                  <c:v>3.4000000000000002E-2</c:v>
                </c:pt>
                <c:pt idx="8">
                  <c:v>0.158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7.0000000000000001E-3</c:v>
                </c:pt>
                <c:pt idx="40">
                  <c:v>0.11</c:v>
                </c:pt>
                <c:pt idx="41">
                  <c:v>3.6999999999999998E-2</c:v>
                </c:pt>
                <c:pt idx="42">
                  <c:v>4.3999999999999997E-2</c:v>
                </c:pt>
                <c:pt idx="43">
                  <c:v>0.14699999999999999</c:v>
                </c:pt>
                <c:pt idx="44">
                  <c:v>0.51200000000000001</c:v>
                </c:pt>
                <c:pt idx="45">
                  <c:v>0.311</c:v>
                </c:pt>
                <c:pt idx="46">
                  <c:v>0.88300000000000001</c:v>
                </c:pt>
                <c:pt idx="47">
                  <c:v>0.75700000000000001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975E-4534-A86E-CF78270D6413}"/>
            </c:ext>
          </c:extLst>
        </c:ser>
        <c:ser>
          <c:idx val="67"/>
          <c:order val="67"/>
          <c:tx>
            <c:v>BES_TR8_five223_A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Discharge_kW!$BR$2:$BR$49</c:f>
              <c:numCache>
                <c:formatCode>#,##0.000</c:formatCode>
                <c:ptCount val="48"/>
                <c:pt idx="0">
                  <c:v>6.7000000000000004E-2</c:v>
                </c:pt>
                <c:pt idx="1">
                  <c:v>0.29199999999999998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0.246</c:v>
                </c:pt>
                <c:pt idx="5">
                  <c:v>0.114</c:v>
                </c:pt>
                <c:pt idx="6">
                  <c:v>5.2999999999999999E-2</c:v>
                </c:pt>
                <c:pt idx="7">
                  <c:v>0.30299999999999999</c:v>
                </c:pt>
                <c:pt idx="8">
                  <c:v>9.0000000000000011E-3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4.5999999999999999E-2</c:v>
                </c:pt>
                <c:pt idx="40">
                  <c:v>3.5999999999999997E-2</c:v>
                </c:pt>
                <c:pt idx="41">
                  <c:v>0.22</c:v>
                </c:pt>
                <c:pt idx="42">
                  <c:v>5.2999999999999999E-2</c:v>
                </c:pt>
                <c:pt idx="43">
                  <c:v>5.2999999999999999E-2</c:v>
                </c:pt>
                <c:pt idx="44">
                  <c:v>0.16700000000000001</c:v>
                </c:pt>
                <c:pt idx="45">
                  <c:v>0.25800000000000001</c:v>
                </c:pt>
                <c:pt idx="46">
                  <c:v>0.14499999999999999</c:v>
                </c:pt>
                <c:pt idx="47">
                  <c:v>0.26400000000000001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975E-4534-A86E-CF78270D6413}"/>
            </c:ext>
          </c:extLst>
        </c:ser>
        <c:ser>
          <c:idx val="68"/>
          <c:order val="68"/>
          <c:tx>
            <c:v>BES_TR8_five303_B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Discharge_kW!$BS$2:$BS$49</c:f>
              <c:numCache>
                <c:formatCode>#,##0.000</c:formatCode>
                <c:ptCount val="48"/>
                <c:pt idx="0">
                  <c:v>0.42599999999999999</c:v>
                </c:pt>
                <c:pt idx="1">
                  <c:v>5.8999999999999997E-2</c:v>
                </c:pt>
                <c:pt idx="2">
                  <c:v>0.219</c:v>
                </c:pt>
                <c:pt idx="3">
                  <c:v>0.316</c:v>
                </c:pt>
                <c:pt idx="4">
                  <c:v>5.8999999999999997E-2</c:v>
                </c:pt>
                <c:pt idx="5">
                  <c:v>5.8999999999999997E-2</c:v>
                </c:pt>
                <c:pt idx="6">
                  <c:v>0.23400000000000001</c:v>
                </c:pt>
                <c:pt idx="7">
                  <c:v>0.3</c:v>
                </c:pt>
                <c:pt idx="8">
                  <c:v>3.4000000000000002E-2</c:v>
                </c:pt>
                <c:pt idx="9">
                  <c:v>0.17</c:v>
                </c:pt>
                <c:pt idx="10">
                  <c:v>1.7999999999999999E-2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1.0429999999999999</c:v>
                </c:pt>
                <c:pt idx="30">
                  <c:v>1.393</c:v>
                </c:pt>
                <c:pt idx="31">
                  <c:v>0</c:v>
                </c:pt>
                <c:pt idx="32">
                  <c:v>0.32400000000000001</c:v>
                </c:pt>
                <c:pt idx="33">
                  <c:v>0.26200000000000001</c:v>
                </c:pt>
                <c:pt idx="34">
                  <c:v>1.135</c:v>
                </c:pt>
                <c:pt idx="35">
                  <c:v>0</c:v>
                </c:pt>
                <c:pt idx="36">
                  <c:v>0.183</c:v>
                </c:pt>
                <c:pt idx="37">
                  <c:v>0.215</c:v>
                </c:pt>
                <c:pt idx="38">
                  <c:v>0.35699999999999998</c:v>
                </c:pt>
                <c:pt idx="39">
                  <c:v>0.59199999999999997</c:v>
                </c:pt>
                <c:pt idx="40">
                  <c:v>0.60799999999999998</c:v>
                </c:pt>
                <c:pt idx="41">
                  <c:v>0.70600000000000007</c:v>
                </c:pt>
                <c:pt idx="42">
                  <c:v>0.44500000000000001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975E-4534-A86E-CF78270D6413}"/>
            </c:ext>
          </c:extLst>
        </c:ser>
        <c:ser>
          <c:idx val="69"/>
          <c:order val="69"/>
          <c:tx>
            <c:v>BES_TR8_five324_B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Discharge_kW!$BT$2:$BT$49</c:f>
              <c:numCache>
                <c:formatCode>#,##0.000</c:formatCode>
                <c:ptCount val="48"/>
                <c:pt idx="0">
                  <c:v>0.22600000000000001</c:v>
                </c:pt>
                <c:pt idx="1">
                  <c:v>5.2999999999999999E-2</c:v>
                </c:pt>
                <c:pt idx="2">
                  <c:v>0.123</c:v>
                </c:pt>
                <c:pt idx="3">
                  <c:v>0.153</c:v>
                </c:pt>
                <c:pt idx="4">
                  <c:v>0.214</c:v>
                </c:pt>
                <c:pt idx="5">
                  <c:v>6.2E-2</c:v>
                </c:pt>
                <c:pt idx="6">
                  <c:v>0.186</c:v>
                </c:pt>
                <c:pt idx="7">
                  <c:v>0.17399999999999999</c:v>
                </c:pt>
                <c:pt idx="8">
                  <c:v>5.6000000000000001E-2</c:v>
                </c:pt>
                <c:pt idx="9">
                  <c:v>9.4E-2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1.839</c:v>
                </c:pt>
                <c:pt idx="39">
                  <c:v>2.4900000000000002</c:v>
                </c:pt>
                <c:pt idx="40">
                  <c:v>1.669</c:v>
                </c:pt>
                <c:pt idx="41">
                  <c:v>7.6999999999999999E-2</c:v>
                </c:pt>
                <c:pt idx="42">
                  <c:v>0.183</c:v>
                </c:pt>
                <c:pt idx="43">
                  <c:v>0.17899999999999999</c:v>
                </c:pt>
                <c:pt idx="44">
                  <c:v>0.1</c:v>
                </c:pt>
                <c:pt idx="45">
                  <c:v>0.17899999999999999</c:v>
                </c:pt>
                <c:pt idx="46">
                  <c:v>0.13700000000000001</c:v>
                </c:pt>
                <c:pt idx="47">
                  <c:v>0.17899999999999999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975E-4534-A86E-CF78270D6413}"/>
            </c:ext>
          </c:extLst>
        </c:ser>
        <c:ser>
          <c:idx val="70"/>
          <c:order val="70"/>
          <c:tx>
            <c:v>BES_TR8_five345_A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Discharge_kW!$BU$2:$BU$49</c:f>
              <c:numCache>
                <c:formatCode>#,##0.000</c:formatCode>
                <c:ptCount val="48"/>
                <c:pt idx="0">
                  <c:v>0.16800000000000001</c:v>
                </c:pt>
                <c:pt idx="1">
                  <c:v>5.6000000000000001E-2</c:v>
                </c:pt>
                <c:pt idx="2">
                  <c:v>5.6000000000000001E-2</c:v>
                </c:pt>
                <c:pt idx="3">
                  <c:v>0.16800000000000001</c:v>
                </c:pt>
                <c:pt idx="4">
                  <c:v>5.6000000000000001E-2</c:v>
                </c:pt>
                <c:pt idx="5">
                  <c:v>0.16800000000000001</c:v>
                </c:pt>
                <c:pt idx="6">
                  <c:v>5.6000000000000001E-2</c:v>
                </c:pt>
                <c:pt idx="7">
                  <c:v>5.2999999999999999E-2</c:v>
                </c:pt>
                <c:pt idx="8">
                  <c:v>6.0000000000000001E-3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9.6000000000000002E-2</c:v>
                </c:pt>
                <c:pt idx="40">
                  <c:v>0.18099999999999999</c:v>
                </c:pt>
                <c:pt idx="41">
                  <c:v>0.216</c:v>
                </c:pt>
                <c:pt idx="42">
                  <c:v>0.28999999999999998</c:v>
                </c:pt>
                <c:pt idx="43">
                  <c:v>0.24</c:v>
                </c:pt>
                <c:pt idx="44">
                  <c:v>0.45</c:v>
                </c:pt>
                <c:pt idx="45">
                  <c:v>0.311</c:v>
                </c:pt>
                <c:pt idx="46">
                  <c:v>0.36799999999999999</c:v>
                </c:pt>
                <c:pt idx="47">
                  <c:v>0.624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975E-4534-A86E-CF78270D6413}"/>
            </c:ext>
          </c:extLst>
        </c:ser>
        <c:ser>
          <c:idx val="71"/>
          <c:order val="71"/>
          <c:tx>
            <c:v>BES_TR8_five421_A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Discharge_kW!$BV$2:$BV$49</c:f>
              <c:numCache>
                <c:formatCode>#,##0.000</c:formatCode>
                <c:ptCount val="48"/>
                <c:pt idx="0">
                  <c:v>4.8000000000000001E-2</c:v>
                </c:pt>
                <c:pt idx="1">
                  <c:v>4.8000000000000001E-2</c:v>
                </c:pt>
                <c:pt idx="2">
                  <c:v>4.8000000000000001E-2</c:v>
                </c:pt>
                <c:pt idx="3">
                  <c:v>4.8000000000000001E-2</c:v>
                </c:pt>
                <c:pt idx="4">
                  <c:v>4.8000000000000001E-2</c:v>
                </c:pt>
                <c:pt idx="5">
                  <c:v>4.8000000000000001E-2</c:v>
                </c:pt>
                <c:pt idx="6">
                  <c:v>4.8000000000000001E-2</c:v>
                </c:pt>
                <c:pt idx="7">
                  <c:v>4.5000000000000012E-2</c:v>
                </c:pt>
                <c:pt idx="8">
                  <c:v>1.0999999999999999E-2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0.318</c:v>
                </c:pt>
                <c:pt idx="39">
                  <c:v>0.41099999999999998</c:v>
                </c:pt>
                <c:pt idx="40">
                  <c:v>0.53500000000000003</c:v>
                </c:pt>
                <c:pt idx="41">
                  <c:v>0.44</c:v>
                </c:pt>
                <c:pt idx="42">
                  <c:v>0.6</c:v>
                </c:pt>
                <c:pt idx="43">
                  <c:v>0.38700000000000001</c:v>
                </c:pt>
                <c:pt idx="44">
                  <c:v>0.51300000000000001</c:v>
                </c:pt>
                <c:pt idx="45">
                  <c:v>0.49399999999999999</c:v>
                </c:pt>
                <c:pt idx="46">
                  <c:v>0.67300000000000004</c:v>
                </c:pt>
                <c:pt idx="47">
                  <c:v>0.51300000000000001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975E-4534-A86E-CF78270D6413}"/>
            </c:ext>
          </c:extLst>
        </c:ser>
        <c:ser>
          <c:idx val="72"/>
          <c:order val="72"/>
          <c:tx>
            <c:v>BES_TR8_five488_B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Discharge_kW!$BW$2:$BW$49</c:f>
              <c:numCache>
                <c:formatCode>#,##0.000</c:formatCode>
                <c:ptCount val="48"/>
                <c:pt idx="0">
                  <c:v>0.115</c:v>
                </c:pt>
                <c:pt idx="1">
                  <c:v>0.05</c:v>
                </c:pt>
                <c:pt idx="2">
                  <c:v>0.33200000000000002</c:v>
                </c:pt>
                <c:pt idx="3">
                  <c:v>7.4999999999999997E-2</c:v>
                </c:pt>
                <c:pt idx="4">
                  <c:v>0.20899999999999999</c:v>
                </c:pt>
                <c:pt idx="5">
                  <c:v>0.19700000000000001</c:v>
                </c:pt>
                <c:pt idx="6">
                  <c:v>0.05</c:v>
                </c:pt>
                <c:pt idx="7">
                  <c:v>0.35299999999999998</c:v>
                </c:pt>
                <c:pt idx="8">
                  <c:v>2.6551299999999999E-4</c:v>
                </c:pt>
                <c:pt idx="9">
                  <c:v>4.2000000000000003E-2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5.5E-2</c:v>
                </c:pt>
                <c:pt idx="40">
                  <c:v>9.2999999999999999E-2</c:v>
                </c:pt>
                <c:pt idx="41">
                  <c:v>0.05</c:v>
                </c:pt>
                <c:pt idx="42">
                  <c:v>0.29299999999999998</c:v>
                </c:pt>
                <c:pt idx="43">
                  <c:v>0.114</c:v>
                </c:pt>
                <c:pt idx="44">
                  <c:v>0.16500000000000001</c:v>
                </c:pt>
                <c:pt idx="45">
                  <c:v>0.24099999999999999</c:v>
                </c:pt>
                <c:pt idx="46">
                  <c:v>0.05</c:v>
                </c:pt>
                <c:pt idx="47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975E-4534-A86E-CF78270D6413}"/>
            </c:ext>
          </c:extLst>
        </c:ser>
        <c:ser>
          <c:idx val="73"/>
          <c:order val="73"/>
          <c:tx>
            <c:v>BES_TR8_five513_B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Discharge_kW!$BX$2:$BX$49</c:f>
              <c:numCache>
                <c:formatCode>#,##0.000</c:formatCode>
                <c:ptCount val="48"/>
                <c:pt idx="0">
                  <c:v>0.126</c:v>
                </c:pt>
                <c:pt idx="1">
                  <c:v>5.0999999999999997E-2</c:v>
                </c:pt>
                <c:pt idx="2">
                  <c:v>5.5E-2</c:v>
                </c:pt>
                <c:pt idx="3">
                  <c:v>0.121</c:v>
                </c:pt>
                <c:pt idx="4">
                  <c:v>5.0999999999999997E-2</c:v>
                </c:pt>
                <c:pt idx="5">
                  <c:v>5.0999999999999997E-2</c:v>
                </c:pt>
                <c:pt idx="6">
                  <c:v>9.7000000000000003E-2</c:v>
                </c:pt>
                <c:pt idx="7">
                  <c:v>7.6999999999999999E-2</c:v>
                </c:pt>
                <c:pt idx="8">
                  <c:v>7.0000000000000001E-3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7.1000000000000008E-2</c:v>
                </c:pt>
                <c:pt idx="41">
                  <c:v>8.7999999999999995E-2</c:v>
                </c:pt>
                <c:pt idx="42">
                  <c:v>5.0999999999999997E-2</c:v>
                </c:pt>
                <c:pt idx="43">
                  <c:v>0.126</c:v>
                </c:pt>
                <c:pt idx="44">
                  <c:v>5.0999999999999997E-2</c:v>
                </c:pt>
                <c:pt idx="45">
                  <c:v>0.126</c:v>
                </c:pt>
                <c:pt idx="46">
                  <c:v>5.0999999999999997E-2</c:v>
                </c:pt>
                <c:pt idx="47">
                  <c:v>5.0999999999999997E-2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975E-4534-A86E-CF78270D6413}"/>
            </c:ext>
          </c:extLst>
        </c:ser>
        <c:ser>
          <c:idx val="74"/>
          <c:order val="74"/>
          <c:tx>
            <c:v>BES_TR8_five537_C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Discharge_kW!$BY$2:$BY$49</c:f>
              <c:numCache>
                <c:formatCode>#,##0.000</c:formatCode>
                <c:ptCount val="48"/>
                <c:pt idx="0">
                  <c:v>0.27100000000000002</c:v>
                </c:pt>
                <c:pt idx="1">
                  <c:v>8.3999999999999991E-2</c:v>
                </c:pt>
                <c:pt idx="2">
                  <c:v>0.184</c:v>
                </c:pt>
                <c:pt idx="3">
                  <c:v>5.5E-2</c:v>
                </c:pt>
                <c:pt idx="4">
                  <c:v>0.14099999999999999</c:v>
                </c:pt>
                <c:pt idx="5">
                  <c:v>0.127</c:v>
                </c:pt>
                <c:pt idx="6">
                  <c:v>5.5E-2</c:v>
                </c:pt>
                <c:pt idx="7">
                  <c:v>0.13</c:v>
                </c:pt>
                <c:pt idx="8">
                  <c:v>8.3999999999999991E-2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0.13100000000000001</c:v>
                </c:pt>
                <c:pt idx="37">
                  <c:v>0</c:v>
                </c:pt>
                <c:pt idx="38">
                  <c:v>0</c:v>
                </c:pt>
                <c:pt idx="39">
                  <c:v>6.2E-2</c:v>
                </c:pt>
                <c:pt idx="40">
                  <c:v>3.5000000000000003E-2</c:v>
                </c:pt>
                <c:pt idx="41">
                  <c:v>0.21199999999999999</c:v>
                </c:pt>
                <c:pt idx="42">
                  <c:v>5.5E-2</c:v>
                </c:pt>
                <c:pt idx="43">
                  <c:v>5.5E-2</c:v>
                </c:pt>
                <c:pt idx="44">
                  <c:v>0.246</c:v>
                </c:pt>
                <c:pt idx="45">
                  <c:v>0.41199999999999998</c:v>
                </c:pt>
                <c:pt idx="46">
                  <c:v>0.24099999999999999</c:v>
                </c:pt>
                <c:pt idx="47">
                  <c:v>0.44700000000000001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975E-4534-A86E-CF78270D6413}"/>
            </c:ext>
          </c:extLst>
        </c:ser>
        <c:ser>
          <c:idx val="75"/>
          <c:order val="75"/>
          <c:tx>
            <c:v>BES_TR8_five540_A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Discharge_kW!$BZ$2:$BZ$49</c:f>
              <c:numCache>
                <c:formatCode>#,##0.000</c:formatCode>
                <c:ptCount val="48"/>
                <c:pt idx="0">
                  <c:v>4.2999999999999997E-2</c:v>
                </c:pt>
                <c:pt idx="1">
                  <c:v>0.21099999999999999</c:v>
                </c:pt>
                <c:pt idx="2">
                  <c:v>4.2999999999999997E-2</c:v>
                </c:pt>
                <c:pt idx="3">
                  <c:v>0.16600000000000001</c:v>
                </c:pt>
                <c:pt idx="4">
                  <c:v>8.8999999999999996E-2</c:v>
                </c:pt>
                <c:pt idx="5">
                  <c:v>5.8000000000000003E-2</c:v>
                </c:pt>
                <c:pt idx="6">
                  <c:v>0.19600000000000001</c:v>
                </c:pt>
                <c:pt idx="7">
                  <c:v>0.04</c:v>
                </c:pt>
                <c:pt idx="8">
                  <c:v>0.17399999999999999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0.22900000000000001</c:v>
                </c:pt>
                <c:pt idx="39">
                  <c:v>0.57399999999999995</c:v>
                </c:pt>
                <c:pt idx="40">
                  <c:v>1.056</c:v>
                </c:pt>
                <c:pt idx="41">
                  <c:v>0.20100000000000001</c:v>
                </c:pt>
                <c:pt idx="42">
                  <c:v>0.34799999999999998</c:v>
                </c:pt>
                <c:pt idx="43">
                  <c:v>0.22</c:v>
                </c:pt>
                <c:pt idx="44">
                  <c:v>0.42399999999999999</c:v>
                </c:pt>
                <c:pt idx="45">
                  <c:v>0.26300000000000001</c:v>
                </c:pt>
                <c:pt idx="46">
                  <c:v>0.317</c:v>
                </c:pt>
                <c:pt idx="47">
                  <c:v>4.2999999999999997E-2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975E-4534-A86E-CF78270D6413}"/>
            </c:ext>
          </c:extLst>
        </c:ser>
        <c:ser>
          <c:idx val="76"/>
          <c:order val="76"/>
          <c:tx>
            <c:v>BES_TR8_five551_C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Discharge_kW!$CA$2:$CA$49</c:f>
              <c:numCache>
                <c:formatCode>#,##0.000</c:formatCode>
                <c:ptCount val="48"/>
                <c:pt idx="0">
                  <c:v>5.7000000000000002E-2</c:v>
                </c:pt>
                <c:pt idx="1">
                  <c:v>5.7000000000000002E-2</c:v>
                </c:pt>
                <c:pt idx="2">
                  <c:v>5.7000000000000002E-2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5.7000000000000002E-2</c:v>
                </c:pt>
                <c:pt idx="6">
                  <c:v>5.7000000000000002E-2</c:v>
                </c:pt>
                <c:pt idx="7">
                  <c:v>5.3999999999999999E-2</c:v>
                </c:pt>
                <c:pt idx="8">
                  <c:v>7.0000000000000001E-3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0.31</c:v>
                </c:pt>
                <c:pt idx="40">
                  <c:v>0.23200000000000001</c:v>
                </c:pt>
                <c:pt idx="41">
                  <c:v>0.187</c:v>
                </c:pt>
                <c:pt idx="42">
                  <c:v>0.30199999999999999</c:v>
                </c:pt>
                <c:pt idx="43">
                  <c:v>0.34499999999999997</c:v>
                </c:pt>
                <c:pt idx="44">
                  <c:v>0.29899999999999999</c:v>
                </c:pt>
                <c:pt idx="45">
                  <c:v>0.32100000000000001</c:v>
                </c:pt>
                <c:pt idx="46">
                  <c:v>5.7000000000000002E-2</c:v>
                </c:pt>
                <c:pt idx="47">
                  <c:v>5.7000000000000002E-2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975E-4534-A86E-CF78270D6413}"/>
            </c:ext>
          </c:extLst>
        </c:ser>
        <c:ser>
          <c:idx val="77"/>
          <c:order val="77"/>
          <c:tx>
            <c:v>BES_TR8_five631_B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Discharge_kW!$CB$2:$CB$49</c:f>
              <c:numCache>
                <c:formatCode>#,##0.000</c:formatCode>
                <c:ptCount val="48"/>
                <c:pt idx="0">
                  <c:v>0.16200000000000001</c:v>
                </c:pt>
                <c:pt idx="1">
                  <c:v>0.14000000000000001</c:v>
                </c:pt>
                <c:pt idx="2">
                  <c:v>0.193</c:v>
                </c:pt>
                <c:pt idx="3">
                  <c:v>0.156</c:v>
                </c:pt>
                <c:pt idx="4">
                  <c:v>0.125</c:v>
                </c:pt>
                <c:pt idx="5">
                  <c:v>0.17599999999999999</c:v>
                </c:pt>
                <c:pt idx="6">
                  <c:v>0.105</c:v>
                </c:pt>
                <c:pt idx="7">
                  <c:v>0.17699999999999999</c:v>
                </c:pt>
                <c:pt idx="8">
                  <c:v>0.03</c:v>
                </c:pt>
                <c:pt idx="9">
                  <c:v>0.107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0.371</c:v>
                </c:pt>
                <c:pt idx="39">
                  <c:v>0.95200000000000007</c:v>
                </c:pt>
                <c:pt idx="40">
                  <c:v>0.28899999999999998</c:v>
                </c:pt>
                <c:pt idx="41">
                  <c:v>0.52400000000000002</c:v>
                </c:pt>
                <c:pt idx="42">
                  <c:v>1.496</c:v>
                </c:pt>
                <c:pt idx="43">
                  <c:v>0.19700000000000001</c:v>
                </c:pt>
                <c:pt idx="44">
                  <c:v>0.193</c:v>
                </c:pt>
                <c:pt idx="45">
                  <c:v>0.156</c:v>
                </c:pt>
                <c:pt idx="46">
                  <c:v>0.05</c:v>
                </c:pt>
                <c:pt idx="47">
                  <c:v>0.19400000000000001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975E-4534-A86E-CF78270D6413}"/>
            </c:ext>
          </c:extLst>
        </c:ser>
        <c:ser>
          <c:idx val="78"/>
          <c:order val="78"/>
          <c:tx>
            <c:v>BES_TR8_five649_A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Discharge_kW!$CC$2:$CC$49</c:f>
              <c:numCache>
                <c:formatCode>#,##0.000</c:formatCode>
                <c:ptCount val="48"/>
                <c:pt idx="0">
                  <c:v>0.20499999999999999</c:v>
                </c:pt>
                <c:pt idx="1">
                  <c:v>5.1999999999999998E-2</c:v>
                </c:pt>
                <c:pt idx="2">
                  <c:v>0.19800000000000001</c:v>
                </c:pt>
                <c:pt idx="3">
                  <c:v>0.121</c:v>
                </c:pt>
                <c:pt idx="4">
                  <c:v>0.13300000000000001</c:v>
                </c:pt>
                <c:pt idx="5">
                  <c:v>0.187</c:v>
                </c:pt>
                <c:pt idx="6">
                  <c:v>5.1999999999999998E-2</c:v>
                </c:pt>
                <c:pt idx="7">
                  <c:v>4.9000000000000002E-2</c:v>
                </c:pt>
                <c:pt idx="8">
                  <c:v>0.111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0.27700000000000002</c:v>
                </c:pt>
                <c:pt idx="40">
                  <c:v>0.34100000000000003</c:v>
                </c:pt>
                <c:pt idx="41">
                  <c:v>0.38</c:v>
                </c:pt>
                <c:pt idx="42">
                  <c:v>0.47299999999999998</c:v>
                </c:pt>
                <c:pt idx="43">
                  <c:v>0.29799999999999999</c:v>
                </c:pt>
                <c:pt idx="44">
                  <c:v>0.27100000000000002</c:v>
                </c:pt>
                <c:pt idx="45">
                  <c:v>0.45100000000000001</c:v>
                </c:pt>
                <c:pt idx="46">
                  <c:v>0.11</c:v>
                </c:pt>
                <c:pt idx="47">
                  <c:v>5.1999999999999998E-2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975E-4534-A86E-CF78270D6413}"/>
            </c:ext>
          </c:extLst>
        </c:ser>
        <c:ser>
          <c:idx val="79"/>
          <c:order val="79"/>
          <c:tx>
            <c:v>BES_TR8_five663_C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Discharge_kW!$CD$2:$CD$49</c:f>
              <c:numCache>
                <c:formatCode>#,##0.000</c:formatCode>
                <c:ptCount val="48"/>
                <c:pt idx="0">
                  <c:v>0.11899999999999999</c:v>
                </c:pt>
                <c:pt idx="1">
                  <c:v>5.2999999999999999E-2</c:v>
                </c:pt>
                <c:pt idx="2">
                  <c:v>0.30599999999999999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0.30599999999999999</c:v>
                </c:pt>
                <c:pt idx="6">
                  <c:v>5.2999999999999999E-2</c:v>
                </c:pt>
                <c:pt idx="7">
                  <c:v>0.20699999999999999</c:v>
                </c:pt>
                <c:pt idx="8">
                  <c:v>0.112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0.439</c:v>
                </c:pt>
                <c:pt idx="37">
                  <c:v>0</c:v>
                </c:pt>
                <c:pt idx="38">
                  <c:v>5.6000000000000001E-2</c:v>
                </c:pt>
                <c:pt idx="39">
                  <c:v>0.40200000000000002</c:v>
                </c:pt>
                <c:pt idx="40">
                  <c:v>0.49799999999999989</c:v>
                </c:pt>
                <c:pt idx="41">
                  <c:v>0.79699999999999993</c:v>
                </c:pt>
                <c:pt idx="42">
                  <c:v>0.71699999999999997</c:v>
                </c:pt>
                <c:pt idx="43">
                  <c:v>0.11899999999999999</c:v>
                </c:pt>
                <c:pt idx="44">
                  <c:v>0.11899999999999999</c:v>
                </c:pt>
                <c:pt idx="45">
                  <c:v>0.16700000000000001</c:v>
                </c:pt>
                <c:pt idx="46">
                  <c:v>0.33500000000000002</c:v>
                </c:pt>
                <c:pt idx="47">
                  <c:v>0.128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975E-4534-A86E-CF78270D6413}"/>
            </c:ext>
          </c:extLst>
        </c:ser>
        <c:ser>
          <c:idx val="80"/>
          <c:order val="80"/>
          <c:tx>
            <c:v>BES_TR8_five670_C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Discharge_kW!$CE$2:$CE$49</c:f>
              <c:numCache>
                <c:formatCode>#,##0.000</c:formatCode>
                <c:ptCount val="48"/>
                <c:pt idx="0">
                  <c:v>4.5999999999999999E-2</c:v>
                </c:pt>
                <c:pt idx="1">
                  <c:v>4.5999999999999999E-2</c:v>
                </c:pt>
                <c:pt idx="2">
                  <c:v>4.5999999999999999E-2</c:v>
                </c:pt>
                <c:pt idx="3">
                  <c:v>4.5999999999999999E-2</c:v>
                </c:pt>
                <c:pt idx="4">
                  <c:v>4.5999999999999999E-2</c:v>
                </c:pt>
                <c:pt idx="5">
                  <c:v>4.5999999999999999E-2</c:v>
                </c:pt>
                <c:pt idx="6">
                  <c:v>4.5999999999999999E-2</c:v>
                </c:pt>
                <c:pt idx="7">
                  <c:v>4.3999999999999997E-2</c:v>
                </c:pt>
                <c:pt idx="8">
                  <c:v>1.4999999999999999E-2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3.4000000000000002E-2</c:v>
                </c:pt>
                <c:pt idx="41">
                  <c:v>4.5999999999999999E-2</c:v>
                </c:pt>
                <c:pt idx="42">
                  <c:v>4.5999999999999999E-2</c:v>
                </c:pt>
                <c:pt idx="43">
                  <c:v>0.10100000000000001</c:v>
                </c:pt>
                <c:pt idx="44">
                  <c:v>0.23400000000000001</c:v>
                </c:pt>
                <c:pt idx="45">
                  <c:v>0.35199999999999998</c:v>
                </c:pt>
                <c:pt idx="46">
                  <c:v>0.13100000000000001</c:v>
                </c:pt>
                <c:pt idx="47">
                  <c:v>8.1000000000000003E-2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975E-4534-A86E-CF78270D6413}"/>
            </c:ext>
          </c:extLst>
        </c:ser>
        <c:ser>
          <c:idx val="81"/>
          <c:order val="81"/>
          <c:tx>
            <c:v>BES_TR8_five704_A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Discharge_kW!$CF$2:$CF$49</c:f>
              <c:numCache>
                <c:formatCode>#,##0.000</c:formatCode>
                <c:ptCount val="48"/>
                <c:pt idx="0">
                  <c:v>0.67800000000000005</c:v>
                </c:pt>
                <c:pt idx="1">
                  <c:v>0.29699999999999999</c:v>
                </c:pt>
                <c:pt idx="2">
                  <c:v>0.13300000000000001</c:v>
                </c:pt>
                <c:pt idx="3">
                  <c:v>0.20300000000000001</c:v>
                </c:pt>
                <c:pt idx="4">
                  <c:v>3.9E-2</c:v>
                </c:pt>
                <c:pt idx="5">
                  <c:v>0.152</c:v>
                </c:pt>
                <c:pt idx="6">
                  <c:v>3.9E-2</c:v>
                </c:pt>
                <c:pt idx="7">
                  <c:v>0.17499999999999999</c:v>
                </c:pt>
                <c:pt idx="8">
                  <c:v>0.10299999999999999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0.48099999999999998</c:v>
                </c:pt>
                <c:pt idx="36">
                  <c:v>0</c:v>
                </c:pt>
                <c:pt idx="37">
                  <c:v>0.37</c:v>
                </c:pt>
                <c:pt idx="38">
                  <c:v>2.4350000000000001</c:v>
                </c:pt>
                <c:pt idx="39">
                  <c:v>1.9179999999999999</c:v>
                </c:pt>
                <c:pt idx="40">
                  <c:v>0.45600000000000002</c:v>
                </c:pt>
                <c:pt idx="41">
                  <c:v>1.446</c:v>
                </c:pt>
                <c:pt idx="42">
                  <c:v>9.5000000000000001E-2</c:v>
                </c:pt>
                <c:pt idx="43">
                  <c:v>0.20799999999999999</c:v>
                </c:pt>
                <c:pt idx="44">
                  <c:v>4.2999999999999997E-2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975E-4534-A86E-CF78270D6413}"/>
            </c:ext>
          </c:extLst>
        </c:ser>
        <c:ser>
          <c:idx val="82"/>
          <c:order val="82"/>
          <c:tx>
            <c:v>BES_TR8_five719_A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Discharge_kW!$CG$2:$CG$49</c:f>
              <c:numCache>
                <c:formatCode>#,##0.000</c:formatCode>
                <c:ptCount val="48"/>
                <c:pt idx="0">
                  <c:v>0.21299999999999999</c:v>
                </c:pt>
                <c:pt idx="1">
                  <c:v>0.28399999999999997</c:v>
                </c:pt>
                <c:pt idx="2">
                  <c:v>0.13500000000000001</c:v>
                </c:pt>
                <c:pt idx="3">
                  <c:v>4.1000000000000002E-2</c:v>
                </c:pt>
                <c:pt idx="4">
                  <c:v>0.25900000000000001</c:v>
                </c:pt>
                <c:pt idx="5">
                  <c:v>4.1000000000000002E-2</c:v>
                </c:pt>
                <c:pt idx="6">
                  <c:v>4.1000000000000002E-2</c:v>
                </c:pt>
                <c:pt idx="7">
                  <c:v>3.7999999999999999E-2</c:v>
                </c:pt>
                <c:pt idx="8">
                  <c:v>8.5000000000000006E-2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0.106</c:v>
                </c:pt>
                <c:pt idx="39">
                  <c:v>0.21199999999999999</c:v>
                </c:pt>
                <c:pt idx="40">
                  <c:v>0.105</c:v>
                </c:pt>
                <c:pt idx="41">
                  <c:v>0.29399999999999998</c:v>
                </c:pt>
                <c:pt idx="42">
                  <c:v>0.17499999999999999</c:v>
                </c:pt>
                <c:pt idx="43">
                  <c:v>0.55400000000000005</c:v>
                </c:pt>
                <c:pt idx="44">
                  <c:v>0.24399999999999999</c:v>
                </c:pt>
                <c:pt idx="45">
                  <c:v>0.52899999999999991</c:v>
                </c:pt>
                <c:pt idx="46">
                  <c:v>0.32600000000000001</c:v>
                </c:pt>
                <c:pt idx="47">
                  <c:v>4.1000000000000002E-2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975E-4534-A86E-CF78270D6413}"/>
            </c:ext>
          </c:extLst>
        </c:ser>
        <c:ser>
          <c:idx val="83"/>
          <c:order val="83"/>
          <c:tx>
            <c:v>BES_TR8_five750_B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Discharge_kW!$CH$2:$CH$49</c:f>
              <c:numCache>
                <c:formatCode>#,##0.000</c:formatCode>
                <c:ptCount val="48"/>
                <c:pt idx="0">
                  <c:v>0.19</c:v>
                </c:pt>
                <c:pt idx="1">
                  <c:v>4.7E-2</c:v>
                </c:pt>
                <c:pt idx="2">
                  <c:v>0.17699999999999999</c:v>
                </c:pt>
                <c:pt idx="3">
                  <c:v>0.06</c:v>
                </c:pt>
                <c:pt idx="4">
                  <c:v>0.13800000000000001</c:v>
                </c:pt>
                <c:pt idx="5">
                  <c:v>9.8999999999999991E-2</c:v>
                </c:pt>
                <c:pt idx="6">
                  <c:v>4.7E-2</c:v>
                </c:pt>
                <c:pt idx="7">
                  <c:v>0.187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0.26600000000000001</c:v>
                </c:pt>
                <c:pt idx="40">
                  <c:v>0.51999999999999991</c:v>
                </c:pt>
                <c:pt idx="41">
                  <c:v>0.47799999999999998</c:v>
                </c:pt>
                <c:pt idx="42">
                  <c:v>0.26100000000000001</c:v>
                </c:pt>
                <c:pt idx="43">
                  <c:v>4.7E-2</c:v>
                </c:pt>
                <c:pt idx="44">
                  <c:v>9.2999999999999999E-2</c:v>
                </c:pt>
                <c:pt idx="45">
                  <c:v>0.14499999999999999</c:v>
                </c:pt>
                <c:pt idx="46">
                  <c:v>4.7E-2</c:v>
                </c:pt>
                <c:pt idx="47">
                  <c:v>4.7E-2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975E-4534-A86E-CF78270D6413}"/>
            </c:ext>
          </c:extLst>
        </c:ser>
        <c:ser>
          <c:idx val="84"/>
          <c:order val="84"/>
          <c:tx>
            <c:v>BES_TR8_five793_A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Discharge_kW!$CI$2:$CI$49</c:f>
              <c:numCache>
                <c:formatCode>#,##0.000</c:formatCode>
                <c:ptCount val="48"/>
                <c:pt idx="0">
                  <c:v>0.11799999999999999</c:v>
                </c:pt>
                <c:pt idx="1">
                  <c:v>0.22700000000000001</c:v>
                </c:pt>
                <c:pt idx="2">
                  <c:v>5.0999999999999997E-2</c:v>
                </c:pt>
                <c:pt idx="3">
                  <c:v>0.11799999999999999</c:v>
                </c:pt>
                <c:pt idx="4">
                  <c:v>7.4999999999999997E-2</c:v>
                </c:pt>
                <c:pt idx="5">
                  <c:v>0.27</c:v>
                </c:pt>
                <c:pt idx="6">
                  <c:v>5.0999999999999997E-2</c:v>
                </c:pt>
                <c:pt idx="7">
                  <c:v>0.24199999999999999</c:v>
                </c:pt>
                <c:pt idx="8">
                  <c:v>8.3000000000000004E-2</c:v>
                </c:pt>
                <c:pt idx="9">
                  <c:v>0</c:v>
                </c:pt>
                <c:pt idx="10">
                  <c:v>0.121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1.756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0.39300000000000002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7.8E-2</c:v>
                </c:pt>
                <c:pt idx="40">
                  <c:v>0.22</c:v>
                </c:pt>
                <c:pt idx="41">
                  <c:v>5.0999999999999997E-2</c:v>
                </c:pt>
                <c:pt idx="42">
                  <c:v>0.13500000000000001</c:v>
                </c:pt>
                <c:pt idx="43">
                  <c:v>0.29499999999999998</c:v>
                </c:pt>
                <c:pt idx="44">
                  <c:v>0.19500000000000001</c:v>
                </c:pt>
                <c:pt idx="45">
                  <c:v>5.5E-2</c:v>
                </c:pt>
                <c:pt idx="46">
                  <c:v>0.22600000000000001</c:v>
                </c:pt>
                <c:pt idx="47">
                  <c:v>0.13700000000000001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975E-4534-A86E-CF78270D6413}"/>
            </c:ext>
          </c:extLst>
        </c:ser>
        <c:ser>
          <c:idx val="85"/>
          <c:order val="85"/>
          <c:tx>
            <c:v>BES_TR8_five801_C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Discharge_kW!$CJ$2:$CJ$49</c:f>
              <c:numCache>
                <c:formatCode>#,##0.000</c:formatCode>
                <c:ptCount val="48"/>
                <c:pt idx="0">
                  <c:v>0.307</c:v>
                </c:pt>
                <c:pt idx="1">
                  <c:v>4.9000000000000002E-2</c:v>
                </c:pt>
                <c:pt idx="2">
                  <c:v>0.182</c:v>
                </c:pt>
                <c:pt idx="3">
                  <c:v>4.9000000000000002E-2</c:v>
                </c:pt>
                <c:pt idx="4">
                  <c:v>0.13300000000000001</c:v>
                </c:pt>
                <c:pt idx="5">
                  <c:v>9.7000000000000003E-2</c:v>
                </c:pt>
                <c:pt idx="6">
                  <c:v>8.5000000000000006E-2</c:v>
                </c:pt>
                <c:pt idx="7">
                  <c:v>0.14299999999999999</c:v>
                </c:pt>
                <c:pt idx="8">
                  <c:v>5.0000000000000001E-3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0.32100000000000001</c:v>
                </c:pt>
                <c:pt idx="40">
                  <c:v>0.36699999999999999</c:v>
                </c:pt>
                <c:pt idx="41">
                  <c:v>0.65799999999999992</c:v>
                </c:pt>
                <c:pt idx="42">
                  <c:v>1.4279999999999999</c:v>
                </c:pt>
                <c:pt idx="43">
                  <c:v>1.212</c:v>
                </c:pt>
                <c:pt idx="44">
                  <c:v>0.63200000000000001</c:v>
                </c:pt>
                <c:pt idx="45">
                  <c:v>0.40699999999999997</c:v>
                </c:pt>
                <c:pt idx="46">
                  <c:v>0.39300000000000002</c:v>
                </c:pt>
                <c:pt idx="47">
                  <c:v>5.5E-2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975E-4534-A86E-CF78270D6413}"/>
            </c:ext>
          </c:extLst>
        </c:ser>
        <c:ser>
          <c:idx val="86"/>
          <c:order val="86"/>
          <c:tx>
            <c:v>BES_TR8_five905_B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Discharge_kW!$CK$2:$CK$49</c:f>
              <c:numCache>
                <c:formatCode>#,##0.000</c:formatCode>
                <c:ptCount val="48"/>
                <c:pt idx="0">
                  <c:v>0.217</c:v>
                </c:pt>
                <c:pt idx="1">
                  <c:v>0.189</c:v>
                </c:pt>
                <c:pt idx="2">
                  <c:v>4.9000000000000002E-2</c:v>
                </c:pt>
                <c:pt idx="3">
                  <c:v>8.7999999999999995E-2</c:v>
                </c:pt>
                <c:pt idx="4">
                  <c:v>0.17199999999999999</c:v>
                </c:pt>
                <c:pt idx="5">
                  <c:v>0.26500000000000001</c:v>
                </c:pt>
                <c:pt idx="6">
                  <c:v>0.123</c:v>
                </c:pt>
                <c:pt idx="7">
                  <c:v>4.7E-2</c:v>
                </c:pt>
                <c:pt idx="8">
                  <c:v>0.23200000000000001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0.73599999999999999</c:v>
                </c:pt>
                <c:pt idx="38">
                  <c:v>0</c:v>
                </c:pt>
                <c:pt idx="39">
                  <c:v>0.41899999999999998</c:v>
                </c:pt>
                <c:pt idx="40">
                  <c:v>0.14199999999999999</c:v>
                </c:pt>
                <c:pt idx="41">
                  <c:v>0.114</c:v>
                </c:pt>
                <c:pt idx="42">
                  <c:v>0.19800000000000001</c:v>
                </c:pt>
                <c:pt idx="43">
                  <c:v>5.2999999999999999E-2</c:v>
                </c:pt>
                <c:pt idx="44">
                  <c:v>0.11899999999999999</c:v>
                </c:pt>
                <c:pt idx="45">
                  <c:v>4.9000000000000002E-2</c:v>
                </c:pt>
                <c:pt idx="46">
                  <c:v>4.9000000000000002E-2</c:v>
                </c:pt>
                <c:pt idx="47">
                  <c:v>0.18099999999999999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975E-4534-A86E-CF78270D6413}"/>
            </c:ext>
          </c:extLst>
        </c:ser>
        <c:ser>
          <c:idx val="87"/>
          <c:order val="87"/>
          <c:tx>
            <c:v>BES_TR8_five118_B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Discharge_kW!$CL$2:$CL$49</c:f>
              <c:numCache>
                <c:formatCode>#,##0.000</c:formatCode>
                <c:ptCount val="48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4.7E-2</c:v>
                </c:pt>
                <c:pt idx="8">
                  <c:v>1.2999999999999999E-2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8.3000000000000004E-2</c:v>
                </c:pt>
                <c:pt idx="40">
                  <c:v>3.5000000000000003E-2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0.05</c:v>
                </c:pt>
                <c:pt idx="46">
                  <c:v>0.05</c:v>
                </c:pt>
                <c:pt idx="4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975E-4534-A86E-CF78270D6413}"/>
            </c:ext>
          </c:extLst>
        </c:ser>
        <c:ser>
          <c:idx val="88"/>
          <c:order val="88"/>
          <c:tx>
            <c:v>BES_TR8_five123_B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Discharge_kW!$CM$2:$CM$49</c:f>
              <c:numCache>
                <c:formatCode>#,##0.000</c:formatCode>
                <c:ptCount val="48"/>
                <c:pt idx="0">
                  <c:v>0.05</c:v>
                </c:pt>
                <c:pt idx="1">
                  <c:v>0.129</c:v>
                </c:pt>
                <c:pt idx="2">
                  <c:v>0.19500000000000001</c:v>
                </c:pt>
                <c:pt idx="3">
                  <c:v>0.104</c:v>
                </c:pt>
                <c:pt idx="4">
                  <c:v>9.8000000000000004E-2</c:v>
                </c:pt>
                <c:pt idx="5">
                  <c:v>0.28000000000000003</c:v>
                </c:pt>
                <c:pt idx="6">
                  <c:v>0.05</c:v>
                </c:pt>
                <c:pt idx="7">
                  <c:v>0.192</c:v>
                </c:pt>
                <c:pt idx="8">
                  <c:v>0.14599999999999999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0.35299999999999998</c:v>
                </c:pt>
                <c:pt idx="40">
                  <c:v>0.49</c:v>
                </c:pt>
                <c:pt idx="41">
                  <c:v>0.48</c:v>
                </c:pt>
                <c:pt idx="42">
                  <c:v>0.60299999999999998</c:v>
                </c:pt>
                <c:pt idx="43">
                  <c:v>0.57600000000000007</c:v>
                </c:pt>
                <c:pt idx="44">
                  <c:v>0.49399999999999999</c:v>
                </c:pt>
                <c:pt idx="45">
                  <c:v>0.58600000000000008</c:v>
                </c:pt>
                <c:pt idx="46">
                  <c:v>0.495</c:v>
                </c:pt>
                <c:pt idx="47">
                  <c:v>0.32800000000000001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975E-4534-A86E-CF78270D6413}"/>
            </c:ext>
          </c:extLst>
        </c:ser>
        <c:ser>
          <c:idx val="89"/>
          <c:order val="89"/>
          <c:tx>
            <c:v>BES_TR8_six64_A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Discharge_kW!$CN$2:$CN$49</c:f>
              <c:numCache>
                <c:formatCode>#,##0.000</c:formatCode>
                <c:ptCount val="48"/>
                <c:pt idx="0">
                  <c:v>0.14899999999999999</c:v>
                </c:pt>
                <c:pt idx="1">
                  <c:v>0.14299999999999999</c:v>
                </c:pt>
                <c:pt idx="2">
                  <c:v>4.1000000000000002E-2</c:v>
                </c:pt>
                <c:pt idx="3">
                  <c:v>8.2000000000000003E-2</c:v>
                </c:pt>
                <c:pt idx="4">
                  <c:v>0.15</c:v>
                </c:pt>
                <c:pt idx="5">
                  <c:v>4.1000000000000002E-2</c:v>
                </c:pt>
                <c:pt idx="6">
                  <c:v>0.191</c:v>
                </c:pt>
                <c:pt idx="7">
                  <c:v>3.9E-2</c:v>
                </c:pt>
                <c:pt idx="8">
                  <c:v>0.14499999999999999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0.217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0.221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0.156</c:v>
                </c:pt>
                <c:pt idx="38">
                  <c:v>0</c:v>
                </c:pt>
                <c:pt idx="39">
                  <c:v>0.39400000000000002</c:v>
                </c:pt>
                <c:pt idx="40">
                  <c:v>0.63600000000000001</c:v>
                </c:pt>
                <c:pt idx="41">
                  <c:v>0.74399999999999999</c:v>
                </c:pt>
                <c:pt idx="42">
                  <c:v>0.58499999999999996</c:v>
                </c:pt>
                <c:pt idx="43">
                  <c:v>0.67400000000000004</c:v>
                </c:pt>
                <c:pt idx="44">
                  <c:v>0.503</c:v>
                </c:pt>
                <c:pt idx="45">
                  <c:v>1.885</c:v>
                </c:pt>
                <c:pt idx="46">
                  <c:v>0.184</c:v>
                </c:pt>
                <c:pt idx="47">
                  <c:v>4.1000000000000002E-2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975E-4534-A86E-CF78270D6413}"/>
            </c:ext>
          </c:extLst>
        </c:ser>
        <c:ser>
          <c:idx val="90"/>
          <c:order val="90"/>
          <c:tx>
            <c:v>BES_TR8_six154_C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Discharge_kW!$CO$2:$CO$49</c:f>
              <c:numCache>
                <c:formatCode>#,##0.000</c:formatCode>
                <c:ptCount val="48"/>
                <c:pt idx="0">
                  <c:v>0.19500000000000001</c:v>
                </c:pt>
                <c:pt idx="1">
                  <c:v>0.155</c:v>
                </c:pt>
                <c:pt idx="2">
                  <c:v>5.1999999999999998E-2</c:v>
                </c:pt>
                <c:pt idx="3">
                  <c:v>0.29799999999999999</c:v>
                </c:pt>
                <c:pt idx="4">
                  <c:v>5.1999999999999998E-2</c:v>
                </c:pt>
                <c:pt idx="5">
                  <c:v>0.24399999999999999</c:v>
                </c:pt>
                <c:pt idx="6">
                  <c:v>0.106</c:v>
                </c:pt>
                <c:pt idx="7">
                  <c:v>0.105</c:v>
                </c:pt>
                <c:pt idx="8">
                  <c:v>0.152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9.0999999999999998E-2</c:v>
                </c:pt>
                <c:pt idx="39">
                  <c:v>0</c:v>
                </c:pt>
                <c:pt idx="40">
                  <c:v>0.152</c:v>
                </c:pt>
                <c:pt idx="41">
                  <c:v>0.183</c:v>
                </c:pt>
                <c:pt idx="42">
                  <c:v>0.106</c:v>
                </c:pt>
                <c:pt idx="43">
                  <c:v>0.44500000000000001</c:v>
                </c:pt>
                <c:pt idx="44">
                  <c:v>5.1999999999999998E-2</c:v>
                </c:pt>
                <c:pt idx="45">
                  <c:v>0.14599999999999999</c:v>
                </c:pt>
                <c:pt idx="46">
                  <c:v>5.8999999999999997E-2</c:v>
                </c:pt>
                <c:pt idx="47">
                  <c:v>0.24399999999999999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975E-4534-A86E-CF78270D6413}"/>
            </c:ext>
          </c:extLst>
        </c:ser>
        <c:ser>
          <c:idx val="91"/>
          <c:order val="91"/>
          <c:tx>
            <c:v>BES_TR8_six173_C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Discharge_kW!$CP$2:$CP$49</c:f>
              <c:numCache>
                <c:formatCode>#,##0.000</c:formatCode>
                <c:ptCount val="48"/>
                <c:pt idx="0">
                  <c:v>4.9000000000000002E-2</c:v>
                </c:pt>
                <c:pt idx="1">
                  <c:v>0.11</c:v>
                </c:pt>
                <c:pt idx="2">
                  <c:v>4.9000000000000002E-2</c:v>
                </c:pt>
                <c:pt idx="3">
                  <c:v>0.11</c:v>
                </c:pt>
                <c:pt idx="4">
                  <c:v>4.9000000000000002E-2</c:v>
                </c:pt>
                <c:pt idx="5">
                  <c:v>8.6000000000000007E-2</c:v>
                </c:pt>
                <c:pt idx="6">
                  <c:v>7.2999999999999995E-2</c:v>
                </c:pt>
                <c:pt idx="7">
                  <c:v>4.5999999999999999E-2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0.315</c:v>
                </c:pt>
                <c:pt idx="40">
                  <c:v>0.73899999999999999</c:v>
                </c:pt>
                <c:pt idx="41">
                  <c:v>2.73</c:v>
                </c:pt>
                <c:pt idx="42">
                  <c:v>2.956</c:v>
                </c:pt>
                <c:pt idx="43">
                  <c:v>0.432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975E-4534-A86E-CF78270D6413}"/>
            </c:ext>
          </c:extLst>
        </c:ser>
        <c:ser>
          <c:idx val="92"/>
          <c:order val="92"/>
          <c:tx>
            <c:v>BES_TR8_six232_C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Discharge_kW!$CQ$2:$CQ$49</c:f>
              <c:numCache>
                <c:formatCode>#,##0.000</c:formatCode>
                <c:ptCount val="48"/>
                <c:pt idx="0">
                  <c:v>1.5649999999999999</c:v>
                </c:pt>
                <c:pt idx="1">
                  <c:v>5.8000000000000003E-2</c:v>
                </c:pt>
                <c:pt idx="2">
                  <c:v>0.10100000000000001</c:v>
                </c:pt>
                <c:pt idx="3">
                  <c:v>0.17299999999999999</c:v>
                </c:pt>
                <c:pt idx="4">
                  <c:v>5.8000000000000003E-2</c:v>
                </c:pt>
                <c:pt idx="5">
                  <c:v>0.217</c:v>
                </c:pt>
                <c:pt idx="6">
                  <c:v>5.8000000000000003E-2</c:v>
                </c:pt>
                <c:pt idx="7">
                  <c:v>0.16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0.20899999999999999</c:v>
                </c:pt>
                <c:pt idx="39">
                  <c:v>0.60499999999999998</c:v>
                </c:pt>
                <c:pt idx="40">
                  <c:v>0.54600000000000004</c:v>
                </c:pt>
                <c:pt idx="41">
                  <c:v>0.73299999999999998</c:v>
                </c:pt>
                <c:pt idx="42">
                  <c:v>0.53100000000000003</c:v>
                </c:pt>
                <c:pt idx="43">
                  <c:v>0.622</c:v>
                </c:pt>
                <c:pt idx="44">
                  <c:v>0.433</c:v>
                </c:pt>
                <c:pt idx="45">
                  <c:v>0.14399999999999999</c:v>
                </c:pt>
                <c:pt idx="46">
                  <c:v>0.217</c:v>
                </c:pt>
                <c:pt idx="47">
                  <c:v>5.8000000000000003E-2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975E-4534-A86E-CF78270D6413}"/>
            </c:ext>
          </c:extLst>
        </c:ser>
        <c:ser>
          <c:idx val="93"/>
          <c:order val="93"/>
          <c:tx>
            <c:v>BES_TR8_six238_A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Discharge_kW!$CR$2:$CR$49</c:f>
              <c:numCache>
                <c:formatCode>#,##0.000</c:formatCode>
                <c:ptCount val="48"/>
                <c:pt idx="0">
                  <c:v>4.1000000000000002E-2</c:v>
                </c:pt>
                <c:pt idx="1">
                  <c:v>0.22900000000000001</c:v>
                </c:pt>
                <c:pt idx="2">
                  <c:v>7.2999999999999995E-2</c:v>
                </c:pt>
                <c:pt idx="3">
                  <c:v>0.104</c:v>
                </c:pt>
                <c:pt idx="4">
                  <c:v>0.19800000000000001</c:v>
                </c:pt>
                <c:pt idx="5">
                  <c:v>4.1000000000000002E-2</c:v>
                </c:pt>
                <c:pt idx="6">
                  <c:v>5.3999999999999999E-2</c:v>
                </c:pt>
                <c:pt idx="7">
                  <c:v>0.18</c:v>
                </c:pt>
                <c:pt idx="8">
                  <c:v>8.8999999999999996E-2</c:v>
                </c:pt>
                <c:pt idx="9">
                  <c:v>3.6999999999999998E-2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9.8000000000000004E-2</c:v>
                </c:pt>
                <c:pt idx="35">
                  <c:v>0.70200000000000007</c:v>
                </c:pt>
                <c:pt idx="36">
                  <c:v>0</c:v>
                </c:pt>
                <c:pt idx="37">
                  <c:v>0</c:v>
                </c:pt>
                <c:pt idx="38">
                  <c:v>0.11</c:v>
                </c:pt>
                <c:pt idx="39">
                  <c:v>0.48099999999999998</c:v>
                </c:pt>
                <c:pt idx="40">
                  <c:v>0.53100000000000003</c:v>
                </c:pt>
                <c:pt idx="41">
                  <c:v>0.42399999999999999</c:v>
                </c:pt>
                <c:pt idx="42">
                  <c:v>0.81700000000000006</c:v>
                </c:pt>
                <c:pt idx="43">
                  <c:v>0.63900000000000001</c:v>
                </c:pt>
                <c:pt idx="44">
                  <c:v>0.70799999999999996</c:v>
                </c:pt>
                <c:pt idx="45">
                  <c:v>0.40799999999999997</c:v>
                </c:pt>
                <c:pt idx="46">
                  <c:v>0.33200000000000002</c:v>
                </c:pt>
                <c:pt idx="47">
                  <c:v>0.29199999999999998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975E-4534-A86E-CF78270D6413}"/>
            </c:ext>
          </c:extLst>
        </c:ser>
        <c:ser>
          <c:idx val="94"/>
          <c:order val="94"/>
          <c:tx>
            <c:v>BES_TR8_six269_C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Discharge_kW!$CS$2:$CS$49</c:f>
              <c:numCache>
                <c:formatCode>#,##0.000</c:formatCode>
                <c:ptCount val="48"/>
                <c:pt idx="0">
                  <c:v>0.45100000000000001</c:v>
                </c:pt>
                <c:pt idx="1">
                  <c:v>0.32300000000000001</c:v>
                </c:pt>
                <c:pt idx="2">
                  <c:v>0.27300000000000002</c:v>
                </c:pt>
                <c:pt idx="3">
                  <c:v>0.13600000000000001</c:v>
                </c:pt>
                <c:pt idx="4">
                  <c:v>5.7000000000000002E-2</c:v>
                </c:pt>
                <c:pt idx="5">
                  <c:v>0.13600000000000001</c:v>
                </c:pt>
                <c:pt idx="6">
                  <c:v>5.7000000000000002E-2</c:v>
                </c:pt>
                <c:pt idx="7">
                  <c:v>5.3999999999999999E-2</c:v>
                </c:pt>
                <c:pt idx="8">
                  <c:v>1.6E-2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0.68400000000000005</c:v>
                </c:pt>
                <c:pt idx="39">
                  <c:v>1.2390000000000001</c:v>
                </c:pt>
                <c:pt idx="40">
                  <c:v>1.359</c:v>
                </c:pt>
                <c:pt idx="41">
                  <c:v>0.35399999999999998</c:v>
                </c:pt>
                <c:pt idx="42">
                  <c:v>0.46300000000000002</c:v>
                </c:pt>
                <c:pt idx="43">
                  <c:v>0.83799999999999997</c:v>
                </c:pt>
                <c:pt idx="44">
                  <c:v>0.63800000000000001</c:v>
                </c:pt>
                <c:pt idx="45">
                  <c:v>0.56499999999999995</c:v>
                </c:pt>
                <c:pt idx="46">
                  <c:v>0.44</c:v>
                </c:pt>
                <c:pt idx="47">
                  <c:v>0.59199999999999997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975E-4534-A86E-CF78270D6413}"/>
            </c:ext>
          </c:extLst>
        </c:ser>
        <c:ser>
          <c:idx val="95"/>
          <c:order val="95"/>
          <c:tx>
            <c:v>BES_TR8_six289_C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Discharge_kW!$CT$2:$CT$49</c:f>
              <c:numCache>
                <c:formatCode>#,##0.000</c:formatCode>
                <c:ptCount val="48"/>
                <c:pt idx="0">
                  <c:v>0.155</c:v>
                </c:pt>
                <c:pt idx="1">
                  <c:v>4.7E-2</c:v>
                </c:pt>
                <c:pt idx="2">
                  <c:v>4.7E-2</c:v>
                </c:pt>
                <c:pt idx="3">
                  <c:v>0.155</c:v>
                </c:pt>
                <c:pt idx="4">
                  <c:v>6.6000000000000003E-2</c:v>
                </c:pt>
                <c:pt idx="5">
                  <c:v>7.9000000000000001E-2</c:v>
                </c:pt>
                <c:pt idx="6">
                  <c:v>0.14199999999999999</c:v>
                </c:pt>
                <c:pt idx="7">
                  <c:v>4.3999999999999997E-2</c:v>
                </c:pt>
                <c:pt idx="8">
                  <c:v>4.1000000000000002E-2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3.1E-2</c:v>
                </c:pt>
                <c:pt idx="37">
                  <c:v>0</c:v>
                </c:pt>
                <c:pt idx="38">
                  <c:v>0</c:v>
                </c:pt>
                <c:pt idx="39">
                  <c:v>0.08</c:v>
                </c:pt>
                <c:pt idx="40">
                  <c:v>0.03</c:v>
                </c:pt>
                <c:pt idx="41">
                  <c:v>0.17399999999999999</c:v>
                </c:pt>
                <c:pt idx="42">
                  <c:v>4.7E-2</c:v>
                </c:pt>
                <c:pt idx="43">
                  <c:v>4.7E-2</c:v>
                </c:pt>
                <c:pt idx="44">
                  <c:v>0.104</c:v>
                </c:pt>
                <c:pt idx="45">
                  <c:v>0.11700000000000001</c:v>
                </c:pt>
                <c:pt idx="46">
                  <c:v>0.50700000000000001</c:v>
                </c:pt>
                <c:pt idx="47">
                  <c:v>0.53700000000000003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975E-4534-A86E-CF78270D6413}"/>
            </c:ext>
          </c:extLst>
        </c:ser>
        <c:ser>
          <c:idx val="96"/>
          <c:order val="96"/>
          <c:tx>
            <c:v>BES_TR8_six317_C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Discharge_kW!$CU$2:$CU$49</c:f>
              <c:numCache>
                <c:formatCode>#,##0.000</c:formatCode>
                <c:ptCount val="48"/>
                <c:pt idx="0">
                  <c:v>1.492</c:v>
                </c:pt>
                <c:pt idx="1">
                  <c:v>0.19800000000000001</c:v>
                </c:pt>
                <c:pt idx="2">
                  <c:v>5.3999999999999999E-2</c:v>
                </c:pt>
                <c:pt idx="3">
                  <c:v>0.26900000000000002</c:v>
                </c:pt>
                <c:pt idx="4">
                  <c:v>0.187</c:v>
                </c:pt>
                <c:pt idx="5">
                  <c:v>5.3999999999999999E-2</c:v>
                </c:pt>
                <c:pt idx="6">
                  <c:v>0.13700000000000001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0.18099999999999999</c:v>
                </c:pt>
                <c:pt idx="38">
                  <c:v>1.4390000000000001</c:v>
                </c:pt>
                <c:pt idx="39">
                  <c:v>0.34799999999999998</c:v>
                </c:pt>
                <c:pt idx="40">
                  <c:v>0.41699999999999998</c:v>
                </c:pt>
                <c:pt idx="41">
                  <c:v>0.51700000000000002</c:v>
                </c:pt>
                <c:pt idx="42">
                  <c:v>0.752</c:v>
                </c:pt>
                <c:pt idx="43">
                  <c:v>0.51900000000000002</c:v>
                </c:pt>
                <c:pt idx="44">
                  <c:v>0.88800000000000001</c:v>
                </c:pt>
                <c:pt idx="45">
                  <c:v>0.42499999999999999</c:v>
                </c:pt>
                <c:pt idx="46">
                  <c:v>0.161</c:v>
                </c:pt>
                <c:pt idx="47">
                  <c:v>0.29499999999999998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975E-4534-A86E-CF78270D6413}"/>
            </c:ext>
          </c:extLst>
        </c:ser>
        <c:ser>
          <c:idx val="97"/>
          <c:order val="97"/>
          <c:tx>
            <c:v>BES_TR8_six326_A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Discharge_kW!$CV$2:$CV$49</c:f>
              <c:numCache>
                <c:formatCode>#,##0.000</c:formatCode>
                <c:ptCount val="48"/>
                <c:pt idx="0">
                  <c:v>5.3999999999999999E-2</c:v>
                </c:pt>
                <c:pt idx="1">
                  <c:v>0.188</c:v>
                </c:pt>
                <c:pt idx="2">
                  <c:v>5.3999999999999999E-2</c:v>
                </c:pt>
                <c:pt idx="3">
                  <c:v>0.188</c:v>
                </c:pt>
                <c:pt idx="4">
                  <c:v>5.3999999999999999E-2</c:v>
                </c:pt>
                <c:pt idx="5">
                  <c:v>0.155</c:v>
                </c:pt>
                <c:pt idx="6">
                  <c:v>8.7999999999999995E-2</c:v>
                </c:pt>
                <c:pt idx="7">
                  <c:v>0.105</c:v>
                </c:pt>
                <c:pt idx="8">
                  <c:v>9.0999999999999998E-2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8.2000000000000003E-2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0.26900000000000002</c:v>
                </c:pt>
                <c:pt idx="40">
                  <c:v>0.26600000000000001</c:v>
                </c:pt>
                <c:pt idx="41">
                  <c:v>0.35199999999999998</c:v>
                </c:pt>
                <c:pt idx="42">
                  <c:v>0.501</c:v>
                </c:pt>
                <c:pt idx="43">
                  <c:v>0.58600000000000008</c:v>
                </c:pt>
                <c:pt idx="44">
                  <c:v>0.69599999999999995</c:v>
                </c:pt>
                <c:pt idx="45">
                  <c:v>0.46100000000000002</c:v>
                </c:pt>
                <c:pt idx="46">
                  <c:v>0.37</c:v>
                </c:pt>
                <c:pt idx="47">
                  <c:v>0.192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975E-4534-A86E-CF78270D6413}"/>
            </c:ext>
          </c:extLst>
        </c:ser>
        <c:ser>
          <c:idx val="98"/>
          <c:order val="98"/>
          <c:tx>
            <c:v>BES_TR8_six329_A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Discharge_kW!$CW$2:$CW$49</c:f>
              <c:numCache>
                <c:formatCode>#,##0.000</c:formatCode>
                <c:ptCount val="48"/>
                <c:pt idx="0">
                  <c:v>0.04</c:v>
                </c:pt>
                <c:pt idx="1">
                  <c:v>9.6000000000000002E-2</c:v>
                </c:pt>
                <c:pt idx="2">
                  <c:v>0.159</c:v>
                </c:pt>
                <c:pt idx="3">
                  <c:v>0.04</c:v>
                </c:pt>
                <c:pt idx="4">
                  <c:v>0.17499999999999999</c:v>
                </c:pt>
                <c:pt idx="5">
                  <c:v>0.08</c:v>
                </c:pt>
                <c:pt idx="6">
                  <c:v>0.04</c:v>
                </c:pt>
                <c:pt idx="7">
                  <c:v>0.10199999999999999</c:v>
                </c:pt>
                <c:pt idx="8">
                  <c:v>0.13300000000000001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5.0999999999999997E-2</c:v>
                </c:pt>
                <c:pt idx="38">
                  <c:v>0</c:v>
                </c:pt>
                <c:pt idx="39">
                  <c:v>9.6000000000000002E-2</c:v>
                </c:pt>
                <c:pt idx="40">
                  <c:v>0.32900000000000001</c:v>
                </c:pt>
                <c:pt idx="41">
                  <c:v>0.34699999999999998</c:v>
                </c:pt>
                <c:pt idx="42">
                  <c:v>0.48699999999999999</c:v>
                </c:pt>
                <c:pt idx="43">
                  <c:v>0.28599999999999998</c:v>
                </c:pt>
                <c:pt idx="44">
                  <c:v>0.434</c:v>
                </c:pt>
                <c:pt idx="45">
                  <c:v>0.7649999999999999</c:v>
                </c:pt>
                <c:pt idx="46">
                  <c:v>5.6000000000000001E-2</c:v>
                </c:pt>
                <c:pt idx="47">
                  <c:v>0.19900000000000001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975E-4534-A86E-CF78270D6413}"/>
            </c:ext>
          </c:extLst>
        </c:ser>
        <c:ser>
          <c:idx val="99"/>
          <c:order val="99"/>
          <c:tx>
            <c:v>BES_TR8_six342_A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Discharge_kW!$CX$2:$CX$49</c:f>
              <c:numCache>
                <c:formatCode>#,##0.000</c:formatCode>
                <c:ptCount val="48"/>
                <c:pt idx="0">
                  <c:v>5.8000000000000003E-2</c:v>
                </c:pt>
                <c:pt idx="1">
                  <c:v>0.30299999999999999</c:v>
                </c:pt>
                <c:pt idx="2">
                  <c:v>0.1</c:v>
                </c:pt>
                <c:pt idx="3">
                  <c:v>0.219</c:v>
                </c:pt>
                <c:pt idx="4">
                  <c:v>0.19900000000000001</c:v>
                </c:pt>
                <c:pt idx="5">
                  <c:v>0.14099999999999999</c:v>
                </c:pt>
                <c:pt idx="6">
                  <c:v>0.24399999999999999</c:v>
                </c:pt>
                <c:pt idx="7">
                  <c:v>0.20699999999999999</c:v>
                </c:pt>
                <c:pt idx="8">
                  <c:v>0.113</c:v>
                </c:pt>
                <c:pt idx="9">
                  <c:v>0.22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7.8E-2</c:v>
                </c:pt>
                <c:pt idx="36">
                  <c:v>0.86</c:v>
                </c:pt>
                <c:pt idx="37">
                  <c:v>0.49199999999999999</c:v>
                </c:pt>
                <c:pt idx="38">
                  <c:v>3.0070000000000001</c:v>
                </c:pt>
                <c:pt idx="39">
                  <c:v>2.7349999999999999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975E-4534-A86E-CF78270D6413}"/>
            </c:ext>
          </c:extLst>
        </c:ser>
        <c:ser>
          <c:idx val="100"/>
          <c:order val="100"/>
          <c:tx>
            <c:v>BES_TR8_six350_B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Discharge_kW!$CY$2:$CY$49</c:f>
              <c:numCache>
                <c:formatCode>#,##0.000</c:formatCode>
                <c:ptCount val="48"/>
                <c:pt idx="0">
                  <c:v>9.0000000000000011E-2</c:v>
                </c:pt>
                <c:pt idx="1">
                  <c:v>3.4000000000000002E-2</c:v>
                </c:pt>
                <c:pt idx="2">
                  <c:v>3.4000000000000002E-2</c:v>
                </c:pt>
                <c:pt idx="3">
                  <c:v>9.8000000000000004E-2</c:v>
                </c:pt>
                <c:pt idx="4">
                  <c:v>4.7E-2</c:v>
                </c:pt>
                <c:pt idx="5">
                  <c:v>8.2000000000000003E-2</c:v>
                </c:pt>
                <c:pt idx="6">
                  <c:v>6.8000000000000005E-2</c:v>
                </c:pt>
                <c:pt idx="7">
                  <c:v>7.2999999999999995E-2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0.56400000000000006</c:v>
                </c:pt>
                <c:pt idx="36">
                  <c:v>0.182</c:v>
                </c:pt>
                <c:pt idx="37">
                  <c:v>0</c:v>
                </c:pt>
                <c:pt idx="38">
                  <c:v>0.65399999999999991</c:v>
                </c:pt>
                <c:pt idx="39">
                  <c:v>0.24099999999999999</c:v>
                </c:pt>
                <c:pt idx="40">
                  <c:v>0.219</c:v>
                </c:pt>
                <c:pt idx="41">
                  <c:v>0.435</c:v>
                </c:pt>
                <c:pt idx="42">
                  <c:v>0.28599999999999998</c:v>
                </c:pt>
                <c:pt idx="43">
                  <c:v>0.28499999999999998</c:v>
                </c:pt>
                <c:pt idx="44">
                  <c:v>3.4000000000000002E-2</c:v>
                </c:pt>
                <c:pt idx="45">
                  <c:v>0.13600000000000001</c:v>
                </c:pt>
                <c:pt idx="46">
                  <c:v>0.216</c:v>
                </c:pt>
                <c:pt idx="47">
                  <c:v>0.309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975E-4534-A86E-CF78270D6413}"/>
            </c:ext>
          </c:extLst>
        </c:ser>
        <c:ser>
          <c:idx val="101"/>
          <c:order val="101"/>
          <c:tx>
            <c:v>BES_TR8_six365_C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Discharge_kW!$CZ$2:$CZ$49</c:f>
              <c:numCache>
                <c:formatCode>#,##0.000</c:formatCode>
                <c:ptCount val="48"/>
                <c:pt idx="0">
                  <c:v>0.125</c:v>
                </c:pt>
                <c:pt idx="1">
                  <c:v>5.1999999999999998E-2</c:v>
                </c:pt>
                <c:pt idx="2">
                  <c:v>0.125</c:v>
                </c:pt>
                <c:pt idx="3">
                  <c:v>5.1999999999999998E-2</c:v>
                </c:pt>
                <c:pt idx="4">
                  <c:v>0.125</c:v>
                </c:pt>
                <c:pt idx="5">
                  <c:v>5.1999999999999998E-2</c:v>
                </c:pt>
                <c:pt idx="6">
                  <c:v>7.2000000000000008E-2</c:v>
                </c:pt>
                <c:pt idx="7">
                  <c:v>0.10299999999999999</c:v>
                </c:pt>
                <c:pt idx="8">
                  <c:v>2.7E-2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2.8000000000000001E-2</c:v>
                </c:pt>
                <c:pt idx="36">
                  <c:v>1.1399999999999999</c:v>
                </c:pt>
                <c:pt idx="37">
                  <c:v>0</c:v>
                </c:pt>
                <c:pt idx="38">
                  <c:v>0</c:v>
                </c:pt>
                <c:pt idx="39">
                  <c:v>1.284</c:v>
                </c:pt>
                <c:pt idx="40">
                  <c:v>0.85699999999999998</c:v>
                </c:pt>
                <c:pt idx="41">
                  <c:v>0.58399999999999996</c:v>
                </c:pt>
                <c:pt idx="42">
                  <c:v>0.435</c:v>
                </c:pt>
                <c:pt idx="43">
                  <c:v>0.32400000000000001</c:v>
                </c:pt>
                <c:pt idx="44">
                  <c:v>0.316</c:v>
                </c:pt>
                <c:pt idx="45">
                  <c:v>0.41299999999999998</c:v>
                </c:pt>
                <c:pt idx="46">
                  <c:v>1.4390000000000001</c:v>
                </c:pt>
                <c:pt idx="47">
                  <c:v>0.61199999999999999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975E-4534-A86E-CF78270D6413}"/>
            </c:ext>
          </c:extLst>
        </c:ser>
        <c:ser>
          <c:idx val="102"/>
          <c:order val="102"/>
          <c:tx>
            <c:v>BES_TR8_six75_A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Discharge_kW!$DA$2:$DA$49</c:f>
              <c:numCache>
                <c:formatCode>#,##0.000</c:formatCode>
                <c:ptCount val="48"/>
                <c:pt idx="0">
                  <c:v>5.7000000000000002E-2</c:v>
                </c:pt>
                <c:pt idx="1">
                  <c:v>5.7000000000000002E-2</c:v>
                </c:pt>
                <c:pt idx="2">
                  <c:v>5.7000000000000002E-2</c:v>
                </c:pt>
                <c:pt idx="3">
                  <c:v>5.7000000000000002E-2</c:v>
                </c:pt>
                <c:pt idx="4">
                  <c:v>5.7000000000000002E-2</c:v>
                </c:pt>
                <c:pt idx="5">
                  <c:v>5.7000000000000002E-2</c:v>
                </c:pt>
                <c:pt idx="6">
                  <c:v>5.7000000000000002E-2</c:v>
                </c:pt>
                <c:pt idx="7">
                  <c:v>5.3999999999999999E-2</c:v>
                </c:pt>
                <c:pt idx="8">
                  <c:v>7.0000000000000001E-3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8.2000000000000003E-2</c:v>
                </c:pt>
                <c:pt idx="39">
                  <c:v>1.1950000000000001</c:v>
                </c:pt>
                <c:pt idx="40">
                  <c:v>0.33800000000000002</c:v>
                </c:pt>
                <c:pt idx="41">
                  <c:v>0.30299999999999999</c:v>
                </c:pt>
                <c:pt idx="42">
                  <c:v>0.38900000000000001</c:v>
                </c:pt>
                <c:pt idx="43">
                  <c:v>0.6130000000000001</c:v>
                </c:pt>
                <c:pt idx="44">
                  <c:v>0.67900000000000005</c:v>
                </c:pt>
                <c:pt idx="45">
                  <c:v>0.48099999999999998</c:v>
                </c:pt>
                <c:pt idx="46">
                  <c:v>0.31</c:v>
                </c:pt>
                <c:pt idx="47">
                  <c:v>5.7000000000000002E-2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975E-4534-A86E-CF78270D6413}"/>
            </c:ext>
          </c:extLst>
        </c:ser>
        <c:ser>
          <c:idx val="103"/>
          <c:order val="103"/>
          <c:tx>
            <c:v>BES_TR8_six385_B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Discharge_kW!$DB$2:$DB$49</c:f>
              <c:numCache>
                <c:formatCode>#,##0.000</c:formatCode>
                <c:ptCount val="48"/>
                <c:pt idx="0">
                  <c:v>0.1</c:v>
                </c:pt>
                <c:pt idx="1">
                  <c:v>3.9E-2</c:v>
                </c:pt>
                <c:pt idx="2">
                  <c:v>0.161</c:v>
                </c:pt>
                <c:pt idx="3">
                  <c:v>3.9E-2</c:v>
                </c:pt>
                <c:pt idx="4">
                  <c:v>3.9E-2</c:v>
                </c:pt>
                <c:pt idx="5">
                  <c:v>3.9E-2</c:v>
                </c:pt>
                <c:pt idx="6">
                  <c:v>0.161</c:v>
                </c:pt>
                <c:pt idx="7">
                  <c:v>3.6999999999999998E-2</c:v>
                </c:pt>
                <c:pt idx="8">
                  <c:v>8.0000000000000002E-3</c:v>
                </c:pt>
                <c:pt idx="9">
                  <c:v>1.6E-2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0.26600000000000001</c:v>
                </c:pt>
                <c:pt idx="39">
                  <c:v>0.51600000000000001</c:v>
                </c:pt>
                <c:pt idx="40">
                  <c:v>0.82099999999999995</c:v>
                </c:pt>
                <c:pt idx="41">
                  <c:v>0.74299999999999999</c:v>
                </c:pt>
                <c:pt idx="42">
                  <c:v>0.95899999999999996</c:v>
                </c:pt>
                <c:pt idx="43">
                  <c:v>0.50700000000000001</c:v>
                </c:pt>
                <c:pt idx="44">
                  <c:v>0.622</c:v>
                </c:pt>
                <c:pt idx="45">
                  <c:v>1.546</c:v>
                </c:pt>
                <c:pt idx="46">
                  <c:v>0.496</c:v>
                </c:pt>
                <c:pt idx="47">
                  <c:v>0.47499999999999998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975E-4534-A86E-CF78270D6413}"/>
            </c:ext>
          </c:extLst>
        </c:ser>
        <c:ser>
          <c:idx val="104"/>
          <c:order val="104"/>
          <c:tx>
            <c:v>BES_TR8_six431_C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Discharge_kW!$DC$2:$DC$49</c:f>
              <c:numCache>
                <c:formatCode>#,##0.000</c:formatCode>
                <c:ptCount val="48"/>
                <c:pt idx="0">
                  <c:v>0.315</c:v>
                </c:pt>
                <c:pt idx="1">
                  <c:v>9.2999999999999999E-2</c:v>
                </c:pt>
                <c:pt idx="2">
                  <c:v>9.2999999999999999E-2</c:v>
                </c:pt>
                <c:pt idx="3">
                  <c:v>0.24299999999999999</c:v>
                </c:pt>
                <c:pt idx="4">
                  <c:v>0.14399999999999999</c:v>
                </c:pt>
                <c:pt idx="5">
                  <c:v>0.27800000000000002</c:v>
                </c:pt>
                <c:pt idx="6">
                  <c:v>0.11899999999999999</c:v>
                </c:pt>
                <c:pt idx="7">
                  <c:v>0.14699999999999999</c:v>
                </c:pt>
                <c:pt idx="8">
                  <c:v>0.125</c:v>
                </c:pt>
                <c:pt idx="9">
                  <c:v>0.115</c:v>
                </c:pt>
                <c:pt idx="10">
                  <c:v>0.06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1.091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1.0189999999999999</c:v>
                </c:pt>
                <c:pt idx="36">
                  <c:v>0.312</c:v>
                </c:pt>
                <c:pt idx="37">
                  <c:v>6.6000000000000003E-2</c:v>
                </c:pt>
                <c:pt idx="38">
                  <c:v>0.29399999999999998</c:v>
                </c:pt>
                <c:pt idx="39">
                  <c:v>0.49099999999999999</c:v>
                </c:pt>
                <c:pt idx="40">
                  <c:v>0.11899999999999999</c:v>
                </c:pt>
                <c:pt idx="41">
                  <c:v>0.22900000000000001</c:v>
                </c:pt>
                <c:pt idx="42">
                  <c:v>0.51700000000000002</c:v>
                </c:pt>
                <c:pt idx="43">
                  <c:v>0.32100000000000001</c:v>
                </c:pt>
                <c:pt idx="44">
                  <c:v>0.57399999999999995</c:v>
                </c:pt>
                <c:pt idx="45">
                  <c:v>0.41399999999999998</c:v>
                </c:pt>
                <c:pt idx="46">
                  <c:v>0.41199999999999998</c:v>
                </c:pt>
                <c:pt idx="47">
                  <c:v>0.63300000000000001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975E-4534-A86E-CF78270D6413}"/>
            </c:ext>
          </c:extLst>
        </c:ser>
        <c:ser>
          <c:idx val="105"/>
          <c:order val="105"/>
          <c:tx>
            <c:v>BES_TR8_six571_C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Discharge_kW!$DD$2:$DD$49</c:f>
              <c:numCache>
                <c:formatCode>#,##0.000</c:formatCode>
                <c:ptCount val="48"/>
                <c:pt idx="0">
                  <c:v>4.2000000000000003E-2</c:v>
                </c:pt>
                <c:pt idx="1">
                  <c:v>0.115</c:v>
                </c:pt>
                <c:pt idx="2">
                  <c:v>4.2000000000000003E-2</c:v>
                </c:pt>
                <c:pt idx="3">
                  <c:v>4.2000000000000003E-2</c:v>
                </c:pt>
                <c:pt idx="4">
                  <c:v>4.2000000000000003E-2</c:v>
                </c:pt>
                <c:pt idx="5">
                  <c:v>0.111</c:v>
                </c:pt>
                <c:pt idx="6">
                  <c:v>4.5999999999999999E-2</c:v>
                </c:pt>
                <c:pt idx="7">
                  <c:v>0.04</c:v>
                </c:pt>
                <c:pt idx="8">
                  <c:v>1.7000000000000001E-2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1.012</c:v>
                </c:pt>
                <c:pt idx="38">
                  <c:v>0</c:v>
                </c:pt>
                <c:pt idx="39">
                  <c:v>0</c:v>
                </c:pt>
                <c:pt idx="40">
                  <c:v>0.105</c:v>
                </c:pt>
                <c:pt idx="41">
                  <c:v>4.2000000000000003E-2</c:v>
                </c:pt>
                <c:pt idx="42">
                  <c:v>0.115</c:v>
                </c:pt>
                <c:pt idx="43">
                  <c:v>4.2000000000000003E-2</c:v>
                </c:pt>
                <c:pt idx="44">
                  <c:v>4.5999999999999999E-2</c:v>
                </c:pt>
                <c:pt idx="45">
                  <c:v>0.111</c:v>
                </c:pt>
                <c:pt idx="46">
                  <c:v>6.9999999999999993E-2</c:v>
                </c:pt>
                <c:pt idx="47">
                  <c:v>8.6999999999999994E-2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975E-4534-A86E-CF78270D6413}"/>
            </c:ext>
          </c:extLst>
        </c:ser>
        <c:ser>
          <c:idx val="106"/>
          <c:order val="106"/>
          <c:tx>
            <c:v>BES_TR8_six595_B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Discharge_kW!$DE$2:$DE$49</c:f>
              <c:numCache>
                <c:formatCode>#,##0.000</c:formatCode>
                <c:ptCount val="48"/>
                <c:pt idx="0">
                  <c:v>0.155</c:v>
                </c:pt>
                <c:pt idx="1">
                  <c:v>0.183</c:v>
                </c:pt>
                <c:pt idx="2">
                  <c:v>5.6000000000000001E-2</c:v>
                </c:pt>
                <c:pt idx="3">
                  <c:v>5.6000000000000001E-2</c:v>
                </c:pt>
                <c:pt idx="4">
                  <c:v>0.25900000000000001</c:v>
                </c:pt>
                <c:pt idx="5">
                  <c:v>7.9000000000000001E-2</c:v>
                </c:pt>
                <c:pt idx="6">
                  <c:v>6.9999999999999993E-2</c:v>
                </c:pt>
                <c:pt idx="7">
                  <c:v>0.26600000000000001</c:v>
                </c:pt>
                <c:pt idx="8">
                  <c:v>3.1E-2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0.377</c:v>
                </c:pt>
                <c:pt idx="18">
                  <c:v>1.3779999999999999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0.79100000000000004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1.9E-2</c:v>
                </c:pt>
                <c:pt idx="38">
                  <c:v>0.189</c:v>
                </c:pt>
                <c:pt idx="39">
                  <c:v>0.57300000000000006</c:v>
                </c:pt>
                <c:pt idx="40">
                  <c:v>0.71399999999999997</c:v>
                </c:pt>
                <c:pt idx="41">
                  <c:v>0.63600000000000001</c:v>
                </c:pt>
                <c:pt idx="42">
                  <c:v>0.502</c:v>
                </c:pt>
                <c:pt idx="43">
                  <c:v>0.48699999999999999</c:v>
                </c:pt>
                <c:pt idx="44">
                  <c:v>0.36299999999999999</c:v>
                </c:pt>
                <c:pt idx="45">
                  <c:v>0.94200000000000006</c:v>
                </c:pt>
                <c:pt idx="46">
                  <c:v>0.41799999999999998</c:v>
                </c:pt>
                <c:pt idx="47">
                  <c:v>0.20799999999999999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975E-4534-A86E-CF78270D6413}"/>
            </c:ext>
          </c:extLst>
        </c:ser>
        <c:ser>
          <c:idx val="107"/>
          <c:order val="107"/>
          <c:tx>
            <c:v>BES_TR8_six643_A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Discharge_kW!$DF$2:$DF$49</c:f>
              <c:numCache>
                <c:formatCode>#,##0.000</c:formatCode>
                <c:ptCount val="48"/>
                <c:pt idx="0">
                  <c:v>0.71899999999999997</c:v>
                </c:pt>
                <c:pt idx="1">
                  <c:v>0.50800000000000001</c:v>
                </c:pt>
                <c:pt idx="2">
                  <c:v>0.50600000000000001</c:v>
                </c:pt>
                <c:pt idx="3">
                  <c:v>0.48299999999999998</c:v>
                </c:pt>
                <c:pt idx="4">
                  <c:v>0.14299999999999999</c:v>
                </c:pt>
                <c:pt idx="5">
                  <c:v>3.1E-2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0.50800000000000001</c:v>
                </c:pt>
                <c:pt idx="30">
                  <c:v>0.60299999999999998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1.5049999999999999</c:v>
                </c:pt>
                <c:pt idx="38">
                  <c:v>1.4119999999999999</c:v>
                </c:pt>
                <c:pt idx="39">
                  <c:v>0.58899999999999997</c:v>
                </c:pt>
                <c:pt idx="40">
                  <c:v>0.58100000000000007</c:v>
                </c:pt>
                <c:pt idx="41">
                  <c:v>0.91900000000000004</c:v>
                </c:pt>
                <c:pt idx="42">
                  <c:v>0.73699999999999999</c:v>
                </c:pt>
                <c:pt idx="43">
                  <c:v>0.64400000000000002</c:v>
                </c:pt>
                <c:pt idx="44">
                  <c:v>0.73499999999999999</c:v>
                </c:pt>
                <c:pt idx="45">
                  <c:v>0.05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975E-4534-A86E-CF78270D6413}"/>
            </c:ext>
          </c:extLst>
        </c:ser>
        <c:ser>
          <c:idx val="108"/>
          <c:order val="108"/>
          <c:tx>
            <c:v>BES_TR8_six652_A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Discharge_kW!$DG$2:$DG$49</c:f>
              <c:numCache>
                <c:formatCode>#,##0.000</c:formatCode>
                <c:ptCount val="48"/>
                <c:pt idx="0">
                  <c:v>5.8000000000000003E-2</c:v>
                </c:pt>
                <c:pt idx="1">
                  <c:v>5.8000000000000003E-2</c:v>
                </c:pt>
                <c:pt idx="2">
                  <c:v>0.161</c:v>
                </c:pt>
                <c:pt idx="3">
                  <c:v>0.106</c:v>
                </c:pt>
                <c:pt idx="4">
                  <c:v>9.1999999999999998E-2</c:v>
                </c:pt>
                <c:pt idx="5">
                  <c:v>0.17399999999999999</c:v>
                </c:pt>
                <c:pt idx="6">
                  <c:v>5.8000000000000003E-2</c:v>
                </c:pt>
                <c:pt idx="7">
                  <c:v>0.19800000000000001</c:v>
                </c:pt>
                <c:pt idx="8">
                  <c:v>1.4999999999999999E-2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0.80099999999999993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0.14099999999999999</c:v>
                </c:pt>
                <c:pt idx="41">
                  <c:v>0.106</c:v>
                </c:pt>
                <c:pt idx="42">
                  <c:v>1.0089999999999999</c:v>
                </c:pt>
                <c:pt idx="43">
                  <c:v>1.0620000000000001</c:v>
                </c:pt>
                <c:pt idx="44">
                  <c:v>5.8000000000000003E-2</c:v>
                </c:pt>
                <c:pt idx="45">
                  <c:v>0.188</c:v>
                </c:pt>
                <c:pt idx="46">
                  <c:v>7.9000000000000001E-2</c:v>
                </c:pt>
                <c:pt idx="47">
                  <c:v>5.8000000000000003E-2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975E-4534-A86E-CF78270D6413}"/>
            </c:ext>
          </c:extLst>
        </c:ser>
        <c:ser>
          <c:idx val="109"/>
          <c:order val="109"/>
          <c:tx>
            <c:v>BES_TR8_six667_A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Discharge_kW!$DH$2:$DH$49</c:f>
              <c:numCache>
                <c:formatCode>#,##0.000</c:formatCode>
                <c:ptCount val="48"/>
                <c:pt idx="0">
                  <c:v>0.05</c:v>
                </c:pt>
                <c:pt idx="1">
                  <c:v>0.121</c:v>
                </c:pt>
                <c:pt idx="2">
                  <c:v>0.10299999999999999</c:v>
                </c:pt>
                <c:pt idx="3">
                  <c:v>8.6000000000000007E-2</c:v>
                </c:pt>
                <c:pt idx="4">
                  <c:v>8.6000000000000007E-2</c:v>
                </c:pt>
                <c:pt idx="5">
                  <c:v>0.05</c:v>
                </c:pt>
                <c:pt idx="6">
                  <c:v>0.121</c:v>
                </c:pt>
                <c:pt idx="7">
                  <c:v>5.3999999999999999E-2</c:v>
                </c:pt>
                <c:pt idx="8">
                  <c:v>6.4000000000000001E-2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6.0999999999999999E-2</c:v>
                </c:pt>
                <c:pt idx="40">
                  <c:v>0.13700000000000001</c:v>
                </c:pt>
                <c:pt idx="41">
                  <c:v>0.31</c:v>
                </c:pt>
                <c:pt idx="42">
                  <c:v>0.38300000000000001</c:v>
                </c:pt>
                <c:pt idx="43">
                  <c:v>0.46300000000000002</c:v>
                </c:pt>
                <c:pt idx="44">
                  <c:v>0.32900000000000001</c:v>
                </c:pt>
                <c:pt idx="45">
                  <c:v>0.112</c:v>
                </c:pt>
                <c:pt idx="46">
                  <c:v>0.121</c:v>
                </c:pt>
                <c:pt idx="47">
                  <c:v>5.8000000000000003E-2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975E-4534-A86E-CF78270D6413}"/>
            </c:ext>
          </c:extLst>
        </c:ser>
        <c:ser>
          <c:idx val="110"/>
          <c:order val="110"/>
          <c:tx>
            <c:v>BES_TR8_six699_C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Discharge_kW!$DI$2:$DI$49</c:f>
              <c:numCache>
                <c:formatCode>#,##0.000</c:formatCode>
                <c:ptCount val="48"/>
                <c:pt idx="0">
                  <c:v>0.23499999999999999</c:v>
                </c:pt>
                <c:pt idx="1">
                  <c:v>0.20300000000000001</c:v>
                </c:pt>
                <c:pt idx="2">
                  <c:v>0.1</c:v>
                </c:pt>
                <c:pt idx="3">
                  <c:v>0.20300000000000001</c:v>
                </c:pt>
                <c:pt idx="4">
                  <c:v>0.27100000000000002</c:v>
                </c:pt>
                <c:pt idx="5">
                  <c:v>0.248</c:v>
                </c:pt>
                <c:pt idx="6">
                  <c:v>6.2E-2</c:v>
                </c:pt>
                <c:pt idx="7">
                  <c:v>0.32400000000000001</c:v>
                </c:pt>
                <c:pt idx="8">
                  <c:v>0.122</c:v>
                </c:pt>
                <c:pt idx="9">
                  <c:v>4.1000000000000002E-2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2.5999999999999999E-2</c:v>
                </c:pt>
                <c:pt idx="39">
                  <c:v>0.69099999999999995</c:v>
                </c:pt>
                <c:pt idx="40">
                  <c:v>0.9</c:v>
                </c:pt>
                <c:pt idx="41">
                  <c:v>0.63500000000000001</c:v>
                </c:pt>
                <c:pt idx="42">
                  <c:v>0.878</c:v>
                </c:pt>
                <c:pt idx="43">
                  <c:v>0.63200000000000001</c:v>
                </c:pt>
                <c:pt idx="44">
                  <c:v>0.69300000000000006</c:v>
                </c:pt>
                <c:pt idx="45">
                  <c:v>0.84299999999999997</c:v>
                </c:pt>
                <c:pt idx="46">
                  <c:v>0.70100000000000007</c:v>
                </c:pt>
                <c:pt idx="47">
                  <c:v>0.68499999999999994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975E-4534-A86E-CF78270D6413}"/>
            </c:ext>
          </c:extLst>
        </c:ser>
        <c:ser>
          <c:idx val="111"/>
          <c:order val="111"/>
          <c:tx>
            <c:v>BES_TR8_six723_B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Discharge_kW!$DJ$2:$DJ$49</c:f>
              <c:numCache>
                <c:formatCode>#,##0.000</c:formatCode>
                <c:ptCount val="48"/>
                <c:pt idx="0">
                  <c:v>0.27300000000000002</c:v>
                </c:pt>
                <c:pt idx="1">
                  <c:v>0.25</c:v>
                </c:pt>
                <c:pt idx="2">
                  <c:v>0.16700000000000001</c:v>
                </c:pt>
                <c:pt idx="3">
                  <c:v>7.5999999999999998E-2</c:v>
                </c:pt>
                <c:pt idx="4">
                  <c:v>0.39200000000000002</c:v>
                </c:pt>
                <c:pt idx="5">
                  <c:v>0.13</c:v>
                </c:pt>
                <c:pt idx="6">
                  <c:v>0.123</c:v>
                </c:pt>
                <c:pt idx="7">
                  <c:v>0.26700000000000002</c:v>
                </c:pt>
                <c:pt idx="8">
                  <c:v>0.13700000000000001</c:v>
                </c:pt>
                <c:pt idx="9">
                  <c:v>4.1000000000000002E-2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0.13100000000000001</c:v>
                </c:pt>
                <c:pt idx="40">
                  <c:v>9.0999999999999998E-2</c:v>
                </c:pt>
                <c:pt idx="41">
                  <c:v>0.40400000000000003</c:v>
                </c:pt>
                <c:pt idx="42">
                  <c:v>9.0999999999999998E-2</c:v>
                </c:pt>
                <c:pt idx="43">
                  <c:v>0.25900000000000001</c:v>
                </c:pt>
                <c:pt idx="44">
                  <c:v>0.23799999999999999</c:v>
                </c:pt>
                <c:pt idx="45">
                  <c:v>0.20899999999999999</c:v>
                </c:pt>
                <c:pt idx="46">
                  <c:v>0.26500000000000001</c:v>
                </c:pt>
                <c:pt idx="47">
                  <c:v>0.21299999999999999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975E-4534-A86E-CF78270D6413}"/>
            </c:ext>
          </c:extLst>
        </c:ser>
        <c:ser>
          <c:idx val="112"/>
          <c:order val="112"/>
          <c:tx>
            <c:v>BES_TR8_six740_A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Discharge_kW!$DK$2:$DK$49</c:f>
              <c:numCache>
                <c:formatCode>#,##0.000</c:formatCode>
                <c:ptCount val="48"/>
                <c:pt idx="0">
                  <c:v>0.156</c:v>
                </c:pt>
                <c:pt idx="1">
                  <c:v>5.3999999999999999E-2</c:v>
                </c:pt>
                <c:pt idx="2">
                  <c:v>5.3999999999999999E-2</c:v>
                </c:pt>
                <c:pt idx="3">
                  <c:v>0.16400000000000001</c:v>
                </c:pt>
                <c:pt idx="4">
                  <c:v>5.3999999999999999E-2</c:v>
                </c:pt>
                <c:pt idx="5">
                  <c:v>0.16400000000000001</c:v>
                </c:pt>
                <c:pt idx="6">
                  <c:v>5.3999999999999999E-2</c:v>
                </c:pt>
                <c:pt idx="7">
                  <c:v>5.0999999999999997E-2</c:v>
                </c:pt>
                <c:pt idx="8">
                  <c:v>6.4999999999999988E-2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1.1779999999999999</c:v>
                </c:pt>
                <c:pt idx="38">
                  <c:v>1.9890000000000001</c:v>
                </c:pt>
                <c:pt idx="39">
                  <c:v>0.93800000000000006</c:v>
                </c:pt>
                <c:pt idx="40">
                  <c:v>0.39200000000000002</c:v>
                </c:pt>
                <c:pt idx="41">
                  <c:v>1.276</c:v>
                </c:pt>
                <c:pt idx="42">
                  <c:v>0.66400000000000003</c:v>
                </c:pt>
                <c:pt idx="43">
                  <c:v>0.68599999999999994</c:v>
                </c:pt>
                <c:pt idx="44">
                  <c:v>4.9000000000000002E-2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975E-4534-A86E-CF78270D6413}"/>
            </c:ext>
          </c:extLst>
        </c:ser>
        <c:ser>
          <c:idx val="113"/>
          <c:order val="113"/>
          <c:tx>
            <c:v>BES_TR8_six90_B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Discharge_kW!$DL$2:$DL$49</c:f>
              <c:numCache>
                <c:formatCode>#,##0.000</c:formatCode>
                <c:ptCount val="48"/>
                <c:pt idx="0">
                  <c:v>0.16700000000000001</c:v>
                </c:pt>
                <c:pt idx="1">
                  <c:v>0.26200000000000001</c:v>
                </c:pt>
                <c:pt idx="2">
                  <c:v>0.188</c:v>
                </c:pt>
                <c:pt idx="3">
                  <c:v>0.23699999999999999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7">
                  <c:v>5.7000000000000002E-2</c:v>
                </c:pt>
                <c:pt idx="8">
                  <c:v>2.3E-2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0.29899999999999999</c:v>
                </c:pt>
                <c:pt idx="40">
                  <c:v>0.48899999999999988</c:v>
                </c:pt>
                <c:pt idx="41">
                  <c:v>0.53900000000000003</c:v>
                </c:pt>
                <c:pt idx="42">
                  <c:v>0.73299999999999998</c:v>
                </c:pt>
                <c:pt idx="43">
                  <c:v>0.36900000000000011</c:v>
                </c:pt>
                <c:pt idx="44">
                  <c:v>0.48799999999999999</c:v>
                </c:pt>
                <c:pt idx="45">
                  <c:v>0.59799999999999998</c:v>
                </c:pt>
                <c:pt idx="46">
                  <c:v>0.55500000000000005</c:v>
                </c:pt>
                <c:pt idx="47">
                  <c:v>0.623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975E-4534-A86E-CF78270D6413}"/>
            </c:ext>
          </c:extLst>
        </c:ser>
        <c:ser>
          <c:idx val="114"/>
          <c:order val="114"/>
          <c:tx>
            <c:v>BES_TR8_six801_C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Discharge_kW!$DM$2:$DM$49</c:f>
              <c:numCache>
                <c:formatCode>#,##0.000</c:formatCode>
                <c:ptCount val="48"/>
                <c:pt idx="0">
                  <c:v>0.16700000000000001</c:v>
                </c:pt>
                <c:pt idx="1">
                  <c:v>0.129</c:v>
                </c:pt>
                <c:pt idx="2">
                  <c:v>0.05</c:v>
                </c:pt>
                <c:pt idx="3">
                  <c:v>0.109</c:v>
                </c:pt>
                <c:pt idx="4">
                  <c:v>0.188</c:v>
                </c:pt>
                <c:pt idx="5">
                  <c:v>6.4999999999999988E-2</c:v>
                </c:pt>
                <c:pt idx="6">
                  <c:v>0.11899999999999999</c:v>
                </c:pt>
                <c:pt idx="7">
                  <c:v>0.109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4.2000000000000003E-2</c:v>
                </c:pt>
                <c:pt idx="39">
                  <c:v>0.19800000000000001</c:v>
                </c:pt>
                <c:pt idx="40">
                  <c:v>0.502</c:v>
                </c:pt>
                <c:pt idx="41">
                  <c:v>0.70899999999999996</c:v>
                </c:pt>
                <c:pt idx="42">
                  <c:v>0.6130000000000001</c:v>
                </c:pt>
                <c:pt idx="43">
                  <c:v>0.13700000000000001</c:v>
                </c:pt>
                <c:pt idx="44">
                  <c:v>0.106</c:v>
                </c:pt>
                <c:pt idx="45">
                  <c:v>0.19</c:v>
                </c:pt>
                <c:pt idx="46">
                  <c:v>0.13300000000000001</c:v>
                </c:pt>
                <c:pt idx="47">
                  <c:v>0.113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975E-4534-A86E-CF78270D6413}"/>
            </c:ext>
          </c:extLst>
        </c:ser>
        <c:ser>
          <c:idx val="115"/>
          <c:order val="115"/>
          <c:tx>
            <c:v>BES_TR8_six807_A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Discharge_kW!$DN$2:$DN$49</c:f>
              <c:numCache>
                <c:formatCode>#,##0.000</c:formatCode>
                <c:ptCount val="48"/>
                <c:pt idx="0">
                  <c:v>3.4000000000000002E-2</c:v>
                </c:pt>
                <c:pt idx="1">
                  <c:v>3.4000000000000002E-2</c:v>
                </c:pt>
                <c:pt idx="2">
                  <c:v>0.151</c:v>
                </c:pt>
                <c:pt idx="3">
                  <c:v>8.8999999999999996E-2</c:v>
                </c:pt>
                <c:pt idx="4">
                  <c:v>3.4000000000000002E-2</c:v>
                </c:pt>
                <c:pt idx="5">
                  <c:v>3.4000000000000002E-2</c:v>
                </c:pt>
                <c:pt idx="6">
                  <c:v>3.4000000000000002E-2</c:v>
                </c:pt>
                <c:pt idx="7">
                  <c:v>0.17899999999999999</c:v>
                </c:pt>
                <c:pt idx="8">
                  <c:v>8.0000000000000002E-3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6.8999999999999992E-2</c:v>
                </c:pt>
                <c:pt idx="36">
                  <c:v>5.1999999999999998E-2</c:v>
                </c:pt>
                <c:pt idx="37">
                  <c:v>1.036</c:v>
                </c:pt>
                <c:pt idx="38">
                  <c:v>9.2999999999999999E-2</c:v>
                </c:pt>
                <c:pt idx="39">
                  <c:v>0.153</c:v>
                </c:pt>
                <c:pt idx="40">
                  <c:v>0.41399999999999998</c:v>
                </c:pt>
                <c:pt idx="41">
                  <c:v>0.35499999999999998</c:v>
                </c:pt>
                <c:pt idx="42">
                  <c:v>0.55599999999999994</c:v>
                </c:pt>
                <c:pt idx="43">
                  <c:v>0.75900000000000001</c:v>
                </c:pt>
                <c:pt idx="44">
                  <c:v>0.501</c:v>
                </c:pt>
                <c:pt idx="45">
                  <c:v>0.371</c:v>
                </c:pt>
                <c:pt idx="46">
                  <c:v>0.38900000000000001</c:v>
                </c:pt>
                <c:pt idx="47">
                  <c:v>0.33700000000000002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975E-4534-A86E-CF78270D6413}"/>
            </c:ext>
          </c:extLst>
        </c:ser>
        <c:ser>
          <c:idx val="116"/>
          <c:order val="116"/>
          <c:tx>
            <c:v>BES_TR8_six844_C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Discharge_kW!$DO$2:$DO$49</c:f>
              <c:numCache>
                <c:formatCode>#,##0.000</c:formatCode>
                <c:ptCount val="48"/>
                <c:pt idx="0">
                  <c:v>3.7999999999999999E-2</c:v>
                </c:pt>
                <c:pt idx="1">
                  <c:v>0.13800000000000001</c:v>
                </c:pt>
                <c:pt idx="2">
                  <c:v>8.3999999999999991E-2</c:v>
                </c:pt>
                <c:pt idx="3">
                  <c:v>0.26100000000000001</c:v>
                </c:pt>
                <c:pt idx="4">
                  <c:v>3.7999999999999999E-2</c:v>
                </c:pt>
                <c:pt idx="5">
                  <c:v>0.20699999999999999</c:v>
                </c:pt>
                <c:pt idx="6">
                  <c:v>0.13800000000000001</c:v>
                </c:pt>
                <c:pt idx="7">
                  <c:v>0.17299999999999999</c:v>
                </c:pt>
                <c:pt idx="8">
                  <c:v>9.8000000000000004E-2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6.8999999999999992E-2</c:v>
                </c:pt>
                <c:pt idx="39">
                  <c:v>0.45700000000000002</c:v>
                </c:pt>
                <c:pt idx="40">
                  <c:v>0.35599999999999998</c:v>
                </c:pt>
                <c:pt idx="41">
                  <c:v>0.246</c:v>
                </c:pt>
                <c:pt idx="42">
                  <c:v>3.7999999999999999E-2</c:v>
                </c:pt>
                <c:pt idx="43">
                  <c:v>6.7000000000000004E-2</c:v>
                </c:pt>
                <c:pt idx="44">
                  <c:v>0.24</c:v>
                </c:pt>
                <c:pt idx="45">
                  <c:v>7.5999999999999998E-2</c:v>
                </c:pt>
                <c:pt idx="46">
                  <c:v>0.13800000000000001</c:v>
                </c:pt>
                <c:pt idx="47">
                  <c:v>0.20699999999999999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975E-4534-A86E-CF78270D6413}"/>
            </c:ext>
          </c:extLst>
        </c:ser>
        <c:ser>
          <c:idx val="117"/>
          <c:order val="117"/>
          <c:tx>
            <c:v>BES_TR8_six860_C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Discharge_kW!$DP$2:$DP$49</c:f>
              <c:numCache>
                <c:formatCode>#,##0.000</c:formatCode>
                <c:ptCount val="48"/>
                <c:pt idx="0">
                  <c:v>0.17799999999999999</c:v>
                </c:pt>
                <c:pt idx="1">
                  <c:v>0.10100000000000001</c:v>
                </c:pt>
                <c:pt idx="2">
                  <c:v>0.128</c:v>
                </c:pt>
                <c:pt idx="3">
                  <c:v>0.22500000000000001</c:v>
                </c:pt>
                <c:pt idx="4">
                  <c:v>6.3E-2</c:v>
                </c:pt>
                <c:pt idx="5">
                  <c:v>0.12</c:v>
                </c:pt>
                <c:pt idx="6">
                  <c:v>0.245</c:v>
                </c:pt>
                <c:pt idx="7">
                  <c:v>0.105</c:v>
                </c:pt>
                <c:pt idx="8">
                  <c:v>0.20699999999999999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1.6E-2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0.58100000000000007</c:v>
                </c:pt>
                <c:pt idx="30">
                  <c:v>0.155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1.4999999999999999E-2</c:v>
                </c:pt>
                <c:pt idx="39">
                  <c:v>0</c:v>
                </c:pt>
                <c:pt idx="40">
                  <c:v>0.27</c:v>
                </c:pt>
                <c:pt idx="41">
                  <c:v>6.9999999999999993E-2</c:v>
                </c:pt>
                <c:pt idx="42">
                  <c:v>0.14099999999999999</c:v>
                </c:pt>
                <c:pt idx="43">
                  <c:v>0.21099999999999999</c:v>
                </c:pt>
                <c:pt idx="44">
                  <c:v>5.5E-2</c:v>
                </c:pt>
                <c:pt idx="45">
                  <c:v>0.26100000000000001</c:v>
                </c:pt>
                <c:pt idx="46">
                  <c:v>9.0999999999999998E-2</c:v>
                </c:pt>
                <c:pt idx="47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975E-4534-A86E-CF78270D6413}"/>
            </c:ext>
          </c:extLst>
        </c:ser>
        <c:ser>
          <c:idx val="118"/>
          <c:order val="118"/>
          <c:tx>
            <c:v>BES_TR8_six909_C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Discharge_kW!$DQ$2:$DQ$49</c:f>
              <c:numCache>
                <c:formatCode>#,##0.000</c:formatCode>
                <c:ptCount val="48"/>
                <c:pt idx="0">
                  <c:v>0.14499999999999999</c:v>
                </c:pt>
                <c:pt idx="1">
                  <c:v>4.7E-2</c:v>
                </c:pt>
                <c:pt idx="2">
                  <c:v>0.114</c:v>
                </c:pt>
                <c:pt idx="3">
                  <c:v>0.183</c:v>
                </c:pt>
                <c:pt idx="4">
                  <c:v>8.3000000000000004E-2</c:v>
                </c:pt>
                <c:pt idx="5">
                  <c:v>0.214</c:v>
                </c:pt>
                <c:pt idx="6">
                  <c:v>4.7E-2</c:v>
                </c:pt>
                <c:pt idx="7">
                  <c:v>0.1</c:v>
                </c:pt>
                <c:pt idx="8">
                  <c:v>0.16400000000000001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2.5999999999999999E-2</c:v>
                </c:pt>
                <c:pt idx="39">
                  <c:v>0.34100000000000003</c:v>
                </c:pt>
                <c:pt idx="40">
                  <c:v>0.57600000000000007</c:v>
                </c:pt>
                <c:pt idx="41">
                  <c:v>0.625</c:v>
                </c:pt>
                <c:pt idx="42">
                  <c:v>4.7E-2</c:v>
                </c:pt>
                <c:pt idx="43">
                  <c:v>0.11899999999999999</c:v>
                </c:pt>
                <c:pt idx="44">
                  <c:v>8.7999999999999995E-2</c:v>
                </c:pt>
                <c:pt idx="45">
                  <c:v>6.2E-2</c:v>
                </c:pt>
                <c:pt idx="46">
                  <c:v>0.23499999999999999</c:v>
                </c:pt>
                <c:pt idx="47">
                  <c:v>4.7E-2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975E-4534-A86E-CF78270D6413}"/>
            </c:ext>
          </c:extLst>
        </c:ser>
        <c:ser>
          <c:idx val="119"/>
          <c:order val="119"/>
          <c:tx>
            <c:v>BES_TR8_six914_A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Discharge_kW!$DR$2:$DR$49</c:f>
              <c:numCache>
                <c:formatCode>#,##0.000</c:formatCode>
                <c:ptCount val="48"/>
                <c:pt idx="0">
                  <c:v>0.36699999999999999</c:v>
                </c:pt>
                <c:pt idx="1">
                  <c:v>0.44700000000000001</c:v>
                </c:pt>
                <c:pt idx="2">
                  <c:v>0.17199999999999999</c:v>
                </c:pt>
                <c:pt idx="3">
                  <c:v>0.54400000000000004</c:v>
                </c:pt>
                <c:pt idx="4">
                  <c:v>0.23100000000000001</c:v>
                </c:pt>
                <c:pt idx="5">
                  <c:v>0.33300000000000002</c:v>
                </c:pt>
                <c:pt idx="6">
                  <c:v>0.29499999999999998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9.8000000000000004E-2</c:v>
                </c:pt>
                <c:pt idx="40">
                  <c:v>0.25800000000000001</c:v>
                </c:pt>
                <c:pt idx="41">
                  <c:v>0.19600000000000001</c:v>
                </c:pt>
                <c:pt idx="42">
                  <c:v>0.36900000000000011</c:v>
                </c:pt>
                <c:pt idx="43">
                  <c:v>0.36699999999999999</c:v>
                </c:pt>
                <c:pt idx="44">
                  <c:v>0.44900000000000001</c:v>
                </c:pt>
                <c:pt idx="45">
                  <c:v>0.439</c:v>
                </c:pt>
                <c:pt idx="46">
                  <c:v>0.44</c:v>
                </c:pt>
                <c:pt idx="47">
                  <c:v>0.253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975E-4534-A86E-CF78270D6413}"/>
            </c:ext>
          </c:extLst>
        </c:ser>
        <c:ser>
          <c:idx val="120"/>
          <c:order val="120"/>
          <c:tx>
            <c:v>BES_TR8_six111_C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Discharge_kW!$DS$2:$DS$49</c:f>
              <c:numCache>
                <c:formatCode>#,##0.000</c:formatCode>
                <c:ptCount val="48"/>
                <c:pt idx="0">
                  <c:v>0.75700000000000001</c:v>
                </c:pt>
                <c:pt idx="1">
                  <c:v>1.6339999999999999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0.29299999999999998</c:v>
                </c:pt>
                <c:pt idx="37">
                  <c:v>0.27500000000000002</c:v>
                </c:pt>
                <c:pt idx="38">
                  <c:v>0.254</c:v>
                </c:pt>
                <c:pt idx="39">
                  <c:v>1.343</c:v>
                </c:pt>
                <c:pt idx="40">
                  <c:v>0.62</c:v>
                </c:pt>
                <c:pt idx="41">
                  <c:v>0.29499999999999998</c:v>
                </c:pt>
                <c:pt idx="42">
                  <c:v>0.28399999999999997</c:v>
                </c:pt>
                <c:pt idx="43">
                  <c:v>0.35899999999999999</c:v>
                </c:pt>
                <c:pt idx="44">
                  <c:v>0.30599999999999999</c:v>
                </c:pt>
                <c:pt idx="45">
                  <c:v>0.38600000000000001</c:v>
                </c:pt>
                <c:pt idx="46">
                  <c:v>0.27700000000000002</c:v>
                </c:pt>
                <c:pt idx="47">
                  <c:v>9.0000000000000011E-2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975E-4534-A86E-CF78270D6413}"/>
            </c:ext>
          </c:extLst>
        </c:ser>
        <c:ser>
          <c:idx val="121"/>
          <c:order val="121"/>
          <c:tx>
            <c:v>BES_TR8_six1006_C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Discharge_kW!$DT$2:$DT$49</c:f>
              <c:numCache>
                <c:formatCode>#,##0.000</c:formatCode>
                <c:ptCount val="48"/>
                <c:pt idx="0">
                  <c:v>0.17799999999999999</c:v>
                </c:pt>
                <c:pt idx="1">
                  <c:v>5.1999999999999998E-2</c:v>
                </c:pt>
                <c:pt idx="2">
                  <c:v>0.20599999999999999</c:v>
                </c:pt>
                <c:pt idx="3">
                  <c:v>5.1999999999999998E-2</c:v>
                </c:pt>
                <c:pt idx="4">
                  <c:v>0.108</c:v>
                </c:pt>
                <c:pt idx="5">
                  <c:v>0.15</c:v>
                </c:pt>
                <c:pt idx="6">
                  <c:v>5.1999999999999998E-2</c:v>
                </c:pt>
                <c:pt idx="7">
                  <c:v>0.05</c:v>
                </c:pt>
                <c:pt idx="8">
                  <c:v>9.7000000000000003E-2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0.751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0.16600000000000001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0.06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0.17799999999999999</c:v>
                </c:pt>
                <c:pt idx="37">
                  <c:v>2.78</c:v>
                </c:pt>
                <c:pt idx="38">
                  <c:v>3.5129999999999999</c:v>
                </c:pt>
                <c:pt idx="39">
                  <c:v>0.7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975E-4534-A86E-CF78270D6413}"/>
            </c:ext>
          </c:extLst>
        </c:ser>
        <c:ser>
          <c:idx val="122"/>
          <c:order val="122"/>
          <c:tx>
            <c:v>BES_TR8_six1020_A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Discharge_kW!$DU$2:$DU$49</c:f>
              <c:numCache>
                <c:formatCode>#,##0.000</c:formatCode>
                <c:ptCount val="48"/>
                <c:pt idx="0">
                  <c:v>0.16700000000000001</c:v>
                </c:pt>
                <c:pt idx="1">
                  <c:v>6.7000000000000004E-2</c:v>
                </c:pt>
                <c:pt idx="2">
                  <c:v>5.5E-2</c:v>
                </c:pt>
                <c:pt idx="3">
                  <c:v>5.5E-2</c:v>
                </c:pt>
                <c:pt idx="4">
                  <c:v>0.18</c:v>
                </c:pt>
                <c:pt idx="5">
                  <c:v>5.5E-2</c:v>
                </c:pt>
                <c:pt idx="6">
                  <c:v>0.17399999999999999</c:v>
                </c:pt>
                <c:pt idx="7">
                  <c:v>0.06</c:v>
                </c:pt>
                <c:pt idx="8">
                  <c:v>0.03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1.5169999999999999</c:v>
                </c:pt>
                <c:pt idx="32">
                  <c:v>1.5629999999999999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0.126</c:v>
                </c:pt>
                <c:pt idx="40">
                  <c:v>0.52700000000000002</c:v>
                </c:pt>
                <c:pt idx="41">
                  <c:v>0.46</c:v>
                </c:pt>
                <c:pt idx="42">
                  <c:v>0.44400000000000001</c:v>
                </c:pt>
                <c:pt idx="43">
                  <c:v>0.55400000000000005</c:v>
                </c:pt>
                <c:pt idx="44">
                  <c:v>1.4950000000000001</c:v>
                </c:pt>
                <c:pt idx="45">
                  <c:v>1.2290000000000001</c:v>
                </c:pt>
                <c:pt idx="46">
                  <c:v>0.50800000000000001</c:v>
                </c:pt>
                <c:pt idx="47">
                  <c:v>0.153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975E-4534-A86E-CF78270D6413}"/>
            </c:ext>
          </c:extLst>
        </c:ser>
        <c:ser>
          <c:idx val="123"/>
          <c:order val="123"/>
          <c:tx>
            <c:v>BES_TR8_six1064_C</c:v>
          </c:tx>
          <c:spPr>
            <a:ln w="3810">
              <a:solidFill>
                <a:srgbClr val="EAEDF1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Discharge_kW!$DV$2:$DV$49</c:f>
              <c:numCache>
                <c:formatCode>#,##0.000</c:formatCode>
                <c:ptCount val="48"/>
                <c:pt idx="0">
                  <c:v>9.0000000000000011E-2</c:v>
                </c:pt>
                <c:pt idx="1">
                  <c:v>4.9000000000000002E-2</c:v>
                </c:pt>
                <c:pt idx="2">
                  <c:v>0.221</c:v>
                </c:pt>
                <c:pt idx="3">
                  <c:v>0.154</c:v>
                </c:pt>
                <c:pt idx="4">
                  <c:v>9.4E-2</c:v>
                </c:pt>
                <c:pt idx="5">
                  <c:v>0.28100000000000003</c:v>
                </c:pt>
                <c:pt idx="6">
                  <c:v>4.9000000000000002E-2</c:v>
                </c:pt>
                <c:pt idx="7">
                  <c:v>0.29099999999999998</c:v>
                </c:pt>
                <c:pt idx="8">
                  <c:v>7.1000000000000008E-2</c:v>
                </c:pt>
                <c:pt idx="9">
                  <c:v>0.17100000000000001</c:v>
                </c:pt>
                <c:pt idx="10">
                  <c:v>0.03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7.9000000000000001E-2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1.2869999999999999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1.016</c:v>
                </c:pt>
                <c:pt idx="34">
                  <c:v>0.60299999999999998</c:v>
                </c:pt>
                <c:pt idx="35">
                  <c:v>0.123</c:v>
                </c:pt>
                <c:pt idx="36">
                  <c:v>0</c:v>
                </c:pt>
                <c:pt idx="37">
                  <c:v>0.20599999999999999</c:v>
                </c:pt>
                <c:pt idx="38">
                  <c:v>0.312</c:v>
                </c:pt>
                <c:pt idx="39">
                  <c:v>0.104</c:v>
                </c:pt>
                <c:pt idx="40">
                  <c:v>0.191</c:v>
                </c:pt>
                <c:pt idx="41">
                  <c:v>9.7000000000000003E-2</c:v>
                </c:pt>
                <c:pt idx="42">
                  <c:v>0.56800000000000006</c:v>
                </c:pt>
                <c:pt idx="43">
                  <c:v>0.7380000000000001</c:v>
                </c:pt>
                <c:pt idx="44">
                  <c:v>0.88099999999999989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975E-4534-A86E-CF78270D6413}"/>
            </c:ext>
          </c:extLst>
        </c:ser>
        <c:ser>
          <c:idx val="124"/>
          <c:order val="124"/>
          <c:tx>
            <c:v>fleet average</c:v>
          </c:tx>
          <c:spPr>
            <a:ln w="28575">
              <a:solidFill>
                <a:srgbClr val="F05A28"/>
              </a:solidFill>
              <a:prstDash val="solid"/>
            </a:ln>
          </c:spPr>
          <c:marker>
            <c:symbol val="none"/>
          </c:marker>
          <c:cat>
            <c:numRef>
              <c:f>ChartData!$T$2:$T$49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ChartData!$X$2:$X$49</c:f>
              <c:numCache>
                <c:formatCode>#,##0.000</c:formatCode>
                <c:ptCount val="48"/>
                <c:pt idx="0">
                  <c:v>0.23916129032258066</c:v>
                </c:pt>
                <c:pt idx="1">
                  <c:v>0.15999193548387095</c:v>
                </c:pt>
                <c:pt idx="2">
                  <c:v>0.12145967741935486</c:v>
                </c:pt>
                <c:pt idx="3">
                  <c:v>0.12979838709677419</c:v>
                </c:pt>
                <c:pt idx="4">
                  <c:v>0.10301612903225814</c:v>
                </c:pt>
                <c:pt idx="5">
                  <c:v>0.1226935483870968</c:v>
                </c:pt>
                <c:pt idx="6">
                  <c:v>0.10104032258064513</c:v>
                </c:pt>
                <c:pt idx="7">
                  <c:v>0.12418548387096784</c:v>
                </c:pt>
                <c:pt idx="8">
                  <c:v>6.7915572790322565E-2</c:v>
                </c:pt>
                <c:pt idx="9">
                  <c:v>2.0725806451612903E-2</c:v>
                </c:pt>
                <c:pt idx="10">
                  <c:v>4.4193548387096776E-3</c:v>
                </c:pt>
                <c:pt idx="11">
                  <c:v>9.7580645161290318E-4</c:v>
                </c:pt>
                <c:pt idx="12">
                  <c:v>1.3145161290322581E-3</c:v>
                </c:pt>
                <c:pt idx="13">
                  <c:v>6.0564516129032256E-3</c:v>
                </c:pt>
                <c:pt idx="14">
                  <c:v>3.6370967741935485E-3</c:v>
                </c:pt>
                <c:pt idx="15">
                  <c:v>1.75E-3</c:v>
                </c:pt>
                <c:pt idx="16">
                  <c:v>8.7016129032258058E-3</c:v>
                </c:pt>
                <c:pt idx="17">
                  <c:v>7.7903225806451601E-3</c:v>
                </c:pt>
                <c:pt idx="18">
                  <c:v>1.4669354838709677E-2</c:v>
                </c:pt>
                <c:pt idx="19">
                  <c:v>2.5137096774193547E-2</c:v>
                </c:pt>
                <c:pt idx="20">
                  <c:v>1.1975806451612904E-2</c:v>
                </c:pt>
                <c:pt idx="21">
                  <c:v>3.0362903225806454E-2</c:v>
                </c:pt>
                <c:pt idx="22">
                  <c:v>8.5483870967741939E-3</c:v>
                </c:pt>
                <c:pt idx="23">
                  <c:v>4.3080645161290329E-2</c:v>
                </c:pt>
                <c:pt idx="24">
                  <c:v>1.8233870967741938E-2</c:v>
                </c:pt>
                <c:pt idx="25">
                  <c:v>4.9354838709677416E-3</c:v>
                </c:pt>
                <c:pt idx="26">
                  <c:v>2.6290322580645163E-3</c:v>
                </c:pt>
                <c:pt idx="27">
                  <c:v>3.1129032258064519E-3</c:v>
                </c:pt>
                <c:pt idx="28">
                  <c:v>1.1919354838709676E-2</c:v>
                </c:pt>
                <c:pt idx="29">
                  <c:v>2.9024193548387096E-2</c:v>
                </c:pt>
                <c:pt idx="30">
                  <c:v>2.2653225806451613E-2</c:v>
                </c:pt>
                <c:pt idx="31">
                  <c:v>1.2233870967741934E-2</c:v>
                </c:pt>
                <c:pt idx="32">
                  <c:v>3.2459677419354842E-2</c:v>
                </c:pt>
                <c:pt idx="33">
                  <c:v>2.0838709677419357E-2</c:v>
                </c:pt>
                <c:pt idx="34">
                  <c:v>2.9419354838709676E-2</c:v>
                </c:pt>
                <c:pt idx="35">
                  <c:v>5.3048387096774195E-2</c:v>
                </c:pt>
                <c:pt idx="36">
                  <c:v>8.091129032258064E-2</c:v>
                </c:pt>
                <c:pt idx="37">
                  <c:v>0.13037096774193549</c:v>
                </c:pt>
                <c:pt idx="38">
                  <c:v>0.20813709677419356</c:v>
                </c:pt>
                <c:pt idx="39">
                  <c:v>0.38109677419354832</c:v>
                </c:pt>
                <c:pt idx="40">
                  <c:v>0.44250806451612901</c:v>
                </c:pt>
                <c:pt idx="41">
                  <c:v>0.52358064516129021</c:v>
                </c:pt>
                <c:pt idx="42">
                  <c:v>0.50334677419354845</c:v>
                </c:pt>
                <c:pt idx="43">
                  <c:v>0.45062096774193533</c:v>
                </c:pt>
                <c:pt idx="44">
                  <c:v>0.39159677419354832</c:v>
                </c:pt>
                <c:pt idx="45">
                  <c:v>0.36763709677419365</c:v>
                </c:pt>
                <c:pt idx="46">
                  <c:v>0.24340322580645166</c:v>
                </c:pt>
                <c:pt idx="47">
                  <c:v>0.18972580645161288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975E-4534-A86E-CF78270D6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Hour of day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72768"/>
        <c:crosses val="autoZero"/>
        <c:auto val="1"/>
        <c:lblAlgn val="ctr"/>
        <c:lblOffset val="100"/>
        <c:tickLblSkip val="6"/>
        <c:noMultiLvlLbl val="0"/>
      </c:catAx>
      <c:valAx>
        <c:axId val="48672768"/>
        <c:scaling>
          <c:orientation val="minMax"/>
          <c:max val="3.7"/>
          <c:min val="-0.1"/>
        </c:scaling>
        <c:delete val="0"/>
        <c:axPos val="l"/>
        <c:majorGridlines>
          <c:spPr>
            <a:ln w="9525">
              <a:solidFill>
                <a:srgbClr val="E2E2E2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r>
                  <a:rPr lang="en-US" sz="750"/>
                  <a:t>Discharging (kW)</a:t>
                </a:r>
              </a:p>
            </c:rich>
          </c:tx>
          <c:overlay val="0"/>
        </c:title>
        <c:numFmt formatCode="#,##0.000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en-US"/>
          </a:p>
        </c:txPr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8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6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8</xdr:col>
      <xdr:colOff>0</xdr:colOff>
      <xdr:row>41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17</xdr:col>
      <xdr:colOff>0</xdr:colOff>
      <xdr:row>41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8</xdr:col>
      <xdr:colOff>0</xdr:colOff>
      <xdr:row>59</xdr:row>
      <xdr:rowOff>0</xdr:rowOff>
    </xdr:to>
    <xdr:graphicFrame macro="">
      <xdr:nvGraphicFramePr>
        <xdr:cNvPr id="6" name="Chart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13</xdr:col>
      <xdr:colOff>0</xdr:colOff>
      <xdr:row>32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6</xdr:col>
      <xdr:colOff>0</xdr:colOff>
      <xdr:row>35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13</xdr:col>
      <xdr:colOff>0</xdr:colOff>
      <xdr:row>35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showGridLines="0" workbookViewId="0"/>
  </sheetViews>
  <sheetFormatPr defaultRowHeight="15" x14ac:dyDescent="0.25"/>
  <cols>
    <col min="1" max="1" width="118" customWidth="1"/>
  </cols>
  <sheetData>
    <row r="1" spans="1:1" ht="27.95" customHeight="1" x14ac:dyDescent="0.25">
      <c r="A1" s="1" t="s">
        <v>0</v>
      </c>
    </row>
    <row r="2" spans="1:1" ht="33.950000000000003" customHeight="1" x14ac:dyDescent="0.25">
      <c r="A2" s="2" t="s">
        <v>1</v>
      </c>
    </row>
    <row r="3" spans="1:1" ht="33.950000000000003" customHeight="1" x14ac:dyDescent="0.25">
      <c r="A3" s="2" t="s">
        <v>2</v>
      </c>
    </row>
    <row r="4" spans="1:1" ht="33.950000000000003" customHeight="1" x14ac:dyDescent="0.25">
      <c r="A4" s="2" t="s">
        <v>3</v>
      </c>
    </row>
    <row r="5" spans="1:1" ht="33.950000000000003" customHeight="1" x14ac:dyDescent="0.25">
      <c r="A5" s="2" t="s">
        <v>4</v>
      </c>
    </row>
    <row r="6" spans="1:1" ht="33.950000000000003" customHeight="1" x14ac:dyDescent="0.25">
      <c r="A6" s="2" t="s">
        <v>5</v>
      </c>
    </row>
    <row r="7" spans="1:1" ht="33.950000000000003" customHeight="1" x14ac:dyDescent="0.25">
      <c r="A7" s="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showGridLines="0" workbookViewId="0"/>
  </sheetViews>
  <sheetFormatPr defaultRowHeight="15" x14ac:dyDescent="0.25"/>
  <cols>
    <col min="1" max="1" width="30" customWidth="1"/>
    <col min="2" max="2" width="82" customWidth="1"/>
  </cols>
  <sheetData>
    <row r="1" spans="1:2" ht="30" customHeight="1" x14ac:dyDescent="0.25">
      <c r="A1" s="8" t="s">
        <v>7</v>
      </c>
      <c r="B1" s="9" t="s">
        <v>8</v>
      </c>
    </row>
    <row r="2" spans="1:2" x14ac:dyDescent="0.25">
      <c r="A2" s="10" t="s">
        <v>9</v>
      </c>
      <c r="B2" s="13" t="s">
        <v>10</v>
      </c>
    </row>
    <row r="3" spans="1:2" x14ac:dyDescent="0.25">
      <c r="A3" s="10" t="s">
        <v>11</v>
      </c>
      <c r="B3" s="13" t="s">
        <v>12</v>
      </c>
    </row>
    <row r="4" spans="1:2" x14ac:dyDescent="0.25">
      <c r="A4" s="10" t="s">
        <v>13</v>
      </c>
      <c r="B4" s="13" t="s">
        <v>14</v>
      </c>
    </row>
    <row r="5" spans="1:2" x14ac:dyDescent="0.25">
      <c r="A5" s="14" t="s">
        <v>15</v>
      </c>
      <c r="B5" s="16">
        <v>124</v>
      </c>
    </row>
    <row r="6" spans="1:2" x14ac:dyDescent="0.25">
      <c r="A6" s="14" t="s">
        <v>16</v>
      </c>
      <c r="B6" s="16">
        <v>3081.1</v>
      </c>
    </row>
    <row r="7" spans="1:2" x14ac:dyDescent="0.25">
      <c r="A7" s="14" t="s">
        <v>17</v>
      </c>
      <c r="B7" s="16">
        <v>851.2</v>
      </c>
    </row>
    <row r="8" spans="1:2" x14ac:dyDescent="0.25">
      <c r="A8" s="14" t="s">
        <v>18</v>
      </c>
      <c r="B8" s="16">
        <v>2166.6999999999998</v>
      </c>
    </row>
    <row r="9" spans="1:2" x14ac:dyDescent="0.25">
      <c r="A9" s="14" t="s">
        <v>19</v>
      </c>
      <c r="B9" s="16">
        <v>25.8</v>
      </c>
    </row>
    <row r="10" spans="1:2" x14ac:dyDescent="0.25">
      <c r="A10" s="14" t="s">
        <v>20</v>
      </c>
      <c r="B10" s="17">
        <v>29.7</v>
      </c>
    </row>
    <row r="11" spans="1:2" x14ac:dyDescent="0.25">
      <c r="A11" s="14" t="s">
        <v>21</v>
      </c>
      <c r="B11" s="17">
        <v>97</v>
      </c>
    </row>
    <row r="12" spans="1:2" x14ac:dyDescent="0.25">
      <c r="A12" s="14" t="s">
        <v>22</v>
      </c>
      <c r="B12" s="17">
        <v>57</v>
      </c>
    </row>
    <row r="13" spans="1:2" x14ac:dyDescent="0.25">
      <c r="A13" s="14" t="s">
        <v>23</v>
      </c>
      <c r="B13" s="11" t="s">
        <v>24</v>
      </c>
    </row>
    <row r="14" spans="1:2" x14ac:dyDescent="0.25">
      <c r="A14" s="15" t="s">
        <v>25</v>
      </c>
      <c r="B14" s="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11" width="15" customWidth="1"/>
  </cols>
  <sheetData>
    <row r="1" spans="1:11" ht="30" customHeight="1" x14ac:dyDescent="0.25">
      <c r="A1" s="8" t="s">
        <v>26</v>
      </c>
      <c r="B1" s="21" t="s">
        <v>27</v>
      </c>
      <c r="C1" s="21" t="s">
        <v>28</v>
      </c>
      <c r="D1" s="21" t="s">
        <v>29</v>
      </c>
      <c r="E1" s="21" t="s">
        <v>30</v>
      </c>
      <c r="F1" s="21" t="s">
        <v>31</v>
      </c>
      <c r="G1" s="21" t="s">
        <v>32</v>
      </c>
      <c r="H1" s="21" t="s">
        <v>33</v>
      </c>
      <c r="I1" s="21" t="s">
        <v>34</v>
      </c>
      <c r="J1" s="21" t="s">
        <v>35</v>
      </c>
      <c r="K1" s="9" t="s">
        <v>36</v>
      </c>
    </row>
    <row r="2" spans="1:11" x14ac:dyDescent="0.25">
      <c r="A2" s="24">
        <f>Demand_kW!A2</f>
        <v>1</v>
      </c>
      <c r="B2" s="26">
        <f>Demand_kW!B2</f>
        <v>0</v>
      </c>
      <c r="C2" s="28">
        <f>AVERAGE(Demand_kW!$C2:$DV2)</f>
        <v>0.23955601881720429</v>
      </c>
      <c r="D2" s="28">
        <f>AVERAGE(PV_kW!$C2:$DV2)</f>
        <v>0</v>
      </c>
      <c r="E2" s="28">
        <f>AVERAGE(Charge_kW!$C2:$DV2)</f>
        <v>0</v>
      </c>
      <c r="F2" s="28">
        <f>AVERAGE(Discharge_kW!$C2:$DV2)</f>
        <v>0.23916129032258066</v>
      </c>
      <c r="G2" s="28">
        <f t="shared" ref="G2:G49" si="0">C2-D2+E2-F2</f>
        <v>3.9472849462363069E-4</v>
      </c>
      <c r="H2" s="26">
        <f>AVERAGE(SOC_pct!$C2:$DV2)</f>
        <v>40</v>
      </c>
      <c r="I2" s="30">
        <f>SUM(Demand_kW!$C2:$DV2)</f>
        <v>29.704946333333332</v>
      </c>
      <c r="J2" s="30">
        <f>SUM(PV_kW!$C2:$DV2)</f>
        <v>0</v>
      </c>
      <c r="K2" s="16">
        <f>I2-J2+SUM(Charge_kW!$C2:$DV2)-SUM(Discharge_kW!$C2:$DV2)</f>
        <v>4.8946333333329761E-2</v>
      </c>
    </row>
    <row r="3" spans="1:11" x14ac:dyDescent="0.25">
      <c r="A3" s="24">
        <f>Demand_kW!A3</f>
        <v>2</v>
      </c>
      <c r="B3" s="26">
        <f>Demand_kW!B3</f>
        <v>0.5</v>
      </c>
      <c r="C3" s="28">
        <f>AVERAGE(Demand_kW!$C3:$DV3)</f>
        <v>0.16206497903225803</v>
      </c>
      <c r="D3" s="28">
        <f>AVERAGE(PV_kW!$C3:$DV3)</f>
        <v>0</v>
      </c>
      <c r="E3" s="28">
        <f>AVERAGE(Charge_kW!$C3:$DV3)</f>
        <v>0</v>
      </c>
      <c r="F3" s="28">
        <f>AVERAGE(Discharge_kW!$C3:$DV3)</f>
        <v>0.15999193548387095</v>
      </c>
      <c r="G3" s="28">
        <f t="shared" si="0"/>
        <v>2.0730435483870824E-3</v>
      </c>
      <c r="H3" s="26">
        <f>AVERAGE(SOC_pct!$C3:$DV3)</f>
        <v>36.998768548387091</v>
      </c>
      <c r="I3" s="30">
        <f>SUM(Demand_kW!$C3:$DV3)</f>
        <v>20.096057399999996</v>
      </c>
      <c r="J3" s="30">
        <f>SUM(PV_kW!$C3:$DV3)</f>
        <v>0</v>
      </c>
      <c r="K3" s="16">
        <f>I3-J3+SUM(Charge_kW!$C3:$DV3)-SUM(Discharge_kW!$C3:$DV3)</f>
        <v>0.25705739999999722</v>
      </c>
    </row>
    <row r="4" spans="1:11" x14ac:dyDescent="0.25">
      <c r="A4" s="24">
        <f>Demand_kW!A4</f>
        <v>3</v>
      </c>
      <c r="B4" s="26">
        <f>Demand_kW!B4</f>
        <v>1</v>
      </c>
      <c r="C4" s="28">
        <f>AVERAGE(Demand_kW!$C4:$DV4)</f>
        <v>0.12509534059139787</v>
      </c>
      <c r="D4" s="28">
        <f>AVERAGE(PV_kW!$C4:$DV4)</f>
        <v>0</v>
      </c>
      <c r="E4" s="28">
        <f>AVERAGE(Charge_kW!$C4:$DV4)</f>
        <v>0</v>
      </c>
      <c r="F4" s="28">
        <f>AVERAGE(Discharge_kW!$C4:$DV4)</f>
        <v>0.12145967741935486</v>
      </c>
      <c r="G4" s="28">
        <f t="shared" si="0"/>
        <v>3.635663172043016E-3</v>
      </c>
      <c r="H4" s="26">
        <f>AVERAGE(SOC_pct!$C4:$DV4)</f>
        <v>34.991258064516146</v>
      </c>
      <c r="I4" s="30">
        <f>SUM(Demand_kW!$C4:$DV4)</f>
        <v>15.511822233333337</v>
      </c>
      <c r="J4" s="30">
        <f>SUM(PV_kW!$C4:$DV4)</f>
        <v>0</v>
      </c>
      <c r="K4" s="16">
        <f>I4-J4+SUM(Charge_kW!$C4:$DV4)-SUM(Discharge_kW!$C4:$DV4)</f>
        <v>0.45082223333333538</v>
      </c>
    </row>
    <row r="5" spans="1:11" x14ac:dyDescent="0.25">
      <c r="A5" s="24">
        <f>Demand_kW!A5</f>
        <v>4</v>
      </c>
      <c r="B5" s="26">
        <f>Demand_kW!B5</f>
        <v>1.5</v>
      </c>
      <c r="C5" s="28">
        <f>AVERAGE(Demand_kW!$C5:$DV5)</f>
        <v>0.13857774946236556</v>
      </c>
      <c r="D5" s="28">
        <f>AVERAGE(PV_kW!$C5:$DV5)</f>
        <v>0</v>
      </c>
      <c r="E5" s="28">
        <f>AVERAGE(Charge_kW!$C5:$DV5)</f>
        <v>0</v>
      </c>
      <c r="F5" s="28">
        <f>AVERAGE(Discharge_kW!$C5:$DV5)</f>
        <v>0.12979838709677419</v>
      </c>
      <c r="G5" s="28">
        <f t="shared" si="0"/>
        <v>8.7793623655913755E-3</v>
      </c>
      <c r="H5" s="26">
        <f>AVERAGE(SOC_pct!$C5:$DV5)</f>
        <v>33.467017741935486</v>
      </c>
      <c r="I5" s="30">
        <f>SUM(Demand_kW!$C5:$DV5)</f>
        <v>17.183640933333329</v>
      </c>
      <c r="J5" s="30">
        <f>SUM(PV_kW!$C5:$DV5)</f>
        <v>0</v>
      </c>
      <c r="K5" s="16">
        <f>I5-J5+SUM(Charge_kW!$C5:$DV5)-SUM(Discharge_kW!$C5:$DV5)</f>
        <v>1.0886409333333305</v>
      </c>
    </row>
    <row r="6" spans="1:11" x14ac:dyDescent="0.25">
      <c r="A6" s="24">
        <f>Demand_kW!A6</f>
        <v>5</v>
      </c>
      <c r="B6" s="26">
        <f>Demand_kW!B6</f>
        <v>2</v>
      </c>
      <c r="C6" s="28">
        <f>AVERAGE(Demand_kW!$C6:$DV6)</f>
        <v>0.11135693548387104</v>
      </c>
      <c r="D6" s="28">
        <f>AVERAGE(PV_kW!$C6:$DV6)</f>
        <v>0</v>
      </c>
      <c r="E6" s="28">
        <f>AVERAGE(Charge_kW!$C6:$DV6)</f>
        <v>0</v>
      </c>
      <c r="F6" s="28">
        <f>AVERAGE(Discharge_kW!$C6:$DV6)</f>
        <v>0.10301612903225814</v>
      </c>
      <c r="G6" s="28">
        <f t="shared" si="0"/>
        <v>8.340806451612906E-3</v>
      </c>
      <c r="H6" s="26">
        <f>AVERAGE(SOC_pct!$C6:$DV6)</f>
        <v>31.8379241935484</v>
      </c>
      <c r="I6" s="30">
        <f>SUM(Demand_kW!$C6:$DV6)</f>
        <v>13.80826000000001</v>
      </c>
      <c r="J6" s="30">
        <f>SUM(PV_kW!$C6:$DV6)</f>
        <v>0</v>
      </c>
      <c r="K6" s="16">
        <f>I6-J6+SUM(Charge_kW!$C6:$DV6)-SUM(Discharge_kW!$C6:$DV6)</f>
        <v>1.0342599999999997</v>
      </c>
    </row>
    <row r="7" spans="1:11" x14ac:dyDescent="0.25">
      <c r="A7" s="24">
        <f>Demand_kW!A7</f>
        <v>6</v>
      </c>
      <c r="B7" s="26">
        <f>Demand_kW!B7</f>
        <v>2.5</v>
      </c>
      <c r="C7" s="28">
        <f>AVERAGE(Demand_kW!$C7:$DV7)</f>
        <v>0.12965302096774203</v>
      </c>
      <c r="D7" s="28">
        <f>AVERAGE(PV_kW!$C7:$DV7)</f>
        <v>0</v>
      </c>
      <c r="E7" s="28">
        <f>AVERAGE(Charge_kW!$C7:$DV7)</f>
        <v>0</v>
      </c>
      <c r="F7" s="28">
        <f>AVERAGE(Discharge_kW!$C7:$DV7)</f>
        <v>0.1226935483870968</v>
      </c>
      <c r="G7" s="28">
        <f t="shared" si="0"/>
        <v>6.9594725806452346E-3</v>
      </c>
      <c r="H7" s="26">
        <f>AVERAGE(SOC_pct!$C7:$DV7)</f>
        <v>30.54495080645161</v>
      </c>
      <c r="I7" s="30">
        <f>SUM(Demand_kW!$C7:$DV7)</f>
        <v>16.07697460000001</v>
      </c>
      <c r="J7" s="30">
        <f>SUM(PV_kW!$C7:$DV7)</f>
        <v>0</v>
      </c>
      <c r="K7" s="16">
        <f>I7-J7+SUM(Charge_kW!$C7:$DV7)-SUM(Discharge_kW!$C7:$DV7)</f>
        <v>0.86297460000000825</v>
      </c>
    </row>
    <row r="8" spans="1:11" x14ac:dyDescent="0.25">
      <c r="A8" s="24">
        <f>Demand_kW!A8</f>
        <v>7</v>
      </c>
      <c r="B8" s="26">
        <f>Demand_kW!B8</f>
        <v>3</v>
      </c>
      <c r="C8" s="28">
        <f>AVERAGE(Demand_kW!$C8:$DV8)</f>
        <v>0.1092712983870968</v>
      </c>
      <c r="D8" s="28">
        <f>AVERAGE(PV_kW!$C8:$DV8)</f>
        <v>0</v>
      </c>
      <c r="E8" s="28">
        <f>AVERAGE(Charge_kW!$C8:$DV8)</f>
        <v>0</v>
      </c>
      <c r="F8" s="28">
        <f>AVERAGE(Discharge_kW!$C8:$DV8)</f>
        <v>0.10104032258064513</v>
      </c>
      <c r="G8" s="28">
        <f t="shared" si="0"/>
        <v>8.2309758064516708E-3</v>
      </c>
      <c r="H8" s="26">
        <f>AVERAGE(SOC_pct!$C8:$DV8)</f>
        <v>29.005632258064516</v>
      </c>
      <c r="I8" s="30">
        <f>SUM(Demand_kW!$C8:$DV8)</f>
        <v>13.549641000000003</v>
      </c>
      <c r="J8" s="30">
        <f>SUM(PV_kW!$C8:$DV8)</f>
        <v>0</v>
      </c>
      <c r="K8" s="16">
        <f>I8-J8+SUM(Charge_kW!$C8:$DV8)-SUM(Discharge_kW!$C8:$DV8)</f>
        <v>1.0206410000000066</v>
      </c>
    </row>
    <row r="9" spans="1:11" x14ac:dyDescent="0.25">
      <c r="A9" s="24">
        <f>Demand_kW!A9</f>
        <v>8</v>
      </c>
      <c r="B9" s="26">
        <f>Demand_kW!B9</f>
        <v>3.5</v>
      </c>
      <c r="C9" s="28">
        <f>AVERAGE(Demand_kW!$C9:$DV9)</f>
        <v>0.14391196827956984</v>
      </c>
      <c r="D9" s="28">
        <f>AVERAGE(PV_kW!$C9:$DV9)</f>
        <v>2.6465050857526883E-3</v>
      </c>
      <c r="E9" s="28">
        <f>AVERAGE(Charge_kW!$C9:$DV9)</f>
        <v>0</v>
      </c>
      <c r="F9" s="28">
        <f>AVERAGE(Discharge_kW!$C9:$DV9)</f>
        <v>0.12418548387096784</v>
      </c>
      <c r="G9" s="28">
        <f t="shared" si="0"/>
        <v>1.7079979322849326E-2</v>
      </c>
      <c r="H9" s="26">
        <f>AVERAGE(SOC_pct!$C9:$DV9)</f>
        <v>27.73796370967743</v>
      </c>
      <c r="I9" s="30">
        <f>SUM(Demand_kW!$C9:$DV9)</f>
        <v>17.845084066666661</v>
      </c>
      <c r="J9" s="30">
        <f>SUM(PV_kW!$C9:$DV9)</f>
        <v>0.32816663063333334</v>
      </c>
      <c r="K9" s="16">
        <f>I9-J9+SUM(Charge_kW!$C9:$DV9)-SUM(Discharge_kW!$C9:$DV9)</f>
        <v>2.1179174360333164</v>
      </c>
    </row>
    <row r="10" spans="1:11" x14ac:dyDescent="0.25">
      <c r="A10" s="24">
        <f>Demand_kW!A10</f>
        <v>9</v>
      </c>
      <c r="B10" s="26">
        <f>Demand_kW!B10</f>
        <v>4</v>
      </c>
      <c r="C10" s="28">
        <f>AVERAGE(Demand_kW!$C10:$DV10)</f>
        <v>0.11276629301075269</v>
      </c>
      <c r="D10" s="28">
        <f>AVERAGE(PV_kW!$C10:$DV10)</f>
        <v>3.8253445365860152E-2</v>
      </c>
      <c r="E10" s="28">
        <f>AVERAGE(Charge_kW!$C10:$DV10)</f>
        <v>3.1451612903225811E-4</v>
      </c>
      <c r="F10" s="28">
        <f>AVERAGE(Discharge_kW!$C10:$DV10)</f>
        <v>6.7915572790322565E-2</v>
      </c>
      <c r="G10" s="28">
        <f t="shared" si="0"/>
        <v>6.9117909836022423E-3</v>
      </c>
      <c r="H10" s="26">
        <f>AVERAGE(SOC_pct!$C10:$DV10)</f>
        <v>26.179534677419372</v>
      </c>
      <c r="I10" s="30">
        <f>SUM(Demand_kW!$C10:$DV10)</f>
        <v>13.983020333333334</v>
      </c>
      <c r="J10" s="30">
        <f>SUM(PV_kW!$C10:$DV10)</f>
        <v>4.7434272253666592</v>
      </c>
      <c r="K10" s="16">
        <f>I10-J10+SUM(Charge_kW!$C10:$DV10)-SUM(Discharge_kW!$C10:$DV10)</f>
        <v>0.8570620819666761</v>
      </c>
    </row>
    <row r="11" spans="1:11" x14ac:dyDescent="0.25">
      <c r="A11" s="24">
        <f>Demand_kW!A11</f>
        <v>10</v>
      </c>
      <c r="B11" s="26">
        <f>Demand_kW!B11</f>
        <v>4.5</v>
      </c>
      <c r="C11" s="28">
        <f>AVERAGE(Demand_kW!$C11:$DV11)</f>
        <v>0.11641531989247308</v>
      </c>
      <c r="D11" s="28">
        <f>AVERAGE(PV_kW!$C11:$DV11)</f>
        <v>0.17888470175766105</v>
      </c>
      <c r="E11" s="28">
        <f>AVERAGE(Charge_kW!$C11:$DV11)</f>
        <v>8.3451612903225794E-2</v>
      </c>
      <c r="F11" s="28">
        <f>AVERAGE(Discharge_kW!$C11:$DV11)</f>
        <v>2.0725806451612903E-2</v>
      </c>
      <c r="G11" s="28">
        <f t="shared" si="0"/>
        <v>2.5642458642492413E-4</v>
      </c>
      <c r="H11" s="26">
        <f>AVERAGE(SOC_pct!$C11:$DV11)</f>
        <v>25.330334677419341</v>
      </c>
      <c r="I11" s="30">
        <f>SUM(Demand_kW!$C11:$DV11)</f>
        <v>14.435499666666663</v>
      </c>
      <c r="J11" s="30">
        <f>SUM(PV_kW!$C11:$DV11)</f>
        <v>22.181703017949971</v>
      </c>
      <c r="K11" s="16">
        <f>I11-J11+SUM(Charge_kW!$C11:$DV11)-SUM(Discharge_kW!$C11:$DV11)</f>
        <v>3.1796648716691411E-2</v>
      </c>
    </row>
    <row r="12" spans="1:11" x14ac:dyDescent="0.25">
      <c r="A12" s="24">
        <f>Demand_kW!A12</f>
        <v>11</v>
      </c>
      <c r="B12" s="26">
        <f>Demand_kW!B12</f>
        <v>5</v>
      </c>
      <c r="C12" s="28">
        <f>AVERAGE(Demand_kW!$C12:$DV12)</f>
        <v>0.11359414516129028</v>
      </c>
      <c r="D12" s="28">
        <f>AVERAGE(PV_kW!$C12:$DV12)</f>
        <v>0.35484137091478601</v>
      </c>
      <c r="E12" s="28">
        <f>AVERAGE(Charge_kW!$C12:$DV12)</f>
        <v>0.24564516129032257</v>
      </c>
      <c r="F12" s="28">
        <f>AVERAGE(Discharge_kW!$C12:$DV12)</f>
        <v>4.4193548387096776E-3</v>
      </c>
      <c r="G12" s="28">
        <f t="shared" si="0"/>
        <v>-2.1419301882825113E-5</v>
      </c>
      <c r="H12" s="26">
        <f>AVERAGE(SOC_pct!$C12:$DV12)</f>
        <v>26.012711290322596</v>
      </c>
      <c r="I12" s="30">
        <f>SUM(Demand_kW!$C12:$DV12)</f>
        <v>14.085673999999996</v>
      </c>
      <c r="J12" s="30">
        <f>SUM(PV_kW!$C12:$DV12)</f>
        <v>44.000329993433468</v>
      </c>
      <c r="K12" s="16">
        <f>I12-J12+SUM(Charge_kW!$C12:$DV12)-SUM(Discharge_kW!$C12:$DV12)</f>
        <v>-2.6559934334731139E-3</v>
      </c>
    </row>
    <row r="13" spans="1:11" x14ac:dyDescent="0.25">
      <c r="A13" s="24">
        <f>Demand_kW!A13</f>
        <v>12</v>
      </c>
      <c r="B13" s="26">
        <f>Demand_kW!B13</f>
        <v>5.5</v>
      </c>
      <c r="C13" s="28">
        <f>AVERAGE(Demand_kW!$C13:$DV13)</f>
        <v>0.10878060322580646</v>
      </c>
      <c r="D13" s="28">
        <f>AVERAGE(PV_kW!$C13:$DV13)</f>
        <v>0.57060245574085966</v>
      </c>
      <c r="E13" s="28">
        <f>AVERAGE(Charge_kW!$C13:$DV13)</f>
        <v>0.46278225806451606</v>
      </c>
      <c r="F13" s="28">
        <f>AVERAGE(Discharge_kW!$C13:$DV13)</f>
        <v>9.7580645161290318E-4</v>
      </c>
      <c r="G13" s="28">
        <f t="shared" si="0"/>
        <v>-1.5400902150041569E-5</v>
      </c>
      <c r="H13" s="26">
        <f>AVERAGE(SOC_pct!$C13:$DV13)</f>
        <v>28.731836290322583</v>
      </c>
      <c r="I13" s="30">
        <f>SUM(Demand_kW!$C13:$DV13)</f>
        <v>13.488794800000001</v>
      </c>
      <c r="J13" s="30">
        <f>SUM(PV_kW!$C13:$DV13)</f>
        <v>70.754704511866592</v>
      </c>
      <c r="K13" s="16">
        <f>I13-J13+SUM(Charge_kW!$C13:$DV13)-SUM(Discharge_kW!$C13:$DV13)</f>
        <v>-1.9097118666002721E-3</v>
      </c>
    </row>
    <row r="14" spans="1:11" x14ac:dyDescent="0.25">
      <c r="A14" s="24">
        <f>Demand_kW!A14</f>
        <v>13</v>
      </c>
      <c r="B14" s="26">
        <f>Demand_kW!B14</f>
        <v>6</v>
      </c>
      <c r="C14" s="28">
        <f>AVERAGE(Demand_kW!$C14:$DV14)</f>
        <v>0.12444465672043016</v>
      </c>
      <c r="D14" s="28">
        <f>AVERAGE(PV_kW!$C14:$DV14)</f>
        <v>0.80600996593212404</v>
      </c>
      <c r="E14" s="28">
        <f>AVERAGE(Charge_kW!$C14:$DV14)</f>
        <v>0.69041129032258031</v>
      </c>
      <c r="F14" s="28">
        <f>AVERAGE(Discharge_kW!$C14:$DV14)</f>
        <v>1.3145161290322581E-3</v>
      </c>
      <c r="G14" s="28">
        <f t="shared" si="0"/>
        <v>7.531464981854156E-3</v>
      </c>
      <c r="H14" s="26">
        <f>AVERAGE(SOC_pct!$C14:$DV14)</f>
        <v>33.946454838709684</v>
      </c>
      <c r="I14" s="30">
        <f>SUM(Demand_kW!$C14:$DV14)</f>
        <v>15.43113743333334</v>
      </c>
      <c r="J14" s="30">
        <f>SUM(PV_kW!$C14:$DV14)</f>
        <v>99.945235775583384</v>
      </c>
      <c r="K14" s="16">
        <f>I14-J14+SUM(Charge_kW!$C14:$DV14)-SUM(Discharge_kW!$C14:$DV14)</f>
        <v>0.93390165774992462</v>
      </c>
    </row>
    <row r="15" spans="1:11" x14ac:dyDescent="0.25">
      <c r="A15" s="24">
        <f>Demand_kW!A15</f>
        <v>14</v>
      </c>
      <c r="B15" s="26">
        <f>Demand_kW!B15</f>
        <v>6.5</v>
      </c>
      <c r="C15" s="28">
        <f>AVERAGE(Demand_kW!$C15:$DV15)</f>
        <v>0.14643169086021512</v>
      </c>
      <c r="D15" s="28">
        <f>AVERAGE(PV_kW!$C15:$DV15)</f>
        <v>1.0443109989723116</v>
      </c>
      <c r="E15" s="28">
        <f>AVERAGE(Charge_kW!$C15:$DV15)</f>
        <v>0.9039435483870969</v>
      </c>
      <c r="F15" s="28">
        <f>AVERAGE(Discharge_kW!$C15:$DV15)</f>
        <v>6.0564516129032256E-3</v>
      </c>
      <c r="G15" s="28">
        <f t="shared" si="0"/>
        <v>7.7886620971842624E-6</v>
      </c>
      <c r="H15" s="26">
        <f>AVERAGE(SOC_pct!$C15:$DV15)</f>
        <v>41.726845161290314</v>
      </c>
      <c r="I15" s="30">
        <f>SUM(Demand_kW!$C15:$DV15)</f>
        <v>18.157529666666676</v>
      </c>
      <c r="J15" s="30">
        <f>SUM(PV_kW!$C15:$DV15)</f>
        <v>129.49456387256663</v>
      </c>
      <c r="K15" s="16">
        <f>I15-J15+SUM(Charge_kW!$C15:$DV15)-SUM(Discharge_kW!$C15:$DV15)</f>
        <v>9.6579410005881439E-4</v>
      </c>
    </row>
    <row r="16" spans="1:11" x14ac:dyDescent="0.25">
      <c r="A16" s="24">
        <f>Demand_kW!A16</f>
        <v>15</v>
      </c>
      <c r="B16" s="26">
        <f>Demand_kW!B16</f>
        <v>7</v>
      </c>
      <c r="C16" s="28">
        <f>AVERAGE(Demand_kW!$C16:$DV16)</f>
        <v>0.15143361451612911</v>
      </c>
      <c r="D16" s="28">
        <f>AVERAGE(PV_kW!$C16:$DV16)</f>
        <v>1.2813780887221773</v>
      </c>
      <c r="E16" s="28">
        <f>AVERAGE(Charge_kW!$C16:$DV16)</f>
        <v>1.1330241935483871</v>
      </c>
      <c r="F16" s="28">
        <f>AVERAGE(Discharge_kW!$C16:$DV16)</f>
        <v>3.6370967741935485E-3</v>
      </c>
      <c r="G16" s="28">
        <f t="shared" si="0"/>
        <v>-5.5737743185468825E-4</v>
      </c>
      <c r="H16" s="26">
        <f>AVERAGE(SOC_pct!$C16:$DV16)</f>
        <v>51.859936290322551</v>
      </c>
      <c r="I16" s="30">
        <f>SUM(Demand_kW!$C16:$DV16)</f>
        <v>18.777768200000008</v>
      </c>
      <c r="J16" s="30">
        <f>SUM(PV_kW!$C16:$DV16)</f>
        <v>158.89088300154998</v>
      </c>
      <c r="K16" s="16">
        <f>I16-J16+SUM(Charge_kW!$C16:$DV16)-SUM(Discharge_kW!$C16:$DV16)</f>
        <v>-6.9114801549978677E-2</v>
      </c>
    </row>
    <row r="17" spans="1:11" x14ac:dyDescent="0.25">
      <c r="A17" s="24">
        <f>Demand_kW!A17</f>
        <v>16</v>
      </c>
      <c r="B17" s="26">
        <f>Demand_kW!B17</f>
        <v>7.5</v>
      </c>
      <c r="C17" s="28">
        <f>AVERAGE(Demand_kW!$C17:$DV17)</f>
        <v>0.18172697123655918</v>
      </c>
      <c r="D17" s="28">
        <f>AVERAGE(PV_kW!$C17:$DV17)</f>
        <v>1.5187900268850794</v>
      </c>
      <c r="E17" s="28">
        <f>AVERAGE(Charge_kW!$C17:$DV17)</f>
        <v>1.234475806451613</v>
      </c>
      <c r="F17" s="28">
        <f>AVERAGE(Discharge_kW!$C17:$DV17)</f>
        <v>1.75E-3</v>
      </c>
      <c r="G17" s="28">
        <f t="shared" si="0"/>
        <v>-0.10433724919690709</v>
      </c>
      <c r="H17" s="26">
        <f>AVERAGE(SOC_pct!$C17:$DV17)</f>
        <v>64.610875806451659</v>
      </c>
      <c r="I17" s="30">
        <f>SUM(Demand_kW!$C17:$DV17)</f>
        <v>22.534144433333338</v>
      </c>
      <c r="J17" s="30">
        <f>SUM(PV_kW!$C17:$DV17)</f>
        <v>188.32996333374984</v>
      </c>
      <c r="K17" s="16">
        <f>I17-J17+SUM(Charge_kW!$C17:$DV17)-SUM(Discharge_kW!$C17:$DV17)</f>
        <v>-12.937818900416504</v>
      </c>
    </row>
    <row r="18" spans="1:11" x14ac:dyDescent="0.25">
      <c r="A18" s="24">
        <f>Demand_kW!A18</f>
        <v>17</v>
      </c>
      <c r="B18" s="26">
        <f>Demand_kW!B18</f>
        <v>8</v>
      </c>
      <c r="C18" s="28">
        <f>AVERAGE(Demand_kW!$C18:$DV18)</f>
        <v>0.24661520026881714</v>
      </c>
      <c r="D18" s="28">
        <f>AVERAGE(PV_kW!$C18:$DV18)</f>
        <v>1.7416162609651937</v>
      </c>
      <c r="E18" s="28">
        <f>AVERAGE(Charge_kW!$C18:$DV18)</f>
        <v>0.71991129032258061</v>
      </c>
      <c r="F18" s="28">
        <f>AVERAGE(Discharge_kW!$C18:$DV18)</f>
        <v>8.7016129032258058E-3</v>
      </c>
      <c r="G18" s="28">
        <f t="shared" si="0"/>
        <v>-0.7837913832770218</v>
      </c>
      <c r="H18" s="26">
        <f>AVERAGE(SOC_pct!$C18:$DV18)</f>
        <v>78.530950000000018</v>
      </c>
      <c r="I18" s="30">
        <f>SUM(Demand_kW!$C18:$DV18)</f>
        <v>30.580284833333327</v>
      </c>
      <c r="J18" s="30">
        <f>SUM(PV_kW!$C18:$DV18)</f>
        <v>215.96041635968402</v>
      </c>
      <c r="K18" s="16">
        <f>I18-J18+SUM(Charge_kW!$C18:$DV18)-SUM(Discharge_kW!$C18:$DV18)</f>
        <v>-97.190131526350683</v>
      </c>
    </row>
    <row r="19" spans="1:11" x14ac:dyDescent="0.25">
      <c r="A19" s="24">
        <f>Demand_kW!A19</f>
        <v>18</v>
      </c>
      <c r="B19" s="26">
        <f>Demand_kW!B19</f>
        <v>8.5</v>
      </c>
      <c r="C19" s="28">
        <f>AVERAGE(Demand_kW!$C19:$DV19)</f>
        <v>0.29846375134408609</v>
      </c>
      <c r="D19" s="28">
        <f>AVERAGE(PV_kW!$C19:$DV19)</f>
        <v>1.9510732483233852</v>
      </c>
      <c r="E19" s="28">
        <f>AVERAGE(Charge_kW!$C19:$DV19)</f>
        <v>0.38551612903225796</v>
      </c>
      <c r="F19" s="28">
        <f>AVERAGE(Discharge_kW!$C19:$DV19)</f>
        <v>7.7903225806451601E-3</v>
      </c>
      <c r="G19" s="28">
        <f t="shared" si="0"/>
        <v>-1.2748836905276864</v>
      </c>
      <c r="H19" s="26">
        <f>AVERAGE(SOC_pct!$C19:$DV19)</f>
        <v>86.552554838709696</v>
      </c>
      <c r="I19" s="30">
        <f>SUM(Demand_kW!$C19:$DV19)</f>
        <v>37.009505166666678</v>
      </c>
      <c r="J19" s="30">
        <f>SUM(PV_kW!$C19:$DV19)</f>
        <v>241.93308279209978</v>
      </c>
      <c r="K19" s="16">
        <f>I19-J19+SUM(Charge_kW!$C19:$DV19)-SUM(Discharge_kW!$C19:$DV19)</f>
        <v>-158.08557762543313</v>
      </c>
    </row>
    <row r="20" spans="1:11" x14ac:dyDescent="0.25">
      <c r="A20" s="24">
        <f>Demand_kW!A20</f>
        <v>19</v>
      </c>
      <c r="B20" s="26">
        <f>Demand_kW!B20</f>
        <v>9</v>
      </c>
      <c r="C20" s="28">
        <f>AVERAGE(Demand_kW!$C20:$DV20)</f>
        <v>0.32811404973118286</v>
      </c>
      <c r="D20" s="28">
        <f>AVERAGE(PV_kW!$C20:$DV20)</f>
        <v>2.1294586710833348</v>
      </c>
      <c r="E20" s="28">
        <f>AVERAGE(Charge_kW!$C20:$DV20)</f>
        <v>0.25962903225806455</v>
      </c>
      <c r="F20" s="28">
        <f>AVERAGE(Discharge_kW!$C20:$DV20)</f>
        <v>1.4669354838709677E-2</v>
      </c>
      <c r="G20" s="28">
        <f t="shared" si="0"/>
        <v>-1.5563849439327968</v>
      </c>
      <c r="H20" s="26">
        <f>AVERAGE(SOC_pct!$C20:$DV20)</f>
        <v>90.809050000000013</v>
      </c>
      <c r="I20" s="30">
        <f>SUM(Demand_kW!$C20:$DV20)</f>
        <v>40.686142166666677</v>
      </c>
      <c r="J20" s="30">
        <f>SUM(PV_kW!$C20:$DV20)</f>
        <v>264.05287521433348</v>
      </c>
      <c r="K20" s="16">
        <f>I20-J20+SUM(Charge_kW!$C20:$DV20)-SUM(Discharge_kW!$C20:$DV20)</f>
        <v>-192.99173304766677</v>
      </c>
    </row>
    <row r="21" spans="1:11" x14ac:dyDescent="0.25">
      <c r="A21" s="24">
        <f>Demand_kW!A21</f>
        <v>20</v>
      </c>
      <c r="B21" s="26">
        <f>Demand_kW!B21</f>
        <v>9.5</v>
      </c>
      <c r="C21" s="28">
        <f>AVERAGE(Demand_kW!$C21:$DV21)</f>
        <v>0.33597752688172067</v>
      </c>
      <c r="D21" s="28">
        <f>AVERAGE(PV_kW!$C21:$DV21)</f>
        <v>2.2816033658061787</v>
      </c>
      <c r="E21" s="28">
        <f>AVERAGE(Charge_kW!$C21:$DV21)</f>
        <v>0.19473387096774186</v>
      </c>
      <c r="F21" s="28">
        <f>AVERAGE(Discharge_kW!$C21:$DV21)</f>
        <v>2.5137096774193547E-2</v>
      </c>
      <c r="G21" s="28">
        <f t="shared" si="0"/>
        <v>-1.7760290647309098</v>
      </c>
      <c r="H21" s="26">
        <f>AVERAGE(SOC_pct!$C21:$DV21)</f>
        <v>93.557691129032236</v>
      </c>
      <c r="I21" s="30">
        <f>SUM(Demand_kW!$C21:$DV21)</f>
        <v>41.661213333333365</v>
      </c>
      <c r="J21" s="30">
        <f>SUM(PV_kW!$C21:$DV21)</f>
        <v>282.91881735996617</v>
      </c>
      <c r="K21" s="16">
        <f>I21-J21+SUM(Charge_kW!$C21:$DV21)-SUM(Discharge_kW!$C21:$DV21)</f>
        <v>-220.2276040266328</v>
      </c>
    </row>
    <row r="22" spans="1:11" x14ac:dyDescent="0.25">
      <c r="A22" s="24">
        <f>Demand_kW!A22</f>
        <v>21</v>
      </c>
      <c r="B22" s="26">
        <f>Demand_kW!B22</f>
        <v>10</v>
      </c>
      <c r="C22" s="28">
        <f>AVERAGE(Demand_kW!$C22:$DV22)</f>
        <v>0.36159769327956987</v>
      </c>
      <c r="D22" s="28">
        <f>AVERAGE(PV_kW!$C22:$DV22)</f>
        <v>2.415148007620834</v>
      </c>
      <c r="E22" s="28">
        <f>AVERAGE(Charge_kW!$C22:$DV22)</f>
        <v>0.11648387096774195</v>
      </c>
      <c r="F22" s="28">
        <f>AVERAGE(Discharge_kW!$C22:$DV22)</f>
        <v>1.1975806451612904E-2</v>
      </c>
      <c r="G22" s="28">
        <f t="shared" si="0"/>
        <v>-1.949042249825135</v>
      </c>
      <c r="H22" s="26">
        <f>AVERAGE(SOC_pct!$C22:$DV22)</f>
        <v>95.441881451612915</v>
      </c>
      <c r="I22" s="30">
        <f>SUM(Demand_kW!$C22:$DV22)</f>
        <v>44.838113966666661</v>
      </c>
      <c r="J22" s="30">
        <f>SUM(PV_kW!$C22:$DV22)</f>
        <v>299.47835294498344</v>
      </c>
      <c r="K22" s="16">
        <f>I22-J22+SUM(Charge_kW!$C22:$DV22)-SUM(Discharge_kW!$C22:$DV22)</f>
        <v>-241.6812389783168</v>
      </c>
    </row>
    <row r="23" spans="1:11" x14ac:dyDescent="0.25">
      <c r="A23" s="24">
        <f>Demand_kW!A23</f>
        <v>22</v>
      </c>
      <c r="B23" s="26">
        <f>Demand_kW!B23</f>
        <v>10.5</v>
      </c>
      <c r="C23" s="28">
        <f>AVERAGE(Demand_kW!$C23:$DV23)</f>
        <v>0.3795653126344084</v>
      </c>
      <c r="D23" s="28">
        <f>AVERAGE(PV_kW!$C23:$DV23)</f>
        <v>2.5253647252778202</v>
      </c>
      <c r="E23" s="28">
        <f>AVERAGE(Charge_kW!$C23:$DV23)</f>
        <v>6.9266129032258067E-2</v>
      </c>
      <c r="F23" s="28">
        <f>AVERAGE(Discharge_kW!$C23:$DV23)</f>
        <v>3.0362903225806454E-2</v>
      </c>
      <c r="G23" s="28">
        <f t="shared" si="0"/>
        <v>-2.10689618683696</v>
      </c>
      <c r="H23" s="26">
        <f>AVERAGE(SOC_pct!$C23:$DV23)</f>
        <v>96.607210483870972</v>
      </c>
      <c r="I23" s="30">
        <f>SUM(Demand_kW!$C23:$DV23)</f>
        <v>47.066098766666641</v>
      </c>
      <c r="J23" s="30">
        <f>SUM(PV_kW!$C23:$DV23)</f>
        <v>313.14522593444968</v>
      </c>
      <c r="K23" s="16">
        <f>I23-J23+SUM(Charge_kW!$C23:$DV23)-SUM(Discharge_kW!$C23:$DV23)</f>
        <v>-261.25512716778303</v>
      </c>
    </row>
    <row r="24" spans="1:11" x14ac:dyDescent="0.25">
      <c r="A24" s="24">
        <f>Demand_kW!A24</f>
        <v>23</v>
      </c>
      <c r="B24" s="26">
        <f>Demand_kW!B24</f>
        <v>11</v>
      </c>
      <c r="C24" s="28">
        <f>AVERAGE(Demand_kW!$C24:$DV24)</f>
        <v>0.34430338602150512</v>
      </c>
      <c r="D24" s="28">
        <f>AVERAGE(PV_kW!$C24:$DV24)</f>
        <v>2.6035666900409944</v>
      </c>
      <c r="E24" s="28">
        <f>AVERAGE(Charge_kW!$C24:$DV24)</f>
        <v>7.8475806451612909E-2</v>
      </c>
      <c r="F24" s="28">
        <f>AVERAGE(Discharge_kW!$C24:$DV24)</f>
        <v>8.5483870967741939E-3</v>
      </c>
      <c r="G24" s="28">
        <f t="shared" si="0"/>
        <v>-2.1893358846646507</v>
      </c>
      <c r="H24" s="26">
        <f>AVERAGE(SOC_pct!$C24:$DV24)</f>
        <v>97.008322580645171</v>
      </c>
      <c r="I24" s="30">
        <f>SUM(Demand_kW!$C24:$DV24)</f>
        <v>42.693619866666637</v>
      </c>
      <c r="J24" s="30">
        <f>SUM(PV_kW!$C24:$DV24)</f>
        <v>322.84226956508331</v>
      </c>
      <c r="K24" s="16">
        <f>I24-J24+SUM(Charge_kW!$C24:$DV24)-SUM(Discharge_kW!$C24:$DV24)</f>
        <v>-271.47764969841666</v>
      </c>
    </row>
    <row r="25" spans="1:11" x14ac:dyDescent="0.25">
      <c r="A25" s="24">
        <f>Demand_kW!A25</f>
        <v>24</v>
      </c>
      <c r="B25" s="26">
        <f>Demand_kW!B25</f>
        <v>11.5</v>
      </c>
      <c r="C25" s="28">
        <f>AVERAGE(Demand_kW!$C25:$DV25)</f>
        <v>0.43832856720430091</v>
      </c>
      <c r="D25" s="28">
        <f>AVERAGE(PV_kW!$C25:$DV25)</f>
        <v>2.6378622971919365</v>
      </c>
      <c r="E25" s="28">
        <f>AVERAGE(Charge_kW!$C25:$DV25)</f>
        <v>4.4693548387096771E-2</v>
      </c>
      <c r="F25" s="28">
        <f>AVERAGE(Discharge_kW!$C25:$DV25)</f>
        <v>4.3080645161290329E-2</v>
      </c>
      <c r="G25" s="28">
        <f t="shared" si="0"/>
        <v>-2.1979208267618291</v>
      </c>
      <c r="H25" s="26">
        <f>AVERAGE(SOC_pct!$C25:$DV25)</f>
        <v>97.787419354838718</v>
      </c>
      <c r="I25" s="30">
        <f>SUM(Demand_kW!$C25:$DV25)</f>
        <v>54.35274233333331</v>
      </c>
      <c r="J25" s="30">
        <f>SUM(PV_kW!$C25:$DV25)</f>
        <v>327.09492485180016</v>
      </c>
      <c r="K25" s="16">
        <f>I25-J25+SUM(Charge_kW!$C25:$DV25)-SUM(Discharge_kW!$C25:$DV25)</f>
        <v>-272.54218251846686</v>
      </c>
    </row>
    <row r="26" spans="1:11" x14ac:dyDescent="0.25">
      <c r="A26" s="24">
        <f>Demand_kW!A26</f>
        <v>25</v>
      </c>
      <c r="B26" s="26">
        <f>Demand_kW!B26</f>
        <v>12</v>
      </c>
      <c r="C26" s="28">
        <f>AVERAGE(Demand_kW!$C26:$DV26)</f>
        <v>0.40914113172042998</v>
      </c>
      <c r="D26" s="28">
        <f>AVERAGE(PV_kW!$C26:$DV26)</f>
        <v>2.6477956190301093</v>
      </c>
      <c r="E26" s="28">
        <f>AVERAGE(Charge_kW!$C26:$DV26)</f>
        <v>5.3387096774193551E-2</v>
      </c>
      <c r="F26" s="28">
        <f>AVERAGE(Discharge_kW!$C26:$DV26)</f>
        <v>1.8233870967741938E-2</v>
      </c>
      <c r="G26" s="28">
        <f t="shared" si="0"/>
        <v>-2.2035012615032277</v>
      </c>
      <c r="H26" s="26">
        <f>AVERAGE(SOC_pct!$C26:$DV26)</f>
        <v>97.751525806451639</v>
      </c>
      <c r="I26" s="30">
        <f>SUM(Demand_kW!$C26:$DV26)</f>
        <v>50.733500333333318</v>
      </c>
      <c r="J26" s="30">
        <f>SUM(PV_kW!$C26:$DV26)</f>
        <v>328.32665675973357</v>
      </c>
      <c r="K26" s="16">
        <f>I26-J26+SUM(Charge_kW!$C26:$DV26)-SUM(Discharge_kW!$C26:$DV26)</f>
        <v>-273.23415642640026</v>
      </c>
    </row>
    <row r="27" spans="1:11" x14ac:dyDescent="0.25">
      <c r="A27" s="24">
        <f>Demand_kW!A27</f>
        <v>26</v>
      </c>
      <c r="B27" s="26">
        <f>Demand_kW!B27</f>
        <v>12.5</v>
      </c>
      <c r="C27" s="28">
        <f>AVERAGE(Demand_kW!$C27:$DV27)</f>
        <v>0.30636427499999985</v>
      </c>
      <c r="D27" s="28">
        <f>AVERAGE(PV_kW!$C27:$DV27)</f>
        <v>2.6292131408629031</v>
      </c>
      <c r="E27" s="28">
        <f>AVERAGE(Charge_kW!$C27:$DV27)</f>
        <v>3.7967741935483863E-2</v>
      </c>
      <c r="F27" s="28">
        <f>AVERAGE(Discharge_kW!$C27:$DV27)</f>
        <v>4.9354838709677416E-3</v>
      </c>
      <c r="G27" s="28">
        <f t="shared" si="0"/>
        <v>-2.2898166077983872</v>
      </c>
      <c r="H27" s="26">
        <f>AVERAGE(SOC_pct!$C27:$DV27)</f>
        <v>98.125580645161293</v>
      </c>
      <c r="I27" s="30">
        <f>SUM(Demand_kW!$C27:$DV27)</f>
        <v>37.989170099999981</v>
      </c>
      <c r="J27" s="30">
        <f>SUM(PV_kW!$C27:$DV27)</f>
        <v>326.02242946699999</v>
      </c>
      <c r="K27" s="16">
        <f>I27-J27+SUM(Charge_kW!$C27:$DV27)-SUM(Discharge_kW!$C27:$DV27)</f>
        <v>-283.93725936700002</v>
      </c>
    </row>
    <row r="28" spans="1:11" x14ac:dyDescent="0.25">
      <c r="A28" s="24">
        <f>Demand_kW!A28</f>
        <v>27</v>
      </c>
      <c r="B28" s="26">
        <f>Demand_kW!B28</f>
        <v>13</v>
      </c>
      <c r="C28" s="28">
        <f>AVERAGE(Demand_kW!$C28:$DV28)</f>
        <v>0.25108695860215047</v>
      </c>
      <c r="D28" s="28">
        <f>AVERAGE(PV_kW!$C28:$DV28)</f>
        <v>2.5667862114576625</v>
      </c>
      <c r="E28" s="28">
        <f>AVERAGE(Charge_kW!$C28:$DV28)</f>
        <v>3.6782258064516127E-2</v>
      </c>
      <c r="F28" s="28">
        <f>AVERAGE(Discharge_kW!$C28:$DV28)</f>
        <v>2.6290322580645163E-3</v>
      </c>
      <c r="G28" s="28">
        <f t="shared" si="0"/>
        <v>-2.2815460270490604</v>
      </c>
      <c r="H28" s="26">
        <f>AVERAGE(SOC_pct!$C28:$DV28)</f>
        <v>98.492450806451629</v>
      </c>
      <c r="I28" s="30">
        <f>SUM(Demand_kW!$C28:$DV28)</f>
        <v>31.134782866666658</v>
      </c>
      <c r="J28" s="30">
        <f>SUM(PV_kW!$C28:$DV28)</f>
        <v>318.28149022075013</v>
      </c>
      <c r="K28" s="16">
        <f>I28-J28+SUM(Charge_kW!$C28:$DV28)-SUM(Discharge_kW!$C28:$DV28)</f>
        <v>-282.91170735408349</v>
      </c>
    </row>
    <row r="29" spans="1:11" x14ac:dyDescent="0.25">
      <c r="A29" s="24">
        <f>Demand_kW!A29</f>
        <v>28</v>
      </c>
      <c r="B29" s="26">
        <f>Demand_kW!B29</f>
        <v>13.5</v>
      </c>
      <c r="C29" s="28">
        <f>AVERAGE(Demand_kW!$C29:$DV29)</f>
        <v>0.27932642150537645</v>
      </c>
      <c r="D29" s="28">
        <f>AVERAGE(PV_kW!$C29:$DV29)</f>
        <v>2.4715464635655904</v>
      </c>
      <c r="E29" s="28">
        <f>AVERAGE(Charge_kW!$C29:$DV29)</f>
        <v>1.4870967741935482E-2</v>
      </c>
      <c r="F29" s="28">
        <f>AVERAGE(Discharge_kW!$C29:$DV29)</f>
        <v>3.1129032258064519E-3</v>
      </c>
      <c r="G29" s="28">
        <f t="shared" si="0"/>
        <v>-2.1804619775440846</v>
      </c>
      <c r="H29" s="26">
        <f>AVERAGE(SOC_pct!$C29:$DV29)</f>
        <v>98.874781451612904</v>
      </c>
      <c r="I29" s="30">
        <f>SUM(Demand_kW!$C29:$DV29)</f>
        <v>34.636476266666683</v>
      </c>
      <c r="J29" s="30">
        <f>SUM(PV_kW!$C29:$DV29)</f>
        <v>306.47176148213322</v>
      </c>
      <c r="K29" s="16">
        <f>I29-J29+SUM(Charge_kW!$C29:$DV29)-SUM(Discharge_kW!$C29:$DV29)</f>
        <v>-270.37728521546654</v>
      </c>
    </row>
    <row r="30" spans="1:11" x14ac:dyDescent="0.25">
      <c r="A30" s="24">
        <f>Demand_kW!A30</f>
        <v>29</v>
      </c>
      <c r="B30" s="26">
        <f>Demand_kW!B30</f>
        <v>14</v>
      </c>
      <c r="C30" s="28">
        <f>AVERAGE(Demand_kW!$C30:$DV30)</f>
        <v>0.3032334688172042</v>
      </c>
      <c r="D30" s="28">
        <f>AVERAGE(PV_kW!$C30:$DV30)</f>
        <v>2.3578452847899163</v>
      </c>
      <c r="E30" s="28">
        <f>AVERAGE(Charge_kW!$C30:$DV30)</f>
        <v>1.5548387096774193E-2</v>
      </c>
      <c r="F30" s="28">
        <f>AVERAGE(Discharge_kW!$C30:$DV30)</f>
        <v>1.1919354838709676E-2</v>
      </c>
      <c r="G30" s="28">
        <f t="shared" si="0"/>
        <v>-2.0509827837146477</v>
      </c>
      <c r="H30" s="26">
        <f>AVERAGE(SOC_pct!$C30:$DV30)</f>
        <v>99.00372741935486</v>
      </c>
      <c r="I30" s="30">
        <f>SUM(Demand_kW!$C30:$DV30)</f>
        <v>37.60095013333332</v>
      </c>
      <c r="J30" s="30">
        <f>SUM(PV_kW!$C30:$DV30)</f>
        <v>292.37281531394962</v>
      </c>
      <c r="K30" s="16">
        <f>I30-J30+SUM(Charge_kW!$C30:$DV30)-SUM(Discharge_kW!$C30:$DV30)</f>
        <v>-254.3218651806163</v>
      </c>
    </row>
    <row r="31" spans="1:11" x14ac:dyDescent="0.25">
      <c r="A31" s="24">
        <f>Demand_kW!A31</f>
        <v>30</v>
      </c>
      <c r="B31" s="26">
        <f>Demand_kW!B31</f>
        <v>14.5</v>
      </c>
      <c r="C31" s="28">
        <f>AVERAGE(Demand_kW!$C31:$DV31)</f>
        <v>0.31197876747311837</v>
      </c>
      <c r="D31" s="28">
        <f>AVERAGE(PV_kW!$C31:$DV31)</f>
        <v>2.213769256098657</v>
      </c>
      <c r="E31" s="28">
        <f>AVERAGE(Charge_kW!$C31:$DV31)</f>
        <v>3.1258064516129037E-2</v>
      </c>
      <c r="F31" s="28">
        <f>AVERAGE(Discharge_kW!$C31:$DV31)</f>
        <v>2.9024193548387096E-2</v>
      </c>
      <c r="G31" s="28">
        <f t="shared" si="0"/>
        <v>-1.8995566176577967</v>
      </c>
      <c r="H31" s="26">
        <f>AVERAGE(SOC_pct!$C31:$DV31)</f>
        <v>99.029862903225819</v>
      </c>
      <c r="I31" s="30">
        <f>SUM(Demand_kW!$C31:$DV31)</f>
        <v>38.68536716666668</v>
      </c>
      <c r="J31" s="30">
        <f>SUM(PV_kW!$C31:$DV31)</f>
        <v>274.50738775623347</v>
      </c>
      <c r="K31" s="16">
        <f>I31-J31+SUM(Charge_kW!$C31:$DV31)-SUM(Discharge_kW!$C31:$DV31)</f>
        <v>-235.54502058956678</v>
      </c>
    </row>
    <row r="32" spans="1:11" x14ac:dyDescent="0.25">
      <c r="A32" s="24">
        <f>Demand_kW!A32</f>
        <v>31</v>
      </c>
      <c r="B32" s="26">
        <f>Demand_kW!B32</f>
        <v>15</v>
      </c>
      <c r="C32" s="28">
        <f>AVERAGE(Demand_kW!$C32:$DV32)</f>
        <v>0.29433453897849443</v>
      </c>
      <c r="D32" s="28">
        <f>AVERAGE(PV_kW!$C32:$DV32)</f>
        <v>2.0606603241254047</v>
      </c>
      <c r="E32" s="28">
        <f>AVERAGE(Charge_kW!$C32:$DV32)</f>
        <v>1.7217741935483873E-2</v>
      </c>
      <c r="F32" s="28">
        <f>AVERAGE(Discharge_kW!$C32:$DV32)</f>
        <v>2.2653225806451613E-2</v>
      </c>
      <c r="G32" s="28">
        <f t="shared" si="0"/>
        <v>-1.7717612690178779</v>
      </c>
      <c r="H32" s="26">
        <f>AVERAGE(SOC_pct!$C32:$DV32)</f>
        <v>99.018552419354862</v>
      </c>
      <c r="I32" s="30">
        <f>SUM(Demand_kW!$C32:$DV32)</f>
        <v>36.497482833333308</v>
      </c>
      <c r="J32" s="30">
        <f>SUM(PV_kW!$C32:$DV32)</f>
        <v>255.5218801915502</v>
      </c>
      <c r="K32" s="16">
        <f>I32-J32+SUM(Charge_kW!$C32:$DV32)-SUM(Discharge_kW!$C32:$DV32)</f>
        <v>-219.69839735821691</v>
      </c>
    </row>
    <row r="33" spans="1:11" x14ac:dyDescent="0.25">
      <c r="A33" s="24">
        <f>Demand_kW!A33</f>
        <v>32</v>
      </c>
      <c r="B33" s="26">
        <f>Demand_kW!B33</f>
        <v>15.5</v>
      </c>
      <c r="C33" s="28">
        <f>AVERAGE(Demand_kW!$C33:$DV33)</f>
        <v>0.28844957069892474</v>
      </c>
      <c r="D33" s="28">
        <f>AVERAGE(PV_kW!$C33:$DV33)</f>
        <v>1.8764137908268865</v>
      </c>
      <c r="E33" s="28">
        <f>AVERAGE(Charge_kW!$C33:$DV33)</f>
        <v>3.558870967741936E-2</v>
      </c>
      <c r="F33" s="28">
        <f>AVERAGE(Discharge_kW!$C33:$DV33)</f>
        <v>1.2233870967741934E-2</v>
      </c>
      <c r="G33" s="28">
        <f t="shared" si="0"/>
        <v>-1.5646093814182842</v>
      </c>
      <c r="H33" s="26">
        <f>AVERAGE(SOC_pct!$C33:$DV33)</f>
        <v>98.928673387096779</v>
      </c>
      <c r="I33" s="30">
        <f>SUM(Demand_kW!$C33:$DV33)</f>
        <v>35.767746766666669</v>
      </c>
      <c r="J33" s="30">
        <f>SUM(PV_kW!$C33:$DV33)</f>
        <v>232.67531006253392</v>
      </c>
      <c r="K33" s="16">
        <f>I33-J33+SUM(Charge_kW!$C33:$DV33)-SUM(Discharge_kW!$C33:$DV33)</f>
        <v>-194.01156329586723</v>
      </c>
    </row>
    <row r="34" spans="1:11" x14ac:dyDescent="0.25">
      <c r="A34" s="24">
        <f>Demand_kW!A34</f>
        <v>33</v>
      </c>
      <c r="B34" s="26">
        <f>Demand_kW!B34</f>
        <v>16</v>
      </c>
      <c r="C34" s="28">
        <f>AVERAGE(Demand_kW!$C34:$DV34)</f>
        <v>0.32764239354838709</v>
      </c>
      <c r="D34" s="28">
        <f>AVERAGE(PV_kW!$C34:$DV34)</f>
        <v>1.6689087134529561</v>
      </c>
      <c r="E34" s="28">
        <f>AVERAGE(Charge_kW!$C34:$DV34)</f>
        <v>1.0951612903225808E-2</v>
      </c>
      <c r="F34" s="28">
        <f>AVERAGE(Discharge_kW!$C34:$DV34)</f>
        <v>3.2459677419354842E-2</v>
      </c>
      <c r="G34" s="28">
        <f t="shared" si="0"/>
        <v>-1.3627743844206981</v>
      </c>
      <c r="H34" s="26">
        <f>AVERAGE(SOC_pct!$C34:$DV34)</f>
        <v>99.177141129032265</v>
      </c>
      <c r="I34" s="30">
        <f>SUM(Demand_kW!$C34:$DV34)</f>
        <v>40.627656799999997</v>
      </c>
      <c r="J34" s="30">
        <f>SUM(PV_kW!$C34:$DV34)</f>
        <v>206.94468046816655</v>
      </c>
      <c r="K34" s="16">
        <f>I34-J34+SUM(Charge_kW!$C34:$DV34)-SUM(Discharge_kW!$C34:$DV34)</f>
        <v>-168.98402366816654</v>
      </c>
    </row>
    <row r="35" spans="1:11" x14ac:dyDescent="0.25">
      <c r="A35" s="24">
        <f>Demand_kW!A35</f>
        <v>34</v>
      </c>
      <c r="B35" s="26">
        <f>Demand_kW!B35</f>
        <v>16.5</v>
      </c>
      <c r="C35" s="28">
        <f>AVERAGE(Demand_kW!$C35:$DV35)</f>
        <v>0.34157784247311823</v>
      </c>
      <c r="D35" s="28">
        <f>AVERAGE(PV_kW!$C35:$DV35)</f>
        <v>1.4183733681936816</v>
      </c>
      <c r="E35" s="28">
        <f>AVERAGE(Charge_kW!$C35:$DV35)</f>
        <v>1.9548387096774193E-2</v>
      </c>
      <c r="F35" s="28">
        <f>AVERAGE(Discharge_kW!$C35:$DV35)</f>
        <v>2.0838709677419357E-2</v>
      </c>
      <c r="G35" s="28">
        <f t="shared" si="0"/>
        <v>-1.0780858483012088</v>
      </c>
      <c r="H35" s="26">
        <f>AVERAGE(SOC_pct!$C35:$DV35)</f>
        <v>98.893501612903222</v>
      </c>
      <c r="I35" s="30">
        <f>SUM(Demand_kW!$C35:$DV35)</f>
        <v>42.355652466666662</v>
      </c>
      <c r="J35" s="30">
        <f>SUM(PV_kW!$C35:$DV35)</f>
        <v>175.87829765601651</v>
      </c>
      <c r="K35" s="16">
        <f>I35-J35+SUM(Charge_kW!$C35:$DV35)-SUM(Discharge_kW!$C35:$DV35)</f>
        <v>-133.68264518934984</v>
      </c>
    </row>
    <row r="36" spans="1:11" x14ac:dyDescent="0.25">
      <c r="A36" s="24">
        <f>Demand_kW!A36</f>
        <v>35</v>
      </c>
      <c r="B36" s="26">
        <f>Demand_kW!B36</f>
        <v>17</v>
      </c>
      <c r="C36" s="28">
        <f>AVERAGE(Demand_kW!$C36:$DV36)</f>
        <v>0.27242533306451611</v>
      </c>
      <c r="D36" s="28">
        <f>AVERAGE(PV_kW!$C36:$DV36)</f>
        <v>1.1838896652775537</v>
      </c>
      <c r="E36" s="28">
        <f>AVERAGE(Charge_kW!$C36:$DV36)</f>
        <v>1.6459677419354841E-2</v>
      </c>
      <c r="F36" s="28">
        <f>AVERAGE(Discharge_kW!$C36:$DV36)</f>
        <v>2.9419354838709676E-2</v>
      </c>
      <c r="G36" s="28">
        <f t="shared" si="0"/>
        <v>-0.92442400963239246</v>
      </c>
      <c r="H36" s="26">
        <f>AVERAGE(SOC_pct!$C36:$DV36)</f>
        <v>98.852770161290323</v>
      </c>
      <c r="I36" s="30">
        <f>SUM(Demand_kW!$C36:$DV36)</f>
        <v>33.780741299999995</v>
      </c>
      <c r="J36" s="30">
        <f>SUM(PV_kW!$C36:$DV36)</f>
        <v>146.80231849441665</v>
      </c>
      <c r="K36" s="16">
        <f>I36-J36+SUM(Charge_kW!$C36:$DV36)-SUM(Discharge_kW!$C36:$DV36)</f>
        <v>-114.62857719441666</v>
      </c>
    </row>
    <row r="37" spans="1:11" x14ac:dyDescent="0.25">
      <c r="A37" s="24">
        <f>Demand_kW!A37</f>
        <v>36</v>
      </c>
      <c r="B37" s="26">
        <f>Demand_kW!B37</f>
        <v>17.5</v>
      </c>
      <c r="C37" s="28">
        <f>AVERAGE(Demand_kW!$C37:$DV37)</f>
        <v>0.33750082903225825</v>
      </c>
      <c r="D37" s="28">
        <f>AVERAGE(PV_kW!$C37:$DV37)</f>
        <v>0.94294310582217733</v>
      </c>
      <c r="E37" s="28">
        <f>AVERAGE(Charge_kW!$C37:$DV37)</f>
        <v>6.5887096774193557E-3</v>
      </c>
      <c r="F37" s="28">
        <f>AVERAGE(Discharge_kW!$C37:$DV37)</f>
        <v>5.3048387096774195E-2</v>
      </c>
      <c r="G37" s="28">
        <f t="shared" si="0"/>
        <v>-0.65190195420927388</v>
      </c>
      <c r="H37" s="26">
        <f>AVERAGE(SOC_pct!$C37:$DV37)</f>
        <v>98.669604032258079</v>
      </c>
      <c r="I37" s="30">
        <f>SUM(Demand_kW!$C37:$DV37)</f>
        <v>41.850102800000023</v>
      </c>
      <c r="J37" s="30">
        <f>SUM(PV_kW!$C37:$DV37)</f>
        <v>116.92494512194999</v>
      </c>
      <c r="K37" s="16">
        <f>I37-J37+SUM(Charge_kW!$C37:$DV37)-SUM(Discharge_kW!$C37:$DV37)</f>
        <v>-80.835842321949983</v>
      </c>
    </row>
    <row r="38" spans="1:11" x14ac:dyDescent="0.25">
      <c r="A38" s="24">
        <f>Demand_kW!A38</f>
        <v>37</v>
      </c>
      <c r="B38" s="26">
        <f>Demand_kW!B38</f>
        <v>18</v>
      </c>
      <c r="C38" s="28">
        <f>AVERAGE(Demand_kW!$C38:$DV38)</f>
        <v>0.34378557284946226</v>
      </c>
      <c r="D38" s="28">
        <f>AVERAGE(PV_kW!$C38:$DV38)</f>
        <v>0.70986453745026978</v>
      </c>
      <c r="E38" s="28">
        <f>AVERAGE(Charge_kW!$C38:$DV38)</f>
        <v>1.204032258064516E-2</v>
      </c>
      <c r="F38" s="28">
        <f>AVERAGE(Discharge_kW!$C38:$DV38)</f>
        <v>8.091129032258064E-2</v>
      </c>
      <c r="G38" s="28">
        <f t="shared" si="0"/>
        <v>-0.43494993234274304</v>
      </c>
      <c r="H38" s="26">
        <f>AVERAGE(SOC_pct!$C38:$DV38)</f>
        <v>98.078334677419349</v>
      </c>
      <c r="I38" s="30">
        <f>SUM(Demand_kW!$C38:$DV38)</f>
        <v>42.629411033333319</v>
      </c>
      <c r="J38" s="30">
        <f>SUM(PV_kW!$C38:$DV38)</f>
        <v>88.023202643833457</v>
      </c>
      <c r="K38" s="16">
        <f>I38-J38+SUM(Charge_kW!$C38:$DV38)-SUM(Discharge_kW!$C38:$DV38)</f>
        <v>-53.933791610500137</v>
      </c>
    </row>
    <row r="39" spans="1:11" x14ac:dyDescent="0.25">
      <c r="A39" s="24">
        <f>Demand_kW!A39</f>
        <v>38</v>
      </c>
      <c r="B39" s="26">
        <f>Demand_kW!B39</f>
        <v>18.5</v>
      </c>
      <c r="C39" s="28">
        <f>AVERAGE(Demand_kW!$C39:$DV39)</f>
        <v>0.3782684938172044</v>
      </c>
      <c r="D39" s="28">
        <f>AVERAGE(PV_kW!$C39:$DV39)</f>
        <v>0.48514395558266149</v>
      </c>
      <c r="E39" s="28">
        <f>AVERAGE(Charge_kW!$C39:$DV39)</f>
        <v>1.0508064516129033E-2</v>
      </c>
      <c r="F39" s="28">
        <f>AVERAGE(Discharge_kW!$C39:$DV39)</f>
        <v>0.13037096774193549</v>
      </c>
      <c r="G39" s="28">
        <f t="shared" si="0"/>
        <v>-0.22673836499126354</v>
      </c>
      <c r="H39" s="26">
        <f>AVERAGE(SOC_pct!$C39:$DV39)</f>
        <v>97.199092741935502</v>
      </c>
      <c r="I39" s="30">
        <f>SUM(Demand_kW!$C39:$DV39)</f>
        <v>46.905293233333346</v>
      </c>
      <c r="J39" s="30">
        <f>SUM(PV_kW!$C39:$DV39)</f>
        <v>60.157850492250027</v>
      </c>
      <c r="K39" s="16">
        <f>I39-J39+SUM(Charge_kW!$C39:$DV39)-SUM(Discharge_kW!$C39:$DV39)</f>
        <v>-28.115557258916681</v>
      </c>
    </row>
    <row r="40" spans="1:11" x14ac:dyDescent="0.25">
      <c r="A40" s="24">
        <f>Demand_kW!A40</f>
        <v>39</v>
      </c>
      <c r="B40" s="26">
        <f>Demand_kW!B40</f>
        <v>19</v>
      </c>
      <c r="C40" s="28">
        <f>AVERAGE(Demand_kW!$C40:$DV40)</f>
        <v>0.40720557553763437</v>
      </c>
      <c r="D40" s="28">
        <f>AVERAGE(PV_kW!$C40:$DV40)</f>
        <v>0.28329509125053753</v>
      </c>
      <c r="E40" s="28">
        <f>AVERAGE(Charge_kW!$C40:$DV40)</f>
        <v>5.1854838709677418E-3</v>
      </c>
      <c r="F40" s="28">
        <f>AVERAGE(Discharge_kW!$C40:$DV40)</f>
        <v>0.20813709677419356</v>
      </c>
      <c r="G40" s="28">
        <f t="shared" si="0"/>
        <v>-7.9041128616128997E-2</v>
      </c>
      <c r="H40" s="26">
        <f>AVERAGE(SOC_pct!$C40:$DV40)</f>
        <v>95.681901612903232</v>
      </c>
      <c r="I40" s="30">
        <f>SUM(Demand_kW!$C40:$DV40)</f>
        <v>50.49349136666666</v>
      </c>
      <c r="J40" s="30">
        <f>SUM(PV_kW!$C40:$DV40)</f>
        <v>35.128591315066657</v>
      </c>
      <c r="K40" s="16">
        <f>I40-J40+SUM(Charge_kW!$C40:$DV40)-SUM(Discharge_kW!$C40:$DV40)</f>
        <v>-9.8010999483999974</v>
      </c>
    </row>
    <row r="41" spans="1:11" x14ac:dyDescent="0.25">
      <c r="A41" s="24">
        <f>Demand_kW!A41</f>
        <v>40</v>
      </c>
      <c r="B41" s="26">
        <f>Demand_kW!B41</f>
        <v>19.5</v>
      </c>
      <c r="C41" s="28">
        <f>AVERAGE(Demand_kW!$C41:$DV41)</f>
        <v>0.46524391586021502</v>
      </c>
      <c r="D41" s="28">
        <f>AVERAGE(PV_kW!$C41:$DV41)</f>
        <v>8.2422419989112844E-2</v>
      </c>
      <c r="E41" s="28">
        <f>AVERAGE(Charge_kW!$C41:$DV41)</f>
        <v>4.1935483870967743E-4</v>
      </c>
      <c r="F41" s="28">
        <f>AVERAGE(Discharge_kW!$C41:$DV41)</f>
        <v>0.38109677419354832</v>
      </c>
      <c r="G41" s="28">
        <f t="shared" si="0"/>
        <v>2.1440765162635267E-3</v>
      </c>
      <c r="H41" s="26">
        <f>AVERAGE(SOC_pct!$C41:$DV41)</f>
        <v>93.128699193548371</v>
      </c>
      <c r="I41" s="30">
        <f>SUM(Demand_kW!$C41:$DV41)</f>
        <v>57.690245566666661</v>
      </c>
      <c r="J41" s="30">
        <f>SUM(PV_kW!$C41:$DV41)</f>
        <v>10.220380078649992</v>
      </c>
      <c r="K41" s="16">
        <f>I41-J41+SUM(Charge_kW!$C41:$DV41)-SUM(Discharge_kW!$C41:$DV41)</f>
        <v>0.2658654880166722</v>
      </c>
    </row>
    <row r="42" spans="1:11" x14ac:dyDescent="0.25">
      <c r="A42" s="24">
        <f>Demand_kW!A42</f>
        <v>41</v>
      </c>
      <c r="B42" s="26">
        <f>Demand_kW!B42</f>
        <v>20</v>
      </c>
      <c r="C42" s="28">
        <f>AVERAGE(Demand_kW!$C42:$DV42)</f>
        <v>0.47521734784946207</v>
      </c>
      <c r="D42" s="28">
        <f>AVERAGE(PV_kW!$C42:$DV42)</f>
        <v>1.5201372269623667E-2</v>
      </c>
      <c r="E42" s="28">
        <f>AVERAGE(Charge_kW!$C42:$DV42)</f>
        <v>0</v>
      </c>
      <c r="F42" s="28">
        <f>AVERAGE(Discharge_kW!$C42:$DV42)</f>
        <v>0.44250806451612901</v>
      </c>
      <c r="G42" s="28">
        <f t="shared" si="0"/>
        <v>1.7507911063709414E-2</v>
      </c>
      <c r="H42" s="26">
        <f>AVERAGE(SOC_pct!$C42:$DV42)</f>
        <v>88.351295967741919</v>
      </c>
      <c r="I42" s="30">
        <f>SUM(Demand_kW!$C42:$DV42)</f>
        <v>58.926951133333297</v>
      </c>
      <c r="J42" s="30">
        <f>SUM(PV_kW!$C42:$DV42)</f>
        <v>1.8849701614333347</v>
      </c>
      <c r="K42" s="16">
        <f>I42-J42+SUM(Charge_kW!$C42:$DV42)-SUM(Discharge_kW!$C42:$DV42)</f>
        <v>2.1709809718999651</v>
      </c>
    </row>
    <row r="43" spans="1:11" x14ac:dyDescent="0.25">
      <c r="A43" s="24">
        <f>Demand_kW!A43</f>
        <v>42</v>
      </c>
      <c r="B43" s="26">
        <f>Demand_kW!B43</f>
        <v>20.5</v>
      </c>
      <c r="C43" s="28">
        <f>AVERAGE(Demand_kW!$C43:$DV43)</f>
        <v>0.54752188655913969</v>
      </c>
      <c r="D43" s="28">
        <f>AVERAGE(PV_kW!$C43:$DV43)</f>
        <v>0</v>
      </c>
      <c r="E43" s="28">
        <f>AVERAGE(Charge_kW!$C43:$DV43)</f>
        <v>0</v>
      </c>
      <c r="F43" s="28">
        <f>AVERAGE(Discharge_kW!$C43:$DV43)</f>
        <v>0.52358064516129021</v>
      </c>
      <c r="G43" s="28">
        <f t="shared" si="0"/>
        <v>2.3941241397849478E-2</v>
      </c>
      <c r="H43" s="26">
        <f>AVERAGE(SOC_pct!$C43:$DV43)</f>
        <v>82.798939516129053</v>
      </c>
      <c r="I43" s="30">
        <f>SUM(Demand_kW!$C43:$DV43)</f>
        <v>67.892713933333326</v>
      </c>
      <c r="J43" s="30">
        <f>SUM(PV_kW!$C43:$DV43)</f>
        <v>0</v>
      </c>
      <c r="K43" s="16">
        <f>I43-J43+SUM(Charge_kW!$C43:$DV43)-SUM(Discharge_kW!$C43:$DV43)</f>
        <v>2.9687139333333334</v>
      </c>
    </row>
    <row r="44" spans="1:11" x14ac:dyDescent="0.25">
      <c r="A44" s="24">
        <f>Demand_kW!A44</f>
        <v>43</v>
      </c>
      <c r="B44" s="26">
        <f>Demand_kW!B44</f>
        <v>21</v>
      </c>
      <c r="C44" s="28">
        <f>AVERAGE(Demand_kW!$C44:$DV44)</f>
        <v>0.54479221021505342</v>
      </c>
      <c r="D44" s="28">
        <f>AVERAGE(PV_kW!$C44:$DV44)</f>
        <v>0</v>
      </c>
      <c r="E44" s="28">
        <f>AVERAGE(Charge_kW!$C44:$DV44)</f>
        <v>0</v>
      </c>
      <c r="F44" s="28">
        <f>AVERAGE(Discharge_kW!$C44:$DV44)</f>
        <v>0.50334677419354845</v>
      </c>
      <c r="G44" s="28">
        <f t="shared" si="0"/>
        <v>4.1445436021504967E-2</v>
      </c>
      <c r="H44" s="26">
        <f>AVERAGE(SOC_pct!$C44:$DV44)</f>
        <v>76.228954032258059</v>
      </c>
      <c r="I44" s="30">
        <f>SUM(Demand_kW!$C44:$DV44)</f>
        <v>67.554234066666623</v>
      </c>
      <c r="J44" s="30">
        <f>SUM(PV_kW!$C44:$DV44)</f>
        <v>0</v>
      </c>
      <c r="K44" s="16">
        <f>I44-J44+SUM(Charge_kW!$C44:$DV44)-SUM(Discharge_kW!$C44:$DV44)</f>
        <v>5.1392340666666172</v>
      </c>
    </row>
    <row r="45" spans="1:11" x14ac:dyDescent="0.25">
      <c r="A45" s="24">
        <f>Demand_kW!A45</f>
        <v>44</v>
      </c>
      <c r="B45" s="26">
        <f>Demand_kW!B45</f>
        <v>21.5</v>
      </c>
      <c r="C45" s="28">
        <f>AVERAGE(Demand_kW!$C45:$DV45)</f>
        <v>0.48870208897849449</v>
      </c>
      <c r="D45" s="28">
        <f>AVERAGE(PV_kW!$C45:$DV45)</f>
        <v>0</v>
      </c>
      <c r="E45" s="28">
        <f>AVERAGE(Charge_kW!$C45:$DV45)</f>
        <v>0</v>
      </c>
      <c r="F45" s="28">
        <f>AVERAGE(Discharge_kW!$C45:$DV45)</f>
        <v>0.45062096774193533</v>
      </c>
      <c r="G45" s="28">
        <f t="shared" si="0"/>
        <v>3.8081121236559157E-2</v>
      </c>
      <c r="H45" s="26">
        <f>AVERAGE(SOC_pct!$C45:$DV45)</f>
        <v>69.912295967741969</v>
      </c>
      <c r="I45" s="30">
        <f>SUM(Demand_kW!$C45:$DV45)</f>
        <v>60.599059033333319</v>
      </c>
      <c r="J45" s="30">
        <f>SUM(PV_kW!$C45:$DV45)</f>
        <v>0</v>
      </c>
      <c r="K45" s="16">
        <f>I45-J45+SUM(Charge_kW!$C45:$DV45)-SUM(Discharge_kW!$C45:$DV45)</f>
        <v>4.7220590333333377</v>
      </c>
    </row>
    <row r="46" spans="1:11" x14ac:dyDescent="0.25">
      <c r="A46" s="24">
        <f>Demand_kW!A46</f>
        <v>45</v>
      </c>
      <c r="B46" s="26">
        <f>Demand_kW!B46</f>
        <v>22</v>
      </c>
      <c r="C46" s="28">
        <f>AVERAGE(Demand_kW!$C46:$DV46)</f>
        <v>0.44740721666666688</v>
      </c>
      <c r="D46" s="28">
        <f>AVERAGE(PV_kW!$C46:$DV46)</f>
        <v>0</v>
      </c>
      <c r="E46" s="28">
        <f>AVERAGE(Charge_kW!$C46:$DV46)</f>
        <v>0</v>
      </c>
      <c r="F46" s="28">
        <f>AVERAGE(Discharge_kW!$C46:$DV46)</f>
        <v>0.39159677419354832</v>
      </c>
      <c r="G46" s="28">
        <f t="shared" si="0"/>
        <v>5.581044247311856E-2</v>
      </c>
      <c r="H46" s="26">
        <f>AVERAGE(SOC_pct!$C46:$DV46)</f>
        <v>64.257661290322574</v>
      </c>
      <c r="I46" s="30">
        <f>SUM(Demand_kW!$C46:$DV46)</f>
        <v>55.478494866666693</v>
      </c>
      <c r="J46" s="30">
        <f>SUM(PV_kW!$C46:$DV46)</f>
        <v>0</v>
      </c>
      <c r="K46" s="16">
        <f>I46-J46+SUM(Charge_kW!$C46:$DV46)-SUM(Discharge_kW!$C46:$DV46)</f>
        <v>6.9204948666667008</v>
      </c>
    </row>
    <row r="47" spans="1:11" x14ac:dyDescent="0.25">
      <c r="A47" s="24">
        <f>Demand_kW!A47</f>
        <v>46</v>
      </c>
      <c r="B47" s="26">
        <f>Demand_kW!B47</f>
        <v>22.5</v>
      </c>
      <c r="C47" s="28">
        <f>AVERAGE(Demand_kW!$C47:$DV47)</f>
        <v>0.4246335268817204</v>
      </c>
      <c r="D47" s="28">
        <f>AVERAGE(PV_kW!$C47:$DV47)</f>
        <v>0</v>
      </c>
      <c r="E47" s="28">
        <f>AVERAGE(Charge_kW!$C47:$DV47)</f>
        <v>0</v>
      </c>
      <c r="F47" s="28">
        <f>AVERAGE(Discharge_kW!$C47:$DV47)</f>
        <v>0.36763709677419365</v>
      </c>
      <c r="G47" s="28">
        <f t="shared" si="0"/>
        <v>5.6996430107526752E-2</v>
      </c>
      <c r="H47" s="26">
        <f>AVERAGE(SOC_pct!$C47:$DV47)</f>
        <v>59.343408064516112</v>
      </c>
      <c r="I47" s="30">
        <f>SUM(Demand_kW!$C47:$DV47)</f>
        <v>52.654557333333329</v>
      </c>
      <c r="J47" s="30">
        <f>SUM(PV_kW!$C47:$DV47)</f>
        <v>0</v>
      </c>
      <c r="K47" s="16">
        <f>I47-J47+SUM(Charge_kW!$C47:$DV47)-SUM(Discharge_kW!$C47:$DV47)</f>
        <v>7.067557333333319</v>
      </c>
    </row>
    <row r="48" spans="1:11" x14ac:dyDescent="0.25">
      <c r="A48" s="24">
        <f>Demand_kW!A48</f>
        <v>47</v>
      </c>
      <c r="B48" s="26">
        <f>Demand_kW!B48</f>
        <v>23</v>
      </c>
      <c r="C48" s="28">
        <f>AVERAGE(Demand_kW!$C48:$DV48)</f>
        <v>0.30184586397849444</v>
      </c>
      <c r="D48" s="28">
        <f>AVERAGE(PV_kW!$C48:$DV48)</f>
        <v>0</v>
      </c>
      <c r="E48" s="28">
        <f>AVERAGE(Charge_kW!$C48:$DV48)</f>
        <v>0</v>
      </c>
      <c r="F48" s="28">
        <f>AVERAGE(Discharge_kW!$C48:$DV48)</f>
        <v>0.24340322580645166</v>
      </c>
      <c r="G48" s="28">
        <f t="shared" si="0"/>
        <v>5.8442638172042788E-2</v>
      </c>
      <c r="H48" s="26">
        <f>AVERAGE(SOC_pct!$C48:$DV48)</f>
        <v>54.730375000000024</v>
      </c>
      <c r="I48" s="30">
        <f>SUM(Demand_kW!$C48:$DV48)</f>
        <v>37.428887133333312</v>
      </c>
      <c r="J48" s="30">
        <f>SUM(PV_kW!$C48:$DV48)</f>
        <v>0</v>
      </c>
      <c r="K48" s="16">
        <f>I48-J48+SUM(Charge_kW!$C48:$DV48)-SUM(Discharge_kW!$C48:$DV48)</f>
        <v>7.2468871333333063</v>
      </c>
    </row>
    <row r="49" spans="1:11" x14ac:dyDescent="0.25">
      <c r="A49" s="25">
        <f>Demand_kW!A49</f>
        <v>48</v>
      </c>
      <c r="B49" s="27">
        <f>Demand_kW!B49</f>
        <v>23.5</v>
      </c>
      <c r="C49" s="29">
        <f>AVERAGE(Demand_kW!$C49:$DV49)</f>
        <v>0.23287321021505381</v>
      </c>
      <c r="D49" s="29">
        <f>AVERAGE(PV_kW!$C49:$DV49)</f>
        <v>0</v>
      </c>
      <c r="E49" s="29">
        <f>AVERAGE(Charge_kW!$C49:$DV49)</f>
        <v>0</v>
      </c>
      <c r="F49" s="29">
        <f>AVERAGE(Discharge_kW!$C49:$DV49)</f>
        <v>0.18972580645161288</v>
      </c>
      <c r="G49" s="29">
        <f t="shared" si="0"/>
        <v>4.3147403763440922E-2</v>
      </c>
      <c r="H49" s="27">
        <f>AVERAGE(SOC_pct!$C49:$DV49)</f>
        <v>51.675613709677421</v>
      </c>
      <c r="I49" s="31">
        <f>SUM(Demand_kW!$C49:$DV49)</f>
        <v>28.876278066666671</v>
      </c>
      <c r="J49" s="31">
        <f>SUM(PV_kW!$C49:$DV49)</f>
        <v>0</v>
      </c>
      <c r="K49" s="32">
        <f>I49-J49+SUM(Charge_kW!$C49:$DV49)-SUM(Discharge_kW!$C49:$DV49)</f>
        <v>5.3502780666666752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X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128" width="15" customWidth="1"/>
  </cols>
  <sheetData>
    <row r="1" spans="1:128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21" t="s">
        <v>84</v>
      </c>
      <c r="AY1" s="21" t="s">
        <v>85</v>
      </c>
      <c r="AZ1" s="21" t="s">
        <v>86</v>
      </c>
      <c r="BA1" s="21" t="s">
        <v>87</v>
      </c>
      <c r="BB1" s="21" t="s">
        <v>88</v>
      </c>
      <c r="BC1" s="21" t="s">
        <v>89</v>
      </c>
      <c r="BD1" s="21" t="s">
        <v>90</v>
      </c>
      <c r="BE1" s="21" t="s">
        <v>91</v>
      </c>
      <c r="BF1" s="21" t="s">
        <v>92</v>
      </c>
      <c r="BG1" s="21" t="s">
        <v>93</v>
      </c>
      <c r="BH1" s="21" t="s">
        <v>94</v>
      </c>
      <c r="BI1" s="21" t="s">
        <v>95</v>
      </c>
      <c r="BJ1" s="21" t="s">
        <v>96</v>
      </c>
      <c r="BK1" s="21" t="s">
        <v>97</v>
      </c>
      <c r="BL1" s="21" t="s">
        <v>98</v>
      </c>
      <c r="BM1" s="21" t="s">
        <v>99</v>
      </c>
      <c r="BN1" s="21" t="s">
        <v>100</v>
      </c>
      <c r="BO1" s="21" t="s">
        <v>101</v>
      </c>
      <c r="BP1" s="21" t="s">
        <v>102</v>
      </c>
      <c r="BQ1" s="21" t="s">
        <v>103</v>
      </c>
      <c r="BR1" s="21" t="s">
        <v>104</v>
      </c>
      <c r="BS1" s="21" t="s">
        <v>105</v>
      </c>
      <c r="BT1" s="21" t="s">
        <v>106</v>
      </c>
      <c r="BU1" s="21" t="s">
        <v>107</v>
      </c>
      <c r="BV1" s="21" t="s">
        <v>108</v>
      </c>
      <c r="BW1" s="21" t="s">
        <v>109</v>
      </c>
      <c r="BX1" s="21" t="s">
        <v>110</v>
      </c>
      <c r="BY1" s="21" t="s">
        <v>111</v>
      </c>
      <c r="BZ1" s="21" t="s">
        <v>112</v>
      </c>
      <c r="CA1" s="21" t="s">
        <v>113</v>
      </c>
      <c r="CB1" s="21" t="s">
        <v>114</v>
      </c>
      <c r="CC1" s="21" t="s">
        <v>115</v>
      </c>
      <c r="CD1" s="21" t="s">
        <v>116</v>
      </c>
      <c r="CE1" s="21" t="s">
        <v>117</v>
      </c>
      <c r="CF1" s="21" t="s">
        <v>118</v>
      </c>
      <c r="CG1" s="21" t="s">
        <v>119</v>
      </c>
      <c r="CH1" s="21" t="s">
        <v>120</v>
      </c>
      <c r="CI1" s="21" t="s">
        <v>121</v>
      </c>
      <c r="CJ1" s="21" t="s">
        <v>122</v>
      </c>
      <c r="CK1" s="21" t="s">
        <v>123</v>
      </c>
      <c r="CL1" s="21" t="s">
        <v>124</v>
      </c>
      <c r="CM1" s="21" t="s">
        <v>125</v>
      </c>
      <c r="CN1" s="21" t="s">
        <v>126</v>
      </c>
      <c r="CO1" s="21" t="s">
        <v>127</v>
      </c>
      <c r="CP1" s="21" t="s">
        <v>128</v>
      </c>
      <c r="CQ1" s="21" t="s">
        <v>129</v>
      </c>
      <c r="CR1" s="21" t="s">
        <v>130</v>
      </c>
      <c r="CS1" s="21" t="s">
        <v>131</v>
      </c>
      <c r="CT1" s="21" t="s">
        <v>132</v>
      </c>
      <c r="CU1" s="21" t="s">
        <v>133</v>
      </c>
      <c r="CV1" s="21" t="s">
        <v>134</v>
      </c>
      <c r="CW1" s="21" t="s">
        <v>135</v>
      </c>
      <c r="CX1" s="21" t="s">
        <v>136</v>
      </c>
      <c r="CY1" s="21" t="s">
        <v>137</v>
      </c>
      <c r="CZ1" s="21" t="s">
        <v>138</v>
      </c>
      <c r="DA1" s="21" t="s">
        <v>139</v>
      </c>
      <c r="DB1" s="21" t="s">
        <v>140</v>
      </c>
      <c r="DC1" s="21" t="s">
        <v>141</v>
      </c>
      <c r="DD1" s="21" t="s">
        <v>142</v>
      </c>
      <c r="DE1" s="21" t="s">
        <v>143</v>
      </c>
      <c r="DF1" s="21" t="s">
        <v>144</v>
      </c>
      <c r="DG1" s="21" t="s">
        <v>145</v>
      </c>
      <c r="DH1" s="21" t="s">
        <v>146</v>
      </c>
      <c r="DI1" s="21" t="s">
        <v>147</v>
      </c>
      <c r="DJ1" s="21" t="s">
        <v>148</v>
      </c>
      <c r="DK1" s="21" t="s">
        <v>149</v>
      </c>
      <c r="DL1" s="21" t="s">
        <v>150</v>
      </c>
      <c r="DM1" s="21" t="s">
        <v>151</v>
      </c>
      <c r="DN1" s="21" t="s">
        <v>152</v>
      </c>
      <c r="DO1" s="21" t="s">
        <v>153</v>
      </c>
      <c r="DP1" s="21" t="s">
        <v>154</v>
      </c>
      <c r="DQ1" s="21" t="s">
        <v>155</v>
      </c>
      <c r="DR1" s="21" t="s">
        <v>156</v>
      </c>
      <c r="DS1" s="21" t="s">
        <v>157</v>
      </c>
      <c r="DT1" s="21" t="s">
        <v>158</v>
      </c>
      <c r="DU1" s="21" t="s">
        <v>159</v>
      </c>
      <c r="DV1" s="21" t="s">
        <v>160</v>
      </c>
      <c r="DW1" s="21" t="s">
        <v>161</v>
      </c>
      <c r="DX1" s="9" t="s">
        <v>162</v>
      </c>
    </row>
    <row r="2" spans="1:128" x14ac:dyDescent="0.25">
      <c r="A2" s="24">
        <v>1</v>
      </c>
      <c r="B2" s="26">
        <v>0</v>
      </c>
      <c r="C2" s="26">
        <v>40</v>
      </c>
      <c r="D2" s="26">
        <v>40</v>
      </c>
      <c r="E2" s="26">
        <v>40</v>
      </c>
      <c r="F2" s="26">
        <v>40</v>
      </c>
      <c r="G2" s="26">
        <v>40</v>
      </c>
      <c r="H2" s="26">
        <v>40</v>
      </c>
      <c r="I2" s="26">
        <v>40</v>
      </c>
      <c r="J2" s="26">
        <v>40</v>
      </c>
      <c r="K2" s="26">
        <v>40</v>
      </c>
      <c r="L2" s="26">
        <v>40</v>
      </c>
      <c r="M2" s="26">
        <v>40</v>
      </c>
      <c r="N2" s="26">
        <v>40</v>
      </c>
      <c r="O2" s="26">
        <v>40</v>
      </c>
      <c r="P2" s="26">
        <v>40</v>
      </c>
      <c r="Q2" s="26">
        <v>40</v>
      </c>
      <c r="R2" s="26">
        <v>40</v>
      </c>
      <c r="S2" s="26">
        <v>40</v>
      </c>
      <c r="T2" s="26">
        <v>40</v>
      </c>
      <c r="U2" s="26">
        <v>40</v>
      </c>
      <c r="V2" s="26">
        <v>40</v>
      </c>
      <c r="W2" s="26">
        <v>40</v>
      </c>
      <c r="X2" s="26">
        <v>40</v>
      </c>
      <c r="Y2" s="26">
        <v>40</v>
      </c>
      <c r="Z2" s="26">
        <v>40</v>
      </c>
      <c r="AA2" s="26">
        <v>40</v>
      </c>
      <c r="AB2" s="26">
        <v>40</v>
      </c>
      <c r="AC2" s="26">
        <v>40</v>
      </c>
      <c r="AD2" s="26">
        <v>40</v>
      </c>
      <c r="AE2" s="26">
        <v>40</v>
      </c>
      <c r="AF2" s="26">
        <v>40</v>
      </c>
      <c r="AG2" s="26">
        <v>40</v>
      </c>
      <c r="AH2" s="26">
        <v>40</v>
      </c>
      <c r="AI2" s="26">
        <v>40</v>
      </c>
      <c r="AJ2" s="26">
        <v>40</v>
      </c>
      <c r="AK2" s="26">
        <v>40</v>
      </c>
      <c r="AL2" s="26">
        <v>40</v>
      </c>
      <c r="AM2" s="26">
        <v>40</v>
      </c>
      <c r="AN2" s="26">
        <v>40</v>
      </c>
      <c r="AO2" s="26">
        <v>40</v>
      </c>
      <c r="AP2" s="26">
        <v>40</v>
      </c>
      <c r="AQ2" s="26">
        <v>40</v>
      </c>
      <c r="AR2" s="26">
        <v>40</v>
      </c>
      <c r="AS2" s="26">
        <v>40</v>
      </c>
      <c r="AT2" s="26">
        <v>40</v>
      </c>
      <c r="AU2" s="26">
        <v>40</v>
      </c>
      <c r="AV2" s="26">
        <v>40</v>
      </c>
      <c r="AW2" s="26">
        <v>40</v>
      </c>
      <c r="AX2" s="26">
        <v>40</v>
      </c>
      <c r="AY2" s="26">
        <v>40</v>
      </c>
      <c r="AZ2" s="26">
        <v>40</v>
      </c>
      <c r="BA2" s="26">
        <v>40</v>
      </c>
      <c r="BB2" s="26">
        <v>40</v>
      </c>
      <c r="BC2" s="26">
        <v>40</v>
      </c>
      <c r="BD2" s="26">
        <v>40</v>
      </c>
      <c r="BE2" s="26">
        <v>40</v>
      </c>
      <c r="BF2" s="26">
        <v>40</v>
      </c>
      <c r="BG2" s="26">
        <v>40</v>
      </c>
      <c r="BH2" s="26">
        <v>40</v>
      </c>
      <c r="BI2" s="26">
        <v>40</v>
      </c>
      <c r="BJ2" s="26">
        <v>40</v>
      </c>
      <c r="BK2" s="26">
        <v>40</v>
      </c>
      <c r="BL2" s="26">
        <v>40</v>
      </c>
      <c r="BM2" s="26">
        <v>40</v>
      </c>
      <c r="BN2" s="26">
        <v>40</v>
      </c>
      <c r="BO2" s="26">
        <v>40</v>
      </c>
      <c r="BP2" s="26">
        <v>40</v>
      </c>
      <c r="BQ2" s="26">
        <v>40</v>
      </c>
      <c r="BR2" s="26">
        <v>40</v>
      </c>
      <c r="BS2" s="26">
        <v>40</v>
      </c>
      <c r="BT2" s="26">
        <v>40</v>
      </c>
      <c r="BU2" s="26">
        <v>40</v>
      </c>
      <c r="BV2" s="26">
        <v>40</v>
      </c>
      <c r="BW2" s="26">
        <v>40</v>
      </c>
      <c r="BX2" s="26">
        <v>40</v>
      </c>
      <c r="BY2" s="26">
        <v>40</v>
      </c>
      <c r="BZ2" s="26">
        <v>40</v>
      </c>
      <c r="CA2" s="26">
        <v>40</v>
      </c>
      <c r="CB2" s="26">
        <v>40</v>
      </c>
      <c r="CC2" s="26">
        <v>40</v>
      </c>
      <c r="CD2" s="26">
        <v>40</v>
      </c>
      <c r="CE2" s="26">
        <v>40</v>
      </c>
      <c r="CF2" s="26">
        <v>40</v>
      </c>
      <c r="CG2" s="26">
        <v>40</v>
      </c>
      <c r="CH2" s="26">
        <v>40</v>
      </c>
      <c r="CI2" s="26">
        <v>40</v>
      </c>
      <c r="CJ2" s="26">
        <v>40</v>
      </c>
      <c r="CK2" s="26">
        <v>40</v>
      </c>
      <c r="CL2" s="26">
        <v>40</v>
      </c>
      <c r="CM2" s="26">
        <v>40</v>
      </c>
      <c r="CN2" s="26">
        <v>40</v>
      </c>
      <c r="CO2" s="26">
        <v>40</v>
      </c>
      <c r="CP2" s="26">
        <v>40</v>
      </c>
      <c r="CQ2" s="26">
        <v>40</v>
      </c>
      <c r="CR2" s="26">
        <v>40</v>
      </c>
      <c r="CS2" s="26">
        <v>40</v>
      </c>
      <c r="CT2" s="26">
        <v>40</v>
      </c>
      <c r="CU2" s="26">
        <v>40</v>
      </c>
      <c r="CV2" s="26">
        <v>40</v>
      </c>
      <c r="CW2" s="26">
        <v>40</v>
      </c>
      <c r="CX2" s="26">
        <v>40</v>
      </c>
      <c r="CY2" s="26">
        <v>40</v>
      </c>
      <c r="CZ2" s="26">
        <v>40</v>
      </c>
      <c r="DA2" s="26">
        <v>40</v>
      </c>
      <c r="DB2" s="26">
        <v>40</v>
      </c>
      <c r="DC2" s="26">
        <v>40</v>
      </c>
      <c r="DD2" s="26">
        <v>40</v>
      </c>
      <c r="DE2" s="26">
        <v>40</v>
      </c>
      <c r="DF2" s="26">
        <v>40</v>
      </c>
      <c r="DG2" s="26">
        <v>40</v>
      </c>
      <c r="DH2" s="26">
        <v>40</v>
      </c>
      <c r="DI2" s="26">
        <v>40</v>
      </c>
      <c r="DJ2" s="26">
        <v>40</v>
      </c>
      <c r="DK2" s="26">
        <v>40</v>
      </c>
      <c r="DL2" s="26">
        <v>40</v>
      </c>
      <c r="DM2" s="26">
        <v>40</v>
      </c>
      <c r="DN2" s="26">
        <v>40</v>
      </c>
      <c r="DO2" s="26">
        <v>40</v>
      </c>
      <c r="DP2" s="26">
        <v>40</v>
      </c>
      <c r="DQ2" s="26">
        <v>40</v>
      </c>
      <c r="DR2" s="26">
        <v>40</v>
      </c>
      <c r="DS2" s="26">
        <v>40</v>
      </c>
      <c r="DT2" s="26">
        <v>40</v>
      </c>
      <c r="DU2" s="26">
        <v>40</v>
      </c>
      <c r="DV2" s="26">
        <v>40</v>
      </c>
      <c r="DW2" s="26">
        <v>40</v>
      </c>
      <c r="DX2" s="17">
        <v>4960</v>
      </c>
    </row>
    <row r="3" spans="1:128" x14ac:dyDescent="0.25">
      <c r="A3" s="24">
        <v>2</v>
      </c>
      <c r="B3" s="26">
        <v>0.5</v>
      </c>
      <c r="C3" s="26">
        <v>38.7712</v>
      </c>
      <c r="D3" s="26">
        <v>39.385100000000001</v>
      </c>
      <c r="E3" s="26">
        <v>39.314500000000002</v>
      </c>
      <c r="F3" s="26">
        <v>39.259599999999999</v>
      </c>
      <c r="G3" s="26">
        <v>39.410200000000003</v>
      </c>
      <c r="H3" s="26">
        <v>38.113</v>
      </c>
      <c r="I3" s="26">
        <v>38.345100000000002</v>
      </c>
      <c r="J3" s="26">
        <v>36.797400000000003</v>
      </c>
      <c r="K3" s="26">
        <v>37.761699999999998</v>
      </c>
      <c r="L3" s="26">
        <v>38.005299999999998</v>
      </c>
      <c r="M3" s="26">
        <v>37.922199999999997</v>
      </c>
      <c r="N3" s="26">
        <v>37.206600000000002</v>
      </c>
      <c r="O3" s="26">
        <v>33.347700000000003</v>
      </c>
      <c r="P3" s="26">
        <v>37.742699999999999</v>
      </c>
      <c r="Q3" s="26">
        <v>39.054499999999997</v>
      </c>
      <c r="R3" s="26">
        <v>32.558399999999999</v>
      </c>
      <c r="S3" s="26">
        <v>27.938099999999999</v>
      </c>
      <c r="T3" s="26">
        <v>37.6999</v>
      </c>
      <c r="U3" s="26">
        <v>39.087400000000002</v>
      </c>
      <c r="V3" s="26">
        <v>37.067999999999998</v>
      </c>
      <c r="W3" s="26">
        <v>37.144100000000002</v>
      </c>
      <c r="X3" s="26">
        <v>39.284700000000001</v>
      </c>
      <c r="Y3" s="26">
        <v>39.610999999999997</v>
      </c>
      <c r="Z3" s="26">
        <v>39.309800000000003</v>
      </c>
      <c r="AA3" s="26">
        <v>39.192599999999999</v>
      </c>
      <c r="AB3" s="26">
        <v>37.595399999999998</v>
      </c>
      <c r="AC3" s="26">
        <v>37.662300000000002</v>
      </c>
      <c r="AD3" s="26">
        <v>36.785499999999999</v>
      </c>
      <c r="AE3" s="26">
        <v>32.973200000000013</v>
      </c>
      <c r="AF3" s="26">
        <v>37.2273</v>
      </c>
      <c r="AG3" s="26">
        <v>35.253</v>
      </c>
      <c r="AH3" s="26">
        <v>33.921799999999998</v>
      </c>
      <c r="AI3" s="26">
        <v>39.247900000000001</v>
      </c>
      <c r="AJ3" s="26">
        <v>37.700400000000002</v>
      </c>
      <c r="AK3" s="26">
        <v>38.371600000000001</v>
      </c>
      <c r="AL3" s="26">
        <v>39.435299999999998</v>
      </c>
      <c r="AM3" s="26">
        <v>39.010800000000003</v>
      </c>
      <c r="AN3" s="26">
        <v>38.656399999999998</v>
      </c>
      <c r="AO3" s="26">
        <v>38.742699999999999</v>
      </c>
      <c r="AP3" s="26">
        <v>39.422800000000002</v>
      </c>
      <c r="AQ3" s="26">
        <v>38.383600000000001</v>
      </c>
      <c r="AR3" s="26">
        <v>10</v>
      </c>
      <c r="AS3" s="26">
        <v>38.806100000000001</v>
      </c>
      <c r="AT3" s="26">
        <v>39.498100000000001</v>
      </c>
      <c r="AU3" s="26">
        <v>38.330300000000001</v>
      </c>
      <c r="AV3" s="26">
        <v>37.532400000000003</v>
      </c>
      <c r="AW3" s="26">
        <v>39.247100000000003</v>
      </c>
      <c r="AX3" s="26">
        <v>39.259599999999999</v>
      </c>
      <c r="AY3" s="26">
        <v>38.600200000000001</v>
      </c>
      <c r="AZ3" s="26">
        <v>33.399000000000001</v>
      </c>
      <c r="BA3" s="26">
        <v>35.418599999999998</v>
      </c>
      <c r="BB3" s="26">
        <v>37.265999999999998</v>
      </c>
      <c r="BC3" s="26">
        <v>39.6235</v>
      </c>
      <c r="BD3" s="26">
        <v>36.320300000000003</v>
      </c>
      <c r="BE3" s="26">
        <v>38.442700000000002</v>
      </c>
      <c r="BF3" s="26">
        <v>33.062399999999997</v>
      </c>
      <c r="BG3" s="26">
        <v>36.702300000000001</v>
      </c>
      <c r="BH3" s="26">
        <v>37.750900000000001</v>
      </c>
      <c r="BI3" s="26">
        <v>37.153100000000002</v>
      </c>
      <c r="BJ3" s="26">
        <v>38.888599999999997</v>
      </c>
      <c r="BK3" s="26">
        <v>38.452399999999997</v>
      </c>
      <c r="BL3" s="26">
        <v>39.023699999999998</v>
      </c>
      <c r="BM3" s="26">
        <v>38.079099999999997</v>
      </c>
      <c r="BN3" s="26">
        <v>37.687399999999997</v>
      </c>
      <c r="BO3" s="26">
        <v>15.5794</v>
      </c>
      <c r="BP3" s="26">
        <v>39.372600000000013</v>
      </c>
      <c r="BQ3" s="26">
        <v>35.445300000000003</v>
      </c>
      <c r="BR3" s="26">
        <v>39.153500000000001</v>
      </c>
      <c r="BS3" s="26">
        <v>34.659799999999997</v>
      </c>
      <c r="BT3" s="26">
        <v>37.1693</v>
      </c>
      <c r="BU3" s="26">
        <v>37.895400000000002</v>
      </c>
      <c r="BV3" s="26">
        <v>39.3977</v>
      </c>
      <c r="BW3" s="26">
        <v>38.552199999999999</v>
      </c>
      <c r="BX3" s="26">
        <v>38.423400000000001</v>
      </c>
      <c r="BY3" s="26">
        <v>36.593899999999998</v>
      </c>
      <c r="BZ3" s="26">
        <v>39.4604</v>
      </c>
      <c r="CA3" s="26">
        <v>39.284700000000001</v>
      </c>
      <c r="CB3" s="26">
        <v>37.973300000000002</v>
      </c>
      <c r="CC3" s="26">
        <v>37.4238</v>
      </c>
      <c r="CD3" s="26">
        <v>38.500500000000002</v>
      </c>
      <c r="CE3" s="26">
        <v>39.422800000000002</v>
      </c>
      <c r="CF3" s="26">
        <v>31.4953</v>
      </c>
      <c r="CG3" s="26">
        <v>37.330500000000001</v>
      </c>
      <c r="CH3" s="26">
        <v>37.612099999999998</v>
      </c>
      <c r="CI3" s="26">
        <v>38.523099999999999</v>
      </c>
      <c r="CJ3" s="26">
        <v>36.151499999999999</v>
      </c>
      <c r="CK3" s="26">
        <v>37.271599999999999</v>
      </c>
      <c r="CL3" s="26">
        <v>39.372600000000013</v>
      </c>
      <c r="CM3" s="26">
        <v>39.372600000000013</v>
      </c>
      <c r="CN3" s="26">
        <v>38.133800000000001</v>
      </c>
      <c r="CO3" s="26">
        <v>37.549199999999999</v>
      </c>
      <c r="CP3" s="26">
        <v>39.385100000000001</v>
      </c>
      <c r="CQ3" s="26">
        <v>20.358899999999998</v>
      </c>
      <c r="CR3" s="26">
        <v>39.485500000000002</v>
      </c>
      <c r="CS3" s="26">
        <v>34.3369</v>
      </c>
      <c r="CT3" s="26">
        <v>38.059199999999997</v>
      </c>
      <c r="CU3" s="26">
        <v>21.278500000000001</v>
      </c>
      <c r="CV3" s="26">
        <v>39.322400000000002</v>
      </c>
      <c r="CW3" s="26">
        <v>39.498100000000001</v>
      </c>
      <c r="CX3" s="26">
        <v>39.272199999999998</v>
      </c>
      <c r="CY3" s="26">
        <v>38.875</v>
      </c>
      <c r="CZ3" s="26">
        <v>38.426100000000012</v>
      </c>
      <c r="DA3" s="26">
        <v>39.284700000000001</v>
      </c>
      <c r="DB3" s="26">
        <v>38.745100000000001</v>
      </c>
      <c r="DC3" s="26">
        <v>36.041400000000003</v>
      </c>
      <c r="DD3" s="26">
        <v>39.472999999999999</v>
      </c>
      <c r="DE3" s="26">
        <v>38.058399999999999</v>
      </c>
      <c r="DF3" s="26">
        <v>30.973199999999999</v>
      </c>
      <c r="DG3" s="26">
        <v>39.272199999999998</v>
      </c>
      <c r="DH3" s="26">
        <v>39.372600000000013</v>
      </c>
      <c r="DI3" s="26">
        <v>37.052100000000003</v>
      </c>
      <c r="DJ3" s="26">
        <v>36.572500000000012</v>
      </c>
      <c r="DK3" s="26">
        <v>38.040400000000012</v>
      </c>
      <c r="DL3" s="26">
        <v>37.906500000000001</v>
      </c>
      <c r="DM3" s="26">
        <v>37.909399999999998</v>
      </c>
      <c r="DN3" s="26">
        <v>39.573399999999999</v>
      </c>
      <c r="DO3" s="26">
        <v>39.523200000000003</v>
      </c>
      <c r="DP3" s="26">
        <v>37.762099999999997</v>
      </c>
      <c r="DQ3" s="26">
        <v>38.176200000000001</v>
      </c>
      <c r="DR3" s="26">
        <v>35.392099999999999</v>
      </c>
      <c r="DS3" s="26">
        <v>30.502700000000001</v>
      </c>
      <c r="DT3" s="26">
        <v>37.768900000000002</v>
      </c>
      <c r="DU3" s="26">
        <v>37.8994</v>
      </c>
      <c r="DV3" s="26">
        <v>38.865000000000002</v>
      </c>
      <c r="DW3" s="26">
        <v>36.998768548387091</v>
      </c>
      <c r="DX3" s="17">
        <v>4587.8472999999994</v>
      </c>
    </row>
    <row r="4" spans="1:128" x14ac:dyDescent="0.25">
      <c r="A4" s="24">
        <v>3</v>
      </c>
      <c r="B4" s="26">
        <v>1</v>
      </c>
      <c r="C4" s="26">
        <v>38.2316</v>
      </c>
      <c r="D4" s="26">
        <v>36.391100000000002</v>
      </c>
      <c r="E4" s="26">
        <v>37.729500000000002</v>
      </c>
      <c r="F4" s="26">
        <v>38.519300000000001</v>
      </c>
      <c r="G4" s="26">
        <v>38.820399999999999</v>
      </c>
      <c r="H4" s="26">
        <v>36.760399999999997</v>
      </c>
      <c r="I4" s="26">
        <v>35.289200000000001</v>
      </c>
      <c r="J4" s="26">
        <v>36.4084</v>
      </c>
      <c r="K4" s="26">
        <v>35.5428</v>
      </c>
      <c r="L4" s="26">
        <v>37.365400000000001</v>
      </c>
      <c r="M4" s="26">
        <v>37.319899999999997</v>
      </c>
      <c r="N4" s="26">
        <v>34.888100000000001</v>
      </c>
      <c r="O4" s="26">
        <v>24.228100000000001</v>
      </c>
      <c r="P4" s="26">
        <v>37.177999999999997</v>
      </c>
      <c r="Q4" s="26">
        <v>37.413200000000003</v>
      </c>
      <c r="R4" s="26">
        <v>27.746700000000001</v>
      </c>
      <c r="S4" s="26">
        <v>17.6617</v>
      </c>
      <c r="T4" s="26">
        <v>34.683199999999999</v>
      </c>
      <c r="U4" s="26">
        <v>37.5871</v>
      </c>
      <c r="V4" s="26">
        <v>35.359900000000003</v>
      </c>
      <c r="W4" s="26">
        <v>36.541800000000002</v>
      </c>
      <c r="X4" s="26">
        <v>38.569499999999998</v>
      </c>
      <c r="Y4" s="26">
        <v>38.021700000000003</v>
      </c>
      <c r="Z4" s="26">
        <v>38.619700000000002</v>
      </c>
      <c r="AA4" s="26">
        <v>37.246600000000001</v>
      </c>
      <c r="AB4" s="26">
        <v>34.861400000000003</v>
      </c>
      <c r="AC4" s="26">
        <v>36.066800000000001</v>
      </c>
      <c r="AD4" s="26">
        <v>35.597900000000003</v>
      </c>
      <c r="AE4" s="26">
        <v>26.277999999999999</v>
      </c>
      <c r="AF4" s="26">
        <v>36.599800000000002</v>
      </c>
      <c r="AG4" s="26">
        <v>30.458100000000002</v>
      </c>
      <c r="AH4" s="26">
        <v>27.5684</v>
      </c>
      <c r="AI4" s="26">
        <v>35.451300000000003</v>
      </c>
      <c r="AJ4" s="26">
        <v>37.060400000000001</v>
      </c>
      <c r="AK4" s="26">
        <v>36.743200000000002</v>
      </c>
      <c r="AL4" s="26">
        <v>38.870600000000003</v>
      </c>
      <c r="AM4" s="26">
        <v>35.400500000000001</v>
      </c>
      <c r="AN4" s="26">
        <v>38.066600000000001</v>
      </c>
      <c r="AO4" s="26">
        <v>34.588700000000003</v>
      </c>
      <c r="AP4" s="26">
        <v>38.845500000000001</v>
      </c>
      <c r="AQ4" s="26">
        <v>37.718600000000002</v>
      </c>
      <c r="AR4" s="26">
        <v>10</v>
      </c>
      <c r="AS4" s="26">
        <v>37.495699999999999</v>
      </c>
      <c r="AT4" s="26">
        <v>38.133699999999997</v>
      </c>
      <c r="AU4" s="26">
        <v>37.7029</v>
      </c>
      <c r="AV4" s="26">
        <v>36.842300000000002</v>
      </c>
      <c r="AW4" s="26">
        <v>38.494199999999999</v>
      </c>
      <c r="AX4" s="26">
        <v>37.090800000000002</v>
      </c>
      <c r="AY4" s="26">
        <v>37.568399999999997</v>
      </c>
      <c r="AZ4" s="26">
        <v>27.794</v>
      </c>
      <c r="BA4" s="26">
        <v>34.929200000000002</v>
      </c>
      <c r="BB4" s="26">
        <v>36.247199999999999</v>
      </c>
      <c r="BC4" s="26">
        <v>37.597700000000003</v>
      </c>
      <c r="BD4" s="26">
        <v>35.2104</v>
      </c>
      <c r="BE4" s="26">
        <v>36.685499999999998</v>
      </c>
      <c r="BF4" s="26">
        <v>31.367799999999999</v>
      </c>
      <c r="BG4" s="26">
        <v>36.017899999999997</v>
      </c>
      <c r="BH4" s="26">
        <v>36.763100000000001</v>
      </c>
      <c r="BI4" s="26">
        <v>36.276599999999988</v>
      </c>
      <c r="BJ4" s="26">
        <v>37.8812</v>
      </c>
      <c r="BK4" s="26">
        <v>35.542299999999997</v>
      </c>
      <c r="BL4" s="26">
        <v>37.482500000000002</v>
      </c>
      <c r="BM4" s="26">
        <v>35.965400000000002</v>
      </c>
      <c r="BN4" s="26">
        <v>36.831299999999999</v>
      </c>
      <c r="BO4" s="26">
        <v>10</v>
      </c>
      <c r="BP4" s="26">
        <v>38.745100000000001</v>
      </c>
      <c r="BQ4" s="26">
        <v>34.981000000000002</v>
      </c>
      <c r="BR4" s="26">
        <v>35.490900000000003</v>
      </c>
      <c r="BS4" s="26">
        <v>33.919400000000003</v>
      </c>
      <c r="BT4" s="26">
        <v>36.504199999999997</v>
      </c>
      <c r="BU4" s="26">
        <v>37.192700000000002</v>
      </c>
      <c r="BV4" s="26">
        <v>38.795299999999997</v>
      </c>
      <c r="BW4" s="26">
        <v>37.924700000000001</v>
      </c>
      <c r="BX4" s="26">
        <v>37.7834</v>
      </c>
      <c r="BY4" s="26">
        <v>35.544400000000003</v>
      </c>
      <c r="BZ4" s="26">
        <v>36.807000000000002</v>
      </c>
      <c r="CA4" s="26">
        <v>38.569499999999998</v>
      </c>
      <c r="CB4" s="26">
        <v>36.221800000000002</v>
      </c>
      <c r="CC4" s="26">
        <v>36.7712</v>
      </c>
      <c r="CD4" s="26">
        <v>37.8354</v>
      </c>
      <c r="CE4" s="26">
        <v>38.845500000000001</v>
      </c>
      <c r="CF4" s="26">
        <v>27.7624</v>
      </c>
      <c r="CG4" s="26">
        <v>33.765799999999999</v>
      </c>
      <c r="CH4" s="26">
        <v>37.022300000000001</v>
      </c>
      <c r="CI4" s="26">
        <v>35.674700000000001</v>
      </c>
      <c r="CJ4" s="26">
        <v>35.536700000000003</v>
      </c>
      <c r="CK4" s="26">
        <v>34.902999999999999</v>
      </c>
      <c r="CL4" s="26">
        <v>38.745100000000001</v>
      </c>
      <c r="CM4" s="26">
        <v>37.753799999999998</v>
      </c>
      <c r="CN4" s="26">
        <v>36.338099999999997</v>
      </c>
      <c r="CO4" s="26">
        <v>35.6051</v>
      </c>
      <c r="CP4" s="26">
        <v>38.005299999999998</v>
      </c>
      <c r="CQ4" s="26">
        <v>19.6311</v>
      </c>
      <c r="CR4" s="26">
        <v>36.612699999999997</v>
      </c>
      <c r="CS4" s="26">
        <v>30.280899999999999</v>
      </c>
      <c r="CT4" s="26">
        <v>37.469499999999996</v>
      </c>
      <c r="CU4" s="26">
        <v>18.7941</v>
      </c>
      <c r="CV4" s="26">
        <v>36.9587</v>
      </c>
      <c r="CW4" s="26">
        <v>38.2973</v>
      </c>
      <c r="CX4" s="26">
        <v>35.4681</v>
      </c>
      <c r="CY4" s="26">
        <v>38.448300000000003</v>
      </c>
      <c r="CZ4" s="26">
        <v>37.773600000000002</v>
      </c>
      <c r="DA4" s="26">
        <v>38.569499999999998</v>
      </c>
      <c r="DB4" s="26">
        <v>38.255800000000001</v>
      </c>
      <c r="DC4" s="26">
        <v>34.872199999999999</v>
      </c>
      <c r="DD4" s="26">
        <v>38.030099999999997</v>
      </c>
      <c r="DE4" s="26">
        <v>35.758899999999997</v>
      </c>
      <c r="DF4" s="26">
        <v>24.600999999999999</v>
      </c>
      <c r="DG4" s="26">
        <v>38.544400000000003</v>
      </c>
      <c r="DH4" s="26">
        <v>37.851300000000002</v>
      </c>
      <c r="DI4" s="26">
        <v>34.508200000000002</v>
      </c>
      <c r="DJ4" s="26">
        <v>33.44</v>
      </c>
      <c r="DK4" s="26">
        <v>37.3628</v>
      </c>
      <c r="DL4" s="26">
        <v>34.618200000000002</v>
      </c>
      <c r="DM4" s="26">
        <v>36.293100000000003</v>
      </c>
      <c r="DN4" s="26">
        <v>39.146700000000003</v>
      </c>
      <c r="DO4" s="26">
        <v>37.788200000000003</v>
      </c>
      <c r="DP4" s="26">
        <v>36.491600000000012</v>
      </c>
      <c r="DQ4" s="26">
        <v>37.586399999999998</v>
      </c>
      <c r="DR4" s="26">
        <v>29.781199999999998</v>
      </c>
      <c r="DS4" s="26">
        <v>10</v>
      </c>
      <c r="DT4" s="26">
        <v>37.116399999999999</v>
      </c>
      <c r="DU4" s="26">
        <v>37.052500000000002</v>
      </c>
      <c r="DV4" s="26">
        <v>38.2502</v>
      </c>
      <c r="DW4" s="26">
        <v>34.991258064516131</v>
      </c>
      <c r="DX4" s="17">
        <v>4338.9160000000002</v>
      </c>
    </row>
    <row r="5" spans="1:128" x14ac:dyDescent="0.25">
      <c r="A5" s="24">
        <v>4</v>
      </c>
      <c r="B5" s="26">
        <v>1.5</v>
      </c>
      <c r="C5" s="26">
        <v>35.968800000000002</v>
      </c>
      <c r="D5" s="26">
        <v>35.776200000000003</v>
      </c>
      <c r="E5" s="26">
        <v>36.938800000000001</v>
      </c>
      <c r="F5" s="26">
        <v>37.7789</v>
      </c>
      <c r="G5" s="26">
        <v>38.230699999999999</v>
      </c>
      <c r="H5" s="26">
        <v>35.5349</v>
      </c>
      <c r="I5" s="26">
        <v>34.624099999999999</v>
      </c>
      <c r="J5" s="26">
        <v>36.019399999999997</v>
      </c>
      <c r="K5" s="26">
        <v>34.5227</v>
      </c>
      <c r="L5" s="26">
        <v>35.131700000000002</v>
      </c>
      <c r="M5" s="26">
        <v>35.242100000000001</v>
      </c>
      <c r="N5" s="26">
        <v>34.298299999999998</v>
      </c>
      <c r="O5" s="26">
        <v>22.613900000000001</v>
      </c>
      <c r="P5" s="26">
        <v>34.422800000000002</v>
      </c>
      <c r="Q5" s="26">
        <v>35.224299999999999</v>
      </c>
      <c r="R5" s="26">
        <v>20.736899999999999</v>
      </c>
      <c r="S5" s="26">
        <v>10</v>
      </c>
      <c r="T5" s="26">
        <v>32.780099999999997</v>
      </c>
      <c r="U5" s="26">
        <v>36.439500000000002</v>
      </c>
      <c r="V5" s="26">
        <v>34.619500000000002</v>
      </c>
      <c r="W5" s="26">
        <v>33.690399999999997</v>
      </c>
      <c r="X5" s="26">
        <v>37.854199999999999</v>
      </c>
      <c r="Y5" s="26">
        <v>37.420900000000003</v>
      </c>
      <c r="Z5" s="26">
        <v>35.930999999999997</v>
      </c>
      <c r="AA5" s="26">
        <v>36.581499999999998</v>
      </c>
      <c r="AB5" s="26">
        <v>33.855800000000002</v>
      </c>
      <c r="AC5" s="26">
        <v>35.439399999999999</v>
      </c>
      <c r="AD5" s="26">
        <v>34.957900000000002</v>
      </c>
      <c r="AE5" s="26">
        <v>25.587800000000001</v>
      </c>
      <c r="AF5" s="26">
        <v>33.924599999999998</v>
      </c>
      <c r="AG5" s="26">
        <v>29.692599999999999</v>
      </c>
      <c r="AH5" s="26">
        <v>22.746400000000001</v>
      </c>
      <c r="AI5" s="26">
        <v>34.185000000000002</v>
      </c>
      <c r="AJ5" s="26">
        <v>36.225200000000001</v>
      </c>
      <c r="AK5" s="26">
        <v>35.334800000000001</v>
      </c>
      <c r="AL5" s="26">
        <v>38.116</v>
      </c>
      <c r="AM5" s="26">
        <v>34.773000000000003</v>
      </c>
      <c r="AN5" s="26">
        <v>36.063400000000001</v>
      </c>
      <c r="AO5" s="26">
        <v>33.865200000000002</v>
      </c>
      <c r="AP5" s="26">
        <v>38.268300000000004</v>
      </c>
      <c r="AQ5" s="26">
        <v>36.207900000000002</v>
      </c>
      <c r="AR5" s="26">
        <v>10</v>
      </c>
      <c r="AS5" s="26">
        <v>36.767899999999997</v>
      </c>
      <c r="AT5" s="26">
        <v>36.066099999999999</v>
      </c>
      <c r="AU5" s="26">
        <v>36.619399999999999</v>
      </c>
      <c r="AV5" s="26">
        <v>31.970300000000002</v>
      </c>
      <c r="AW5" s="26">
        <v>37.741300000000003</v>
      </c>
      <c r="AX5" s="26">
        <v>35.008699999999997</v>
      </c>
      <c r="AY5" s="26">
        <v>36.966099999999997</v>
      </c>
      <c r="AZ5" s="26">
        <v>27.141500000000001</v>
      </c>
      <c r="BA5" s="26">
        <v>34.439799999999998</v>
      </c>
      <c r="BB5" s="26">
        <v>34.644199999999998</v>
      </c>
      <c r="BC5" s="26">
        <v>37.221299999999999</v>
      </c>
      <c r="BD5" s="26">
        <v>32.727699999999999</v>
      </c>
      <c r="BE5" s="26">
        <v>34.429000000000002</v>
      </c>
      <c r="BF5" s="26">
        <v>29.109100000000002</v>
      </c>
      <c r="BG5" s="26">
        <v>32.944600000000001</v>
      </c>
      <c r="BH5" s="26">
        <v>36.0456</v>
      </c>
      <c r="BI5" s="26">
        <v>34.414900000000003</v>
      </c>
      <c r="BJ5" s="26">
        <v>36.873800000000003</v>
      </c>
      <c r="BK5" s="26">
        <v>34.838700000000003</v>
      </c>
      <c r="BL5" s="26">
        <v>36.842500000000001</v>
      </c>
      <c r="BM5" s="26">
        <v>34.900700000000001</v>
      </c>
      <c r="BN5" s="26">
        <v>33.772000000000013</v>
      </c>
      <c r="BO5" s="26">
        <v>10</v>
      </c>
      <c r="BP5" s="26">
        <v>38.117699999999999</v>
      </c>
      <c r="BQ5" s="26">
        <v>34.5167</v>
      </c>
      <c r="BR5" s="26">
        <v>34.825800000000001</v>
      </c>
      <c r="BS5" s="26">
        <v>31.165199999999999</v>
      </c>
      <c r="BT5" s="26">
        <v>34.962600000000002</v>
      </c>
      <c r="BU5" s="26">
        <v>36.49</v>
      </c>
      <c r="BV5" s="26">
        <v>38.192999999999998</v>
      </c>
      <c r="BW5" s="26">
        <v>33.763599999999997</v>
      </c>
      <c r="BX5" s="26">
        <v>37.0914</v>
      </c>
      <c r="BY5" s="26">
        <v>33.237200000000001</v>
      </c>
      <c r="BZ5" s="26">
        <v>36.267400000000002</v>
      </c>
      <c r="CA5" s="26">
        <v>37.854199999999999</v>
      </c>
      <c r="CB5" s="26">
        <v>33.797400000000003</v>
      </c>
      <c r="CC5" s="26">
        <v>34.281999999999996</v>
      </c>
      <c r="CD5" s="26">
        <v>33.994300000000003</v>
      </c>
      <c r="CE5" s="26">
        <v>38.268300000000004</v>
      </c>
      <c r="CF5" s="26">
        <v>26.0916</v>
      </c>
      <c r="CG5" s="26">
        <v>32.074599999999997</v>
      </c>
      <c r="CH5" s="26">
        <v>34.797899999999998</v>
      </c>
      <c r="CI5" s="26">
        <v>35.034700000000001</v>
      </c>
      <c r="CJ5" s="26">
        <v>33.2562</v>
      </c>
      <c r="CK5" s="26">
        <v>34.2881</v>
      </c>
      <c r="CL5" s="26">
        <v>38.117699999999999</v>
      </c>
      <c r="CM5" s="26">
        <v>35.305799999999998</v>
      </c>
      <c r="CN5" s="26">
        <v>35.823599999999999</v>
      </c>
      <c r="CO5" s="26">
        <v>34.952500000000001</v>
      </c>
      <c r="CP5" s="26">
        <v>37.3904</v>
      </c>
      <c r="CQ5" s="26">
        <v>18.360099999999999</v>
      </c>
      <c r="CR5" s="26">
        <v>35.698500000000003</v>
      </c>
      <c r="CS5" s="26">
        <v>26.859300000000001</v>
      </c>
      <c r="CT5" s="26">
        <v>36.8797</v>
      </c>
      <c r="CU5" s="26">
        <v>18.116499999999998</v>
      </c>
      <c r="CV5" s="26">
        <v>36.281100000000002</v>
      </c>
      <c r="CW5" s="26">
        <v>36.297800000000002</v>
      </c>
      <c r="CX5" s="26">
        <v>34.2164</v>
      </c>
      <c r="CY5" s="26">
        <v>38.021700000000003</v>
      </c>
      <c r="CZ5" s="26">
        <v>36.199800000000003</v>
      </c>
      <c r="DA5" s="26">
        <v>37.854199999999999</v>
      </c>
      <c r="DB5" s="26">
        <v>36.235399999999998</v>
      </c>
      <c r="DC5" s="26">
        <v>33.703000000000003</v>
      </c>
      <c r="DD5" s="26">
        <v>37.503</v>
      </c>
      <c r="DE5" s="26">
        <v>35.056199999999997</v>
      </c>
      <c r="DF5" s="26">
        <v>18.253299999999999</v>
      </c>
      <c r="DG5" s="26">
        <v>36.527500000000003</v>
      </c>
      <c r="DH5" s="26">
        <v>36.552799999999998</v>
      </c>
      <c r="DI5" s="26">
        <v>33.257599999999996</v>
      </c>
      <c r="DJ5" s="26">
        <v>31.345600000000001</v>
      </c>
      <c r="DK5" s="26">
        <v>36.685200000000002</v>
      </c>
      <c r="DL5" s="26">
        <v>32.256</v>
      </c>
      <c r="DM5" s="26">
        <v>35.659500000000001</v>
      </c>
      <c r="DN5" s="26">
        <v>37.252899999999997</v>
      </c>
      <c r="DO5" s="26">
        <v>36.7331</v>
      </c>
      <c r="DP5" s="26">
        <v>34.8872</v>
      </c>
      <c r="DQ5" s="26">
        <v>36.152200000000001</v>
      </c>
      <c r="DR5" s="26">
        <v>27.618600000000001</v>
      </c>
      <c r="DS5" s="26">
        <v>10</v>
      </c>
      <c r="DT5" s="26">
        <v>34.534500000000001</v>
      </c>
      <c r="DU5" s="26">
        <v>36.362400000000001</v>
      </c>
      <c r="DV5" s="26">
        <v>35.479100000000003</v>
      </c>
      <c r="DW5" s="26">
        <v>33.467017741935493</v>
      </c>
      <c r="DX5" s="17">
        <v>4149.9102000000003</v>
      </c>
    </row>
    <row r="6" spans="1:128" x14ac:dyDescent="0.25">
      <c r="A6" s="24">
        <v>5</v>
      </c>
      <c r="B6" s="26">
        <v>2</v>
      </c>
      <c r="C6" s="26">
        <v>35.429200000000002</v>
      </c>
      <c r="D6" s="26">
        <v>33.214799999999997</v>
      </c>
      <c r="E6" s="26">
        <v>36.2988</v>
      </c>
      <c r="F6" s="26">
        <v>37.038600000000002</v>
      </c>
      <c r="G6" s="26">
        <v>37.640900000000002</v>
      </c>
      <c r="H6" s="26">
        <v>34.179299999999998</v>
      </c>
      <c r="I6" s="26">
        <v>32.349499999999999</v>
      </c>
      <c r="J6" s="26">
        <v>33.915599999999998</v>
      </c>
      <c r="K6" s="26">
        <v>32.284300000000002</v>
      </c>
      <c r="L6" s="26">
        <v>34.491699999999987</v>
      </c>
      <c r="M6" s="26">
        <v>34.639800000000001</v>
      </c>
      <c r="N6" s="26">
        <v>33.132300000000001</v>
      </c>
      <c r="O6" s="26">
        <v>20.706299999999999</v>
      </c>
      <c r="P6" s="26">
        <v>32.906599999999997</v>
      </c>
      <c r="Q6" s="26">
        <v>33.592399999999998</v>
      </c>
      <c r="R6" s="26">
        <v>17.448499999999999</v>
      </c>
      <c r="S6" s="26">
        <v>10</v>
      </c>
      <c r="T6" s="26">
        <v>29.9816</v>
      </c>
      <c r="U6" s="26">
        <v>34.327199999999998</v>
      </c>
      <c r="V6" s="26">
        <v>32.104900000000001</v>
      </c>
      <c r="W6" s="26">
        <v>31.551600000000001</v>
      </c>
      <c r="X6" s="26">
        <v>35.652500000000003</v>
      </c>
      <c r="Y6" s="26">
        <v>36.3964</v>
      </c>
      <c r="Z6" s="26">
        <v>35.240900000000003</v>
      </c>
      <c r="AA6" s="26">
        <v>35.916499999999999</v>
      </c>
      <c r="AB6" s="26">
        <v>30.021000000000001</v>
      </c>
      <c r="AC6" s="26">
        <v>33.570700000000002</v>
      </c>
      <c r="AD6" s="26">
        <v>31.195799999999998</v>
      </c>
      <c r="AE6" s="26">
        <v>24.897600000000001</v>
      </c>
      <c r="AF6" s="26">
        <v>33.1997</v>
      </c>
      <c r="AG6" s="26">
        <v>26.8705</v>
      </c>
      <c r="AH6" s="26">
        <v>20.6526</v>
      </c>
      <c r="AI6" s="26">
        <v>32.607100000000003</v>
      </c>
      <c r="AJ6" s="26">
        <v>33.632599999999996</v>
      </c>
      <c r="AK6" s="26">
        <v>33.9863</v>
      </c>
      <c r="AL6" s="26">
        <v>35.651800000000001</v>
      </c>
      <c r="AM6" s="26">
        <v>34.145600000000002</v>
      </c>
      <c r="AN6" s="26">
        <v>34.814100000000003</v>
      </c>
      <c r="AO6" s="26">
        <v>31.028300000000002</v>
      </c>
      <c r="AP6" s="26">
        <v>37.691099999999999</v>
      </c>
      <c r="AQ6" s="26">
        <v>35.437100000000001</v>
      </c>
      <c r="AR6" s="26">
        <v>10</v>
      </c>
      <c r="AS6" s="26">
        <v>35.107999999999997</v>
      </c>
      <c r="AT6" s="26">
        <v>35.276699999999998</v>
      </c>
      <c r="AU6" s="26">
        <v>35.145099999999999</v>
      </c>
      <c r="AV6" s="26">
        <v>31.093299999999999</v>
      </c>
      <c r="AW6" s="26">
        <v>36.988399999999999</v>
      </c>
      <c r="AX6" s="26">
        <v>32.839799999999997</v>
      </c>
      <c r="AY6" s="26">
        <v>35.4711</v>
      </c>
      <c r="AZ6" s="26">
        <v>26.489000000000001</v>
      </c>
      <c r="BA6" s="26">
        <v>33.950399999999988</v>
      </c>
      <c r="BB6" s="26">
        <v>32.4559</v>
      </c>
      <c r="BC6" s="26">
        <v>35.195399999999999</v>
      </c>
      <c r="BD6" s="26">
        <v>31.997399999999999</v>
      </c>
      <c r="BE6" s="26">
        <v>32.671799999999998</v>
      </c>
      <c r="BF6" s="26">
        <v>26.835699999999999</v>
      </c>
      <c r="BG6" s="26">
        <v>32.125300000000003</v>
      </c>
      <c r="BH6" s="26">
        <v>33.526200000000003</v>
      </c>
      <c r="BI6" s="26">
        <v>32.553199999999997</v>
      </c>
      <c r="BJ6" s="26">
        <v>35.606499999999997</v>
      </c>
      <c r="BK6" s="26">
        <v>33.4255</v>
      </c>
      <c r="BL6" s="26">
        <v>33.940899999999999</v>
      </c>
      <c r="BM6" s="26">
        <v>31.194700000000001</v>
      </c>
      <c r="BN6" s="26">
        <v>33.081800000000001</v>
      </c>
      <c r="BO6" s="26">
        <v>10</v>
      </c>
      <c r="BP6" s="26">
        <v>37.490299999999998</v>
      </c>
      <c r="BQ6" s="26">
        <v>31.915800000000001</v>
      </c>
      <c r="BR6" s="26">
        <v>34.160699999999999</v>
      </c>
      <c r="BS6" s="26">
        <v>27.2029</v>
      </c>
      <c r="BT6" s="26">
        <v>33.039400000000001</v>
      </c>
      <c r="BU6" s="26">
        <v>34.385399999999997</v>
      </c>
      <c r="BV6" s="26">
        <v>37.590699999999998</v>
      </c>
      <c r="BW6" s="26">
        <v>32.828499999999998</v>
      </c>
      <c r="BX6" s="26">
        <v>35.566899999999997</v>
      </c>
      <c r="BY6" s="26">
        <v>32.5471</v>
      </c>
      <c r="BZ6" s="26">
        <v>34.1905</v>
      </c>
      <c r="CA6" s="26">
        <v>37.1389</v>
      </c>
      <c r="CB6" s="26">
        <v>31.843900000000001</v>
      </c>
      <c r="CC6" s="26">
        <v>32.760899999999999</v>
      </c>
      <c r="CD6" s="26">
        <v>33.329300000000003</v>
      </c>
      <c r="CE6" s="26">
        <v>37.691099999999999</v>
      </c>
      <c r="CF6" s="26">
        <v>23.539000000000001</v>
      </c>
      <c r="CG6" s="26">
        <v>31.560099999999998</v>
      </c>
      <c r="CH6" s="26">
        <v>34.044600000000003</v>
      </c>
      <c r="CI6" s="26">
        <v>33.5578</v>
      </c>
      <c r="CJ6" s="26">
        <v>32.641300000000001</v>
      </c>
      <c r="CK6" s="26">
        <v>33.185299999999998</v>
      </c>
      <c r="CL6" s="26">
        <v>37.490299999999998</v>
      </c>
      <c r="CM6" s="26">
        <v>33.9998</v>
      </c>
      <c r="CN6" s="26">
        <v>34.796700000000001</v>
      </c>
      <c r="CO6" s="26">
        <v>31.210100000000001</v>
      </c>
      <c r="CP6" s="26">
        <v>36.010599999999997</v>
      </c>
      <c r="CQ6" s="26">
        <v>16.184100000000001</v>
      </c>
      <c r="CR6" s="26">
        <v>34.395800000000001</v>
      </c>
      <c r="CS6" s="26">
        <v>25.148900000000001</v>
      </c>
      <c r="CT6" s="26">
        <v>34.938899999999997</v>
      </c>
      <c r="CU6" s="26">
        <v>14.736800000000001</v>
      </c>
      <c r="CV6" s="26">
        <v>33.917499999999997</v>
      </c>
      <c r="CW6" s="26">
        <v>35.795900000000003</v>
      </c>
      <c r="CX6" s="26">
        <v>31.471399999999999</v>
      </c>
      <c r="CY6" s="26">
        <v>36.789200000000001</v>
      </c>
      <c r="CZ6" s="26">
        <v>35.547199999999997</v>
      </c>
      <c r="DA6" s="26">
        <v>37.1389</v>
      </c>
      <c r="DB6" s="26">
        <v>35.746000000000002</v>
      </c>
      <c r="DC6" s="26">
        <v>30.6524</v>
      </c>
      <c r="DD6" s="26">
        <v>36.975999999999999</v>
      </c>
      <c r="DE6" s="26">
        <v>34.353499999999997</v>
      </c>
      <c r="DF6" s="26">
        <v>12.1907</v>
      </c>
      <c r="DG6" s="26">
        <v>35.198099999999997</v>
      </c>
      <c r="DH6" s="26">
        <v>35.478499999999997</v>
      </c>
      <c r="DI6" s="26">
        <v>30.715</v>
      </c>
      <c r="DJ6" s="26">
        <v>30.386900000000001</v>
      </c>
      <c r="DK6" s="26">
        <v>34.626899999999999</v>
      </c>
      <c r="DL6" s="26">
        <v>29.2834</v>
      </c>
      <c r="DM6" s="26">
        <v>34.2943</v>
      </c>
      <c r="DN6" s="26">
        <v>36.141599999999997</v>
      </c>
      <c r="DO6" s="26">
        <v>33.456200000000003</v>
      </c>
      <c r="DP6" s="26">
        <v>32.068899999999999</v>
      </c>
      <c r="DQ6" s="26">
        <v>33.854299999999988</v>
      </c>
      <c r="DR6" s="26">
        <v>20.7867</v>
      </c>
      <c r="DS6" s="26">
        <v>10</v>
      </c>
      <c r="DT6" s="26">
        <v>33.881999999999998</v>
      </c>
      <c r="DU6" s="26">
        <v>35.672199999999997</v>
      </c>
      <c r="DV6" s="26">
        <v>33.542299999999997</v>
      </c>
      <c r="DW6" s="26">
        <v>31.8379241935484</v>
      </c>
      <c r="DX6" s="17">
        <v>3947.9026000000022</v>
      </c>
    </row>
    <row r="7" spans="1:128" x14ac:dyDescent="0.25">
      <c r="A7" s="24">
        <v>6</v>
      </c>
      <c r="B7" s="26">
        <v>2.5</v>
      </c>
      <c r="C7" s="26">
        <v>34.8035</v>
      </c>
      <c r="D7" s="26">
        <v>32.167299999999997</v>
      </c>
      <c r="E7" s="26">
        <v>35.658799999999999</v>
      </c>
      <c r="F7" s="26">
        <v>36.298200000000001</v>
      </c>
      <c r="G7" s="26">
        <v>37.051099999999998</v>
      </c>
      <c r="H7" s="26">
        <v>32.227200000000003</v>
      </c>
      <c r="I7" s="26">
        <v>29.9133</v>
      </c>
      <c r="J7" s="26">
        <v>32.128</v>
      </c>
      <c r="K7" s="26">
        <v>31.6067</v>
      </c>
      <c r="L7" s="26">
        <v>33.533000000000001</v>
      </c>
      <c r="M7" s="26">
        <v>34.037500000000001</v>
      </c>
      <c r="N7" s="26">
        <v>31.0059</v>
      </c>
      <c r="O7" s="26">
        <v>18.226600000000001</v>
      </c>
      <c r="P7" s="26">
        <v>32.341900000000003</v>
      </c>
      <c r="Q7" s="26">
        <v>31.491700000000002</v>
      </c>
      <c r="R7" s="26">
        <v>16.2666</v>
      </c>
      <c r="S7" s="26">
        <v>10</v>
      </c>
      <c r="T7" s="26">
        <v>28.2135</v>
      </c>
      <c r="U7" s="26">
        <v>32.426000000000002</v>
      </c>
      <c r="V7" s="26">
        <v>31.3645</v>
      </c>
      <c r="W7" s="26">
        <v>29.417300000000001</v>
      </c>
      <c r="X7" s="26">
        <v>34.9373</v>
      </c>
      <c r="Y7" s="26">
        <v>35.230699999999999</v>
      </c>
      <c r="Z7" s="26">
        <v>33.188099999999999</v>
      </c>
      <c r="AA7" s="26">
        <v>33.828099999999999</v>
      </c>
      <c r="AB7" s="26">
        <v>28.1281</v>
      </c>
      <c r="AC7" s="26">
        <v>32.261800000000001</v>
      </c>
      <c r="AD7" s="26">
        <v>30.555800000000001</v>
      </c>
      <c r="AE7" s="26">
        <v>24.2075</v>
      </c>
      <c r="AF7" s="26">
        <v>32.084699999999998</v>
      </c>
      <c r="AG7" s="26">
        <v>26.1051</v>
      </c>
      <c r="AH7" s="26">
        <v>20.075299999999999</v>
      </c>
      <c r="AI7" s="26">
        <v>28.846800000000002</v>
      </c>
      <c r="AJ7" s="26">
        <v>32.992699999999999</v>
      </c>
      <c r="AK7" s="26">
        <v>32.078000000000003</v>
      </c>
      <c r="AL7" s="26">
        <v>35.0871</v>
      </c>
      <c r="AM7" s="26">
        <v>30.444800000000001</v>
      </c>
      <c r="AN7" s="26">
        <v>34.167999999999999</v>
      </c>
      <c r="AO7" s="26">
        <v>29.083200000000001</v>
      </c>
      <c r="AP7" s="26">
        <v>37.113799999999998</v>
      </c>
      <c r="AQ7" s="26">
        <v>34.243499999999997</v>
      </c>
      <c r="AR7" s="26">
        <v>10</v>
      </c>
      <c r="AS7" s="26">
        <v>34.263599999999997</v>
      </c>
      <c r="AT7" s="26">
        <v>33.808300000000003</v>
      </c>
      <c r="AU7" s="26">
        <v>34.517699999999998</v>
      </c>
      <c r="AV7" s="26">
        <v>29.7469</v>
      </c>
      <c r="AW7" s="26">
        <v>36.235399999999998</v>
      </c>
      <c r="AX7" s="26">
        <v>32.099400000000003</v>
      </c>
      <c r="AY7" s="26">
        <v>34.868699999999997</v>
      </c>
      <c r="AZ7" s="26">
        <v>25.836500000000001</v>
      </c>
      <c r="BA7" s="26">
        <v>33.460999999999999</v>
      </c>
      <c r="BB7" s="26">
        <v>31.603400000000001</v>
      </c>
      <c r="BC7" s="26">
        <v>34.819000000000003</v>
      </c>
      <c r="BD7" s="26">
        <v>30.851199999999999</v>
      </c>
      <c r="BE7" s="26">
        <v>30.415299999999998</v>
      </c>
      <c r="BF7" s="26">
        <v>26.1205</v>
      </c>
      <c r="BG7" s="26">
        <v>30.008500000000002</v>
      </c>
      <c r="BH7" s="26">
        <v>32.898699999999998</v>
      </c>
      <c r="BI7" s="26">
        <v>31.775200000000002</v>
      </c>
      <c r="BJ7" s="26">
        <v>34.859000000000002</v>
      </c>
      <c r="BK7" s="26">
        <v>32.8232</v>
      </c>
      <c r="BL7" s="26">
        <v>32.828299999999999</v>
      </c>
      <c r="BM7" s="26">
        <v>30.383400000000002</v>
      </c>
      <c r="BN7" s="26">
        <v>30.935099999999998</v>
      </c>
      <c r="BO7" s="26">
        <v>10</v>
      </c>
      <c r="BP7" s="26">
        <v>36.862900000000003</v>
      </c>
      <c r="BQ7" s="26">
        <v>31.451499999999999</v>
      </c>
      <c r="BR7" s="26">
        <v>31.076899999999998</v>
      </c>
      <c r="BS7" s="26">
        <v>26.462499999999999</v>
      </c>
      <c r="BT7" s="26">
        <v>30.3566</v>
      </c>
      <c r="BU7" s="26">
        <v>33.682699999999997</v>
      </c>
      <c r="BV7" s="26">
        <v>36.988399999999999</v>
      </c>
      <c r="BW7" s="26">
        <v>30.2056</v>
      </c>
      <c r="BX7" s="26">
        <v>34.926900000000003</v>
      </c>
      <c r="BY7" s="26">
        <v>30.7789</v>
      </c>
      <c r="BZ7" s="26">
        <v>33.074399999999997</v>
      </c>
      <c r="CA7" s="26">
        <v>36.423699999999997</v>
      </c>
      <c r="CB7" s="26">
        <v>30.276299999999999</v>
      </c>
      <c r="CC7" s="26">
        <v>31.092400000000001</v>
      </c>
      <c r="CD7" s="26">
        <v>32.664200000000001</v>
      </c>
      <c r="CE7" s="26">
        <v>37.113799999999998</v>
      </c>
      <c r="CF7" s="26">
        <v>23.049700000000001</v>
      </c>
      <c r="CG7" s="26">
        <v>28.306799999999999</v>
      </c>
      <c r="CH7" s="26">
        <v>32.310600000000001</v>
      </c>
      <c r="CI7" s="26">
        <v>32.616700000000002</v>
      </c>
      <c r="CJ7" s="26">
        <v>30.9665</v>
      </c>
      <c r="CK7" s="26">
        <v>31.021100000000001</v>
      </c>
      <c r="CL7" s="26">
        <v>36.862900000000003</v>
      </c>
      <c r="CM7" s="26">
        <v>32.769300000000001</v>
      </c>
      <c r="CN7" s="26">
        <v>32.915599999999998</v>
      </c>
      <c r="CO7" s="26">
        <v>30.557600000000001</v>
      </c>
      <c r="CP7" s="26">
        <v>35.395700000000012</v>
      </c>
      <c r="CQ7" s="26">
        <v>15.456300000000001</v>
      </c>
      <c r="CR7" s="26">
        <v>31.9116</v>
      </c>
      <c r="CS7" s="26">
        <v>24.433599999999998</v>
      </c>
      <c r="CT7" s="26">
        <v>34.110700000000001</v>
      </c>
      <c r="CU7" s="26">
        <v>12.391299999999999</v>
      </c>
      <c r="CV7" s="26">
        <v>33.239899999999999</v>
      </c>
      <c r="CW7" s="26">
        <v>33.596699999999998</v>
      </c>
      <c r="CX7" s="26">
        <v>28.968499999999999</v>
      </c>
      <c r="CY7" s="26">
        <v>36.2014</v>
      </c>
      <c r="CZ7" s="26">
        <v>33.973399999999998</v>
      </c>
      <c r="DA7" s="26">
        <v>36.423699999999997</v>
      </c>
      <c r="DB7" s="26">
        <v>35.256700000000002</v>
      </c>
      <c r="DC7" s="26">
        <v>28.845199999999998</v>
      </c>
      <c r="DD7" s="26">
        <v>36.448999999999998</v>
      </c>
      <c r="DE7" s="26">
        <v>31.103999999999999</v>
      </c>
      <c r="DF7" s="26">
        <v>10.3908</v>
      </c>
      <c r="DG7" s="26">
        <v>34.040700000000001</v>
      </c>
      <c r="DH7" s="26">
        <v>34.4041</v>
      </c>
      <c r="DI7" s="26">
        <v>27.318100000000001</v>
      </c>
      <c r="DJ7" s="26">
        <v>25.4634</v>
      </c>
      <c r="DK7" s="26">
        <v>33.949300000000001</v>
      </c>
      <c r="DL7" s="26">
        <v>28.5305</v>
      </c>
      <c r="DM7" s="26">
        <v>31.937100000000001</v>
      </c>
      <c r="DN7" s="26">
        <v>35.715000000000003</v>
      </c>
      <c r="DO7" s="26">
        <v>32.979300000000002</v>
      </c>
      <c r="DP7" s="26">
        <v>31.277200000000001</v>
      </c>
      <c r="DQ7" s="26">
        <v>32.809899999999999</v>
      </c>
      <c r="DR7" s="26">
        <v>17.885000000000002</v>
      </c>
      <c r="DS7" s="26">
        <v>10</v>
      </c>
      <c r="DT7" s="26">
        <v>32.527900000000002</v>
      </c>
      <c r="DU7" s="26">
        <v>33.414900000000003</v>
      </c>
      <c r="DV7" s="26">
        <v>32.361199999999997</v>
      </c>
      <c r="DW7" s="26">
        <v>30.54495080645161</v>
      </c>
      <c r="DX7" s="17">
        <v>3787.573899999999</v>
      </c>
    </row>
    <row r="8" spans="1:128" x14ac:dyDescent="0.25">
      <c r="A8" s="24">
        <v>7</v>
      </c>
      <c r="B8" s="26">
        <v>3</v>
      </c>
      <c r="C8" s="26">
        <v>32.626899999999999</v>
      </c>
      <c r="D8" s="26">
        <v>31.552399999999999</v>
      </c>
      <c r="E8" s="26">
        <v>35.018799999999999</v>
      </c>
      <c r="F8" s="26">
        <v>35.5578</v>
      </c>
      <c r="G8" s="26">
        <v>36.461300000000001</v>
      </c>
      <c r="H8" s="26">
        <v>29.6386</v>
      </c>
      <c r="I8" s="26">
        <v>29.1996</v>
      </c>
      <c r="J8" s="26">
        <v>30.803699999999999</v>
      </c>
      <c r="K8" s="26">
        <v>27.9604</v>
      </c>
      <c r="L8" s="26">
        <v>31.617999999999999</v>
      </c>
      <c r="M8" s="26">
        <v>33.435099999999998</v>
      </c>
      <c r="N8" s="26">
        <v>30.4162</v>
      </c>
      <c r="O8" s="26">
        <v>16.607500000000002</v>
      </c>
      <c r="P8" s="26">
        <v>30.482800000000001</v>
      </c>
      <c r="Q8" s="26">
        <v>29.819400000000002</v>
      </c>
      <c r="R8" s="26">
        <v>13.21</v>
      </c>
      <c r="S8" s="26">
        <v>10</v>
      </c>
      <c r="T8" s="26">
        <v>26.351800000000001</v>
      </c>
      <c r="U8" s="26">
        <v>30.690799999999999</v>
      </c>
      <c r="V8" s="26">
        <v>29.978999999999999</v>
      </c>
      <c r="W8" s="26">
        <v>26.561399999999999</v>
      </c>
      <c r="X8" s="26">
        <v>32.735599999999998</v>
      </c>
      <c r="Y8" s="26">
        <v>34.841700000000003</v>
      </c>
      <c r="Z8" s="26">
        <v>31.862100000000002</v>
      </c>
      <c r="AA8" s="26">
        <v>33.1631</v>
      </c>
      <c r="AB8" s="26">
        <v>26.2622</v>
      </c>
      <c r="AC8" s="26">
        <v>30.102900000000002</v>
      </c>
      <c r="AD8" s="26">
        <v>29.277100000000001</v>
      </c>
      <c r="AE8" s="26">
        <v>23.517299999999999</v>
      </c>
      <c r="AF8" s="26">
        <v>29.799499999999998</v>
      </c>
      <c r="AG8" s="26">
        <v>25.339600000000001</v>
      </c>
      <c r="AH8" s="26">
        <v>19.498100000000001</v>
      </c>
      <c r="AI8" s="26">
        <v>28.37</v>
      </c>
      <c r="AJ8" s="26">
        <v>30.400099999999998</v>
      </c>
      <c r="AK8" s="26">
        <v>31.4757</v>
      </c>
      <c r="AL8" s="26">
        <v>34.142499999999998</v>
      </c>
      <c r="AM8" s="26">
        <v>29.546099999999999</v>
      </c>
      <c r="AN8" s="26">
        <v>31.736000000000001</v>
      </c>
      <c r="AO8" s="26">
        <v>26.904</v>
      </c>
      <c r="AP8" s="26">
        <v>36.5366</v>
      </c>
      <c r="AQ8" s="26">
        <v>33.155700000000003</v>
      </c>
      <c r="AR8" s="26">
        <v>10</v>
      </c>
      <c r="AS8" s="26">
        <v>33.011499999999998</v>
      </c>
      <c r="AT8" s="26">
        <v>32.036299999999997</v>
      </c>
      <c r="AU8" s="26">
        <v>32.587400000000002</v>
      </c>
      <c r="AV8" s="26">
        <v>26.814399999999999</v>
      </c>
      <c r="AW8" s="26">
        <v>35.482500000000002</v>
      </c>
      <c r="AX8" s="26">
        <v>28.7317</v>
      </c>
      <c r="AY8" s="26">
        <v>33.373699999999999</v>
      </c>
      <c r="AZ8" s="26">
        <v>25.183900000000001</v>
      </c>
      <c r="BA8" s="26">
        <v>32.971600000000002</v>
      </c>
      <c r="BB8" s="26">
        <v>30.125499999999999</v>
      </c>
      <c r="BC8" s="26">
        <v>33.370399999999997</v>
      </c>
      <c r="BD8" s="26">
        <v>26.601199999999999</v>
      </c>
      <c r="BE8" s="26">
        <v>29.009599999999999</v>
      </c>
      <c r="BF8" s="26">
        <v>22.786000000000001</v>
      </c>
      <c r="BG8" s="26">
        <v>28.038900000000002</v>
      </c>
      <c r="BH8" s="26">
        <v>31.190200000000001</v>
      </c>
      <c r="BI8" s="26">
        <v>30.307500000000001</v>
      </c>
      <c r="BJ8" s="26">
        <v>34.319400000000002</v>
      </c>
      <c r="BK8" s="26">
        <v>29.576000000000001</v>
      </c>
      <c r="BL8" s="26">
        <v>32.188400000000001</v>
      </c>
      <c r="BM8" s="26">
        <v>28.160599999999999</v>
      </c>
      <c r="BN8" s="26">
        <v>29.166399999999999</v>
      </c>
      <c r="BO8" s="26">
        <v>10</v>
      </c>
      <c r="BP8" s="26">
        <v>36.235399999999998</v>
      </c>
      <c r="BQ8" s="26">
        <v>29.8218</v>
      </c>
      <c r="BR8" s="26">
        <v>29.651599999999998</v>
      </c>
      <c r="BS8" s="26">
        <v>25.722200000000001</v>
      </c>
      <c r="BT8" s="26">
        <v>29.5746</v>
      </c>
      <c r="BU8" s="26">
        <v>31.578099999999999</v>
      </c>
      <c r="BV8" s="26">
        <v>36.386000000000003</v>
      </c>
      <c r="BW8" s="26">
        <v>27.732199999999999</v>
      </c>
      <c r="BX8" s="26">
        <v>34.286900000000003</v>
      </c>
      <c r="BY8" s="26">
        <v>29.1904</v>
      </c>
      <c r="BZ8" s="26">
        <v>32.342599999999997</v>
      </c>
      <c r="CA8" s="26">
        <v>35.708399999999997</v>
      </c>
      <c r="CB8" s="26">
        <v>28.071999999999999</v>
      </c>
      <c r="CC8" s="26">
        <v>28.750599999999999</v>
      </c>
      <c r="CD8" s="26">
        <v>28.8231</v>
      </c>
      <c r="CE8" s="26">
        <v>36.5366</v>
      </c>
      <c r="CF8" s="26">
        <v>21.146000000000001</v>
      </c>
      <c r="CG8" s="26">
        <v>27.792400000000001</v>
      </c>
      <c r="CH8" s="26">
        <v>31.067</v>
      </c>
      <c r="CI8" s="26">
        <v>29.232399999999998</v>
      </c>
      <c r="CJ8" s="26">
        <v>29.745899999999999</v>
      </c>
      <c r="CK8" s="26">
        <v>27.697299999999998</v>
      </c>
      <c r="CL8" s="26">
        <v>36.235399999999998</v>
      </c>
      <c r="CM8" s="26">
        <v>29.2545</v>
      </c>
      <c r="CN8" s="26">
        <v>32.4011</v>
      </c>
      <c r="CO8" s="26">
        <v>27.495200000000001</v>
      </c>
      <c r="CP8" s="26">
        <v>34.313400000000001</v>
      </c>
      <c r="CQ8" s="26">
        <v>12.7371</v>
      </c>
      <c r="CR8" s="26">
        <v>31.397099999999998</v>
      </c>
      <c r="CS8" s="26">
        <v>22.723199999999999</v>
      </c>
      <c r="CT8" s="26">
        <v>33.123600000000003</v>
      </c>
      <c r="CU8" s="26">
        <v>11.713699999999999</v>
      </c>
      <c r="CV8" s="26">
        <v>31.297699999999999</v>
      </c>
      <c r="CW8" s="26">
        <v>32.595599999999997</v>
      </c>
      <c r="CX8" s="26">
        <v>27.200199999999999</v>
      </c>
      <c r="CY8" s="26">
        <v>35.171199999999999</v>
      </c>
      <c r="CZ8" s="26">
        <v>33.320899999999988</v>
      </c>
      <c r="DA8" s="26">
        <v>35.708399999999997</v>
      </c>
      <c r="DB8" s="26">
        <v>34.767299999999999</v>
      </c>
      <c r="DC8" s="26">
        <v>25.361499999999999</v>
      </c>
      <c r="DD8" s="26">
        <v>35.057000000000002</v>
      </c>
      <c r="DE8" s="26">
        <v>30.112300000000001</v>
      </c>
      <c r="DF8" s="26">
        <v>10</v>
      </c>
      <c r="DG8" s="26">
        <v>31.851900000000001</v>
      </c>
      <c r="DH8" s="26">
        <v>33.776699999999998</v>
      </c>
      <c r="DI8" s="26">
        <v>24.205300000000001</v>
      </c>
      <c r="DJ8" s="26">
        <v>23.826899999999998</v>
      </c>
      <c r="DK8" s="26">
        <v>31.891100000000002</v>
      </c>
      <c r="DL8" s="26">
        <v>27.7776</v>
      </c>
      <c r="DM8" s="26">
        <v>31.1234</v>
      </c>
      <c r="DN8" s="26">
        <v>35.2883</v>
      </c>
      <c r="DO8" s="26">
        <v>30.382200000000001</v>
      </c>
      <c r="DP8" s="26">
        <v>29.7744</v>
      </c>
      <c r="DQ8" s="26">
        <v>30.122299999999999</v>
      </c>
      <c r="DR8" s="26">
        <v>13.7012</v>
      </c>
      <c r="DS8" s="26">
        <v>10</v>
      </c>
      <c r="DT8" s="26">
        <v>30.647600000000001</v>
      </c>
      <c r="DU8" s="26">
        <v>32.724699999999999</v>
      </c>
      <c r="DV8" s="26">
        <v>28.834399999999999</v>
      </c>
      <c r="DW8" s="26">
        <v>29.005632258064509</v>
      </c>
      <c r="DX8" s="17">
        <v>3596.6983999999989</v>
      </c>
    </row>
    <row r="9" spans="1:128" x14ac:dyDescent="0.25">
      <c r="A9" s="24">
        <v>8</v>
      </c>
      <c r="B9" s="26">
        <v>3.5</v>
      </c>
      <c r="C9" s="26">
        <v>32.087299999999999</v>
      </c>
      <c r="D9" s="26">
        <v>29.856100000000001</v>
      </c>
      <c r="E9" s="26">
        <v>34.378900000000002</v>
      </c>
      <c r="F9" s="26">
        <v>34.817500000000003</v>
      </c>
      <c r="G9" s="26">
        <v>35.871499999999997</v>
      </c>
      <c r="H9" s="26">
        <v>28.9986</v>
      </c>
      <c r="I9" s="26">
        <v>27.707100000000001</v>
      </c>
      <c r="J9" s="26">
        <v>29.235700000000001</v>
      </c>
      <c r="K9" s="26">
        <v>26.806999999999999</v>
      </c>
      <c r="L9" s="26">
        <v>30.898299999999999</v>
      </c>
      <c r="M9" s="26">
        <v>31.357299999999999</v>
      </c>
      <c r="N9" s="26">
        <v>29.8264</v>
      </c>
      <c r="O9" s="26">
        <v>11.9307</v>
      </c>
      <c r="P9" s="26">
        <v>29.021999999999998</v>
      </c>
      <c r="Q9" s="26">
        <v>28.816700000000001</v>
      </c>
      <c r="R9" s="26">
        <v>12.6328</v>
      </c>
      <c r="S9" s="26">
        <v>10</v>
      </c>
      <c r="T9" s="26">
        <v>22.852499999999999</v>
      </c>
      <c r="U9" s="26">
        <v>28.130700000000001</v>
      </c>
      <c r="V9" s="26">
        <v>28.109500000000001</v>
      </c>
      <c r="W9" s="26">
        <v>25.959099999999999</v>
      </c>
      <c r="X9" s="26">
        <v>32.020299999999999</v>
      </c>
      <c r="Y9" s="26">
        <v>34.4527</v>
      </c>
      <c r="Z9" s="26">
        <v>30.8994</v>
      </c>
      <c r="AA9" s="26">
        <v>31.857500000000002</v>
      </c>
      <c r="AB9" s="26">
        <v>22.3155</v>
      </c>
      <c r="AC9" s="26">
        <v>28.328600000000002</v>
      </c>
      <c r="AD9" s="26">
        <v>26.153700000000001</v>
      </c>
      <c r="AE9" s="26">
        <v>22.827100000000002</v>
      </c>
      <c r="AF9" s="26">
        <v>29.1721</v>
      </c>
      <c r="AG9" s="26">
        <v>22.704499999999999</v>
      </c>
      <c r="AH9" s="26">
        <v>18.9209</v>
      </c>
      <c r="AI9" s="26">
        <v>24.5916</v>
      </c>
      <c r="AJ9" s="26">
        <v>29.564900000000002</v>
      </c>
      <c r="AK9" s="26">
        <v>30.686800000000002</v>
      </c>
      <c r="AL9" s="26">
        <v>31.868300000000001</v>
      </c>
      <c r="AM9" s="26">
        <v>27.950700000000001</v>
      </c>
      <c r="AN9" s="26">
        <v>29.732800000000001</v>
      </c>
      <c r="AO9" s="26">
        <v>24.2776</v>
      </c>
      <c r="AP9" s="26">
        <v>35.959400000000002</v>
      </c>
      <c r="AQ9" s="26">
        <v>32.490600000000001</v>
      </c>
      <c r="AR9" s="26">
        <v>10</v>
      </c>
      <c r="AS9" s="26">
        <v>31.7593</v>
      </c>
      <c r="AT9" s="26">
        <v>30.532900000000001</v>
      </c>
      <c r="AU9" s="26">
        <v>31.96</v>
      </c>
      <c r="AV9" s="26">
        <v>25.561699999999998</v>
      </c>
      <c r="AW9" s="26">
        <v>34.729599999999998</v>
      </c>
      <c r="AX9" s="26">
        <v>27.848500000000001</v>
      </c>
      <c r="AY9" s="26">
        <v>31.5444</v>
      </c>
      <c r="AZ9" s="26">
        <v>24.531400000000001</v>
      </c>
      <c r="BA9" s="26">
        <v>32.482199999999999</v>
      </c>
      <c r="BB9" s="26">
        <v>28.163399999999999</v>
      </c>
      <c r="BC9" s="26">
        <v>32.416699999999999</v>
      </c>
      <c r="BD9" s="26">
        <v>26.0868</v>
      </c>
      <c r="BE9" s="26">
        <v>27.955300000000001</v>
      </c>
      <c r="BF9" s="26">
        <v>21.4252</v>
      </c>
      <c r="BG9" s="26">
        <v>25.7578</v>
      </c>
      <c r="BH9" s="26">
        <v>29.661799999999999</v>
      </c>
      <c r="BI9" s="26">
        <v>28.0517</v>
      </c>
      <c r="BJ9" s="26">
        <v>33.779800000000002</v>
      </c>
      <c r="BK9" s="26">
        <v>28.264199999999999</v>
      </c>
      <c r="BL9" s="26">
        <v>29.808599999999998</v>
      </c>
      <c r="BM9" s="26">
        <v>25.504200000000001</v>
      </c>
      <c r="BN9" s="26">
        <v>27.766400000000001</v>
      </c>
      <c r="BO9" s="26">
        <v>10</v>
      </c>
      <c r="BP9" s="26">
        <v>35.607999999999997</v>
      </c>
      <c r="BQ9" s="26">
        <v>28.386299999999999</v>
      </c>
      <c r="BR9" s="26">
        <v>28.986499999999999</v>
      </c>
      <c r="BS9" s="26">
        <v>22.790700000000001</v>
      </c>
      <c r="BT9" s="26">
        <v>27.2393</v>
      </c>
      <c r="BU9" s="26">
        <v>30.875399999999999</v>
      </c>
      <c r="BV9" s="26">
        <v>35.783700000000003</v>
      </c>
      <c r="BW9" s="26">
        <v>27.104800000000001</v>
      </c>
      <c r="BX9" s="26">
        <v>33.074599999999997</v>
      </c>
      <c r="BY9" s="26">
        <v>28.5002</v>
      </c>
      <c r="BZ9" s="26">
        <v>29.881399999999999</v>
      </c>
      <c r="CA9" s="26">
        <v>34.993099999999998</v>
      </c>
      <c r="CB9" s="26">
        <v>26.755099999999999</v>
      </c>
      <c r="CC9" s="26">
        <v>28.098099999999999</v>
      </c>
      <c r="CD9" s="26">
        <v>28.158100000000001</v>
      </c>
      <c r="CE9" s="26">
        <v>35.959400000000002</v>
      </c>
      <c r="CF9" s="26">
        <v>20.656600000000001</v>
      </c>
      <c r="CG9" s="26">
        <v>27.277899999999999</v>
      </c>
      <c r="CH9" s="26">
        <v>30.4772</v>
      </c>
      <c r="CI9" s="26">
        <v>28.592500000000001</v>
      </c>
      <c r="CJ9" s="26">
        <v>28.6768</v>
      </c>
      <c r="CK9" s="26">
        <v>26.1496</v>
      </c>
      <c r="CL9" s="26">
        <v>35.607999999999997</v>
      </c>
      <c r="CM9" s="26">
        <v>28.627099999999999</v>
      </c>
      <c r="CN9" s="26">
        <v>30.0075</v>
      </c>
      <c r="CO9" s="26">
        <v>26.162700000000001</v>
      </c>
      <c r="CP9" s="26">
        <v>33.401000000000003</v>
      </c>
      <c r="CQ9" s="26">
        <v>12.0093</v>
      </c>
      <c r="CR9" s="26">
        <v>30.7227</v>
      </c>
      <c r="CS9" s="26">
        <v>22.007999999999999</v>
      </c>
      <c r="CT9" s="26">
        <v>31.341799999999999</v>
      </c>
      <c r="CU9" s="26">
        <v>10</v>
      </c>
      <c r="CV9" s="26">
        <v>30.198599999999999</v>
      </c>
      <c r="CW9" s="26">
        <v>32.093600000000002</v>
      </c>
      <c r="CX9" s="26">
        <v>24.135899999999999</v>
      </c>
      <c r="CY9" s="26">
        <v>34.314799999999998</v>
      </c>
      <c r="CZ9" s="26">
        <v>32.412400000000012</v>
      </c>
      <c r="DA9" s="26">
        <v>34.993099999999998</v>
      </c>
      <c r="DB9" s="26">
        <v>32.746899999999997</v>
      </c>
      <c r="DC9" s="26">
        <v>23.867000000000001</v>
      </c>
      <c r="DD9" s="26">
        <v>34.479100000000003</v>
      </c>
      <c r="DE9" s="26">
        <v>29.230599999999999</v>
      </c>
      <c r="DF9" s="26">
        <v>10</v>
      </c>
      <c r="DG9" s="26">
        <v>31.124099999999999</v>
      </c>
      <c r="DH9" s="26">
        <v>32.255400000000002</v>
      </c>
      <c r="DI9" s="26">
        <v>23.4255</v>
      </c>
      <c r="DJ9" s="26">
        <v>22.286100000000001</v>
      </c>
      <c r="DK9" s="26">
        <v>31.2135</v>
      </c>
      <c r="DL9" s="26">
        <v>27.024699999999999</v>
      </c>
      <c r="DM9" s="26">
        <v>29.626100000000001</v>
      </c>
      <c r="DN9" s="26">
        <v>34.861699999999999</v>
      </c>
      <c r="DO9" s="26">
        <v>28.647300000000001</v>
      </c>
      <c r="DP9" s="26">
        <v>26.702200000000001</v>
      </c>
      <c r="DQ9" s="26">
        <v>29.532499999999999</v>
      </c>
      <c r="DR9" s="26">
        <v>10</v>
      </c>
      <c r="DS9" s="26">
        <v>10</v>
      </c>
      <c r="DT9" s="26">
        <v>29.995100000000001</v>
      </c>
      <c r="DU9" s="26">
        <v>30.5458</v>
      </c>
      <c r="DV9" s="26">
        <v>28.2195</v>
      </c>
      <c r="DW9" s="26">
        <v>27.73796370967743</v>
      </c>
      <c r="DX9" s="17">
        <v>3439.507500000002</v>
      </c>
    </row>
    <row r="10" spans="1:128" x14ac:dyDescent="0.25">
      <c r="A10" s="24">
        <v>9</v>
      </c>
      <c r="B10" s="26">
        <v>4</v>
      </c>
      <c r="C10" s="26">
        <v>30.621600000000001</v>
      </c>
      <c r="D10" s="26">
        <v>27.970500000000001</v>
      </c>
      <c r="E10" s="26">
        <v>33.765900000000002</v>
      </c>
      <c r="F10" s="26">
        <v>34.098700000000001</v>
      </c>
      <c r="G10" s="26">
        <v>19.178999999999998</v>
      </c>
      <c r="H10" s="26">
        <v>25.141100000000002</v>
      </c>
      <c r="I10" s="26">
        <v>24.5806</v>
      </c>
      <c r="J10" s="26">
        <v>27.880099999999999</v>
      </c>
      <c r="K10" s="26">
        <v>24.3279</v>
      </c>
      <c r="L10" s="26">
        <v>28.776700000000002</v>
      </c>
      <c r="M10" s="26">
        <v>30.798200000000001</v>
      </c>
      <c r="N10" s="26">
        <v>28.657399999999999</v>
      </c>
      <c r="O10" s="26">
        <v>10</v>
      </c>
      <c r="P10" s="26">
        <v>27.157699999999998</v>
      </c>
      <c r="Q10" s="26">
        <v>26.473099999999999</v>
      </c>
      <c r="R10" s="26">
        <v>10</v>
      </c>
      <c r="S10" s="26">
        <v>10</v>
      </c>
      <c r="T10" s="26">
        <v>22.286000000000001</v>
      </c>
      <c r="U10" s="26">
        <v>26.485399999999998</v>
      </c>
      <c r="V10" s="26">
        <v>27.412299999999998</v>
      </c>
      <c r="W10" s="26">
        <v>22.105</v>
      </c>
      <c r="X10" s="26">
        <v>29.994299999999999</v>
      </c>
      <c r="Y10" s="26">
        <v>33.460599999999999</v>
      </c>
      <c r="Z10" s="26">
        <v>28.526499999999999</v>
      </c>
      <c r="AA10" s="26">
        <v>30.447500000000002</v>
      </c>
      <c r="AB10" s="26">
        <v>21.1556</v>
      </c>
      <c r="AC10" s="26">
        <v>26.988700000000001</v>
      </c>
      <c r="AD10" s="26">
        <v>24.996400000000001</v>
      </c>
      <c r="AE10" s="26">
        <v>22.180099999999999</v>
      </c>
      <c r="AF10" s="26">
        <v>26.431699999999999</v>
      </c>
      <c r="AG10" s="26">
        <v>21.7791</v>
      </c>
      <c r="AH10" s="26">
        <v>18.386800000000001</v>
      </c>
      <c r="AI10" s="26">
        <v>23.507000000000001</v>
      </c>
      <c r="AJ10" s="26">
        <v>28.962700000000002</v>
      </c>
      <c r="AK10" s="26">
        <v>28.251200000000001</v>
      </c>
      <c r="AL10" s="26">
        <v>31.3306</v>
      </c>
      <c r="AM10" s="26">
        <v>25.149000000000001</v>
      </c>
      <c r="AN10" s="26">
        <v>29.186199999999999</v>
      </c>
      <c r="AO10" s="26">
        <v>21.210100000000001</v>
      </c>
      <c r="AP10" s="26">
        <v>35.419899999999998</v>
      </c>
      <c r="AQ10" s="26">
        <v>30.911999999999999</v>
      </c>
      <c r="AR10" s="26">
        <v>10</v>
      </c>
      <c r="AS10" s="26">
        <v>31.0747</v>
      </c>
      <c r="AT10" s="26">
        <v>28.721800000000002</v>
      </c>
      <c r="AU10" s="26">
        <v>31.375699999999998</v>
      </c>
      <c r="AV10" s="26">
        <v>23.507300000000001</v>
      </c>
      <c r="AW10" s="26">
        <v>34.0199</v>
      </c>
      <c r="AX10" s="26">
        <v>26.849399999999999</v>
      </c>
      <c r="AY10" s="26">
        <v>30.935700000000001</v>
      </c>
      <c r="AZ10" s="26">
        <v>23.911300000000001</v>
      </c>
      <c r="BA10" s="26">
        <v>32.025199999999998</v>
      </c>
      <c r="BB10" s="26">
        <v>26.9788</v>
      </c>
      <c r="BC10" s="26">
        <v>31.4237</v>
      </c>
      <c r="BD10" s="26">
        <v>23.327500000000001</v>
      </c>
      <c r="BE10" s="26">
        <v>26.285900000000002</v>
      </c>
      <c r="BF10" s="26">
        <v>19.9208</v>
      </c>
      <c r="BG10" s="26">
        <v>24.790400000000002</v>
      </c>
      <c r="BH10" s="26">
        <v>28.695599999999999</v>
      </c>
      <c r="BI10" s="26">
        <v>27.3169</v>
      </c>
      <c r="BJ10" s="26">
        <v>32.3262</v>
      </c>
      <c r="BK10" s="26">
        <v>27.430700000000002</v>
      </c>
      <c r="BL10" s="26">
        <v>28.212</v>
      </c>
      <c r="BM10" s="26">
        <v>24.5214</v>
      </c>
      <c r="BN10" s="26">
        <v>25.847899999999999</v>
      </c>
      <c r="BO10" s="26">
        <v>10</v>
      </c>
      <c r="BP10" s="26">
        <v>35.012999999999998</v>
      </c>
      <c r="BQ10" s="26">
        <v>27.965199999999999</v>
      </c>
      <c r="BR10" s="26">
        <v>25.180299999999999</v>
      </c>
      <c r="BS10" s="26">
        <v>19.027200000000001</v>
      </c>
      <c r="BT10" s="26">
        <v>25.0594</v>
      </c>
      <c r="BU10" s="26">
        <v>30.215900000000001</v>
      </c>
      <c r="BV10" s="26">
        <v>35.213799999999999</v>
      </c>
      <c r="BW10" s="26">
        <v>22.679200000000002</v>
      </c>
      <c r="BX10" s="26">
        <v>32.1081</v>
      </c>
      <c r="BY10" s="26">
        <v>26.864999999999998</v>
      </c>
      <c r="BZ10" s="26">
        <v>29.374199999999998</v>
      </c>
      <c r="CA10" s="26">
        <v>34.321100000000001</v>
      </c>
      <c r="CB10" s="26">
        <v>24.534400000000002</v>
      </c>
      <c r="CC10" s="26">
        <v>27.488700000000001</v>
      </c>
      <c r="CD10" s="26">
        <v>25.5581</v>
      </c>
      <c r="CE10" s="26">
        <v>35.409100000000002</v>
      </c>
      <c r="CF10" s="26">
        <v>18.4633</v>
      </c>
      <c r="CG10" s="26">
        <v>26.8066</v>
      </c>
      <c r="CH10" s="26">
        <v>28.1325</v>
      </c>
      <c r="CI10" s="26">
        <v>25.557300000000001</v>
      </c>
      <c r="CJ10" s="26">
        <v>26.888400000000001</v>
      </c>
      <c r="CK10" s="26">
        <v>25.561699999999998</v>
      </c>
      <c r="CL10" s="26">
        <v>35.012999999999998</v>
      </c>
      <c r="CM10" s="26">
        <v>26.213200000000001</v>
      </c>
      <c r="CN10" s="26">
        <v>29.514600000000002</v>
      </c>
      <c r="CO10" s="26">
        <v>24.848800000000001</v>
      </c>
      <c r="CP10" s="26">
        <v>32.829300000000003</v>
      </c>
      <c r="CQ10" s="26">
        <v>10</v>
      </c>
      <c r="CR10" s="26">
        <v>28.459099999999999</v>
      </c>
      <c r="CS10" s="26">
        <v>21.335899999999999</v>
      </c>
      <c r="CT10" s="26">
        <v>30.7898</v>
      </c>
      <c r="CU10" s="26">
        <v>10</v>
      </c>
      <c r="CV10" s="26">
        <v>28.884399999999999</v>
      </c>
      <c r="CW10" s="26">
        <v>30.809200000000001</v>
      </c>
      <c r="CX10" s="26">
        <v>21.536100000000001</v>
      </c>
      <c r="CY10" s="26">
        <v>33.394199999999998</v>
      </c>
      <c r="CZ10" s="26">
        <v>31.116099999999999</v>
      </c>
      <c r="DA10" s="26">
        <v>34.321100000000001</v>
      </c>
      <c r="DB10" s="26">
        <v>32.284500000000001</v>
      </c>
      <c r="DC10" s="26">
        <v>22.021699999999999</v>
      </c>
      <c r="DD10" s="26">
        <v>33.973599999999998</v>
      </c>
      <c r="DE10" s="26">
        <v>25.892800000000001</v>
      </c>
      <c r="DF10" s="26">
        <v>10</v>
      </c>
      <c r="DG10" s="26">
        <v>28.634799999999998</v>
      </c>
      <c r="DH10" s="26">
        <v>31.5718</v>
      </c>
      <c r="DI10" s="26">
        <v>19.354199999999999</v>
      </c>
      <c r="DJ10" s="26">
        <v>18.9328</v>
      </c>
      <c r="DK10" s="26">
        <v>30.573599999999999</v>
      </c>
      <c r="DL10" s="26">
        <v>26.304200000000002</v>
      </c>
      <c r="DM10" s="26">
        <v>28.254799999999999</v>
      </c>
      <c r="DN10" s="26">
        <v>32.619900000000001</v>
      </c>
      <c r="DO10" s="26">
        <v>26.4788</v>
      </c>
      <c r="DP10" s="26">
        <v>25.378799999999998</v>
      </c>
      <c r="DQ10" s="26">
        <v>28.273</v>
      </c>
      <c r="DR10" s="26">
        <v>10</v>
      </c>
      <c r="DS10" s="26">
        <v>10</v>
      </c>
      <c r="DT10" s="26">
        <v>29.3642</v>
      </c>
      <c r="DU10" s="26">
        <v>29.7988</v>
      </c>
      <c r="DV10" s="26">
        <v>24.570699999999999</v>
      </c>
      <c r="DW10" s="26">
        <v>26.179534677419369</v>
      </c>
      <c r="DX10" s="17">
        <v>3246.2623000000021</v>
      </c>
    </row>
    <row r="11" spans="1:128" x14ac:dyDescent="0.25">
      <c r="A11" s="24">
        <v>10</v>
      </c>
      <c r="B11" s="26">
        <v>4.5</v>
      </c>
      <c r="C11" s="26">
        <v>29.618600000000001</v>
      </c>
      <c r="D11" s="26">
        <v>27.745699999999999</v>
      </c>
      <c r="E11" s="26">
        <v>33.515999999999998</v>
      </c>
      <c r="F11" s="26">
        <v>33.670400000000001</v>
      </c>
      <c r="G11" s="26">
        <v>19.209900000000001</v>
      </c>
      <c r="H11" s="26">
        <v>25.1252</v>
      </c>
      <c r="I11" s="26">
        <v>24.5396</v>
      </c>
      <c r="J11" s="26">
        <v>27.023800000000001</v>
      </c>
      <c r="K11" s="26">
        <v>22.340900000000001</v>
      </c>
      <c r="L11" s="26">
        <v>28.604800000000001</v>
      </c>
      <c r="M11" s="26">
        <v>30.817799999999998</v>
      </c>
      <c r="N11" s="26">
        <v>27.059100000000001</v>
      </c>
      <c r="O11" s="26">
        <v>10</v>
      </c>
      <c r="P11" s="26">
        <v>25.334499999999998</v>
      </c>
      <c r="Q11" s="26">
        <v>24.977</v>
      </c>
      <c r="R11" s="26">
        <v>10</v>
      </c>
      <c r="S11" s="26">
        <v>10</v>
      </c>
      <c r="T11" s="26">
        <v>20.629000000000001</v>
      </c>
      <c r="U11" s="26">
        <v>24.973299999999998</v>
      </c>
      <c r="V11" s="26">
        <v>25.521799999999999</v>
      </c>
      <c r="W11" s="26">
        <v>21.302499999999998</v>
      </c>
      <c r="X11" s="26">
        <v>29.520399999999999</v>
      </c>
      <c r="Y11" s="26">
        <v>32.762999999999998</v>
      </c>
      <c r="Z11" s="26">
        <v>28.4604</v>
      </c>
      <c r="AA11" s="26">
        <v>30.328499999999998</v>
      </c>
      <c r="AB11" s="26">
        <v>18.9437</v>
      </c>
      <c r="AC11" s="26">
        <v>25.278600000000001</v>
      </c>
      <c r="AD11" s="26">
        <v>22.7317</v>
      </c>
      <c r="AE11" s="26">
        <v>22.114100000000001</v>
      </c>
      <c r="AF11" s="26">
        <v>22.6418</v>
      </c>
      <c r="AG11" s="26">
        <v>21.403700000000001</v>
      </c>
      <c r="AH11" s="26">
        <v>18.428999999999998</v>
      </c>
      <c r="AI11" s="26">
        <v>23.1388</v>
      </c>
      <c r="AJ11" s="26">
        <v>26.721</v>
      </c>
      <c r="AK11" s="26">
        <v>28.116900000000001</v>
      </c>
      <c r="AL11" s="26">
        <v>29.066500000000001</v>
      </c>
      <c r="AM11" s="26">
        <v>24.652799999999999</v>
      </c>
      <c r="AN11" s="26">
        <v>27.147600000000001</v>
      </c>
      <c r="AO11" s="26">
        <v>19.534400000000002</v>
      </c>
      <c r="AP11" s="26">
        <v>35.388800000000003</v>
      </c>
      <c r="AQ11" s="26">
        <v>30.792999999999999</v>
      </c>
      <c r="AR11" s="26">
        <v>10</v>
      </c>
      <c r="AS11" s="26">
        <v>29.9223</v>
      </c>
      <c r="AT11" s="26">
        <v>27.674199999999999</v>
      </c>
      <c r="AU11" s="26">
        <v>31.372399999999999</v>
      </c>
      <c r="AV11" s="26">
        <v>21.726099999999999</v>
      </c>
      <c r="AW11" s="26">
        <v>33.891100000000002</v>
      </c>
      <c r="AX11" s="26">
        <v>25.356300000000001</v>
      </c>
      <c r="AY11" s="26">
        <v>28.8874</v>
      </c>
      <c r="AZ11" s="26">
        <v>23.726800000000001</v>
      </c>
      <c r="BA11" s="26">
        <v>32.003900000000002</v>
      </c>
      <c r="BB11" s="26">
        <v>26.402999999999999</v>
      </c>
      <c r="BC11" s="26">
        <v>30.681699999999999</v>
      </c>
      <c r="BD11" s="26">
        <v>21.200800000000001</v>
      </c>
      <c r="BE11" s="26">
        <v>25.663399999999999</v>
      </c>
      <c r="BF11" s="26">
        <v>18.438099999999999</v>
      </c>
      <c r="BG11" s="26">
        <v>23.547799999999999</v>
      </c>
      <c r="BH11" s="26">
        <v>26.758500000000002</v>
      </c>
      <c r="BI11" s="26">
        <v>25.192599999999999</v>
      </c>
      <c r="BJ11" s="26">
        <v>32.098700000000001</v>
      </c>
      <c r="BK11" s="26">
        <v>25.351299999999998</v>
      </c>
      <c r="BL11" s="26">
        <v>27.688600000000001</v>
      </c>
      <c r="BM11" s="26">
        <v>23.346399999999999</v>
      </c>
      <c r="BN11" s="26">
        <v>24.811</v>
      </c>
      <c r="BO11" s="26">
        <v>10</v>
      </c>
      <c r="BP11" s="26">
        <v>34.8536</v>
      </c>
      <c r="BQ11" s="26">
        <v>25.988499999999998</v>
      </c>
      <c r="BR11" s="26">
        <v>25.061299999999999</v>
      </c>
      <c r="BS11" s="26">
        <v>18.5989</v>
      </c>
      <c r="BT11" s="26">
        <v>24.351800000000001</v>
      </c>
      <c r="BU11" s="26">
        <v>30.1372</v>
      </c>
      <c r="BV11" s="26">
        <v>35.079500000000003</v>
      </c>
      <c r="BW11" s="26">
        <v>22.675799999999999</v>
      </c>
      <c r="BX11" s="26">
        <v>32.014200000000002</v>
      </c>
      <c r="BY11" s="26">
        <v>25.8108</v>
      </c>
      <c r="BZ11" s="26">
        <v>27.188800000000001</v>
      </c>
      <c r="CA11" s="26">
        <v>34.229900000000001</v>
      </c>
      <c r="CB11" s="26">
        <v>24.1599</v>
      </c>
      <c r="CC11" s="26">
        <v>26.098600000000001</v>
      </c>
      <c r="CD11" s="26">
        <v>24.1524</v>
      </c>
      <c r="CE11" s="26">
        <v>35.221999999999987</v>
      </c>
      <c r="CF11" s="26">
        <v>17.171199999999999</v>
      </c>
      <c r="CG11" s="26">
        <v>25.7394</v>
      </c>
      <c r="CH11" s="26">
        <v>28.163399999999999</v>
      </c>
      <c r="CI11" s="26">
        <v>24.517299999999999</v>
      </c>
      <c r="CJ11" s="26">
        <v>26.819600000000001</v>
      </c>
      <c r="CK11" s="26">
        <v>22.650400000000001</v>
      </c>
      <c r="CL11" s="26">
        <v>34.8536</v>
      </c>
      <c r="CM11" s="26">
        <v>24.382300000000001</v>
      </c>
      <c r="CN11" s="26">
        <v>27.689299999999999</v>
      </c>
      <c r="CO11" s="26">
        <v>22.9437</v>
      </c>
      <c r="CP11" s="26">
        <v>32.837600000000002</v>
      </c>
      <c r="CQ11" s="26">
        <v>10</v>
      </c>
      <c r="CR11" s="26">
        <v>27.3459</v>
      </c>
      <c r="CS11" s="26">
        <v>21.1342</v>
      </c>
      <c r="CT11" s="26">
        <v>30.269300000000001</v>
      </c>
      <c r="CU11" s="26">
        <v>10</v>
      </c>
      <c r="CV11" s="26">
        <v>27.741199999999999</v>
      </c>
      <c r="CW11" s="26">
        <v>29.143599999999999</v>
      </c>
      <c r="CX11" s="26">
        <v>20.114999999999998</v>
      </c>
      <c r="CY11" s="26">
        <v>33.571899999999999</v>
      </c>
      <c r="CZ11" s="26">
        <v>30.775600000000001</v>
      </c>
      <c r="DA11" s="26">
        <v>34.229900000000001</v>
      </c>
      <c r="DB11" s="26">
        <v>32.185200000000002</v>
      </c>
      <c r="DC11" s="26">
        <v>20.4544</v>
      </c>
      <c r="DD11" s="26">
        <v>33.758600000000001</v>
      </c>
      <c r="DE11" s="26">
        <v>25.502199999999998</v>
      </c>
      <c r="DF11" s="26">
        <v>10</v>
      </c>
      <c r="DG11" s="26">
        <v>28.4452</v>
      </c>
      <c r="DH11" s="26">
        <v>30.774000000000001</v>
      </c>
      <c r="DI11" s="26">
        <v>17.827300000000001</v>
      </c>
      <c r="DJ11" s="26">
        <v>17.219000000000001</v>
      </c>
      <c r="DK11" s="26">
        <v>29.751799999999999</v>
      </c>
      <c r="DL11" s="26">
        <v>26.019300000000001</v>
      </c>
      <c r="DM11" s="26">
        <v>28.342199999999998</v>
      </c>
      <c r="DN11" s="26">
        <v>32.523899999999998</v>
      </c>
      <c r="DO11" s="26">
        <v>25.252099999999999</v>
      </c>
      <c r="DP11" s="26">
        <v>22.7788</v>
      </c>
      <c r="DQ11" s="26">
        <v>26.217500000000001</v>
      </c>
      <c r="DR11" s="26">
        <v>10.019600000000001</v>
      </c>
      <c r="DS11" s="26">
        <v>10</v>
      </c>
      <c r="DT11" s="26">
        <v>28.146699999999999</v>
      </c>
      <c r="DU11" s="26">
        <v>29.4207</v>
      </c>
      <c r="DV11" s="26">
        <v>23.6784</v>
      </c>
      <c r="DW11" s="26">
        <v>25.330334677419341</v>
      </c>
      <c r="DX11" s="17">
        <v>3140.9614999999981</v>
      </c>
    </row>
    <row r="12" spans="1:128" x14ac:dyDescent="0.25">
      <c r="A12" s="24">
        <v>11</v>
      </c>
      <c r="B12" s="26">
        <v>5</v>
      </c>
      <c r="C12" s="26">
        <v>30.446300000000001</v>
      </c>
      <c r="D12" s="26">
        <v>26.575700000000001</v>
      </c>
      <c r="E12" s="26">
        <v>34.581699999999998</v>
      </c>
      <c r="F12" s="26">
        <v>34.317399999999999</v>
      </c>
      <c r="G12" s="26">
        <v>21.305800000000001</v>
      </c>
      <c r="H12" s="26">
        <v>26.004799999999999</v>
      </c>
      <c r="I12" s="26">
        <v>24.9009</v>
      </c>
      <c r="J12" s="26">
        <v>26.645700000000001</v>
      </c>
      <c r="K12" s="26">
        <v>23.0444</v>
      </c>
      <c r="L12" s="26">
        <v>28.559899999999999</v>
      </c>
      <c r="M12" s="26">
        <v>32.9024</v>
      </c>
      <c r="N12" s="26">
        <v>29.155000000000001</v>
      </c>
      <c r="O12" s="26">
        <v>11.4594</v>
      </c>
      <c r="P12" s="26">
        <v>26.411000000000001</v>
      </c>
      <c r="Q12" s="26">
        <v>25.748200000000001</v>
      </c>
      <c r="R12" s="26">
        <v>10</v>
      </c>
      <c r="S12" s="26">
        <v>10.7035</v>
      </c>
      <c r="T12" s="26">
        <v>18.6875</v>
      </c>
      <c r="U12" s="26">
        <v>26.227699999999999</v>
      </c>
      <c r="V12" s="26">
        <v>27.482099999999999</v>
      </c>
      <c r="W12" s="26">
        <v>21.336200000000002</v>
      </c>
      <c r="X12" s="26">
        <v>29.291399999999999</v>
      </c>
      <c r="Y12" s="26">
        <v>34.383000000000003</v>
      </c>
      <c r="Z12" s="26">
        <v>30.465900000000001</v>
      </c>
      <c r="AA12" s="26">
        <v>30.747299999999999</v>
      </c>
      <c r="AB12" s="26">
        <v>18.066400000000002</v>
      </c>
      <c r="AC12" s="26">
        <v>26.466100000000001</v>
      </c>
      <c r="AD12" s="26">
        <v>23.996400000000001</v>
      </c>
      <c r="AE12" s="26">
        <v>24.119599999999998</v>
      </c>
      <c r="AF12" s="26">
        <v>22.545500000000001</v>
      </c>
      <c r="AG12" s="26">
        <v>20.4056</v>
      </c>
      <c r="AH12" s="26">
        <v>20.536200000000001</v>
      </c>
      <c r="AI12" s="26">
        <v>22.754200000000001</v>
      </c>
      <c r="AJ12" s="26">
        <v>28.4434</v>
      </c>
      <c r="AK12" s="26">
        <v>27.837800000000001</v>
      </c>
      <c r="AL12" s="26">
        <v>30.2</v>
      </c>
      <c r="AM12" s="26">
        <v>24.1295</v>
      </c>
      <c r="AN12" s="26">
        <v>29.243400000000001</v>
      </c>
      <c r="AO12" s="26">
        <v>19.921900000000001</v>
      </c>
      <c r="AP12" s="26">
        <v>37.1676</v>
      </c>
      <c r="AQ12" s="26">
        <v>32.492800000000003</v>
      </c>
      <c r="AR12" s="26">
        <v>12.0055</v>
      </c>
      <c r="AS12" s="26">
        <v>31.893999999999998</v>
      </c>
      <c r="AT12" s="26">
        <v>27.0611</v>
      </c>
      <c r="AU12" s="26">
        <v>33.434399999999997</v>
      </c>
      <c r="AV12" s="26">
        <v>23.276700000000002</v>
      </c>
      <c r="AW12" s="26">
        <v>35.8401</v>
      </c>
      <c r="AX12" s="26">
        <v>26.331600000000002</v>
      </c>
      <c r="AY12" s="26">
        <v>30.972000000000001</v>
      </c>
      <c r="AZ12" s="26">
        <v>25.1096</v>
      </c>
      <c r="BA12" s="26">
        <v>33.5334</v>
      </c>
      <c r="BB12" s="26">
        <v>27.351199999999999</v>
      </c>
      <c r="BC12" s="26">
        <v>21.206700000000001</v>
      </c>
      <c r="BD12" s="26">
        <v>21.488800000000001</v>
      </c>
      <c r="BE12" s="26">
        <v>26.0093</v>
      </c>
      <c r="BF12" s="26">
        <v>18.567799999999998</v>
      </c>
      <c r="BG12" s="26">
        <v>22.525500000000001</v>
      </c>
      <c r="BH12" s="26">
        <v>27.507200000000001</v>
      </c>
      <c r="BI12" s="26">
        <v>26.941800000000001</v>
      </c>
      <c r="BJ12" s="26">
        <v>32.926400000000001</v>
      </c>
      <c r="BK12" s="26">
        <v>26.9724</v>
      </c>
      <c r="BL12" s="26">
        <v>27.297499999999999</v>
      </c>
      <c r="BM12" s="26">
        <v>24.0273</v>
      </c>
      <c r="BN12" s="26">
        <v>24.468599999999999</v>
      </c>
      <c r="BO12" s="26">
        <v>10.633900000000001</v>
      </c>
      <c r="BP12" s="26">
        <v>36.258899999999997</v>
      </c>
      <c r="BQ12" s="26">
        <v>28.197299999999998</v>
      </c>
      <c r="BR12" s="26">
        <v>25.781500000000001</v>
      </c>
      <c r="BS12" s="26">
        <v>16.4617</v>
      </c>
      <c r="BT12" s="26">
        <v>23.168700000000001</v>
      </c>
      <c r="BU12" s="26">
        <v>30.869800000000001</v>
      </c>
      <c r="BV12" s="26">
        <v>36.507399999999997</v>
      </c>
      <c r="BW12" s="26">
        <v>22.1509</v>
      </c>
      <c r="BX12" s="26">
        <v>33.455599999999997</v>
      </c>
      <c r="BY12" s="26">
        <v>27.816299999999998</v>
      </c>
      <c r="BZ12" s="26">
        <v>28.673200000000001</v>
      </c>
      <c r="CA12" s="26">
        <v>36.212800000000001</v>
      </c>
      <c r="CB12" s="26">
        <v>22.813400000000001</v>
      </c>
      <c r="CC12" s="26">
        <v>26.928699999999999</v>
      </c>
      <c r="CD12" s="26">
        <v>24.572500000000002</v>
      </c>
      <c r="CE12" s="26">
        <v>36.344099999999997</v>
      </c>
      <c r="CF12" s="26">
        <v>19.069199999999999</v>
      </c>
      <c r="CG12" s="26">
        <v>27.902999999999999</v>
      </c>
      <c r="CH12" s="26">
        <v>29.965</v>
      </c>
      <c r="CI12" s="26">
        <v>24.926300000000001</v>
      </c>
      <c r="CJ12" s="26">
        <v>28.564499999999999</v>
      </c>
      <c r="CK12" s="26">
        <v>23.738600000000002</v>
      </c>
      <c r="CL12" s="26">
        <v>36.258899999999997</v>
      </c>
      <c r="CM12" s="26">
        <v>25.219799999999999</v>
      </c>
      <c r="CN12" s="26">
        <v>28.309000000000001</v>
      </c>
      <c r="CO12" s="26">
        <v>23.718399999999999</v>
      </c>
      <c r="CP12" s="26">
        <v>34.2224</v>
      </c>
      <c r="CQ12" s="26">
        <v>10.658300000000001</v>
      </c>
      <c r="CR12" s="26">
        <v>26.886600000000001</v>
      </c>
      <c r="CS12" s="26">
        <v>22.321000000000002</v>
      </c>
      <c r="CT12" s="26">
        <v>31.035399999999999</v>
      </c>
      <c r="CU12" s="26">
        <v>10.454700000000001</v>
      </c>
      <c r="CV12" s="26">
        <v>29.4297</v>
      </c>
      <c r="CW12" s="26">
        <v>29.6768</v>
      </c>
      <c r="CX12" s="26">
        <v>17.360399999999998</v>
      </c>
      <c r="CY12" s="26">
        <v>35.282699999999998</v>
      </c>
      <c r="CZ12" s="26">
        <v>31.5016</v>
      </c>
      <c r="DA12" s="26">
        <v>36.212800000000001</v>
      </c>
      <c r="DB12" s="26">
        <v>31.988900000000001</v>
      </c>
      <c r="DC12" s="26">
        <v>19.016100000000002</v>
      </c>
      <c r="DD12" s="26">
        <v>34.5976</v>
      </c>
      <c r="DE12" s="26">
        <v>26.183</v>
      </c>
      <c r="DF12" s="26">
        <v>10.503</v>
      </c>
      <c r="DG12" s="26">
        <v>29.411300000000001</v>
      </c>
      <c r="DH12" s="26">
        <v>32.657200000000003</v>
      </c>
      <c r="DI12" s="26">
        <v>17.310300000000002</v>
      </c>
      <c r="DJ12" s="26">
        <v>16.7103</v>
      </c>
      <c r="DK12" s="26">
        <v>30.818999999999999</v>
      </c>
      <c r="DL12" s="26">
        <v>27.311699999999998</v>
      </c>
      <c r="DM12" s="26">
        <v>28.589300000000001</v>
      </c>
      <c r="DN12" s="26">
        <v>34.238399999999999</v>
      </c>
      <c r="DO12" s="26">
        <v>27.206900000000001</v>
      </c>
      <c r="DP12" s="26">
        <v>23.1311</v>
      </c>
      <c r="DQ12" s="26">
        <v>27.328399999999998</v>
      </c>
      <c r="DR12" s="26">
        <v>12.104200000000001</v>
      </c>
      <c r="DS12" s="26">
        <v>10.906700000000001</v>
      </c>
      <c r="DT12" s="26">
        <v>27.9011</v>
      </c>
      <c r="DU12" s="26">
        <v>30.1129</v>
      </c>
      <c r="DV12" s="26">
        <v>21.528500000000001</v>
      </c>
      <c r="DW12" s="26">
        <v>26.012711290322599</v>
      </c>
      <c r="DX12" s="17">
        <v>3225.5762000000018</v>
      </c>
    </row>
    <row r="13" spans="1:128" x14ac:dyDescent="0.25">
      <c r="A13" s="24">
        <v>12</v>
      </c>
      <c r="B13" s="26">
        <v>5.5</v>
      </c>
      <c r="C13" s="26">
        <v>32.565899999999999</v>
      </c>
      <c r="D13" s="26">
        <v>29.2788</v>
      </c>
      <c r="E13" s="26">
        <v>37.2622</v>
      </c>
      <c r="F13" s="26">
        <v>36.2562</v>
      </c>
      <c r="G13" s="26">
        <v>25.985399999999998</v>
      </c>
      <c r="H13" s="26">
        <v>30.559000000000001</v>
      </c>
      <c r="I13" s="26">
        <v>28.136800000000001</v>
      </c>
      <c r="J13" s="26">
        <v>30.203299999999999</v>
      </c>
      <c r="K13" s="26">
        <v>21.816800000000001</v>
      </c>
      <c r="L13" s="26">
        <v>31.8917</v>
      </c>
      <c r="M13" s="26">
        <v>36.641100000000002</v>
      </c>
      <c r="N13" s="26">
        <v>31.9329</v>
      </c>
      <c r="O13" s="26">
        <v>14.1784</v>
      </c>
      <c r="P13" s="26">
        <v>30.319099999999999</v>
      </c>
      <c r="Q13" s="26">
        <v>25.248100000000001</v>
      </c>
      <c r="R13" s="26">
        <v>10.2552</v>
      </c>
      <c r="S13" s="26">
        <v>12.002700000000001</v>
      </c>
      <c r="T13" s="26">
        <v>19.2075</v>
      </c>
      <c r="U13" s="26">
        <v>30.235199999999999</v>
      </c>
      <c r="V13" s="26">
        <v>30.574400000000001</v>
      </c>
      <c r="W13" s="26">
        <v>20.662400000000002</v>
      </c>
      <c r="X13" s="26">
        <v>31.770399999999999</v>
      </c>
      <c r="Y13" s="26">
        <v>36.669699999999999</v>
      </c>
      <c r="Z13" s="26">
        <v>35.055199999999999</v>
      </c>
      <c r="AA13" s="26">
        <v>34.707799999999999</v>
      </c>
      <c r="AB13" s="26">
        <v>20.713000000000001</v>
      </c>
      <c r="AC13" s="26">
        <v>31.111799999999999</v>
      </c>
      <c r="AD13" s="26">
        <v>27.522099999999998</v>
      </c>
      <c r="AE13" s="26">
        <v>28.7088</v>
      </c>
      <c r="AF13" s="26">
        <v>25.4498</v>
      </c>
      <c r="AG13" s="26">
        <v>22.973199999999999</v>
      </c>
      <c r="AH13" s="26">
        <v>25.227</v>
      </c>
      <c r="AI13" s="26">
        <v>25.153300000000002</v>
      </c>
      <c r="AJ13" s="26">
        <v>31.020600000000002</v>
      </c>
      <c r="AK13" s="26">
        <v>31.035599999999999</v>
      </c>
      <c r="AL13" s="26">
        <v>32.9482</v>
      </c>
      <c r="AM13" s="26">
        <v>24.379300000000001</v>
      </c>
      <c r="AN13" s="26">
        <v>33.414200000000001</v>
      </c>
      <c r="AO13" s="26">
        <v>23.316299999999998</v>
      </c>
      <c r="AP13" s="26">
        <v>38.405700000000003</v>
      </c>
      <c r="AQ13" s="26">
        <v>35.597099999999998</v>
      </c>
      <c r="AR13" s="26">
        <v>16.594799999999999</v>
      </c>
      <c r="AS13" s="26">
        <v>36.449300000000001</v>
      </c>
      <c r="AT13" s="26">
        <v>29.214500000000001</v>
      </c>
      <c r="AU13" s="26">
        <v>37.904200000000003</v>
      </c>
      <c r="AV13" s="26">
        <v>26.455300000000001</v>
      </c>
      <c r="AW13" s="26">
        <v>40.372900000000001</v>
      </c>
      <c r="AX13" s="26">
        <v>27.714200000000002</v>
      </c>
      <c r="AY13" s="26">
        <v>34.536000000000001</v>
      </c>
      <c r="AZ13" s="26">
        <v>28.430099999999999</v>
      </c>
      <c r="BA13" s="26">
        <v>37.000799999999998</v>
      </c>
      <c r="BB13" s="26">
        <v>31.0062</v>
      </c>
      <c r="BC13" s="26">
        <v>23.663900000000002</v>
      </c>
      <c r="BD13" s="26">
        <v>21.9971</v>
      </c>
      <c r="BE13" s="26">
        <v>29.888000000000002</v>
      </c>
      <c r="BF13" s="26">
        <v>21.180499999999999</v>
      </c>
      <c r="BG13" s="26">
        <v>22.854600000000001</v>
      </c>
      <c r="BH13" s="26">
        <v>29.547699999999999</v>
      </c>
      <c r="BI13" s="26">
        <v>30.210599999999999</v>
      </c>
      <c r="BJ13" s="26">
        <v>34.203800000000001</v>
      </c>
      <c r="BK13" s="26">
        <v>30.471</v>
      </c>
      <c r="BL13" s="26">
        <v>31.2806</v>
      </c>
      <c r="BM13" s="26">
        <v>22.7454</v>
      </c>
      <c r="BN13" s="26">
        <v>24.160900000000002</v>
      </c>
      <c r="BO13" s="26">
        <v>14.495799999999999</v>
      </c>
      <c r="BP13" s="26">
        <v>39.601999999999997</v>
      </c>
      <c r="BQ13" s="26">
        <v>32.9024</v>
      </c>
      <c r="BR13" s="26">
        <v>29.742000000000001</v>
      </c>
      <c r="BS13" s="26">
        <v>16.2361</v>
      </c>
      <c r="BT13" s="26">
        <v>26.477900000000002</v>
      </c>
      <c r="BU13" s="26">
        <v>35.447699999999998</v>
      </c>
      <c r="BV13" s="26">
        <v>39.873100000000001</v>
      </c>
      <c r="BW13" s="26">
        <v>25.873699999999999</v>
      </c>
      <c r="BX13" s="26">
        <v>36.8767</v>
      </c>
      <c r="BY13" s="26">
        <v>31.030999999999999</v>
      </c>
      <c r="BZ13" s="26">
        <v>31.057600000000001</v>
      </c>
      <c r="CA13" s="26">
        <v>40.779499999999999</v>
      </c>
      <c r="CB13" s="26">
        <v>26.235600000000002</v>
      </c>
      <c r="CC13" s="26">
        <v>31.045999999999999</v>
      </c>
      <c r="CD13" s="26">
        <v>25.974499999999999</v>
      </c>
      <c r="CE13" s="26">
        <v>39.081099999999999</v>
      </c>
      <c r="CF13" s="26">
        <v>22.352799999999998</v>
      </c>
      <c r="CG13" s="26">
        <v>32.650399999999998</v>
      </c>
      <c r="CH13" s="26">
        <v>33.320500000000003</v>
      </c>
      <c r="CI13" s="26">
        <v>23.411799999999999</v>
      </c>
      <c r="CJ13" s="26">
        <v>31.48</v>
      </c>
      <c r="CK13" s="26">
        <v>25.028199999999998</v>
      </c>
      <c r="CL13" s="26">
        <v>39.601999999999997</v>
      </c>
      <c r="CM13" s="26">
        <v>25.989100000000001</v>
      </c>
      <c r="CN13" s="26">
        <v>30.4511</v>
      </c>
      <c r="CO13" s="26">
        <v>25.321899999999999</v>
      </c>
      <c r="CP13" s="26">
        <v>38.879399999999997</v>
      </c>
      <c r="CQ13" s="26">
        <v>10.8161</v>
      </c>
      <c r="CR13" s="26">
        <v>27.729900000000001</v>
      </c>
      <c r="CS13" s="26">
        <v>26.887599999999999</v>
      </c>
      <c r="CT13" s="26">
        <v>35.063699999999997</v>
      </c>
      <c r="CU13" s="26">
        <v>12.521000000000001</v>
      </c>
      <c r="CV13" s="26">
        <v>33.378900000000002</v>
      </c>
      <c r="CW13" s="26">
        <v>31.178999999999998</v>
      </c>
      <c r="CX13" s="26">
        <v>18.659300000000002</v>
      </c>
      <c r="CY13" s="26">
        <v>39.770699999999998</v>
      </c>
      <c r="CZ13" s="26">
        <v>33.519599999999997</v>
      </c>
      <c r="DA13" s="26">
        <v>40.779499999999999</v>
      </c>
      <c r="DB13" s="26">
        <v>34.805</v>
      </c>
      <c r="DC13" s="26">
        <v>18.265799999999999</v>
      </c>
      <c r="DD13" s="26">
        <v>35.950000000000003</v>
      </c>
      <c r="DE13" s="26">
        <v>28.155799999999999</v>
      </c>
      <c r="DF13" s="26">
        <v>13.385199999999999</v>
      </c>
      <c r="DG13" s="26">
        <v>33.270499999999998</v>
      </c>
      <c r="DH13" s="26">
        <v>36.677199999999999</v>
      </c>
      <c r="DI13" s="26">
        <v>20.1203</v>
      </c>
      <c r="DJ13" s="26">
        <v>20.561399999999999</v>
      </c>
      <c r="DK13" s="26">
        <v>34.7682</v>
      </c>
      <c r="DL13" s="26">
        <v>30.541899999999998</v>
      </c>
      <c r="DM13" s="26">
        <v>32.526600000000002</v>
      </c>
      <c r="DN13" s="26">
        <v>37.656399999999998</v>
      </c>
      <c r="DO13" s="26">
        <v>30.606200000000001</v>
      </c>
      <c r="DP13" s="26">
        <v>25.5379</v>
      </c>
      <c r="DQ13" s="26">
        <v>30.053999999999998</v>
      </c>
      <c r="DR13" s="26">
        <v>15.0565</v>
      </c>
      <c r="DS13" s="26">
        <v>12.551</v>
      </c>
      <c r="DT13" s="26">
        <v>29.919</v>
      </c>
      <c r="DU13" s="26">
        <v>31.3917</v>
      </c>
      <c r="DV13" s="26">
        <v>21.147300000000001</v>
      </c>
      <c r="DW13" s="26">
        <v>28.73183629032258</v>
      </c>
      <c r="DX13" s="17">
        <v>3562.7476999999999</v>
      </c>
    </row>
    <row r="14" spans="1:128" x14ac:dyDescent="0.25">
      <c r="A14" s="24">
        <v>13</v>
      </c>
      <c r="B14" s="26">
        <v>6</v>
      </c>
      <c r="C14" s="26">
        <v>34.718600000000002</v>
      </c>
      <c r="D14" s="26">
        <v>33.085999999999999</v>
      </c>
      <c r="E14" s="26">
        <v>41.922800000000002</v>
      </c>
      <c r="F14" s="26">
        <v>39.779200000000003</v>
      </c>
      <c r="G14" s="26">
        <v>33.324100000000001</v>
      </c>
      <c r="H14" s="26">
        <v>36.677999999999997</v>
      </c>
      <c r="I14" s="26">
        <v>35.916800000000002</v>
      </c>
      <c r="J14" s="26">
        <v>34.593800000000002</v>
      </c>
      <c r="K14" s="26">
        <v>25.3962</v>
      </c>
      <c r="L14" s="26">
        <v>37.599600000000002</v>
      </c>
      <c r="M14" s="26">
        <v>44.0792</v>
      </c>
      <c r="N14" s="26">
        <v>39.780700000000003</v>
      </c>
      <c r="O14" s="26">
        <v>21.9696</v>
      </c>
      <c r="P14" s="26">
        <v>37.142200000000003</v>
      </c>
      <c r="Q14" s="26">
        <v>28.736599999999999</v>
      </c>
      <c r="R14" s="26">
        <v>12.0503</v>
      </c>
      <c r="S14" s="26">
        <v>15.4429</v>
      </c>
      <c r="T14" s="26">
        <v>17.995000000000001</v>
      </c>
      <c r="U14" s="26">
        <v>36.733199999999997</v>
      </c>
      <c r="V14" s="26">
        <v>38.141500000000001</v>
      </c>
      <c r="W14" s="26">
        <v>24.3096</v>
      </c>
      <c r="X14" s="26">
        <v>36.363199999999999</v>
      </c>
      <c r="Y14" s="26">
        <v>42.603499999999997</v>
      </c>
      <c r="Z14" s="26">
        <v>41.831499999999998</v>
      </c>
      <c r="AA14" s="26">
        <v>40.415700000000001</v>
      </c>
      <c r="AB14" s="26">
        <v>23.008700000000001</v>
      </c>
      <c r="AC14" s="26">
        <v>36.7943</v>
      </c>
      <c r="AD14" s="26">
        <v>34.127699999999997</v>
      </c>
      <c r="AE14" s="26">
        <v>36.466200000000001</v>
      </c>
      <c r="AF14" s="26">
        <v>30.2913</v>
      </c>
      <c r="AG14" s="26">
        <v>27.520900000000001</v>
      </c>
      <c r="AH14" s="26">
        <v>33.086100000000002</v>
      </c>
      <c r="AI14" s="26">
        <v>30.811900000000001</v>
      </c>
      <c r="AJ14" s="26">
        <v>37.248699999999999</v>
      </c>
      <c r="AK14" s="26">
        <v>36.7774</v>
      </c>
      <c r="AL14" s="26">
        <v>35.795999999999999</v>
      </c>
      <c r="AM14" s="26">
        <v>27.481200000000001</v>
      </c>
      <c r="AN14" s="26">
        <v>39.905000000000001</v>
      </c>
      <c r="AO14" s="26">
        <v>30.2928</v>
      </c>
      <c r="AP14" s="26">
        <v>45.217399999999998</v>
      </c>
      <c r="AQ14" s="26">
        <v>42.329799999999999</v>
      </c>
      <c r="AR14" s="26">
        <v>23.8766</v>
      </c>
      <c r="AS14" s="26">
        <v>44.172899999999998</v>
      </c>
      <c r="AT14" s="26">
        <v>30.7667</v>
      </c>
      <c r="AU14" s="26">
        <v>44.721400000000003</v>
      </c>
      <c r="AV14" s="26">
        <v>31.315899999999999</v>
      </c>
      <c r="AW14" s="26">
        <v>48.073799999999999</v>
      </c>
      <c r="AX14" s="26">
        <v>32.284400000000012</v>
      </c>
      <c r="AY14" s="26">
        <v>42.372500000000002</v>
      </c>
      <c r="AZ14" s="26">
        <v>34.1267</v>
      </c>
      <c r="BA14" s="26">
        <v>42.844200000000001</v>
      </c>
      <c r="BB14" s="26">
        <v>38.6678</v>
      </c>
      <c r="BC14" s="26">
        <v>31.703700000000001</v>
      </c>
      <c r="BD14" s="26">
        <v>21.698</v>
      </c>
      <c r="BE14" s="26">
        <v>36.685099999999998</v>
      </c>
      <c r="BF14" s="26">
        <v>24.471</v>
      </c>
      <c r="BG14" s="26">
        <v>25.4071</v>
      </c>
      <c r="BH14" s="26">
        <v>31.388300000000001</v>
      </c>
      <c r="BI14" s="26">
        <v>37.179499999999997</v>
      </c>
      <c r="BJ14" s="26">
        <v>37.907499999999999</v>
      </c>
      <c r="BK14" s="26">
        <v>34.759500000000003</v>
      </c>
      <c r="BL14" s="26">
        <v>37.340600000000002</v>
      </c>
      <c r="BM14" s="26">
        <v>26.302199999999999</v>
      </c>
      <c r="BN14" s="26">
        <v>26.681699999999999</v>
      </c>
      <c r="BO14" s="26">
        <v>19.174499999999998</v>
      </c>
      <c r="BP14" s="26">
        <v>45.321300000000001</v>
      </c>
      <c r="BQ14" s="26">
        <v>39.027500000000003</v>
      </c>
      <c r="BR14" s="26">
        <v>34.981999999999999</v>
      </c>
      <c r="BS14" s="26">
        <v>19.759</v>
      </c>
      <c r="BT14" s="26">
        <v>30.214099999999998</v>
      </c>
      <c r="BU14" s="26">
        <v>43.193800000000003</v>
      </c>
      <c r="BV14" s="26">
        <v>45.614900000000013</v>
      </c>
      <c r="BW14" s="26">
        <v>33.6875</v>
      </c>
      <c r="BX14" s="26">
        <v>43.631999999999998</v>
      </c>
      <c r="BY14" s="26">
        <v>38.384099999999997</v>
      </c>
      <c r="BZ14" s="26">
        <v>35.991100000000003</v>
      </c>
      <c r="CA14" s="26">
        <v>48.514299999999999</v>
      </c>
      <c r="CB14" s="26">
        <v>29.758900000000001</v>
      </c>
      <c r="CC14" s="26">
        <v>36.908299999999997</v>
      </c>
      <c r="CD14" s="26">
        <v>31.6599</v>
      </c>
      <c r="CE14" s="26">
        <v>43.798200000000001</v>
      </c>
      <c r="CF14" s="26">
        <v>29.081700000000001</v>
      </c>
      <c r="CG14" s="26">
        <v>40.4146</v>
      </c>
      <c r="CH14" s="26">
        <v>41.168199999999999</v>
      </c>
      <c r="CI14" s="26">
        <v>25.977799999999998</v>
      </c>
      <c r="CJ14" s="26">
        <v>37.848999999999997</v>
      </c>
      <c r="CK14" s="26">
        <v>28.707000000000001</v>
      </c>
      <c r="CL14" s="26">
        <v>45.321300000000001</v>
      </c>
      <c r="CM14" s="26">
        <v>31.627300000000002</v>
      </c>
      <c r="CN14" s="26">
        <v>34.177400000000013</v>
      </c>
      <c r="CO14" s="26">
        <v>29.954599999999999</v>
      </c>
      <c r="CP14" s="26">
        <v>46.704599999999999</v>
      </c>
      <c r="CQ14" s="26">
        <v>14.3504</v>
      </c>
      <c r="CR14" s="26">
        <v>29.8245</v>
      </c>
      <c r="CS14" s="26">
        <v>34.622399999999999</v>
      </c>
      <c r="CT14" s="26">
        <v>41.864199999999997</v>
      </c>
      <c r="CU14" s="26">
        <v>17.721</v>
      </c>
      <c r="CV14" s="26">
        <v>40.100299999999997</v>
      </c>
      <c r="CW14" s="26">
        <v>33.869199999999999</v>
      </c>
      <c r="CX14" s="26">
        <v>18.671500000000002</v>
      </c>
      <c r="CY14" s="26">
        <v>47.7652</v>
      </c>
      <c r="CZ14" s="26">
        <v>37.121600000000001</v>
      </c>
      <c r="DA14" s="26">
        <v>48.514299999999999</v>
      </c>
      <c r="DB14" s="26">
        <v>38.715299999999999</v>
      </c>
      <c r="DC14" s="26">
        <v>20.011399999999998</v>
      </c>
      <c r="DD14" s="26">
        <v>39.619100000000003</v>
      </c>
      <c r="DE14" s="26">
        <v>29.3215</v>
      </c>
      <c r="DF14" s="26">
        <v>18.053000000000001</v>
      </c>
      <c r="DG14" s="26">
        <v>40.994100000000003</v>
      </c>
      <c r="DH14" s="26">
        <v>44.491</v>
      </c>
      <c r="DI14" s="26">
        <v>24.987100000000002</v>
      </c>
      <c r="DJ14" s="26">
        <v>28.296299999999999</v>
      </c>
      <c r="DK14" s="26">
        <v>40.247</v>
      </c>
      <c r="DL14" s="26">
        <v>36.148200000000003</v>
      </c>
      <c r="DM14" s="26">
        <v>39.398800000000001</v>
      </c>
      <c r="DN14" s="26">
        <v>45.6509</v>
      </c>
      <c r="DO14" s="26">
        <v>36.896900000000002</v>
      </c>
      <c r="DP14" s="26">
        <v>27.992000000000001</v>
      </c>
      <c r="DQ14" s="26">
        <v>33.748600000000003</v>
      </c>
      <c r="DR14" s="26">
        <v>22.893000000000001</v>
      </c>
      <c r="DS14" s="26">
        <v>15.304500000000001</v>
      </c>
      <c r="DT14" s="26">
        <v>33.521000000000001</v>
      </c>
      <c r="DU14" s="26">
        <v>34.2545</v>
      </c>
      <c r="DV14" s="26">
        <v>21.2744</v>
      </c>
      <c r="DW14" s="26">
        <v>33.946454838709677</v>
      </c>
      <c r="DX14" s="17">
        <v>4209.3603999999996</v>
      </c>
    </row>
    <row r="15" spans="1:128" x14ac:dyDescent="0.25">
      <c r="A15" s="24">
        <v>14</v>
      </c>
      <c r="B15" s="26">
        <v>6.5</v>
      </c>
      <c r="C15" s="26">
        <v>40.150599999999997</v>
      </c>
      <c r="D15" s="26">
        <v>38.664299999999997</v>
      </c>
      <c r="E15" s="26">
        <v>48.7438</v>
      </c>
      <c r="F15" s="26">
        <v>45.0304</v>
      </c>
      <c r="G15" s="26">
        <v>44.371300000000012</v>
      </c>
      <c r="H15" s="26">
        <v>47.5274</v>
      </c>
      <c r="I15" s="26">
        <v>47.153500000000001</v>
      </c>
      <c r="J15" s="26">
        <v>42.8504</v>
      </c>
      <c r="K15" s="26">
        <v>30.212299999999999</v>
      </c>
      <c r="L15" s="26">
        <v>44.465700000000012</v>
      </c>
      <c r="M15" s="26">
        <v>55.372300000000003</v>
      </c>
      <c r="N15" s="26">
        <v>51.085099999999997</v>
      </c>
      <c r="O15" s="26">
        <v>30.7334</v>
      </c>
      <c r="P15" s="26">
        <v>43.026499999999999</v>
      </c>
      <c r="Q15" s="26">
        <v>33.906199999999998</v>
      </c>
      <c r="R15" s="26">
        <v>10</v>
      </c>
      <c r="S15" s="26">
        <v>20.565100000000001</v>
      </c>
      <c r="T15" s="26">
        <v>19.5776</v>
      </c>
      <c r="U15" s="26">
        <v>47.958599999999997</v>
      </c>
      <c r="V15" s="26">
        <v>49.310400000000001</v>
      </c>
      <c r="W15" s="26">
        <v>29.500699999999998</v>
      </c>
      <c r="X15" s="26">
        <v>42.648299999999999</v>
      </c>
      <c r="Y15" s="26">
        <v>49.858899999999998</v>
      </c>
      <c r="Z15" s="26">
        <v>52.227999999999987</v>
      </c>
      <c r="AA15" s="26">
        <v>49.916700000000013</v>
      </c>
      <c r="AB15" s="26">
        <v>28.115100000000002</v>
      </c>
      <c r="AC15" s="26">
        <v>47.785600000000002</v>
      </c>
      <c r="AD15" s="26">
        <v>42.194600000000001</v>
      </c>
      <c r="AE15" s="26">
        <v>46.774000000000001</v>
      </c>
      <c r="AF15" s="26">
        <v>37.549900000000001</v>
      </c>
      <c r="AG15" s="26">
        <v>32.378</v>
      </c>
      <c r="AH15" s="26">
        <v>44.401800000000001</v>
      </c>
      <c r="AI15" s="26">
        <v>38.035799999999988</v>
      </c>
      <c r="AJ15" s="26">
        <v>47.028500000000001</v>
      </c>
      <c r="AK15" s="26">
        <v>45.018500000000003</v>
      </c>
      <c r="AL15" s="26">
        <v>42.684800000000003</v>
      </c>
      <c r="AM15" s="26">
        <v>30.753399999999999</v>
      </c>
      <c r="AN15" s="26">
        <v>51.209400000000002</v>
      </c>
      <c r="AO15" s="26">
        <v>39.605499999999999</v>
      </c>
      <c r="AP15" s="26">
        <v>55.053700000000013</v>
      </c>
      <c r="AQ15" s="26">
        <v>51.230800000000002</v>
      </c>
      <c r="AR15" s="26">
        <v>33.505299999999998</v>
      </c>
      <c r="AS15" s="26">
        <v>54.409199999999998</v>
      </c>
      <c r="AT15" s="26">
        <v>36.232599999999998</v>
      </c>
      <c r="AU15" s="26">
        <v>55.991899999999987</v>
      </c>
      <c r="AV15" s="26">
        <v>40.291200000000003</v>
      </c>
      <c r="AW15" s="26">
        <v>59.231400000000001</v>
      </c>
      <c r="AX15" s="26">
        <v>37.807499999999997</v>
      </c>
      <c r="AY15" s="26">
        <v>53.665599999999998</v>
      </c>
      <c r="AZ15" s="26">
        <v>42.415900000000001</v>
      </c>
      <c r="BA15" s="26">
        <v>51.280200000000001</v>
      </c>
      <c r="BB15" s="26">
        <v>48.067599999999999</v>
      </c>
      <c r="BC15" s="26">
        <v>43.200099999999999</v>
      </c>
      <c r="BD15" s="26">
        <v>25.673100000000002</v>
      </c>
      <c r="BE15" s="26">
        <v>47.887800000000013</v>
      </c>
      <c r="BF15" s="26">
        <v>30.175899999999999</v>
      </c>
      <c r="BG15" s="26">
        <v>27.570399999999999</v>
      </c>
      <c r="BH15" s="26">
        <v>36.741300000000003</v>
      </c>
      <c r="BI15" s="26">
        <v>48.314599999999999</v>
      </c>
      <c r="BJ15" s="26">
        <v>42.777999999999999</v>
      </c>
      <c r="BK15" s="26">
        <v>44.573300000000003</v>
      </c>
      <c r="BL15" s="26">
        <v>45.354799999999997</v>
      </c>
      <c r="BM15" s="26">
        <v>28.895199999999999</v>
      </c>
      <c r="BN15" s="26">
        <v>28.366499999999998</v>
      </c>
      <c r="BO15" s="26">
        <v>28.795100000000001</v>
      </c>
      <c r="BP15" s="26">
        <v>53.633000000000003</v>
      </c>
      <c r="BQ15" s="26">
        <v>50.444899999999997</v>
      </c>
      <c r="BR15" s="26">
        <v>43.370800000000003</v>
      </c>
      <c r="BS15" s="26">
        <v>20.297999999999998</v>
      </c>
      <c r="BT15" s="26">
        <v>37.913400000000003</v>
      </c>
      <c r="BU15" s="26">
        <v>53.134899999999988</v>
      </c>
      <c r="BV15" s="26">
        <v>53.949199999999998</v>
      </c>
      <c r="BW15" s="26">
        <v>43.942799999999998</v>
      </c>
      <c r="BX15" s="26">
        <v>53.411799999999999</v>
      </c>
      <c r="BY15" s="26">
        <v>49.598199999999999</v>
      </c>
      <c r="BZ15" s="26">
        <v>44.295400000000001</v>
      </c>
      <c r="CA15" s="26">
        <v>59.705800000000004</v>
      </c>
      <c r="CB15" s="26">
        <v>37.4557</v>
      </c>
      <c r="CC15" s="26">
        <v>47.880299999999998</v>
      </c>
      <c r="CD15" s="26">
        <v>39.9377</v>
      </c>
      <c r="CE15" s="26">
        <v>50.675699999999999</v>
      </c>
      <c r="CF15" s="26">
        <v>38.765500000000003</v>
      </c>
      <c r="CG15" s="26">
        <v>50.878999999999998</v>
      </c>
      <c r="CH15" s="26">
        <v>50.927799999999998</v>
      </c>
      <c r="CI15" s="26">
        <v>28.4848</v>
      </c>
      <c r="CJ15" s="26">
        <v>47.651400000000002</v>
      </c>
      <c r="CK15" s="26">
        <v>34.710999999999999</v>
      </c>
      <c r="CL15" s="26">
        <v>53.633000000000003</v>
      </c>
      <c r="CM15" s="26">
        <v>38.235599999999998</v>
      </c>
      <c r="CN15" s="26">
        <v>38.401899999999998</v>
      </c>
      <c r="CO15" s="26">
        <v>38.243699999999997</v>
      </c>
      <c r="CP15" s="26">
        <v>57.871399999999987</v>
      </c>
      <c r="CQ15" s="26">
        <v>18.065100000000001</v>
      </c>
      <c r="CR15" s="26">
        <v>32.373899999999999</v>
      </c>
      <c r="CS15" s="26">
        <v>45.316299999999998</v>
      </c>
      <c r="CT15" s="26">
        <v>50.258699999999997</v>
      </c>
      <c r="CU15" s="26">
        <v>26.766999999999999</v>
      </c>
      <c r="CV15" s="26">
        <v>48.328800000000001</v>
      </c>
      <c r="CW15" s="26">
        <v>36.417999999999999</v>
      </c>
      <c r="CX15" s="26">
        <v>22.372699999999998</v>
      </c>
      <c r="CY15" s="26">
        <v>59.216500000000003</v>
      </c>
      <c r="CZ15" s="26">
        <v>42.313699999999997</v>
      </c>
      <c r="DA15" s="26">
        <v>59.705800000000004</v>
      </c>
      <c r="DB15" s="26">
        <v>45.1798</v>
      </c>
      <c r="DC15" s="26">
        <v>22.725300000000001</v>
      </c>
      <c r="DD15" s="26">
        <v>45.062399999999997</v>
      </c>
      <c r="DE15" s="26">
        <v>34.445599999999999</v>
      </c>
      <c r="DF15" s="26">
        <v>27.753799999999998</v>
      </c>
      <c r="DG15" s="26">
        <v>51.323500000000003</v>
      </c>
      <c r="DH15" s="26">
        <v>54.957099999999997</v>
      </c>
      <c r="DI15" s="26">
        <v>34.094200000000001</v>
      </c>
      <c r="DJ15" s="26">
        <v>37.717599999999997</v>
      </c>
      <c r="DK15" s="26">
        <v>49.992999999999988</v>
      </c>
      <c r="DL15" s="26">
        <v>44.346999999999987</v>
      </c>
      <c r="DM15" s="26">
        <v>49.487099999999998</v>
      </c>
      <c r="DN15" s="26">
        <v>57.102200000000003</v>
      </c>
      <c r="DO15" s="26">
        <v>48.302999999999997</v>
      </c>
      <c r="DP15" s="26">
        <v>34.419600000000003</v>
      </c>
      <c r="DQ15" s="26">
        <v>39.328699999999998</v>
      </c>
      <c r="DR15" s="26">
        <v>32.860199999999999</v>
      </c>
      <c r="DS15" s="26">
        <v>20.894600000000001</v>
      </c>
      <c r="DT15" s="26">
        <v>37.114800000000002</v>
      </c>
      <c r="DU15" s="26">
        <v>39.550999999999988</v>
      </c>
      <c r="DV15" s="26">
        <v>22.977699999999999</v>
      </c>
      <c r="DW15" s="26">
        <v>41.726845161290314</v>
      </c>
      <c r="DX15" s="17">
        <v>5174.1287999999986</v>
      </c>
    </row>
    <row r="16" spans="1:128" x14ac:dyDescent="0.25">
      <c r="A16" s="24">
        <v>15</v>
      </c>
      <c r="B16" s="26">
        <v>7</v>
      </c>
      <c r="C16" s="26">
        <v>47.3322</v>
      </c>
      <c r="D16" s="26">
        <v>47.694899999999997</v>
      </c>
      <c r="E16" s="26">
        <v>57.751800000000003</v>
      </c>
      <c r="F16" s="26">
        <v>52.031300000000002</v>
      </c>
      <c r="G16" s="26">
        <v>59.174899999999987</v>
      </c>
      <c r="H16" s="26">
        <v>60.001399999999997</v>
      </c>
      <c r="I16" s="26">
        <v>60.089499999999987</v>
      </c>
      <c r="J16" s="26">
        <v>49.059100000000001</v>
      </c>
      <c r="K16" s="26">
        <v>34.661200000000001</v>
      </c>
      <c r="L16" s="26">
        <v>55.390500000000003</v>
      </c>
      <c r="M16" s="26">
        <v>68.836600000000004</v>
      </c>
      <c r="N16" s="26">
        <v>65.712800000000001</v>
      </c>
      <c r="O16" s="26">
        <v>45.190600000000003</v>
      </c>
      <c r="P16" s="26">
        <v>54.141399999999997</v>
      </c>
      <c r="Q16" s="26">
        <v>39.120600000000003</v>
      </c>
      <c r="R16" s="26">
        <v>10.965999999999999</v>
      </c>
      <c r="S16" s="26">
        <v>25.929600000000001</v>
      </c>
      <c r="T16" s="26">
        <v>21.691800000000001</v>
      </c>
      <c r="U16" s="26">
        <v>60.904100000000007</v>
      </c>
      <c r="V16" s="26">
        <v>63.978400000000001</v>
      </c>
      <c r="W16" s="26">
        <v>33.609900000000003</v>
      </c>
      <c r="X16" s="26">
        <v>50.718899999999998</v>
      </c>
      <c r="Y16" s="26">
        <v>61.009500000000003</v>
      </c>
      <c r="Z16" s="26">
        <v>66.777699999999996</v>
      </c>
      <c r="AA16" s="26">
        <v>61.572400000000002</v>
      </c>
      <c r="AB16" s="26">
        <v>35.706200000000003</v>
      </c>
      <c r="AC16" s="26">
        <v>61.802399999999999</v>
      </c>
      <c r="AD16" s="26">
        <v>55.692</v>
      </c>
      <c r="AE16" s="26">
        <v>48.654400000000003</v>
      </c>
      <c r="AF16" s="26">
        <v>48.485999999999997</v>
      </c>
      <c r="AG16" s="26">
        <v>41.273000000000003</v>
      </c>
      <c r="AH16" s="26">
        <v>59.216700000000003</v>
      </c>
      <c r="AI16" s="26">
        <v>50.935399999999987</v>
      </c>
      <c r="AJ16" s="26">
        <v>58.815700000000007</v>
      </c>
      <c r="AK16" s="26">
        <v>54.130100000000013</v>
      </c>
      <c r="AL16" s="26">
        <v>51.760599999999997</v>
      </c>
      <c r="AM16" s="26">
        <v>37.448900000000002</v>
      </c>
      <c r="AN16" s="26">
        <v>64.147300000000001</v>
      </c>
      <c r="AO16" s="26">
        <v>53.506799999999998</v>
      </c>
      <c r="AP16" s="26">
        <v>67.951799999999992</v>
      </c>
      <c r="AQ16" s="26">
        <v>64.049800000000005</v>
      </c>
      <c r="AR16" s="26">
        <v>47.667499999999997</v>
      </c>
      <c r="AS16" s="26">
        <v>69.0886</v>
      </c>
      <c r="AT16" s="26">
        <v>40.7331</v>
      </c>
      <c r="AU16" s="26">
        <v>70.761600000000001</v>
      </c>
      <c r="AV16" s="26">
        <v>51.910699999999999</v>
      </c>
      <c r="AW16" s="26">
        <v>73.888199999999998</v>
      </c>
      <c r="AX16" s="26">
        <v>45.439399999999999</v>
      </c>
      <c r="AY16" s="26">
        <v>66.550200000000004</v>
      </c>
      <c r="AZ16" s="26">
        <v>52.779600000000002</v>
      </c>
      <c r="BA16" s="26">
        <v>62.340499999999999</v>
      </c>
      <c r="BB16" s="26">
        <v>62.691000000000003</v>
      </c>
      <c r="BC16" s="26">
        <v>57.082299999999996</v>
      </c>
      <c r="BD16" s="26">
        <v>27.6816</v>
      </c>
      <c r="BE16" s="26">
        <v>60.242199999999997</v>
      </c>
      <c r="BF16" s="26">
        <v>38.675400000000003</v>
      </c>
      <c r="BG16" s="26">
        <v>31.7699</v>
      </c>
      <c r="BH16" s="26">
        <v>42.546399999999998</v>
      </c>
      <c r="BI16" s="26">
        <v>60.997999999999998</v>
      </c>
      <c r="BJ16" s="26">
        <v>49.678899999999999</v>
      </c>
      <c r="BK16" s="26">
        <v>56.024500000000003</v>
      </c>
      <c r="BL16" s="26">
        <v>57.443199999999997</v>
      </c>
      <c r="BM16" s="26">
        <v>35.4955</v>
      </c>
      <c r="BN16" s="26">
        <v>33.346400000000003</v>
      </c>
      <c r="BO16" s="26">
        <v>41.021000000000001</v>
      </c>
      <c r="BP16" s="26">
        <v>64.569100000000006</v>
      </c>
      <c r="BQ16" s="26">
        <v>63.438399999999987</v>
      </c>
      <c r="BR16" s="26">
        <v>55.482300000000002</v>
      </c>
      <c r="BS16" s="26">
        <v>27.2988</v>
      </c>
      <c r="BT16" s="26">
        <v>46.852700000000013</v>
      </c>
      <c r="BU16" s="26">
        <v>67.836799999999997</v>
      </c>
      <c r="BV16" s="26">
        <v>64.907899999999998</v>
      </c>
      <c r="BW16" s="26">
        <v>57.340500000000013</v>
      </c>
      <c r="BX16" s="26">
        <v>66.253399999999999</v>
      </c>
      <c r="BY16" s="26">
        <v>63.098599999999998</v>
      </c>
      <c r="BZ16" s="26">
        <v>53.494500000000002</v>
      </c>
      <c r="CA16" s="26">
        <v>74.248099999999994</v>
      </c>
      <c r="CB16" s="26">
        <v>48.4709</v>
      </c>
      <c r="CC16" s="26">
        <v>62.075599999999987</v>
      </c>
      <c r="CD16" s="26">
        <v>49.619199999999999</v>
      </c>
      <c r="CE16" s="26">
        <v>59.740200000000002</v>
      </c>
      <c r="CF16" s="26">
        <v>52.450200000000002</v>
      </c>
      <c r="CG16" s="26">
        <v>65.750299999999996</v>
      </c>
      <c r="CH16" s="26">
        <v>63.048800000000007</v>
      </c>
      <c r="CI16" s="26">
        <v>33.026699999999998</v>
      </c>
      <c r="CJ16" s="26">
        <v>59.152800000000013</v>
      </c>
      <c r="CK16" s="26">
        <v>43.311100000000003</v>
      </c>
      <c r="CL16" s="26">
        <v>64.569100000000006</v>
      </c>
      <c r="CM16" s="26">
        <v>49.171700000000001</v>
      </c>
      <c r="CN16" s="26">
        <v>45.144799999999996</v>
      </c>
      <c r="CO16" s="26">
        <v>47.440199999999997</v>
      </c>
      <c r="CP16" s="26">
        <v>72.6524</v>
      </c>
      <c r="CQ16" s="26">
        <v>24.832799999999999</v>
      </c>
      <c r="CR16" s="26">
        <v>37.661299999999997</v>
      </c>
      <c r="CS16" s="26">
        <v>59.608899999999998</v>
      </c>
      <c r="CT16" s="26">
        <v>63.145400000000002</v>
      </c>
      <c r="CU16" s="26">
        <v>37.046500000000002</v>
      </c>
      <c r="CV16" s="26">
        <v>61.136500000000012</v>
      </c>
      <c r="CW16" s="26">
        <v>41.177500000000002</v>
      </c>
      <c r="CX16" s="26">
        <v>24.709499999999998</v>
      </c>
      <c r="CY16" s="26">
        <v>73.296599999999998</v>
      </c>
      <c r="CZ16" s="26">
        <v>48.702599999999997</v>
      </c>
      <c r="DA16" s="26">
        <v>73.9589</v>
      </c>
      <c r="DB16" s="26">
        <v>54.323300000000003</v>
      </c>
      <c r="DC16" s="26">
        <v>26.721900000000002</v>
      </c>
      <c r="DD16" s="26">
        <v>52.255200000000002</v>
      </c>
      <c r="DE16" s="26">
        <v>40.296999999999997</v>
      </c>
      <c r="DF16" s="26">
        <v>40.359099999999998</v>
      </c>
      <c r="DG16" s="26">
        <v>65.152000000000001</v>
      </c>
      <c r="DH16" s="26">
        <v>69.726799999999997</v>
      </c>
      <c r="DI16" s="26">
        <v>45.798699999999997</v>
      </c>
      <c r="DJ16" s="26">
        <v>50.490499999999997</v>
      </c>
      <c r="DK16" s="26">
        <v>62.800699999999999</v>
      </c>
      <c r="DL16" s="26">
        <v>55.170099999999998</v>
      </c>
      <c r="DM16" s="26">
        <v>63.277000000000008</v>
      </c>
      <c r="DN16" s="26">
        <v>70.115899999999996</v>
      </c>
      <c r="DO16" s="26">
        <v>62.075899999999997</v>
      </c>
      <c r="DP16" s="26">
        <v>43.034100000000002</v>
      </c>
      <c r="DQ16" s="26">
        <v>48.381900000000002</v>
      </c>
      <c r="DR16" s="26">
        <v>47.262500000000003</v>
      </c>
      <c r="DS16" s="26">
        <v>26.492699999999999</v>
      </c>
      <c r="DT16" s="26">
        <v>27.686</v>
      </c>
      <c r="DU16" s="26">
        <v>46.597000000000001</v>
      </c>
      <c r="DV16" s="26">
        <v>24.112300000000001</v>
      </c>
      <c r="DW16" s="26">
        <v>51.859936290322551</v>
      </c>
      <c r="DX16" s="17">
        <v>6430.6320999999962</v>
      </c>
    </row>
    <row r="17" spans="1:128" x14ac:dyDescent="0.25">
      <c r="A17" s="24">
        <v>16</v>
      </c>
      <c r="B17" s="26">
        <v>7.5</v>
      </c>
      <c r="C17" s="26">
        <v>56.254199999999997</v>
      </c>
      <c r="D17" s="26">
        <v>57.343800000000002</v>
      </c>
      <c r="E17" s="26">
        <v>68.935500000000005</v>
      </c>
      <c r="F17" s="26">
        <v>60.7727</v>
      </c>
      <c r="G17" s="26">
        <v>77.459500000000006</v>
      </c>
      <c r="H17" s="26">
        <v>77.590400000000002</v>
      </c>
      <c r="I17" s="26">
        <v>77.063400000000001</v>
      </c>
      <c r="J17" s="26">
        <v>62.190800000000003</v>
      </c>
      <c r="K17" s="26">
        <v>43.3185</v>
      </c>
      <c r="L17" s="26">
        <v>67.491599999999991</v>
      </c>
      <c r="M17" s="26">
        <v>86.959100000000007</v>
      </c>
      <c r="N17" s="26">
        <v>82.047499999999999</v>
      </c>
      <c r="O17" s="26">
        <v>62.553199999999997</v>
      </c>
      <c r="P17" s="26">
        <v>67.246300000000005</v>
      </c>
      <c r="Q17" s="26">
        <v>46.913600000000002</v>
      </c>
      <c r="R17" s="26">
        <v>14.7418</v>
      </c>
      <c r="S17" s="26">
        <v>34.495399999999997</v>
      </c>
      <c r="T17" s="26">
        <v>23.375599999999999</v>
      </c>
      <c r="U17" s="26">
        <v>79.025000000000006</v>
      </c>
      <c r="V17" s="26">
        <v>80.03479999999999</v>
      </c>
      <c r="W17" s="26">
        <v>42.268599999999999</v>
      </c>
      <c r="X17" s="26">
        <v>61.834800000000001</v>
      </c>
      <c r="Y17" s="26">
        <v>74.008399999999995</v>
      </c>
      <c r="Z17" s="26">
        <v>83.336799999999997</v>
      </c>
      <c r="AA17" s="26">
        <v>67.346499999999992</v>
      </c>
      <c r="AB17" s="26">
        <v>45.908000000000001</v>
      </c>
      <c r="AC17" s="26">
        <v>78.395400000000009</v>
      </c>
      <c r="AD17" s="26">
        <v>73.931399999999996</v>
      </c>
      <c r="AE17" s="26">
        <v>66.848700000000008</v>
      </c>
      <c r="AF17" s="26">
        <v>60.101999999999997</v>
      </c>
      <c r="AG17" s="26">
        <v>51.081699999999998</v>
      </c>
      <c r="AH17" s="26">
        <v>77.512599999999992</v>
      </c>
      <c r="AI17" s="26">
        <v>64.246099999999998</v>
      </c>
      <c r="AJ17" s="26">
        <v>73.8245</v>
      </c>
      <c r="AK17" s="26">
        <v>67.699600000000004</v>
      </c>
      <c r="AL17" s="26">
        <v>62.926499999999997</v>
      </c>
      <c r="AM17" s="26">
        <v>44.584000000000003</v>
      </c>
      <c r="AN17" s="26">
        <v>82.431899999999999</v>
      </c>
      <c r="AO17" s="26">
        <v>70.659000000000006</v>
      </c>
      <c r="AP17" s="26">
        <v>83.895799999999994</v>
      </c>
      <c r="AQ17" s="26">
        <v>79.914700000000011</v>
      </c>
      <c r="AR17" s="26">
        <v>65.861699999999999</v>
      </c>
      <c r="AS17" s="26">
        <v>86.486599999999996</v>
      </c>
      <c r="AT17" s="26">
        <v>47.274500000000003</v>
      </c>
      <c r="AU17" s="26">
        <v>88.493499999999997</v>
      </c>
      <c r="AV17" s="26">
        <v>66.447699999999998</v>
      </c>
      <c r="AW17" s="26">
        <v>92.025900000000007</v>
      </c>
      <c r="AX17" s="26">
        <v>56.532700000000013</v>
      </c>
      <c r="AY17" s="26">
        <v>84.823499999999996</v>
      </c>
      <c r="AZ17" s="26">
        <v>66.303899999999999</v>
      </c>
      <c r="BA17" s="26">
        <v>73.382800000000003</v>
      </c>
      <c r="BB17" s="26">
        <v>80.9529</v>
      </c>
      <c r="BC17" s="26">
        <v>75.187700000000007</v>
      </c>
      <c r="BD17" s="26">
        <v>32.7136</v>
      </c>
      <c r="BE17" s="26">
        <v>78.42519999999999</v>
      </c>
      <c r="BF17" s="26">
        <v>47.8812</v>
      </c>
      <c r="BG17" s="26">
        <v>26.115200000000002</v>
      </c>
      <c r="BH17" s="26">
        <v>49.071199999999997</v>
      </c>
      <c r="BI17" s="26">
        <v>79.092200000000005</v>
      </c>
      <c r="BJ17" s="26">
        <v>58.601000000000013</v>
      </c>
      <c r="BK17" s="26">
        <v>70.738299999999995</v>
      </c>
      <c r="BL17" s="26">
        <v>73.040999999999997</v>
      </c>
      <c r="BM17" s="26">
        <v>44.270800000000001</v>
      </c>
      <c r="BN17" s="26">
        <v>39.482300000000002</v>
      </c>
      <c r="BO17" s="26">
        <v>55.718200000000003</v>
      </c>
      <c r="BP17" s="26">
        <v>78.116</v>
      </c>
      <c r="BQ17" s="26">
        <v>81.835899999999995</v>
      </c>
      <c r="BR17" s="26">
        <v>69.1935</v>
      </c>
      <c r="BS17" s="26">
        <v>33.326000000000001</v>
      </c>
      <c r="BT17" s="26">
        <v>60.011299999999999</v>
      </c>
      <c r="BU17" s="26">
        <v>85.208600000000004</v>
      </c>
      <c r="BV17" s="26">
        <v>78.477400000000003</v>
      </c>
      <c r="BW17" s="26">
        <v>74.52109999999999</v>
      </c>
      <c r="BX17" s="26">
        <v>82.140899999999988</v>
      </c>
      <c r="BY17" s="26">
        <v>80.726900000000001</v>
      </c>
      <c r="BZ17" s="26">
        <v>67.007199999999997</v>
      </c>
      <c r="CA17" s="26">
        <v>91.217700000000008</v>
      </c>
      <c r="CB17" s="26">
        <v>60.185400000000001</v>
      </c>
      <c r="CC17" s="26">
        <v>78.4495</v>
      </c>
      <c r="CD17" s="26">
        <v>61.767499999999998</v>
      </c>
      <c r="CE17" s="26">
        <v>69.3446</v>
      </c>
      <c r="CF17" s="26">
        <v>67.985399999999998</v>
      </c>
      <c r="CG17" s="26">
        <v>84.102699999999999</v>
      </c>
      <c r="CH17" s="26">
        <v>81.333399999999997</v>
      </c>
      <c r="CI17" s="26">
        <v>38.964399999999998</v>
      </c>
      <c r="CJ17" s="26">
        <v>74.926599999999993</v>
      </c>
      <c r="CK17" s="26">
        <v>52.529899999999998</v>
      </c>
      <c r="CL17" s="26">
        <v>78.116</v>
      </c>
      <c r="CM17" s="26">
        <v>59.577000000000012</v>
      </c>
      <c r="CN17" s="26">
        <v>53.974900000000012</v>
      </c>
      <c r="CO17" s="26">
        <v>59.6599</v>
      </c>
      <c r="CP17" s="26">
        <v>90.22590000000001</v>
      </c>
      <c r="CQ17" s="26">
        <v>33.585500000000003</v>
      </c>
      <c r="CR17" s="26">
        <v>42.671100000000003</v>
      </c>
      <c r="CS17" s="26">
        <v>77.780599999999993</v>
      </c>
      <c r="CT17" s="26">
        <v>79.078099999999992</v>
      </c>
      <c r="CU17" s="26">
        <v>49.789299999999997</v>
      </c>
      <c r="CV17" s="26">
        <v>76.610799999999998</v>
      </c>
      <c r="CW17" s="26">
        <v>47.242400000000004</v>
      </c>
      <c r="CX17" s="26">
        <v>31.110199999999999</v>
      </c>
      <c r="CY17" s="26">
        <v>88.816199999999995</v>
      </c>
      <c r="CZ17" s="26">
        <v>57.523000000000003</v>
      </c>
      <c r="DA17" s="26">
        <v>90.490099999999998</v>
      </c>
      <c r="DB17" s="26">
        <v>64.756699999999995</v>
      </c>
      <c r="DC17" s="26">
        <v>31.679600000000001</v>
      </c>
      <c r="DD17" s="26">
        <v>60.593300000000013</v>
      </c>
      <c r="DE17" s="26">
        <v>47.703299999999999</v>
      </c>
      <c r="DF17" s="26">
        <v>52.745800000000003</v>
      </c>
      <c r="DG17" s="26">
        <v>83.312399999999997</v>
      </c>
      <c r="DH17" s="26">
        <v>87.173000000000002</v>
      </c>
      <c r="DI17" s="26">
        <v>59.032600000000002</v>
      </c>
      <c r="DJ17" s="26">
        <v>67.176899999999989</v>
      </c>
      <c r="DK17" s="26">
        <v>74.746800000000007</v>
      </c>
      <c r="DL17" s="26">
        <v>68.603999999999999</v>
      </c>
      <c r="DM17" s="26">
        <v>80.383700000000005</v>
      </c>
      <c r="DN17" s="26">
        <v>88.547399999999996</v>
      </c>
      <c r="DO17" s="26">
        <v>78.553799999999995</v>
      </c>
      <c r="DP17" s="26">
        <v>51.782700000000013</v>
      </c>
      <c r="DQ17" s="26">
        <v>58.792299999999997</v>
      </c>
      <c r="DR17" s="26">
        <v>64.677799999999991</v>
      </c>
      <c r="DS17" s="26">
        <v>35.572800000000001</v>
      </c>
      <c r="DT17" s="26">
        <v>28.491900000000001</v>
      </c>
      <c r="DU17" s="26">
        <v>54.325699999999998</v>
      </c>
      <c r="DV17" s="26">
        <v>27.979900000000001</v>
      </c>
      <c r="DW17" s="26">
        <v>64.610875806451659</v>
      </c>
      <c r="DX17" s="17">
        <v>8011.7486000000054</v>
      </c>
    </row>
    <row r="18" spans="1:128" x14ac:dyDescent="0.25">
      <c r="A18" s="24">
        <v>17</v>
      </c>
      <c r="B18" s="26">
        <v>8</v>
      </c>
      <c r="C18" s="26">
        <v>66.919300000000007</v>
      </c>
      <c r="D18" s="26">
        <v>70.144899999999993</v>
      </c>
      <c r="E18" s="26">
        <v>82.297899999999998</v>
      </c>
      <c r="F18" s="26">
        <v>71.257099999999994</v>
      </c>
      <c r="G18" s="26">
        <v>99.230199999999996</v>
      </c>
      <c r="H18" s="26">
        <v>98.153800000000004</v>
      </c>
      <c r="I18" s="26">
        <v>98.766300000000001</v>
      </c>
      <c r="J18" s="26">
        <v>70.831800000000001</v>
      </c>
      <c r="K18" s="26">
        <v>52.595199999999998</v>
      </c>
      <c r="L18" s="26">
        <v>83.6417</v>
      </c>
      <c r="M18" s="26">
        <v>100</v>
      </c>
      <c r="N18" s="26">
        <v>100</v>
      </c>
      <c r="O18" s="26">
        <v>83.228700000000003</v>
      </c>
      <c r="P18" s="26">
        <v>85.752600000000001</v>
      </c>
      <c r="Q18" s="26">
        <v>57.263599999999997</v>
      </c>
      <c r="R18" s="26">
        <v>21.052399999999999</v>
      </c>
      <c r="S18" s="26">
        <v>44.433100000000003</v>
      </c>
      <c r="T18" s="26">
        <v>25.025300000000001</v>
      </c>
      <c r="U18" s="26">
        <v>100</v>
      </c>
      <c r="V18" s="26">
        <v>98.9529</v>
      </c>
      <c r="W18" s="26">
        <v>51.2667</v>
      </c>
      <c r="X18" s="26">
        <v>74.795000000000002</v>
      </c>
      <c r="Y18" s="26">
        <v>89.876100000000008</v>
      </c>
      <c r="Z18" s="26">
        <v>100</v>
      </c>
      <c r="AA18" s="26">
        <v>85.308599999999998</v>
      </c>
      <c r="AB18" s="26">
        <v>56.828599999999987</v>
      </c>
      <c r="AC18" s="26">
        <v>99.6464</v>
      </c>
      <c r="AD18" s="26">
        <v>94.648099999999999</v>
      </c>
      <c r="AE18" s="26">
        <v>88.00139999999999</v>
      </c>
      <c r="AF18" s="26">
        <v>76.263400000000004</v>
      </c>
      <c r="AG18" s="26">
        <v>63.396700000000003</v>
      </c>
      <c r="AH18" s="26">
        <v>99.294499999999999</v>
      </c>
      <c r="AI18" s="26">
        <v>82.191699999999997</v>
      </c>
      <c r="AJ18" s="26">
        <v>92.544499999999999</v>
      </c>
      <c r="AK18" s="26">
        <v>83.883600000000001</v>
      </c>
      <c r="AL18" s="26">
        <v>71.907299999999992</v>
      </c>
      <c r="AM18" s="26">
        <v>53.867699999999999</v>
      </c>
      <c r="AN18" s="26">
        <v>100</v>
      </c>
      <c r="AO18" s="26">
        <v>89.362499999999997</v>
      </c>
      <c r="AP18" s="26">
        <v>100</v>
      </c>
      <c r="AQ18" s="26">
        <v>97.973799999999997</v>
      </c>
      <c r="AR18" s="26">
        <v>87.542000000000002</v>
      </c>
      <c r="AS18" s="26">
        <v>86.486599999999996</v>
      </c>
      <c r="AT18" s="26">
        <v>56.793999999999997</v>
      </c>
      <c r="AU18" s="26">
        <v>100</v>
      </c>
      <c r="AV18" s="26">
        <v>85.213799999999992</v>
      </c>
      <c r="AW18" s="26">
        <v>100</v>
      </c>
      <c r="AX18" s="26">
        <v>66.460599999999999</v>
      </c>
      <c r="AY18" s="26">
        <v>100</v>
      </c>
      <c r="AZ18" s="26">
        <v>82.442700000000002</v>
      </c>
      <c r="BA18" s="26">
        <v>79.751899999999992</v>
      </c>
      <c r="BB18" s="26">
        <v>100</v>
      </c>
      <c r="BC18" s="26">
        <v>96.705100000000002</v>
      </c>
      <c r="BD18" s="26">
        <v>39.452500000000001</v>
      </c>
      <c r="BE18" s="26">
        <v>98.307199999999995</v>
      </c>
      <c r="BF18" s="26">
        <v>60.294499999999992</v>
      </c>
      <c r="BG18" s="26">
        <v>29.974399999999999</v>
      </c>
      <c r="BH18" s="26">
        <v>57.941899999999997</v>
      </c>
      <c r="BI18" s="26">
        <v>98.959900000000005</v>
      </c>
      <c r="BJ18" s="26">
        <v>69.266099999999994</v>
      </c>
      <c r="BK18" s="26">
        <v>88.855599999999995</v>
      </c>
      <c r="BL18" s="26">
        <v>90.560900000000004</v>
      </c>
      <c r="BM18" s="26">
        <v>53.811699999999988</v>
      </c>
      <c r="BN18" s="26">
        <v>45.880099999999999</v>
      </c>
      <c r="BO18" s="26">
        <v>70.861599999999996</v>
      </c>
      <c r="BP18" s="26">
        <v>92.561499999999995</v>
      </c>
      <c r="BQ18" s="26">
        <v>100</v>
      </c>
      <c r="BR18" s="26">
        <v>87.129199999999997</v>
      </c>
      <c r="BS18" s="26">
        <v>41.812199999999997</v>
      </c>
      <c r="BT18" s="26">
        <v>75.252899999999997</v>
      </c>
      <c r="BU18" s="26">
        <v>100</v>
      </c>
      <c r="BV18" s="26">
        <v>94.6614</v>
      </c>
      <c r="BW18" s="26">
        <v>93.942000000000007</v>
      </c>
      <c r="BX18" s="26">
        <v>100</v>
      </c>
      <c r="BY18" s="26">
        <v>100</v>
      </c>
      <c r="BZ18" s="26">
        <v>82.010300000000001</v>
      </c>
      <c r="CA18" s="26">
        <v>100</v>
      </c>
      <c r="CB18" s="26">
        <v>75.368300000000005</v>
      </c>
      <c r="CC18" s="26">
        <v>99.887799999999999</v>
      </c>
      <c r="CD18" s="26">
        <v>77.079399999999993</v>
      </c>
      <c r="CE18" s="26">
        <v>82.725499999999997</v>
      </c>
      <c r="CF18" s="26">
        <v>86.633099999999999</v>
      </c>
      <c r="CG18" s="26">
        <v>100</v>
      </c>
      <c r="CH18" s="26">
        <v>100</v>
      </c>
      <c r="CI18" s="26">
        <v>45.305900000000001</v>
      </c>
      <c r="CJ18" s="26">
        <v>93.682600000000008</v>
      </c>
      <c r="CK18" s="26">
        <v>65.914900000000003</v>
      </c>
      <c r="CL18" s="26">
        <v>94.2774</v>
      </c>
      <c r="CM18" s="26">
        <v>75.183300000000003</v>
      </c>
      <c r="CN18" s="26">
        <v>51.250999999999998</v>
      </c>
      <c r="CO18" s="26">
        <v>73.365700000000004</v>
      </c>
      <c r="CP18" s="26">
        <v>100</v>
      </c>
      <c r="CQ18" s="26">
        <v>44.081200000000003</v>
      </c>
      <c r="CR18" s="26">
        <v>49.671799999999998</v>
      </c>
      <c r="CS18" s="26">
        <v>98.886700000000005</v>
      </c>
      <c r="CT18" s="26">
        <v>98.061099999999996</v>
      </c>
      <c r="CU18" s="26">
        <v>54.990099999999998</v>
      </c>
      <c r="CV18" s="26">
        <v>93.601299999999995</v>
      </c>
      <c r="CW18" s="26">
        <v>53.715999999999987</v>
      </c>
      <c r="CX18" s="26">
        <v>36.631799999999998</v>
      </c>
      <c r="CY18" s="26">
        <v>100</v>
      </c>
      <c r="CZ18" s="26">
        <v>67.257199999999997</v>
      </c>
      <c r="DA18" s="26">
        <v>94.878900000000002</v>
      </c>
      <c r="DB18" s="26">
        <v>77.762600000000006</v>
      </c>
      <c r="DC18" s="26">
        <v>38.567900000000002</v>
      </c>
      <c r="DD18" s="26">
        <v>70.592200000000005</v>
      </c>
      <c r="DE18" s="26">
        <v>57.507399999999997</v>
      </c>
      <c r="DF18" s="26">
        <v>71.604599999999991</v>
      </c>
      <c r="DG18" s="26">
        <v>100</v>
      </c>
      <c r="DH18" s="26">
        <v>100</v>
      </c>
      <c r="DI18" s="26">
        <v>77.224299999999999</v>
      </c>
      <c r="DJ18" s="26">
        <v>88.205199999999991</v>
      </c>
      <c r="DK18" s="26">
        <v>91.254900000000006</v>
      </c>
      <c r="DL18" s="26">
        <v>84.652500000000003</v>
      </c>
      <c r="DM18" s="26">
        <v>99.642899999999997</v>
      </c>
      <c r="DN18" s="26">
        <v>100</v>
      </c>
      <c r="DO18" s="26">
        <v>99.999899999999997</v>
      </c>
      <c r="DP18" s="26">
        <v>65.100000000000009</v>
      </c>
      <c r="DQ18" s="26">
        <v>70.833399999999997</v>
      </c>
      <c r="DR18" s="26">
        <v>85.579300000000003</v>
      </c>
      <c r="DS18" s="26">
        <v>46.0794</v>
      </c>
      <c r="DT18" s="26">
        <v>32.395600000000002</v>
      </c>
      <c r="DU18" s="26">
        <v>64.502700000000004</v>
      </c>
      <c r="DV18" s="26">
        <v>30.346</v>
      </c>
      <c r="DW18" s="26">
        <v>78.530950000000018</v>
      </c>
      <c r="DX18" s="17">
        <v>9737.837800000003</v>
      </c>
    </row>
    <row r="19" spans="1:128" x14ac:dyDescent="0.25">
      <c r="A19" s="24">
        <v>18</v>
      </c>
      <c r="B19" s="26">
        <v>8.5</v>
      </c>
      <c r="C19" s="26">
        <v>79.220399999999998</v>
      </c>
      <c r="D19" s="26">
        <v>84.796199999999999</v>
      </c>
      <c r="E19" s="26">
        <v>97.705299999999994</v>
      </c>
      <c r="F19" s="26">
        <v>77.756900000000002</v>
      </c>
      <c r="G19" s="26">
        <v>100</v>
      </c>
      <c r="H19" s="26">
        <v>100</v>
      </c>
      <c r="I19" s="26">
        <v>100</v>
      </c>
      <c r="J19" s="26">
        <v>69.402000000000001</v>
      </c>
      <c r="K19" s="26">
        <v>62.834200000000003</v>
      </c>
      <c r="L19" s="26">
        <v>100</v>
      </c>
      <c r="M19" s="26">
        <v>100</v>
      </c>
      <c r="N19" s="26">
        <v>100</v>
      </c>
      <c r="O19" s="26">
        <v>100</v>
      </c>
      <c r="P19" s="26">
        <v>100</v>
      </c>
      <c r="Q19" s="26">
        <v>54.379800000000003</v>
      </c>
      <c r="R19" s="26">
        <v>11.8299</v>
      </c>
      <c r="S19" s="26">
        <v>56.192300000000003</v>
      </c>
      <c r="T19" s="26">
        <v>26.390999999999998</v>
      </c>
      <c r="U19" s="26">
        <v>100</v>
      </c>
      <c r="V19" s="26">
        <v>100</v>
      </c>
      <c r="W19" s="26">
        <v>61.714799999999997</v>
      </c>
      <c r="X19" s="26">
        <v>87.252600000000001</v>
      </c>
      <c r="Y19" s="26">
        <v>100</v>
      </c>
      <c r="Z19" s="26">
        <v>100</v>
      </c>
      <c r="AA19" s="26">
        <v>100</v>
      </c>
      <c r="AB19" s="26">
        <v>70.962899999999991</v>
      </c>
      <c r="AC19" s="26">
        <v>100</v>
      </c>
      <c r="AD19" s="26">
        <v>100</v>
      </c>
      <c r="AE19" s="26">
        <v>100</v>
      </c>
      <c r="AF19" s="26">
        <v>93.825599999999994</v>
      </c>
      <c r="AG19" s="26">
        <v>78.691199999999995</v>
      </c>
      <c r="AH19" s="26">
        <v>100</v>
      </c>
      <c r="AI19" s="26">
        <v>100</v>
      </c>
      <c r="AJ19" s="26">
        <v>100</v>
      </c>
      <c r="AK19" s="26">
        <v>100</v>
      </c>
      <c r="AL19" s="26">
        <v>86.974099999999993</v>
      </c>
      <c r="AM19" s="26">
        <v>64.974600000000009</v>
      </c>
      <c r="AN19" s="26">
        <v>100</v>
      </c>
      <c r="AO19" s="26">
        <v>100</v>
      </c>
      <c r="AP19" s="26">
        <v>100</v>
      </c>
      <c r="AQ19" s="26">
        <v>100</v>
      </c>
      <c r="AR19" s="26">
        <v>100</v>
      </c>
      <c r="AS19" s="26">
        <v>92.377099999999999</v>
      </c>
      <c r="AT19" s="26">
        <v>67.406600000000012</v>
      </c>
      <c r="AU19" s="26">
        <v>100</v>
      </c>
      <c r="AV19" s="26">
        <v>100</v>
      </c>
      <c r="AW19" s="26">
        <v>100</v>
      </c>
      <c r="AX19" s="26">
        <v>79.333500000000001</v>
      </c>
      <c r="AY19" s="26">
        <v>100</v>
      </c>
      <c r="AZ19" s="26">
        <v>100</v>
      </c>
      <c r="BA19" s="26">
        <v>98.218199999999996</v>
      </c>
      <c r="BB19" s="26">
        <v>100</v>
      </c>
      <c r="BC19" s="26">
        <v>100</v>
      </c>
      <c r="BD19" s="26">
        <v>46.683799999999998</v>
      </c>
      <c r="BE19" s="26">
        <v>100</v>
      </c>
      <c r="BF19" s="26">
        <v>75.02640000000001</v>
      </c>
      <c r="BG19" s="26">
        <v>38.671100000000003</v>
      </c>
      <c r="BH19" s="26">
        <v>64.802599999999998</v>
      </c>
      <c r="BI19" s="26">
        <v>100</v>
      </c>
      <c r="BJ19" s="26">
        <v>79.3245</v>
      </c>
      <c r="BK19" s="26">
        <v>100</v>
      </c>
      <c r="BL19" s="26">
        <v>100</v>
      </c>
      <c r="BM19" s="26">
        <v>65.966000000000008</v>
      </c>
      <c r="BN19" s="26">
        <v>54.387500000000003</v>
      </c>
      <c r="BO19" s="26">
        <v>90.891800000000003</v>
      </c>
      <c r="BP19" s="26">
        <v>100</v>
      </c>
      <c r="BQ19" s="26">
        <v>100</v>
      </c>
      <c r="BR19" s="26">
        <v>100</v>
      </c>
      <c r="BS19" s="26">
        <v>52.649299999999997</v>
      </c>
      <c r="BT19" s="26">
        <v>92.771199999999993</v>
      </c>
      <c r="BU19" s="26">
        <v>100</v>
      </c>
      <c r="BV19" s="26">
        <v>100</v>
      </c>
      <c r="BW19" s="26">
        <v>100</v>
      </c>
      <c r="BX19" s="26">
        <v>100</v>
      </c>
      <c r="BY19" s="26">
        <v>100</v>
      </c>
      <c r="BZ19" s="26">
        <v>99.355999999999995</v>
      </c>
      <c r="CA19" s="26">
        <v>100</v>
      </c>
      <c r="CB19" s="26">
        <v>94.062799999999996</v>
      </c>
      <c r="CC19" s="26">
        <v>100</v>
      </c>
      <c r="CD19" s="26">
        <v>94.847099999999998</v>
      </c>
      <c r="CE19" s="26">
        <v>98.189400000000006</v>
      </c>
      <c r="CF19" s="26">
        <v>100</v>
      </c>
      <c r="CG19" s="26">
        <v>100</v>
      </c>
      <c r="CH19" s="26">
        <v>100</v>
      </c>
      <c r="CI19" s="26">
        <v>54.32</v>
      </c>
      <c r="CJ19" s="26">
        <v>100</v>
      </c>
      <c r="CK19" s="26">
        <v>75.554900000000004</v>
      </c>
      <c r="CL19" s="26">
        <v>100</v>
      </c>
      <c r="CM19" s="26">
        <v>88.723700000000008</v>
      </c>
      <c r="CN19" s="26">
        <v>61.737299999999998</v>
      </c>
      <c r="CO19" s="26">
        <v>90.244900000000001</v>
      </c>
      <c r="CP19" s="26">
        <v>100</v>
      </c>
      <c r="CQ19" s="26">
        <v>54.8279</v>
      </c>
      <c r="CR19" s="26">
        <v>57.215899999999998</v>
      </c>
      <c r="CS19" s="26">
        <v>100</v>
      </c>
      <c r="CT19" s="26">
        <v>100</v>
      </c>
      <c r="CU19" s="26">
        <v>74.757900000000006</v>
      </c>
      <c r="CV19" s="26">
        <v>100</v>
      </c>
      <c r="CW19" s="26">
        <v>62.854299999999988</v>
      </c>
      <c r="CX19" s="26">
        <v>43.885300000000001</v>
      </c>
      <c r="CY19" s="26">
        <v>100</v>
      </c>
      <c r="CZ19" s="26">
        <v>79.456699999999998</v>
      </c>
      <c r="DA19" s="26">
        <v>100</v>
      </c>
      <c r="DB19" s="26">
        <v>93.305499999999995</v>
      </c>
      <c r="DC19" s="26">
        <v>45.886500000000012</v>
      </c>
      <c r="DD19" s="26">
        <v>82.904599999999988</v>
      </c>
      <c r="DE19" s="26">
        <v>65.707800000000006</v>
      </c>
      <c r="DF19" s="26">
        <v>91.778099999999995</v>
      </c>
      <c r="DG19" s="26">
        <v>100</v>
      </c>
      <c r="DH19" s="26">
        <v>100</v>
      </c>
      <c r="DI19" s="26">
        <v>89.073700000000002</v>
      </c>
      <c r="DJ19" s="26">
        <v>100</v>
      </c>
      <c r="DK19" s="26">
        <v>100</v>
      </c>
      <c r="DL19" s="26">
        <v>100</v>
      </c>
      <c r="DM19" s="26">
        <v>100</v>
      </c>
      <c r="DN19" s="26">
        <v>100</v>
      </c>
      <c r="DO19" s="26">
        <v>99.999899999999997</v>
      </c>
      <c r="DP19" s="26">
        <v>78.521000000000001</v>
      </c>
      <c r="DQ19" s="26">
        <v>85.939800000000005</v>
      </c>
      <c r="DR19" s="26">
        <v>100</v>
      </c>
      <c r="DS19" s="26">
        <v>57.113700000000001</v>
      </c>
      <c r="DT19" s="26">
        <v>40.258300000000013</v>
      </c>
      <c r="DU19" s="26">
        <v>74.6524</v>
      </c>
      <c r="DV19" s="26">
        <v>33.927999999999997</v>
      </c>
      <c r="DW19" s="26">
        <v>86.552554838709696</v>
      </c>
      <c r="DX19" s="17">
        <v>10732.516799999999</v>
      </c>
    </row>
    <row r="20" spans="1:128" x14ac:dyDescent="0.25">
      <c r="A20" s="24">
        <v>19</v>
      </c>
      <c r="B20" s="26">
        <v>9</v>
      </c>
      <c r="C20" s="26">
        <v>91.741</v>
      </c>
      <c r="D20" s="26">
        <v>100</v>
      </c>
      <c r="E20" s="26">
        <v>100</v>
      </c>
      <c r="F20" s="26">
        <v>85.726500000000001</v>
      </c>
      <c r="G20" s="26">
        <v>100</v>
      </c>
      <c r="H20" s="26">
        <v>100</v>
      </c>
      <c r="I20" s="26">
        <v>100</v>
      </c>
      <c r="J20" s="26">
        <v>90.256299999999996</v>
      </c>
      <c r="K20" s="26">
        <v>70.078199999999995</v>
      </c>
      <c r="L20" s="26">
        <v>100</v>
      </c>
      <c r="M20" s="26">
        <v>100</v>
      </c>
      <c r="N20" s="26">
        <v>100</v>
      </c>
      <c r="O20" s="26">
        <v>100</v>
      </c>
      <c r="P20" s="26">
        <v>100</v>
      </c>
      <c r="Q20" s="26">
        <v>66.812700000000007</v>
      </c>
      <c r="R20" s="26">
        <v>19.735700000000001</v>
      </c>
      <c r="S20" s="26">
        <v>69.4893</v>
      </c>
      <c r="T20" s="26">
        <v>20.2578</v>
      </c>
      <c r="U20" s="26">
        <v>100</v>
      </c>
      <c r="V20" s="26">
        <v>100</v>
      </c>
      <c r="W20" s="26">
        <v>74.8767</v>
      </c>
      <c r="X20" s="26">
        <v>96.955799999999996</v>
      </c>
      <c r="Y20" s="26">
        <v>100</v>
      </c>
      <c r="Z20" s="26">
        <v>100</v>
      </c>
      <c r="AA20" s="26">
        <v>100</v>
      </c>
      <c r="AB20" s="26">
        <v>86.533699999999996</v>
      </c>
      <c r="AC20" s="26">
        <v>100</v>
      </c>
      <c r="AD20" s="26">
        <v>100</v>
      </c>
      <c r="AE20" s="26">
        <v>100</v>
      </c>
      <c r="AF20" s="26">
        <v>100</v>
      </c>
      <c r="AG20" s="26">
        <v>93.236800000000002</v>
      </c>
      <c r="AH20" s="26">
        <v>100</v>
      </c>
      <c r="AI20" s="26">
        <v>100</v>
      </c>
      <c r="AJ20" s="26">
        <v>100</v>
      </c>
      <c r="AK20" s="26">
        <v>100</v>
      </c>
      <c r="AL20" s="26">
        <v>87.619699999999995</v>
      </c>
      <c r="AM20" s="26">
        <v>63.720599999999997</v>
      </c>
      <c r="AN20" s="26">
        <v>100</v>
      </c>
      <c r="AO20" s="26">
        <v>100</v>
      </c>
      <c r="AP20" s="26">
        <v>100</v>
      </c>
      <c r="AQ20" s="26">
        <v>100</v>
      </c>
      <c r="AR20" s="26">
        <v>100</v>
      </c>
      <c r="AS20" s="26">
        <v>92.377099999999999</v>
      </c>
      <c r="AT20" s="26">
        <v>78.9773</v>
      </c>
      <c r="AU20" s="26">
        <v>100</v>
      </c>
      <c r="AV20" s="26">
        <v>100</v>
      </c>
      <c r="AW20" s="26">
        <v>100</v>
      </c>
      <c r="AX20" s="26">
        <v>94.970399999999998</v>
      </c>
      <c r="AY20" s="26">
        <v>100</v>
      </c>
      <c r="AZ20" s="26">
        <v>100</v>
      </c>
      <c r="BA20" s="26">
        <v>100</v>
      </c>
      <c r="BB20" s="26">
        <v>100</v>
      </c>
      <c r="BC20" s="26">
        <v>100</v>
      </c>
      <c r="BD20" s="26">
        <v>56.090300000000013</v>
      </c>
      <c r="BE20" s="26">
        <v>100</v>
      </c>
      <c r="BF20" s="26">
        <v>90.8459</v>
      </c>
      <c r="BG20" s="26">
        <v>48.4268</v>
      </c>
      <c r="BH20" s="26">
        <v>78.562399999999997</v>
      </c>
      <c r="BI20" s="26">
        <v>100</v>
      </c>
      <c r="BJ20" s="26">
        <v>91.343299999999999</v>
      </c>
      <c r="BK20" s="26">
        <v>100</v>
      </c>
      <c r="BL20" s="26">
        <v>100</v>
      </c>
      <c r="BM20" s="26">
        <v>76.531499999999994</v>
      </c>
      <c r="BN20" s="26">
        <v>64.332300000000004</v>
      </c>
      <c r="BO20" s="26">
        <v>100</v>
      </c>
      <c r="BP20" s="26">
        <v>100</v>
      </c>
      <c r="BQ20" s="26">
        <v>100</v>
      </c>
      <c r="BR20" s="26">
        <v>100</v>
      </c>
      <c r="BS20" s="26">
        <v>57.299300000000002</v>
      </c>
      <c r="BT20" s="26">
        <v>100</v>
      </c>
      <c r="BU20" s="26">
        <v>100</v>
      </c>
      <c r="BV20" s="26">
        <v>100</v>
      </c>
      <c r="BW20" s="26">
        <v>100</v>
      </c>
      <c r="BX20" s="26">
        <v>100</v>
      </c>
      <c r="BY20" s="26">
        <v>100</v>
      </c>
      <c r="BZ20" s="26">
        <v>100</v>
      </c>
      <c r="CA20" s="26">
        <v>100</v>
      </c>
      <c r="CB20" s="26">
        <v>100</v>
      </c>
      <c r="CC20" s="26">
        <v>100</v>
      </c>
      <c r="CD20" s="26">
        <v>100</v>
      </c>
      <c r="CE20" s="26">
        <v>100</v>
      </c>
      <c r="CF20" s="26">
        <v>100</v>
      </c>
      <c r="CG20" s="26">
        <v>100</v>
      </c>
      <c r="CH20" s="26">
        <v>100</v>
      </c>
      <c r="CI20" s="26">
        <v>59.811899999999987</v>
      </c>
      <c r="CJ20" s="26">
        <v>100</v>
      </c>
      <c r="CK20" s="26">
        <v>92.114199999999997</v>
      </c>
      <c r="CL20" s="26">
        <v>100</v>
      </c>
      <c r="CM20" s="26">
        <v>94.811999999999998</v>
      </c>
      <c r="CN20" s="26">
        <v>75.5017</v>
      </c>
      <c r="CO20" s="26">
        <v>100</v>
      </c>
      <c r="CP20" s="26">
        <v>100</v>
      </c>
      <c r="CQ20" s="26">
        <v>68.089999999999989</v>
      </c>
      <c r="CR20" s="26">
        <v>67.496200000000002</v>
      </c>
      <c r="CS20" s="26">
        <v>100</v>
      </c>
      <c r="CT20" s="26">
        <v>100</v>
      </c>
      <c r="CU20" s="26">
        <v>97.693899999999999</v>
      </c>
      <c r="CV20" s="26">
        <v>100</v>
      </c>
      <c r="CW20" s="26">
        <v>71.1691</v>
      </c>
      <c r="CX20" s="26">
        <v>51.476200000000013</v>
      </c>
      <c r="CY20" s="26">
        <v>100</v>
      </c>
      <c r="CZ20" s="26">
        <v>91.34020000000001</v>
      </c>
      <c r="DA20" s="26">
        <v>100</v>
      </c>
      <c r="DB20" s="26">
        <v>100</v>
      </c>
      <c r="DC20" s="26">
        <v>52.101399999999998</v>
      </c>
      <c r="DD20" s="26">
        <v>96.754800000000003</v>
      </c>
      <c r="DE20" s="26">
        <v>60.975499999999997</v>
      </c>
      <c r="DF20" s="26">
        <v>100</v>
      </c>
      <c r="DG20" s="26">
        <v>100</v>
      </c>
      <c r="DH20" s="26">
        <v>100</v>
      </c>
      <c r="DI20" s="26">
        <v>100</v>
      </c>
      <c r="DJ20" s="26">
        <v>100</v>
      </c>
      <c r="DK20" s="26">
        <v>100</v>
      </c>
      <c r="DL20" s="26">
        <v>100</v>
      </c>
      <c r="DM20" s="26">
        <v>100</v>
      </c>
      <c r="DN20" s="26">
        <v>100</v>
      </c>
      <c r="DO20" s="26">
        <v>99.999899999999997</v>
      </c>
      <c r="DP20" s="26">
        <v>91.531599999999997</v>
      </c>
      <c r="DQ20" s="26">
        <v>99.999899999999997</v>
      </c>
      <c r="DR20" s="26">
        <v>100</v>
      </c>
      <c r="DS20" s="26">
        <v>71.110700000000008</v>
      </c>
      <c r="DT20" s="26">
        <v>50.0931</v>
      </c>
      <c r="DU20" s="26">
        <v>86.102400000000003</v>
      </c>
      <c r="DV20" s="26">
        <v>35.350099999999998</v>
      </c>
      <c r="DW20" s="26">
        <v>90.809050000000013</v>
      </c>
      <c r="DX20" s="17">
        <v>11260.322200000001</v>
      </c>
    </row>
    <row r="21" spans="1:128" x14ac:dyDescent="0.25">
      <c r="A21" s="24">
        <v>20</v>
      </c>
      <c r="B21" s="26">
        <v>9.5</v>
      </c>
      <c r="C21" s="26">
        <v>100</v>
      </c>
      <c r="D21" s="26">
        <v>100</v>
      </c>
      <c r="E21" s="26">
        <v>100</v>
      </c>
      <c r="F21" s="26">
        <v>81.441699999999997</v>
      </c>
      <c r="G21" s="26">
        <v>100</v>
      </c>
      <c r="H21" s="26">
        <v>100</v>
      </c>
      <c r="I21" s="26">
        <v>100</v>
      </c>
      <c r="J21" s="26">
        <v>100</v>
      </c>
      <c r="K21" s="26">
        <v>83.252499999999998</v>
      </c>
      <c r="L21" s="26">
        <v>100</v>
      </c>
      <c r="M21" s="26">
        <v>100</v>
      </c>
      <c r="N21" s="26">
        <v>100</v>
      </c>
      <c r="O21" s="26">
        <v>100</v>
      </c>
      <c r="P21" s="26">
        <v>100</v>
      </c>
      <c r="Q21" s="26">
        <v>66.552500000000009</v>
      </c>
      <c r="R21" s="26">
        <v>29.735900000000001</v>
      </c>
      <c r="S21" s="26">
        <v>84.513599999999997</v>
      </c>
      <c r="T21" s="26">
        <v>23.7867</v>
      </c>
      <c r="U21" s="26">
        <v>100</v>
      </c>
      <c r="V21" s="26">
        <v>100</v>
      </c>
      <c r="W21" s="26">
        <v>87.551000000000002</v>
      </c>
      <c r="X21" s="26">
        <v>100</v>
      </c>
      <c r="Y21" s="26">
        <v>100</v>
      </c>
      <c r="Z21" s="26">
        <v>100</v>
      </c>
      <c r="AA21" s="26">
        <v>100</v>
      </c>
      <c r="AB21" s="26">
        <v>100</v>
      </c>
      <c r="AC21" s="26">
        <v>100</v>
      </c>
      <c r="AD21" s="26">
        <v>100</v>
      </c>
      <c r="AE21" s="26">
        <v>100</v>
      </c>
      <c r="AF21" s="26">
        <v>100</v>
      </c>
      <c r="AG21" s="26">
        <v>100</v>
      </c>
      <c r="AH21" s="26">
        <v>100</v>
      </c>
      <c r="AI21" s="26">
        <v>100</v>
      </c>
      <c r="AJ21" s="26">
        <v>100</v>
      </c>
      <c r="AK21" s="26">
        <v>100</v>
      </c>
      <c r="AL21" s="26">
        <v>100</v>
      </c>
      <c r="AM21" s="26">
        <v>73.090800000000002</v>
      </c>
      <c r="AN21" s="26">
        <v>100</v>
      </c>
      <c r="AO21" s="26">
        <v>100</v>
      </c>
      <c r="AP21" s="26">
        <v>100</v>
      </c>
      <c r="AQ21" s="26">
        <v>100</v>
      </c>
      <c r="AR21" s="26">
        <v>100</v>
      </c>
      <c r="AS21" s="26">
        <v>99.999899999999997</v>
      </c>
      <c r="AT21" s="26">
        <v>84.411899999999989</v>
      </c>
      <c r="AU21" s="26">
        <v>100</v>
      </c>
      <c r="AV21" s="26">
        <v>100</v>
      </c>
      <c r="AW21" s="26">
        <v>100</v>
      </c>
      <c r="AX21" s="26">
        <v>100</v>
      </c>
      <c r="AY21" s="26">
        <v>100</v>
      </c>
      <c r="AZ21" s="26">
        <v>100</v>
      </c>
      <c r="BA21" s="26">
        <v>100</v>
      </c>
      <c r="BB21" s="26">
        <v>100</v>
      </c>
      <c r="BC21" s="26">
        <v>100</v>
      </c>
      <c r="BD21" s="26">
        <v>65.153999999999996</v>
      </c>
      <c r="BE21" s="26">
        <v>100</v>
      </c>
      <c r="BF21" s="26">
        <v>100</v>
      </c>
      <c r="BG21" s="26">
        <v>58.6755</v>
      </c>
      <c r="BH21" s="26">
        <v>91.190899999999999</v>
      </c>
      <c r="BI21" s="26">
        <v>100</v>
      </c>
      <c r="BJ21" s="26">
        <v>100</v>
      </c>
      <c r="BK21" s="26">
        <v>100</v>
      </c>
      <c r="BL21" s="26">
        <v>100</v>
      </c>
      <c r="BM21" s="26">
        <v>91.213200000000001</v>
      </c>
      <c r="BN21" s="26">
        <v>73.943299999999994</v>
      </c>
      <c r="BO21" s="26">
        <v>100</v>
      </c>
      <c r="BP21" s="26">
        <v>100</v>
      </c>
      <c r="BQ21" s="26">
        <v>100</v>
      </c>
      <c r="BR21" s="26">
        <v>100</v>
      </c>
      <c r="BS21" s="26">
        <v>66.597999999999999</v>
      </c>
      <c r="BT21" s="26">
        <v>100</v>
      </c>
      <c r="BU21" s="26">
        <v>100</v>
      </c>
      <c r="BV21" s="26">
        <v>100</v>
      </c>
      <c r="BW21" s="26">
        <v>100</v>
      </c>
      <c r="BX21" s="26">
        <v>100</v>
      </c>
      <c r="BY21" s="26">
        <v>100</v>
      </c>
      <c r="BZ21" s="26">
        <v>100</v>
      </c>
      <c r="CA21" s="26">
        <v>100</v>
      </c>
      <c r="CB21" s="26">
        <v>100</v>
      </c>
      <c r="CC21" s="26">
        <v>100</v>
      </c>
      <c r="CD21" s="26">
        <v>100</v>
      </c>
      <c r="CE21" s="26">
        <v>100</v>
      </c>
      <c r="CF21" s="26">
        <v>100</v>
      </c>
      <c r="CG21" s="26">
        <v>100</v>
      </c>
      <c r="CH21" s="26">
        <v>100</v>
      </c>
      <c r="CI21" s="26">
        <v>67.555099999999996</v>
      </c>
      <c r="CJ21" s="26">
        <v>100</v>
      </c>
      <c r="CK21" s="26">
        <v>100</v>
      </c>
      <c r="CL21" s="26">
        <v>100</v>
      </c>
      <c r="CM21" s="26">
        <v>100</v>
      </c>
      <c r="CN21" s="26">
        <v>88.204499999999996</v>
      </c>
      <c r="CO21" s="26">
        <v>100</v>
      </c>
      <c r="CP21" s="26">
        <v>100</v>
      </c>
      <c r="CQ21" s="26">
        <v>81.945800000000006</v>
      </c>
      <c r="CR21" s="26">
        <v>76.886099999999999</v>
      </c>
      <c r="CS21" s="26">
        <v>100</v>
      </c>
      <c r="CT21" s="26">
        <v>100</v>
      </c>
      <c r="CU21" s="26">
        <v>100</v>
      </c>
      <c r="CV21" s="26">
        <v>100</v>
      </c>
      <c r="CW21" s="26">
        <v>82.442999999999998</v>
      </c>
      <c r="CX21" s="26">
        <v>61.302799999999998</v>
      </c>
      <c r="CY21" s="26">
        <v>100</v>
      </c>
      <c r="CZ21" s="26">
        <v>100</v>
      </c>
      <c r="DA21" s="26">
        <v>100</v>
      </c>
      <c r="DB21" s="26">
        <v>100</v>
      </c>
      <c r="DC21" s="26">
        <v>60.103200000000001</v>
      </c>
      <c r="DD21" s="26">
        <v>100</v>
      </c>
      <c r="DE21" s="26">
        <v>43.688600000000001</v>
      </c>
      <c r="DF21" s="26">
        <v>100</v>
      </c>
      <c r="DG21" s="26">
        <v>100</v>
      </c>
      <c r="DH21" s="26">
        <v>100</v>
      </c>
      <c r="DI21" s="26">
        <v>100</v>
      </c>
      <c r="DJ21" s="26">
        <v>100</v>
      </c>
      <c r="DK21" s="26">
        <v>100</v>
      </c>
      <c r="DL21" s="26">
        <v>100</v>
      </c>
      <c r="DM21" s="26">
        <v>100</v>
      </c>
      <c r="DN21" s="26">
        <v>100</v>
      </c>
      <c r="DO21" s="26">
        <v>99.999899999999997</v>
      </c>
      <c r="DP21" s="26">
        <v>99.999899999999997</v>
      </c>
      <c r="DQ21" s="26">
        <v>99.999899999999997</v>
      </c>
      <c r="DR21" s="26">
        <v>100</v>
      </c>
      <c r="DS21" s="26">
        <v>86.417299999999997</v>
      </c>
      <c r="DT21" s="26">
        <v>62.882499999999993</v>
      </c>
      <c r="DU21" s="26">
        <v>94.250999999999991</v>
      </c>
      <c r="DV21" s="26">
        <v>34.362699999999997</v>
      </c>
      <c r="DW21" s="26">
        <v>93.557691129032236</v>
      </c>
      <c r="DX21" s="17">
        <v>11601.153700000001</v>
      </c>
    </row>
    <row r="22" spans="1:128" x14ac:dyDescent="0.25">
      <c r="A22" s="24">
        <v>21</v>
      </c>
      <c r="B22" s="26">
        <v>10</v>
      </c>
      <c r="C22" s="26">
        <v>100</v>
      </c>
      <c r="D22" s="26">
        <v>100</v>
      </c>
      <c r="E22" s="26">
        <v>100</v>
      </c>
      <c r="F22" s="26">
        <v>93.088000000000008</v>
      </c>
      <c r="G22" s="26">
        <v>100</v>
      </c>
      <c r="H22" s="26">
        <v>100</v>
      </c>
      <c r="I22" s="26">
        <v>100</v>
      </c>
      <c r="J22" s="26">
        <v>100</v>
      </c>
      <c r="K22" s="26">
        <v>97.770800000000008</v>
      </c>
      <c r="L22" s="26">
        <v>100</v>
      </c>
      <c r="M22" s="26">
        <v>100</v>
      </c>
      <c r="N22" s="26">
        <v>100</v>
      </c>
      <c r="O22" s="26">
        <v>100</v>
      </c>
      <c r="P22" s="26">
        <v>100</v>
      </c>
      <c r="Q22" s="26">
        <v>78.900000000000006</v>
      </c>
      <c r="R22" s="26">
        <v>38.206600000000002</v>
      </c>
      <c r="S22" s="26">
        <v>100</v>
      </c>
      <c r="T22" s="26">
        <v>28.646000000000001</v>
      </c>
      <c r="U22" s="26">
        <v>100</v>
      </c>
      <c r="V22" s="26">
        <v>100</v>
      </c>
      <c r="W22" s="26">
        <v>100</v>
      </c>
      <c r="X22" s="26">
        <v>100</v>
      </c>
      <c r="Y22" s="26">
        <v>100</v>
      </c>
      <c r="Z22" s="26">
        <v>100</v>
      </c>
      <c r="AA22" s="26">
        <v>100</v>
      </c>
      <c r="AB22" s="26">
        <v>100</v>
      </c>
      <c r="AC22" s="26">
        <v>100</v>
      </c>
      <c r="AD22" s="26">
        <v>100</v>
      </c>
      <c r="AE22" s="26">
        <v>100</v>
      </c>
      <c r="AF22" s="26">
        <v>100</v>
      </c>
      <c r="AG22" s="26">
        <v>100</v>
      </c>
      <c r="AH22" s="26">
        <v>100</v>
      </c>
      <c r="AI22" s="26">
        <v>100</v>
      </c>
      <c r="AJ22" s="26">
        <v>100</v>
      </c>
      <c r="AK22" s="26">
        <v>100</v>
      </c>
      <c r="AL22" s="26">
        <v>100</v>
      </c>
      <c r="AM22" s="26">
        <v>87.732200000000006</v>
      </c>
      <c r="AN22" s="26">
        <v>100</v>
      </c>
      <c r="AO22" s="26">
        <v>100</v>
      </c>
      <c r="AP22" s="26">
        <v>100</v>
      </c>
      <c r="AQ22" s="26">
        <v>100</v>
      </c>
      <c r="AR22" s="26">
        <v>100</v>
      </c>
      <c r="AS22" s="26">
        <v>96.609099999999998</v>
      </c>
      <c r="AT22" s="26">
        <v>96.230099999999993</v>
      </c>
      <c r="AU22" s="26">
        <v>100</v>
      </c>
      <c r="AV22" s="26">
        <v>100</v>
      </c>
      <c r="AW22" s="26">
        <v>100</v>
      </c>
      <c r="AX22" s="26">
        <v>100</v>
      </c>
      <c r="AY22" s="26">
        <v>100</v>
      </c>
      <c r="AZ22" s="26">
        <v>100</v>
      </c>
      <c r="BA22" s="26">
        <v>100</v>
      </c>
      <c r="BB22" s="26">
        <v>100</v>
      </c>
      <c r="BC22" s="26">
        <v>100</v>
      </c>
      <c r="BD22" s="26">
        <v>76.396500000000003</v>
      </c>
      <c r="BE22" s="26">
        <v>100</v>
      </c>
      <c r="BF22" s="26">
        <v>100</v>
      </c>
      <c r="BG22" s="26">
        <v>70.917100000000005</v>
      </c>
      <c r="BH22" s="26">
        <v>100</v>
      </c>
      <c r="BI22" s="26">
        <v>100</v>
      </c>
      <c r="BJ22" s="26">
        <v>100</v>
      </c>
      <c r="BK22" s="26">
        <v>100</v>
      </c>
      <c r="BL22" s="26">
        <v>100</v>
      </c>
      <c r="BM22" s="26">
        <v>100</v>
      </c>
      <c r="BN22" s="26">
        <v>85.097400000000007</v>
      </c>
      <c r="BO22" s="26">
        <v>100</v>
      </c>
      <c r="BP22" s="26">
        <v>100</v>
      </c>
      <c r="BQ22" s="26">
        <v>100</v>
      </c>
      <c r="BR22" s="26">
        <v>100</v>
      </c>
      <c r="BS22" s="26">
        <v>81.066900000000004</v>
      </c>
      <c r="BT22" s="26">
        <v>100</v>
      </c>
      <c r="BU22" s="26">
        <v>100</v>
      </c>
      <c r="BV22" s="26">
        <v>100</v>
      </c>
      <c r="BW22" s="26">
        <v>100</v>
      </c>
      <c r="BX22" s="26">
        <v>100</v>
      </c>
      <c r="BY22" s="26">
        <v>100</v>
      </c>
      <c r="BZ22" s="26">
        <v>100</v>
      </c>
      <c r="CA22" s="26">
        <v>100</v>
      </c>
      <c r="CB22" s="26">
        <v>100</v>
      </c>
      <c r="CC22" s="26">
        <v>100</v>
      </c>
      <c r="CD22" s="26">
        <v>100</v>
      </c>
      <c r="CE22" s="26">
        <v>100</v>
      </c>
      <c r="CF22" s="26">
        <v>100</v>
      </c>
      <c r="CG22" s="26">
        <v>100</v>
      </c>
      <c r="CH22" s="26">
        <v>100</v>
      </c>
      <c r="CI22" s="26">
        <v>45.521500000000003</v>
      </c>
      <c r="CJ22" s="26">
        <v>100</v>
      </c>
      <c r="CK22" s="26">
        <v>100</v>
      </c>
      <c r="CL22" s="26">
        <v>100</v>
      </c>
      <c r="CM22" s="26">
        <v>100</v>
      </c>
      <c r="CN22" s="26">
        <v>100</v>
      </c>
      <c r="CO22" s="26">
        <v>100</v>
      </c>
      <c r="CP22" s="26">
        <v>100</v>
      </c>
      <c r="CQ22" s="26">
        <v>96.738500000000002</v>
      </c>
      <c r="CR22" s="26">
        <v>88.376900000000006</v>
      </c>
      <c r="CS22" s="26">
        <v>100</v>
      </c>
      <c r="CT22" s="26">
        <v>100</v>
      </c>
      <c r="CU22" s="26">
        <v>100</v>
      </c>
      <c r="CV22" s="26">
        <v>100</v>
      </c>
      <c r="CW22" s="26">
        <v>94.554599999999994</v>
      </c>
      <c r="CX22" s="26">
        <v>70.126300000000001</v>
      </c>
      <c r="CY22" s="26">
        <v>100</v>
      </c>
      <c r="CZ22" s="26">
        <v>100</v>
      </c>
      <c r="DA22" s="26">
        <v>100</v>
      </c>
      <c r="DB22" s="26">
        <v>100</v>
      </c>
      <c r="DC22" s="26">
        <v>46.416899999999998</v>
      </c>
      <c r="DD22" s="26">
        <v>100</v>
      </c>
      <c r="DE22" s="26">
        <v>48.080500000000001</v>
      </c>
      <c r="DF22" s="26">
        <v>100</v>
      </c>
      <c r="DG22" s="26">
        <v>100</v>
      </c>
      <c r="DH22" s="26">
        <v>100</v>
      </c>
      <c r="DI22" s="26">
        <v>100</v>
      </c>
      <c r="DJ22" s="26">
        <v>100</v>
      </c>
      <c r="DK22" s="26">
        <v>100</v>
      </c>
      <c r="DL22" s="26">
        <v>100</v>
      </c>
      <c r="DM22" s="26">
        <v>100</v>
      </c>
      <c r="DN22" s="26">
        <v>100</v>
      </c>
      <c r="DO22" s="26">
        <v>99.999899999999997</v>
      </c>
      <c r="DP22" s="26">
        <v>99.999899999999997</v>
      </c>
      <c r="DQ22" s="26">
        <v>99.999899999999997</v>
      </c>
      <c r="DR22" s="26">
        <v>100</v>
      </c>
      <c r="DS22" s="26">
        <v>100</v>
      </c>
      <c r="DT22" s="26">
        <v>75.459000000000003</v>
      </c>
      <c r="DU22" s="26">
        <v>100</v>
      </c>
      <c r="DV22" s="26">
        <v>38.858699999999999</v>
      </c>
      <c r="DW22" s="26">
        <v>95.441881451612915</v>
      </c>
      <c r="DX22" s="17">
        <v>11834.793299999999</v>
      </c>
    </row>
    <row r="23" spans="1:128" x14ac:dyDescent="0.25">
      <c r="A23" s="24">
        <v>22</v>
      </c>
      <c r="B23" s="26">
        <v>10.5</v>
      </c>
      <c r="C23" s="26">
        <v>100</v>
      </c>
      <c r="D23" s="26">
        <v>100</v>
      </c>
      <c r="E23" s="26">
        <v>100</v>
      </c>
      <c r="F23" s="26">
        <v>98.161799999999999</v>
      </c>
      <c r="G23" s="26">
        <v>100</v>
      </c>
      <c r="H23" s="26">
        <v>100</v>
      </c>
      <c r="I23" s="26">
        <v>100</v>
      </c>
      <c r="J23" s="26">
        <v>100</v>
      </c>
      <c r="K23" s="26">
        <v>100</v>
      </c>
      <c r="L23" s="26">
        <v>100</v>
      </c>
      <c r="M23" s="26">
        <v>100</v>
      </c>
      <c r="N23" s="26">
        <v>100</v>
      </c>
      <c r="O23" s="26">
        <v>100</v>
      </c>
      <c r="P23" s="26">
        <v>100</v>
      </c>
      <c r="Q23" s="26">
        <v>95.5578</v>
      </c>
      <c r="R23" s="26">
        <v>45.123600000000003</v>
      </c>
      <c r="S23" s="26">
        <v>100</v>
      </c>
      <c r="T23" s="26">
        <v>32.633600000000001</v>
      </c>
      <c r="U23" s="26">
        <v>100</v>
      </c>
      <c r="V23" s="26">
        <v>100</v>
      </c>
      <c r="W23" s="26">
        <v>83.007599999999996</v>
      </c>
      <c r="X23" s="26">
        <v>100</v>
      </c>
      <c r="Y23" s="26">
        <v>100</v>
      </c>
      <c r="Z23" s="26">
        <v>100</v>
      </c>
      <c r="AA23" s="26">
        <v>100</v>
      </c>
      <c r="AB23" s="26">
        <v>100</v>
      </c>
      <c r="AC23" s="26">
        <v>100</v>
      </c>
      <c r="AD23" s="26">
        <v>100</v>
      </c>
      <c r="AE23" s="26">
        <v>100</v>
      </c>
      <c r="AF23" s="26">
        <v>100</v>
      </c>
      <c r="AG23" s="26">
        <v>100</v>
      </c>
      <c r="AH23" s="26">
        <v>100</v>
      </c>
      <c r="AI23" s="26">
        <v>100</v>
      </c>
      <c r="AJ23" s="26">
        <v>100</v>
      </c>
      <c r="AK23" s="26">
        <v>100</v>
      </c>
      <c r="AL23" s="26">
        <v>100</v>
      </c>
      <c r="AM23" s="26">
        <v>100</v>
      </c>
      <c r="AN23" s="26">
        <v>100</v>
      </c>
      <c r="AO23" s="26">
        <v>100</v>
      </c>
      <c r="AP23" s="26">
        <v>100</v>
      </c>
      <c r="AQ23" s="26">
        <v>100</v>
      </c>
      <c r="AR23" s="26">
        <v>100</v>
      </c>
      <c r="AS23" s="26">
        <v>96.609099999999998</v>
      </c>
      <c r="AT23" s="26">
        <v>94.585899999999995</v>
      </c>
      <c r="AU23" s="26">
        <v>100</v>
      </c>
      <c r="AV23" s="26">
        <v>100</v>
      </c>
      <c r="AW23" s="26">
        <v>100</v>
      </c>
      <c r="AX23" s="26">
        <v>100</v>
      </c>
      <c r="AY23" s="26">
        <v>100</v>
      </c>
      <c r="AZ23" s="26">
        <v>100</v>
      </c>
      <c r="BA23" s="26">
        <v>100</v>
      </c>
      <c r="BB23" s="26">
        <v>100</v>
      </c>
      <c r="BC23" s="26">
        <v>100</v>
      </c>
      <c r="BD23" s="26">
        <v>86.042300000000012</v>
      </c>
      <c r="BE23" s="26">
        <v>100</v>
      </c>
      <c r="BF23" s="26">
        <v>100</v>
      </c>
      <c r="BG23" s="26">
        <v>81.664999999999992</v>
      </c>
      <c r="BH23" s="26">
        <v>100</v>
      </c>
      <c r="BI23" s="26">
        <v>100</v>
      </c>
      <c r="BJ23" s="26">
        <v>100</v>
      </c>
      <c r="BK23" s="26">
        <v>100</v>
      </c>
      <c r="BL23" s="26">
        <v>100</v>
      </c>
      <c r="BM23" s="26">
        <v>100</v>
      </c>
      <c r="BN23" s="26">
        <v>96.918099999999995</v>
      </c>
      <c r="BO23" s="26">
        <v>100</v>
      </c>
      <c r="BP23" s="26">
        <v>100</v>
      </c>
      <c r="BQ23" s="26">
        <v>100</v>
      </c>
      <c r="BR23" s="26">
        <v>100</v>
      </c>
      <c r="BS23" s="26">
        <v>93.611699999999999</v>
      </c>
      <c r="BT23" s="26">
        <v>100</v>
      </c>
      <c r="BU23" s="26">
        <v>100</v>
      </c>
      <c r="BV23" s="26">
        <v>100</v>
      </c>
      <c r="BW23" s="26">
        <v>100</v>
      </c>
      <c r="BX23" s="26">
        <v>100</v>
      </c>
      <c r="BY23" s="26">
        <v>100</v>
      </c>
      <c r="BZ23" s="26">
        <v>100</v>
      </c>
      <c r="CA23" s="26">
        <v>100</v>
      </c>
      <c r="CB23" s="26">
        <v>100</v>
      </c>
      <c r="CC23" s="26">
        <v>100</v>
      </c>
      <c r="CD23" s="26">
        <v>100</v>
      </c>
      <c r="CE23" s="26">
        <v>100</v>
      </c>
      <c r="CF23" s="26">
        <v>100</v>
      </c>
      <c r="CG23" s="26">
        <v>100</v>
      </c>
      <c r="CH23" s="26">
        <v>100</v>
      </c>
      <c r="CI23" s="26">
        <v>54.269100000000002</v>
      </c>
      <c r="CJ23" s="26">
        <v>100</v>
      </c>
      <c r="CK23" s="26">
        <v>100</v>
      </c>
      <c r="CL23" s="26">
        <v>100</v>
      </c>
      <c r="CM23" s="26">
        <v>100</v>
      </c>
      <c r="CN23" s="26">
        <v>100</v>
      </c>
      <c r="CO23" s="26">
        <v>100</v>
      </c>
      <c r="CP23" s="26">
        <v>100</v>
      </c>
      <c r="CQ23" s="26">
        <v>100</v>
      </c>
      <c r="CR23" s="26">
        <v>100</v>
      </c>
      <c r="CS23" s="26">
        <v>100</v>
      </c>
      <c r="CT23" s="26">
        <v>100</v>
      </c>
      <c r="CU23" s="26">
        <v>100</v>
      </c>
      <c r="CV23" s="26">
        <v>100</v>
      </c>
      <c r="CW23" s="26">
        <v>100</v>
      </c>
      <c r="CX23" s="26">
        <v>81.188199999999995</v>
      </c>
      <c r="CY23" s="26">
        <v>100</v>
      </c>
      <c r="CZ23" s="26">
        <v>100</v>
      </c>
      <c r="DA23" s="26">
        <v>100</v>
      </c>
      <c r="DB23" s="26">
        <v>100</v>
      </c>
      <c r="DC23" s="26">
        <v>55.533799999999999</v>
      </c>
      <c r="DD23" s="26">
        <v>100</v>
      </c>
      <c r="DE23" s="26">
        <v>65.179699999999997</v>
      </c>
      <c r="DF23" s="26">
        <v>100</v>
      </c>
      <c r="DG23" s="26">
        <v>100</v>
      </c>
      <c r="DH23" s="26">
        <v>100</v>
      </c>
      <c r="DI23" s="26">
        <v>100</v>
      </c>
      <c r="DJ23" s="26">
        <v>100</v>
      </c>
      <c r="DK23" s="26">
        <v>100</v>
      </c>
      <c r="DL23" s="26">
        <v>100</v>
      </c>
      <c r="DM23" s="26">
        <v>100</v>
      </c>
      <c r="DN23" s="26">
        <v>100</v>
      </c>
      <c r="DO23" s="26">
        <v>99.999899999999997</v>
      </c>
      <c r="DP23" s="26">
        <v>99.999899999999997</v>
      </c>
      <c r="DQ23" s="26">
        <v>99.999899999999997</v>
      </c>
      <c r="DR23" s="26">
        <v>100</v>
      </c>
      <c r="DS23" s="26">
        <v>100</v>
      </c>
      <c r="DT23" s="26">
        <v>76.309100000000001</v>
      </c>
      <c r="DU23" s="26">
        <v>100</v>
      </c>
      <c r="DV23" s="26">
        <v>42.898000000000003</v>
      </c>
      <c r="DW23" s="26">
        <v>96.607210483870972</v>
      </c>
      <c r="DX23" s="17">
        <v>11979.294099999999</v>
      </c>
    </row>
    <row r="24" spans="1:128" x14ac:dyDescent="0.25">
      <c r="A24" s="24">
        <v>23</v>
      </c>
      <c r="B24" s="26">
        <v>11</v>
      </c>
      <c r="C24" s="26">
        <v>100</v>
      </c>
      <c r="D24" s="26">
        <v>100</v>
      </c>
      <c r="E24" s="26">
        <v>100</v>
      </c>
      <c r="F24" s="26">
        <v>100</v>
      </c>
      <c r="G24" s="26">
        <v>100</v>
      </c>
      <c r="H24" s="26">
        <v>100</v>
      </c>
      <c r="I24" s="26">
        <v>100</v>
      </c>
      <c r="J24" s="26">
        <v>100</v>
      </c>
      <c r="K24" s="26">
        <v>100</v>
      </c>
      <c r="L24" s="26">
        <v>100</v>
      </c>
      <c r="M24" s="26">
        <v>100</v>
      </c>
      <c r="N24" s="26">
        <v>100</v>
      </c>
      <c r="O24" s="26">
        <v>100</v>
      </c>
      <c r="P24" s="26">
        <v>100</v>
      </c>
      <c r="Q24" s="26">
        <v>100</v>
      </c>
      <c r="R24" s="26">
        <v>33.388500000000001</v>
      </c>
      <c r="S24" s="26">
        <v>100</v>
      </c>
      <c r="T24" s="26">
        <v>28.612500000000001</v>
      </c>
      <c r="U24" s="26">
        <v>100</v>
      </c>
      <c r="V24" s="26">
        <v>100</v>
      </c>
      <c r="W24" s="26">
        <v>66.785399999999996</v>
      </c>
      <c r="X24" s="26">
        <v>100</v>
      </c>
      <c r="Y24" s="26">
        <v>100</v>
      </c>
      <c r="Z24" s="26">
        <v>100</v>
      </c>
      <c r="AA24" s="26">
        <v>100</v>
      </c>
      <c r="AB24" s="26">
        <v>100</v>
      </c>
      <c r="AC24" s="26">
        <v>100</v>
      </c>
      <c r="AD24" s="26">
        <v>100</v>
      </c>
      <c r="AE24" s="26">
        <v>100</v>
      </c>
      <c r="AF24" s="26">
        <v>100</v>
      </c>
      <c r="AG24" s="26">
        <v>100</v>
      </c>
      <c r="AH24" s="26">
        <v>100</v>
      </c>
      <c r="AI24" s="26">
        <v>100</v>
      </c>
      <c r="AJ24" s="26">
        <v>100</v>
      </c>
      <c r="AK24" s="26">
        <v>100</v>
      </c>
      <c r="AL24" s="26">
        <v>100</v>
      </c>
      <c r="AM24" s="26">
        <v>100</v>
      </c>
      <c r="AN24" s="26">
        <v>100</v>
      </c>
      <c r="AO24" s="26">
        <v>100</v>
      </c>
      <c r="AP24" s="26">
        <v>100</v>
      </c>
      <c r="AQ24" s="26">
        <v>100</v>
      </c>
      <c r="AR24" s="26">
        <v>100</v>
      </c>
      <c r="AS24" s="26">
        <v>99.999899999999997</v>
      </c>
      <c r="AT24" s="26">
        <v>89.512199999999993</v>
      </c>
      <c r="AU24" s="26">
        <v>100</v>
      </c>
      <c r="AV24" s="26">
        <v>100</v>
      </c>
      <c r="AW24" s="26">
        <v>100</v>
      </c>
      <c r="AX24" s="26">
        <v>100</v>
      </c>
      <c r="AY24" s="26">
        <v>100</v>
      </c>
      <c r="AZ24" s="26">
        <v>100</v>
      </c>
      <c r="BA24" s="26">
        <v>100</v>
      </c>
      <c r="BB24" s="26">
        <v>100</v>
      </c>
      <c r="BC24" s="26">
        <v>100</v>
      </c>
      <c r="BD24" s="26">
        <v>97.484700000000004</v>
      </c>
      <c r="BE24" s="26">
        <v>100</v>
      </c>
      <c r="BF24" s="26">
        <v>100</v>
      </c>
      <c r="BG24" s="26">
        <v>71.462099999999992</v>
      </c>
      <c r="BH24" s="26">
        <v>100</v>
      </c>
      <c r="BI24" s="26">
        <v>100</v>
      </c>
      <c r="BJ24" s="26">
        <v>100</v>
      </c>
      <c r="BK24" s="26">
        <v>100</v>
      </c>
      <c r="BL24" s="26">
        <v>100</v>
      </c>
      <c r="BM24" s="26">
        <v>100</v>
      </c>
      <c r="BN24" s="26">
        <v>100</v>
      </c>
      <c r="BO24" s="26">
        <v>100</v>
      </c>
      <c r="BP24" s="26">
        <v>100</v>
      </c>
      <c r="BQ24" s="26">
        <v>100</v>
      </c>
      <c r="BR24" s="26">
        <v>100</v>
      </c>
      <c r="BS24" s="26">
        <v>100</v>
      </c>
      <c r="BT24" s="26">
        <v>100</v>
      </c>
      <c r="BU24" s="26">
        <v>100</v>
      </c>
      <c r="BV24" s="26">
        <v>100</v>
      </c>
      <c r="BW24" s="26">
        <v>100</v>
      </c>
      <c r="BX24" s="26">
        <v>100</v>
      </c>
      <c r="BY24" s="26">
        <v>100</v>
      </c>
      <c r="BZ24" s="26">
        <v>100</v>
      </c>
      <c r="CA24" s="26">
        <v>100</v>
      </c>
      <c r="CB24" s="26">
        <v>100</v>
      </c>
      <c r="CC24" s="26">
        <v>100</v>
      </c>
      <c r="CD24" s="26">
        <v>100</v>
      </c>
      <c r="CE24" s="26">
        <v>100</v>
      </c>
      <c r="CF24" s="26">
        <v>100</v>
      </c>
      <c r="CG24" s="26">
        <v>100</v>
      </c>
      <c r="CH24" s="26">
        <v>100</v>
      </c>
      <c r="CI24" s="26">
        <v>64.067399999999992</v>
      </c>
      <c r="CJ24" s="26">
        <v>100</v>
      </c>
      <c r="CK24" s="26">
        <v>100</v>
      </c>
      <c r="CL24" s="26">
        <v>100</v>
      </c>
      <c r="CM24" s="26">
        <v>100</v>
      </c>
      <c r="CN24" s="26">
        <v>100</v>
      </c>
      <c r="CO24" s="26">
        <v>100</v>
      </c>
      <c r="CP24" s="26">
        <v>100</v>
      </c>
      <c r="CQ24" s="26">
        <v>100</v>
      </c>
      <c r="CR24" s="26">
        <v>100</v>
      </c>
      <c r="CS24" s="26">
        <v>100</v>
      </c>
      <c r="CT24" s="26">
        <v>100</v>
      </c>
      <c r="CU24" s="26">
        <v>100</v>
      </c>
      <c r="CV24" s="26">
        <v>100</v>
      </c>
      <c r="CW24" s="26">
        <v>100</v>
      </c>
      <c r="CX24" s="26">
        <v>91.814599999999999</v>
      </c>
      <c r="CY24" s="26">
        <v>100</v>
      </c>
      <c r="CZ24" s="26">
        <v>100</v>
      </c>
      <c r="DA24" s="26">
        <v>100</v>
      </c>
      <c r="DB24" s="26">
        <v>100</v>
      </c>
      <c r="DC24" s="26">
        <v>66.201499999999996</v>
      </c>
      <c r="DD24" s="26">
        <v>100</v>
      </c>
      <c r="DE24" s="26">
        <v>81.229799999999997</v>
      </c>
      <c r="DF24" s="26">
        <v>100</v>
      </c>
      <c r="DG24" s="26">
        <v>100</v>
      </c>
      <c r="DH24" s="26">
        <v>100</v>
      </c>
      <c r="DI24" s="26">
        <v>100</v>
      </c>
      <c r="DJ24" s="26">
        <v>100</v>
      </c>
      <c r="DK24" s="26">
        <v>100</v>
      </c>
      <c r="DL24" s="26">
        <v>100</v>
      </c>
      <c r="DM24" s="26">
        <v>100</v>
      </c>
      <c r="DN24" s="26">
        <v>100</v>
      </c>
      <c r="DO24" s="26">
        <v>99.999899999999997</v>
      </c>
      <c r="DP24" s="26">
        <v>99.999899999999997</v>
      </c>
      <c r="DQ24" s="26">
        <v>99.999899999999997</v>
      </c>
      <c r="DR24" s="26">
        <v>100</v>
      </c>
      <c r="DS24" s="26">
        <v>100</v>
      </c>
      <c r="DT24" s="26">
        <v>92.377799999999993</v>
      </c>
      <c r="DU24" s="26">
        <v>100</v>
      </c>
      <c r="DV24" s="26">
        <v>46.0959</v>
      </c>
      <c r="DW24" s="26">
        <v>97.008322580645171</v>
      </c>
      <c r="DX24" s="17">
        <v>12029.031999999999</v>
      </c>
    </row>
    <row r="25" spans="1:128" x14ac:dyDescent="0.25">
      <c r="A25" s="24">
        <v>24</v>
      </c>
      <c r="B25" s="26">
        <v>11.5</v>
      </c>
      <c r="C25" s="26">
        <v>100</v>
      </c>
      <c r="D25" s="26">
        <v>100</v>
      </c>
      <c r="E25" s="26">
        <v>100</v>
      </c>
      <c r="F25" s="26">
        <v>95.324799999999996</v>
      </c>
      <c r="G25" s="26">
        <v>100</v>
      </c>
      <c r="H25" s="26">
        <v>100</v>
      </c>
      <c r="I25" s="26">
        <v>100</v>
      </c>
      <c r="J25" s="26">
        <v>100</v>
      </c>
      <c r="K25" s="26">
        <v>100</v>
      </c>
      <c r="L25" s="26">
        <v>100</v>
      </c>
      <c r="M25" s="26">
        <v>100</v>
      </c>
      <c r="N25" s="26">
        <v>100</v>
      </c>
      <c r="O25" s="26">
        <v>100</v>
      </c>
      <c r="P25" s="26">
        <v>100</v>
      </c>
      <c r="Q25" s="26">
        <v>100</v>
      </c>
      <c r="R25" s="26">
        <v>44.740099999999998</v>
      </c>
      <c r="S25" s="26">
        <v>100</v>
      </c>
      <c r="T25" s="26">
        <v>33.105400000000003</v>
      </c>
      <c r="U25" s="26">
        <v>100</v>
      </c>
      <c r="V25" s="26">
        <v>100</v>
      </c>
      <c r="W25" s="26">
        <v>80.55980000000001</v>
      </c>
      <c r="X25" s="26">
        <v>100</v>
      </c>
      <c r="Y25" s="26">
        <v>100</v>
      </c>
      <c r="Z25" s="26">
        <v>100</v>
      </c>
      <c r="AA25" s="26">
        <v>100</v>
      </c>
      <c r="AB25" s="26">
        <v>100</v>
      </c>
      <c r="AC25" s="26">
        <v>100</v>
      </c>
      <c r="AD25" s="26">
        <v>100</v>
      </c>
      <c r="AE25" s="26">
        <v>100</v>
      </c>
      <c r="AF25" s="26">
        <v>100</v>
      </c>
      <c r="AG25" s="26">
        <v>100</v>
      </c>
      <c r="AH25" s="26">
        <v>100</v>
      </c>
      <c r="AI25" s="26">
        <v>100</v>
      </c>
      <c r="AJ25" s="26">
        <v>100</v>
      </c>
      <c r="AK25" s="26">
        <v>100</v>
      </c>
      <c r="AL25" s="26">
        <v>100</v>
      </c>
      <c r="AM25" s="26">
        <v>100</v>
      </c>
      <c r="AN25" s="26">
        <v>100</v>
      </c>
      <c r="AO25" s="26">
        <v>100</v>
      </c>
      <c r="AP25" s="26">
        <v>100</v>
      </c>
      <c r="AQ25" s="26">
        <v>100</v>
      </c>
      <c r="AR25" s="26">
        <v>100</v>
      </c>
      <c r="AS25" s="26">
        <v>94.704999999999998</v>
      </c>
      <c r="AT25" s="26">
        <v>98.918199999999999</v>
      </c>
      <c r="AU25" s="26">
        <v>100</v>
      </c>
      <c r="AV25" s="26">
        <v>100</v>
      </c>
      <c r="AW25" s="26">
        <v>100</v>
      </c>
      <c r="AX25" s="26">
        <v>100</v>
      </c>
      <c r="AY25" s="26">
        <v>100</v>
      </c>
      <c r="AZ25" s="26">
        <v>100</v>
      </c>
      <c r="BA25" s="26">
        <v>100</v>
      </c>
      <c r="BB25" s="26">
        <v>100</v>
      </c>
      <c r="BC25" s="26">
        <v>100</v>
      </c>
      <c r="BD25" s="26">
        <v>100</v>
      </c>
      <c r="BE25" s="26">
        <v>100</v>
      </c>
      <c r="BF25" s="26">
        <v>100</v>
      </c>
      <c r="BG25" s="26">
        <v>80.005800000000008</v>
      </c>
      <c r="BH25" s="26">
        <v>100</v>
      </c>
      <c r="BI25" s="26">
        <v>100</v>
      </c>
      <c r="BJ25" s="26">
        <v>100</v>
      </c>
      <c r="BK25" s="26">
        <v>100</v>
      </c>
      <c r="BL25" s="26">
        <v>100</v>
      </c>
      <c r="BM25" s="26">
        <v>100</v>
      </c>
      <c r="BN25" s="26">
        <v>100</v>
      </c>
      <c r="BO25" s="26">
        <v>100</v>
      </c>
      <c r="BP25" s="26">
        <v>99.452200000000005</v>
      </c>
      <c r="BQ25" s="26">
        <v>100</v>
      </c>
      <c r="BR25" s="26">
        <v>100</v>
      </c>
      <c r="BS25" s="26">
        <v>100</v>
      </c>
      <c r="BT25" s="26">
        <v>100</v>
      </c>
      <c r="BU25" s="26">
        <v>100</v>
      </c>
      <c r="BV25" s="26">
        <v>100</v>
      </c>
      <c r="BW25" s="26">
        <v>100</v>
      </c>
      <c r="BX25" s="26">
        <v>100</v>
      </c>
      <c r="BY25" s="26">
        <v>100</v>
      </c>
      <c r="BZ25" s="26">
        <v>100</v>
      </c>
      <c r="CA25" s="26">
        <v>100</v>
      </c>
      <c r="CB25" s="26">
        <v>100</v>
      </c>
      <c r="CC25" s="26">
        <v>100</v>
      </c>
      <c r="CD25" s="26">
        <v>100</v>
      </c>
      <c r="CE25" s="26">
        <v>100</v>
      </c>
      <c r="CF25" s="26">
        <v>100</v>
      </c>
      <c r="CG25" s="26">
        <v>100</v>
      </c>
      <c r="CH25" s="26">
        <v>100</v>
      </c>
      <c r="CI25" s="26">
        <v>75.521000000000001</v>
      </c>
      <c r="CJ25" s="26">
        <v>100</v>
      </c>
      <c r="CK25" s="26">
        <v>100</v>
      </c>
      <c r="CL25" s="26">
        <v>100</v>
      </c>
      <c r="CM25" s="26">
        <v>100</v>
      </c>
      <c r="CN25" s="26">
        <v>97.230499999999992</v>
      </c>
      <c r="CO25" s="26">
        <v>100</v>
      </c>
      <c r="CP25" s="26">
        <v>100</v>
      </c>
      <c r="CQ25" s="26">
        <v>100</v>
      </c>
      <c r="CR25" s="26">
        <v>100</v>
      </c>
      <c r="CS25" s="26">
        <v>100</v>
      </c>
      <c r="CT25" s="26">
        <v>100</v>
      </c>
      <c r="CU25" s="26">
        <v>100</v>
      </c>
      <c r="CV25" s="26">
        <v>100</v>
      </c>
      <c r="CW25" s="26">
        <v>100</v>
      </c>
      <c r="CX25" s="26">
        <v>100</v>
      </c>
      <c r="CY25" s="26">
        <v>100</v>
      </c>
      <c r="CZ25" s="26">
        <v>100</v>
      </c>
      <c r="DA25" s="26">
        <v>100</v>
      </c>
      <c r="DB25" s="26">
        <v>100</v>
      </c>
      <c r="DC25" s="26">
        <v>76.7851</v>
      </c>
      <c r="DD25" s="26">
        <v>100</v>
      </c>
      <c r="DE25" s="26">
        <v>99.018500000000003</v>
      </c>
      <c r="DF25" s="26">
        <v>100</v>
      </c>
      <c r="DG25" s="26">
        <v>100</v>
      </c>
      <c r="DH25" s="26">
        <v>100</v>
      </c>
      <c r="DI25" s="26">
        <v>100</v>
      </c>
      <c r="DJ25" s="26">
        <v>100</v>
      </c>
      <c r="DK25" s="26">
        <v>100</v>
      </c>
      <c r="DL25" s="26">
        <v>100</v>
      </c>
      <c r="DM25" s="26">
        <v>100</v>
      </c>
      <c r="DN25" s="26">
        <v>100</v>
      </c>
      <c r="DO25" s="26">
        <v>99.999899999999997</v>
      </c>
      <c r="DP25" s="26">
        <v>99.999899999999997</v>
      </c>
      <c r="DQ25" s="26">
        <v>99.999899999999997</v>
      </c>
      <c r="DR25" s="26">
        <v>100</v>
      </c>
      <c r="DS25" s="26">
        <v>100</v>
      </c>
      <c r="DT25" s="26">
        <v>100</v>
      </c>
      <c r="DU25" s="26">
        <v>100</v>
      </c>
      <c r="DV25" s="26">
        <v>50.273899999999998</v>
      </c>
      <c r="DW25" s="26">
        <v>97.787419354838718</v>
      </c>
      <c r="DX25" s="17">
        <v>12125.64</v>
      </c>
    </row>
    <row r="26" spans="1:128" x14ac:dyDescent="0.25">
      <c r="A26" s="24">
        <v>25</v>
      </c>
      <c r="B26" s="26">
        <v>12</v>
      </c>
      <c r="C26" s="26">
        <v>100</v>
      </c>
      <c r="D26" s="26">
        <v>100</v>
      </c>
      <c r="E26" s="26">
        <v>100</v>
      </c>
      <c r="F26" s="26">
        <v>58.613400000000013</v>
      </c>
      <c r="G26" s="26">
        <v>100</v>
      </c>
      <c r="H26" s="26">
        <v>100</v>
      </c>
      <c r="I26" s="26">
        <v>100</v>
      </c>
      <c r="J26" s="26">
        <v>100</v>
      </c>
      <c r="K26" s="26">
        <v>100</v>
      </c>
      <c r="L26" s="26">
        <v>100</v>
      </c>
      <c r="M26" s="26">
        <v>100</v>
      </c>
      <c r="N26" s="26">
        <v>100</v>
      </c>
      <c r="O26" s="26">
        <v>100</v>
      </c>
      <c r="P26" s="26">
        <v>100</v>
      </c>
      <c r="Q26" s="26">
        <v>100</v>
      </c>
      <c r="R26" s="26">
        <v>39.815899999999999</v>
      </c>
      <c r="S26" s="26">
        <v>100</v>
      </c>
      <c r="T26" s="26">
        <v>41.918499999999987</v>
      </c>
      <c r="U26" s="26">
        <v>100</v>
      </c>
      <c r="V26" s="26">
        <v>100</v>
      </c>
      <c r="W26" s="26">
        <v>96.321599999999989</v>
      </c>
      <c r="X26" s="26">
        <v>100</v>
      </c>
      <c r="Y26" s="26">
        <v>100</v>
      </c>
      <c r="Z26" s="26">
        <v>100</v>
      </c>
      <c r="AA26" s="26">
        <v>100</v>
      </c>
      <c r="AB26" s="26">
        <v>100</v>
      </c>
      <c r="AC26" s="26">
        <v>100</v>
      </c>
      <c r="AD26" s="26">
        <v>100</v>
      </c>
      <c r="AE26" s="26">
        <v>100</v>
      </c>
      <c r="AF26" s="26">
        <v>100</v>
      </c>
      <c r="AG26" s="26">
        <v>100</v>
      </c>
      <c r="AH26" s="26">
        <v>100</v>
      </c>
      <c r="AI26" s="26">
        <v>100</v>
      </c>
      <c r="AJ26" s="26">
        <v>100</v>
      </c>
      <c r="AK26" s="26">
        <v>100</v>
      </c>
      <c r="AL26" s="26">
        <v>100</v>
      </c>
      <c r="AM26" s="26">
        <v>100</v>
      </c>
      <c r="AN26" s="26">
        <v>100</v>
      </c>
      <c r="AO26" s="26">
        <v>100</v>
      </c>
      <c r="AP26" s="26">
        <v>100</v>
      </c>
      <c r="AQ26" s="26">
        <v>100</v>
      </c>
      <c r="AR26" s="26">
        <v>100</v>
      </c>
      <c r="AS26" s="26">
        <v>94.704999999999998</v>
      </c>
      <c r="AT26" s="26">
        <v>100</v>
      </c>
      <c r="AU26" s="26">
        <v>100</v>
      </c>
      <c r="AV26" s="26">
        <v>100</v>
      </c>
      <c r="AW26" s="26">
        <v>100</v>
      </c>
      <c r="AX26" s="26">
        <v>100</v>
      </c>
      <c r="AY26" s="26">
        <v>100</v>
      </c>
      <c r="AZ26" s="26">
        <v>100</v>
      </c>
      <c r="BA26" s="26">
        <v>100</v>
      </c>
      <c r="BB26" s="26">
        <v>100</v>
      </c>
      <c r="BC26" s="26">
        <v>100</v>
      </c>
      <c r="BD26" s="26">
        <v>100</v>
      </c>
      <c r="BE26" s="26">
        <v>100</v>
      </c>
      <c r="BF26" s="26">
        <v>100</v>
      </c>
      <c r="BG26" s="26">
        <v>87.170099999999991</v>
      </c>
      <c r="BH26" s="26">
        <v>100</v>
      </c>
      <c r="BI26" s="26">
        <v>100</v>
      </c>
      <c r="BJ26" s="26">
        <v>100</v>
      </c>
      <c r="BK26" s="26">
        <v>100</v>
      </c>
      <c r="BL26" s="26">
        <v>100</v>
      </c>
      <c r="BM26" s="26">
        <v>86.739800000000002</v>
      </c>
      <c r="BN26" s="26">
        <v>100</v>
      </c>
      <c r="BO26" s="26">
        <v>100</v>
      </c>
      <c r="BP26" s="26">
        <v>100</v>
      </c>
      <c r="BQ26" s="26">
        <v>100</v>
      </c>
      <c r="BR26" s="26">
        <v>100</v>
      </c>
      <c r="BS26" s="26">
        <v>100</v>
      </c>
      <c r="BT26" s="26">
        <v>100</v>
      </c>
      <c r="BU26" s="26">
        <v>100</v>
      </c>
      <c r="BV26" s="26">
        <v>100</v>
      </c>
      <c r="BW26" s="26">
        <v>100</v>
      </c>
      <c r="BX26" s="26">
        <v>100</v>
      </c>
      <c r="BY26" s="26">
        <v>100</v>
      </c>
      <c r="BZ26" s="26">
        <v>100</v>
      </c>
      <c r="CA26" s="26">
        <v>100</v>
      </c>
      <c r="CB26" s="26">
        <v>100</v>
      </c>
      <c r="CC26" s="26">
        <v>100</v>
      </c>
      <c r="CD26" s="26">
        <v>100</v>
      </c>
      <c r="CE26" s="26">
        <v>100</v>
      </c>
      <c r="CF26" s="26">
        <v>100</v>
      </c>
      <c r="CG26" s="26">
        <v>100</v>
      </c>
      <c r="CH26" s="26">
        <v>100</v>
      </c>
      <c r="CI26" s="26">
        <v>86.4876</v>
      </c>
      <c r="CJ26" s="26">
        <v>100</v>
      </c>
      <c r="CK26" s="26">
        <v>100</v>
      </c>
      <c r="CL26" s="26">
        <v>100</v>
      </c>
      <c r="CM26" s="26">
        <v>100</v>
      </c>
      <c r="CN26" s="26">
        <v>100</v>
      </c>
      <c r="CO26" s="26">
        <v>100</v>
      </c>
      <c r="CP26" s="26">
        <v>100</v>
      </c>
      <c r="CQ26" s="26">
        <v>100</v>
      </c>
      <c r="CR26" s="26">
        <v>100</v>
      </c>
      <c r="CS26" s="26">
        <v>100</v>
      </c>
      <c r="CT26" s="26">
        <v>100</v>
      </c>
      <c r="CU26" s="26">
        <v>100</v>
      </c>
      <c r="CV26" s="26">
        <v>100</v>
      </c>
      <c r="CW26" s="26">
        <v>100</v>
      </c>
      <c r="CX26" s="26">
        <v>100</v>
      </c>
      <c r="CY26" s="26">
        <v>100</v>
      </c>
      <c r="CZ26" s="26">
        <v>100</v>
      </c>
      <c r="DA26" s="26">
        <v>100</v>
      </c>
      <c r="DB26" s="26">
        <v>100</v>
      </c>
      <c r="DC26" s="26">
        <v>88.819499999999991</v>
      </c>
      <c r="DD26" s="26">
        <v>100</v>
      </c>
      <c r="DE26" s="26">
        <v>100</v>
      </c>
      <c r="DF26" s="26">
        <v>100</v>
      </c>
      <c r="DG26" s="26">
        <v>89.942800000000005</v>
      </c>
      <c r="DH26" s="26">
        <v>100</v>
      </c>
      <c r="DI26" s="26">
        <v>100</v>
      </c>
      <c r="DJ26" s="26">
        <v>100</v>
      </c>
      <c r="DK26" s="26">
        <v>100</v>
      </c>
      <c r="DL26" s="26">
        <v>100</v>
      </c>
      <c r="DM26" s="26">
        <v>100</v>
      </c>
      <c r="DN26" s="26">
        <v>100</v>
      </c>
      <c r="DO26" s="26">
        <v>99.999899999999997</v>
      </c>
      <c r="DP26" s="26">
        <v>99.999899999999997</v>
      </c>
      <c r="DQ26" s="26">
        <v>99.999899999999997</v>
      </c>
      <c r="DR26" s="26">
        <v>100</v>
      </c>
      <c r="DS26" s="26">
        <v>100</v>
      </c>
      <c r="DT26" s="26">
        <v>97.914100000000005</v>
      </c>
      <c r="DU26" s="26">
        <v>100</v>
      </c>
      <c r="DV26" s="26">
        <v>52.741199999999999</v>
      </c>
      <c r="DW26" s="26">
        <v>97.751525806451639</v>
      </c>
      <c r="DX26" s="17">
        <v>12121.189200000001</v>
      </c>
    </row>
    <row r="27" spans="1:128" x14ac:dyDescent="0.25">
      <c r="A27" s="24">
        <v>26</v>
      </c>
      <c r="B27" s="26">
        <v>12.5</v>
      </c>
      <c r="C27" s="26">
        <v>100</v>
      </c>
      <c r="D27" s="26">
        <v>100</v>
      </c>
      <c r="E27" s="26">
        <v>100</v>
      </c>
      <c r="F27" s="26">
        <v>71.76639999999999</v>
      </c>
      <c r="G27" s="26">
        <v>100</v>
      </c>
      <c r="H27" s="26">
        <v>100</v>
      </c>
      <c r="I27" s="26">
        <v>100</v>
      </c>
      <c r="J27" s="26">
        <v>100</v>
      </c>
      <c r="K27" s="26">
        <v>100</v>
      </c>
      <c r="L27" s="26">
        <v>100</v>
      </c>
      <c r="M27" s="26">
        <v>100</v>
      </c>
      <c r="N27" s="26">
        <v>100</v>
      </c>
      <c r="O27" s="26">
        <v>100</v>
      </c>
      <c r="P27" s="26">
        <v>100</v>
      </c>
      <c r="Q27" s="26">
        <v>100</v>
      </c>
      <c r="R27" s="26">
        <v>50.258100000000013</v>
      </c>
      <c r="S27" s="26">
        <v>100</v>
      </c>
      <c r="T27" s="26">
        <v>48.270800000000001</v>
      </c>
      <c r="U27" s="26">
        <v>100</v>
      </c>
      <c r="V27" s="26">
        <v>100</v>
      </c>
      <c r="W27" s="26">
        <v>100</v>
      </c>
      <c r="X27" s="26">
        <v>100</v>
      </c>
      <c r="Y27" s="26">
        <v>100</v>
      </c>
      <c r="Z27" s="26">
        <v>100</v>
      </c>
      <c r="AA27" s="26">
        <v>100</v>
      </c>
      <c r="AB27" s="26">
        <v>100</v>
      </c>
      <c r="AC27" s="26">
        <v>100</v>
      </c>
      <c r="AD27" s="26">
        <v>100</v>
      </c>
      <c r="AE27" s="26">
        <v>100</v>
      </c>
      <c r="AF27" s="26">
        <v>100</v>
      </c>
      <c r="AG27" s="26">
        <v>100</v>
      </c>
      <c r="AH27" s="26">
        <v>100</v>
      </c>
      <c r="AI27" s="26">
        <v>100</v>
      </c>
      <c r="AJ27" s="26">
        <v>100</v>
      </c>
      <c r="AK27" s="26">
        <v>100</v>
      </c>
      <c r="AL27" s="26">
        <v>100</v>
      </c>
      <c r="AM27" s="26">
        <v>100</v>
      </c>
      <c r="AN27" s="26">
        <v>100</v>
      </c>
      <c r="AO27" s="26">
        <v>100</v>
      </c>
      <c r="AP27" s="26">
        <v>100</v>
      </c>
      <c r="AQ27" s="26">
        <v>100</v>
      </c>
      <c r="AR27" s="26">
        <v>100</v>
      </c>
      <c r="AS27" s="26">
        <v>94.704999999999998</v>
      </c>
      <c r="AT27" s="26">
        <v>100</v>
      </c>
      <c r="AU27" s="26">
        <v>100</v>
      </c>
      <c r="AV27" s="26">
        <v>100</v>
      </c>
      <c r="AW27" s="26">
        <v>100</v>
      </c>
      <c r="AX27" s="26">
        <v>100</v>
      </c>
      <c r="AY27" s="26">
        <v>100</v>
      </c>
      <c r="AZ27" s="26">
        <v>100</v>
      </c>
      <c r="BA27" s="26">
        <v>100</v>
      </c>
      <c r="BB27" s="26">
        <v>100</v>
      </c>
      <c r="BC27" s="26">
        <v>100</v>
      </c>
      <c r="BD27" s="26">
        <v>99.528499999999994</v>
      </c>
      <c r="BE27" s="26">
        <v>100</v>
      </c>
      <c r="BF27" s="26">
        <v>100</v>
      </c>
      <c r="BG27" s="26">
        <v>99.306000000000012</v>
      </c>
      <c r="BH27" s="26">
        <v>100</v>
      </c>
      <c r="BI27" s="26">
        <v>100</v>
      </c>
      <c r="BJ27" s="26">
        <v>100</v>
      </c>
      <c r="BK27" s="26">
        <v>100</v>
      </c>
      <c r="BL27" s="26">
        <v>100</v>
      </c>
      <c r="BM27" s="26">
        <v>75.191699999999997</v>
      </c>
      <c r="BN27" s="26">
        <v>100</v>
      </c>
      <c r="BO27" s="26">
        <v>100</v>
      </c>
      <c r="BP27" s="26">
        <v>100</v>
      </c>
      <c r="BQ27" s="26">
        <v>100</v>
      </c>
      <c r="BR27" s="26">
        <v>100</v>
      </c>
      <c r="BS27" s="26">
        <v>100</v>
      </c>
      <c r="BT27" s="26">
        <v>100</v>
      </c>
      <c r="BU27" s="26">
        <v>100</v>
      </c>
      <c r="BV27" s="26">
        <v>100</v>
      </c>
      <c r="BW27" s="26">
        <v>100</v>
      </c>
      <c r="BX27" s="26">
        <v>100</v>
      </c>
      <c r="BY27" s="26">
        <v>100</v>
      </c>
      <c r="BZ27" s="26">
        <v>100</v>
      </c>
      <c r="CA27" s="26">
        <v>100</v>
      </c>
      <c r="CB27" s="26">
        <v>100</v>
      </c>
      <c r="CC27" s="26">
        <v>100</v>
      </c>
      <c r="CD27" s="26">
        <v>100</v>
      </c>
      <c r="CE27" s="26">
        <v>100</v>
      </c>
      <c r="CF27" s="26">
        <v>100</v>
      </c>
      <c r="CG27" s="26">
        <v>100</v>
      </c>
      <c r="CH27" s="26">
        <v>100</v>
      </c>
      <c r="CI27" s="26">
        <v>99.738200000000006</v>
      </c>
      <c r="CJ27" s="26">
        <v>100</v>
      </c>
      <c r="CK27" s="26">
        <v>100</v>
      </c>
      <c r="CL27" s="26">
        <v>100</v>
      </c>
      <c r="CM27" s="26">
        <v>100</v>
      </c>
      <c r="CN27" s="26">
        <v>100</v>
      </c>
      <c r="CO27" s="26">
        <v>100</v>
      </c>
      <c r="CP27" s="26">
        <v>100</v>
      </c>
      <c r="CQ27" s="26">
        <v>100</v>
      </c>
      <c r="CR27" s="26">
        <v>100</v>
      </c>
      <c r="CS27" s="26">
        <v>100</v>
      </c>
      <c r="CT27" s="26">
        <v>100</v>
      </c>
      <c r="CU27" s="26">
        <v>100</v>
      </c>
      <c r="CV27" s="26">
        <v>100</v>
      </c>
      <c r="CW27" s="26">
        <v>100</v>
      </c>
      <c r="CX27" s="26">
        <v>100</v>
      </c>
      <c r="CY27" s="26">
        <v>100</v>
      </c>
      <c r="CZ27" s="26">
        <v>100</v>
      </c>
      <c r="DA27" s="26">
        <v>100</v>
      </c>
      <c r="DB27" s="26">
        <v>100</v>
      </c>
      <c r="DC27" s="26">
        <v>100</v>
      </c>
      <c r="DD27" s="26">
        <v>100</v>
      </c>
      <c r="DE27" s="26">
        <v>100</v>
      </c>
      <c r="DF27" s="26">
        <v>100</v>
      </c>
      <c r="DG27" s="26">
        <v>92.418999999999997</v>
      </c>
      <c r="DH27" s="26">
        <v>100</v>
      </c>
      <c r="DI27" s="26">
        <v>100</v>
      </c>
      <c r="DJ27" s="26">
        <v>100</v>
      </c>
      <c r="DK27" s="26">
        <v>100</v>
      </c>
      <c r="DL27" s="26">
        <v>100</v>
      </c>
      <c r="DM27" s="26">
        <v>100</v>
      </c>
      <c r="DN27" s="26">
        <v>100</v>
      </c>
      <c r="DO27" s="26">
        <v>99.999899999999997</v>
      </c>
      <c r="DP27" s="26">
        <v>99.796899999999994</v>
      </c>
      <c r="DQ27" s="26">
        <v>99.999899999999997</v>
      </c>
      <c r="DR27" s="26">
        <v>100</v>
      </c>
      <c r="DS27" s="26">
        <v>100</v>
      </c>
      <c r="DT27" s="26">
        <v>100</v>
      </c>
      <c r="DU27" s="26">
        <v>100</v>
      </c>
      <c r="DV27" s="26">
        <v>36.5916</v>
      </c>
      <c r="DW27" s="26">
        <v>98.125580645161293</v>
      </c>
      <c r="DX27" s="17">
        <v>12167.572</v>
      </c>
    </row>
    <row r="28" spans="1:128" x14ac:dyDescent="0.25">
      <c r="A28" s="24">
        <v>27</v>
      </c>
      <c r="B28" s="26">
        <v>13</v>
      </c>
      <c r="C28" s="26">
        <v>100</v>
      </c>
      <c r="D28" s="26">
        <v>100</v>
      </c>
      <c r="E28" s="26">
        <v>100</v>
      </c>
      <c r="F28" s="26">
        <v>90.403400000000005</v>
      </c>
      <c r="G28" s="26">
        <v>100</v>
      </c>
      <c r="H28" s="26">
        <v>100</v>
      </c>
      <c r="I28" s="26">
        <v>100</v>
      </c>
      <c r="J28" s="26">
        <v>100</v>
      </c>
      <c r="K28" s="26">
        <v>100</v>
      </c>
      <c r="L28" s="26">
        <v>100</v>
      </c>
      <c r="M28" s="26">
        <v>100</v>
      </c>
      <c r="N28" s="26">
        <v>100</v>
      </c>
      <c r="O28" s="26">
        <v>100</v>
      </c>
      <c r="P28" s="26">
        <v>100</v>
      </c>
      <c r="Q28" s="26">
        <v>100</v>
      </c>
      <c r="R28" s="26">
        <v>44.293799999999997</v>
      </c>
      <c r="S28" s="26">
        <v>100</v>
      </c>
      <c r="T28" s="26">
        <v>56.8157</v>
      </c>
      <c r="U28" s="26">
        <v>100</v>
      </c>
      <c r="V28" s="26">
        <v>100</v>
      </c>
      <c r="W28" s="26">
        <v>100</v>
      </c>
      <c r="X28" s="26">
        <v>100</v>
      </c>
      <c r="Y28" s="26">
        <v>100</v>
      </c>
      <c r="Z28" s="26">
        <v>100</v>
      </c>
      <c r="AA28" s="26">
        <v>100</v>
      </c>
      <c r="AB28" s="26">
        <v>100</v>
      </c>
      <c r="AC28" s="26">
        <v>100</v>
      </c>
      <c r="AD28" s="26">
        <v>100</v>
      </c>
      <c r="AE28" s="26">
        <v>100</v>
      </c>
      <c r="AF28" s="26">
        <v>100</v>
      </c>
      <c r="AG28" s="26">
        <v>100</v>
      </c>
      <c r="AH28" s="26">
        <v>100</v>
      </c>
      <c r="AI28" s="26">
        <v>100</v>
      </c>
      <c r="AJ28" s="26">
        <v>100</v>
      </c>
      <c r="AK28" s="26">
        <v>100</v>
      </c>
      <c r="AL28" s="26">
        <v>100</v>
      </c>
      <c r="AM28" s="26">
        <v>100</v>
      </c>
      <c r="AN28" s="26">
        <v>100</v>
      </c>
      <c r="AO28" s="26">
        <v>100</v>
      </c>
      <c r="AP28" s="26">
        <v>100</v>
      </c>
      <c r="AQ28" s="26">
        <v>100</v>
      </c>
      <c r="AR28" s="26">
        <v>100</v>
      </c>
      <c r="AS28" s="26">
        <v>92.990099999999998</v>
      </c>
      <c r="AT28" s="26">
        <v>100</v>
      </c>
      <c r="AU28" s="26">
        <v>100</v>
      </c>
      <c r="AV28" s="26">
        <v>100</v>
      </c>
      <c r="AW28" s="26">
        <v>100</v>
      </c>
      <c r="AX28" s="26">
        <v>100</v>
      </c>
      <c r="AY28" s="26">
        <v>100</v>
      </c>
      <c r="AZ28" s="26">
        <v>100</v>
      </c>
      <c r="BA28" s="26">
        <v>100</v>
      </c>
      <c r="BB28" s="26">
        <v>100</v>
      </c>
      <c r="BC28" s="26">
        <v>100</v>
      </c>
      <c r="BD28" s="26">
        <v>100</v>
      </c>
      <c r="BE28" s="26">
        <v>100</v>
      </c>
      <c r="BF28" s="26">
        <v>100</v>
      </c>
      <c r="BG28" s="26">
        <v>100</v>
      </c>
      <c r="BH28" s="26">
        <v>100</v>
      </c>
      <c r="BI28" s="26">
        <v>100</v>
      </c>
      <c r="BJ28" s="26">
        <v>100</v>
      </c>
      <c r="BK28" s="26">
        <v>100</v>
      </c>
      <c r="BL28" s="26">
        <v>100</v>
      </c>
      <c r="BM28" s="26">
        <v>87.107100000000003</v>
      </c>
      <c r="BN28" s="26">
        <v>100</v>
      </c>
      <c r="BO28" s="26">
        <v>100</v>
      </c>
      <c r="BP28" s="26">
        <v>100</v>
      </c>
      <c r="BQ28" s="26">
        <v>100</v>
      </c>
      <c r="BR28" s="26">
        <v>100</v>
      </c>
      <c r="BS28" s="26">
        <v>100</v>
      </c>
      <c r="BT28" s="26">
        <v>100</v>
      </c>
      <c r="BU28" s="26">
        <v>100</v>
      </c>
      <c r="BV28" s="26">
        <v>100</v>
      </c>
      <c r="BW28" s="26">
        <v>100</v>
      </c>
      <c r="BX28" s="26">
        <v>100</v>
      </c>
      <c r="BY28" s="26">
        <v>100</v>
      </c>
      <c r="BZ28" s="26">
        <v>100</v>
      </c>
      <c r="CA28" s="26">
        <v>100</v>
      </c>
      <c r="CB28" s="26">
        <v>100</v>
      </c>
      <c r="CC28" s="26">
        <v>100</v>
      </c>
      <c r="CD28" s="26">
        <v>100</v>
      </c>
      <c r="CE28" s="26">
        <v>100</v>
      </c>
      <c r="CF28" s="26">
        <v>100</v>
      </c>
      <c r="CG28" s="26">
        <v>100</v>
      </c>
      <c r="CH28" s="26">
        <v>100</v>
      </c>
      <c r="CI28" s="26">
        <v>100</v>
      </c>
      <c r="CJ28" s="26">
        <v>100</v>
      </c>
      <c r="CK28" s="26">
        <v>100</v>
      </c>
      <c r="CL28" s="26">
        <v>100</v>
      </c>
      <c r="CM28" s="26">
        <v>100</v>
      </c>
      <c r="CN28" s="26">
        <v>100</v>
      </c>
      <c r="CO28" s="26">
        <v>100</v>
      </c>
      <c r="CP28" s="26">
        <v>100</v>
      </c>
      <c r="CQ28" s="26">
        <v>100</v>
      </c>
      <c r="CR28" s="26">
        <v>100</v>
      </c>
      <c r="CS28" s="26">
        <v>100</v>
      </c>
      <c r="CT28" s="26">
        <v>100</v>
      </c>
      <c r="CU28" s="26">
        <v>100</v>
      </c>
      <c r="CV28" s="26">
        <v>100</v>
      </c>
      <c r="CW28" s="26">
        <v>100</v>
      </c>
      <c r="CX28" s="26">
        <v>100</v>
      </c>
      <c r="CY28" s="26">
        <v>100</v>
      </c>
      <c r="CZ28" s="26">
        <v>100</v>
      </c>
      <c r="DA28" s="26">
        <v>100</v>
      </c>
      <c r="DB28" s="26">
        <v>100</v>
      </c>
      <c r="DC28" s="26">
        <v>100</v>
      </c>
      <c r="DD28" s="26">
        <v>100</v>
      </c>
      <c r="DE28" s="26">
        <v>100</v>
      </c>
      <c r="DF28" s="26">
        <v>100</v>
      </c>
      <c r="DG28" s="26">
        <v>100</v>
      </c>
      <c r="DH28" s="26">
        <v>100</v>
      </c>
      <c r="DI28" s="26">
        <v>100</v>
      </c>
      <c r="DJ28" s="26">
        <v>100</v>
      </c>
      <c r="DK28" s="26">
        <v>100</v>
      </c>
      <c r="DL28" s="26">
        <v>100</v>
      </c>
      <c r="DM28" s="26">
        <v>100</v>
      </c>
      <c r="DN28" s="26">
        <v>100</v>
      </c>
      <c r="DO28" s="26">
        <v>99.999899999999997</v>
      </c>
      <c r="DP28" s="26">
        <v>100</v>
      </c>
      <c r="DQ28" s="26">
        <v>99.999899999999997</v>
      </c>
      <c r="DR28" s="26">
        <v>100</v>
      </c>
      <c r="DS28" s="26">
        <v>100</v>
      </c>
      <c r="DT28" s="26">
        <v>100</v>
      </c>
      <c r="DU28" s="26">
        <v>100</v>
      </c>
      <c r="DV28" s="26">
        <v>41.454000000000001</v>
      </c>
      <c r="DW28" s="26">
        <v>98.492450806451629</v>
      </c>
      <c r="DX28" s="17">
        <v>12213.063899999999</v>
      </c>
    </row>
    <row r="29" spans="1:128" x14ac:dyDescent="0.25">
      <c r="A29" s="24">
        <v>28</v>
      </c>
      <c r="B29" s="26">
        <v>13.5</v>
      </c>
      <c r="C29" s="26">
        <v>100</v>
      </c>
      <c r="D29" s="26">
        <v>100</v>
      </c>
      <c r="E29" s="26">
        <v>100</v>
      </c>
      <c r="F29" s="26">
        <v>100</v>
      </c>
      <c r="G29" s="26">
        <v>100</v>
      </c>
      <c r="H29" s="26">
        <v>100</v>
      </c>
      <c r="I29" s="26">
        <v>100</v>
      </c>
      <c r="J29" s="26">
        <v>100</v>
      </c>
      <c r="K29" s="26">
        <v>100</v>
      </c>
      <c r="L29" s="26">
        <v>100</v>
      </c>
      <c r="M29" s="26">
        <v>100</v>
      </c>
      <c r="N29" s="26">
        <v>100</v>
      </c>
      <c r="O29" s="26">
        <v>100</v>
      </c>
      <c r="P29" s="26">
        <v>100</v>
      </c>
      <c r="Q29" s="26">
        <v>100</v>
      </c>
      <c r="R29" s="26">
        <v>53.056199999999997</v>
      </c>
      <c r="S29" s="26">
        <v>100</v>
      </c>
      <c r="T29" s="26">
        <v>65.632999999999996</v>
      </c>
      <c r="U29" s="26">
        <v>100</v>
      </c>
      <c r="V29" s="26">
        <v>100</v>
      </c>
      <c r="W29" s="26">
        <v>100</v>
      </c>
      <c r="X29" s="26">
        <v>100</v>
      </c>
      <c r="Y29" s="26">
        <v>100</v>
      </c>
      <c r="Z29" s="26">
        <v>100</v>
      </c>
      <c r="AA29" s="26">
        <v>100</v>
      </c>
      <c r="AB29" s="26">
        <v>100</v>
      </c>
      <c r="AC29" s="26">
        <v>100</v>
      </c>
      <c r="AD29" s="26">
        <v>100</v>
      </c>
      <c r="AE29" s="26">
        <v>100</v>
      </c>
      <c r="AF29" s="26">
        <v>100</v>
      </c>
      <c r="AG29" s="26">
        <v>100</v>
      </c>
      <c r="AH29" s="26">
        <v>100</v>
      </c>
      <c r="AI29" s="26">
        <v>100</v>
      </c>
      <c r="AJ29" s="26">
        <v>100</v>
      </c>
      <c r="AK29" s="26">
        <v>100</v>
      </c>
      <c r="AL29" s="26">
        <v>100</v>
      </c>
      <c r="AM29" s="26">
        <v>100</v>
      </c>
      <c r="AN29" s="26">
        <v>100</v>
      </c>
      <c r="AO29" s="26">
        <v>100</v>
      </c>
      <c r="AP29" s="26">
        <v>100</v>
      </c>
      <c r="AQ29" s="26">
        <v>100</v>
      </c>
      <c r="AR29" s="26">
        <v>100</v>
      </c>
      <c r="AS29" s="26">
        <v>96.259600000000006</v>
      </c>
      <c r="AT29" s="26">
        <v>100</v>
      </c>
      <c r="AU29" s="26">
        <v>100</v>
      </c>
      <c r="AV29" s="26">
        <v>100</v>
      </c>
      <c r="AW29" s="26">
        <v>100</v>
      </c>
      <c r="AX29" s="26">
        <v>100</v>
      </c>
      <c r="AY29" s="26">
        <v>100</v>
      </c>
      <c r="AZ29" s="26">
        <v>100</v>
      </c>
      <c r="BA29" s="26">
        <v>100</v>
      </c>
      <c r="BB29" s="26">
        <v>100</v>
      </c>
      <c r="BC29" s="26">
        <v>100</v>
      </c>
      <c r="BD29" s="26">
        <v>95.903300000000002</v>
      </c>
      <c r="BE29" s="26">
        <v>100</v>
      </c>
      <c r="BF29" s="26">
        <v>100</v>
      </c>
      <c r="BG29" s="26">
        <v>100</v>
      </c>
      <c r="BH29" s="26">
        <v>100</v>
      </c>
      <c r="BI29" s="26">
        <v>100</v>
      </c>
      <c r="BJ29" s="26">
        <v>100</v>
      </c>
      <c r="BK29" s="26">
        <v>100</v>
      </c>
      <c r="BL29" s="26">
        <v>100</v>
      </c>
      <c r="BM29" s="26">
        <v>100</v>
      </c>
      <c r="BN29" s="26">
        <v>100</v>
      </c>
      <c r="BO29" s="26">
        <v>100</v>
      </c>
      <c r="BP29" s="26">
        <v>100</v>
      </c>
      <c r="BQ29" s="26">
        <v>100</v>
      </c>
      <c r="BR29" s="26">
        <v>100</v>
      </c>
      <c r="BS29" s="26">
        <v>100</v>
      </c>
      <c r="BT29" s="26">
        <v>100</v>
      </c>
      <c r="BU29" s="26">
        <v>100</v>
      </c>
      <c r="BV29" s="26">
        <v>100</v>
      </c>
      <c r="BW29" s="26">
        <v>100</v>
      </c>
      <c r="BX29" s="26">
        <v>100</v>
      </c>
      <c r="BY29" s="26">
        <v>100</v>
      </c>
      <c r="BZ29" s="26">
        <v>100</v>
      </c>
      <c r="CA29" s="26">
        <v>100</v>
      </c>
      <c r="CB29" s="26">
        <v>100</v>
      </c>
      <c r="CC29" s="26">
        <v>100</v>
      </c>
      <c r="CD29" s="26">
        <v>100</v>
      </c>
      <c r="CE29" s="26">
        <v>100</v>
      </c>
      <c r="CF29" s="26">
        <v>100</v>
      </c>
      <c r="CG29" s="26">
        <v>100</v>
      </c>
      <c r="CH29" s="26">
        <v>100</v>
      </c>
      <c r="CI29" s="26">
        <v>100</v>
      </c>
      <c r="CJ29" s="26">
        <v>100</v>
      </c>
      <c r="CK29" s="26">
        <v>100</v>
      </c>
      <c r="CL29" s="26">
        <v>100</v>
      </c>
      <c r="CM29" s="26">
        <v>100</v>
      </c>
      <c r="CN29" s="26">
        <v>100</v>
      </c>
      <c r="CO29" s="26">
        <v>100</v>
      </c>
      <c r="CP29" s="26">
        <v>100</v>
      </c>
      <c r="CQ29" s="26">
        <v>100</v>
      </c>
      <c r="CR29" s="26">
        <v>100</v>
      </c>
      <c r="CS29" s="26">
        <v>100</v>
      </c>
      <c r="CT29" s="26">
        <v>100</v>
      </c>
      <c r="CU29" s="26">
        <v>100</v>
      </c>
      <c r="CV29" s="26">
        <v>100</v>
      </c>
      <c r="CW29" s="26">
        <v>100</v>
      </c>
      <c r="CX29" s="26">
        <v>100</v>
      </c>
      <c r="CY29" s="26">
        <v>100</v>
      </c>
      <c r="CZ29" s="26">
        <v>100</v>
      </c>
      <c r="DA29" s="26">
        <v>100</v>
      </c>
      <c r="DB29" s="26">
        <v>100</v>
      </c>
      <c r="DC29" s="26">
        <v>100</v>
      </c>
      <c r="DD29" s="26">
        <v>100</v>
      </c>
      <c r="DE29" s="26">
        <v>100</v>
      </c>
      <c r="DF29" s="26">
        <v>100</v>
      </c>
      <c r="DG29" s="26">
        <v>100</v>
      </c>
      <c r="DH29" s="26">
        <v>100</v>
      </c>
      <c r="DI29" s="26">
        <v>100</v>
      </c>
      <c r="DJ29" s="26">
        <v>100</v>
      </c>
      <c r="DK29" s="26">
        <v>100</v>
      </c>
      <c r="DL29" s="26">
        <v>100</v>
      </c>
      <c r="DM29" s="26">
        <v>100</v>
      </c>
      <c r="DN29" s="26">
        <v>100</v>
      </c>
      <c r="DO29" s="26">
        <v>99.999899999999997</v>
      </c>
      <c r="DP29" s="26">
        <v>100</v>
      </c>
      <c r="DQ29" s="26">
        <v>99.999899999999997</v>
      </c>
      <c r="DR29" s="26">
        <v>100</v>
      </c>
      <c r="DS29" s="26">
        <v>100</v>
      </c>
      <c r="DT29" s="26">
        <v>100</v>
      </c>
      <c r="DU29" s="26">
        <v>100</v>
      </c>
      <c r="DV29" s="26">
        <v>49.621000000000002</v>
      </c>
      <c r="DW29" s="26">
        <v>98.874781451612904</v>
      </c>
      <c r="DX29" s="17">
        <v>12260.472900000001</v>
      </c>
    </row>
    <row r="30" spans="1:128" x14ac:dyDescent="0.25">
      <c r="A30" s="24">
        <v>29</v>
      </c>
      <c r="B30" s="26">
        <v>14</v>
      </c>
      <c r="C30" s="26">
        <v>100</v>
      </c>
      <c r="D30" s="26">
        <v>100</v>
      </c>
      <c r="E30" s="26">
        <v>100</v>
      </c>
      <c r="F30" s="26">
        <v>100</v>
      </c>
      <c r="G30" s="26">
        <v>100</v>
      </c>
      <c r="H30" s="26">
        <v>100</v>
      </c>
      <c r="I30" s="26">
        <v>100</v>
      </c>
      <c r="J30" s="26">
        <v>100</v>
      </c>
      <c r="K30" s="26">
        <v>100</v>
      </c>
      <c r="L30" s="26">
        <v>100</v>
      </c>
      <c r="M30" s="26">
        <v>100</v>
      </c>
      <c r="N30" s="26">
        <v>100</v>
      </c>
      <c r="O30" s="26">
        <v>100</v>
      </c>
      <c r="P30" s="26">
        <v>100</v>
      </c>
      <c r="Q30" s="26">
        <v>100</v>
      </c>
      <c r="R30" s="26">
        <v>61.147599999999997</v>
      </c>
      <c r="S30" s="26">
        <v>100</v>
      </c>
      <c r="T30" s="26">
        <v>71.143599999999992</v>
      </c>
      <c r="U30" s="26">
        <v>100</v>
      </c>
      <c r="V30" s="26">
        <v>100</v>
      </c>
      <c r="W30" s="26">
        <v>100</v>
      </c>
      <c r="X30" s="26">
        <v>100</v>
      </c>
      <c r="Y30" s="26">
        <v>100</v>
      </c>
      <c r="Z30" s="26">
        <v>100</v>
      </c>
      <c r="AA30" s="26">
        <v>100</v>
      </c>
      <c r="AB30" s="26">
        <v>100</v>
      </c>
      <c r="AC30" s="26">
        <v>100</v>
      </c>
      <c r="AD30" s="26">
        <v>100</v>
      </c>
      <c r="AE30" s="26">
        <v>100</v>
      </c>
      <c r="AF30" s="26">
        <v>100</v>
      </c>
      <c r="AG30" s="26">
        <v>100</v>
      </c>
      <c r="AH30" s="26">
        <v>100</v>
      </c>
      <c r="AI30" s="26">
        <v>100</v>
      </c>
      <c r="AJ30" s="26">
        <v>100</v>
      </c>
      <c r="AK30" s="26">
        <v>100</v>
      </c>
      <c r="AL30" s="26">
        <v>100</v>
      </c>
      <c r="AM30" s="26">
        <v>100</v>
      </c>
      <c r="AN30" s="26">
        <v>100</v>
      </c>
      <c r="AO30" s="26">
        <v>100</v>
      </c>
      <c r="AP30" s="26">
        <v>100</v>
      </c>
      <c r="AQ30" s="26">
        <v>100</v>
      </c>
      <c r="AR30" s="26">
        <v>100</v>
      </c>
      <c r="AS30" s="26">
        <v>96.259600000000006</v>
      </c>
      <c r="AT30" s="26">
        <v>100</v>
      </c>
      <c r="AU30" s="26">
        <v>100</v>
      </c>
      <c r="AV30" s="26">
        <v>100</v>
      </c>
      <c r="AW30" s="26">
        <v>100</v>
      </c>
      <c r="AX30" s="26">
        <v>100</v>
      </c>
      <c r="AY30" s="26">
        <v>100</v>
      </c>
      <c r="AZ30" s="26">
        <v>95.162300000000002</v>
      </c>
      <c r="BA30" s="26">
        <v>100</v>
      </c>
      <c r="BB30" s="26">
        <v>100</v>
      </c>
      <c r="BC30" s="26">
        <v>100</v>
      </c>
      <c r="BD30" s="26">
        <v>100</v>
      </c>
      <c r="BE30" s="26">
        <v>100</v>
      </c>
      <c r="BF30" s="26">
        <v>100</v>
      </c>
      <c r="BG30" s="26">
        <v>100</v>
      </c>
      <c r="BH30" s="26">
        <v>100</v>
      </c>
      <c r="BI30" s="26">
        <v>100</v>
      </c>
      <c r="BJ30" s="26">
        <v>100</v>
      </c>
      <c r="BK30" s="26">
        <v>100</v>
      </c>
      <c r="BL30" s="26">
        <v>100</v>
      </c>
      <c r="BM30" s="26">
        <v>100</v>
      </c>
      <c r="BN30" s="26">
        <v>100</v>
      </c>
      <c r="BO30" s="26">
        <v>100</v>
      </c>
      <c r="BP30" s="26">
        <v>100</v>
      </c>
      <c r="BQ30" s="26">
        <v>100</v>
      </c>
      <c r="BR30" s="26">
        <v>100</v>
      </c>
      <c r="BS30" s="26">
        <v>100</v>
      </c>
      <c r="BT30" s="26">
        <v>100</v>
      </c>
      <c r="BU30" s="26">
        <v>100</v>
      </c>
      <c r="BV30" s="26">
        <v>100</v>
      </c>
      <c r="BW30" s="26">
        <v>100</v>
      </c>
      <c r="BX30" s="26">
        <v>100</v>
      </c>
      <c r="BY30" s="26">
        <v>100</v>
      </c>
      <c r="BZ30" s="26">
        <v>100</v>
      </c>
      <c r="CA30" s="26">
        <v>100</v>
      </c>
      <c r="CB30" s="26">
        <v>100</v>
      </c>
      <c r="CC30" s="26">
        <v>100</v>
      </c>
      <c r="CD30" s="26">
        <v>100</v>
      </c>
      <c r="CE30" s="26">
        <v>100</v>
      </c>
      <c r="CF30" s="26">
        <v>100</v>
      </c>
      <c r="CG30" s="26">
        <v>100</v>
      </c>
      <c r="CH30" s="26">
        <v>100</v>
      </c>
      <c r="CI30" s="26">
        <v>100</v>
      </c>
      <c r="CJ30" s="26">
        <v>100</v>
      </c>
      <c r="CK30" s="26">
        <v>100</v>
      </c>
      <c r="CL30" s="26">
        <v>100</v>
      </c>
      <c r="CM30" s="26">
        <v>100</v>
      </c>
      <c r="CN30" s="26">
        <v>100</v>
      </c>
      <c r="CO30" s="26">
        <v>100</v>
      </c>
      <c r="CP30" s="26">
        <v>100</v>
      </c>
      <c r="CQ30" s="26">
        <v>100</v>
      </c>
      <c r="CR30" s="26">
        <v>100</v>
      </c>
      <c r="CS30" s="26">
        <v>100</v>
      </c>
      <c r="CT30" s="26">
        <v>100</v>
      </c>
      <c r="CU30" s="26">
        <v>100</v>
      </c>
      <c r="CV30" s="26">
        <v>100</v>
      </c>
      <c r="CW30" s="26">
        <v>100</v>
      </c>
      <c r="CX30" s="26">
        <v>100</v>
      </c>
      <c r="CY30" s="26">
        <v>100</v>
      </c>
      <c r="CZ30" s="26">
        <v>100</v>
      </c>
      <c r="DA30" s="26">
        <v>100</v>
      </c>
      <c r="DB30" s="26">
        <v>100</v>
      </c>
      <c r="DC30" s="26">
        <v>100</v>
      </c>
      <c r="DD30" s="26">
        <v>100</v>
      </c>
      <c r="DE30" s="26">
        <v>100</v>
      </c>
      <c r="DF30" s="26">
        <v>100</v>
      </c>
      <c r="DG30" s="26">
        <v>100</v>
      </c>
      <c r="DH30" s="26">
        <v>100</v>
      </c>
      <c r="DI30" s="26">
        <v>100</v>
      </c>
      <c r="DJ30" s="26">
        <v>100</v>
      </c>
      <c r="DK30" s="26">
        <v>100</v>
      </c>
      <c r="DL30" s="26">
        <v>100</v>
      </c>
      <c r="DM30" s="26">
        <v>100</v>
      </c>
      <c r="DN30" s="26">
        <v>100</v>
      </c>
      <c r="DO30" s="26">
        <v>99.999899999999997</v>
      </c>
      <c r="DP30" s="26">
        <v>100</v>
      </c>
      <c r="DQ30" s="26">
        <v>99.999899999999997</v>
      </c>
      <c r="DR30" s="26">
        <v>100</v>
      </c>
      <c r="DS30" s="26">
        <v>100</v>
      </c>
      <c r="DT30" s="26">
        <v>100</v>
      </c>
      <c r="DU30" s="26">
        <v>100</v>
      </c>
      <c r="DV30" s="26">
        <v>52.749299999999998</v>
      </c>
      <c r="DW30" s="26">
        <v>99.00372741935486</v>
      </c>
      <c r="DX30" s="17">
        <v>12276.4622</v>
      </c>
    </row>
    <row r="31" spans="1:128" x14ac:dyDescent="0.25">
      <c r="A31" s="24">
        <v>30</v>
      </c>
      <c r="B31" s="26">
        <v>14.5</v>
      </c>
      <c r="C31" s="26">
        <v>100</v>
      </c>
      <c r="D31" s="26">
        <v>100</v>
      </c>
      <c r="E31" s="26">
        <v>100</v>
      </c>
      <c r="F31" s="26">
        <v>100</v>
      </c>
      <c r="G31" s="26">
        <v>100</v>
      </c>
      <c r="H31" s="26">
        <v>100</v>
      </c>
      <c r="I31" s="26">
        <v>100</v>
      </c>
      <c r="J31" s="26">
        <v>100</v>
      </c>
      <c r="K31" s="26">
        <v>100</v>
      </c>
      <c r="L31" s="26">
        <v>100</v>
      </c>
      <c r="M31" s="26">
        <v>100</v>
      </c>
      <c r="N31" s="26">
        <v>100</v>
      </c>
      <c r="O31" s="26">
        <v>100</v>
      </c>
      <c r="P31" s="26">
        <v>100</v>
      </c>
      <c r="Q31" s="26">
        <v>100</v>
      </c>
      <c r="R31" s="26">
        <v>68.01939999999999</v>
      </c>
      <c r="S31" s="26">
        <v>100</v>
      </c>
      <c r="T31" s="26">
        <v>78.621899999999997</v>
      </c>
      <c r="U31" s="26">
        <v>100</v>
      </c>
      <c r="V31" s="26">
        <v>100</v>
      </c>
      <c r="W31" s="26">
        <v>100</v>
      </c>
      <c r="X31" s="26">
        <v>100</v>
      </c>
      <c r="Y31" s="26">
        <v>100</v>
      </c>
      <c r="Z31" s="26">
        <v>100</v>
      </c>
      <c r="AA31" s="26">
        <v>100</v>
      </c>
      <c r="AB31" s="26">
        <v>100</v>
      </c>
      <c r="AC31" s="26">
        <v>100</v>
      </c>
      <c r="AD31" s="26">
        <v>100</v>
      </c>
      <c r="AE31" s="26">
        <v>100</v>
      </c>
      <c r="AF31" s="26">
        <v>100</v>
      </c>
      <c r="AG31" s="26">
        <v>100</v>
      </c>
      <c r="AH31" s="26">
        <v>100</v>
      </c>
      <c r="AI31" s="26">
        <v>100</v>
      </c>
      <c r="AJ31" s="26">
        <v>100</v>
      </c>
      <c r="AK31" s="26">
        <v>100</v>
      </c>
      <c r="AL31" s="26">
        <v>100</v>
      </c>
      <c r="AM31" s="26">
        <v>100</v>
      </c>
      <c r="AN31" s="26">
        <v>100</v>
      </c>
      <c r="AO31" s="26">
        <v>100</v>
      </c>
      <c r="AP31" s="26">
        <v>100</v>
      </c>
      <c r="AQ31" s="26">
        <v>90.630499999999998</v>
      </c>
      <c r="AR31" s="26">
        <v>100</v>
      </c>
      <c r="AS31" s="26">
        <v>96.259600000000006</v>
      </c>
      <c r="AT31" s="26">
        <v>100</v>
      </c>
      <c r="AU31" s="26">
        <v>100</v>
      </c>
      <c r="AV31" s="26">
        <v>100</v>
      </c>
      <c r="AW31" s="26">
        <v>100</v>
      </c>
      <c r="AX31" s="26">
        <v>100</v>
      </c>
      <c r="AY31" s="26">
        <v>100</v>
      </c>
      <c r="AZ31" s="26">
        <v>85.989499999999992</v>
      </c>
      <c r="BA31" s="26">
        <v>100</v>
      </c>
      <c r="BB31" s="26">
        <v>100</v>
      </c>
      <c r="BC31" s="26">
        <v>100</v>
      </c>
      <c r="BD31" s="26">
        <v>100</v>
      </c>
      <c r="BE31" s="26">
        <v>100</v>
      </c>
      <c r="BF31" s="26">
        <v>100</v>
      </c>
      <c r="BG31" s="26">
        <v>100</v>
      </c>
      <c r="BH31" s="26">
        <v>100</v>
      </c>
      <c r="BI31" s="26">
        <v>100</v>
      </c>
      <c r="BJ31" s="26">
        <v>100</v>
      </c>
      <c r="BK31" s="26">
        <v>100</v>
      </c>
      <c r="BL31" s="26">
        <v>100</v>
      </c>
      <c r="BM31" s="26">
        <v>100</v>
      </c>
      <c r="BN31" s="26">
        <v>100</v>
      </c>
      <c r="BO31" s="26">
        <v>100</v>
      </c>
      <c r="BP31" s="26">
        <v>100</v>
      </c>
      <c r="BQ31" s="26">
        <v>100</v>
      </c>
      <c r="BR31" s="26">
        <v>100</v>
      </c>
      <c r="BS31" s="26">
        <v>100</v>
      </c>
      <c r="BT31" s="26">
        <v>100</v>
      </c>
      <c r="BU31" s="26">
        <v>100</v>
      </c>
      <c r="BV31" s="26">
        <v>100</v>
      </c>
      <c r="BW31" s="26">
        <v>100</v>
      </c>
      <c r="BX31" s="26">
        <v>100</v>
      </c>
      <c r="BY31" s="26">
        <v>100</v>
      </c>
      <c r="BZ31" s="26">
        <v>100</v>
      </c>
      <c r="CA31" s="26">
        <v>100</v>
      </c>
      <c r="CB31" s="26">
        <v>100</v>
      </c>
      <c r="CC31" s="26">
        <v>100</v>
      </c>
      <c r="CD31" s="26">
        <v>100</v>
      </c>
      <c r="CE31" s="26">
        <v>100</v>
      </c>
      <c r="CF31" s="26">
        <v>100</v>
      </c>
      <c r="CG31" s="26">
        <v>100</v>
      </c>
      <c r="CH31" s="26">
        <v>100</v>
      </c>
      <c r="CI31" s="26">
        <v>100</v>
      </c>
      <c r="CJ31" s="26">
        <v>100</v>
      </c>
      <c r="CK31" s="26">
        <v>100</v>
      </c>
      <c r="CL31" s="26">
        <v>100</v>
      </c>
      <c r="CM31" s="26">
        <v>100</v>
      </c>
      <c r="CN31" s="26">
        <v>100</v>
      </c>
      <c r="CO31" s="26">
        <v>100</v>
      </c>
      <c r="CP31" s="26">
        <v>100</v>
      </c>
      <c r="CQ31" s="26">
        <v>100</v>
      </c>
      <c r="CR31" s="26">
        <v>100</v>
      </c>
      <c r="CS31" s="26">
        <v>100</v>
      </c>
      <c r="CT31" s="26">
        <v>100</v>
      </c>
      <c r="CU31" s="26">
        <v>100</v>
      </c>
      <c r="CV31" s="26">
        <v>100</v>
      </c>
      <c r="CW31" s="26">
        <v>100</v>
      </c>
      <c r="CX31" s="26">
        <v>100</v>
      </c>
      <c r="CY31" s="26">
        <v>100</v>
      </c>
      <c r="CZ31" s="26">
        <v>100</v>
      </c>
      <c r="DA31" s="26">
        <v>100</v>
      </c>
      <c r="DB31" s="26">
        <v>100</v>
      </c>
      <c r="DC31" s="26">
        <v>100</v>
      </c>
      <c r="DD31" s="26">
        <v>100</v>
      </c>
      <c r="DE31" s="26">
        <v>100</v>
      </c>
      <c r="DF31" s="26">
        <v>100</v>
      </c>
      <c r="DG31" s="26">
        <v>100</v>
      </c>
      <c r="DH31" s="26">
        <v>100</v>
      </c>
      <c r="DI31" s="26">
        <v>100</v>
      </c>
      <c r="DJ31" s="26">
        <v>100</v>
      </c>
      <c r="DK31" s="26">
        <v>100</v>
      </c>
      <c r="DL31" s="26">
        <v>100</v>
      </c>
      <c r="DM31" s="26">
        <v>100</v>
      </c>
      <c r="DN31" s="26">
        <v>100</v>
      </c>
      <c r="DO31" s="26">
        <v>99.999899999999997</v>
      </c>
      <c r="DP31" s="26">
        <v>100</v>
      </c>
      <c r="DQ31" s="26">
        <v>99.999899999999997</v>
      </c>
      <c r="DR31" s="26">
        <v>100</v>
      </c>
      <c r="DS31" s="26">
        <v>100</v>
      </c>
      <c r="DT31" s="26">
        <v>100</v>
      </c>
      <c r="DU31" s="26">
        <v>100</v>
      </c>
      <c r="DV31" s="26">
        <v>60.182299999999998</v>
      </c>
      <c r="DW31" s="26">
        <v>99.029862903225819</v>
      </c>
      <c r="DX31" s="17">
        <v>12279.703</v>
      </c>
    </row>
    <row r="32" spans="1:128" x14ac:dyDescent="0.25">
      <c r="A32" s="24">
        <v>31</v>
      </c>
      <c r="B32" s="26">
        <v>15</v>
      </c>
      <c r="C32" s="26">
        <v>100</v>
      </c>
      <c r="D32" s="26">
        <v>100</v>
      </c>
      <c r="E32" s="26">
        <v>100</v>
      </c>
      <c r="F32" s="26">
        <v>100</v>
      </c>
      <c r="G32" s="26">
        <v>100</v>
      </c>
      <c r="H32" s="26">
        <v>100</v>
      </c>
      <c r="I32" s="26">
        <v>100</v>
      </c>
      <c r="J32" s="26">
        <v>100</v>
      </c>
      <c r="K32" s="26">
        <v>100</v>
      </c>
      <c r="L32" s="26">
        <v>100</v>
      </c>
      <c r="M32" s="26">
        <v>100</v>
      </c>
      <c r="N32" s="26">
        <v>100</v>
      </c>
      <c r="O32" s="26">
        <v>100</v>
      </c>
      <c r="P32" s="26">
        <v>100</v>
      </c>
      <c r="Q32" s="26">
        <v>95.517899999999997</v>
      </c>
      <c r="R32" s="26">
        <v>77.668199999999999</v>
      </c>
      <c r="S32" s="26">
        <v>100</v>
      </c>
      <c r="T32" s="26">
        <v>85.267400000000009</v>
      </c>
      <c r="U32" s="26">
        <v>100</v>
      </c>
      <c r="V32" s="26">
        <v>100</v>
      </c>
      <c r="W32" s="26">
        <v>100</v>
      </c>
      <c r="X32" s="26">
        <v>100</v>
      </c>
      <c r="Y32" s="26">
        <v>100</v>
      </c>
      <c r="Z32" s="26">
        <v>100</v>
      </c>
      <c r="AA32" s="26">
        <v>100</v>
      </c>
      <c r="AB32" s="26">
        <v>100</v>
      </c>
      <c r="AC32" s="26">
        <v>100</v>
      </c>
      <c r="AD32" s="26">
        <v>100</v>
      </c>
      <c r="AE32" s="26">
        <v>100</v>
      </c>
      <c r="AF32" s="26">
        <v>100</v>
      </c>
      <c r="AG32" s="26">
        <v>100</v>
      </c>
      <c r="AH32" s="26">
        <v>100</v>
      </c>
      <c r="AI32" s="26">
        <v>100</v>
      </c>
      <c r="AJ32" s="26">
        <v>100</v>
      </c>
      <c r="AK32" s="26">
        <v>100</v>
      </c>
      <c r="AL32" s="26">
        <v>100</v>
      </c>
      <c r="AM32" s="26">
        <v>100</v>
      </c>
      <c r="AN32" s="26">
        <v>100</v>
      </c>
      <c r="AO32" s="26">
        <v>100</v>
      </c>
      <c r="AP32" s="26">
        <v>100</v>
      </c>
      <c r="AQ32" s="26">
        <v>100</v>
      </c>
      <c r="AR32" s="26">
        <v>100</v>
      </c>
      <c r="AS32" s="26">
        <v>87.263999999999996</v>
      </c>
      <c r="AT32" s="26">
        <v>100</v>
      </c>
      <c r="AU32" s="26">
        <v>100</v>
      </c>
      <c r="AV32" s="26">
        <v>100</v>
      </c>
      <c r="AW32" s="26">
        <v>100</v>
      </c>
      <c r="AX32" s="26">
        <v>100</v>
      </c>
      <c r="AY32" s="26">
        <v>100</v>
      </c>
      <c r="AZ32" s="26">
        <v>99.999899999999997</v>
      </c>
      <c r="BA32" s="26">
        <v>100</v>
      </c>
      <c r="BB32" s="26">
        <v>100</v>
      </c>
      <c r="BC32" s="26">
        <v>100</v>
      </c>
      <c r="BD32" s="26">
        <v>100</v>
      </c>
      <c r="BE32" s="26">
        <v>100</v>
      </c>
      <c r="BF32" s="26">
        <v>100</v>
      </c>
      <c r="BG32" s="26">
        <v>100</v>
      </c>
      <c r="BH32" s="26">
        <v>100</v>
      </c>
      <c r="BI32" s="26">
        <v>100</v>
      </c>
      <c r="BJ32" s="26">
        <v>100</v>
      </c>
      <c r="BK32" s="26">
        <v>100</v>
      </c>
      <c r="BL32" s="26">
        <v>100</v>
      </c>
      <c r="BM32" s="26">
        <v>100</v>
      </c>
      <c r="BN32" s="26">
        <v>100</v>
      </c>
      <c r="BO32" s="26">
        <v>100</v>
      </c>
      <c r="BP32" s="26">
        <v>100</v>
      </c>
      <c r="BQ32" s="26">
        <v>100</v>
      </c>
      <c r="BR32" s="26">
        <v>100</v>
      </c>
      <c r="BS32" s="26">
        <v>86.906999999999996</v>
      </c>
      <c r="BT32" s="26">
        <v>100</v>
      </c>
      <c r="BU32" s="26">
        <v>100</v>
      </c>
      <c r="BV32" s="26">
        <v>100</v>
      </c>
      <c r="BW32" s="26">
        <v>100</v>
      </c>
      <c r="BX32" s="26">
        <v>100</v>
      </c>
      <c r="BY32" s="26">
        <v>100</v>
      </c>
      <c r="BZ32" s="26">
        <v>100</v>
      </c>
      <c r="CA32" s="26">
        <v>100</v>
      </c>
      <c r="CB32" s="26">
        <v>100</v>
      </c>
      <c r="CC32" s="26">
        <v>100</v>
      </c>
      <c r="CD32" s="26">
        <v>100</v>
      </c>
      <c r="CE32" s="26">
        <v>100</v>
      </c>
      <c r="CF32" s="26">
        <v>100</v>
      </c>
      <c r="CG32" s="26">
        <v>100</v>
      </c>
      <c r="CH32" s="26">
        <v>100</v>
      </c>
      <c r="CI32" s="26">
        <v>95.063699999999997</v>
      </c>
      <c r="CJ32" s="26">
        <v>100</v>
      </c>
      <c r="CK32" s="26">
        <v>100</v>
      </c>
      <c r="CL32" s="26">
        <v>100</v>
      </c>
      <c r="CM32" s="26">
        <v>100</v>
      </c>
      <c r="CN32" s="26">
        <v>100</v>
      </c>
      <c r="CO32" s="26">
        <v>100</v>
      </c>
      <c r="CP32" s="26">
        <v>100</v>
      </c>
      <c r="CQ32" s="26">
        <v>100</v>
      </c>
      <c r="CR32" s="26">
        <v>100</v>
      </c>
      <c r="CS32" s="26">
        <v>100</v>
      </c>
      <c r="CT32" s="26">
        <v>100</v>
      </c>
      <c r="CU32" s="26">
        <v>100</v>
      </c>
      <c r="CV32" s="26">
        <v>100</v>
      </c>
      <c r="CW32" s="26">
        <v>100</v>
      </c>
      <c r="CX32" s="26">
        <v>100</v>
      </c>
      <c r="CY32" s="26">
        <v>100</v>
      </c>
      <c r="CZ32" s="26">
        <v>100</v>
      </c>
      <c r="DA32" s="26">
        <v>100</v>
      </c>
      <c r="DB32" s="26">
        <v>100</v>
      </c>
      <c r="DC32" s="26">
        <v>100</v>
      </c>
      <c r="DD32" s="26">
        <v>100</v>
      </c>
      <c r="DE32" s="26">
        <v>100</v>
      </c>
      <c r="DF32" s="26">
        <v>93.629099999999994</v>
      </c>
      <c r="DG32" s="26">
        <v>100</v>
      </c>
      <c r="DH32" s="26">
        <v>100</v>
      </c>
      <c r="DI32" s="26">
        <v>100</v>
      </c>
      <c r="DJ32" s="26">
        <v>100</v>
      </c>
      <c r="DK32" s="26">
        <v>100</v>
      </c>
      <c r="DL32" s="26">
        <v>100</v>
      </c>
      <c r="DM32" s="26">
        <v>100</v>
      </c>
      <c r="DN32" s="26">
        <v>100</v>
      </c>
      <c r="DO32" s="26">
        <v>99.999899999999997</v>
      </c>
      <c r="DP32" s="26">
        <v>92.70620000000001</v>
      </c>
      <c r="DQ32" s="26">
        <v>99.999899999999997</v>
      </c>
      <c r="DR32" s="26">
        <v>100</v>
      </c>
      <c r="DS32" s="26">
        <v>100</v>
      </c>
      <c r="DT32" s="26">
        <v>100</v>
      </c>
      <c r="DU32" s="26">
        <v>100</v>
      </c>
      <c r="DV32" s="26">
        <v>64.277299999999997</v>
      </c>
      <c r="DW32" s="26">
        <v>99.018552419354862</v>
      </c>
      <c r="DX32" s="17">
        <v>12278.300499999999</v>
      </c>
    </row>
    <row r="33" spans="1:128" x14ac:dyDescent="0.25">
      <c r="A33" s="24">
        <v>32</v>
      </c>
      <c r="B33" s="26">
        <v>15.5</v>
      </c>
      <c r="C33" s="26">
        <v>100</v>
      </c>
      <c r="D33" s="26">
        <v>100</v>
      </c>
      <c r="E33" s="26">
        <v>100</v>
      </c>
      <c r="F33" s="26">
        <v>100</v>
      </c>
      <c r="G33" s="26">
        <v>100</v>
      </c>
      <c r="H33" s="26">
        <v>100</v>
      </c>
      <c r="I33" s="26">
        <v>100</v>
      </c>
      <c r="J33" s="26">
        <v>100</v>
      </c>
      <c r="K33" s="26">
        <v>100</v>
      </c>
      <c r="L33" s="26">
        <v>100</v>
      </c>
      <c r="M33" s="26">
        <v>100</v>
      </c>
      <c r="N33" s="26">
        <v>100</v>
      </c>
      <c r="O33" s="26">
        <v>100</v>
      </c>
      <c r="P33" s="26">
        <v>100</v>
      </c>
      <c r="Q33" s="26">
        <v>100</v>
      </c>
      <c r="R33" s="26">
        <v>84.512799999999999</v>
      </c>
      <c r="S33" s="26">
        <v>100</v>
      </c>
      <c r="T33" s="26">
        <v>89.488</v>
      </c>
      <c r="U33" s="26">
        <v>100</v>
      </c>
      <c r="V33" s="26">
        <v>100</v>
      </c>
      <c r="W33" s="26">
        <v>100</v>
      </c>
      <c r="X33" s="26">
        <v>100</v>
      </c>
      <c r="Y33" s="26">
        <v>100</v>
      </c>
      <c r="Z33" s="26">
        <v>100</v>
      </c>
      <c r="AA33" s="26">
        <v>100</v>
      </c>
      <c r="AB33" s="26">
        <v>100</v>
      </c>
      <c r="AC33" s="26">
        <v>100</v>
      </c>
      <c r="AD33" s="26">
        <v>100</v>
      </c>
      <c r="AE33" s="26">
        <v>100</v>
      </c>
      <c r="AF33" s="26">
        <v>100</v>
      </c>
      <c r="AG33" s="26">
        <v>100</v>
      </c>
      <c r="AH33" s="26">
        <v>100</v>
      </c>
      <c r="AI33" s="26">
        <v>100</v>
      </c>
      <c r="AJ33" s="26">
        <v>100</v>
      </c>
      <c r="AK33" s="26">
        <v>100</v>
      </c>
      <c r="AL33" s="26">
        <v>100</v>
      </c>
      <c r="AM33" s="26">
        <v>100</v>
      </c>
      <c r="AN33" s="26">
        <v>100</v>
      </c>
      <c r="AO33" s="26">
        <v>100</v>
      </c>
      <c r="AP33" s="26">
        <v>100</v>
      </c>
      <c r="AQ33" s="26">
        <v>100</v>
      </c>
      <c r="AR33" s="26">
        <v>100</v>
      </c>
      <c r="AS33" s="26">
        <v>83.343199999999996</v>
      </c>
      <c r="AT33" s="26">
        <v>100</v>
      </c>
      <c r="AU33" s="26">
        <v>100</v>
      </c>
      <c r="AV33" s="26">
        <v>100</v>
      </c>
      <c r="AW33" s="26">
        <v>100</v>
      </c>
      <c r="AX33" s="26">
        <v>100</v>
      </c>
      <c r="AY33" s="26">
        <v>100</v>
      </c>
      <c r="AZ33" s="26">
        <v>99.999899999999997</v>
      </c>
      <c r="BA33" s="26">
        <v>100</v>
      </c>
      <c r="BB33" s="26">
        <v>100</v>
      </c>
      <c r="BC33" s="26">
        <v>100</v>
      </c>
      <c r="BD33" s="26">
        <v>100</v>
      </c>
      <c r="BE33" s="26">
        <v>100</v>
      </c>
      <c r="BF33" s="26">
        <v>100</v>
      </c>
      <c r="BG33" s="26">
        <v>96.414999999999992</v>
      </c>
      <c r="BH33" s="26">
        <v>100</v>
      </c>
      <c r="BI33" s="26">
        <v>100</v>
      </c>
      <c r="BJ33" s="26">
        <v>100</v>
      </c>
      <c r="BK33" s="26">
        <v>100</v>
      </c>
      <c r="BL33" s="26">
        <v>100</v>
      </c>
      <c r="BM33" s="26">
        <v>100</v>
      </c>
      <c r="BN33" s="26">
        <v>100</v>
      </c>
      <c r="BO33" s="26">
        <v>100</v>
      </c>
      <c r="BP33" s="26">
        <v>100</v>
      </c>
      <c r="BQ33" s="26">
        <v>100</v>
      </c>
      <c r="BR33" s="26">
        <v>100</v>
      </c>
      <c r="BS33" s="26">
        <v>69.420900000000003</v>
      </c>
      <c r="BT33" s="26">
        <v>100</v>
      </c>
      <c r="BU33" s="26">
        <v>100</v>
      </c>
      <c r="BV33" s="26">
        <v>100</v>
      </c>
      <c r="BW33" s="26">
        <v>100</v>
      </c>
      <c r="BX33" s="26">
        <v>100</v>
      </c>
      <c r="BY33" s="26">
        <v>100</v>
      </c>
      <c r="BZ33" s="26">
        <v>100</v>
      </c>
      <c r="CA33" s="26">
        <v>100</v>
      </c>
      <c r="CB33" s="26">
        <v>100</v>
      </c>
      <c r="CC33" s="26">
        <v>100</v>
      </c>
      <c r="CD33" s="26">
        <v>100</v>
      </c>
      <c r="CE33" s="26">
        <v>100</v>
      </c>
      <c r="CF33" s="26">
        <v>100</v>
      </c>
      <c r="CG33" s="26">
        <v>100</v>
      </c>
      <c r="CH33" s="26">
        <v>100</v>
      </c>
      <c r="CI33" s="26">
        <v>100</v>
      </c>
      <c r="CJ33" s="26">
        <v>100</v>
      </c>
      <c r="CK33" s="26">
        <v>100</v>
      </c>
      <c r="CL33" s="26">
        <v>100</v>
      </c>
      <c r="CM33" s="26">
        <v>100</v>
      </c>
      <c r="CN33" s="26">
        <v>100</v>
      </c>
      <c r="CO33" s="26">
        <v>100</v>
      </c>
      <c r="CP33" s="26">
        <v>100</v>
      </c>
      <c r="CQ33" s="26">
        <v>100</v>
      </c>
      <c r="CR33" s="26">
        <v>100</v>
      </c>
      <c r="CS33" s="26">
        <v>100</v>
      </c>
      <c r="CT33" s="26">
        <v>100</v>
      </c>
      <c r="CU33" s="26">
        <v>100</v>
      </c>
      <c r="CV33" s="26">
        <v>100</v>
      </c>
      <c r="CW33" s="26">
        <v>100</v>
      </c>
      <c r="CX33" s="26">
        <v>100</v>
      </c>
      <c r="CY33" s="26">
        <v>100</v>
      </c>
      <c r="CZ33" s="26">
        <v>100</v>
      </c>
      <c r="DA33" s="26">
        <v>100</v>
      </c>
      <c r="DB33" s="26">
        <v>100</v>
      </c>
      <c r="DC33" s="26">
        <v>100</v>
      </c>
      <c r="DD33" s="26">
        <v>100</v>
      </c>
      <c r="DE33" s="26">
        <v>100</v>
      </c>
      <c r="DF33" s="26">
        <v>86.064599999999999</v>
      </c>
      <c r="DG33" s="26">
        <v>100</v>
      </c>
      <c r="DH33" s="26">
        <v>100</v>
      </c>
      <c r="DI33" s="26">
        <v>100</v>
      </c>
      <c r="DJ33" s="26">
        <v>100</v>
      </c>
      <c r="DK33" s="26">
        <v>100</v>
      </c>
      <c r="DL33" s="26">
        <v>100</v>
      </c>
      <c r="DM33" s="26">
        <v>100</v>
      </c>
      <c r="DN33" s="26">
        <v>100</v>
      </c>
      <c r="DO33" s="26">
        <v>99.999899999999997</v>
      </c>
      <c r="DP33" s="26">
        <v>90.759799999999998</v>
      </c>
      <c r="DQ33" s="26">
        <v>99.999899999999997</v>
      </c>
      <c r="DR33" s="26">
        <v>100</v>
      </c>
      <c r="DS33" s="26">
        <v>100</v>
      </c>
      <c r="DT33" s="26">
        <v>99.243400000000008</v>
      </c>
      <c r="DU33" s="26">
        <v>100</v>
      </c>
      <c r="DV33" s="26">
        <v>67.908100000000005</v>
      </c>
      <c r="DW33" s="26">
        <v>98.928673387096779</v>
      </c>
      <c r="DX33" s="17">
        <v>12267.155500000001</v>
      </c>
    </row>
    <row r="34" spans="1:128" x14ac:dyDescent="0.25">
      <c r="A34" s="24">
        <v>33</v>
      </c>
      <c r="B34" s="26">
        <v>16</v>
      </c>
      <c r="C34" s="26">
        <v>100</v>
      </c>
      <c r="D34" s="26">
        <v>100</v>
      </c>
      <c r="E34" s="26">
        <v>100</v>
      </c>
      <c r="F34" s="26">
        <v>100</v>
      </c>
      <c r="G34" s="26">
        <v>100</v>
      </c>
      <c r="H34" s="26">
        <v>100</v>
      </c>
      <c r="I34" s="26">
        <v>100</v>
      </c>
      <c r="J34" s="26">
        <v>100</v>
      </c>
      <c r="K34" s="26">
        <v>100</v>
      </c>
      <c r="L34" s="26">
        <v>100</v>
      </c>
      <c r="M34" s="26">
        <v>100</v>
      </c>
      <c r="N34" s="26">
        <v>100</v>
      </c>
      <c r="O34" s="26">
        <v>100</v>
      </c>
      <c r="P34" s="26">
        <v>100</v>
      </c>
      <c r="Q34" s="26">
        <v>100</v>
      </c>
      <c r="R34" s="26">
        <v>90.95259999999999</v>
      </c>
      <c r="S34" s="26">
        <v>100</v>
      </c>
      <c r="T34" s="26">
        <v>95.8566</v>
      </c>
      <c r="U34" s="26">
        <v>100</v>
      </c>
      <c r="V34" s="26">
        <v>100</v>
      </c>
      <c r="W34" s="26">
        <v>100</v>
      </c>
      <c r="X34" s="26">
        <v>100</v>
      </c>
      <c r="Y34" s="26">
        <v>100</v>
      </c>
      <c r="Z34" s="26">
        <v>100</v>
      </c>
      <c r="AA34" s="26">
        <v>100</v>
      </c>
      <c r="AB34" s="26">
        <v>100</v>
      </c>
      <c r="AC34" s="26">
        <v>100</v>
      </c>
      <c r="AD34" s="26">
        <v>100</v>
      </c>
      <c r="AE34" s="26">
        <v>100</v>
      </c>
      <c r="AF34" s="26">
        <v>100</v>
      </c>
      <c r="AG34" s="26">
        <v>100</v>
      </c>
      <c r="AH34" s="26">
        <v>100</v>
      </c>
      <c r="AI34" s="26">
        <v>100</v>
      </c>
      <c r="AJ34" s="26">
        <v>100</v>
      </c>
      <c r="AK34" s="26">
        <v>100</v>
      </c>
      <c r="AL34" s="26">
        <v>100</v>
      </c>
      <c r="AM34" s="26">
        <v>100</v>
      </c>
      <c r="AN34" s="26">
        <v>100</v>
      </c>
      <c r="AO34" s="26">
        <v>100</v>
      </c>
      <c r="AP34" s="26">
        <v>100</v>
      </c>
      <c r="AQ34" s="26">
        <v>100</v>
      </c>
      <c r="AR34" s="26">
        <v>100</v>
      </c>
      <c r="AS34" s="26">
        <v>94.454000000000008</v>
      </c>
      <c r="AT34" s="26">
        <v>100</v>
      </c>
      <c r="AU34" s="26">
        <v>100</v>
      </c>
      <c r="AV34" s="26">
        <v>100</v>
      </c>
      <c r="AW34" s="26">
        <v>100</v>
      </c>
      <c r="AX34" s="26">
        <v>100</v>
      </c>
      <c r="AY34" s="26">
        <v>100</v>
      </c>
      <c r="AZ34" s="26">
        <v>99.999899999999997</v>
      </c>
      <c r="BA34" s="26">
        <v>100</v>
      </c>
      <c r="BB34" s="26">
        <v>100</v>
      </c>
      <c r="BC34" s="26">
        <v>100</v>
      </c>
      <c r="BD34" s="26">
        <v>100</v>
      </c>
      <c r="BE34" s="26">
        <v>100</v>
      </c>
      <c r="BF34" s="26">
        <v>100</v>
      </c>
      <c r="BG34" s="26">
        <v>97.575599999999994</v>
      </c>
      <c r="BH34" s="26">
        <v>100</v>
      </c>
      <c r="BI34" s="26">
        <v>100</v>
      </c>
      <c r="BJ34" s="26">
        <v>100</v>
      </c>
      <c r="BK34" s="26">
        <v>100</v>
      </c>
      <c r="BL34" s="26">
        <v>100</v>
      </c>
      <c r="BM34" s="26">
        <v>100</v>
      </c>
      <c r="BN34" s="26">
        <v>100</v>
      </c>
      <c r="BO34" s="26">
        <v>100</v>
      </c>
      <c r="BP34" s="26">
        <v>100</v>
      </c>
      <c r="BQ34" s="26">
        <v>100</v>
      </c>
      <c r="BR34" s="26">
        <v>100</v>
      </c>
      <c r="BS34" s="26">
        <v>70.143799999999999</v>
      </c>
      <c r="BT34" s="26">
        <v>100</v>
      </c>
      <c r="BU34" s="26">
        <v>100</v>
      </c>
      <c r="BV34" s="26">
        <v>100</v>
      </c>
      <c r="BW34" s="26">
        <v>100</v>
      </c>
      <c r="BX34" s="26">
        <v>100</v>
      </c>
      <c r="BY34" s="26">
        <v>100</v>
      </c>
      <c r="BZ34" s="26">
        <v>100</v>
      </c>
      <c r="CA34" s="26">
        <v>100</v>
      </c>
      <c r="CB34" s="26">
        <v>100</v>
      </c>
      <c r="CC34" s="26">
        <v>100</v>
      </c>
      <c r="CD34" s="26">
        <v>100</v>
      </c>
      <c r="CE34" s="26">
        <v>100</v>
      </c>
      <c r="CF34" s="26">
        <v>100</v>
      </c>
      <c r="CG34" s="26">
        <v>100</v>
      </c>
      <c r="CH34" s="26">
        <v>100</v>
      </c>
      <c r="CI34" s="26">
        <v>100</v>
      </c>
      <c r="CJ34" s="26">
        <v>100</v>
      </c>
      <c r="CK34" s="26">
        <v>100</v>
      </c>
      <c r="CL34" s="26">
        <v>100</v>
      </c>
      <c r="CM34" s="26">
        <v>100</v>
      </c>
      <c r="CN34" s="26">
        <v>100</v>
      </c>
      <c r="CO34" s="26">
        <v>100</v>
      </c>
      <c r="CP34" s="26">
        <v>100</v>
      </c>
      <c r="CQ34" s="26">
        <v>100</v>
      </c>
      <c r="CR34" s="26">
        <v>100</v>
      </c>
      <c r="CS34" s="26">
        <v>100</v>
      </c>
      <c r="CT34" s="26">
        <v>100</v>
      </c>
      <c r="CU34" s="26">
        <v>100</v>
      </c>
      <c r="CV34" s="26">
        <v>100</v>
      </c>
      <c r="CW34" s="26">
        <v>100</v>
      </c>
      <c r="CX34" s="26">
        <v>100</v>
      </c>
      <c r="CY34" s="26">
        <v>100</v>
      </c>
      <c r="CZ34" s="26">
        <v>100</v>
      </c>
      <c r="DA34" s="26">
        <v>100</v>
      </c>
      <c r="DB34" s="26">
        <v>100</v>
      </c>
      <c r="DC34" s="26">
        <v>100</v>
      </c>
      <c r="DD34" s="26">
        <v>100</v>
      </c>
      <c r="DE34" s="26">
        <v>100</v>
      </c>
      <c r="DF34" s="26">
        <v>100</v>
      </c>
      <c r="DG34" s="26">
        <v>100</v>
      </c>
      <c r="DH34" s="26">
        <v>100</v>
      </c>
      <c r="DI34" s="26">
        <v>100</v>
      </c>
      <c r="DJ34" s="26">
        <v>100</v>
      </c>
      <c r="DK34" s="26">
        <v>100</v>
      </c>
      <c r="DL34" s="26">
        <v>100</v>
      </c>
      <c r="DM34" s="26">
        <v>100</v>
      </c>
      <c r="DN34" s="26">
        <v>100</v>
      </c>
      <c r="DO34" s="26">
        <v>99.999899999999997</v>
      </c>
      <c r="DP34" s="26">
        <v>99.754099999999994</v>
      </c>
      <c r="DQ34" s="26">
        <v>99.999899999999997</v>
      </c>
      <c r="DR34" s="26">
        <v>100</v>
      </c>
      <c r="DS34" s="26">
        <v>100</v>
      </c>
      <c r="DT34" s="26">
        <v>100</v>
      </c>
      <c r="DU34" s="26">
        <v>80.967999999999989</v>
      </c>
      <c r="DV34" s="26">
        <v>68.261099999999999</v>
      </c>
      <c r="DW34" s="26">
        <v>99.177141129032265</v>
      </c>
      <c r="DX34" s="17">
        <v>12297.9655</v>
      </c>
    </row>
    <row r="35" spans="1:128" x14ac:dyDescent="0.25">
      <c r="A35" s="24">
        <v>34</v>
      </c>
      <c r="B35" s="26">
        <v>16.5</v>
      </c>
      <c r="C35" s="26">
        <v>100</v>
      </c>
      <c r="D35" s="26">
        <v>100</v>
      </c>
      <c r="E35" s="26">
        <v>100</v>
      </c>
      <c r="F35" s="26">
        <v>100</v>
      </c>
      <c r="G35" s="26">
        <v>100</v>
      </c>
      <c r="H35" s="26">
        <v>100</v>
      </c>
      <c r="I35" s="26">
        <v>100</v>
      </c>
      <c r="J35" s="26">
        <v>100</v>
      </c>
      <c r="K35" s="26">
        <v>100</v>
      </c>
      <c r="L35" s="26">
        <v>100</v>
      </c>
      <c r="M35" s="26">
        <v>100</v>
      </c>
      <c r="N35" s="26">
        <v>100</v>
      </c>
      <c r="O35" s="26">
        <v>100</v>
      </c>
      <c r="P35" s="26">
        <v>100</v>
      </c>
      <c r="Q35" s="26">
        <v>100</v>
      </c>
      <c r="R35" s="26">
        <v>96.567499999999995</v>
      </c>
      <c r="S35" s="26">
        <v>100</v>
      </c>
      <c r="T35" s="26">
        <v>96.670699999999997</v>
      </c>
      <c r="U35" s="26">
        <v>100</v>
      </c>
      <c r="V35" s="26">
        <v>100</v>
      </c>
      <c r="W35" s="26">
        <v>100</v>
      </c>
      <c r="X35" s="26">
        <v>100</v>
      </c>
      <c r="Y35" s="26">
        <v>100</v>
      </c>
      <c r="Z35" s="26">
        <v>100</v>
      </c>
      <c r="AA35" s="26">
        <v>100</v>
      </c>
      <c r="AB35" s="26">
        <v>100</v>
      </c>
      <c r="AC35" s="26">
        <v>100</v>
      </c>
      <c r="AD35" s="26">
        <v>100</v>
      </c>
      <c r="AE35" s="26">
        <v>100</v>
      </c>
      <c r="AF35" s="26">
        <v>100</v>
      </c>
      <c r="AG35" s="26">
        <v>100</v>
      </c>
      <c r="AH35" s="26">
        <v>100</v>
      </c>
      <c r="AI35" s="26">
        <v>100</v>
      </c>
      <c r="AJ35" s="26">
        <v>100</v>
      </c>
      <c r="AK35" s="26">
        <v>100</v>
      </c>
      <c r="AL35" s="26">
        <v>100</v>
      </c>
      <c r="AM35" s="26">
        <v>100</v>
      </c>
      <c r="AN35" s="26">
        <v>100</v>
      </c>
      <c r="AO35" s="26">
        <v>100</v>
      </c>
      <c r="AP35" s="26">
        <v>100</v>
      </c>
      <c r="AQ35" s="26">
        <v>100</v>
      </c>
      <c r="AR35" s="26">
        <v>100</v>
      </c>
      <c r="AS35" s="26">
        <v>100</v>
      </c>
      <c r="AT35" s="26">
        <v>95.6755</v>
      </c>
      <c r="AU35" s="26">
        <v>100</v>
      </c>
      <c r="AV35" s="26">
        <v>100</v>
      </c>
      <c r="AW35" s="26">
        <v>100</v>
      </c>
      <c r="AX35" s="26">
        <v>100</v>
      </c>
      <c r="AY35" s="26">
        <v>100</v>
      </c>
      <c r="AZ35" s="26">
        <v>99.999899999999997</v>
      </c>
      <c r="BA35" s="26">
        <v>100</v>
      </c>
      <c r="BB35" s="26">
        <v>100</v>
      </c>
      <c r="BC35" s="26">
        <v>100</v>
      </c>
      <c r="BD35" s="26">
        <v>87.422799999999995</v>
      </c>
      <c r="BE35" s="26">
        <v>100</v>
      </c>
      <c r="BF35" s="26">
        <v>100</v>
      </c>
      <c r="BG35" s="26">
        <v>100</v>
      </c>
      <c r="BH35" s="26">
        <v>100</v>
      </c>
      <c r="BI35" s="26">
        <v>100</v>
      </c>
      <c r="BJ35" s="26">
        <v>100</v>
      </c>
      <c r="BK35" s="26">
        <v>100</v>
      </c>
      <c r="BL35" s="26">
        <v>100</v>
      </c>
      <c r="BM35" s="26">
        <v>100</v>
      </c>
      <c r="BN35" s="26">
        <v>100</v>
      </c>
      <c r="BO35" s="26">
        <v>100</v>
      </c>
      <c r="BP35" s="26">
        <v>100</v>
      </c>
      <c r="BQ35" s="26">
        <v>100</v>
      </c>
      <c r="BR35" s="26">
        <v>100</v>
      </c>
      <c r="BS35" s="26">
        <v>66.074600000000004</v>
      </c>
      <c r="BT35" s="26">
        <v>100</v>
      </c>
      <c r="BU35" s="26">
        <v>100</v>
      </c>
      <c r="BV35" s="26">
        <v>100</v>
      </c>
      <c r="BW35" s="26">
        <v>100</v>
      </c>
      <c r="BX35" s="26">
        <v>100</v>
      </c>
      <c r="BY35" s="26">
        <v>100</v>
      </c>
      <c r="BZ35" s="26">
        <v>100</v>
      </c>
      <c r="CA35" s="26">
        <v>100</v>
      </c>
      <c r="CB35" s="26">
        <v>100</v>
      </c>
      <c r="CC35" s="26">
        <v>100</v>
      </c>
      <c r="CD35" s="26">
        <v>100</v>
      </c>
      <c r="CE35" s="26">
        <v>100</v>
      </c>
      <c r="CF35" s="26">
        <v>100</v>
      </c>
      <c r="CG35" s="26">
        <v>100</v>
      </c>
      <c r="CH35" s="26">
        <v>100</v>
      </c>
      <c r="CI35" s="26">
        <v>100</v>
      </c>
      <c r="CJ35" s="26">
        <v>100</v>
      </c>
      <c r="CK35" s="26">
        <v>100</v>
      </c>
      <c r="CL35" s="26">
        <v>100</v>
      </c>
      <c r="CM35" s="26">
        <v>100</v>
      </c>
      <c r="CN35" s="26">
        <v>100</v>
      </c>
      <c r="CO35" s="26">
        <v>100</v>
      </c>
      <c r="CP35" s="26">
        <v>100</v>
      </c>
      <c r="CQ35" s="26">
        <v>100</v>
      </c>
      <c r="CR35" s="26">
        <v>100</v>
      </c>
      <c r="CS35" s="26">
        <v>100</v>
      </c>
      <c r="CT35" s="26">
        <v>100</v>
      </c>
      <c r="CU35" s="26">
        <v>100</v>
      </c>
      <c r="CV35" s="26">
        <v>100</v>
      </c>
      <c r="CW35" s="26">
        <v>100</v>
      </c>
      <c r="CX35" s="26">
        <v>100</v>
      </c>
      <c r="CY35" s="26">
        <v>100</v>
      </c>
      <c r="CZ35" s="26">
        <v>100</v>
      </c>
      <c r="DA35" s="26">
        <v>100</v>
      </c>
      <c r="DB35" s="26">
        <v>100</v>
      </c>
      <c r="DC35" s="26">
        <v>100</v>
      </c>
      <c r="DD35" s="26">
        <v>100</v>
      </c>
      <c r="DE35" s="26">
        <v>90.074100000000001</v>
      </c>
      <c r="DF35" s="26">
        <v>100</v>
      </c>
      <c r="DG35" s="26">
        <v>100</v>
      </c>
      <c r="DH35" s="26">
        <v>100</v>
      </c>
      <c r="DI35" s="26">
        <v>100</v>
      </c>
      <c r="DJ35" s="26">
        <v>100</v>
      </c>
      <c r="DK35" s="26">
        <v>100</v>
      </c>
      <c r="DL35" s="26">
        <v>100</v>
      </c>
      <c r="DM35" s="26">
        <v>100</v>
      </c>
      <c r="DN35" s="26">
        <v>100</v>
      </c>
      <c r="DO35" s="26">
        <v>99.999899999999997</v>
      </c>
      <c r="DP35" s="26">
        <v>100</v>
      </c>
      <c r="DQ35" s="26">
        <v>99.999899999999997</v>
      </c>
      <c r="DR35" s="26">
        <v>100</v>
      </c>
      <c r="DS35" s="26">
        <v>100</v>
      </c>
      <c r="DT35" s="26">
        <v>100</v>
      </c>
      <c r="DU35" s="26">
        <v>61.357799999999997</v>
      </c>
      <c r="DV35" s="26">
        <v>68.951499999999996</v>
      </c>
      <c r="DW35" s="26">
        <v>98.893501612903222</v>
      </c>
      <c r="DX35" s="17">
        <v>12262.7942</v>
      </c>
    </row>
    <row r="36" spans="1:128" x14ac:dyDescent="0.25">
      <c r="A36" s="24">
        <v>35</v>
      </c>
      <c r="B36" s="26">
        <v>17</v>
      </c>
      <c r="C36" s="26">
        <v>100</v>
      </c>
      <c r="D36" s="26">
        <v>100</v>
      </c>
      <c r="E36" s="26">
        <v>100</v>
      </c>
      <c r="F36" s="26">
        <v>100</v>
      </c>
      <c r="G36" s="26">
        <v>100</v>
      </c>
      <c r="H36" s="26">
        <v>100</v>
      </c>
      <c r="I36" s="26">
        <v>100</v>
      </c>
      <c r="J36" s="26">
        <v>100</v>
      </c>
      <c r="K36" s="26">
        <v>100</v>
      </c>
      <c r="L36" s="26">
        <v>100</v>
      </c>
      <c r="M36" s="26">
        <v>100</v>
      </c>
      <c r="N36" s="26">
        <v>100</v>
      </c>
      <c r="O36" s="26">
        <v>100</v>
      </c>
      <c r="P36" s="26">
        <v>100</v>
      </c>
      <c r="Q36" s="26">
        <v>100</v>
      </c>
      <c r="R36" s="26">
        <v>99.827299999999994</v>
      </c>
      <c r="S36" s="26">
        <v>100</v>
      </c>
      <c r="T36" s="26">
        <v>99.860299999999995</v>
      </c>
      <c r="U36" s="26">
        <v>100</v>
      </c>
      <c r="V36" s="26">
        <v>100</v>
      </c>
      <c r="W36" s="26">
        <v>100</v>
      </c>
      <c r="X36" s="26">
        <v>100</v>
      </c>
      <c r="Y36" s="26">
        <v>100</v>
      </c>
      <c r="Z36" s="26">
        <v>100</v>
      </c>
      <c r="AA36" s="26">
        <v>100</v>
      </c>
      <c r="AB36" s="26">
        <v>100</v>
      </c>
      <c r="AC36" s="26">
        <v>100</v>
      </c>
      <c r="AD36" s="26">
        <v>100</v>
      </c>
      <c r="AE36" s="26">
        <v>100</v>
      </c>
      <c r="AF36" s="26">
        <v>100</v>
      </c>
      <c r="AG36" s="26">
        <v>100</v>
      </c>
      <c r="AH36" s="26">
        <v>100</v>
      </c>
      <c r="AI36" s="26">
        <v>100</v>
      </c>
      <c r="AJ36" s="26">
        <v>100</v>
      </c>
      <c r="AK36" s="26">
        <v>100</v>
      </c>
      <c r="AL36" s="26">
        <v>100</v>
      </c>
      <c r="AM36" s="26">
        <v>100</v>
      </c>
      <c r="AN36" s="26">
        <v>100</v>
      </c>
      <c r="AO36" s="26">
        <v>100</v>
      </c>
      <c r="AP36" s="26">
        <v>100</v>
      </c>
      <c r="AQ36" s="26">
        <v>100</v>
      </c>
      <c r="AR36" s="26">
        <v>100</v>
      </c>
      <c r="AS36" s="26">
        <v>100</v>
      </c>
      <c r="AT36" s="26">
        <v>100</v>
      </c>
      <c r="AU36" s="26">
        <v>100</v>
      </c>
      <c r="AV36" s="26">
        <v>100</v>
      </c>
      <c r="AW36" s="26">
        <v>100</v>
      </c>
      <c r="AX36" s="26">
        <v>100</v>
      </c>
      <c r="AY36" s="26">
        <v>100</v>
      </c>
      <c r="AZ36" s="26">
        <v>99.999899999999997</v>
      </c>
      <c r="BA36" s="26">
        <v>100</v>
      </c>
      <c r="BB36" s="26">
        <v>100</v>
      </c>
      <c r="BC36" s="26">
        <v>100</v>
      </c>
      <c r="BD36" s="26">
        <v>92.592399999999998</v>
      </c>
      <c r="BE36" s="26">
        <v>100</v>
      </c>
      <c r="BF36" s="26">
        <v>100</v>
      </c>
      <c r="BG36" s="26">
        <v>100</v>
      </c>
      <c r="BH36" s="26">
        <v>100</v>
      </c>
      <c r="BI36" s="26">
        <v>100</v>
      </c>
      <c r="BJ36" s="26">
        <v>100</v>
      </c>
      <c r="BK36" s="26">
        <v>100</v>
      </c>
      <c r="BL36" s="26">
        <v>100</v>
      </c>
      <c r="BM36" s="26">
        <v>100</v>
      </c>
      <c r="BN36" s="26">
        <v>100</v>
      </c>
      <c r="BO36" s="26">
        <v>100</v>
      </c>
      <c r="BP36" s="26">
        <v>84.6434</v>
      </c>
      <c r="BQ36" s="26">
        <v>100</v>
      </c>
      <c r="BR36" s="26">
        <v>100</v>
      </c>
      <c r="BS36" s="26">
        <v>62.7849</v>
      </c>
      <c r="BT36" s="26">
        <v>100</v>
      </c>
      <c r="BU36" s="26">
        <v>100</v>
      </c>
      <c r="BV36" s="26">
        <v>100</v>
      </c>
      <c r="BW36" s="26">
        <v>100</v>
      </c>
      <c r="BX36" s="26">
        <v>100</v>
      </c>
      <c r="BY36" s="26">
        <v>100</v>
      </c>
      <c r="BZ36" s="26">
        <v>100</v>
      </c>
      <c r="CA36" s="26">
        <v>100</v>
      </c>
      <c r="CB36" s="26">
        <v>100</v>
      </c>
      <c r="CC36" s="26">
        <v>100</v>
      </c>
      <c r="CD36" s="26">
        <v>100</v>
      </c>
      <c r="CE36" s="26">
        <v>100</v>
      </c>
      <c r="CF36" s="26">
        <v>100</v>
      </c>
      <c r="CG36" s="26">
        <v>100</v>
      </c>
      <c r="CH36" s="26">
        <v>100</v>
      </c>
      <c r="CI36" s="26">
        <v>100</v>
      </c>
      <c r="CJ36" s="26">
        <v>100</v>
      </c>
      <c r="CK36" s="26">
        <v>100</v>
      </c>
      <c r="CL36" s="26">
        <v>100</v>
      </c>
      <c r="CM36" s="26">
        <v>100</v>
      </c>
      <c r="CN36" s="26">
        <v>100</v>
      </c>
      <c r="CO36" s="26">
        <v>100</v>
      </c>
      <c r="CP36" s="26">
        <v>100</v>
      </c>
      <c r="CQ36" s="26">
        <v>100</v>
      </c>
      <c r="CR36" s="26">
        <v>100</v>
      </c>
      <c r="CS36" s="26">
        <v>100</v>
      </c>
      <c r="CT36" s="26">
        <v>100</v>
      </c>
      <c r="CU36" s="26">
        <v>100</v>
      </c>
      <c r="CV36" s="26">
        <v>98.968299999999999</v>
      </c>
      <c r="CW36" s="26">
        <v>100</v>
      </c>
      <c r="CX36" s="26">
        <v>100</v>
      </c>
      <c r="CY36" s="26">
        <v>100</v>
      </c>
      <c r="CZ36" s="26">
        <v>100</v>
      </c>
      <c r="DA36" s="26">
        <v>100</v>
      </c>
      <c r="DB36" s="26">
        <v>100</v>
      </c>
      <c r="DC36" s="26">
        <v>100</v>
      </c>
      <c r="DD36" s="26">
        <v>100</v>
      </c>
      <c r="DE36" s="26">
        <v>93.002399999999994</v>
      </c>
      <c r="DF36" s="26">
        <v>100</v>
      </c>
      <c r="DG36" s="26">
        <v>100</v>
      </c>
      <c r="DH36" s="26">
        <v>100</v>
      </c>
      <c r="DI36" s="26">
        <v>100</v>
      </c>
      <c r="DJ36" s="26">
        <v>100</v>
      </c>
      <c r="DK36" s="26">
        <v>100</v>
      </c>
      <c r="DL36" s="26">
        <v>100</v>
      </c>
      <c r="DM36" s="26">
        <v>100</v>
      </c>
      <c r="DN36" s="26">
        <v>100</v>
      </c>
      <c r="DO36" s="26">
        <v>99.999899999999997</v>
      </c>
      <c r="DP36" s="26">
        <v>100</v>
      </c>
      <c r="DQ36" s="26">
        <v>99.999899999999997</v>
      </c>
      <c r="DR36" s="26">
        <v>100</v>
      </c>
      <c r="DS36" s="26">
        <v>100</v>
      </c>
      <c r="DT36" s="26">
        <v>100</v>
      </c>
      <c r="DU36" s="26">
        <v>69.856799999999993</v>
      </c>
      <c r="DV36" s="26">
        <v>56.208000000000013</v>
      </c>
      <c r="DW36" s="26">
        <v>98.852770161290323</v>
      </c>
      <c r="DX36" s="17">
        <v>12257.7435</v>
      </c>
    </row>
    <row r="37" spans="1:128" x14ac:dyDescent="0.25">
      <c r="A37" s="24">
        <v>36</v>
      </c>
      <c r="B37" s="26">
        <v>17.5</v>
      </c>
      <c r="C37" s="26">
        <v>100</v>
      </c>
      <c r="D37" s="26">
        <v>100</v>
      </c>
      <c r="E37" s="26">
        <v>100</v>
      </c>
      <c r="F37" s="26">
        <v>100</v>
      </c>
      <c r="G37" s="26">
        <v>100</v>
      </c>
      <c r="H37" s="26">
        <v>100</v>
      </c>
      <c r="I37" s="26">
        <v>100</v>
      </c>
      <c r="J37" s="26">
        <v>100</v>
      </c>
      <c r="K37" s="26">
        <v>100</v>
      </c>
      <c r="L37" s="26">
        <v>100</v>
      </c>
      <c r="M37" s="26">
        <v>100</v>
      </c>
      <c r="N37" s="26">
        <v>100</v>
      </c>
      <c r="O37" s="26">
        <v>100</v>
      </c>
      <c r="P37" s="26">
        <v>100</v>
      </c>
      <c r="Q37" s="26">
        <v>100</v>
      </c>
      <c r="R37" s="26">
        <v>100</v>
      </c>
      <c r="S37" s="26">
        <v>100</v>
      </c>
      <c r="T37" s="26">
        <v>100</v>
      </c>
      <c r="U37" s="26">
        <v>100</v>
      </c>
      <c r="V37" s="26">
        <v>100</v>
      </c>
      <c r="W37" s="26">
        <v>100</v>
      </c>
      <c r="X37" s="26">
        <v>100</v>
      </c>
      <c r="Y37" s="26">
        <v>100</v>
      </c>
      <c r="Z37" s="26">
        <v>100</v>
      </c>
      <c r="AA37" s="26">
        <v>100</v>
      </c>
      <c r="AB37" s="26">
        <v>100</v>
      </c>
      <c r="AC37" s="26">
        <v>100</v>
      </c>
      <c r="AD37" s="26">
        <v>100</v>
      </c>
      <c r="AE37" s="26">
        <v>100</v>
      </c>
      <c r="AF37" s="26">
        <v>100</v>
      </c>
      <c r="AG37" s="26">
        <v>100</v>
      </c>
      <c r="AH37" s="26">
        <v>100</v>
      </c>
      <c r="AI37" s="26">
        <v>100</v>
      </c>
      <c r="AJ37" s="26">
        <v>100</v>
      </c>
      <c r="AK37" s="26">
        <v>100</v>
      </c>
      <c r="AL37" s="26">
        <v>86.449200000000005</v>
      </c>
      <c r="AM37" s="26">
        <v>100</v>
      </c>
      <c r="AN37" s="26">
        <v>100</v>
      </c>
      <c r="AO37" s="26">
        <v>100</v>
      </c>
      <c r="AP37" s="26">
        <v>100</v>
      </c>
      <c r="AQ37" s="26">
        <v>100</v>
      </c>
      <c r="AR37" s="26">
        <v>100</v>
      </c>
      <c r="AS37" s="26">
        <v>100</v>
      </c>
      <c r="AT37" s="26">
        <v>100</v>
      </c>
      <c r="AU37" s="26">
        <v>100</v>
      </c>
      <c r="AV37" s="26">
        <v>100</v>
      </c>
      <c r="AW37" s="26">
        <v>100</v>
      </c>
      <c r="AX37" s="26">
        <v>100</v>
      </c>
      <c r="AY37" s="26">
        <v>100</v>
      </c>
      <c r="AZ37" s="26">
        <v>99.999899999999997</v>
      </c>
      <c r="BA37" s="26">
        <v>100</v>
      </c>
      <c r="BB37" s="26">
        <v>100</v>
      </c>
      <c r="BC37" s="26">
        <v>100</v>
      </c>
      <c r="BD37" s="26">
        <v>85.242599999999996</v>
      </c>
      <c r="BE37" s="26">
        <v>100</v>
      </c>
      <c r="BF37" s="26">
        <v>100</v>
      </c>
      <c r="BG37" s="26">
        <v>100</v>
      </c>
      <c r="BH37" s="26">
        <v>100</v>
      </c>
      <c r="BI37" s="26">
        <v>100</v>
      </c>
      <c r="BJ37" s="26">
        <v>100</v>
      </c>
      <c r="BK37" s="26">
        <v>100</v>
      </c>
      <c r="BL37" s="26">
        <v>100</v>
      </c>
      <c r="BM37" s="26">
        <v>98.172300000000007</v>
      </c>
      <c r="BN37" s="26">
        <v>100</v>
      </c>
      <c r="BO37" s="26">
        <v>100</v>
      </c>
      <c r="BP37" s="26">
        <v>94.1387</v>
      </c>
      <c r="BQ37" s="26">
        <v>100</v>
      </c>
      <c r="BR37" s="26">
        <v>100</v>
      </c>
      <c r="BS37" s="26">
        <v>48.5428</v>
      </c>
      <c r="BT37" s="26">
        <v>100</v>
      </c>
      <c r="BU37" s="26">
        <v>100</v>
      </c>
      <c r="BV37" s="26">
        <v>100</v>
      </c>
      <c r="BW37" s="26">
        <v>100</v>
      </c>
      <c r="BX37" s="26">
        <v>100</v>
      </c>
      <c r="BY37" s="26">
        <v>100</v>
      </c>
      <c r="BZ37" s="26">
        <v>100</v>
      </c>
      <c r="CA37" s="26">
        <v>100</v>
      </c>
      <c r="CB37" s="26">
        <v>100</v>
      </c>
      <c r="CC37" s="26">
        <v>100</v>
      </c>
      <c r="CD37" s="26">
        <v>100</v>
      </c>
      <c r="CE37" s="26">
        <v>100</v>
      </c>
      <c r="CF37" s="26">
        <v>100</v>
      </c>
      <c r="CG37" s="26">
        <v>100</v>
      </c>
      <c r="CH37" s="26">
        <v>100</v>
      </c>
      <c r="CI37" s="26">
        <v>100</v>
      </c>
      <c r="CJ37" s="26">
        <v>100</v>
      </c>
      <c r="CK37" s="26">
        <v>100</v>
      </c>
      <c r="CL37" s="26">
        <v>100</v>
      </c>
      <c r="CM37" s="26">
        <v>100</v>
      </c>
      <c r="CN37" s="26">
        <v>100</v>
      </c>
      <c r="CO37" s="26">
        <v>100</v>
      </c>
      <c r="CP37" s="26">
        <v>100</v>
      </c>
      <c r="CQ37" s="26">
        <v>100</v>
      </c>
      <c r="CR37" s="26">
        <v>98.775800000000004</v>
      </c>
      <c r="CS37" s="26">
        <v>100</v>
      </c>
      <c r="CT37" s="26">
        <v>100</v>
      </c>
      <c r="CU37" s="26">
        <v>100</v>
      </c>
      <c r="CV37" s="26">
        <v>100</v>
      </c>
      <c r="CW37" s="26">
        <v>100</v>
      </c>
      <c r="CX37" s="26">
        <v>100</v>
      </c>
      <c r="CY37" s="26">
        <v>100</v>
      </c>
      <c r="CZ37" s="26">
        <v>100</v>
      </c>
      <c r="DA37" s="26">
        <v>100</v>
      </c>
      <c r="DB37" s="26">
        <v>100</v>
      </c>
      <c r="DC37" s="26">
        <v>100</v>
      </c>
      <c r="DD37" s="26">
        <v>100</v>
      </c>
      <c r="DE37" s="26">
        <v>97.146200000000007</v>
      </c>
      <c r="DF37" s="26">
        <v>100</v>
      </c>
      <c r="DG37" s="26">
        <v>100</v>
      </c>
      <c r="DH37" s="26">
        <v>100</v>
      </c>
      <c r="DI37" s="26">
        <v>100</v>
      </c>
      <c r="DJ37" s="26">
        <v>100</v>
      </c>
      <c r="DK37" s="26">
        <v>100</v>
      </c>
      <c r="DL37" s="26">
        <v>100</v>
      </c>
      <c r="DM37" s="26">
        <v>100</v>
      </c>
      <c r="DN37" s="26">
        <v>100</v>
      </c>
      <c r="DO37" s="26">
        <v>99.999899999999997</v>
      </c>
      <c r="DP37" s="26">
        <v>100</v>
      </c>
      <c r="DQ37" s="26">
        <v>99.999899999999997</v>
      </c>
      <c r="DR37" s="26">
        <v>100</v>
      </c>
      <c r="DS37" s="26">
        <v>100</v>
      </c>
      <c r="DT37" s="26">
        <v>100</v>
      </c>
      <c r="DU37" s="26">
        <v>77.927599999999998</v>
      </c>
      <c r="DV37" s="26">
        <v>48.636000000000003</v>
      </c>
      <c r="DW37" s="26">
        <v>98.669604032258079</v>
      </c>
      <c r="DX37" s="17">
        <v>12235.0309</v>
      </c>
    </row>
    <row r="38" spans="1:128" x14ac:dyDescent="0.25">
      <c r="A38" s="24">
        <v>37</v>
      </c>
      <c r="B38" s="26">
        <v>18</v>
      </c>
      <c r="C38" s="26">
        <v>100</v>
      </c>
      <c r="D38" s="26">
        <v>100</v>
      </c>
      <c r="E38" s="26">
        <v>100</v>
      </c>
      <c r="F38" s="26">
        <v>100</v>
      </c>
      <c r="G38" s="26">
        <v>100</v>
      </c>
      <c r="H38" s="26">
        <v>100</v>
      </c>
      <c r="I38" s="26">
        <v>100</v>
      </c>
      <c r="J38" s="26">
        <v>100</v>
      </c>
      <c r="K38" s="26">
        <v>100</v>
      </c>
      <c r="L38" s="26">
        <v>100</v>
      </c>
      <c r="M38" s="26">
        <v>100</v>
      </c>
      <c r="N38" s="26">
        <v>93.882500000000007</v>
      </c>
      <c r="O38" s="26">
        <v>100</v>
      </c>
      <c r="P38" s="26">
        <v>100</v>
      </c>
      <c r="Q38" s="26">
        <v>100</v>
      </c>
      <c r="R38" s="26">
        <v>100</v>
      </c>
      <c r="S38" s="26">
        <v>100</v>
      </c>
      <c r="T38" s="26">
        <v>100</v>
      </c>
      <c r="U38" s="26">
        <v>100</v>
      </c>
      <c r="V38" s="26">
        <v>100</v>
      </c>
      <c r="W38" s="26">
        <v>100</v>
      </c>
      <c r="X38" s="26">
        <v>100</v>
      </c>
      <c r="Y38" s="26">
        <v>100</v>
      </c>
      <c r="Z38" s="26">
        <v>100</v>
      </c>
      <c r="AA38" s="26">
        <v>100</v>
      </c>
      <c r="AB38" s="26">
        <v>100</v>
      </c>
      <c r="AC38" s="26">
        <v>100</v>
      </c>
      <c r="AD38" s="26">
        <v>100</v>
      </c>
      <c r="AE38" s="26">
        <v>100</v>
      </c>
      <c r="AF38" s="26">
        <v>100</v>
      </c>
      <c r="AG38" s="26">
        <v>100</v>
      </c>
      <c r="AH38" s="26">
        <v>100</v>
      </c>
      <c r="AI38" s="26">
        <v>100</v>
      </c>
      <c r="AJ38" s="26">
        <v>100</v>
      </c>
      <c r="AK38" s="26">
        <v>100</v>
      </c>
      <c r="AL38" s="26">
        <v>85.602800000000002</v>
      </c>
      <c r="AM38" s="26">
        <v>100</v>
      </c>
      <c r="AN38" s="26">
        <v>100</v>
      </c>
      <c r="AO38" s="26">
        <v>100</v>
      </c>
      <c r="AP38" s="26">
        <v>100</v>
      </c>
      <c r="AQ38" s="26">
        <v>100</v>
      </c>
      <c r="AR38" s="26">
        <v>100</v>
      </c>
      <c r="AS38" s="26">
        <v>100</v>
      </c>
      <c r="AT38" s="26">
        <v>100</v>
      </c>
      <c r="AU38" s="26">
        <v>100</v>
      </c>
      <c r="AV38" s="26">
        <v>100</v>
      </c>
      <c r="AW38" s="26">
        <v>100</v>
      </c>
      <c r="AX38" s="26">
        <v>100</v>
      </c>
      <c r="AY38" s="26">
        <v>100</v>
      </c>
      <c r="AZ38" s="26">
        <v>99.999899999999997</v>
      </c>
      <c r="BA38" s="26">
        <v>100</v>
      </c>
      <c r="BB38" s="26">
        <v>100</v>
      </c>
      <c r="BC38" s="26">
        <v>100</v>
      </c>
      <c r="BD38" s="26">
        <v>65.179400000000001</v>
      </c>
      <c r="BE38" s="26">
        <v>100</v>
      </c>
      <c r="BF38" s="26">
        <v>100</v>
      </c>
      <c r="BG38" s="26">
        <v>100</v>
      </c>
      <c r="BH38" s="26">
        <v>100</v>
      </c>
      <c r="BI38" s="26">
        <v>100</v>
      </c>
      <c r="BJ38" s="26">
        <v>100</v>
      </c>
      <c r="BK38" s="26">
        <v>100</v>
      </c>
      <c r="BL38" s="26">
        <v>100</v>
      </c>
      <c r="BM38" s="26">
        <v>91.664400000000001</v>
      </c>
      <c r="BN38" s="26">
        <v>100</v>
      </c>
      <c r="BO38" s="26">
        <v>100</v>
      </c>
      <c r="BP38" s="26">
        <v>83.586600000000004</v>
      </c>
      <c r="BQ38" s="26">
        <v>100</v>
      </c>
      <c r="BR38" s="26">
        <v>100</v>
      </c>
      <c r="BS38" s="26">
        <v>48.956300000000013</v>
      </c>
      <c r="BT38" s="26">
        <v>100</v>
      </c>
      <c r="BU38" s="26">
        <v>100</v>
      </c>
      <c r="BV38" s="26">
        <v>100</v>
      </c>
      <c r="BW38" s="26">
        <v>100</v>
      </c>
      <c r="BX38" s="26">
        <v>100</v>
      </c>
      <c r="BY38" s="26">
        <v>100</v>
      </c>
      <c r="BZ38" s="26">
        <v>100</v>
      </c>
      <c r="CA38" s="26">
        <v>100</v>
      </c>
      <c r="CB38" s="26">
        <v>100</v>
      </c>
      <c r="CC38" s="26">
        <v>100</v>
      </c>
      <c r="CD38" s="26">
        <v>100</v>
      </c>
      <c r="CE38" s="26">
        <v>100</v>
      </c>
      <c r="CF38" s="26">
        <v>93.963999999999999</v>
      </c>
      <c r="CG38" s="26">
        <v>100</v>
      </c>
      <c r="CH38" s="26">
        <v>100</v>
      </c>
      <c r="CI38" s="26">
        <v>100</v>
      </c>
      <c r="CJ38" s="26">
        <v>100</v>
      </c>
      <c r="CK38" s="26">
        <v>100</v>
      </c>
      <c r="CL38" s="26">
        <v>100</v>
      </c>
      <c r="CM38" s="26">
        <v>100</v>
      </c>
      <c r="CN38" s="26">
        <v>100</v>
      </c>
      <c r="CO38" s="26">
        <v>100</v>
      </c>
      <c r="CP38" s="26">
        <v>100</v>
      </c>
      <c r="CQ38" s="26">
        <v>100</v>
      </c>
      <c r="CR38" s="26">
        <v>89.963999999999999</v>
      </c>
      <c r="CS38" s="26">
        <v>100</v>
      </c>
      <c r="CT38" s="26">
        <v>100</v>
      </c>
      <c r="CU38" s="26">
        <v>100</v>
      </c>
      <c r="CV38" s="26">
        <v>100</v>
      </c>
      <c r="CW38" s="26">
        <v>100</v>
      </c>
      <c r="CX38" s="26">
        <v>99.018100000000004</v>
      </c>
      <c r="CY38" s="26">
        <v>92.919700000000006</v>
      </c>
      <c r="CZ38" s="26">
        <v>99.651199999999989</v>
      </c>
      <c r="DA38" s="26">
        <v>100</v>
      </c>
      <c r="DB38" s="26">
        <v>100</v>
      </c>
      <c r="DC38" s="26">
        <v>87.207599999999999</v>
      </c>
      <c r="DD38" s="26">
        <v>100</v>
      </c>
      <c r="DE38" s="26">
        <v>99.658100000000005</v>
      </c>
      <c r="DF38" s="26">
        <v>100</v>
      </c>
      <c r="DG38" s="26">
        <v>100</v>
      </c>
      <c r="DH38" s="26">
        <v>100</v>
      </c>
      <c r="DI38" s="26">
        <v>100</v>
      </c>
      <c r="DJ38" s="26">
        <v>100</v>
      </c>
      <c r="DK38" s="26">
        <v>100</v>
      </c>
      <c r="DL38" s="26">
        <v>100</v>
      </c>
      <c r="DM38" s="26">
        <v>100</v>
      </c>
      <c r="DN38" s="26">
        <v>99.131499999999988</v>
      </c>
      <c r="DO38" s="26">
        <v>99.999899999999997</v>
      </c>
      <c r="DP38" s="26">
        <v>100</v>
      </c>
      <c r="DQ38" s="26">
        <v>99.999899999999997</v>
      </c>
      <c r="DR38" s="26">
        <v>100</v>
      </c>
      <c r="DS38" s="26">
        <v>100</v>
      </c>
      <c r="DT38" s="26">
        <v>100</v>
      </c>
      <c r="DU38" s="26">
        <v>84.229399999999998</v>
      </c>
      <c r="DV38" s="26">
        <v>47.098199999999999</v>
      </c>
      <c r="DW38" s="26">
        <v>98.078334677419349</v>
      </c>
      <c r="DX38" s="17">
        <v>12161.7135</v>
      </c>
    </row>
    <row r="39" spans="1:128" x14ac:dyDescent="0.25">
      <c r="A39" s="24">
        <v>38</v>
      </c>
      <c r="B39" s="26">
        <v>18.5</v>
      </c>
      <c r="C39" s="26">
        <v>100</v>
      </c>
      <c r="D39" s="26">
        <v>100</v>
      </c>
      <c r="E39" s="26">
        <v>100</v>
      </c>
      <c r="F39" s="26">
        <v>100</v>
      </c>
      <c r="G39" s="26">
        <v>100</v>
      </c>
      <c r="H39" s="26">
        <v>100</v>
      </c>
      <c r="I39" s="26">
        <v>100</v>
      </c>
      <c r="J39" s="26">
        <v>100</v>
      </c>
      <c r="K39" s="26">
        <v>100</v>
      </c>
      <c r="L39" s="26">
        <v>100</v>
      </c>
      <c r="M39" s="26">
        <v>100</v>
      </c>
      <c r="N39" s="26">
        <v>100</v>
      </c>
      <c r="O39" s="26">
        <v>100</v>
      </c>
      <c r="P39" s="26">
        <v>100</v>
      </c>
      <c r="Q39" s="26">
        <v>100</v>
      </c>
      <c r="R39" s="26">
        <v>100</v>
      </c>
      <c r="S39" s="26">
        <v>100</v>
      </c>
      <c r="T39" s="26">
        <v>99.345700000000008</v>
      </c>
      <c r="U39" s="26">
        <v>100</v>
      </c>
      <c r="V39" s="26">
        <v>100</v>
      </c>
      <c r="W39" s="26">
        <v>100</v>
      </c>
      <c r="X39" s="26">
        <v>100</v>
      </c>
      <c r="Y39" s="26">
        <v>100</v>
      </c>
      <c r="Z39" s="26">
        <v>100</v>
      </c>
      <c r="AA39" s="26">
        <v>100</v>
      </c>
      <c r="AB39" s="26">
        <v>77.509799999999998</v>
      </c>
      <c r="AC39" s="26">
        <v>100</v>
      </c>
      <c r="AD39" s="26">
        <v>100</v>
      </c>
      <c r="AE39" s="26">
        <v>100</v>
      </c>
      <c r="AF39" s="26">
        <v>100</v>
      </c>
      <c r="AG39" s="26">
        <v>100</v>
      </c>
      <c r="AH39" s="26">
        <v>100</v>
      </c>
      <c r="AI39" s="26">
        <v>100</v>
      </c>
      <c r="AJ39" s="26">
        <v>100</v>
      </c>
      <c r="AK39" s="26">
        <v>100</v>
      </c>
      <c r="AL39" s="26">
        <v>85.766300000000001</v>
      </c>
      <c r="AM39" s="26">
        <v>100</v>
      </c>
      <c r="AN39" s="26">
        <v>100</v>
      </c>
      <c r="AO39" s="26">
        <v>100</v>
      </c>
      <c r="AP39" s="26">
        <v>100</v>
      </c>
      <c r="AQ39" s="26">
        <v>100</v>
      </c>
      <c r="AR39" s="26">
        <v>100</v>
      </c>
      <c r="AS39" s="26">
        <v>100</v>
      </c>
      <c r="AT39" s="26">
        <v>100</v>
      </c>
      <c r="AU39" s="26">
        <v>100</v>
      </c>
      <c r="AV39" s="26">
        <v>100</v>
      </c>
      <c r="AW39" s="26">
        <v>100</v>
      </c>
      <c r="AX39" s="26">
        <v>100</v>
      </c>
      <c r="AY39" s="26">
        <v>100</v>
      </c>
      <c r="AZ39" s="26">
        <v>99.999899999999997</v>
      </c>
      <c r="BA39" s="26">
        <v>100</v>
      </c>
      <c r="BB39" s="26">
        <v>100</v>
      </c>
      <c r="BC39" s="26">
        <v>100</v>
      </c>
      <c r="BD39" s="26">
        <v>62.470300000000002</v>
      </c>
      <c r="BE39" s="26">
        <v>100</v>
      </c>
      <c r="BF39" s="26">
        <v>94.390100000000004</v>
      </c>
      <c r="BG39" s="26">
        <v>100</v>
      </c>
      <c r="BH39" s="26">
        <v>100</v>
      </c>
      <c r="BI39" s="26">
        <v>100</v>
      </c>
      <c r="BJ39" s="26">
        <v>100</v>
      </c>
      <c r="BK39" s="26">
        <v>100</v>
      </c>
      <c r="BL39" s="26">
        <v>100</v>
      </c>
      <c r="BM39" s="26">
        <v>86.844899999999996</v>
      </c>
      <c r="BN39" s="26">
        <v>100</v>
      </c>
      <c r="BO39" s="26">
        <v>100</v>
      </c>
      <c r="BP39" s="26">
        <v>41.666200000000003</v>
      </c>
      <c r="BQ39" s="26">
        <v>100</v>
      </c>
      <c r="BR39" s="26">
        <v>100</v>
      </c>
      <c r="BS39" s="26">
        <v>46.665199999999999</v>
      </c>
      <c r="BT39" s="26">
        <v>100</v>
      </c>
      <c r="BU39" s="26">
        <v>100</v>
      </c>
      <c r="BV39" s="26">
        <v>100</v>
      </c>
      <c r="BW39" s="26">
        <v>100</v>
      </c>
      <c r="BX39" s="26">
        <v>100</v>
      </c>
      <c r="BY39" s="26">
        <v>98.358699999999999</v>
      </c>
      <c r="BZ39" s="26">
        <v>100</v>
      </c>
      <c r="CA39" s="26">
        <v>100</v>
      </c>
      <c r="CB39" s="26">
        <v>100</v>
      </c>
      <c r="CC39" s="26">
        <v>100</v>
      </c>
      <c r="CD39" s="26">
        <v>94.48830000000001</v>
      </c>
      <c r="CE39" s="26">
        <v>100</v>
      </c>
      <c r="CF39" s="26">
        <v>97.4726</v>
      </c>
      <c r="CG39" s="26">
        <v>100</v>
      </c>
      <c r="CH39" s="26">
        <v>100</v>
      </c>
      <c r="CI39" s="26">
        <v>100</v>
      </c>
      <c r="CJ39" s="26">
        <v>100</v>
      </c>
      <c r="CK39" s="26">
        <v>100</v>
      </c>
      <c r="CL39" s="26">
        <v>100</v>
      </c>
      <c r="CM39" s="26">
        <v>100</v>
      </c>
      <c r="CN39" s="26">
        <v>100</v>
      </c>
      <c r="CO39" s="26">
        <v>100</v>
      </c>
      <c r="CP39" s="26">
        <v>100</v>
      </c>
      <c r="CQ39" s="26">
        <v>100</v>
      </c>
      <c r="CR39" s="26">
        <v>91.251999999999995</v>
      </c>
      <c r="CS39" s="26">
        <v>100</v>
      </c>
      <c r="CT39" s="26">
        <v>99.615399999999994</v>
      </c>
      <c r="CU39" s="26">
        <v>100</v>
      </c>
      <c r="CV39" s="26">
        <v>100</v>
      </c>
      <c r="CW39" s="26">
        <v>100</v>
      </c>
      <c r="CX39" s="26">
        <v>88.222300000000004</v>
      </c>
      <c r="CY39" s="26">
        <v>90.637699999999995</v>
      </c>
      <c r="CZ39" s="26">
        <v>85.3446</v>
      </c>
      <c r="DA39" s="26">
        <v>100</v>
      </c>
      <c r="DB39" s="26">
        <v>100</v>
      </c>
      <c r="DC39" s="26">
        <v>83.296099999999996</v>
      </c>
      <c r="DD39" s="26">
        <v>100</v>
      </c>
      <c r="DE39" s="26">
        <v>100</v>
      </c>
      <c r="DF39" s="26">
        <v>100</v>
      </c>
      <c r="DG39" s="26">
        <v>100</v>
      </c>
      <c r="DH39" s="26">
        <v>100</v>
      </c>
      <c r="DI39" s="26">
        <v>100</v>
      </c>
      <c r="DJ39" s="26">
        <v>100</v>
      </c>
      <c r="DK39" s="26">
        <v>100</v>
      </c>
      <c r="DL39" s="26">
        <v>100</v>
      </c>
      <c r="DM39" s="26">
        <v>100</v>
      </c>
      <c r="DN39" s="26">
        <v>98.482900000000001</v>
      </c>
      <c r="DO39" s="26">
        <v>99.999899999999997</v>
      </c>
      <c r="DP39" s="26">
        <v>100</v>
      </c>
      <c r="DQ39" s="26">
        <v>99.999899999999997</v>
      </c>
      <c r="DR39" s="26">
        <v>100</v>
      </c>
      <c r="DS39" s="26">
        <v>96.326599999999999</v>
      </c>
      <c r="DT39" s="26">
        <v>97.760300000000001</v>
      </c>
      <c r="DU39" s="26">
        <v>87.903099999999995</v>
      </c>
      <c r="DV39" s="26">
        <v>48.868699999999997</v>
      </c>
      <c r="DW39" s="26">
        <v>97.199092741935502</v>
      </c>
      <c r="DX39" s="17">
        <v>12052.6875</v>
      </c>
    </row>
    <row r="40" spans="1:128" x14ac:dyDescent="0.25">
      <c r="A40" s="24">
        <v>39</v>
      </c>
      <c r="B40" s="26">
        <v>19</v>
      </c>
      <c r="C40" s="26">
        <v>100</v>
      </c>
      <c r="D40" s="26">
        <v>100</v>
      </c>
      <c r="E40" s="26">
        <v>100</v>
      </c>
      <c r="F40" s="26">
        <v>100</v>
      </c>
      <c r="G40" s="26">
        <v>100</v>
      </c>
      <c r="H40" s="26">
        <v>100</v>
      </c>
      <c r="I40" s="26">
        <v>100</v>
      </c>
      <c r="J40" s="26">
        <v>100</v>
      </c>
      <c r="K40" s="26">
        <v>100</v>
      </c>
      <c r="L40" s="26">
        <v>99.564899999999994</v>
      </c>
      <c r="M40" s="26">
        <v>100</v>
      </c>
      <c r="N40" s="26">
        <v>100</v>
      </c>
      <c r="O40" s="26">
        <v>100</v>
      </c>
      <c r="P40" s="26">
        <v>99.450199999999995</v>
      </c>
      <c r="Q40" s="26">
        <v>100</v>
      </c>
      <c r="R40" s="26">
        <v>100</v>
      </c>
      <c r="S40" s="26">
        <v>100</v>
      </c>
      <c r="T40" s="26">
        <v>98.855699999999999</v>
      </c>
      <c r="U40" s="26">
        <v>100</v>
      </c>
      <c r="V40" s="26">
        <v>90.2209</v>
      </c>
      <c r="W40" s="26">
        <v>100</v>
      </c>
      <c r="X40" s="26">
        <v>100</v>
      </c>
      <c r="Y40" s="26">
        <v>100</v>
      </c>
      <c r="Z40" s="26">
        <v>100</v>
      </c>
      <c r="AA40" s="26">
        <v>100</v>
      </c>
      <c r="AB40" s="26">
        <v>76.306600000000003</v>
      </c>
      <c r="AC40" s="26">
        <v>100</v>
      </c>
      <c r="AD40" s="26">
        <v>100</v>
      </c>
      <c r="AE40" s="26">
        <v>100</v>
      </c>
      <c r="AF40" s="26">
        <v>100</v>
      </c>
      <c r="AG40" s="26">
        <v>100</v>
      </c>
      <c r="AH40" s="26">
        <v>100</v>
      </c>
      <c r="AI40" s="26">
        <v>100</v>
      </c>
      <c r="AJ40" s="26">
        <v>100</v>
      </c>
      <c r="AK40" s="26">
        <v>100</v>
      </c>
      <c r="AL40" s="26">
        <v>81.631500000000003</v>
      </c>
      <c r="AM40" s="26">
        <v>99.602500000000006</v>
      </c>
      <c r="AN40" s="26">
        <v>100</v>
      </c>
      <c r="AO40" s="26">
        <v>100</v>
      </c>
      <c r="AP40" s="26">
        <v>100</v>
      </c>
      <c r="AQ40" s="26">
        <v>100</v>
      </c>
      <c r="AR40" s="26">
        <v>100</v>
      </c>
      <c r="AS40" s="26">
        <v>100</v>
      </c>
      <c r="AT40" s="26">
        <v>85.1614</v>
      </c>
      <c r="AU40" s="26">
        <v>100</v>
      </c>
      <c r="AV40" s="26">
        <v>99.740799999999993</v>
      </c>
      <c r="AW40" s="26">
        <v>100</v>
      </c>
      <c r="AX40" s="26">
        <v>100</v>
      </c>
      <c r="AY40" s="26">
        <v>100</v>
      </c>
      <c r="AZ40" s="26">
        <v>99.999899999999997</v>
      </c>
      <c r="BA40" s="26">
        <v>100</v>
      </c>
      <c r="BB40" s="26">
        <v>100</v>
      </c>
      <c r="BC40" s="26">
        <v>100</v>
      </c>
      <c r="BD40" s="26">
        <v>59.895200000000003</v>
      </c>
      <c r="BE40" s="26">
        <v>100</v>
      </c>
      <c r="BF40" s="26">
        <v>87.265299999999996</v>
      </c>
      <c r="BG40" s="26">
        <v>100</v>
      </c>
      <c r="BH40" s="26">
        <v>98.936900000000009</v>
      </c>
      <c r="BI40" s="26">
        <v>100</v>
      </c>
      <c r="BJ40" s="26">
        <v>100</v>
      </c>
      <c r="BK40" s="26">
        <v>100</v>
      </c>
      <c r="BL40" s="26">
        <v>100</v>
      </c>
      <c r="BM40" s="26">
        <v>87.033900000000003</v>
      </c>
      <c r="BN40" s="26">
        <v>98.352699999999999</v>
      </c>
      <c r="BO40" s="26">
        <v>100</v>
      </c>
      <c r="BP40" s="26">
        <v>12.2951</v>
      </c>
      <c r="BQ40" s="26">
        <v>100</v>
      </c>
      <c r="BR40" s="26">
        <v>100</v>
      </c>
      <c r="BS40" s="26">
        <v>43.972900000000003</v>
      </c>
      <c r="BT40" s="26">
        <v>100</v>
      </c>
      <c r="BU40" s="26">
        <v>100</v>
      </c>
      <c r="BV40" s="26">
        <v>100</v>
      </c>
      <c r="BW40" s="26">
        <v>100</v>
      </c>
      <c r="BX40" s="26">
        <v>100</v>
      </c>
      <c r="BY40" s="26">
        <v>100</v>
      </c>
      <c r="BZ40" s="26">
        <v>100</v>
      </c>
      <c r="CA40" s="26">
        <v>100</v>
      </c>
      <c r="CB40" s="26">
        <v>100</v>
      </c>
      <c r="CC40" s="26">
        <v>100</v>
      </c>
      <c r="CD40" s="26">
        <v>96.472700000000003</v>
      </c>
      <c r="CE40" s="26">
        <v>100</v>
      </c>
      <c r="CF40" s="26">
        <v>92.827800000000011</v>
      </c>
      <c r="CG40" s="26">
        <v>100</v>
      </c>
      <c r="CH40" s="26">
        <v>100</v>
      </c>
      <c r="CI40" s="26">
        <v>100</v>
      </c>
      <c r="CJ40" s="26">
        <v>100</v>
      </c>
      <c r="CK40" s="26">
        <v>90.760599999999997</v>
      </c>
      <c r="CL40" s="26">
        <v>100</v>
      </c>
      <c r="CM40" s="26">
        <v>100</v>
      </c>
      <c r="CN40" s="26">
        <v>98.0398</v>
      </c>
      <c r="CO40" s="26">
        <v>100</v>
      </c>
      <c r="CP40" s="26">
        <v>100</v>
      </c>
      <c r="CQ40" s="26">
        <v>100</v>
      </c>
      <c r="CR40" s="26">
        <v>92.023299999999992</v>
      </c>
      <c r="CS40" s="26">
        <v>100</v>
      </c>
      <c r="CT40" s="26">
        <v>100</v>
      </c>
      <c r="CU40" s="26">
        <v>97.724400000000003</v>
      </c>
      <c r="CV40" s="26">
        <v>100</v>
      </c>
      <c r="CW40" s="26">
        <v>99.362099999999998</v>
      </c>
      <c r="CX40" s="26">
        <v>82.051900000000003</v>
      </c>
      <c r="CY40" s="26">
        <v>95.562600000000003</v>
      </c>
      <c r="CZ40" s="26">
        <v>87.712599999999995</v>
      </c>
      <c r="DA40" s="26">
        <v>100</v>
      </c>
      <c r="DB40" s="26">
        <v>100</v>
      </c>
      <c r="DC40" s="26">
        <v>82.469499999999996</v>
      </c>
      <c r="DD40" s="26">
        <v>87.304000000000002</v>
      </c>
      <c r="DE40" s="26">
        <v>99.761399999999995</v>
      </c>
      <c r="DF40" s="26">
        <v>81.118400000000008</v>
      </c>
      <c r="DG40" s="26">
        <v>100</v>
      </c>
      <c r="DH40" s="26">
        <v>100</v>
      </c>
      <c r="DI40" s="26">
        <v>100</v>
      </c>
      <c r="DJ40" s="26">
        <v>100</v>
      </c>
      <c r="DK40" s="26">
        <v>85.218599999999995</v>
      </c>
      <c r="DL40" s="26">
        <v>100</v>
      </c>
      <c r="DM40" s="26">
        <v>100</v>
      </c>
      <c r="DN40" s="26">
        <v>85.479100000000003</v>
      </c>
      <c r="DO40" s="26">
        <v>99.999899999999997</v>
      </c>
      <c r="DP40" s="26">
        <v>100</v>
      </c>
      <c r="DQ40" s="26">
        <v>99.999899999999997</v>
      </c>
      <c r="DR40" s="26">
        <v>100</v>
      </c>
      <c r="DS40" s="26">
        <v>92.880099999999999</v>
      </c>
      <c r="DT40" s="26">
        <v>62.871299999999998</v>
      </c>
      <c r="DU40" s="26">
        <v>90.350099999999998</v>
      </c>
      <c r="DV40" s="26">
        <v>46.279299999999999</v>
      </c>
      <c r="DW40" s="26">
        <v>95.681901612903232</v>
      </c>
      <c r="DX40" s="17">
        <v>11864.5558</v>
      </c>
    </row>
    <row r="41" spans="1:128" x14ac:dyDescent="0.25">
      <c r="A41" s="24">
        <v>40</v>
      </c>
      <c r="B41" s="26">
        <v>19.5</v>
      </c>
      <c r="C41" s="26">
        <v>100</v>
      </c>
      <c r="D41" s="26">
        <v>100</v>
      </c>
      <c r="E41" s="26">
        <v>100</v>
      </c>
      <c r="F41" s="26">
        <v>100</v>
      </c>
      <c r="G41" s="26">
        <v>100</v>
      </c>
      <c r="H41" s="26">
        <v>100</v>
      </c>
      <c r="I41" s="26">
        <v>100</v>
      </c>
      <c r="J41" s="26">
        <v>100</v>
      </c>
      <c r="K41" s="26">
        <v>100</v>
      </c>
      <c r="L41" s="26">
        <v>97.121099999999998</v>
      </c>
      <c r="M41" s="26">
        <v>100</v>
      </c>
      <c r="N41" s="26">
        <v>100</v>
      </c>
      <c r="O41" s="26">
        <v>98.132499999999993</v>
      </c>
      <c r="P41" s="26">
        <v>95.206900000000005</v>
      </c>
      <c r="Q41" s="26">
        <v>100</v>
      </c>
      <c r="R41" s="26">
        <v>98.550200000000004</v>
      </c>
      <c r="S41" s="26">
        <v>99.329099999999997</v>
      </c>
      <c r="T41" s="26">
        <v>96.776899999999998</v>
      </c>
      <c r="U41" s="26">
        <v>93.490600000000001</v>
      </c>
      <c r="V41" s="26">
        <v>87.534599999999998</v>
      </c>
      <c r="W41" s="26">
        <v>100</v>
      </c>
      <c r="X41" s="26">
        <v>100</v>
      </c>
      <c r="Y41" s="26">
        <v>99.399499999999989</v>
      </c>
      <c r="Z41" s="26">
        <v>100</v>
      </c>
      <c r="AA41" s="26">
        <v>100</v>
      </c>
      <c r="AB41" s="26">
        <v>73.940899999999999</v>
      </c>
      <c r="AC41" s="26">
        <v>99.608199999999997</v>
      </c>
      <c r="AD41" s="26">
        <v>100</v>
      </c>
      <c r="AE41" s="26">
        <v>100</v>
      </c>
      <c r="AF41" s="26">
        <v>100</v>
      </c>
      <c r="AG41" s="26">
        <v>94.744900000000001</v>
      </c>
      <c r="AH41" s="26">
        <v>100</v>
      </c>
      <c r="AI41" s="26">
        <v>97.689700000000002</v>
      </c>
      <c r="AJ41" s="26">
        <v>100</v>
      </c>
      <c r="AK41" s="26">
        <v>92.629099999999994</v>
      </c>
      <c r="AL41" s="26">
        <v>78.484699999999989</v>
      </c>
      <c r="AM41" s="26">
        <v>99.787300000000002</v>
      </c>
      <c r="AN41" s="26">
        <v>100</v>
      </c>
      <c r="AO41" s="26">
        <v>100</v>
      </c>
      <c r="AP41" s="26">
        <v>100</v>
      </c>
      <c r="AQ41" s="26">
        <v>100</v>
      </c>
      <c r="AR41" s="26">
        <v>100</v>
      </c>
      <c r="AS41" s="26">
        <v>100</v>
      </c>
      <c r="AT41" s="26">
        <v>86.099599999999995</v>
      </c>
      <c r="AU41" s="26">
        <v>100</v>
      </c>
      <c r="AV41" s="26">
        <v>98.262100000000004</v>
      </c>
      <c r="AW41" s="26">
        <v>100</v>
      </c>
      <c r="AX41" s="26">
        <v>100</v>
      </c>
      <c r="AY41" s="26">
        <v>100</v>
      </c>
      <c r="AZ41" s="26">
        <v>99.999899999999997</v>
      </c>
      <c r="BA41" s="26">
        <v>98.198799999999991</v>
      </c>
      <c r="BB41" s="26">
        <v>100</v>
      </c>
      <c r="BC41" s="26">
        <v>100</v>
      </c>
      <c r="BD41" s="26">
        <v>59.0535</v>
      </c>
      <c r="BE41" s="26">
        <v>100</v>
      </c>
      <c r="BF41" s="26">
        <v>85.347799999999992</v>
      </c>
      <c r="BG41" s="26">
        <v>99.666699999999992</v>
      </c>
      <c r="BH41" s="26">
        <v>97.918400000000005</v>
      </c>
      <c r="BI41" s="26">
        <v>100</v>
      </c>
      <c r="BJ41" s="26">
        <v>99.182699999999997</v>
      </c>
      <c r="BK41" s="26">
        <v>100</v>
      </c>
      <c r="BL41" s="26">
        <v>98.930499999999995</v>
      </c>
      <c r="BM41" s="26">
        <v>86.292000000000002</v>
      </c>
      <c r="BN41" s="26">
        <v>95.437300000000008</v>
      </c>
      <c r="BO41" s="26">
        <v>91.860900000000001</v>
      </c>
      <c r="BP41" s="26">
        <v>10</v>
      </c>
      <c r="BQ41" s="26">
        <v>100</v>
      </c>
      <c r="BR41" s="26">
        <v>100</v>
      </c>
      <c r="BS41" s="26">
        <v>39.497599999999998</v>
      </c>
      <c r="BT41" s="26">
        <v>76.922399999999996</v>
      </c>
      <c r="BU41" s="26">
        <v>100</v>
      </c>
      <c r="BV41" s="26">
        <v>96.004800000000003</v>
      </c>
      <c r="BW41" s="26">
        <v>100</v>
      </c>
      <c r="BX41" s="26">
        <v>100</v>
      </c>
      <c r="BY41" s="26">
        <v>100</v>
      </c>
      <c r="BZ41" s="26">
        <v>97.122</v>
      </c>
      <c r="CA41" s="26">
        <v>100</v>
      </c>
      <c r="CB41" s="26">
        <v>95.342100000000002</v>
      </c>
      <c r="CC41" s="26">
        <v>100</v>
      </c>
      <c r="CD41" s="26">
        <v>95.763900000000007</v>
      </c>
      <c r="CE41" s="26">
        <v>100</v>
      </c>
      <c r="CF41" s="26">
        <v>62.278399999999998</v>
      </c>
      <c r="CG41" s="26">
        <v>98.664400000000001</v>
      </c>
      <c r="CH41" s="26">
        <v>100</v>
      </c>
      <c r="CI41" s="26">
        <v>100</v>
      </c>
      <c r="CJ41" s="26">
        <v>100</v>
      </c>
      <c r="CK41" s="26">
        <v>92.329099999999997</v>
      </c>
      <c r="CL41" s="26">
        <v>100</v>
      </c>
      <c r="CM41" s="26">
        <v>100</v>
      </c>
      <c r="CN41" s="26">
        <v>98.359799999999993</v>
      </c>
      <c r="CO41" s="26">
        <v>98.852199999999996</v>
      </c>
      <c r="CP41" s="26">
        <v>100</v>
      </c>
      <c r="CQ41" s="26">
        <v>97.381</v>
      </c>
      <c r="CR41" s="26">
        <v>90.639300000000006</v>
      </c>
      <c r="CS41" s="26">
        <v>91.418800000000005</v>
      </c>
      <c r="CT41" s="26">
        <v>100</v>
      </c>
      <c r="CU41" s="26">
        <v>79.668999999999997</v>
      </c>
      <c r="CV41" s="26">
        <v>100</v>
      </c>
      <c r="CW41" s="26">
        <v>99.641400000000004</v>
      </c>
      <c r="CX41" s="26">
        <v>44.3172</v>
      </c>
      <c r="CY41" s="26">
        <v>87.358999999999995</v>
      </c>
      <c r="CZ41" s="26">
        <v>88.624300000000005</v>
      </c>
      <c r="DA41" s="26">
        <v>98.973199999999991</v>
      </c>
      <c r="DB41" s="26">
        <v>96.656300000000002</v>
      </c>
      <c r="DC41" s="26">
        <v>78.780500000000004</v>
      </c>
      <c r="DD41" s="26">
        <v>88.909499999999994</v>
      </c>
      <c r="DE41" s="26">
        <v>97.385900000000007</v>
      </c>
      <c r="DF41" s="26">
        <v>63.401300000000013</v>
      </c>
      <c r="DG41" s="26">
        <v>100</v>
      </c>
      <c r="DH41" s="26">
        <v>100</v>
      </c>
      <c r="DI41" s="26">
        <v>99.667699999999996</v>
      </c>
      <c r="DJ41" s="26">
        <v>100</v>
      </c>
      <c r="DK41" s="26">
        <v>60.263300000000001</v>
      </c>
      <c r="DL41" s="26">
        <v>100</v>
      </c>
      <c r="DM41" s="26">
        <v>99.468400000000003</v>
      </c>
      <c r="DN41" s="26">
        <v>84.310600000000008</v>
      </c>
      <c r="DO41" s="26">
        <v>99.132500000000007</v>
      </c>
      <c r="DP41" s="26">
        <v>99.806799999999996</v>
      </c>
      <c r="DQ41" s="26">
        <v>99.6798</v>
      </c>
      <c r="DR41" s="26">
        <v>100</v>
      </c>
      <c r="DS41" s="26">
        <v>89.6952</v>
      </c>
      <c r="DT41" s="26">
        <v>18.790099999999999</v>
      </c>
      <c r="DU41" s="26">
        <v>91.808900000000008</v>
      </c>
      <c r="DV41" s="26">
        <v>42.365600000000001</v>
      </c>
      <c r="DW41" s="26">
        <v>93.128699193548371</v>
      </c>
      <c r="DX41" s="17">
        <v>11547.958699999999</v>
      </c>
    </row>
    <row r="42" spans="1:128" x14ac:dyDescent="0.25">
      <c r="A42" s="24">
        <v>41</v>
      </c>
      <c r="B42" s="26">
        <v>20</v>
      </c>
      <c r="C42" s="26">
        <v>100</v>
      </c>
      <c r="D42" s="26">
        <v>100</v>
      </c>
      <c r="E42" s="26">
        <v>100</v>
      </c>
      <c r="F42" s="26">
        <v>97.853400000000008</v>
      </c>
      <c r="G42" s="26">
        <v>100</v>
      </c>
      <c r="H42" s="26">
        <v>97.336999999999989</v>
      </c>
      <c r="I42" s="26">
        <v>94.629499999999993</v>
      </c>
      <c r="J42" s="26">
        <v>96.902000000000001</v>
      </c>
      <c r="K42" s="26">
        <v>93.890900000000002</v>
      </c>
      <c r="L42" s="26">
        <v>89.040800000000004</v>
      </c>
      <c r="M42" s="26">
        <v>96.86160000000001</v>
      </c>
      <c r="N42" s="26">
        <v>81.910700000000006</v>
      </c>
      <c r="O42" s="26">
        <v>96.374099999999999</v>
      </c>
      <c r="P42" s="26">
        <v>88.59559999999999</v>
      </c>
      <c r="Q42" s="26">
        <v>96.427999999999997</v>
      </c>
      <c r="R42" s="26">
        <v>93.737400000000008</v>
      </c>
      <c r="S42" s="26">
        <v>94.306899999999999</v>
      </c>
      <c r="T42" s="26">
        <v>91.370499999999993</v>
      </c>
      <c r="U42" s="26">
        <v>89.794899999999998</v>
      </c>
      <c r="V42" s="26">
        <v>80.314799999999991</v>
      </c>
      <c r="W42" s="26">
        <v>95.088300000000004</v>
      </c>
      <c r="X42" s="26">
        <v>98.787400000000005</v>
      </c>
      <c r="Y42" s="26">
        <v>94.286199999999994</v>
      </c>
      <c r="Z42" s="26">
        <v>99.291899999999998</v>
      </c>
      <c r="AA42" s="26">
        <v>100</v>
      </c>
      <c r="AB42" s="26">
        <v>65.740499999999997</v>
      </c>
      <c r="AC42" s="26">
        <v>90.985200000000006</v>
      </c>
      <c r="AD42" s="26">
        <v>100</v>
      </c>
      <c r="AE42" s="26">
        <v>98.521499999999989</v>
      </c>
      <c r="AF42" s="26">
        <v>100</v>
      </c>
      <c r="AG42" s="26">
        <v>85.283600000000007</v>
      </c>
      <c r="AH42" s="26">
        <v>97.368299999999991</v>
      </c>
      <c r="AI42" s="26">
        <v>92.256299999999996</v>
      </c>
      <c r="AJ42" s="26">
        <v>97.493899999999996</v>
      </c>
      <c r="AK42" s="26">
        <v>81.989699999999999</v>
      </c>
      <c r="AL42" s="26">
        <v>74.853000000000009</v>
      </c>
      <c r="AM42" s="26">
        <v>95.236500000000007</v>
      </c>
      <c r="AN42" s="26">
        <v>98.681899999999999</v>
      </c>
      <c r="AO42" s="26">
        <v>95.762100000000004</v>
      </c>
      <c r="AP42" s="26">
        <v>95.710599999999999</v>
      </c>
      <c r="AQ42" s="26">
        <v>95.621399999999994</v>
      </c>
      <c r="AR42" s="26">
        <v>100</v>
      </c>
      <c r="AS42" s="26">
        <v>99.908200000000008</v>
      </c>
      <c r="AT42" s="26">
        <v>84.704300000000003</v>
      </c>
      <c r="AU42" s="26">
        <v>98.894199999999998</v>
      </c>
      <c r="AV42" s="26">
        <v>94.796899999999994</v>
      </c>
      <c r="AW42" s="26">
        <v>97.517200000000003</v>
      </c>
      <c r="AX42" s="26">
        <v>97.728999999999999</v>
      </c>
      <c r="AY42" s="26">
        <v>94.63430000000001</v>
      </c>
      <c r="AZ42" s="26">
        <v>98.982500000000002</v>
      </c>
      <c r="BA42" s="26">
        <v>91.451999999999998</v>
      </c>
      <c r="BB42" s="26">
        <v>96.104299999999995</v>
      </c>
      <c r="BC42" s="26">
        <v>99.731200000000001</v>
      </c>
      <c r="BD42" s="26">
        <v>54.052399999999999</v>
      </c>
      <c r="BE42" s="26">
        <v>93.796800000000005</v>
      </c>
      <c r="BF42" s="26">
        <v>79.202600000000004</v>
      </c>
      <c r="BG42" s="26">
        <v>97.986800000000002</v>
      </c>
      <c r="BH42" s="26">
        <v>92.276499999999999</v>
      </c>
      <c r="BI42" s="26">
        <v>100</v>
      </c>
      <c r="BJ42" s="26">
        <v>96.756799999999998</v>
      </c>
      <c r="BK42" s="26">
        <v>96.636399999999995</v>
      </c>
      <c r="BL42" s="26">
        <v>96.2577</v>
      </c>
      <c r="BM42" s="26">
        <v>81.239999999999995</v>
      </c>
      <c r="BN42" s="26">
        <v>86.952500000000001</v>
      </c>
      <c r="BO42" s="26">
        <v>82.777599999999993</v>
      </c>
      <c r="BP42" s="26">
        <v>10</v>
      </c>
      <c r="BQ42" s="26">
        <v>99.909199999999998</v>
      </c>
      <c r="BR42" s="26">
        <v>99.423199999999994</v>
      </c>
      <c r="BS42" s="26">
        <v>32.064799999999998</v>
      </c>
      <c r="BT42" s="26">
        <v>45.673499999999997</v>
      </c>
      <c r="BU42" s="26">
        <v>98.795599999999993</v>
      </c>
      <c r="BV42" s="26">
        <v>90.849199999999996</v>
      </c>
      <c r="BW42" s="26">
        <v>99.309300000000007</v>
      </c>
      <c r="BX42" s="26">
        <v>100</v>
      </c>
      <c r="BY42" s="26">
        <v>99.217200000000005</v>
      </c>
      <c r="BZ42" s="26">
        <v>89.922600000000003</v>
      </c>
      <c r="CA42" s="26">
        <v>96.110900000000001</v>
      </c>
      <c r="CB42" s="26">
        <v>83.402100000000004</v>
      </c>
      <c r="CC42" s="26">
        <v>96.5261</v>
      </c>
      <c r="CD42" s="26">
        <v>90.725400000000008</v>
      </c>
      <c r="CE42" s="26">
        <v>100</v>
      </c>
      <c r="CF42" s="26">
        <v>38.211500000000001</v>
      </c>
      <c r="CG42" s="26">
        <v>96.009900000000002</v>
      </c>
      <c r="CH42" s="26">
        <v>96.661500000000004</v>
      </c>
      <c r="CI42" s="26">
        <v>99.0274</v>
      </c>
      <c r="CJ42" s="26">
        <v>95.9726</v>
      </c>
      <c r="CK42" s="26">
        <v>87.067000000000007</v>
      </c>
      <c r="CL42" s="26">
        <v>98.952600000000004</v>
      </c>
      <c r="CM42" s="26">
        <v>95.571799999999996</v>
      </c>
      <c r="CN42" s="26">
        <v>93.421500000000009</v>
      </c>
      <c r="CO42" s="26">
        <v>99.172600000000003</v>
      </c>
      <c r="CP42" s="26">
        <v>96.042199999999994</v>
      </c>
      <c r="CQ42" s="26">
        <v>89.787300000000002</v>
      </c>
      <c r="CR42" s="26">
        <v>84.600799999999992</v>
      </c>
      <c r="CS42" s="26">
        <v>75.870999999999995</v>
      </c>
      <c r="CT42" s="26">
        <v>98.997399999999999</v>
      </c>
      <c r="CU42" s="26">
        <v>75.307100000000005</v>
      </c>
      <c r="CV42" s="26">
        <v>96.626100000000008</v>
      </c>
      <c r="CW42" s="26">
        <v>98.436400000000006</v>
      </c>
      <c r="CX42" s="26">
        <v>10</v>
      </c>
      <c r="CY42" s="26">
        <v>84.332599999999999</v>
      </c>
      <c r="CZ42" s="26">
        <v>72.506199999999993</v>
      </c>
      <c r="DA42" s="26">
        <v>83.983500000000006</v>
      </c>
      <c r="DB42" s="26">
        <v>90.1845</v>
      </c>
      <c r="DC42" s="26">
        <v>72.615300000000005</v>
      </c>
      <c r="DD42" s="26">
        <v>89.040299999999988</v>
      </c>
      <c r="DE42" s="26">
        <v>90.194000000000003</v>
      </c>
      <c r="DF42" s="26">
        <v>56.010800000000003</v>
      </c>
      <c r="DG42" s="26">
        <v>100</v>
      </c>
      <c r="DH42" s="26">
        <v>99.240099999999998</v>
      </c>
      <c r="DI42" s="26">
        <v>90.995999999999995</v>
      </c>
      <c r="DJ42" s="26">
        <v>98.359099999999998</v>
      </c>
      <c r="DK42" s="26">
        <v>48.494100000000003</v>
      </c>
      <c r="DL42" s="26">
        <v>96.244900000000001</v>
      </c>
      <c r="DM42" s="26">
        <v>96.978899999999996</v>
      </c>
      <c r="DN42" s="26">
        <v>82.389399999999995</v>
      </c>
      <c r="DO42" s="26">
        <v>93.392399999999995</v>
      </c>
      <c r="DP42" s="26">
        <v>99.941999999999993</v>
      </c>
      <c r="DQ42" s="26">
        <v>95.398200000000003</v>
      </c>
      <c r="DR42" s="26">
        <v>98.767300000000006</v>
      </c>
      <c r="DS42" s="26">
        <v>72.839200000000005</v>
      </c>
      <c r="DT42" s="26">
        <v>10</v>
      </c>
      <c r="DU42" s="26">
        <v>90.2239</v>
      </c>
      <c r="DV42" s="26">
        <v>41.065600000000003</v>
      </c>
      <c r="DW42" s="26">
        <v>88.351295967741919</v>
      </c>
      <c r="DX42" s="17">
        <v>10955.5607</v>
      </c>
    </row>
    <row r="43" spans="1:128" x14ac:dyDescent="0.25">
      <c r="A43" s="24">
        <v>42</v>
      </c>
      <c r="B43" s="26">
        <v>20.5</v>
      </c>
      <c r="C43" s="26">
        <v>97.8613</v>
      </c>
      <c r="D43" s="26">
        <v>97.269099999999995</v>
      </c>
      <c r="E43" s="26">
        <v>99.515000000000001</v>
      </c>
      <c r="F43" s="26">
        <v>89.658699999999996</v>
      </c>
      <c r="G43" s="26">
        <v>95.772599999999997</v>
      </c>
      <c r="H43" s="26">
        <v>90.714200000000005</v>
      </c>
      <c r="I43" s="26">
        <v>88.706400000000002</v>
      </c>
      <c r="J43" s="26">
        <v>92.899100000000004</v>
      </c>
      <c r="K43" s="26">
        <v>86.617100000000008</v>
      </c>
      <c r="L43" s="26">
        <v>75.384100000000004</v>
      </c>
      <c r="M43" s="26">
        <v>95.179299999999998</v>
      </c>
      <c r="N43" s="26">
        <v>61.791899999999998</v>
      </c>
      <c r="O43" s="26">
        <v>89.749800000000008</v>
      </c>
      <c r="P43" s="26">
        <v>82.474899999999991</v>
      </c>
      <c r="Q43" s="26">
        <v>91.490400000000008</v>
      </c>
      <c r="R43" s="26">
        <v>85.932000000000002</v>
      </c>
      <c r="S43" s="26">
        <v>77.759799999999998</v>
      </c>
      <c r="T43" s="26">
        <v>78.815699999999993</v>
      </c>
      <c r="U43" s="26">
        <v>83.857199999999992</v>
      </c>
      <c r="V43" s="26">
        <v>74.877400000000009</v>
      </c>
      <c r="W43" s="26">
        <v>87.858400000000003</v>
      </c>
      <c r="X43" s="26">
        <v>98.078500000000005</v>
      </c>
      <c r="Y43" s="26">
        <v>83.730199999999996</v>
      </c>
      <c r="Z43" s="26">
        <v>98.849800000000002</v>
      </c>
      <c r="AA43" s="26">
        <v>99.551900000000003</v>
      </c>
      <c r="AB43" s="26">
        <v>56.174199999999999</v>
      </c>
      <c r="AC43" s="26">
        <v>82.178600000000003</v>
      </c>
      <c r="AD43" s="26">
        <v>96.626000000000005</v>
      </c>
      <c r="AE43" s="26">
        <v>93.510800000000003</v>
      </c>
      <c r="AF43" s="26">
        <v>99.558599999999998</v>
      </c>
      <c r="AG43" s="26">
        <v>67.453500000000005</v>
      </c>
      <c r="AH43" s="26">
        <v>93.7346</v>
      </c>
      <c r="AI43" s="26">
        <v>91.34020000000001</v>
      </c>
      <c r="AJ43" s="26">
        <v>92.087199999999996</v>
      </c>
      <c r="AK43" s="26">
        <v>62.783599999999993</v>
      </c>
      <c r="AL43" s="26">
        <v>68.920699999999997</v>
      </c>
      <c r="AM43" s="26">
        <v>71.705300000000008</v>
      </c>
      <c r="AN43" s="26">
        <v>98.340099999999993</v>
      </c>
      <c r="AO43" s="26">
        <v>88.326300000000003</v>
      </c>
      <c r="AP43" s="26">
        <v>95.350400000000008</v>
      </c>
      <c r="AQ43" s="26">
        <v>88.348399999999998</v>
      </c>
      <c r="AR43" s="26">
        <v>99.5578</v>
      </c>
      <c r="AS43" s="26">
        <v>97.7804</v>
      </c>
      <c r="AT43" s="26">
        <v>83.463899999999995</v>
      </c>
      <c r="AU43" s="26">
        <v>97.051299999999998</v>
      </c>
      <c r="AV43" s="26">
        <v>86.60799999999999</v>
      </c>
      <c r="AW43" s="26">
        <v>94.040500000000009</v>
      </c>
      <c r="AX43" s="26">
        <v>90.699600000000004</v>
      </c>
      <c r="AY43" s="26">
        <v>86.374399999999994</v>
      </c>
      <c r="AZ43" s="26">
        <v>93.465800000000002</v>
      </c>
      <c r="BA43" s="26">
        <v>84.26</v>
      </c>
      <c r="BB43" s="26">
        <v>95.249600000000001</v>
      </c>
      <c r="BC43" s="26">
        <v>99.437799999999996</v>
      </c>
      <c r="BD43" s="26">
        <v>47.223799999999997</v>
      </c>
      <c r="BE43" s="26">
        <v>86.947299999999998</v>
      </c>
      <c r="BF43" s="26">
        <v>73.072499999999991</v>
      </c>
      <c r="BG43" s="26">
        <v>97.013999999999996</v>
      </c>
      <c r="BH43" s="26">
        <v>89.143600000000006</v>
      </c>
      <c r="BI43" s="26">
        <v>98.287800000000004</v>
      </c>
      <c r="BJ43" s="26">
        <v>91.712699999999998</v>
      </c>
      <c r="BK43" s="26">
        <v>75.483000000000004</v>
      </c>
      <c r="BL43" s="26">
        <v>92.948099999999997</v>
      </c>
      <c r="BM43" s="26">
        <v>76.226500000000001</v>
      </c>
      <c r="BN43" s="26">
        <v>79.352900000000005</v>
      </c>
      <c r="BO43" s="26">
        <v>75.378500000000003</v>
      </c>
      <c r="BP43" s="26">
        <v>10</v>
      </c>
      <c r="BQ43" s="26">
        <v>98.527500000000003</v>
      </c>
      <c r="BR43" s="26">
        <v>98.975099999999998</v>
      </c>
      <c r="BS43" s="26">
        <v>24.437799999999999</v>
      </c>
      <c r="BT43" s="26">
        <v>24.7361</v>
      </c>
      <c r="BU43" s="26">
        <v>96.521100000000004</v>
      </c>
      <c r="BV43" s="26">
        <v>84.136399999999995</v>
      </c>
      <c r="BW43" s="26">
        <v>98.13730000000001</v>
      </c>
      <c r="BX43" s="26">
        <v>99.108699999999999</v>
      </c>
      <c r="BY43" s="26">
        <v>98.775000000000006</v>
      </c>
      <c r="BZ43" s="26">
        <v>76.6768</v>
      </c>
      <c r="CA43" s="26">
        <v>93.200299999999999</v>
      </c>
      <c r="CB43" s="26">
        <v>79.777200000000008</v>
      </c>
      <c r="CC43" s="26">
        <v>92.251300000000001</v>
      </c>
      <c r="CD43" s="26">
        <v>84.480999999999995</v>
      </c>
      <c r="CE43" s="26">
        <v>99.577800000000011</v>
      </c>
      <c r="CF43" s="26">
        <v>32.491</v>
      </c>
      <c r="CG43" s="26">
        <v>94.690799999999996</v>
      </c>
      <c r="CH43" s="26">
        <v>90.135000000000005</v>
      </c>
      <c r="CI43" s="26">
        <v>96.271900000000002</v>
      </c>
      <c r="CJ43" s="26">
        <v>91.368300000000005</v>
      </c>
      <c r="CK43" s="26">
        <v>85.290199999999999</v>
      </c>
      <c r="CL43" s="26">
        <v>98.511200000000002</v>
      </c>
      <c r="CM43" s="26">
        <v>89.422199999999989</v>
      </c>
      <c r="CN43" s="26">
        <v>85.4392</v>
      </c>
      <c r="CO43" s="26">
        <v>97.263800000000003</v>
      </c>
      <c r="CP43" s="26">
        <v>86.768900000000002</v>
      </c>
      <c r="CQ43" s="26">
        <v>82.930099999999996</v>
      </c>
      <c r="CR43" s="26">
        <v>77.933099999999996</v>
      </c>
      <c r="CS43" s="26">
        <v>58.822800000000001</v>
      </c>
      <c r="CT43" s="26">
        <v>98.624700000000004</v>
      </c>
      <c r="CU43" s="26">
        <v>70.068200000000004</v>
      </c>
      <c r="CV43" s="26">
        <v>93.287099999999995</v>
      </c>
      <c r="CW43" s="26">
        <v>94.307500000000005</v>
      </c>
      <c r="CX43" s="26">
        <v>10</v>
      </c>
      <c r="CY43" s="26">
        <v>81.589999999999989</v>
      </c>
      <c r="CZ43" s="26">
        <v>61.746199999999988</v>
      </c>
      <c r="DA43" s="26">
        <v>79.737099999999998</v>
      </c>
      <c r="DB43" s="26">
        <v>79.8857</v>
      </c>
      <c r="DC43" s="26">
        <v>71.127600000000001</v>
      </c>
      <c r="DD43" s="26">
        <v>87.721400000000003</v>
      </c>
      <c r="DE43" s="26">
        <v>81.2333</v>
      </c>
      <c r="DF43" s="26">
        <v>48.720799999999997</v>
      </c>
      <c r="DG43" s="26">
        <v>98.231099999999998</v>
      </c>
      <c r="DH43" s="26">
        <v>97.524599999999992</v>
      </c>
      <c r="DI43" s="26">
        <v>79.701999999999998</v>
      </c>
      <c r="DJ43" s="26">
        <v>97.221299999999999</v>
      </c>
      <c r="DK43" s="26">
        <v>43.573399999999999</v>
      </c>
      <c r="DL43" s="26">
        <v>90.104100000000003</v>
      </c>
      <c r="DM43" s="26">
        <v>90.678600000000003</v>
      </c>
      <c r="DN43" s="26">
        <v>77.191299999999998</v>
      </c>
      <c r="DO43" s="26">
        <v>88.928899999999999</v>
      </c>
      <c r="DP43" s="26">
        <v>96.557999999999993</v>
      </c>
      <c r="DQ43" s="26">
        <v>88.167100000000005</v>
      </c>
      <c r="DR43" s="26">
        <v>95.53540000000001</v>
      </c>
      <c r="DS43" s="26">
        <v>65.053799999999995</v>
      </c>
      <c r="DT43" s="26">
        <v>10</v>
      </c>
      <c r="DU43" s="26">
        <v>83.615799999999993</v>
      </c>
      <c r="DV43" s="26">
        <v>38.662500000000001</v>
      </c>
      <c r="DW43" s="26">
        <v>82.798939516129053</v>
      </c>
      <c r="DX43" s="17">
        <v>10267.068499999999</v>
      </c>
    </row>
    <row r="44" spans="1:128" x14ac:dyDescent="0.25">
      <c r="A44" s="24">
        <v>43</v>
      </c>
      <c r="B44" s="26">
        <v>21</v>
      </c>
      <c r="C44" s="26">
        <v>97.321699999999993</v>
      </c>
      <c r="D44" s="26">
        <v>96.654200000000003</v>
      </c>
      <c r="E44" s="26">
        <v>98.875100000000003</v>
      </c>
      <c r="F44" s="26">
        <v>81.864199999999997</v>
      </c>
      <c r="G44" s="26">
        <v>93.086699999999993</v>
      </c>
      <c r="H44" s="26">
        <v>64.932000000000002</v>
      </c>
      <c r="I44" s="26">
        <v>57.227700000000013</v>
      </c>
      <c r="J44" s="26">
        <v>89.838799999999992</v>
      </c>
      <c r="K44" s="26">
        <v>76.529499999999999</v>
      </c>
      <c r="L44" s="26">
        <v>66.3018</v>
      </c>
      <c r="M44" s="26">
        <v>93.590599999999995</v>
      </c>
      <c r="N44" s="26">
        <v>48.566000000000003</v>
      </c>
      <c r="O44" s="26">
        <v>81.472200000000001</v>
      </c>
      <c r="P44" s="26">
        <v>75.403199999999998</v>
      </c>
      <c r="Q44" s="26">
        <v>89.466999999999999</v>
      </c>
      <c r="R44" s="26">
        <v>79.732599999999991</v>
      </c>
      <c r="S44" s="26">
        <v>54.372300000000003</v>
      </c>
      <c r="T44" s="26">
        <v>69.68950000000001</v>
      </c>
      <c r="U44" s="26">
        <v>77.6096</v>
      </c>
      <c r="V44" s="26">
        <v>70.758099999999999</v>
      </c>
      <c r="W44" s="26">
        <v>83.709699999999998</v>
      </c>
      <c r="X44" s="26">
        <v>96.917299999999997</v>
      </c>
      <c r="Y44" s="26">
        <v>74.612800000000007</v>
      </c>
      <c r="Z44" s="26">
        <v>98.068799999999996</v>
      </c>
      <c r="AA44" s="26">
        <v>97.961699999999993</v>
      </c>
      <c r="AB44" s="26">
        <v>41.025500000000001</v>
      </c>
      <c r="AC44" s="26">
        <v>70.726599999999991</v>
      </c>
      <c r="AD44" s="26">
        <v>95.8459</v>
      </c>
      <c r="AE44" s="26">
        <v>72.365500000000011</v>
      </c>
      <c r="AF44" s="26">
        <v>98.0535</v>
      </c>
      <c r="AG44" s="26">
        <v>55.156499999999987</v>
      </c>
      <c r="AH44" s="26">
        <v>87.760499999999993</v>
      </c>
      <c r="AI44" s="26">
        <v>89.153700000000001</v>
      </c>
      <c r="AJ44" s="26">
        <v>84.190100000000001</v>
      </c>
      <c r="AK44" s="26">
        <v>51.9467</v>
      </c>
      <c r="AL44" s="26">
        <v>48.125</v>
      </c>
      <c r="AM44" s="26">
        <v>64.060900000000004</v>
      </c>
      <c r="AN44" s="26">
        <v>97.445499999999996</v>
      </c>
      <c r="AO44" s="26">
        <v>81.986899999999991</v>
      </c>
      <c r="AP44" s="26">
        <v>94.773200000000003</v>
      </c>
      <c r="AQ44" s="26">
        <v>65.363200000000006</v>
      </c>
      <c r="AR44" s="26">
        <v>98.867599999999996</v>
      </c>
      <c r="AS44" s="26">
        <v>75.436000000000007</v>
      </c>
      <c r="AT44" s="26">
        <v>82.962000000000003</v>
      </c>
      <c r="AU44" s="26">
        <v>96.423899999999989</v>
      </c>
      <c r="AV44" s="26">
        <v>69.977699999999999</v>
      </c>
      <c r="AW44" s="26">
        <v>89.392899999999997</v>
      </c>
      <c r="AX44" s="26">
        <v>82.717100000000002</v>
      </c>
      <c r="AY44" s="26">
        <v>73.307100000000005</v>
      </c>
      <c r="AZ44" s="26">
        <v>87.987400000000008</v>
      </c>
      <c r="BA44" s="26">
        <v>74.971600000000009</v>
      </c>
      <c r="BB44" s="26">
        <v>92.436899999999994</v>
      </c>
      <c r="BC44" s="26">
        <v>95.382199999999997</v>
      </c>
      <c r="BD44" s="26">
        <v>42.157899999999998</v>
      </c>
      <c r="BE44" s="26">
        <v>79.936300000000003</v>
      </c>
      <c r="BF44" s="26">
        <v>65.836399999999998</v>
      </c>
      <c r="BG44" s="26">
        <v>91.927199999999999</v>
      </c>
      <c r="BH44" s="26">
        <v>84.907399999999996</v>
      </c>
      <c r="BI44" s="26">
        <v>96.524600000000007</v>
      </c>
      <c r="BJ44" s="26">
        <v>86.638899999999992</v>
      </c>
      <c r="BK44" s="26">
        <v>51.657299999999992</v>
      </c>
      <c r="BL44" s="26">
        <v>92.050600000000003</v>
      </c>
      <c r="BM44" s="26">
        <v>66.923200000000008</v>
      </c>
      <c r="BN44" s="26">
        <v>74.464500000000001</v>
      </c>
      <c r="BO44" s="26">
        <v>69.268900000000002</v>
      </c>
      <c r="BP44" s="26">
        <v>10</v>
      </c>
      <c r="BQ44" s="26">
        <v>98.063199999999995</v>
      </c>
      <c r="BR44" s="26">
        <v>96.219399999999993</v>
      </c>
      <c r="BS44" s="26">
        <v>15.5845</v>
      </c>
      <c r="BT44" s="26">
        <v>23.7758</v>
      </c>
      <c r="BU44" s="26">
        <v>93.813299999999998</v>
      </c>
      <c r="BV44" s="26">
        <v>78.613900000000001</v>
      </c>
      <c r="BW44" s="26">
        <v>97.509799999999998</v>
      </c>
      <c r="BX44" s="26">
        <v>98.000399999999999</v>
      </c>
      <c r="BY44" s="26">
        <v>96.108499999999992</v>
      </c>
      <c r="BZ44" s="26">
        <v>74.1511</v>
      </c>
      <c r="CA44" s="26">
        <v>90.850399999999993</v>
      </c>
      <c r="CB44" s="26">
        <v>73.203600000000009</v>
      </c>
      <c r="CC44" s="26">
        <v>87.485799999999998</v>
      </c>
      <c r="CD44" s="26">
        <v>74.474099999999993</v>
      </c>
      <c r="CE44" s="26">
        <v>99.000500000000002</v>
      </c>
      <c r="CF44" s="26">
        <v>14.3438</v>
      </c>
      <c r="CG44" s="26">
        <v>91.000399999999999</v>
      </c>
      <c r="CH44" s="26">
        <v>84.135300000000001</v>
      </c>
      <c r="CI44" s="26">
        <v>95.631999999999991</v>
      </c>
      <c r="CJ44" s="26">
        <v>83.10990000000001</v>
      </c>
      <c r="CK44" s="26">
        <v>83.854200000000006</v>
      </c>
      <c r="CL44" s="26">
        <v>97.883799999999994</v>
      </c>
      <c r="CM44" s="26">
        <v>83.393000000000001</v>
      </c>
      <c r="CN44" s="26">
        <v>76.102699999999999</v>
      </c>
      <c r="CO44" s="26">
        <v>94.963699999999989</v>
      </c>
      <c r="CP44" s="26">
        <v>52.516500000000001</v>
      </c>
      <c r="CQ44" s="26">
        <v>73.734999999999999</v>
      </c>
      <c r="CR44" s="26">
        <v>72.617800000000003</v>
      </c>
      <c r="CS44" s="26">
        <v>54.377899999999997</v>
      </c>
      <c r="CT44" s="26">
        <v>96.445499999999996</v>
      </c>
      <c r="CU44" s="26">
        <v>63.575899999999997</v>
      </c>
      <c r="CV44" s="26">
        <v>88.865899999999996</v>
      </c>
      <c r="CW44" s="26">
        <v>89.954800000000006</v>
      </c>
      <c r="CX44" s="26">
        <v>10</v>
      </c>
      <c r="CY44" s="26">
        <v>76.133300000000006</v>
      </c>
      <c r="CZ44" s="26">
        <v>54.4191</v>
      </c>
      <c r="DA44" s="26">
        <v>75.930299999999988</v>
      </c>
      <c r="DB44" s="26">
        <v>70.56219999999999</v>
      </c>
      <c r="DC44" s="26">
        <v>68.252300000000005</v>
      </c>
      <c r="DD44" s="26">
        <v>87.194400000000002</v>
      </c>
      <c r="DE44" s="26">
        <v>73.254099999999994</v>
      </c>
      <c r="DF44" s="26">
        <v>37.1877</v>
      </c>
      <c r="DG44" s="26">
        <v>96.901800000000009</v>
      </c>
      <c r="DH44" s="26">
        <v>93.633899999999997</v>
      </c>
      <c r="DI44" s="26">
        <v>71.733800000000002</v>
      </c>
      <c r="DJ44" s="26">
        <v>92.150400000000005</v>
      </c>
      <c r="DK44" s="26">
        <v>27.555900000000001</v>
      </c>
      <c r="DL44" s="26">
        <v>83.345399999999998</v>
      </c>
      <c r="DM44" s="26">
        <v>81.780100000000004</v>
      </c>
      <c r="DN44" s="26">
        <v>72.735500000000002</v>
      </c>
      <c r="DO44" s="26">
        <v>85.844699999999989</v>
      </c>
      <c r="DP44" s="26">
        <v>95.674400000000006</v>
      </c>
      <c r="DQ44" s="26">
        <v>80.320400000000006</v>
      </c>
      <c r="DR44" s="26">
        <v>93.073899999999995</v>
      </c>
      <c r="DS44" s="26">
        <v>61.356400000000001</v>
      </c>
      <c r="DT44" s="26">
        <v>10</v>
      </c>
      <c r="DU44" s="26">
        <v>77.849100000000007</v>
      </c>
      <c r="DV44" s="26">
        <v>37.440899999999999</v>
      </c>
      <c r="DW44" s="26">
        <v>76.228954032258059</v>
      </c>
      <c r="DX44" s="17">
        <v>9452.3902999999991</v>
      </c>
    </row>
    <row r="45" spans="1:128" x14ac:dyDescent="0.25">
      <c r="A45" s="24">
        <v>44</v>
      </c>
      <c r="B45" s="26">
        <v>21.5</v>
      </c>
      <c r="C45" s="26">
        <v>95.231200000000001</v>
      </c>
      <c r="D45" s="26">
        <v>94.092799999999997</v>
      </c>
      <c r="E45" s="26">
        <v>98.235100000000003</v>
      </c>
      <c r="F45" s="26">
        <v>74.495900000000006</v>
      </c>
      <c r="G45" s="26">
        <v>88.683599999999998</v>
      </c>
      <c r="H45" s="26">
        <v>61.118699999999997</v>
      </c>
      <c r="I45" s="26">
        <v>46.607300000000002</v>
      </c>
      <c r="J45" s="26">
        <v>81.650400000000005</v>
      </c>
      <c r="K45" s="26">
        <v>69.020300000000006</v>
      </c>
      <c r="L45" s="26">
        <v>58.184399999999997</v>
      </c>
      <c r="M45" s="26">
        <v>90.343099999999993</v>
      </c>
      <c r="N45" s="26">
        <v>40.211399999999998</v>
      </c>
      <c r="O45" s="26">
        <v>78.816900000000004</v>
      </c>
      <c r="P45" s="26">
        <v>70.366500000000002</v>
      </c>
      <c r="Q45" s="26">
        <v>83.394900000000007</v>
      </c>
      <c r="R45" s="26">
        <v>72.748999999999995</v>
      </c>
      <c r="S45" s="26">
        <v>49.043199999999999</v>
      </c>
      <c r="T45" s="26">
        <v>57.525799999999997</v>
      </c>
      <c r="U45" s="26">
        <v>71.1327</v>
      </c>
      <c r="V45" s="26">
        <v>62.31</v>
      </c>
      <c r="W45" s="26">
        <v>78.454900000000009</v>
      </c>
      <c r="X45" s="26">
        <v>95.161600000000007</v>
      </c>
      <c r="Y45" s="26">
        <v>66.010899999999992</v>
      </c>
      <c r="Z45" s="26">
        <v>95.470999999999989</v>
      </c>
      <c r="AA45" s="26">
        <v>96.798500000000004</v>
      </c>
      <c r="AB45" s="26">
        <v>27.459700000000002</v>
      </c>
      <c r="AC45" s="26">
        <v>65.823399999999992</v>
      </c>
      <c r="AD45" s="26">
        <v>93.644799999999989</v>
      </c>
      <c r="AE45" s="26">
        <v>64.770099999999999</v>
      </c>
      <c r="AF45" s="26">
        <v>96.1584</v>
      </c>
      <c r="AG45" s="26">
        <v>46.421300000000002</v>
      </c>
      <c r="AH45" s="26">
        <v>82.264099999999999</v>
      </c>
      <c r="AI45" s="26">
        <v>87.117000000000004</v>
      </c>
      <c r="AJ45" s="26">
        <v>77.062200000000004</v>
      </c>
      <c r="AK45" s="26">
        <v>45.763399999999997</v>
      </c>
      <c r="AL45" s="26">
        <v>33.219099999999997</v>
      </c>
      <c r="AM45" s="26">
        <v>54.490799999999993</v>
      </c>
      <c r="AN45" s="26">
        <v>94.777299999999997</v>
      </c>
      <c r="AO45" s="26">
        <v>79.267499999999998</v>
      </c>
      <c r="AP45" s="26">
        <v>84.160299999999992</v>
      </c>
      <c r="AQ45" s="26">
        <v>58.781300000000002</v>
      </c>
      <c r="AR45" s="26">
        <v>98.177499999999995</v>
      </c>
      <c r="AS45" s="26">
        <v>56.917399999999986</v>
      </c>
      <c r="AT45" s="26">
        <v>81.677199999999999</v>
      </c>
      <c r="AU45" s="26">
        <v>95.796400000000006</v>
      </c>
      <c r="AV45" s="26">
        <v>31.45</v>
      </c>
      <c r="AW45" s="26">
        <v>82.799000000000007</v>
      </c>
      <c r="AX45" s="26">
        <v>76.511899999999997</v>
      </c>
      <c r="AY45" s="26">
        <v>58.843500000000013</v>
      </c>
      <c r="AZ45" s="26">
        <v>75.447699999999998</v>
      </c>
      <c r="BA45" s="26">
        <v>66.171199999999999</v>
      </c>
      <c r="BB45" s="26">
        <v>88.039900000000003</v>
      </c>
      <c r="BC45" s="26">
        <v>91.557000000000002</v>
      </c>
      <c r="BD45" s="26">
        <v>32.6828</v>
      </c>
      <c r="BE45" s="26">
        <v>71.398200000000003</v>
      </c>
      <c r="BF45" s="26">
        <v>49.5899</v>
      </c>
      <c r="BG45" s="26">
        <v>85.881100000000004</v>
      </c>
      <c r="BH45" s="26">
        <v>75.246500000000012</v>
      </c>
      <c r="BI45" s="26">
        <v>95.746600000000001</v>
      </c>
      <c r="BJ45" s="26">
        <v>81.351799999999997</v>
      </c>
      <c r="BK45" s="26">
        <v>40.514000000000003</v>
      </c>
      <c r="BL45" s="26">
        <v>89.914000000000001</v>
      </c>
      <c r="BM45" s="26">
        <v>58.739199999999997</v>
      </c>
      <c r="BN45" s="26">
        <v>68.779200000000003</v>
      </c>
      <c r="BO45" s="26">
        <v>62.524299999999997</v>
      </c>
      <c r="BP45" s="26">
        <v>10</v>
      </c>
      <c r="BQ45" s="26">
        <v>97.505099999999999</v>
      </c>
      <c r="BR45" s="26">
        <v>95.554299999999998</v>
      </c>
      <c r="BS45" s="26">
        <v>10</v>
      </c>
      <c r="BT45" s="26">
        <v>21.480399999999999</v>
      </c>
      <c r="BU45" s="26">
        <v>90.178399999999996</v>
      </c>
      <c r="BV45" s="26">
        <v>71.082300000000004</v>
      </c>
      <c r="BW45" s="26">
        <v>93.838099999999997</v>
      </c>
      <c r="BX45" s="26">
        <v>97.360500000000002</v>
      </c>
      <c r="BY45" s="26">
        <v>95.418300000000002</v>
      </c>
      <c r="BZ45" s="26">
        <v>69.788899999999998</v>
      </c>
      <c r="CA45" s="26">
        <v>87.056399999999996</v>
      </c>
      <c r="CB45" s="26">
        <v>54.429600000000001</v>
      </c>
      <c r="CC45" s="26">
        <v>81.547300000000007</v>
      </c>
      <c r="CD45" s="26">
        <v>65.475300000000004</v>
      </c>
      <c r="CE45" s="26">
        <v>98.423299999999998</v>
      </c>
      <c r="CF45" s="26">
        <v>13.1473</v>
      </c>
      <c r="CG45" s="26">
        <v>88.806799999999996</v>
      </c>
      <c r="CH45" s="26">
        <v>80.858699999999999</v>
      </c>
      <c r="CI45" s="26">
        <v>93.932099999999991</v>
      </c>
      <c r="CJ45" s="26">
        <v>65.192599999999999</v>
      </c>
      <c r="CK45" s="26">
        <v>81.373899999999992</v>
      </c>
      <c r="CL45" s="26">
        <v>97.256399999999999</v>
      </c>
      <c r="CM45" s="26">
        <v>75.821799999999996</v>
      </c>
      <c r="CN45" s="26">
        <v>68.757599999999996</v>
      </c>
      <c r="CO45" s="26">
        <v>93.6357</v>
      </c>
      <c r="CP45" s="26">
        <v>15.4253</v>
      </c>
      <c r="CQ45" s="26">
        <v>67.067399999999992</v>
      </c>
      <c r="CR45" s="26">
        <v>62.363</v>
      </c>
      <c r="CS45" s="26">
        <v>48.566299999999998</v>
      </c>
      <c r="CT45" s="26">
        <v>95.855699999999999</v>
      </c>
      <c r="CU45" s="26">
        <v>54.142699999999998</v>
      </c>
      <c r="CV45" s="26">
        <v>82.580399999999997</v>
      </c>
      <c r="CW45" s="26">
        <v>83.845500000000001</v>
      </c>
      <c r="CX45" s="26">
        <v>10</v>
      </c>
      <c r="CY45" s="26">
        <v>72.546999999999997</v>
      </c>
      <c r="CZ45" s="26">
        <v>48.957500000000003</v>
      </c>
      <c r="DA45" s="26">
        <v>71.045699999999997</v>
      </c>
      <c r="DB45" s="26">
        <v>58.528399999999998</v>
      </c>
      <c r="DC45" s="26">
        <v>61.761000000000003</v>
      </c>
      <c r="DD45" s="26">
        <v>85.751500000000007</v>
      </c>
      <c r="DE45" s="26">
        <v>66.950299999999999</v>
      </c>
      <c r="DF45" s="26">
        <v>27.933199999999999</v>
      </c>
      <c r="DG45" s="26">
        <v>84.239500000000007</v>
      </c>
      <c r="DH45" s="26">
        <v>88.827699999999993</v>
      </c>
      <c r="DI45" s="26">
        <v>60.711599999999997</v>
      </c>
      <c r="DJ45" s="26">
        <v>91.007400000000004</v>
      </c>
      <c r="DK45" s="26">
        <v>19.2193</v>
      </c>
      <c r="DL45" s="26">
        <v>74.149200000000008</v>
      </c>
      <c r="DM45" s="26">
        <v>74.085999999999999</v>
      </c>
      <c r="DN45" s="26">
        <v>65.761899999999997</v>
      </c>
      <c r="DO45" s="26">
        <v>85.367899999999992</v>
      </c>
      <c r="DP45" s="26">
        <v>93.905600000000007</v>
      </c>
      <c r="DQ45" s="26">
        <v>79.730599999999995</v>
      </c>
      <c r="DR45" s="26">
        <v>88.442099999999996</v>
      </c>
      <c r="DS45" s="26">
        <v>57.789299999999997</v>
      </c>
      <c r="DT45" s="26">
        <v>10</v>
      </c>
      <c r="DU45" s="26">
        <v>72.280500000000004</v>
      </c>
      <c r="DV45" s="26">
        <v>30.317</v>
      </c>
      <c r="DW45" s="26">
        <v>69.912295967741969</v>
      </c>
      <c r="DX45" s="17">
        <v>8669.1247000000039</v>
      </c>
    </row>
    <row r="46" spans="1:128" x14ac:dyDescent="0.25">
      <c r="A46" s="24">
        <v>45</v>
      </c>
      <c r="B46" s="26">
        <v>22</v>
      </c>
      <c r="C46" s="26">
        <v>94.519300000000001</v>
      </c>
      <c r="D46" s="26">
        <v>93.045299999999997</v>
      </c>
      <c r="E46" s="26">
        <v>96.953000000000003</v>
      </c>
      <c r="F46" s="26">
        <v>67.581599999999995</v>
      </c>
      <c r="G46" s="26">
        <v>82.020400000000009</v>
      </c>
      <c r="H46" s="26">
        <v>56.790599999999998</v>
      </c>
      <c r="I46" s="26">
        <v>40.786000000000001</v>
      </c>
      <c r="J46" s="26">
        <v>74.263199999999998</v>
      </c>
      <c r="K46" s="26">
        <v>60.196899999999999</v>
      </c>
      <c r="L46" s="26">
        <v>51.902900000000002</v>
      </c>
      <c r="M46" s="26">
        <v>88.428600000000003</v>
      </c>
      <c r="N46" s="26">
        <v>34.801299999999998</v>
      </c>
      <c r="O46" s="26">
        <v>74.810299999999998</v>
      </c>
      <c r="P46" s="26">
        <v>63.596499999999999</v>
      </c>
      <c r="Q46" s="26">
        <v>78.531599999999997</v>
      </c>
      <c r="R46" s="26">
        <v>64.14800000000001</v>
      </c>
      <c r="S46" s="26">
        <v>44.334099999999999</v>
      </c>
      <c r="T46" s="26">
        <v>50.050400000000003</v>
      </c>
      <c r="U46" s="26">
        <v>65.413299999999992</v>
      </c>
      <c r="V46" s="26">
        <v>50.156999999999996</v>
      </c>
      <c r="W46" s="26">
        <v>69.721699999999998</v>
      </c>
      <c r="X46" s="26">
        <v>94.000399999999999</v>
      </c>
      <c r="Y46" s="26">
        <v>60.819400000000002</v>
      </c>
      <c r="Z46" s="26">
        <v>94.780799999999999</v>
      </c>
      <c r="AA46" s="26">
        <v>96.133499999999998</v>
      </c>
      <c r="AB46" s="26">
        <v>16.658200000000001</v>
      </c>
      <c r="AC46" s="26">
        <v>60.500999999999998</v>
      </c>
      <c r="AD46" s="26">
        <v>90.169600000000003</v>
      </c>
      <c r="AE46" s="26">
        <v>55.502300000000012</v>
      </c>
      <c r="AF46" s="26">
        <v>95.531000000000006</v>
      </c>
      <c r="AG46" s="26">
        <v>24.541</v>
      </c>
      <c r="AH46" s="26">
        <v>76.142699999999991</v>
      </c>
      <c r="AI46" s="26">
        <v>86.181399999999996</v>
      </c>
      <c r="AJ46" s="26">
        <v>71.584000000000003</v>
      </c>
      <c r="AK46" s="26">
        <v>26.166399999999999</v>
      </c>
      <c r="AL46" s="26">
        <v>22.339300000000001</v>
      </c>
      <c r="AM46" s="26">
        <v>42.8386</v>
      </c>
      <c r="AN46" s="26">
        <v>88.782300000000006</v>
      </c>
      <c r="AO46" s="26">
        <v>74.74260000000001</v>
      </c>
      <c r="AP46" s="26">
        <v>83.582999999999998</v>
      </c>
      <c r="AQ46" s="26">
        <v>54.752100000000013</v>
      </c>
      <c r="AR46" s="26">
        <v>94.342700000000008</v>
      </c>
      <c r="AS46" s="26">
        <v>44.129899999999999</v>
      </c>
      <c r="AT46" s="26">
        <v>80.392499999999998</v>
      </c>
      <c r="AU46" s="26">
        <v>95.168999999999997</v>
      </c>
      <c r="AV46" s="26">
        <v>10</v>
      </c>
      <c r="AW46" s="26">
        <v>77.275400000000005</v>
      </c>
      <c r="AX46" s="26">
        <v>68.915899999999993</v>
      </c>
      <c r="AY46" s="26">
        <v>44.116799999999998</v>
      </c>
      <c r="AZ46" s="26">
        <v>40.0197</v>
      </c>
      <c r="BA46" s="26">
        <v>59.921999999999997</v>
      </c>
      <c r="BB46" s="26">
        <v>82.185699999999997</v>
      </c>
      <c r="BC46" s="26">
        <v>86.157700000000006</v>
      </c>
      <c r="BD46" s="26">
        <v>24.3705</v>
      </c>
      <c r="BE46" s="26">
        <v>66.226799999999997</v>
      </c>
      <c r="BF46" s="26">
        <v>33.867400000000004</v>
      </c>
      <c r="BG46" s="26">
        <v>79.702300000000008</v>
      </c>
      <c r="BH46" s="26">
        <v>70.014600000000002</v>
      </c>
      <c r="BI46" s="26">
        <v>92.801199999999994</v>
      </c>
      <c r="BJ46" s="26">
        <v>75.039900000000003</v>
      </c>
      <c r="BK46" s="26">
        <v>37.498699999999999</v>
      </c>
      <c r="BL46" s="26">
        <v>86.081700000000012</v>
      </c>
      <c r="BM46" s="26">
        <v>50.191499999999998</v>
      </c>
      <c r="BN46" s="26">
        <v>67.734099999999998</v>
      </c>
      <c r="BO46" s="26">
        <v>56.306900000000013</v>
      </c>
      <c r="BP46" s="26">
        <v>10</v>
      </c>
      <c r="BQ46" s="26">
        <v>95.664699999999996</v>
      </c>
      <c r="BR46" s="26">
        <v>94.889299999999992</v>
      </c>
      <c r="BS46" s="26">
        <v>10</v>
      </c>
      <c r="BT46" s="26">
        <v>19.228100000000001</v>
      </c>
      <c r="BU46" s="26">
        <v>87.170199999999994</v>
      </c>
      <c r="BV46" s="26">
        <v>66.229500000000002</v>
      </c>
      <c r="BW46" s="26">
        <v>92.413600000000002</v>
      </c>
      <c r="BX46" s="26">
        <v>95.783900000000003</v>
      </c>
      <c r="BY46" s="26">
        <v>94.728099999999998</v>
      </c>
      <c r="BZ46" s="26">
        <v>67.024200000000008</v>
      </c>
      <c r="CA46" s="26">
        <v>82.728999999999999</v>
      </c>
      <c r="CB46" s="26">
        <v>51.951400000000007</v>
      </c>
      <c r="CC46" s="26">
        <v>77.809799999999996</v>
      </c>
      <c r="CD46" s="26">
        <v>63.975700000000003</v>
      </c>
      <c r="CE46" s="26">
        <v>97.1601</v>
      </c>
      <c r="CF46" s="26">
        <v>10.5364</v>
      </c>
      <c r="CG46" s="26">
        <v>81.849000000000004</v>
      </c>
      <c r="CH46" s="26">
        <v>80.268900000000002</v>
      </c>
      <c r="CI46" s="26">
        <v>90.224299999999999</v>
      </c>
      <c r="CJ46" s="26">
        <v>49.978299999999997</v>
      </c>
      <c r="CK46" s="26">
        <v>80.7072</v>
      </c>
      <c r="CL46" s="26">
        <v>96.628900000000002</v>
      </c>
      <c r="CM46" s="26">
        <v>68.592600000000004</v>
      </c>
      <c r="CN46" s="26">
        <v>60.297199999999997</v>
      </c>
      <c r="CO46" s="26">
        <v>88.0505</v>
      </c>
      <c r="CP46" s="26">
        <v>10</v>
      </c>
      <c r="CQ46" s="26">
        <v>59.260199999999998</v>
      </c>
      <c r="CR46" s="26">
        <v>54.338600000000007</v>
      </c>
      <c r="CS46" s="26">
        <v>38.0503</v>
      </c>
      <c r="CT46" s="26">
        <v>95.265900000000002</v>
      </c>
      <c r="CU46" s="26">
        <v>47.632000000000012</v>
      </c>
      <c r="CV46" s="26">
        <v>75.232299999999995</v>
      </c>
      <c r="CW46" s="26">
        <v>80.256500000000003</v>
      </c>
      <c r="CX46" s="26">
        <v>10</v>
      </c>
      <c r="CY46" s="26">
        <v>68.966899999999995</v>
      </c>
      <c r="CZ46" s="26">
        <v>44.887700000000002</v>
      </c>
      <c r="DA46" s="26">
        <v>63.349200000000003</v>
      </c>
      <c r="DB46" s="26">
        <v>52.169699999999999</v>
      </c>
      <c r="DC46" s="26">
        <v>57.738300000000002</v>
      </c>
      <c r="DD46" s="26">
        <v>85.224500000000006</v>
      </c>
      <c r="DE46" s="26">
        <v>60.834500000000013</v>
      </c>
      <c r="DF46" s="26">
        <v>19.856200000000001</v>
      </c>
      <c r="DG46" s="26">
        <v>70.916199999999989</v>
      </c>
      <c r="DH46" s="26">
        <v>83.022499999999994</v>
      </c>
      <c r="DI46" s="26">
        <v>52.778799999999997</v>
      </c>
      <c r="DJ46" s="26">
        <v>87.757499999999993</v>
      </c>
      <c r="DK46" s="26">
        <v>10.6126</v>
      </c>
      <c r="DL46" s="26">
        <v>69.522300000000001</v>
      </c>
      <c r="DM46" s="26">
        <v>72.371399999999994</v>
      </c>
      <c r="DN46" s="26">
        <v>56.238100000000003</v>
      </c>
      <c r="DO46" s="26">
        <v>84.531599999999997</v>
      </c>
      <c r="DP46" s="26">
        <v>91.251800000000003</v>
      </c>
      <c r="DQ46" s="26">
        <v>78.231499999999997</v>
      </c>
      <c r="DR46" s="26">
        <v>83.831000000000003</v>
      </c>
      <c r="DS46" s="26">
        <v>53.278799999999997</v>
      </c>
      <c r="DT46" s="26">
        <v>10</v>
      </c>
      <c r="DU46" s="26">
        <v>65.326599999999999</v>
      </c>
      <c r="DV46" s="26">
        <v>21.0611</v>
      </c>
      <c r="DW46" s="26">
        <v>64.257661290322574</v>
      </c>
      <c r="DX46" s="17">
        <v>7967.95</v>
      </c>
    </row>
    <row r="47" spans="1:128" x14ac:dyDescent="0.25">
      <c r="A47" s="24">
        <v>46</v>
      </c>
      <c r="B47" s="26">
        <v>22.5</v>
      </c>
      <c r="C47" s="26">
        <v>90.963000000000008</v>
      </c>
      <c r="D47" s="26">
        <v>92.430500000000009</v>
      </c>
      <c r="E47" s="26">
        <v>96.313000000000002</v>
      </c>
      <c r="F47" s="26">
        <v>66.841200000000001</v>
      </c>
      <c r="G47" s="26">
        <v>77.528599999999997</v>
      </c>
      <c r="H47" s="26">
        <v>53.835599999999992</v>
      </c>
      <c r="I47" s="26">
        <v>33.735599999999998</v>
      </c>
      <c r="J47" s="26">
        <v>69.084100000000007</v>
      </c>
      <c r="K47" s="26">
        <v>53.9208</v>
      </c>
      <c r="L47" s="26">
        <v>45.5837</v>
      </c>
      <c r="M47" s="26">
        <v>86.012299999999996</v>
      </c>
      <c r="N47" s="26">
        <v>32.963000000000001</v>
      </c>
      <c r="O47" s="26">
        <v>68.920199999999994</v>
      </c>
      <c r="P47" s="26">
        <v>52.603599999999993</v>
      </c>
      <c r="Q47" s="26">
        <v>77.6648</v>
      </c>
      <c r="R47" s="26">
        <v>54.937399999999997</v>
      </c>
      <c r="S47" s="26">
        <v>37.183100000000003</v>
      </c>
      <c r="T47" s="26">
        <v>28.4039</v>
      </c>
      <c r="U47" s="26">
        <v>55.668900000000001</v>
      </c>
      <c r="V47" s="26">
        <v>47.952599999999997</v>
      </c>
      <c r="W47" s="26">
        <v>66.050899999999999</v>
      </c>
      <c r="X47" s="26">
        <v>92.244600000000005</v>
      </c>
      <c r="Y47" s="26">
        <v>59.018300000000004</v>
      </c>
      <c r="Z47" s="26">
        <v>92.092200000000005</v>
      </c>
      <c r="AA47" s="26">
        <v>95.468400000000003</v>
      </c>
      <c r="AB47" s="26">
        <v>10</v>
      </c>
      <c r="AC47" s="26">
        <v>55.395499999999998</v>
      </c>
      <c r="AD47" s="26">
        <v>89.138499999999993</v>
      </c>
      <c r="AE47" s="26">
        <v>45.757800000000003</v>
      </c>
      <c r="AF47" s="26">
        <v>92.758200000000002</v>
      </c>
      <c r="AG47" s="26">
        <v>12.1175</v>
      </c>
      <c r="AH47" s="26">
        <v>71.056699999999992</v>
      </c>
      <c r="AI47" s="26">
        <v>83.662400000000005</v>
      </c>
      <c r="AJ47" s="26">
        <v>65.719200000000001</v>
      </c>
      <c r="AK47" s="26">
        <v>21.330400000000001</v>
      </c>
      <c r="AL47" s="26">
        <v>11.040900000000001</v>
      </c>
      <c r="AM47" s="26">
        <v>33.659999999999997</v>
      </c>
      <c r="AN47" s="26">
        <v>84.686499999999995</v>
      </c>
      <c r="AO47" s="26">
        <v>74.019100000000009</v>
      </c>
      <c r="AP47" s="26">
        <v>83.005799999999994</v>
      </c>
      <c r="AQ47" s="26">
        <v>48.955300000000001</v>
      </c>
      <c r="AR47" s="26">
        <v>89.775000000000006</v>
      </c>
      <c r="AS47" s="26">
        <v>37.734699999999997</v>
      </c>
      <c r="AT47" s="26">
        <v>79.890500000000003</v>
      </c>
      <c r="AU47" s="26">
        <v>93.303899999999999</v>
      </c>
      <c r="AV47" s="26">
        <v>10</v>
      </c>
      <c r="AW47" s="26">
        <v>71.538199999999989</v>
      </c>
      <c r="AX47" s="26">
        <v>58.187100000000001</v>
      </c>
      <c r="AY47" s="26">
        <v>31.025500000000001</v>
      </c>
      <c r="AZ47" s="26">
        <v>10</v>
      </c>
      <c r="BA47" s="26">
        <v>54.466800000000013</v>
      </c>
      <c r="BB47" s="26">
        <v>75.626599999999996</v>
      </c>
      <c r="BC47" s="26">
        <v>80.935299999999998</v>
      </c>
      <c r="BD47" s="26">
        <v>17.568899999999999</v>
      </c>
      <c r="BE47" s="26">
        <v>59.790200000000013</v>
      </c>
      <c r="BF47" s="26">
        <v>23.851600000000001</v>
      </c>
      <c r="BG47" s="26">
        <v>64.330200000000005</v>
      </c>
      <c r="BH47" s="26">
        <v>65.002899999999997</v>
      </c>
      <c r="BI47" s="26">
        <v>92.023200000000003</v>
      </c>
      <c r="BJ47" s="26">
        <v>66.786699999999996</v>
      </c>
      <c r="BK47" s="26">
        <v>36.6937</v>
      </c>
      <c r="BL47" s="26">
        <v>83.516599999999997</v>
      </c>
      <c r="BM47" s="26">
        <v>49.247399999999999</v>
      </c>
      <c r="BN47" s="26">
        <v>65.903000000000006</v>
      </c>
      <c r="BO47" s="26">
        <v>47.633499999999998</v>
      </c>
      <c r="BP47" s="26">
        <v>10</v>
      </c>
      <c r="BQ47" s="26">
        <v>89.236599999999996</v>
      </c>
      <c r="BR47" s="26">
        <v>92.7988</v>
      </c>
      <c r="BS47" s="26">
        <v>10</v>
      </c>
      <c r="BT47" s="26">
        <v>17.9724</v>
      </c>
      <c r="BU47" s="26">
        <v>81.518500000000003</v>
      </c>
      <c r="BV47" s="26">
        <v>59.790200000000013</v>
      </c>
      <c r="BW47" s="26">
        <v>90.345500000000001</v>
      </c>
      <c r="BX47" s="26">
        <v>95.143900000000002</v>
      </c>
      <c r="BY47" s="26">
        <v>91.64609999999999</v>
      </c>
      <c r="BZ47" s="26">
        <v>61.7089</v>
      </c>
      <c r="CA47" s="26">
        <v>78.971499999999992</v>
      </c>
      <c r="CB47" s="26">
        <v>49.527000000000001</v>
      </c>
      <c r="CC47" s="26">
        <v>74.40870000000001</v>
      </c>
      <c r="CD47" s="26">
        <v>62.476200000000013</v>
      </c>
      <c r="CE47" s="26">
        <v>94.221500000000006</v>
      </c>
      <c r="CF47" s="26">
        <v>10</v>
      </c>
      <c r="CG47" s="26">
        <v>78.787999999999997</v>
      </c>
      <c r="CH47" s="26">
        <v>79.106999999999999</v>
      </c>
      <c r="CI47" s="26">
        <v>87.777500000000003</v>
      </c>
      <c r="CJ47" s="26">
        <v>42.0443</v>
      </c>
      <c r="CK47" s="26">
        <v>79.211299999999994</v>
      </c>
      <c r="CL47" s="26">
        <v>96.001499999999993</v>
      </c>
      <c r="CM47" s="26">
        <v>62.3904</v>
      </c>
      <c r="CN47" s="26">
        <v>53.9848</v>
      </c>
      <c r="CO47" s="26">
        <v>87.397999999999996</v>
      </c>
      <c r="CP47" s="26">
        <v>10</v>
      </c>
      <c r="CQ47" s="26">
        <v>53.825800000000001</v>
      </c>
      <c r="CR47" s="26">
        <v>45.456699999999998</v>
      </c>
      <c r="CS47" s="26">
        <v>30.038599999999999</v>
      </c>
      <c r="CT47" s="26">
        <v>93.960900000000009</v>
      </c>
      <c r="CU47" s="26">
        <v>36.488599999999998</v>
      </c>
      <c r="CV47" s="26">
        <v>66.5</v>
      </c>
      <c r="CW47" s="26">
        <v>74.8078</v>
      </c>
      <c r="CX47" s="26">
        <v>10</v>
      </c>
      <c r="CY47" s="26">
        <v>68.540300000000002</v>
      </c>
      <c r="CZ47" s="26">
        <v>40.918900000000001</v>
      </c>
      <c r="DA47" s="26">
        <v>54.833200000000012</v>
      </c>
      <c r="DB47" s="26">
        <v>44.3613</v>
      </c>
      <c r="DC47" s="26">
        <v>50.535400000000003</v>
      </c>
      <c r="DD47" s="26">
        <v>84.646600000000007</v>
      </c>
      <c r="DE47" s="26">
        <v>56.2789</v>
      </c>
      <c r="DF47" s="26">
        <v>10.6328</v>
      </c>
      <c r="DG47" s="26">
        <v>70.188400000000001</v>
      </c>
      <c r="DH47" s="26">
        <v>78.892600000000002</v>
      </c>
      <c r="DI47" s="26">
        <v>44.082700000000003</v>
      </c>
      <c r="DJ47" s="26">
        <v>84.772000000000006</v>
      </c>
      <c r="DK47" s="26">
        <v>10</v>
      </c>
      <c r="DL47" s="26">
        <v>63.394300000000001</v>
      </c>
      <c r="DM47" s="26">
        <v>71.040099999999995</v>
      </c>
      <c r="DN47" s="26">
        <v>49.9527</v>
      </c>
      <c r="DO47" s="26">
        <v>81.517700000000005</v>
      </c>
      <c r="DP47" s="26">
        <v>90.561599999999999</v>
      </c>
      <c r="DQ47" s="26">
        <v>77.122100000000003</v>
      </c>
      <c r="DR47" s="26">
        <v>78.197599999999994</v>
      </c>
      <c r="DS47" s="26">
        <v>49.438099999999999</v>
      </c>
      <c r="DT47" s="26">
        <v>10</v>
      </c>
      <c r="DU47" s="26">
        <v>46.572699999999998</v>
      </c>
      <c r="DV47" s="26">
        <v>10</v>
      </c>
      <c r="DW47" s="26">
        <v>59.343408064516112</v>
      </c>
      <c r="DX47" s="17">
        <v>7358.5825999999979</v>
      </c>
    </row>
    <row r="48" spans="1:128" x14ac:dyDescent="0.25">
      <c r="A48" s="24">
        <v>47</v>
      </c>
      <c r="B48" s="26">
        <v>23</v>
      </c>
      <c r="C48" s="26">
        <v>68.166000000000011</v>
      </c>
      <c r="D48" s="26">
        <v>91.815600000000003</v>
      </c>
      <c r="E48" s="26">
        <v>95.673000000000002</v>
      </c>
      <c r="F48" s="26">
        <v>66.100800000000007</v>
      </c>
      <c r="G48" s="26">
        <v>76.938800000000001</v>
      </c>
      <c r="H48" s="26">
        <v>51.630200000000002</v>
      </c>
      <c r="I48" s="26">
        <v>29.453199999999999</v>
      </c>
      <c r="J48" s="26">
        <v>66.613199999999992</v>
      </c>
      <c r="K48" s="26">
        <v>50.444400000000002</v>
      </c>
      <c r="L48" s="26">
        <v>35.299900000000001</v>
      </c>
      <c r="M48" s="26">
        <v>83.192099999999996</v>
      </c>
      <c r="N48" s="26">
        <v>32.3733</v>
      </c>
      <c r="O48" s="26">
        <v>67.015199999999993</v>
      </c>
      <c r="P48" s="26">
        <v>45.264099999999999</v>
      </c>
      <c r="Q48" s="26">
        <v>74.3583</v>
      </c>
      <c r="R48" s="26">
        <v>43.65</v>
      </c>
      <c r="S48" s="26">
        <v>30.443300000000001</v>
      </c>
      <c r="T48" s="26">
        <v>19.519400000000001</v>
      </c>
      <c r="U48" s="26">
        <v>28.317900000000002</v>
      </c>
      <c r="V48" s="26">
        <v>44.142200000000003</v>
      </c>
      <c r="W48" s="26">
        <v>64.731499999999997</v>
      </c>
      <c r="X48" s="26">
        <v>91.529300000000006</v>
      </c>
      <c r="Y48" s="26">
        <v>58.629299999999994</v>
      </c>
      <c r="Z48" s="26">
        <v>91.402000000000001</v>
      </c>
      <c r="AA48" s="26">
        <v>94.305199999999999</v>
      </c>
      <c r="AB48" s="26">
        <v>10</v>
      </c>
      <c r="AC48" s="26">
        <v>49.474299999999999</v>
      </c>
      <c r="AD48" s="26">
        <v>85.767499999999998</v>
      </c>
      <c r="AE48" s="26">
        <v>38.914200000000001</v>
      </c>
      <c r="AF48" s="26">
        <v>92.130800000000008</v>
      </c>
      <c r="AG48" s="26">
        <v>10</v>
      </c>
      <c r="AH48" s="26">
        <v>67.007300000000001</v>
      </c>
      <c r="AI48" s="26">
        <v>76.256799999999998</v>
      </c>
      <c r="AJ48" s="26">
        <v>56.160499999999999</v>
      </c>
      <c r="AK48" s="26">
        <v>16.304600000000001</v>
      </c>
      <c r="AL48" s="26">
        <v>10</v>
      </c>
      <c r="AM48" s="26">
        <v>26.760200000000001</v>
      </c>
      <c r="AN48" s="26">
        <v>81.345500000000001</v>
      </c>
      <c r="AO48" s="26">
        <v>70.173300000000012</v>
      </c>
      <c r="AP48" s="26">
        <v>82.428600000000003</v>
      </c>
      <c r="AQ48" s="26">
        <v>40.349499999999999</v>
      </c>
      <c r="AR48" s="26">
        <v>86.518799999999999</v>
      </c>
      <c r="AS48" s="26">
        <v>33.7273</v>
      </c>
      <c r="AT48" s="26">
        <v>78.957400000000007</v>
      </c>
      <c r="AU48" s="26">
        <v>92.6113</v>
      </c>
      <c r="AV48" s="26">
        <v>10</v>
      </c>
      <c r="AW48" s="26">
        <v>49.669499999999999</v>
      </c>
      <c r="AX48" s="26">
        <v>50.595199999999998</v>
      </c>
      <c r="AY48" s="26">
        <v>15.0222</v>
      </c>
      <c r="AZ48" s="26">
        <v>10</v>
      </c>
      <c r="BA48" s="26">
        <v>47.468600000000002</v>
      </c>
      <c r="BB48" s="26">
        <v>69.2684</v>
      </c>
      <c r="BC48" s="26">
        <v>80.558899999999994</v>
      </c>
      <c r="BD48" s="26">
        <v>12.4011</v>
      </c>
      <c r="BE48" s="26">
        <v>54.296399999999998</v>
      </c>
      <c r="BF48" s="26">
        <v>20.5075</v>
      </c>
      <c r="BG48" s="26">
        <v>60.711399999999998</v>
      </c>
      <c r="BH48" s="26">
        <v>56.598700000000001</v>
      </c>
      <c r="BI48" s="26">
        <v>89.964399999999998</v>
      </c>
      <c r="BJ48" s="26">
        <v>60.359200000000001</v>
      </c>
      <c r="BK48" s="26">
        <v>29.736499999999999</v>
      </c>
      <c r="BL48" s="26">
        <v>81.717799999999997</v>
      </c>
      <c r="BM48" s="26">
        <v>42.637700000000002</v>
      </c>
      <c r="BN48" s="26">
        <v>62.796100000000003</v>
      </c>
      <c r="BO48" s="26">
        <v>41.251300000000001</v>
      </c>
      <c r="BP48" s="26">
        <v>10</v>
      </c>
      <c r="BQ48" s="26">
        <v>85.336199999999991</v>
      </c>
      <c r="BR48" s="26">
        <v>89.555700000000002</v>
      </c>
      <c r="BS48" s="26">
        <v>10</v>
      </c>
      <c r="BT48" s="26">
        <v>15.7323</v>
      </c>
      <c r="BU48" s="26">
        <v>77.618600000000001</v>
      </c>
      <c r="BV48" s="26">
        <v>53.589799999999997</v>
      </c>
      <c r="BW48" s="26">
        <v>87.317300000000003</v>
      </c>
      <c r="BX48" s="26">
        <v>93.567300000000003</v>
      </c>
      <c r="BY48" s="26">
        <v>86.476500000000001</v>
      </c>
      <c r="BZ48" s="26">
        <v>58.408900000000003</v>
      </c>
      <c r="CA48" s="26">
        <v>74.942399999999992</v>
      </c>
      <c r="CB48" s="26">
        <v>47.573500000000003</v>
      </c>
      <c r="CC48" s="26">
        <v>68.744900000000001</v>
      </c>
      <c r="CD48" s="26">
        <v>60.379399999999997</v>
      </c>
      <c r="CE48" s="26">
        <v>89.809100000000001</v>
      </c>
      <c r="CF48" s="26">
        <v>10</v>
      </c>
      <c r="CG48" s="26">
        <v>72.147999999999996</v>
      </c>
      <c r="CH48" s="26">
        <v>77.291299999999993</v>
      </c>
      <c r="CI48" s="26">
        <v>87.090999999999994</v>
      </c>
      <c r="CJ48" s="26">
        <v>36.942700000000002</v>
      </c>
      <c r="CK48" s="26">
        <v>78.596500000000006</v>
      </c>
      <c r="CL48" s="26">
        <v>95.374099999999999</v>
      </c>
      <c r="CM48" s="26">
        <v>55.032099999999993</v>
      </c>
      <c r="CN48" s="26">
        <v>30.3325</v>
      </c>
      <c r="CO48" s="26">
        <v>85.563400000000001</v>
      </c>
      <c r="CP48" s="26">
        <v>10</v>
      </c>
      <c r="CQ48" s="26">
        <v>52.018300000000004</v>
      </c>
      <c r="CR48" s="26">
        <v>40.3337</v>
      </c>
      <c r="CS48" s="26">
        <v>22.946999999999999</v>
      </c>
      <c r="CT48" s="26">
        <v>92.497</v>
      </c>
      <c r="CU48" s="26">
        <v>31.1493</v>
      </c>
      <c r="CV48" s="26">
        <v>60.7166</v>
      </c>
      <c r="CW48" s="26">
        <v>65.206000000000003</v>
      </c>
      <c r="CX48" s="26">
        <v>10</v>
      </c>
      <c r="CY48" s="26">
        <v>66.837400000000002</v>
      </c>
      <c r="CZ48" s="26">
        <v>35.7333</v>
      </c>
      <c r="DA48" s="26">
        <v>48.7956</v>
      </c>
      <c r="DB48" s="26">
        <v>24.962800000000001</v>
      </c>
      <c r="DC48" s="26">
        <v>45.345300000000002</v>
      </c>
      <c r="DD48" s="26">
        <v>83.254599999999996</v>
      </c>
      <c r="DE48" s="26">
        <v>44.456499999999998</v>
      </c>
      <c r="DF48" s="26">
        <v>10</v>
      </c>
      <c r="DG48" s="26">
        <v>67.827800000000011</v>
      </c>
      <c r="DH48" s="26">
        <v>77.481800000000007</v>
      </c>
      <c r="DI48" s="26">
        <v>33.506300000000003</v>
      </c>
      <c r="DJ48" s="26">
        <v>82.154700000000005</v>
      </c>
      <c r="DK48" s="26">
        <v>10</v>
      </c>
      <c r="DL48" s="26">
        <v>55.890300000000003</v>
      </c>
      <c r="DM48" s="26">
        <v>68.6554</v>
      </c>
      <c r="DN48" s="26">
        <v>45.291800000000002</v>
      </c>
      <c r="DO48" s="26">
        <v>80.558999999999997</v>
      </c>
      <c r="DP48" s="26">
        <v>87.286200000000008</v>
      </c>
      <c r="DQ48" s="26">
        <v>76.345100000000002</v>
      </c>
      <c r="DR48" s="26">
        <v>72.683700000000002</v>
      </c>
      <c r="DS48" s="26">
        <v>44.594900000000003</v>
      </c>
      <c r="DT48" s="26">
        <v>10</v>
      </c>
      <c r="DU48" s="26">
        <v>31.1556</v>
      </c>
      <c r="DV48" s="26">
        <v>10</v>
      </c>
      <c r="DW48" s="26">
        <v>54.730375000000024</v>
      </c>
      <c r="DX48" s="17">
        <v>6786.5665000000026</v>
      </c>
    </row>
    <row r="49" spans="1:128" x14ac:dyDescent="0.25">
      <c r="A49" s="25">
        <v>48</v>
      </c>
      <c r="B49" s="27">
        <v>23.5</v>
      </c>
      <c r="C49" s="27">
        <v>61.084799999999987</v>
      </c>
      <c r="D49" s="27">
        <v>88.821600000000004</v>
      </c>
      <c r="E49" s="27">
        <v>95.033100000000005</v>
      </c>
      <c r="F49" s="27">
        <v>65.360500000000002</v>
      </c>
      <c r="G49" s="27">
        <v>76.349000000000004</v>
      </c>
      <c r="H49" s="27">
        <v>50.2746</v>
      </c>
      <c r="I49" s="27">
        <v>21.7744</v>
      </c>
      <c r="J49" s="27">
        <v>64.823399999999992</v>
      </c>
      <c r="K49" s="27">
        <v>45.577199999999998</v>
      </c>
      <c r="L49" s="27">
        <v>31.604600000000001</v>
      </c>
      <c r="M49" s="27">
        <v>80.5809</v>
      </c>
      <c r="N49" s="27">
        <v>30.0548</v>
      </c>
      <c r="O49" s="27">
        <v>63.964799999999997</v>
      </c>
      <c r="P49" s="27">
        <v>41.557400000000001</v>
      </c>
      <c r="Q49" s="27">
        <v>73.756</v>
      </c>
      <c r="R49" s="27">
        <v>33.986600000000003</v>
      </c>
      <c r="S49" s="27">
        <v>25.908999999999999</v>
      </c>
      <c r="T49" s="27">
        <v>12.914899999999999</v>
      </c>
      <c r="U49" s="27">
        <v>22.5474</v>
      </c>
      <c r="V49" s="27">
        <v>43.079300000000003</v>
      </c>
      <c r="W49" s="27">
        <v>64.129199999999997</v>
      </c>
      <c r="X49" s="27">
        <v>90.814099999999996</v>
      </c>
      <c r="Y49" s="27">
        <v>58.240299999999998</v>
      </c>
      <c r="Z49" s="27">
        <v>90.348500000000001</v>
      </c>
      <c r="AA49" s="27">
        <v>92.715000000000003</v>
      </c>
      <c r="AB49" s="27">
        <v>10</v>
      </c>
      <c r="AC49" s="27">
        <v>42.216299999999997</v>
      </c>
      <c r="AD49" s="27">
        <v>85.127499999999998</v>
      </c>
      <c r="AE49" s="27">
        <v>36.162499999999987</v>
      </c>
      <c r="AF49" s="27">
        <v>90.625799999999998</v>
      </c>
      <c r="AG49" s="27">
        <v>10</v>
      </c>
      <c r="AH49" s="27">
        <v>59.558500000000002</v>
      </c>
      <c r="AI49" s="27">
        <v>75.615899999999996</v>
      </c>
      <c r="AJ49" s="27">
        <v>52.186200000000007</v>
      </c>
      <c r="AK49" s="27">
        <v>10</v>
      </c>
      <c r="AL49" s="27">
        <v>10</v>
      </c>
      <c r="AM49" s="27">
        <v>21.208300000000001</v>
      </c>
      <c r="AN49" s="27">
        <v>76.799599999999998</v>
      </c>
      <c r="AO49" s="27">
        <v>68.281999999999996</v>
      </c>
      <c r="AP49" s="27">
        <v>81.851300000000009</v>
      </c>
      <c r="AQ49" s="27">
        <v>31.781400000000001</v>
      </c>
      <c r="AR49" s="27">
        <v>85.828599999999994</v>
      </c>
      <c r="AS49" s="27">
        <v>31.950900000000001</v>
      </c>
      <c r="AT49" s="27">
        <v>77.789400000000001</v>
      </c>
      <c r="AU49" s="27">
        <v>91.78840000000001</v>
      </c>
      <c r="AV49" s="27">
        <v>10</v>
      </c>
      <c r="AW49" s="27">
        <v>30.535399999999999</v>
      </c>
      <c r="AX49" s="27">
        <v>48.704799999999999</v>
      </c>
      <c r="AY49" s="27">
        <v>10</v>
      </c>
      <c r="AZ49" s="27">
        <v>10</v>
      </c>
      <c r="BA49" s="27">
        <v>43.911299999999997</v>
      </c>
      <c r="BB49" s="27">
        <v>67.319600000000008</v>
      </c>
      <c r="BC49" s="27">
        <v>80.182400000000001</v>
      </c>
      <c r="BD49" s="27">
        <v>11.6709</v>
      </c>
      <c r="BE49" s="27">
        <v>52.093400000000003</v>
      </c>
      <c r="BF49" s="27">
        <v>17.959399999999999</v>
      </c>
      <c r="BG49" s="27">
        <v>54.845599999999997</v>
      </c>
      <c r="BH49" s="27">
        <v>55.971299999999999</v>
      </c>
      <c r="BI49" s="27">
        <v>88.299700000000001</v>
      </c>
      <c r="BJ49" s="27">
        <v>56.029700000000012</v>
      </c>
      <c r="BK49" s="27">
        <v>26.851299999999998</v>
      </c>
      <c r="BL49" s="27">
        <v>79.502399999999994</v>
      </c>
      <c r="BM49" s="27">
        <v>38.172699999999999</v>
      </c>
      <c r="BN49" s="27">
        <v>62.105900000000013</v>
      </c>
      <c r="BO49" s="27">
        <v>39.621699999999997</v>
      </c>
      <c r="BP49" s="27">
        <v>10</v>
      </c>
      <c r="BQ49" s="27">
        <v>74.250399999999999</v>
      </c>
      <c r="BR49" s="27">
        <v>87.731400000000008</v>
      </c>
      <c r="BS49" s="27">
        <v>10</v>
      </c>
      <c r="BT49" s="27">
        <v>14.015499999999999</v>
      </c>
      <c r="BU49" s="27">
        <v>73.001400000000004</v>
      </c>
      <c r="BV49" s="27">
        <v>45.141500000000001</v>
      </c>
      <c r="BW49" s="27">
        <v>86.689899999999994</v>
      </c>
      <c r="BX49" s="27">
        <v>92.927300000000002</v>
      </c>
      <c r="BY49" s="27">
        <v>83.454300000000003</v>
      </c>
      <c r="BZ49" s="27">
        <v>54.436599999999999</v>
      </c>
      <c r="CA49" s="27">
        <v>74.227200000000011</v>
      </c>
      <c r="CB49" s="27">
        <v>46.9482</v>
      </c>
      <c r="CC49" s="27">
        <v>67.361899999999991</v>
      </c>
      <c r="CD49" s="27">
        <v>56.175899999999999</v>
      </c>
      <c r="CE49" s="27">
        <v>88.162399999999991</v>
      </c>
      <c r="CF49" s="27">
        <v>10</v>
      </c>
      <c r="CG49" s="27">
        <v>68.059200000000004</v>
      </c>
      <c r="CH49" s="27">
        <v>76.701499999999996</v>
      </c>
      <c r="CI49" s="27">
        <v>84.255200000000002</v>
      </c>
      <c r="CJ49" s="27">
        <v>32.008200000000002</v>
      </c>
      <c r="CK49" s="27">
        <v>77.9816</v>
      </c>
      <c r="CL49" s="27">
        <v>94.74669999999999</v>
      </c>
      <c r="CM49" s="27">
        <v>48.816299999999998</v>
      </c>
      <c r="CN49" s="27">
        <v>28.0243</v>
      </c>
      <c r="CO49" s="27">
        <v>84.824200000000005</v>
      </c>
      <c r="CP49" s="27">
        <v>10</v>
      </c>
      <c r="CQ49" s="27">
        <v>49.299199999999999</v>
      </c>
      <c r="CR49" s="27">
        <v>36.1708</v>
      </c>
      <c r="CS49" s="27">
        <v>17.4269</v>
      </c>
      <c r="CT49" s="27">
        <v>86.129000000000005</v>
      </c>
      <c r="CU49" s="27">
        <v>29.1234</v>
      </c>
      <c r="CV49" s="27">
        <v>56.070799999999998</v>
      </c>
      <c r="CW49" s="27">
        <v>64.50439999999999</v>
      </c>
      <c r="CX49" s="27">
        <v>10</v>
      </c>
      <c r="CY49" s="27">
        <v>64.12639999999999</v>
      </c>
      <c r="CZ49" s="27">
        <v>17.6738</v>
      </c>
      <c r="DA49" s="27">
        <v>44.904699999999998</v>
      </c>
      <c r="DB49" s="27">
        <v>18.733000000000001</v>
      </c>
      <c r="DC49" s="27">
        <v>40.174599999999998</v>
      </c>
      <c r="DD49" s="27">
        <v>82.371399999999994</v>
      </c>
      <c r="DE49" s="27">
        <v>39.208500000000001</v>
      </c>
      <c r="DF49" s="27">
        <v>10</v>
      </c>
      <c r="DG49" s="27">
        <v>66.842199999999991</v>
      </c>
      <c r="DH49" s="27">
        <v>75.960499999999996</v>
      </c>
      <c r="DI49" s="27">
        <v>24.703800000000001</v>
      </c>
      <c r="DJ49" s="27">
        <v>78.831199999999995</v>
      </c>
      <c r="DK49" s="27">
        <v>10</v>
      </c>
      <c r="DL49" s="27">
        <v>48.927999999999997</v>
      </c>
      <c r="DM49" s="27">
        <v>66.981800000000007</v>
      </c>
      <c r="DN49" s="27">
        <v>40.406300000000002</v>
      </c>
      <c r="DO49" s="27">
        <v>78.824000000000012</v>
      </c>
      <c r="DP49" s="27">
        <v>86.138999999999996</v>
      </c>
      <c r="DQ49" s="27">
        <v>73.390100000000004</v>
      </c>
      <c r="DR49" s="27">
        <v>67.162300000000002</v>
      </c>
      <c r="DS49" s="27">
        <v>41.120899999999999</v>
      </c>
      <c r="DT49" s="27">
        <v>10</v>
      </c>
      <c r="DU49" s="27">
        <v>24.776499999999999</v>
      </c>
      <c r="DV49" s="27">
        <v>10</v>
      </c>
      <c r="DW49" s="27">
        <v>51.675613709677421</v>
      </c>
      <c r="DX49" s="33">
        <v>6407.7761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X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128" width="15" customWidth="1"/>
  </cols>
  <sheetData>
    <row r="1" spans="1:128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21" t="s">
        <v>84</v>
      </c>
      <c r="AY1" s="21" t="s">
        <v>85</v>
      </c>
      <c r="AZ1" s="21" t="s">
        <v>86</v>
      </c>
      <c r="BA1" s="21" t="s">
        <v>87</v>
      </c>
      <c r="BB1" s="21" t="s">
        <v>88</v>
      </c>
      <c r="BC1" s="21" t="s">
        <v>89</v>
      </c>
      <c r="BD1" s="21" t="s">
        <v>90</v>
      </c>
      <c r="BE1" s="21" t="s">
        <v>91</v>
      </c>
      <c r="BF1" s="21" t="s">
        <v>92</v>
      </c>
      <c r="BG1" s="21" t="s">
        <v>93</v>
      </c>
      <c r="BH1" s="21" t="s">
        <v>94</v>
      </c>
      <c r="BI1" s="21" t="s">
        <v>95</v>
      </c>
      <c r="BJ1" s="21" t="s">
        <v>96</v>
      </c>
      <c r="BK1" s="21" t="s">
        <v>97</v>
      </c>
      <c r="BL1" s="21" t="s">
        <v>98</v>
      </c>
      <c r="BM1" s="21" t="s">
        <v>99</v>
      </c>
      <c r="BN1" s="21" t="s">
        <v>100</v>
      </c>
      <c r="BO1" s="21" t="s">
        <v>101</v>
      </c>
      <c r="BP1" s="21" t="s">
        <v>102</v>
      </c>
      <c r="BQ1" s="21" t="s">
        <v>103</v>
      </c>
      <c r="BR1" s="21" t="s">
        <v>104</v>
      </c>
      <c r="BS1" s="21" t="s">
        <v>105</v>
      </c>
      <c r="BT1" s="21" t="s">
        <v>106</v>
      </c>
      <c r="BU1" s="21" t="s">
        <v>107</v>
      </c>
      <c r="BV1" s="21" t="s">
        <v>108</v>
      </c>
      <c r="BW1" s="21" t="s">
        <v>109</v>
      </c>
      <c r="BX1" s="21" t="s">
        <v>110</v>
      </c>
      <c r="BY1" s="21" t="s">
        <v>111</v>
      </c>
      <c r="BZ1" s="21" t="s">
        <v>112</v>
      </c>
      <c r="CA1" s="21" t="s">
        <v>113</v>
      </c>
      <c r="CB1" s="21" t="s">
        <v>114</v>
      </c>
      <c r="CC1" s="21" t="s">
        <v>115</v>
      </c>
      <c r="CD1" s="21" t="s">
        <v>116</v>
      </c>
      <c r="CE1" s="21" t="s">
        <v>117</v>
      </c>
      <c r="CF1" s="21" t="s">
        <v>118</v>
      </c>
      <c r="CG1" s="21" t="s">
        <v>119</v>
      </c>
      <c r="CH1" s="21" t="s">
        <v>120</v>
      </c>
      <c r="CI1" s="21" t="s">
        <v>121</v>
      </c>
      <c r="CJ1" s="21" t="s">
        <v>122</v>
      </c>
      <c r="CK1" s="21" t="s">
        <v>123</v>
      </c>
      <c r="CL1" s="21" t="s">
        <v>124</v>
      </c>
      <c r="CM1" s="21" t="s">
        <v>125</v>
      </c>
      <c r="CN1" s="21" t="s">
        <v>126</v>
      </c>
      <c r="CO1" s="21" t="s">
        <v>127</v>
      </c>
      <c r="CP1" s="21" t="s">
        <v>128</v>
      </c>
      <c r="CQ1" s="21" t="s">
        <v>129</v>
      </c>
      <c r="CR1" s="21" t="s">
        <v>130</v>
      </c>
      <c r="CS1" s="21" t="s">
        <v>131</v>
      </c>
      <c r="CT1" s="21" t="s">
        <v>132</v>
      </c>
      <c r="CU1" s="21" t="s">
        <v>133</v>
      </c>
      <c r="CV1" s="21" t="s">
        <v>134</v>
      </c>
      <c r="CW1" s="21" t="s">
        <v>135</v>
      </c>
      <c r="CX1" s="21" t="s">
        <v>136</v>
      </c>
      <c r="CY1" s="21" t="s">
        <v>137</v>
      </c>
      <c r="CZ1" s="21" t="s">
        <v>138</v>
      </c>
      <c r="DA1" s="21" t="s">
        <v>139</v>
      </c>
      <c r="DB1" s="21" t="s">
        <v>140</v>
      </c>
      <c r="DC1" s="21" t="s">
        <v>141</v>
      </c>
      <c r="DD1" s="21" t="s">
        <v>142</v>
      </c>
      <c r="DE1" s="21" t="s">
        <v>143</v>
      </c>
      <c r="DF1" s="21" t="s">
        <v>144</v>
      </c>
      <c r="DG1" s="21" t="s">
        <v>145</v>
      </c>
      <c r="DH1" s="21" t="s">
        <v>146</v>
      </c>
      <c r="DI1" s="21" t="s">
        <v>147</v>
      </c>
      <c r="DJ1" s="21" t="s">
        <v>148</v>
      </c>
      <c r="DK1" s="21" t="s">
        <v>149</v>
      </c>
      <c r="DL1" s="21" t="s">
        <v>150</v>
      </c>
      <c r="DM1" s="21" t="s">
        <v>151</v>
      </c>
      <c r="DN1" s="21" t="s">
        <v>152</v>
      </c>
      <c r="DO1" s="21" t="s">
        <v>153</v>
      </c>
      <c r="DP1" s="21" t="s">
        <v>154</v>
      </c>
      <c r="DQ1" s="21" t="s">
        <v>155</v>
      </c>
      <c r="DR1" s="21" t="s">
        <v>156</v>
      </c>
      <c r="DS1" s="21" t="s">
        <v>157</v>
      </c>
      <c r="DT1" s="21" t="s">
        <v>158</v>
      </c>
      <c r="DU1" s="21" t="s">
        <v>159</v>
      </c>
      <c r="DV1" s="21" t="s">
        <v>160</v>
      </c>
      <c r="DW1" s="21" t="s">
        <v>161</v>
      </c>
      <c r="DX1" s="9" t="s">
        <v>162</v>
      </c>
    </row>
    <row r="2" spans="1:128" x14ac:dyDescent="0.25">
      <c r="A2" s="24">
        <v>1</v>
      </c>
      <c r="B2" s="26">
        <v>0</v>
      </c>
      <c r="C2" s="28">
        <v>9.7928000000000098E-2</v>
      </c>
      <c r="D2" s="28">
        <v>4.9000000000000002E-2</v>
      </c>
      <c r="E2" s="28">
        <v>5.46243333333334E-2</v>
      </c>
      <c r="F2" s="28">
        <v>5.8999999999999997E-2</v>
      </c>
      <c r="G2" s="28">
        <v>4.7E-2</v>
      </c>
      <c r="H2" s="28">
        <v>0.15037666666666699</v>
      </c>
      <c r="I2" s="28">
        <v>0.13188266666666701</v>
      </c>
      <c r="J2" s="28">
        <v>0.25522033333333299</v>
      </c>
      <c r="K2" s="28">
        <v>0.178373333333333</v>
      </c>
      <c r="L2" s="28">
        <v>0.15895566666666699</v>
      </c>
      <c r="M2" s="28">
        <v>0.16558</v>
      </c>
      <c r="N2" s="28">
        <v>0.22261</v>
      </c>
      <c r="O2" s="28">
        <v>0.53012433333333397</v>
      </c>
      <c r="P2" s="28">
        <v>0.17988933333333301</v>
      </c>
      <c r="Q2" s="28">
        <v>7.5347999999999998E-2</v>
      </c>
      <c r="R2" s="28">
        <v>0.59302333333333301</v>
      </c>
      <c r="S2" s="28">
        <v>0.96122399999999997</v>
      </c>
      <c r="T2" s="28">
        <v>0.183300666666667</v>
      </c>
      <c r="U2" s="28">
        <v>7.2729333333333396E-2</v>
      </c>
      <c r="V2" s="28">
        <v>0.23365</v>
      </c>
      <c r="W2" s="28">
        <v>0.22758600000000001</v>
      </c>
      <c r="X2" s="28">
        <v>5.7000000000000002E-2</v>
      </c>
      <c r="Y2" s="28">
        <v>3.1E-2</v>
      </c>
      <c r="Z2" s="28">
        <v>5.5E-2</v>
      </c>
      <c r="AA2" s="28">
        <v>6.4341999999999996E-2</v>
      </c>
      <c r="AB2" s="28">
        <v>0.19162733333333301</v>
      </c>
      <c r="AC2" s="28">
        <v>0.18629200000000001</v>
      </c>
      <c r="AD2" s="28">
        <v>0.256168333333333</v>
      </c>
      <c r="AE2" s="28">
        <v>0.55997166666666698</v>
      </c>
      <c r="AF2" s="28">
        <v>0.22096199999999999</v>
      </c>
      <c r="AG2" s="28">
        <v>0.378288333333333</v>
      </c>
      <c r="AH2" s="28">
        <v>0.48437799999999998</v>
      </c>
      <c r="AI2" s="28">
        <v>5.9936000000000003E-2</v>
      </c>
      <c r="AJ2" s="28">
        <v>0.18326000000000001</v>
      </c>
      <c r="AK2" s="28">
        <v>0.12977033333333299</v>
      </c>
      <c r="AL2" s="28">
        <v>4.4999999999999998E-2</v>
      </c>
      <c r="AM2" s="28">
        <v>7.8827999999999995E-2</v>
      </c>
      <c r="AN2" s="28">
        <v>0.107072</v>
      </c>
      <c r="AO2" s="28">
        <v>0.100198333333333</v>
      </c>
      <c r="AP2" s="28">
        <v>4.5999999999999999E-2</v>
      </c>
      <c r="AQ2" s="28">
        <v>0.12881000000000001</v>
      </c>
      <c r="AR2" s="28">
        <v>2.4385166666666702</v>
      </c>
      <c r="AS2" s="28">
        <v>9.5141333333333397E-2</v>
      </c>
      <c r="AT2" s="28">
        <v>0.04</v>
      </c>
      <c r="AU2" s="28">
        <v>0.133061333333333</v>
      </c>
      <c r="AV2" s="28">
        <v>0.19664200000000001</v>
      </c>
      <c r="AW2" s="28">
        <v>0.06</v>
      </c>
      <c r="AX2" s="28">
        <v>5.8999999999999997E-2</v>
      </c>
      <c r="AY2" s="28">
        <v>0.11155266666666699</v>
      </c>
      <c r="AZ2" s="28">
        <v>0.52603999999999995</v>
      </c>
      <c r="BA2" s="28">
        <v>0.365097333333333</v>
      </c>
      <c r="BB2" s="28">
        <v>0.21787366666666699</v>
      </c>
      <c r="BC2" s="28">
        <v>0.03</v>
      </c>
      <c r="BD2" s="28">
        <v>0.29324033333333299</v>
      </c>
      <c r="BE2" s="28">
        <v>0.124101</v>
      </c>
      <c r="BF2" s="28">
        <v>0.552864666666666</v>
      </c>
      <c r="BG2" s="28">
        <v>0.262799</v>
      </c>
      <c r="BH2" s="28">
        <v>0.179234</v>
      </c>
      <c r="BI2" s="28">
        <v>0.22687099999999999</v>
      </c>
      <c r="BJ2" s="28">
        <v>8.8565666666666695E-2</v>
      </c>
      <c r="BK2" s="28">
        <v>0.123330666666667</v>
      </c>
      <c r="BL2" s="28">
        <v>7.7798666666666599E-2</v>
      </c>
      <c r="BM2" s="28">
        <v>0.153077666666667</v>
      </c>
      <c r="BN2" s="28">
        <v>0.184294666666667</v>
      </c>
      <c r="BO2" s="28">
        <v>1.9460999999999999</v>
      </c>
      <c r="BP2" s="28">
        <v>0.05</v>
      </c>
      <c r="BQ2" s="28">
        <v>0.36297033333333301</v>
      </c>
      <c r="BR2" s="28">
        <v>6.7455000000000001E-2</v>
      </c>
      <c r="BS2" s="28">
        <v>0.425566</v>
      </c>
      <c r="BT2" s="28">
        <v>0.22558266666666699</v>
      </c>
      <c r="BU2" s="28">
        <v>0.16771533333333299</v>
      </c>
      <c r="BV2" s="28">
        <v>4.8000000000000001E-2</v>
      </c>
      <c r="BW2" s="28">
        <v>0.115378666666667</v>
      </c>
      <c r="BX2" s="28">
        <v>0.12564</v>
      </c>
      <c r="BY2" s="28">
        <v>0.27143133333333302</v>
      </c>
      <c r="BZ2" s="28">
        <v>4.2999999999999997E-2</v>
      </c>
      <c r="CA2" s="28">
        <v>5.7000000000000002E-2</v>
      </c>
      <c r="CB2" s="28">
        <v>0.16150666666666699</v>
      </c>
      <c r="CC2" s="28">
        <v>0.205302333333333</v>
      </c>
      <c r="CD2" s="28">
        <v>0.119498666666667</v>
      </c>
      <c r="CE2" s="28">
        <v>4.5999999999999999E-2</v>
      </c>
      <c r="CF2" s="28">
        <v>0.67774833333333295</v>
      </c>
      <c r="CG2" s="28">
        <v>0.21273700000000001</v>
      </c>
      <c r="CH2" s="28">
        <v>0.19029333333333301</v>
      </c>
      <c r="CI2" s="28">
        <v>0.117696</v>
      </c>
      <c r="CJ2" s="28">
        <v>0.30668766666666702</v>
      </c>
      <c r="CK2" s="28">
        <v>0.21742666666666699</v>
      </c>
      <c r="CL2" s="28">
        <v>0.05</v>
      </c>
      <c r="CM2" s="28">
        <v>0.05</v>
      </c>
      <c r="CN2" s="28">
        <v>0.148716666666667</v>
      </c>
      <c r="CO2" s="28">
        <v>0.19530400000000001</v>
      </c>
      <c r="CP2" s="28">
        <v>4.9000000000000002E-2</v>
      </c>
      <c r="CQ2" s="28">
        <v>1.5652170000000001</v>
      </c>
      <c r="CR2" s="28">
        <v>4.1000000000000002E-2</v>
      </c>
      <c r="CS2" s="28">
        <v>0.45129866666666701</v>
      </c>
      <c r="CT2" s="28">
        <v>0.15466099999999999</v>
      </c>
      <c r="CU2" s="28">
        <v>1.4919313333333299</v>
      </c>
      <c r="CV2" s="28">
        <v>5.3999999999999999E-2</v>
      </c>
      <c r="CW2" s="28">
        <v>0.04</v>
      </c>
      <c r="CX2" s="28">
        <v>5.8000000000000003E-2</v>
      </c>
      <c r="CY2" s="28">
        <v>8.9652999999999899E-2</v>
      </c>
      <c r="CZ2" s="28">
        <v>0.12542200000000001</v>
      </c>
      <c r="DA2" s="28">
        <v>5.7000000000000002E-2</v>
      </c>
      <c r="DB2" s="28">
        <v>0.100000333333333</v>
      </c>
      <c r="DC2" s="28">
        <v>0.31546233333333301</v>
      </c>
      <c r="DD2" s="28">
        <v>4.2000000000000003E-2</v>
      </c>
      <c r="DE2" s="28">
        <v>0.154724</v>
      </c>
      <c r="DF2" s="28">
        <v>0.71935233333333404</v>
      </c>
      <c r="DG2" s="28">
        <v>5.8000000000000003E-2</v>
      </c>
      <c r="DH2" s="28">
        <v>0.05</v>
      </c>
      <c r="DI2" s="28">
        <v>0.23492099999999999</v>
      </c>
      <c r="DJ2" s="28">
        <v>0.27314066666666698</v>
      </c>
      <c r="DK2" s="28">
        <v>0.156162666666667</v>
      </c>
      <c r="DL2" s="28">
        <v>0.16683400000000001</v>
      </c>
      <c r="DM2" s="28">
        <v>0.16659933333333299</v>
      </c>
      <c r="DN2" s="28">
        <v>3.4000000000000002E-2</v>
      </c>
      <c r="DO2" s="28">
        <v>3.7999999999999999E-2</v>
      </c>
      <c r="DP2" s="28">
        <v>0.17833866666666701</v>
      </c>
      <c r="DQ2" s="28">
        <v>0.145344</v>
      </c>
      <c r="DR2" s="28">
        <v>0.367209333333333</v>
      </c>
      <c r="DS2" s="28">
        <v>0.75684533333333304</v>
      </c>
      <c r="DT2" s="28">
        <v>0.17779600000000001</v>
      </c>
      <c r="DU2" s="28">
        <v>0.16739799999999999</v>
      </c>
      <c r="DV2" s="28">
        <v>9.0445999999999999E-2</v>
      </c>
      <c r="DW2" s="28">
        <v>0.23955601881720431</v>
      </c>
      <c r="DX2" s="34">
        <v>29.704946333333329</v>
      </c>
    </row>
    <row r="3" spans="1:128" x14ac:dyDescent="0.25">
      <c r="A3" s="24">
        <v>2</v>
      </c>
      <c r="B3" s="26">
        <v>0.5</v>
      </c>
      <c r="C3" s="28">
        <v>4.2999999999999997E-2</v>
      </c>
      <c r="D3" s="28">
        <v>0.238596</v>
      </c>
      <c r="E3" s="28">
        <v>0.12630973333333301</v>
      </c>
      <c r="F3" s="28">
        <v>5.8999999999999997E-2</v>
      </c>
      <c r="G3" s="28">
        <v>4.7E-2</v>
      </c>
      <c r="H3" s="28">
        <v>0.107786666666667</v>
      </c>
      <c r="I3" s="28">
        <v>0.24352599999999999</v>
      </c>
      <c r="J3" s="28">
        <v>3.1E-2</v>
      </c>
      <c r="K3" s="28">
        <v>0.17682600000000001</v>
      </c>
      <c r="L3" s="28">
        <v>5.0999999999999997E-2</v>
      </c>
      <c r="M3" s="28">
        <v>4.8000000000000001E-2</v>
      </c>
      <c r="N3" s="28">
        <v>0.18476000000000001</v>
      </c>
      <c r="O3" s="28">
        <v>0.72674733333333397</v>
      </c>
      <c r="P3" s="28">
        <v>4.4999999999999998E-2</v>
      </c>
      <c r="Q3" s="28">
        <v>0.13079333333333301</v>
      </c>
      <c r="R3" s="28">
        <v>0.38345066666666699</v>
      </c>
      <c r="S3" s="28">
        <v>0.81893333333333396</v>
      </c>
      <c r="T3" s="28">
        <v>0.240402</v>
      </c>
      <c r="U3" s="28">
        <v>0.119552666666667</v>
      </c>
      <c r="V3" s="28">
        <v>0.136124</v>
      </c>
      <c r="W3" s="28">
        <v>4.8000000000000001E-2</v>
      </c>
      <c r="X3" s="28">
        <v>5.7000000000000002E-2</v>
      </c>
      <c r="Y3" s="28">
        <v>0.12665333333333301</v>
      </c>
      <c r="Z3" s="28">
        <v>5.5E-2</v>
      </c>
      <c r="AA3" s="28">
        <v>0.15507799999999999</v>
      </c>
      <c r="AB3" s="28">
        <v>0.217872333333333</v>
      </c>
      <c r="AC3" s="28">
        <v>0.127149333333333</v>
      </c>
      <c r="AD3" s="28">
        <v>9.4640333333333396E-2</v>
      </c>
      <c r="AE3" s="28">
        <v>0.533548666666667</v>
      </c>
      <c r="AF3" s="28">
        <v>0.05</v>
      </c>
      <c r="AG3" s="28">
        <v>0.38211600000000001</v>
      </c>
      <c r="AH3" s="28">
        <v>0.50630900000000001</v>
      </c>
      <c r="AI3" s="28">
        <v>0.30255199999999999</v>
      </c>
      <c r="AJ3" s="28">
        <v>5.0999999999999997E-2</v>
      </c>
      <c r="AK3" s="28">
        <v>0.12977033333333299</v>
      </c>
      <c r="AL3" s="28">
        <v>4.4999999999999998E-2</v>
      </c>
      <c r="AM3" s="28">
        <v>0.28771266666666701</v>
      </c>
      <c r="AN3" s="28">
        <v>4.7E-2</v>
      </c>
      <c r="AO3" s="28">
        <v>0.331031666666667</v>
      </c>
      <c r="AP3" s="28">
        <v>4.5999999999999999E-2</v>
      </c>
      <c r="AQ3" s="28">
        <v>5.2999999999999999E-2</v>
      </c>
      <c r="AR3" s="28">
        <v>5.5E-2</v>
      </c>
      <c r="AS3" s="28">
        <v>0.104426666666667</v>
      </c>
      <c r="AT3" s="28">
        <v>0.10872999999999999</v>
      </c>
      <c r="AU3" s="28">
        <v>0.05</v>
      </c>
      <c r="AV3" s="28">
        <v>5.5E-2</v>
      </c>
      <c r="AW3" s="28">
        <v>0.06</v>
      </c>
      <c r="AX3" s="28">
        <v>0.17283999999999999</v>
      </c>
      <c r="AY3" s="28">
        <v>8.2220666666666706E-2</v>
      </c>
      <c r="AZ3" s="28">
        <v>0.44666333333333302</v>
      </c>
      <c r="BA3" s="28">
        <v>3.9E-2</v>
      </c>
      <c r="BB3" s="28">
        <v>8.1188666666666701E-2</v>
      </c>
      <c r="BC3" s="28">
        <v>0.16144</v>
      </c>
      <c r="BD3" s="28">
        <v>8.8449999999999904E-2</v>
      </c>
      <c r="BE3" s="28">
        <v>0.14003599999999999</v>
      </c>
      <c r="BF3" s="28">
        <v>0.135042</v>
      </c>
      <c r="BG3" s="28">
        <v>5.4537333333333299E-2</v>
      </c>
      <c r="BH3" s="28">
        <v>7.8718666666666701E-2</v>
      </c>
      <c r="BI3" s="28">
        <v>6.9850999999999996E-2</v>
      </c>
      <c r="BJ3" s="28">
        <v>8.0281000000000005E-2</v>
      </c>
      <c r="BK3" s="28">
        <v>0.231904</v>
      </c>
      <c r="BL3" s="28">
        <v>0.122824666666667</v>
      </c>
      <c r="BM3" s="28">
        <v>0.16844566666666699</v>
      </c>
      <c r="BN3" s="28">
        <v>6.8223333333333303E-2</v>
      </c>
      <c r="BO3" s="28">
        <v>0.53397666666666699</v>
      </c>
      <c r="BP3" s="28">
        <v>0.05</v>
      </c>
      <c r="BQ3" s="28">
        <v>3.6999999999999998E-2</v>
      </c>
      <c r="BR3" s="28">
        <v>0.291881</v>
      </c>
      <c r="BS3" s="28">
        <v>5.8999999999999997E-2</v>
      </c>
      <c r="BT3" s="28">
        <v>5.2999999999999999E-2</v>
      </c>
      <c r="BU3" s="28">
        <v>5.6000000000000001E-2</v>
      </c>
      <c r="BV3" s="28">
        <v>4.8000000000000001E-2</v>
      </c>
      <c r="BW3" s="28">
        <v>0.05</v>
      </c>
      <c r="BX3" s="28">
        <v>5.0999999999999997E-2</v>
      </c>
      <c r="BY3" s="28">
        <v>8.3636000000000002E-2</v>
      </c>
      <c r="BZ3" s="28">
        <v>0.211454</v>
      </c>
      <c r="CA3" s="28">
        <v>5.7000000000000002E-2</v>
      </c>
      <c r="CB3" s="28">
        <v>0.13958000000000001</v>
      </c>
      <c r="CC3" s="28">
        <v>5.1999999999999998E-2</v>
      </c>
      <c r="CD3" s="28">
        <v>5.2999999999999999E-2</v>
      </c>
      <c r="CE3" s="28">
        <v>4.5999999999999999E-2</v>
      </c>
      <c r="CF3" s="28">
        <v>0.29747899999999999</v>
      </c>
      <c r="CG3" s="28">
        <v>0.28406999999999999</v>
      </c>
      <c r="CH3" s="28">
        <v>4.7E-2</v>
      </c>
      <c r="CI3" s="28">
        <v>0.22699266666666701</v>
      </c>
      <c r="CJ3" s="28">
        <v>4.9000000000000002E-2</v>
      </c>
      <c r="CK3" s="28">
        <v>0.18875866666666699</v>
      </c>
      <c r="CL3" s="28">
        <v>0.05</v>
      </c>
      <c r="CM3" s="28">
        <v>0.12900200000000001</v>
      </c>
      <c r="CN3" s="28">
        <v>0.1431</v>
      </c>
      <c r="CO3" s="28">
        <v>0.15493199999999999</v>
      </c>
      <c r="CP3" s="28">
        <v>0.10996</v>
      </c>
      <c r="CQ3" s="28">
        <v>5.8000000000000003E-2</v>
      </c>
      <c r="CR3" s="28">
        <v>0.22893266666666701</v>
      </c>
      <c r="CS3" s="28">
        <v>0.323226666666667</v>
      </c>
      <c r="CT3" s="28">
        <v>4.7E-2</v>
      </c>
      <c r="CU3" s="28">
        <v>0.19798199999999999</v>
      </c>
      <c r="CV3" s="28">
        <v>0.18836</v>
      </c>
      <c r="CW3" s="28">
        <v>9.5691999999999999E-2</v>
      </c>
      <c r="CX3" s="28">
        <v>0.30314799999999997</v>
      </c>
      <c r="CY3" s="28">
        <v>3.4000000000000002E-2</v>
      </c>
      <c r="CZ3" s="28">
        <v>5.1999999999999998E-2</v>
      </c>
      <c r="DA3" s="28">
        <v>5.7000000000000002E-2</v>
      </c>
      <c r="DB3" s="28">
        <v>3.9E-2</v>
      </c>
      <c r="DC3" s="28">
        <v>9.3175999999999898E-2</v>
      </c>
      <c r="DD3" s="28">
        <v>0.114984</v>
      </c>
      <c r="DE3" s="28">
        <v>0.18325333333333299</v>
      </c>
      <c r="DF3" s="28">
        <v>0.50780433333333297</v>
      </c>
      <c r="DG3" s="28">
        <v>5.8000000000000003E-2</v>
      </c>
      <c r="DH3" s="28">
        <v>0.12123200000000001</v>
      </c>
      <c r="DI3" s="28">
        <v>0.202722666666667</v>
      </c>
      <c r="DJ3" s="28">
        <v>0.24962799999999999</v>
      </c>
      <c r="DK3" s="28">
        <v>5.3999999999999999E-2</v>
      </c>
      <c r="DL3" s="28">
        <v>0.26204666666666698</v>
      </c>
      <c r="DM3" s="28">
        <v>0.12880466666666701</v>
      </c>
      <c r="DN3" s="28">
        <v>3.4000000000000002E-2</v>
      </c>
      <c r="DO3" s="28">
        <v>0.138258666666667</v>
      </c>
      <c r="DP3" s="28">
        <v>0.10125199999999999</v>
      </c>
      <c r="DQ3" s="28">
        <v>4.7E-2</v>
      </c>
      <c r="DR3" s="28">
        <v>0.447135333333333</v>
      </c>
      <c r="DS3" s="28">
        <v>1.7480433333333301</v>
      </c>
      <c r="DT3" s="28">
        <v>5.1999999999999998E-2</v>
      </c>
      <c r="DU3" s="28">
        <v>6.7488666666666697E-2</v>
      </c>
      <c r="DV3" s="28">
        <v>4.9000000000000002E-2</v>
      </c>
      <c r="DW3" s="28">
        <v>0.162064979032258</v>
      </c>
      <c r="DX3" s="34">
        <v>20.096057399999999</v>
      </c>
    </row>
    <row r="4" spans="1:128" x14ac:dyDescent="0.25">
      <c r="A4" s="24">
        <v>3</v>
      </c>
      <c r="B4" s="26">
        <v>1</v>
      </c>
      <c r="C4" s="28">
        <v>0.18032000000000001</v>
      </c>
      <c r="D4" s="28">
        <v>4.9000000000000002E-2</v>
      </c>
      <c r="E4" s="28">
        <v>6.3017866666666603E-2</v>
      </c>
      <c r="F4" s="28">
        <v>5.8999999999999997E-2</v>
      </c>
      <c r="G4" s="28">
        <v>4.7E-2</v>
      </c>
      <c r="H4" s="28">
        <v>9.7661999999999999E-2</v>
      </c>
      <c r="I4" s="28">
        <v>5.2999999999999999E-2</v>
      </c>
      <c r="J4" s="28">
        <v>3.1E-2</v>
      </c>
      <c r="K4" s="28">
        <v>8.1294666666666696E-2</v>
      </c>
      <c r="L4" s="28">
        <v>0.17800666666666701</v>
      </c>
      <c r="M4" s="28">
        <v>0.16558</v>
      </c>
      <c r="N4" s="28">
        <v>4.7E-2</v>
      </c>
      <c r="O4" s="28">
        <v>0.12863666666666701</v>
      </c>
      <c r="P4" s="28">
        <v>0.21956266666666699</v>
      </c>
      <c r="Q4" s="28">
        <v>0.17443800000000001</v>
      </c>
      <c r="R4" s="28">
        <v>0.55861666666666698</v>
      </c>
      <c r="S4" s="28">
        <v>0.670088666666667</v>
      </c>
      <c r="T4" s="28">
        <v>0.15165300000000001</v>
      </c>
      <c r="U4" s="28">
        <v>9.1458666666666702E-2</v>
      </c>
      <c r="V4" s="28">
        <v>5.8999999999999997E-2</v>
      </c>
      <c r="W4" s="28">
        <v>0.22722766666666699</v>
      </c>
      <c r="X4" s="28">
        <v>5.7000000000000002E-2</v>
      </c>
      <c r="Y4" s="28">
        <v>4.7879999999999999E-2</v>
      </c>
      <c r="Z4" s="28">
        <v>0.214258</v>
      </c>
      <c r="AA4" s="28">
        <v>5.2999999999999999E-2</v>
      </c>
      <c r="AB4" s="28">
        <v>8.0133333333333404E-2</v>
      </c>
      <c r="AC4" s="28">
        <v>0.05</v>
      </c>
      <c r="AD4" s="28">
        <v>5.0999999999999997E-2</v>
      </c>
      <c r="AE4" s="28">
        <v>5.5E-2</v>
      </c>
      <c r="AF4" s="28">
        <v>0.21319099999999999</v>
      </c>
      <c r="AG4" s="28">
        <v>6.0999999999999999E-2</v>
      </c>
      <c r="AH4" s="28">
        <v>0.38427</v>
      </c>
      <c r="AI4" s="28">
        <v>0.100914666666667</v>
      </c>
      <c r="AJ4" s="28">
        <v>6.6559999999999994E-2</v>
      </c>
      <c r="AK4" s="28">
        <v>0.112229333333333</v>
      </c>
      <c r="AL4" s="28">
        <v>6.01373333333333E-2</v>
      </c>
      <c r="AM4" s="28">
        <v>0.05</v>
      </c>
      <c r="AN4" s="28">
        <v>0.159635</v>
      </c>
      <c r="AO4" s="28">
        <v>5.7654666666666701E-2</v>
      </c>
      <c r="AP4" s="28">
        <v>4.5999999999999999E-2</v>
      </c>
      <c r="AQ4" s="28">
        <v>0.120386666666667</v>
      </c>
      <c r="AR4" s="28">
        <v>5.5E-2</v>
      </c>
      <c r="AS4" s="28">
        <v>5.8000000000000003E-2</v>
      </c>
      <c r="AT4" s="28">
        <v>0.16476666666666701</v>
      </c>
      <c r="AU4" s="28">
        <v>8.6339333333333407E-2</v>
      </c>
      <c r="AV4" s="28">
        <v>0.38825500000000002</v>
      </c>
      <c r="AW4" s="28">
        <v>0.06</v>
      </c>
      <c r="AX4" s="28">
        <v>0.165922666666667</v>
      </c>
      <c r="AY4" s="28">
        <v>4.8000000000000001E-2</v>
      </c>
      <c r="AZ4" s="28">
        <v>5.1999999999999998E-2</v>
      </c>
      <c r="BA4" s="28">
        <v>3.9E-2</v>
      </c>
      <c r="BB4" s="28">
        <v>0.12774933333333299</v>
      </c>
      <c r="BC4" s="28">
        <v>0.03</v>
      </c>
      <c r="BD4" s="28">
        <v>0.197847</v>
      </c>
      <c r="BE4" s="28">
        <v>0.17982000000000001</v>
      </c>
      <c r="BF4" s="28">
        <v>0.17999733333333301</v>
      </c>
      <c r="BG4" s="28">
        <v>0.244916666666667</v>
      </c>
      <c r="BH4" s="28">
        <v>5.7179666666666698E-2</v>
      </c>
      <c r="BI4" s="28">
        <v>0.14836099999999999</v>
      </c>
      <c r="BJ4" s="28">
        <v>8.0281000000000005E-2</v>
      </c>
      <c r="BK4" s="28">
        <v>5.6076666666666698E-2</v>
      </c>
      <c r="BL4" s="28">
        <v>5.0999999999999997E-2</v>
      </c>
      <c r="BM4" s="28">
        <v>8.4846000000000005E-2</v>
      </c>
      <c r="BN4" s="28">
        <v>0.243796333333333</v>
      </c>
      <c r="BO4" s="28">
        <v>7.7342666666666698E-2</v>
      </c>
      <c r="BP4" s="28">
        <v>0.05</v>
      </c>
      <c r="BQ4" s="28">
        <v>3.6999999999999998E-2</v>
      </c>
      <c r="BR4" s="28">
        <v>5.2999999999999999E-2</v>
      </c>
      <c r="BS4" s="28">
        <v>0.219486666666667</v>
      </c>
      <c r="BT4" s="28">
        <v>0.12285</v>
      </c>
      <c r="BU4" s="28">
        <v>5.6000000000000001E-2</v>
      </c>
      <c r="BV4" s="28">
        <v>4.8000000000000001E-2</v>
      </c>
      <c r="BW4" s="28">
        <v>0.33160766666666702</v>
      </c>
      <c r="BX4" s="28">
        <v>5.5146666666666698E-2</v>
      </c>
      <c r="BY4" s="28">
        <v>0.183862</v>
      </c>
      <c r="BZ4" s="28">
        <v>4.2999999999999997E-2</v>
      </c>
      <c r="CA4" s="28">
        <v>5.7000000000000002E-2</v>
      </c>
      <c r="CB4" s="28">
        <v>0.193201333333333</v>
      </c>
      <c r="CC4" s="28">
        <v>0.198367666666667</v>
      </c>
      <c r="CD4" s="28">
        <v>0.306097333333334</v>
      </c>
      <c r="CE4" s="28">
        <v>4.5999999999999999E-2</v>
      </c>
      <c r="CF4" s="28">
        <v>0.13314266666666699</v>
      </c>
      <c r="CG4" s="28">
        <v>0.13477666666666699</v>
      </c>
      <c r="CH4" s="28">
        <v>0.17726666666666699</v>
      </c>
      <c r="CI4" s="28">
        <v>5.0999999999999997E-2</v>
      </c>
      <c r="CJ4" s="28">
        <v>0.181733333333333</v>
      </c>
      <c r="CK4" s="28">
        <v>4.9000000000000002E-2</v>
      </c>
      <c r="CL4" s="28">
        <v>0.05</v>
      </c>
      <c r="CM4" s="28">
        <v>0.195086333333333</v>
      </c>
      <c r="CN4" s="28">
        <v>4.1000000000000002E-2</v>
      </c>
      <c r="CO4" s="28">
        <v>5.1999999999999998E-2</v>
      </c>
      <c r="CP4" s="28">
        <v>4.9000000000000002E-2</v>
      </c>
      <c r="CQ4" s="28">
        <v>0.10128</v>
      </c>
      <c r="CR4" s="28">
        <v>7.2853333333333298E-2</v>
      </c>
      <c r="CS4" s="28">
        <v>0.27266899999999999</v>
      </c>
      <c r="CT4" s="28">
        <v>4.7E-2</v>
      </c>
      <c r="CU4" s="28">
        <v>5.3999999999999999E-2</v>
      </c>
      <c r="CV4" s="28">
        <v>5.3999999999999999E-2</v>
      </c>
      <c r="CW4" s="28">
        <v>0.15934000000000001</v>
      </c>
      <c r="CX4" s="28">
        <v>9.9751999999999896E-2</v>
      </c>
      <c r="CY4" s="28">
        <v>3.4000000000000002E-2</v>
      </c>
      <c r="CZ4" s="28">
        <v>0.12542200000000001</v>
      </c>
      <c r="DA4" s="28">
        <v>5.7000000000000002E-2</v>
      </c>
      <c r="DB4" s="28">
        <v>0.16100066666666701</v>
      </c>
      <c r="DC4" s="28">
        <v>9.3175999999999995E-2</v>
      </c>
      <c r="DD4" s="28">
        <v>4.2000000000000003E-2</v>
      </c>
      <c r="DE4" s="28">
        <v>5.6000000000000001E-2</v>
      </c>
      <c r="DF4" s="28">
        <v>0.50585266666666695</v>
      </c>
      <c r="DG4" s="28">
        <v>0.16072500000000001</v>
      </c>
      <c r="DH4" s="28">
        <v>0.10347666666666699</v>
      </c>
      <c r="DI4" s="28">
        <v>9.9667333333333302E-2</v>
      </c>
      <c r="DJ4" s="28">
        <v>0.16691066666666701</v>
      </c>
      <c r="DK4" s="28">
        <v>5.3999999999999999E-2</v>
      </c>
      <c r="DL4" s="28">
        <v>0.188247366666667</v>
      </c>
      <c r="DM4" s="28">
        <v>5.0497666666666698E-2</v>
      </c>
      <c r="DN4" s="28">
        <v>0.15091499999999999</v>
      </c>
      <c r="DO4" s="28">
        <v>8.4082000000000004E-2</v>
      </c>
      <c r="DP4" s="28">
        <v>0.12785199999999999</v>
      </c>
      <c r="DQ4" s="28">
        <v>0.114288</v>
      </c>
      <c r="DR4" s="28">
        <v>0.17234133333333301</v>
      </c>
      <c r="DS4" s="28">
        <v>0.25795600000000002</v>
      </c>
      <c r="DT4" s="28">
        <v>0.205750666666667</v>
      </c>
      <c r="DU4" s="28">
        <v>5.5E-2</v>
      </c>
      <c r="DV4" s="28">
        <v>0.22083133333333299</v>
      </c>
      <c r="DW4" s="28">
        <v>0.1250953405913979</v>
      </c>
      <c r="DX4" s="34">
        <v>15.511822233333341</v>
      </c>
    </row>
    <row r="5" spans="1:128" x14ac:dyDescent="0.25">
      <c r="A5" s="24">
        <v>4</v>
      </c>
      <c r="B5" s="26">
        <v>1.5</v>
      </c>
      <c r="C5" s="28">
        <v>4.2999999999999997E-2</v>
      </c>
      <c r="D5" s="28">
        <v>0.204124</v>
      </c>
      <c r="E5" s="28">
        <v>5.0999999999999997E-2</v>
      </c>
      <c r="F5" s="28">
        <v>5.8999999999999997E-2</v>
      </c>
      <c r="G5" s="28">
        <v>4.7E-2</v>
      </c>
      <c r="H5" s="28">
        <v>0.10803133333333299</v>
      </c>
      <c r="I5" s="28">
        <v>0.18126366666666699</v>
      </c>
      <c r="J5" s="28">
        <v>0.16764933333333301</v>
      </c>
      <c r="K5" s="28">
        <v>0.178373333333333</v>
      </c>
      <c r="L5" s="28">
        <v>5.0999999999999997E-2</v>
      </c>
      <c r="M5" s="28">
        <v>4.8000000000000001E-2</v>
      </c>
      <c r="N5" s="28">
        <v>9.2920000000000003E-2</v>
      </c>
      <c r="O5" s="28">
        <v>0.15201899999999999</v>
      </c>
      <c r="P5" s="28">
        <v>0.120828</v>
      </c>
      <c r="Q5" s="28">
        <v>0.13004399999999999</v>
      </c>
      <c r="R5" s="28">
        <v>0.262056333333333</v>
      </c>
      <c r="S5" s="28">
        <v>0.35930333333333297</v>
      </c>
      <c r="T5" s="28">
        <v>0.223015666666667</v>
      </c>
      <c r="U5" s="28">
        <v>0.168329333333333</v>
      </c>
      <c r="V5" s="28">
        <v>0.20039399999999999</v>
      </c>
      <c r="W5" s="28">
        <v>0.17044500000000001</v>
      </c>
      <c r="X5" s="28">
        <v>0.17545333333333299</v>
      </c>
      <c r="Y5" s="28">
        <v>8.1640000000000004E-2</v>
      </c>
      <c r="Z5" s="28">
        <v>5.5E-2</v>
      </c>
      <c r="AA5" s="28">
        <v>5.2999999999999999E-2</v>
      </c>
      <c r="AB5" s="28">
        <v>0.30560066666666702</v>
      </c>
      <c r="AC5" s="28">
        <v>0.14891733333333301</v>
      </c>
      <c r="AD5" s="28">
        <v>0.299808666666667</v>
      </c>
      <c r="AE5" s="28">
        <v>5.5E-2</v>
      </c>
      <c r="AF5" s="28">
        <v>5.7771000000000003E-2</v>
      </c>
      <c r="AG5" s="28">
        <v>0.22489266666666699</v>
      </c>
      <c r="AH5" s="28">
        <v>0.16685666666666699</v>
      </c>
      <c r="AI5" s="28">
        <v>0.12574399999999999</v>
      </c>
      <c r="AJ5" s="28">
        <v>0.20660000000000001</v>
      </c>
      <c r="AK5" s="28">
        <v>0.107469333333333</v>
      </c>
      <c r="AL5" s="28">
        <v>0.19637333333333301</v>
      </c>
      <c r="AM5" s="28">
        <v>0.05</v>
      </c>
      <c r="AN5" s="28">
        <v>9.9563000000000096E-2</v>
      </c>
      <c r="AO5" s="28">
        <v>0.226074</v>
      </c>
      <c r="AP5" s="28">
        <v>4.5999999999999999E-2</v>
      </c>
      <c r="AQ5" s="28">
        <v>6.1423333333333302E-2</v>
      </c>
      <c r="AR5" s="28">
        <v>5.5E-2</v>
      </c>
      <c r="AS5" s="28">
        <v>0.13228266666666699</v>
      </c>
      <c r="AT5" s="28">
        <v>6.2909999999999994E-2</v>
      </c>
      <c r="AU5" s="28">
        <v>0.117487333333333</v>
      </c>
      <c r="AV5" s="28">
        <v>6.9886666666666694E-2</v>
      </c>
      <c r="AW5" s="28">
        <v>0.06</v>
      </c>
      <c r="AX5" s="28">
        <v>0.17283999999999999</v>
      </c>
      <c r="AY5" s="28">
        <v>0.119142</v>
      </c>
      <c r="AZ5" s="28">
        <v>5.1999999999999998E-2</v>
      </c>
      <c r="BA5" s="28">
        <v>3.9E-2</v>
      </c>
      <c r="BB5" s="28">
        <v>0.17438093333333299</v>
      </c>
      <c r="BC5" s="28">
        <v>0.16144</v>
      </c>
      <c r="BD5" s="28">
        <v>5.8193333333333298E-2</v>
      </c>
      <c r="BE5" s="28">
        <v>0.14003599999999999</v>
      </c>
      <c r="BF5" s="28">
        <v>0.18116599999999999</v>
      </c>
      <c r="BG5" s="28">
        <v>6.5287999999999999E-2</v>
      </c>
      <c r="BH5" s="28">
        <v>0.20077300000000001</v>
      </c>
      <c r="BI5" s="28">
        <v>0.14836099999999999</v>
      </c>
      <c r="BJ5" s="28">
        <v>0.10099266666666699</v>
      </c>
      <c r="BK5" s="28">
        <v>0.112613333333333</v>
      </c>
      <c r="BL5" s="28">
        <v>0.231228666666667</v>
      </c>
      <c r="BM5" s="28">
        <v>0.29533500000000001</v>
      </c>
      <c r="BN5" s="28">
        <v>5.5E-2</v>
      </c>
      <c r="BO5" s="28">
        <v>0.14737066666666701</v>
      </c>
      <c r="BP5" s="28">
        <v>0.05</v>
      </c>
      <c r="BQ5" s="28">
        <v>0.207265333333333</v>
      </c>
      <c r="BR5" s="28">
        <v>5.2999999999999999E-2</v>
      </c>
      <c r="BS5" s="28">
        <v>0.31575999999999999</v>
      </c>
      <c r="BT5" s="28">
        <v>0.153261333333333</v>
      </c>
      <c r="BU5" s="28">
        <v>0.16771533333333299</v>
      </c>
      <c r="BV5" s="28">
        <v>4.8000000000000001E-2</v>
      </c>
      <c r="BW5" s="28">
        <v>7.4517E-2</v>
      </c>
      <c r="BX5" s="28">
        <v>0.121493333333333</v>
      </c>
      <c r="BY5" s="28">
        <v>5.5E-2</v>
      </c>
      <c r="BZ5" s="28">
        <v>0.16551199999999999</v>
      </c>
      <c r="CA5" s="28">
        <v>5.7000000000000002E-2</v>
      </c>
      <c r="CB5" s="28">
        <v>0.15567666666666699</v>
      </c>
      <c r="CC5" s="28">
        <v>0.121218333333333</v>
      </c>
      <c r="CD5" s="28">
        <v>5.2999999999999999E-2</v>
      </c>
      <c r="CE5" s="28">
        <v>4.5999999999999999E-2</v>
      </c>
      <c r="CF5" s="28">
        <v>0.203416666666667</v>
      </c>
      <c r="CG5" s="28">
        <v>4.1000000000000002E-2</v>
      </c>
      <c r="CH5" s="28">
        <v>6.0026666666666603E-2</v>
      </c>
      <c r="CI5" s="28">
        <v>0.117696</v>
      </c>
      <c r="CJ5" s="28">
        <v>4.9000000000000002E-2</v>
      </c>
      <c r="CK5" s="28">
        <v>8.7885333333333301E-2</v>
      </c>
      <c r="CL5" s="28">
        <v>0.05</v>
      </c>
      <c r="CM5" s="28">
        <v>0.10406899999999999</v>
      </c>
      <c r="CN5" s="28">
        <v>8.1839999999999996E-2</v>
      </c>
      <c r="CO5" s="28">
        <v>0.298236</v>
      </c>
      <c r="CP5" s="28">
        <v>0.10996</v>
      </c>
      <c r="CQ5" s="28">
        <v>0.173413333333333</v>
      </c>
      <c r="CR5" s="28">
        <v>0.10382066666666701</v>
      </c>
      <c r="CS5" s="28">
        <v>0.13630200000000001</v>
      </c>
      <c r="CT5" s="28">
        <v>0.15466099999999999</v>
      </c>
      <c r="CU5" s="28">
        <v>0.26933400000000002</v>
      </c>
      <c r="CV5" s="28">
        <v>0.18836</v>
      </c>
      <c r="CW5" s="28">
        <v>0.04</v>
      </c>
      <c r="CX5" s="28">
        <v>0.21875</v>
      </c>
      <c r="CY5" s="28">
        <v>9.8214999999999997E-2</v>
      </c>
      <c r="CZ5" s="28">
        <v>5.1999999999999998E-2</v>
      </c>
      <c r="DA5" s="28">
        <v>5.7000000000000002E-2</v>
      </c>
      <c r="DB5" s="28">
        <v>3.9E-2</v>
      </c>
      <c r="DC5" s="28">
        <v>0.24310599999999999</v>
      </c>
      <c r="DD5" s="28">
        <v>4.2000000000000003E-2</v>
      </c>
      <c r="DE5" s="28">
        <v>5.6000000000000001E-2</v>
      </c>
      <c r="DF5" s="28">
        <v>0.48313666666666699</v>
      </c>
      <c r="DG5" s="28">
        <v>0.105938333333333</v>
      </c>
      <c r="DH5" s="28">
        <v>8.5615999999999998E-2</v>
      </c>
      <c r="DI5" s="28">
        <v>0.20261899999999999</v>
      </c>
      <c r="DJ5" s="28">
        <v>7.6396000000000006E-2</v>
      </c>
      <c r="DK5" s="28">
        <v>0.16402133333333399</v>
      </c>
      <c r="DL5" s="28">
        <v>0.236883333333333</v>
      </c>
      <c r="DM5" s="28">
        <v>0.108793</v>
      </c>
      <c r="DN5" s="28">
        <v>8.8560333333333199E-2</v>
      </c>
      <c r="DO5" s="28">
        <v>0.26114233333333298</v>
      </c>
      <c r="DP5" s="28">
        <v>0.22459066666666699</v>
      </c>
      <c r="DQ5" s="28">
        <v>0.18312200000000001</v>
      </c>
      <c r="DR5" s="28">
        <v>0.54443433333333302</v>
      </c>
      <c r="DS5" s="28">
        <v>0.52382166666666696</v>
      </c>
      <c r="DT5" s="28">
        <v>5.1999999999999998E-2</v>
      </c>
      <c r="DU5" s="28">
        <v>5.5E-2</v>
      </c>
      <c r="DV5" s="28">
        <v>0.15434400000000001</v>
      </c>
      <c r="DW5" s="28">
        <v>0.13857774946236559</v>
      </c>
      <c r="DX5" s="34">
        <v>17.183640933333329</v>
      </c>
    </row>
    <row r="6" spans="1:128" x14ac:dyDescent="0.25">
      <c r="A6" s="24">
        <v>5</v>
      </c>
      <c r="B6" s="26">
        <v>2</v>
      </c>
      <c r="C6" s="28">
        <v>4.9866000000000001E-2</v>
      </c>
      <c r="D6" s="28">
        <v>8.3472000000000005E-2</v>
      </c>
      <c r="E6" s="28">
        <v>5.0999999999999997E-2</v>
      </c>
      <c r="F6" s="28">
        <v>5.8999999999999997E-2</v>
      </c>
      <c r="G6" s="28">
        <v>4.7E-2</v>
      </c>
      <c r="H6" s="28">
        <v>0.155561</v>
      </c>
      <c r="I6" s="28">
        <v>0.19414500000000001</v>
      </c>
      <c r="J6" s="28">
        <v>0.142454</v>
      </c>
      <c r="K6" s="28">
        <v>5.3999999999999999E-2</v>
      </c>
      <c r="L6" s="28">
        <v>7.6401333333333293E-2</v>
      </c>
      <c r="M6" s="28">
        <v>4.8000000000000001E-2</v>
      </c>
      <c r="N6" s="28">
        <v>0.16945333333333301</v>
      </c>
      <c r="O6" s="28">
        <v>0.19760966666666699</v>
      </c>
      <c r="P6" s="28">
        <v>4.4999999999999998E-2</v>
      </c>
      <c r="Q6" s="28">
        <v>0.16741366666666699</v>
      </c>
      <c r="R6" s="28">
        <v>9.4186000000000006E-2</v>
      </c>
      <c r="S6" s="28">
        <v>0.52779666666666702</v>
      </c>
      <c r="T6" s="28">
        <v>0.140902</v>
      </c>
      <c r="U6" s="28">
        <v>0.15150866666666701</v>
      </c>
      <c r="V6" s="28">
        <v>5.8999999999999997E-2</v>
      </c>
      <c r="W6" s="28">
        <v>0.170086666666667</v>
      </c>
      <c r="X6" s="28">
        <v>5.7000000000000002E-2</v>
      </c>
      <c r="Y6" s="28">
        <v>9.2893333333333397E-2</v>
      </c>
      <c r="Z6" s="28">
        <v>0.16358500000000001</v>
      </c>
      <c r="AA6" s="28">
        <v>0.16642000000000001</v>
      </c>
      <c r="AB6" s="28">
        <v>0.15084500000000001</v>
      </c>
      <c r="AC6" s="28">
        <v>0.104300666666667</v>
      </c>
      <c r="AD6" s="28">
        <v>5.0999999999999997E-2</v>
      </c>
      <c r="AE6" s="28">
        <v>5.5E-2</v>
      </c>
      <c r="AF6" s="28">
        <v>8.8855000000000003E-2</v>
      </c>
      <c r="AG6" s="28">
        <v>6.0999999999999999E-2</v>
      </c>
      <c r="AH6" s="28">
        <v>4.5999999999999999E-2</v>
      </c>
      <c r="AI6" s="28">
        <v>0.29966066666666702</v>
      </c>
      <c r="AJ6" s="28">
        <v>5.0999999999999997E-2</v>
      </c>
      <c r="AK6" s="28">
        <v>0.152071333333333</v>
      </c>
      <c r="AL6" s="28">
        <v>4.4999999999999998E-2</v>
      </c>
      <c r="AM6" s="28">
        <v>0.29491966666666702</v>
      </c>
      <c r="AN6" s="28">
        <v>5.1489666666666697E-2</v>
      </c>
      <c r="AO6" s="28">
        <v>0.15500700000000001</v>
      </c>
      <c r="AP6" s="28">
        <v>4.5999999999999999E-2</v>
      </c>
      <c r="AQ6" s="28">
        <v>9.5116666666666697E-2</v>
      </c>
      <c r="AR6" s="28">
        <v>5.5E-2</v>
      </c>
      <c r="AS6" s="28">
        <v>6.7285333333333405E-2</v>
      </c>
      <c r="AT6" s="28">
        <v>0.117011666666667</v>
      </c>
      <c r="AU6" s="28">
        <v>0.05</v>
      </c>
      <c r="AV6" s="28">
        <v>0.107294666666667</v>
      </c>
      <c r="AW6" s="28">
        <v>0.06</v>
      </c>
      <c r="AX6" s="28">
        <v>5.8999999999999997E-2</v>
      </c>
      <c r="AY6" s="28">
        <v>4.8000000000000001E-2</v>
      </c>
      <c r="AZ6" s="28">
        <v>5.1999999999999998E-2</v>
      </c>
      <c r="BA6" s="28">
        <v>3.9E-2</v>
      </c>
      <c r="BB6" s="28">
        <v>6.7937333333333405E-2</v>
      </c>
      <c r="BC6" s="28">
        <v>0.03</v>
      </c>
      <c r="BD6" s="28">
        <v>9.13423333333334E-2</v>
      </c>
      <c r="BE6" s="28">
        <v>0.17982000000000001</v>
      </c>
      <c r="BF6" s="28">
        <v>5.7000000000000002E-2</v>
      </c>
      <c r="BG6" s="28">
        <v>0.16868666666666701</v>
      </c>
      <c r="BH6" s="28">
        <v>0.05</v>
      </c>
      <c r="BI6" s="28">
        <v>6.2E-2</v>
      </c>
      <c r="BJ6" s="28">
        <v>5.9569333333333301E-2</v>
      </c>
      <c r="BK6" s="28">
        <v>4.8000000000000001E-2</v>
      </c>
      <c r="BL6" s="28">
        <v>8.8664000000000104E-2</v>
      </c>
      <c r="BM6" s="28">
        <v>6.4649666666666702E-2</v>
      </c>
      <c r="BN6" s="28">
        <v>0.171073</v>
      </c>
      <c r="BO6" s="28">
        <v>0.146942666666667</v>
      </c>
      <c r="BP6" s="28">
        <v>0.05</v>
      </c>
      <c r="BQ6" s="28">
        <v>3.6999999999999998E-2</v>
      </c>
      <c r="BR6" s="28">
        <v>0.245752</v>
      </c>
      <c r="BS6" s="28">
        <v>5.8999999999999997E-2</v>
      </c>
      <c r="BT6" s="28">
        <v>0.21379799999999999</v>
      </c>
      <c r="BU6" s="28">
        <v>5.6000000000000001E-2</v>
      </c>
      <c r="BV6" s="28">
        <v>4.8000000000000001E-2</v>
      </c>
      <c r="BW6" s="28">
        <v>0.209022666666667</v>
      </c>
      <c r="BX6" s="28">
        <v>5.0999999999999997E-2</v>
      </c>
      <c r="BY6" s="28">
        <v>0.14090800000000001</v>
      </c>
      <c r="BZ6" s="28">
        <v>8.8942000000000104E-2</v>
      </c>
      <c r="CA6" s="28">
        <v>5.7000000000000002E-2</v>
      </c>
      <c r="CB6" s="28">
        <v>0.124928</v>
      </c>
      <c r="CC6" s="28">
        <v>0.13296666666666701</v>
      </c>
      <c r="CD6" s="28">
        <v>5.2999999999999999E-2</v>
      </c>
      <c r="CE6" s="28">
        <v>4.5999999999999999E-2</v>
      </c>
      <c r="CF6" s="28">
        <v>3.9E-2</v>
      </c>
      <c r="CG6" s="28">
        <v>0.259253333333333</v>
      </c>
      <c r="CH6" s="28">
        <v>0.13818666666666701</v>
      </c>
      <c r="CI6" s="28">
        <v>7.4998999999999996E-2</v>
      </c>
      <c r="CJ6" s="28">
        <v>0.13346666666666701</v>
      </c>
      <c r="CK6" s="28">
        <v>0.172467333333333</v>
      </c>
      <c r="CL6" s="28">
        <v>0.05</v>
      </c>
      <c r="CM6" s="28">
        <v>9.8061333333333403E-2</v>
      </c>
      <c r="CN6" s="28">
        <v>0.14990666666666699</v>
      </c>
      <c r="CO6" s="28">
        <v>5.1999999999999998E-2</v>
      </c>
      <c r="CP6" s="28">
        <v>4.9000000000000002E-2</v>
      </c>
      <c r="CQ6" s="28">
        <v>5.8000000000000003E-2</v>
      </c>
      <c r="CR6" s="28">
        <v>0.19796533333333399</v>
      </c>
      <c r="CS6" s="28">
        <v>5.7000000000000002E-2</v>
      </c>
      <c r="CT6" s="28">
        <v>6.5999000000000002E-2</v>
      </c>
      <c r="CU6" s="28">
        <v>0.18691199999999999</v>
      </c>
      <c r="CV6" s="28">
        <v>5.3999999999999999E-2</v>
      </c>
      <c r="CW6" s="28">
        <v>0.17525199999999999</v>
      </c>
      <c r="CX6" s="28">
        <v>0.19946</v>
      </c>
      <c r="CY6" s="28">
        <v>4.6843000000000003E-2</v>
      </c>
      <c r="CZ6" s="28">
        <v>0.12542200000000001</v>
      </c>
      <c r="DA6" s="28">
        <v>5.7000000000000002E-2</v>
      </c>
      <c r="DB6" s="28">
        <v>3.9E-2</v>
      </c>
      <c r="DC6" s="28">
        <v>0.14401466666666701</v>
      </c>
      <c r="DD6" s="28">
        <v>4.2000000000000003E-2</v>
      </c>
      <c r="DE6" s="28">
        <v>0.25895533333333298</v>
      </c>
      <c r="DF6" s="28">
        <v>0.143433333333333</v>
      </c>
      <c r="DG6" s="28">
        <v>9.2241666666666694E-2</v>
      </c>
      <c r="DH6" s="28">
        <v>8.5615999999999901E-2</v>
      </c>
      <c r="DI6" s="28">
        <v>0.27069733333333301</v>
      </c>
      <c r="DJ6" s="28">
        <v>0.39235666666666702</v>
      </c>
      <c r="DK6" s="28">
        <v>5.3999999999999999E-2</v>
      </c>
      <c r="DL6" s="28">
        <v>0.06</v>
      </c>
      <c r="DM6" s="28">
        <v>0.18784733333333301</v>
      </c>
      <c r="DN6" s="28">
        <v>3.4000000000000002E-2</v>
      </c>
      <c r="DO6" s="28">
        <v>3.7999999999999999E-2</v>
      </c>
      <c r="DP6" s="28">
        <v>6.3094666666666702E-2</v>
      </c>
      <c r="DQ6" s="28">
        <v>8.3232E-2</v>
      </c>
      <c r="DR6" s="28">
        <v>0.23124366666666701</v>
      </c>
      <c r="DS6" s="28">
        <v>0.30180499999999999</v>
      </c>
      <c r="DT6" s="28">
        <v>0.107909333333333</v>
      </c>
      <c r="DU6" s="28">
        <v>0.179886666666667</v>
      </c>
      <c r="DV6" s="28">
        <v>9.4117999999999993E-2</v>
      </c>
      <c r="DW6" s="28">
        <v>0.111356935483871</v>
      </c>
      <c r="DX6" s="34">
        <v>13.80826000000001</v>
      </c>
    </row>
    <row r="7" spans="1:128" x14ac:dyDescent="0.25">
      <c r="A7" s="24">
        <v>6</v>
      </c>
      <c r="B7" s="26">
        <v>2.5</v>
      </c>
      <c r="C7" s="28">
        <v>0.173454</v>
      </c>
      <c r="D7" s="28">
        <v>4.9000000000000002E-2</v>
      </c>
      <c r="E7" s="28">
        <v>5.0999999999999997E-2</v>
      </c>
      <c r="F7" s="28">
        <v>5.8999999999999997E-2</v>
      </c>
      <c r="G7" s="28">
        <v>4.7E-2</v>
      </c>
      <c r="H7" s="28">
        <v>0.20629266666666701</v>
      </c>
      <c r="I7" s="28">
        <v>5.6878333333333302E-2</v>
      </c>
      <c r="J7" s="28">
        <v>0.105536</v>
      </c>
      <c r="K7" s="28">
        <v>0.29057699999999997</v>
      </c>
      <c r="L7" s="28">
        <v>0.15260533333333301</v>
      </c>
      <c r="M7" s="28">
        <v>4.8000000000000001E-2</v>
      </c>
      <c r="N7" s="28">
        <v>4.7E-2</v>
      </c>
      <c r="O7" s="28">
        <v>0.129028</v>
      </c>
      <c r="P7" s="28">
        <v>0.14815066666666701</v>
      </c>
      <c r="Q7" s="28">
        <v>0.133259666666667</v>
      </c>
      <c r="R7" s="28">
        <v>0.24357999999999999</v>
      </c>
      <c r="S7" s="28">
        <v>0.38999733333333297</v>
      </c>
      <c r="T7" s="28">
        <v>0.148362666666667</v>
      </c>
      <c r="U7" s="28">
        <v>0.13828199999999999</v>
      </c>
      <c r="V7" s="28">
        <v>0.110416</v>
      </c>
      <c r="W7" s="28">
        <v>0.22758600000000001</v>
      </c>
      <c r="X7" s="28">
        <v>0.17545333333333299</v>
      </c>
      <c r="Y7" s="28">
        <v>3.1E-2</v>
      </c>
      <c r="Z7" s="28">
        <v>0.105673</v>
      </c>
      <c r="AA7" s="28">
        <v>5.2999999999999999E-2</v>
      </c>
      <c r="AB7" s="28">
        <v>0.14870066666666701</v>
      </c>
      <c r="AC7" s="28">
        <v>0.17204666666666699</v>
      </c>
      <c r="AD7" s="28">
        <v>0.101895666666667</v>
      </c>
      <c r="AE7" s="28">
        <v>5.5E-2</v>
      </c>
      <c r="AF7" s="28">
        <v>0.18210699999999999</v>
      </c>
      <c r="AG7" s="28">
        <v>6.0999999999999999E-2</v>
      </c>
      <c r="AH7" s="28">
        <v>4.5999999999999999E-2</v>
      </c>
      <c r="AI7" s="28">
        <v>3.7999999999999999E-2</v>
      </c>
      <c r="AJ7" s="28">
        <v>0.20660000000000001</v>
      </c>
      <c r="AK7" s="28">
        <v>4.8000000000000001E-2</v>
      </c>
      <c r="AL7" s="28">
        <v>7.5274666666666698E-2</v>
      </c>
      <c r="AM7" s="28">
        <v>7.1621000000000004E-2</v>
      </c>
      <c r="AN7" s="28">
        <v>0.19380393333333301</v>
      </c>
      <c r="AO7" s="28">
        <v>0.17366166666666699</v>
      </c>
      <c r="AP7" s="28">
        <v>4.5999999999999999E-2</v>
      </c>
      <c r="AQ7" s="28">
        <v>8.6693333333333303E-2</v>
      </c>
      <c r="AR7" s="28">
        <v>5.5E-2</v>
      </c>
      <c r="AS7" s="28">
        <v>9.9784000000000095E-2</v>
      </c>
      <c r="AT7" s="28">
        <v>0.14121166666666701</v>
      </c>
      <c r="AU7" s="28">
        <v>0.153826666666667</v>
      </c>
      <c r="AV7" s="28">
        <v>0.23369466666666699</v>
      </c>
      <c r="AW7" s="28">
        <v>0.06</v>
      </c>
      <c r="AX7" s="28">
        <v>0.26837866666666699</v>
      </c>
      <c r="AY7" s="28">
        <v>0.119142</v>
      </c>
      <c r="AZ7" s="28">
        <v>5.1999999999999998E-2</v>
      </c>
      <c r="BA7" s="28">
        <v>3.9E-2</v>
      </c>
      <c r="BB7" s="28">
        <v>0.11778066666666701</v>
      </c>
      <c r="BC7" s="28">
        <v>0.115436</v>
      </c>
      <c r="BD7" s="28">
        <v>0.33868466666666702</v>
      </c>
      <c r="BE7" s="28">
        <v>0.112024</v>
      </c>
      <c r="BF7" s="28">
        <v>0.265726666666667</v>
      </c>
      <c r="BG7" s="28">
        <v>0.15695999999999999</v>
      </c>
      <c r="BH7" s="28">
        <v>0.136156</v>
      </c>
      <c r="BI7" s="28">
        <v>0.11695700000000001</v>
      </c>
      <c r="BJ7" s="28">
        <v>4.2999999999999997E-2</v>
      </c>
      <c r="BK7" s="28">
        <v>0.25877466666666699</v>
      </c>
      <c r="BL7" s="28">
        <v>5.0999999999999997E-2</v>
      </c>
      <c r="BM7" s="28">
        <v>0.177136666666667</v>
      </c>
      <c r="BN7" s="28">
        <v>0.140951666666667</v>
      </c>
      <c r="BO7" s="28">
        <v>0.14153499999999999</v>
      </c>
      <c r="BP7" s="28">
        <v>0.05</v>
      </c>
      <c r="BQ7" s="28">
        <v>0.12987199999999999</v>
      </c>
      <c r="BR7" s="28">
        <v>0.113584</v>
      </c>
      <c r="BS7" s="28">
        <v>5.8999999999999997E-2</v>
      </c>
      <c r="BT7" s="28">
        <v>6.2313333333333297E-2</v>
      </c>
      <c r="BU7" s="28">
        <v>0.16771533333333299</v>
      </c>
      <c r="BV7" s="28">
        <v>4.8000000000000001E-2</v>
      </c>
      <c r="BW7" s="28">
        <v>0.197102</v>
      </c>
      <c r="BX7" s="28">
        <v>5.0999999999999997E-2</v>
      </c>
      <c r="BY7" s="28">
        <v>0.12659000000000001</v>
      </c>
      <c r="BZ7" s="28">
        <v>5.8313999999999998E-2</v>
      </c>
      <c r="CA7" s="28">
        <v>5.7000000000000002E-2</v>
      </c>
      <c r="CB7" s="28">
        <v>0.17566000000000001</v>
      </c>
      <c r="CC7" s="28">
        <v>0.186619333333333</v>
      </c>
      <c r="CD7" s="28">
        <v>0.306097333333333</v>
      </c>
      <c r="CE7" s="28">
        <v>4.5999999999999999E-2</v>
      </c>
      <c r="CF7" s="28">
        <v>0.15170666666666699</v>
      </c>
      <c r="CG7" s="28">
        <v>4.1000000000000002E-2</v>
      </c>
      <c r="CH7" s="28">
        <v>9.9106666666666801E-2</v>
      </c>
      <c r="CI7" s="28">
        <v>0.26969233333333298</v>
      </c>
      <c r="CJ7" s="28">
        <v>9.7266666666666599E-2</v>
      </c>
      <c r="CK7" s="28">
        <v>0.26487666666666698</v>
      </c>
      <c r="CL7" s="28">
        <v>0.05</v>
      </c>
      <c r="CM7" s="28">
        <v>0.28009600000000001</v>
      </c>
      <c r="CN7" s="28">
        <v>4.1000000000000002E-2</v>
      </c>
      <c r="CO7" s="28">
        <v>0.24404266666666699</v>
      </c>
      <c r="CP7" s="28">
        <v>8.6253333333333307E-2</v>
      </c>
      <c r="CQ7" s="28">
        <v>0.21669333333333299</v>
      </c>
      <c r="CR7" s="28">
        <v>4.1000000000000002E-2</v>
      </c>
      <c r="CS7" s="28">
        <v>0.13630200000000001</v>
      </c>
      <c r="CT7" s="28">
        <v>7.8664999999999999E-2</v>
      </c>
      <c r="CU7" s="28">
        <v>5.3999999999999999E-2</v>
      </c>
      <c r="CV7" s="28">
        <v>0.15476999999999999</v>
      </c>
      <c r="CW7" s="28">
        <v>7.9780000000000004E-2</v>
      </c>
      <c r="CX7" s="28">
        <v>0.14091266666666699</v>
      </c>
      <c r="CY7" s="28">
        <v>8.2096666666666596E-2</v>
      </c>
      <c r="CZ7" s="28">
        <v>5.1999999999999998E-2</v>
      </c>
      <c r="DA7" s="28">
        <v>5.7000000000000002E-2</v>
      </c>
      <c r="DB7" s="28">
        <v>3.9E-2</v>
      </c>
      <c r="DC7" s="28">
        <v>0.27761866666666701</v>
      </c>
      <c r="DD7" s="28">
        <v>0.11092933333333301</v>
      </c>
      <c r="DE7" s="28">
        <v>7.9022000000000106E-2</v>
      </c>
      <c r="DF7" s="28">
        <v>0.15543533333333301</v>
      </c>
      <c r="DG7" s="28">
        <v>0.174421666666667</v>
      </c>
      <c r="DH7" s="28">
        <v>0.05</v>
      </c>
      <c r="DI7" s="28">
        <v>0.24806566666666699</v>
      </c>
      <c r="DJ7" s="28">
        <v>0.130412</v>
      </c>
      <c r="DK7" s="28">
        <v>0.16402133333333299</v>
      </c>
      <c r="DL7" s="28">
        <v>0.06</v>
      </c>
      <c r="DM7" s="28">
        <v>6.4843333333333406E-2</v>
      </c>
      <c r="DN7" s="28">
        <v>3.4000000000000002E-2</v>
      </c>
      <c r="DO7" s="28">
        <v>0.206967333333333</v>
      </c>
      <c r="DP7" s="28">
        <v>0.11975733333333299</v>
      </c>
      <c r="DQ7" s="28">
        <v>0.21417800000000001</v>
      </c>
      <c r="DR7" s="28">
        <v>0.33340966666666699</v>
      </c>
      <c r="DS7" s="28">
        <v>0.155168</v>
      </c>
      <c r="DT7" s="28">
        <v>0.14984133333333299</v>
      </c>
      <c r="DU7" s="28">
        <v>5.5E-2</v>
      </c>
      <c r="DV7" s="28">
        <v>0.28105833333333302</v>
      </c>
      <c r="DW7" s="28">
        <v>0.12965302096774201</v>
      </c>
      <c r="DX7" s="34">
        <v>16.07697460000001</v>
      </c>
    </row>
    <row r="8" spans="1:128" x14ac:dyDescent="0.25">
      <c r="A8" s="24">
        <v>7</v>
      </c>
      <c r="B8" s="26">
        <v>3</v>
      </c>
      <c r="C8" s="28">
        <v>4.2999999999999997E-2</v>
      </c>
      <c r="D8" s="28">
        <v>0.13517999999999999</v>
      </c>
      <c r="E8" s="28">
        <v>5.0999999999999997E-2</v>
      </c>
      <c r="F8" s="28">
        <v>5.8999999999999997E-2</v>
      </c>
      <c r="G8" s="28">
        <v>4.7E-2</v>
      </c>
      <c r="H8" s="28">
        <v>5.0999999999999997E-2</v>
      </c>
      <c r="I8" s="28">
        <v>0.118931666666667</v>
      </c>
      <c r="J8" s="28">
        <v>0.124957333333333</v>
      </c>
      <c r="K8" s="28">
        <v>9.1916999999999902E-2</v>
      </c>
      <c r="L8" s="28">
        <v>5.7350333333333302E-2</v>
      </c>
      <c r="M8" s="28">
        <v>0.16558</v>
      </c>
      <c r="N8" s="28">
        <v>4.7E-2</v>
      </c>
      <c r="O8" s="28">
        <v>0.37269866666666701</v>
      </c>
      <c r="P8" s="28">
        <v>0.116412</v>
      </c>
      <c r="Q8" s="28">
        <v>7.9906000000000005E-2</v>
      </c>
      <c r="R8" s="28">
        <v>4.5999999999999999E-2</v>
      </c>
      <c r="S8" s="28">
        <v>0.30843466666666702</v>
      </c>
      <c r="T8" s="28">
        <v>0.278864</v>
      </c>
      <c r="U8" s="28">
        <v>0.20401333333333299</v>
      </c>
      <c r="V8" s="28">
        <v>0.148978</v>
      </c>
      <c r="W8" s="28">
        <v>4.8000000000000001E-2</v>
      </c>
      <c r="X8" s="28">
        <v>5.7000000000000002E-2</v>
      </c>
      <c r="Y8" s="28">
        <v>3.1E-2</v>
      </c>
      <c r="Z8" s="28">
        <v>7.6716999999999994E-2</v>
      </c>
      <c r="AA8" s="28">
        <v>0.10403900000000001</v>
      </c>
      <c r="AB8" s="28">
        <v>0.31450933333333297</v>
      </c>
      <c r="AC8" s="28">
        <v>0.141394666666667</v>
      </c>
      <c r="AD8" s="28">
        <v>0.248913</v>
      </c>
      <c r="AE8" s="28">
        <v>5.5E-2</v>
      </c>
      <c r="AF8" s="28">
        <v>0.05</v>
      </c>
      <c r="AG8" s="28">
        <v>0.209993333333333</v>
      </c>
      <c r="AH8" s="28">
        <v>4.5999999999999999E-2</v>
      </c>
      <c r="AI8" s="28">
        <v>0.30109733333333299</v>
      </c>
      <c r="AJ8" s="28">
        <v>6.6559999999999994E-2</v>
      </c>
      <c r="AK8" s="28">
        <v>6.2867333333333303E-2</v>
      </c>
      <c r="AL8" s="28">
        <v>0.18123600000000001</v>
      </c>
      <c r="AM8" s="28">
        <v>0.12713333333333299</v>
      </c>
      <c r="AN8" s="28">
        <v>0.159635</v>
      </c>
      <c r="AO8" s="28">
        <v>0.20930133333333301</v>
      </c>
      <c r="AP8" s="28">
        <v>4.5999999999999999E-2</v>
      </c>
      <c r="AQ8" s="28">
        <v>5.2999999999999999E-2</v>
      </c>
      <c r="AR8" s="28">
        <v>5.5E-2</v>
      </c>
      <c r="AS8" s="28">
        <v>9.9783999999999901E-2</v>
      </c>
      <c r="AT8" s="28">
        <v>0.119808333333333</v>
      </c>
      <c r="AU8" s="28">
        <v>0.05</v>
      </c>
      <c r="AV8" s="28">
        <v>9.9823999999999996E-2</v>
      </c>
      <c r="AW8" s="28">
        <v>0.06</v>
      </c>
      <c r="AX8" s="28">
        <v>7.0384000000000002E-2</v>
      </c>
      <c r="AY8" s="28">
        <v>0.14577333333333301</v>
      </c>
      <c r="AZ8" s="28">
        <v>5.1999999999999998E-2</v>
      </c>
      <c r="BA8" s="28">
        <v>3.9E-2</v>
      </c>
      <c r="BB8" s="28">
        <v>0.15636</v>
      </c>
      <c r="BC8" s="28">
        <v>7.6004000000000002E-2</v>
      </c>
      <c r="BD8" s="28">
        <v>4.1000000000000002E-2</v>
      </c>
      <c r="BE8" s="28">
        <v>8.4012000000000003E-2</v>
      </c>
      <c r="BF8" s="28">
        <v>0.10844366666666699</v>
      </c>
      <c r="BG8" s="28">
        <v>0.18178233333333299</v>
      </c>
      <c r="BH8" s="28">
        <v>0.121796666666667</v>
      </c>
      <c r="BI8" s="28">
        <v>0.17976500000000001</v>
      </c>
      <c r="BJ8" s="28">
        <v>4.2999999999999997E-2</v>
      </c>
      <c r="BK8" s="28">
        <v>0.104536666666667</v>
      </c>
      <c r="BL8" s="28">
        <v>0.18964366666666699</v>
      </c>
      <c r="BM8" s="28">
        <v>0.21169399999999999</v>
      </c>
      <c r="BN8" s="28">
        <v>0.111568</v>
      </c>
      <c r="BO8" s="28">
        <v>0.15277833333333299</v>
      </c>
      <c r="BP8" s="28">
        <v>0.05</v>
      </c>
      <c r="BQ8" s="28">
        <v>0.114393333333333</v>
      </c>
      <c r="BR8" s="28">
        <v>5.2999999999999999E-2</v>
      </c>
      <c r="BS8" s="28">
        <v>0.233609333333333</v>
      </c>
      <c r="BT8" s="28">
        <v>0.18610866666666701</v>
      </c>
      <c r="BU8" s="28">
        <v>5.6000000000000001E-2</v>
      </c>
      <c r="BV8" s="28">
        <v>4.8000000000000001E-2</v>
      </c>
      <c r="BW8" s="28">
        <v>0.05</v>
      </c>
      <c r="BX8" s="28">
        <v>9.6613333333333301E-2</v>
      </c>
      <c r="BY8" s="28">
        <v>5.5E-2</v>
      </c>
      <c r="BZ8" s="28">
        <v>0.19614000000000001</v>
      </c>
      <c r="CA8" s="28">
        <v>5.7000000000000002E-2</v>
      </c>
      <c r="CB8" s="28">
        <v>0.10494466666666701</v>
      </c>
      <c r="CC8" s="28">
        <v>5.1999999999999998E-2</v>
      </c>
      <c r="CD8" s="28">
        <v>5.2999999999999999E-2</v>
      </c>
      <c r="CE8" s="28">
        <v>4.5999999999999999E-2</v>
      </c>
      <c r="CF8" s="28">
        <v>3.9E-2</v>
      </c>
      <c r="CG8" s="28">
        <v>4.1000000000000002E-2</v>
      </c>
      <c r="CH8" s="28">
        <v>4.7E-2</v>
      </c>
      <c r="CI8" s="28">
        <v>5.0999999999999997E-2</v>
      </c>
      <c r="CJ8" s="28">
        <v>8.5199999999999998E-2</v>
      </c>
      <c r="CK8" s="28">
        <v>0.123334</v>
      </c>
      <c r="CL8" s="28">
        <v>0.05</v>
      </c>
      <c r="CM8" s="28">
        <v>0.05</v>
      </c>
      <c r="CN8" s="28">
        <v>0.19074666666666701</v>
      </c>
      <c r="CO8" s="28">
        <v>0.106193333333333</v>
      </c>
      <c r="CP8" s="28">
        <v>7.27066666666666E-2</v>
      </c>
      <c r="CQ8" s="28">
        <v>5.8000000000000003E-2</v>
      </c>
      <c r="CR8" s="28">
        <v>5.3741333333333301E-2</v>
      </c>
      <c r="CS8" s="28">
        <v>5.7000000000000002E-2</v>
      </c>
      <c r="CT8" s="28">
        <v>0.14199500000000001</v>
      </c>
      <c r="CU8" s="28">
        <v>0.163242</v>
      </c>
      <c r="CV8" s="28">
        <v>8.7590000000000001E-2</v>
      </c>
      <c r="CW8" s="28">
        <v>0.04</v>
      </c>
      <c r="CX8" s="28">
        <v>0.24420066666666601</v>
      </c>
      <c r="CY8" s="28">
        <v>6.8248000000000003E-2</v>
      </c>
      <c r="CZ8" s="28">
        <v>7.2395000000000001E-2</v>
      </c>
      <c r="DA8" s="28">
        <v>5.7000000000000002E-2</v>
      </c>
      <c r="DB8" s="28">
        <v>0.16100066666666701</v>
      </c>
      <c r="DC8" s="28">
        <v>0.119101333333333</v>
      </c>
      <c r="DD8" s="28">
        <v>4.6054666666666702E-2</v>
      </c>
      <c r="DE8" s="28">
        <v>7.0264666666666697E-2</v>
      </c>
      <c r="DF8" s="28">
        <v>0.1978</v>
      </c>
      <c r="DG8" s="28">
        <v>5.8000000000000003E-2</v>
      </c>
      <c r="DH8" s="28">
        <v>0.12123200000000001</v>
      </c>
      <c r="DI8" s="28">
        <v>6.2142000000000003E-2</v>
      </c>
      <c r="DJ8" s="28">
        <v>0.122789333333333</v>
      </c>
      <c r="DK8" s="28">
        <v>5.3999999999999999E-2</v>
      </c>
      <c r="DL8" s="28">
        <v>0.06</v>
      </c>
      <c r="DM8" s="28">
        <v>0.119317333333333</v>
      </c>
      <c r="DN8" s="28">
        <v>3.4000000000000002E-2</v>
      </c>
      <c r="DO8" s="28">
        <v>0.138258666666667</v>
      </c>
      <c r="DP8" s="28">
        <v>0.24482733333333301</v>
      </c>
      <c r="DQ8" s="28">
        <v>4.7E-2</v>
      </c>
      <c r="DR8" s="28">
        <v>0.520193666666666</v>
      </c>
      <c r="DS8" s="28">
        <v>5.7037333333333301E-2</v>
      </c>
      <c r="DT8" s="28">
        <v>5.1999999999999998E-2</v>
      </c>
      <c r="DU8" s="28">
        <v>0.17364233333333301</v>
      </c>
      <c r="DV8" s="28">
        <v>4.9000000000000002E-2</v>
      </c>
      <c r="DW8" s="28">
        <v>0.1092712983870968</v>
      </c>
      <c r="DX8" s="34">
        <v>13.549640999999999</v>
      </c>
    </row>
    <row r="9" spans="1:128" x14ac:dyDescent="0.25">
      <c r="A9" s="24">
        <v>8</v>
      </c>
      <c r="B9" s="26">
        <v>3.5</v>
      </c>
      <c r="C9" s="28">
        <v>0.11852600000000001</v>
      </c>
      <c r="D9" s="28">
        <v>0.152416</v>
      </c>
      <c r="E9" s="28">
        <v>5.0999999999999997E-2</v>
      </c>
      <c r="F9" s="28">
        <v>5.8999999999999997E-2</v>
      </c>
      <c r="G9" s="28">
        <v>1.3336806666666701</v>
      </c>
      <c r="H9" s="28">
        <v>0.31085133333333298</v>
      </c>
      <c r="I9" s="28">
        <v>0.25259866666666703</v>
      </c>
      <c r="J9" s="28">
        <v>0.11061</v>
      </c>
      <c r="K9" s="28">
        <v>0.19928066666666699</v>
      </c>
      <c r="L9" s="28">
        <v>0.17165633333333299</v>
      </c>
      <c r="M9" s="28">
        <v>4.8000000000000001E-2</v>
      </c>
      <c r="N9" s="28">
        <v>9.6596399999999999E-2</v>
      </c>
      <c r="O9" s="28">
        <v>0.50324599999999997</v>
      </c>
      <c r="P9" s="28">
        <v>0.15158333333333299</v>
      </c>
      <c r="Q9" s="28">
        <v>0.188486666666667</v>
      </c>
      <c r="R9" s="28">
        <v>0.231711</v>
      </c>
      <c r="S9" s="28">
        <v>1.19981133333333</v>
      </c>
      <c r="T9" s="28">
        <v>4.5999999999999999E-2</v>
      </c>
      <c r="U9" s="28">
        <v>0.13455400000000001</v>
      </c>
      <c r="V9" s="28">
        <v>5.8999999999999997E-2</v>
      </c>
      <c r="W9" s="28">
        <v>0.30885766666666697</v>
      </c>
      <c r="X9" s="28">
        <v>0.163608</v>
      </c>
      <c r="Y9" s="28">
        <v>8.1640000000000004E-2</v>
      </c>
      <c r="Z9" s="28">
        <v>0.19254099999999999</v>
      </c>
      <c r="AA9" s="28">
        <v>0.115381</v>
      </c>
      <c r="AB9" s="28">
        <v>9.4586000000000101E-2</v>
      </c>
      <c r="AC9" s="28">
        <v>0.11022333333333301</v>
      </c>
      <c r="AD9" s="28">
        <v>9.5661333333333404E-2</v>
      </c>
      <c r="AE9" s="28">
        <v>5.5E-2</v>
      </c>
      <c r="AF9" s="28">
        <v>0.22096199999999999</v>
      </c>
      <c r="AG9" s="28">
        <v>7.5899333333333305E-2</v>
      </c>
      <c r="AH9" s="28">
        <v>4.5999999999999999E-2</v>
      </c>
      <c r="AI9" s="28">
        <v>8.9444333333333403E-2</v>
      </c>
      <c r="AJ9" s="28">
        <v>5.0999999999999997E-2</v>
      </c>
      <c r="AK9" s="28">
        <v>0.19667333333333301</v>
      </c>
      <c r="AL9" s="28">
        <v>4.4999999999999998E-2</v>
      </c>
      <c r="AM9" s="28">
        <v>0.22499333333333299</v>
      </c>
      <c r="AN9" s="28">
        <v>4.7E-2</v>
      </c>
      <c r="AO9" s="28">
        <v>0.247892</v>
      </c>
      <c r="AP9" s="28">
        <v>4.5999999999999999E-2</v>
      </c>
      <c r="AQ9" s="28">
        <v>0.12881000000000001</v>
      </c>
      <c r="AR9" s="28">
        <v>5.5E-2</v>
      </c>
      <c r="AS9" s="28">
        <v>5.8000000000000003E-2</v>
      </c>
      <c r="AT9" s="28">
        <v>0.146051666666667</v>
      </c>
      <c r="AU9" s="28">
        <v>0.05</v>
      </c>
      <c r="AV9" s="28">
        <v>0.16673199999999999</v>
      </c>
      <c r="AW9" s="28">
        <v>0.06</v>
      </c>
      <c r="AX9" s="28">
        <v>8.1767999999999993E-2</v>
      </c>
      <c r="AY9" s="28">
        <v>5.1952333333333399E-2</v>
      </c>
      <c r="AZ9" s="28">
        <v>5.1999999999999998E-2</v>
      </c>
      <c r="BA9" s="28">
        <v>3.9E-2</v>
      </c>
      <c r="BB9" s="28">
        <v>9.7843333333333296E-2</v>
      </c>
      <c r="BC9" s="28">
        <v>8.2575999999999997E-2</v>
      </c>
      <c r="BD9" s="28">
        <v>0.221178333333333</v>
      </c>
      <c r="BE9" s="28">
        <v>0.13648299999999999</v>
      </c>
      <c r="BF9" s="28">
        <v>0.122035</v>
      </c>
      <c r="BG9" s="28">
        <v>7.8383999999999995E-2</v>
      </c>
      <c r="BH9" s="28">
        <v>7.8718666666666701E-2</v>
      </c>
      <c r="BI9" s="28">
        <v>6.2E-2</v>
      </c>
      <c r="BJ9" s="28">
        <v>0.117562</v>
      </c>
      <c r="BK9" s="28">
        <v>6.94346666666667E-2</v>
      </c>
      <c r="BL9" s="28">
        <v>0.130249</v>
      </c>
      <c r="BM9" s="28">
        <v>8.0038333333333406E-2</v>
      </c>
      <c r="BN9" s="28">
        <v>0.15417500000000001</v>
      </c>
      <c r="BO9" s="28">
        <v>5.3999999999999999E-2</v>
      </c>
      <c r="BP9" s="28">
        <v>0.05</v>
      </c>
      <c r="BQ9" s="28">
        <v>3.6999999999999998E-2</v>
      </c>
      <c r="BR9" s="28">
        <v>0.306336</v>
      </c>
      <c r="BS9" s="28">
        <v>0.301638666666667</v>
      </c>
      <c r="BT9" s="28">
        <v>0.17629400000000001</v>
      </c>
      <c r="BU9" s="28">
        <v>5.6000000000000001E-2</v>
      </c>
      <c r="BV9" s="28">
        <v>4.8000000000000001E-2</v>
      </c>
      <c r="BW9" s="28">
        <v>0.35612466666666698</v>
      </c>
      <c r="BX9" s="28">
        <v>8.0026666666666704E-2</v>
      </c>
      <c r="BY9" s="28">
        <v>0.13374900000000001</v>
      </c>
      <c r="BZ9" s="28">
        <v>4.2999999999999997E-2</v>
      </c>
      <c r="CA9" s="28">
        <v>5.7000000000000002E-2</v>
      </c>
      <c r="CB9" s="28">
        <v>0.17954666666666699</v>
      </c>
      <c r="CC9" s="28">
        <v>5.1999999999999998E-2</v>
      </c>
      <c r="CD9" s="28">
        <v>0.20977533333333301</v>
      </c>
      <c r="CE9" s="28">
        <v>4.5999999999999999E-2</v>
      </c>
      <c r="CF9" s="28">
        <v>0.17822299999999999</v>
      </c>
      <c r="CG9" s="28">
        <v>4.1000000000000002E-2</v>
      </c>
      <c r="CH9" s="28">
        <v>0.19029333333333301</v>
      </c>
      <c r="CI9" s="28">
        <v>0.243167666666667</v>
      </c>
      <c r="CJ9" s="28">
        <v>0.14553333333333299</v>
      </c>
      <c r="CK9" s="28">
        <v>4.9000000000000002E-2</v>
      </c>
      <c r="CL9" s="28">
        <v>0.05</v>
      </c>
      <c r="CM9" s="28">
        <v>0.194950333333333</v>
      </c>
      <c r="CN9" s="28">
        <v>4.1000000000000002E-2</v>
      </c>
      <c r="CO9" s="28">
        <v>0.107285333333333</v>
      </c>
      <c r="CP9" s="28">
        <v>4.9000000000000002E-2</v>
      </c>
      <c r="CQ9" s="28">
        <v>0.18062666666666699</v>
      </c>
      <c r="CR9" s="28">
        <v>0.181684333333333</v>
      </c>
      <c r="CS9" s="28">
        <v>5.7000000000000002E-2</v>
      </c>
      <c r="CT9" s="28">
        <v>4.7E-2</v>
      </c>
      <c r="CU9" s="28">
        <v>0.17888000000000001</v>
      </c>
      <c r="CV9" s="28">
        <v>0.10774400000000001</v>
      </c>
      <c r="CW9" s="28">
        <v>0.103648</v>
      </c>
      <c r="CX9" s="28">
        <v>0.20847333333333301</v>
      </c>
      <c r="CY9" s="28">
        <v>7.6810000000000003E-2</v>
      </c>
      <c r="CZ9" s="28">
        <v>0.105027</v>
      </c>
      <c r="DA9" s="28">
        <v>5.7000000000000002E-2</v>
      </c>
      <c r="DB9" s="28">
        <v>3.9E-2</v>
      </c>
      <c r="DC9" s="28">
        <v>0.14834066666666701</v>
      </c>
      <c r="DD9" s="28">
        <v>4.2000000000000003E-2</v>
      </c>
      <c r="DE9" s="28">
        <v>0.26771266666666699</v>
      </c>
      <c r="DF9" s="28">
        <v>0.15866333333333299</v>
      </c>
      <c r="DG9" s="28">
        <v>0.20181499999999999</v>
      </c>
      <c r="DH9" s="28">
        <v>5.7914666666666698E-2</v>
      </c>
      <c r="DI9" s="28">
        <v>0.32745733333333299</v>
      </c>
      <c r="DJ9" s="28">
        <v>0.27067266666666701</v>
      </c>
      <c r="DK9" s="28">
        <v>5.3999999999999999E-2</v>
      </c>
      <c r="DL9" s="28">
        <v>0.06</v>
      </c>
      <c r="DM9" s="28">
        <v>0.112722</v>
      </c>
      <c r="DN9" s="28">
        <v>0.182092333333333</v>
      </c>
      <c r="DO9" s="28">
        <v>0.17624600000000001</v>
      </c>
      <c r="DP9" s="28">
        <v>0.10761533333333299</v>
      </c>
      <c r="DQ9" s="28">
        <v>0.102524333333333</v>
      </c>
      <c r="DR9" s="28">
        <v>7.5623999999999997E-2</v>
      </c>
      <c r="DS9" s="28">
        <v>2.9000000000000001E-2</v>
      </c>
      <c r="DT9" s="28">
        <v>5.1999999999999998E-2</v>
      </c>
      <c r="DU9" s="28">
        <v>6.1244333333333303E-2</v>
      </c>
      <c r="DV9" s="28">
        <v>0.29163966666666702</v>
      </c>
      <c r="DW9" s="28">
        <v>0.14391196827956981</v>
      </c>
      <c r="DX9" s="34">
        <v>17.845084066666661</v>
      </c>
    </row>
    <row r="10" spans="1:128" x14ac:dyDescent="0.25">
      <c r="A10" s="24">
        <v>9</v>
      </c>
      <c r="B10" s="26">
        <v>4</v>
      </c>
      <c r="C10" s="28">
        <v>0.104794</v>
      </c>
      <c r="D10" s="28">
        <v>4.9000000000000002E-2</v>
      </c>
      <c r="E10" s="28">
        <v>5.0999999999999997E-2</v>
      </c>
      <c r="F10" s="28">
        <v>5.8999999999999997E-2</v>
      </c>
      <c r="G10" s="28">
        <v>4.7E-2</v>
      </c>
      <c r="H10" s="28">
        <v>5.0999999999999997E-2</v>
      </c>
      <c r="I10" s="28">
        <v>5.2999999999999999E-2</v>
      </c>
      <c r="J10" s="28">
        <v>0.105536</v>
      </c>
      <c r="K10" s="28">
        <v>0.18321333333333401</v>
      </c>
      <c r="L10" s="28">
        <v>5.0999999999999997E-2</v>
      </c>
      <c r="M10" s="28">
        <v>4.8000000000000001E-2</v>
      </c>
      <c r="N10" s="28">
        <v>0.177106666666667</v>
      </c>
      <c r="O10" s="28">
        <v>0.16964000000000001</v>
      </c>
      <c r="P10" s="28">
        <v>0.188804</v>
      </c>
      <c r="Q10" s="28">
        <v>0.14409266666666701</v>
      </c>
      <c r="R10" s="28">
        <v>0.106055</v>
      </c>
      <c r="S10" s="28">
        <v>0.10330400000000001</v>
      </c>
      <c r="T10" s="28">
        <v>0.14448066666666701</v>
      </c>
      <c r="U10" s="28">
        <v>0.170238</v>
      </c>
      <c r="V10" s="28">
        <v>0.20039399999999999</v>
      </c>
      <c r="W10" s="28">
        <v>8.8815000000000005E-2</v>
      </c>
      <c r="X10" s="28">
        <v>6.88453333333333E-2</v>
      </c>
      <c r="Y10" s="28">
        <v>9.2893333333333397E-2</v>
      </c>
      <c r="Z10" s="28">
        <v>5.5E-2</v>
      </c>
      <c r="AA10" s="28">
        <v>5.2999999999999999E-2</v>
      </c>
      <c r="AB10" s="28">
        <v>0.207354333333333</v>
      </c>
      <c r="AC10" s="28">
        <v>0.186011333333333</v>
      </c>
      <c r="AD10" s="28">
        <v>0.23021</v>
      </c>
      <c r="AE10" s="28">
        <v>5.5E-2</v>
      </c>
      <c r="AF10" s="28">
        <v>0.339320333333334</v>
      </c>
      <c r="AG10" s="28">
        <v>6.0999999999999999E-2</v>
      </c>
      <c r="AH10" s="28">
        <v>4.5999999999999999E-2</v>
      </c>
      <c r="AI10" s="28">
        <v>7.2863999999999998E-2</v>
      </c>
      <c r="AJ10" s="28">
        <v>0.22216</v>
      </c>
      <c r="AK10" s="28">
        <v>4.8000000000000001E-2</v>
      </c>
      <c r="AL10" s="28">
        <v>0.21151066666666701</v>
      </c>
      <c r="AM10" s="28">
        <v>6.4413999999999999E-2</v>
      </c>
      <c r="AN10" s="28">
        <v>0.212198</v>
      </c>
      <c r="AO10" s="28">
        <v>0.18327399999999999</v>
      </c>
      <c r="AP10" s="28">
        <v>4.5999999999999999E-2</v>
      </c>
      <c r="AQ10" s="28">
        <v>5.2999999999999999E-2</v>
      </c>
      <c r="AR10" s="28">
        <v>5.5E-2</v>
      </c>
      <c r="AS10" s="28">
        <v>0.141568</v>
      </c>
      <c r="AT10" s="28">
        <v>0.108353333333333</v>
      </c>
      <c r="AU10" s="28">
        <v>0.05</v>
      </c>
      <c r="AV10" s="28">
        <v>0.18546333333333301</v>
      </c>
      <c r="AW10" s="28">
        <v>0.06</v>
      </c>
      <c r="AX10" s="28">
        <v>0.15007200000000001</v>
      </c>
      <c r="AY10" s="28">
        <v>0.21296300000000001</v>
      </c>
      <c r="AZ10" s="28">
        <v>5.1999999999999998E-2</v>
      </c>
      <c r="BA10" s="28">
        <v>3.9E-2</v>
      </c>
      <c r="BB10" s="28">
        <v>9.5614666666666695E-2</v>
      </c>
      <c r="BC10" s="28">
        <v>0.108864</v>
      </c>
      <c r="BD10" s="28">
        <v>0.18812999999999999</v>
      </c>
      <c r="BE10" s="28">
        <v>9.9336999999999995E-2</v>
      </c>
      <c r="BF10" s="28">
        <v>0.14924799999999999</v>
      </c>
      <c r="BG10" s="28">
        <v>0.117672</v>
      </c>
      <c r="BH10" s="28">
        <v>0.179234</v>
      </c>
      <c r="BI10" s="28">
        <v>0.21901999999999999</v>
      </c>
      <c r="BJ10" s="28">
        <v>4.2999999999999997E-2</v>
      </c>
      <c r="BK10" s="28">
        <v>0.209226666666667</v>
      </c>
      <c r="BL10" s="28">
        <v>8.5222999999999993E-2</v>
      </c>
      <c r="BM10" s="28">
        <v>0.118499666666667</v>
      </c>
      <c r="BN10" s="28">
        <v>0.10128166666666701</v>
      </c>
      <c r="BO10" s="28">
        <v>0.146942666666667</v>
      </c>
      <c r="BP10" s="28">
        <v>0.05</v>
      </c>
      <c r="BQ10" s="28">
        <v>0.207265333333333</v>
      </c>
      <c r="BR10" s="28">
        <v>5.2999999999999999E-2</v>
      </c>
      <c r="BS10" s="28">
        <v>5.8999999999999997E-2</v>
      </c>
      <c r="BT10" s="28">
        <v>9.3691999999999998E-2</v>
      </c>
      <c r="BU10" s="28">
        <v>5.6000000000000001E-2</v>
      </c>
      <c r="BV10" s="28">
        <v>4.8000000000000001E-2</v>
      </c>
      <c r="BW10" s="28">
        <v>0.05</v>
      </c>
      <c r="BX10" s="28">
        <v>5.0999999999999997E-2</v>
      </c>
      <c r="BY10" s="28">
        <v>0.13374900000000001</v>
      </c>
      <c r="BZ10" s="28">
        <v>0.211454</v>
      </c>
      <c r="CA10" s="28">
        <v>5.7000000000000002E-2</v>
      </c>
      <c r="CB10" s="28">
        <v>6.7144999999999996E-2</v>
      </c>
      <c r="CC10" s="28">
        <v>0.16051399999999999</v>
      </c>
      <c r="CD10" s="28">
        <v>0.14932200000000001</v>
      </c>
      <c r="CE10" s="28">
        <v>4.5999999999999999E-2</v>
      </c>
      <c r="CF10" s="28">
        <v>0.152701</v>
      </c>
      <c r="CG10" s="28">
        <v>0.13477666666666699</v>
      </c>
      <c r="CH10" s="28">
        <v>4.7E-2</v>
      </c>
      <c r="CI10" s="28">
        <v>0.101526666666667</v>
      </c>
      <c r="CJ10" s="28">
        <v>4.9000000000000002E-2</v>
      </c>
      <c r="CK10" s="28">
        <v>0.26309266666666697</v>
      </c>
      <c r="CL10" s="28">
        <v>0.05</v>
      </c>
      <c r="CM10" s="28">
        <v>0.18320700000000001</v>
      </c>
      <c r="CN10" s="28">
        <v>0.17032666666666699</v>
      </c>
      <c r="CO10" s="28">
        <v>0.189121333333333</v>
      </c>
      <c r="CP10" s="28">
        <v>4.9000000000000002E-2</v>
      </c>
      <c r="CQ10" s="28">
        <v>9.4066666666666604E-2</v>
      </c>
      <c r="CR10" s="28">
        <v>0.10735500000000001</v>
      </c>
      <c r="CS10" s="28">
        <v>6.5811333333333305E-2</v>
      </c>
      <c r="CT10" s="28">
        <v>8.4998000000000004E-2</v>
      </c>
      <c r="CU10" s="28">
        <v>0.168124</v>
      </c>
      <c r="CV10" s="28">
        <v>0.13461600000000001</v>
      </c>
      <c r="CW10" s="28">
        <v>0.15138399999999999</v>
      </c>
      <c r="CX10" s="28">
        <v>0.13189933333333301</v>
      </c>
      <c r="CY10" s="28">
        <v>3.4000000000000002E-2</v>
      </c>
      <c r="CZ10" s="28">
        <v>5.1999999999999998E-2</v>
      </c>
      <c r="DA10" s="28">
        <v>5.7000000000000002E-2</v>
      </c>
      <c r="DB10" s="28">
        <v>3.9E-2</v>
      </c>
      <c r="DC10" s="28">
        <v>0.14354800000000001</v>
      </c>
      <c r="DD10" s="28">
        <v>4.2000000000000003E-2</v>
      </c>
      <c r="DE10" s="28">
        <v>5.6000000000000001E-2</v>
      </c>
      <c r="DF10" s="28">
        <v>0.155738666666667</v>
      </c>
      <c r="DG10" s="28">
        <v>6.4848333333333397E-2</v>
      </c>
      <c r="DH10" s="28">
        <v>0.11331733333333301</v>
      </c>
      <c r="DI10" s="28">
        <v>0.16519900000000001</v>
      </c>
      <c r="DJ10" s="28">
        <v>0.18630666666666701</v>
      </c>
      <c r="DK10" s="28">
        <v>0.10901066666666701</v>
      </c>
      <c r="DL10" s="28">
        <v>0.06</v>
      </c>
      <c r="DM10" s="28">
        <v>4.2000000000000003E-2</v>
      </c>
      <c r="DN10" s="28">
        <v>5.7383000000000003E-2</v>
      </c>
      <c r="DO10" s="28">
        <v>0.14749599999999999</v>
      </c>
      <c r="DP10" s="28">
        <v>0.238276666666667</v>
      </c>
      <c r="DQ10" s="28">
        <v>0.19488566666666701</v>
      </c>
      <c r="DR10" s="28">
        <v>4.8000000000000001E-2</v>
      </c>
      <c r="DS10" s="28">
        <v>0.17619599999999999</v>
      </c>
      <c r="DT10" s="28">
        <v>0.121886666666667</v>
      </c>
      <c r="DU10" s="28">
        <v>5.5E-2</v>
      </c>
      <c r="DV10" s="28">
        <v>8.3538333333333298E-2</v>
      </c>
      <c r="DW10" s="28">
        <v>0.11276629301075269</v>
      </c>
      <c r="DX10" s="34">
        <v>13.98302033333333</v>
      </c>
    </row>
    <row r="11" spans="1:128" x14ac:dyDescent="0.25">
      <c r="A11" s="24">
        <v>10</v>
      </c>
      <c r="B11" s="26">
        <v>4.5</v>
      </c>
      <c r="C11" s="28">
        <v>4.2999999999999997E-2</v>
      </c>
      <c r="D11" s="28">
        <v>0.238596</v>
      </c>
      <c r="E11" s="28">
        <v>5.0999999999999997E-2</v>
      </c>
      <c r="F11" s="28">
        <v>5.8999999999999997E-2</v>
      </c>
      <c r="G11" s="28">
        <v>4.7E-2</v>
      </c>
      <c r="H11" s="28">
        <v>0.15469333333333299</v>
      </c>
      <c r="I11" s="28">
        <v>0.200585666666667</v>
      </c>
      <c r="J11" s="28">
        <v>0.20456733333333299</v>
      </c>
      <c r="K11" s="28">
        <v>5.3999999999999999E-2</v>
      </c>
      <c r="L11" s="28">
        <v>0.17800666666666701</v>
      </c>
      <c r="M11" s="28">
        <v>4.8000000000000001E-2</v>
      </c>
      <c r="N11" s="28">
        <v>4.7E-2</v>
      </c>
      <c r="O11" s="28">
        <v>0.103352</v>
      </c>
      <c r="P11" s="28">
        <v>0.10818999999999999</v>
      </c>
      <c r="Q11" s="28">
        <v>4.8000000000000001E-2</v>
      </c>
      <c r="R11" s="28">
        <v>0.118279</v>
      </c>
      <c r="S11" s="28">
        <v>5.3999999999999999E-2</v>
      </c>
      <c r="T11" s="28">
        <v>0.21287</v>
      </c>
      <c r="U11" s="28">
        <v>0.121506</v>
      </c>
      <c r="V11" s="28">
        <v>5.8999999999999997E-2</v>
      </c>
      <c r="W11" s="28">
        <v>0.113304</v>
      </c>
      <c r="X11" s="28">
        <v>0.163608</v>
      </c>
      <c r="Y11" s="28">
        <v>3.1E-2</v>
      </c>
      <c r="Z11" s="28">
        <v>5.5E-2</v>
      </c>
      <c r="AA11" s="28">
        <v>0.16642000000000001</v>
      </c>
      <c r="AB11" s="28">
        <v>0.215269666666667</v>
      </c>
      <c r="AC11" s="28">
        <v>0.12742999999999999</v>
      </c>
      <c r="AD11" s="28">
        <v>0.12059866666666701</v>
      </c>
      <c r="AE11" s="28">
        <v>5.5E-2</v>
      </c>
      <c r="AF11" s="28">
        <v>0.18210699999999999</v>
      </c>
      <c r="AG11" s="28">
        <v>0.22489266666666699</v>
      </c>
      <c r="AH11" s="28">
        <v>4.5999999999999999E-2</v>
      </c>
      <c r="AI11" s="28">
        <v>0.23414633333333301</v>
      </c>
      <c r="AJ11" s="28">
        <v>5.0999999999999997E-2</v>
      </c>
      <c r="AK11" s="28">
        <v>0.19667333333333301</v>
      </c>
      <c r="AL11" s="28">
        <v>4.4999999999999998E-2</v>
      </c>
      <c r="AM11" s="28">
        <v>0.157986666666667</v>
      </c>
      <c r="AN11" s="28">
        <v>4.7E-2</v>
      </c>
      <c r="AO11" s="28">
        <v>0.19826766666666701</v>
      </c>
      <c r="AP11" s="28">
        <v>4.5999999999999999E-2</v>
      </c>
      <c r="AQ11" s="28">
        <v>5.2999999999999999E-2</v>
      </c>
      <c r="AR11" s="28">
        <v>5.5E-2</v>
      </c>
      <c r="AS11" s="28">
        <v>5.8000000000000003E-2</v>
      </c>
      <c r="AT11" s="28">
        <v>0.165143333333333</v>
      </c>
      <c r="AU11" s="28">
        <v>0.05</v>
      </c>
      <c r="AV11" s="28">
        <v>6.6206000000000001E-2</v>
      </c>
      <c r="AW11" s="28">
        <v>0.06</v>
      </c>
      <c r="AX11" s="28">
        <v>5.8999999999999997E-2</v>
      </c>
      <c r="AY11" s="28">
        <v>4.8000000000000001E-2</v>
      </c>
      <c r="AZ11" s="28">
        <v>5.1999999999999998E-2</v>
      </c>
      <c r="BA11" s="28">
        <v>3.9E-2</v>
      </c>
      <c r="BB11" s="28">
        <v>0.14862</v>
      </c>
      <c r="BC11" s="28">
        <v>0.98764333333333298</v>
      </c>
      <c r="BD11" s="28">
        <v>6.1714999999999999E-2</v>
      </c>
      <c r="BE11" s="28">
        <v>0.20194599999999999</v>
      </c>
      <c r="BF11" s="28">
        <v>0.13387333333333301</v>
      </c>
      <c r="BG11" s="28">
        <v>0.16868666666666701</v>
      </c>
      <c r="BH11" s="28">
        <v>0.05</v>
      </c>
      <c r="BI11" s="28">
        <v>7.7701999999999993E-2</v>
      </c>
      <c r="BJ11" s="28">
        <v>4.2999999999999997E-2</v>
      </c>
      <c r="BK11" s="28">
        <v>5.9959999999999999E-2</v>
      </c>
      <c r="BL11" s="28">
        <v>0.234669666666667</v>
      </c>
      <c r="BM11" s="28">
        <v>5.6000000000000001E-2</v>
      </c>
      <c r="BN11" s="28">
        <v>0.114505</v>
      </c>
      <c r="BO11" s="28">
        <v>0.14737066666666701</v>
      </c>
      <c r="BP11" s="28">
        <v>0.05</v>
      </c>
      <c r="BQ11" s="28">
        <v>3.6999999999999998E-2</v>
      </c>
      <c r="BR11" s="28">
        <v>0.13972999999999999</v>
      </c>
      <c r="BS11" s="28">
        <v>0.28660266666666701</v>
      </c>
      <c r="BT11" s="28">
        <v>0.26871066666666699</v>
      </c>
      <c r="BU11" s="28">
        <v>0.16771533333333299</v>
      </c>
      <c r="BV11" s="28">
        <v>4.8000000000000001E-2</v>
      </c>
      <c r="BW11" s="28">
        <v>0.274401333333333</v>
      </c>
      <c r="BX11" s="28">
        <v>7.5880000000000003E-2</v>
      </c>
      <c r="BY11" s="28">
        <v>5.5E-2</v>
      </c>
      <c r="BZ11" s="28">
        <v>4.2999999999999997E-2</v>
      </c>
      <c r="CA11" s="28">
        <v>5.7000000000000002E-2</v>
      </c>
      <c r="CB11" s="28">
        <v>0.28173300000000001</v>
      </c>
      <c r="CC11" s="28">
        <v>0.15907199999999999</v>
      </c>
      <c r="CD11" s="28">
        <v>0.13723133333333301</v>
      </c>
      <c r="CE11" s="28">
        <v>4.5999999999999999E-2</v>
      </c>
      <c r="CF11" s="28">
        <v>6.4524333333333295E-2</v>
      </c>
      <c r="CG11" s="28">
        <v>4.1000000000000002E-2</v>
      </c>
      <c r="CH11" s="28">
        <v>7.3053333333333303E-2</v>
      </c>
      <c r="CI11" s="28">
        <v>5.0999999999999997E-2</v>
      </c>
      <c r="CJ11" s="28">
        <v>4.9000000000000002E-2</v>
      </c>
      <c r="CK11" s="28">
        <v>4.9000000000000002E-2</v>
      </c>
      <c r="CL11" s="28">
        <v>0.05</v>
      </c>
      <c r="CM11" s="28">
        <v>0.100274</v>
      </c>
      <c r="CN11" s="28">
        <v>6.1420000000000002E-2</v>
      </c>
      <c r="CO11" s="28">
        <v>0.105829333333333</v>
      </c>
      <c r="CP11" s="28">
        <v>0.10996</v>
      </c>
      <c r="CQ11" s="28">
        <v>5.8000000000000003E-2</v>
      </c>
      <c r="CR11" s="28">
        <v>0.12381866666666699</v>
      </c>
      <c r="CS11" s="28">
        <v>0.127490666666667</v>
      </c>
      <c r="CT11" s="28">
        <v>0.135662</v>
      </c>
      <c r="CU11" s="28">
        <v>0.163242</v>
      </c>
      <c r="CV11" s="28">
        <v>5.3999999999999999E-2</v>
      </c>
      <c r="CW11" s="28">
        <v>0.04</v>
      </c>
      <c r="CX11" s="28">
        <v>0.306724</v>
      </c>
      <c r="CY11" s="28">
        <v>8.1090999999999996E-2</v>
      </c>
      <c r="CZ11" s="28">
        <v>5.1999999999999998E-2</v>
      </c>
      <c r="DA11" s="28">
        <v>5.7000000000000002E-2</v>
      </c>
      <c r="DB11" s="28">
        <v>0.16100066666666701</v>
      </c>
      <c r="DC11" s="28">
        <v>0.201838666666667</v>
      </c>
      <c r="DD11" s="28">
        <v>4.2000000000000003E-2</v>
      </c>
      <c r="DE11" s="28">
        <v>5.6000000000000001E-2</v>
      </c>
      <c r="DF11" s="28">
        <v>0.15896666666666701</v>
      </c>
      <c r="DG11" s="28">
        <v>0.14702833333333301</v>
      </c>
      <c r="DH11" s="28">
        <v>6.5829333333333406E-2</v>
      </c>
      <c r="DI11" s="28">
        <v>0.24469866666666701</v>
      </c>
      <c r="DJ11" s="28">
        <v>0.27311400000000002</v>
      </c>
      <c r="DK11" s="28">
        <v>0.10901066666666701</v>
      </c>
      <c r="DL11" s="28">
        <v>0.06</v>
      </c>
      <c r="DM11" s="28">
        <v>0.210693666666667</v>
      </c>
      <c r="DN11" s="28">
        <v>8.0766000000000004E-2</v>
      </c>
      <c r="DO11" s="28">
        <v>5.9484000000000002E-2</v>
      </c>
      <c r="DP11" s="28">
        <v>0.114166</v>
      </c>
      <c r="DQ11" s="28">
        <v>4.7E-2</v>
      </c>
      <c r="DR11" s="28">
        <v>4.8000000000000001E-2</v>
      </c>
      <c r="DS11" s="28">
        <v>3.6009333333333303E-2</v>
      </c>
      <c r="DT11" s="28">
        <v>0.13586400000000001</v>
      </c>
      <c r="DU11" s="28">
        <v>5.5E-2</v>
      </c>
      <c r="DV11" s="28">
        <v>0.22947300000000001</v>
      </c>
      <c r="DW11" s="28">
        <v>0.1164153198924731</v>
      </c>
      <c r="DX11" s="34">
        <v>14.43549966666666</v>
      </c>
    </row>
    <row r="12" spans="1:128" x14ac:dyDescent="0.25">
      <c r="A12" s="24">
        <v>11</v>
      </c>
      <c r="B12" s="26">
        <v>5</v>
      </c>
      <c r="C12" s="28">
        <v>4.2999999999999997E-2</v>
      </c>
      <c r="D12" s="28">
        <v>4.9000000000000002E-2</v>
      </c>
      <c r="E12" s="28">
        <v>5.0999999999999997E-2</v>
      </c>
      <c r="F12" s="28">
        <v>5.8999999999999997E-2</v>
      </c>
      <c r="G12" s="28">
        <v>4.7E-2</v>
      </c>
      <c r="H12" s="28">
        <v>5.80983333333333E-2</v>
      </c>
      <c r="I12" s="28">
        <v>0.17482300000000001</v>
      </c>
      <c r="J12" s="28">
        <v>3.1E-2</v>
      </c>
      <c r="K12" s="28">
        <v>0.32849400000000001</v>
      </c>
      <c r="L12" s="28">
        <v>5.0999999999999997E-2</v>
      </c>
      <c r="M12" s="28">
        <v>0.13030600000000001</v>
      </c>
      <c r="N12" s="28">
        <v>0.215373333333333</v>
      </c>
      <c r="O12" s="28">
        <v>0.220600666666667</v>
      </c>
      <c r="P12" s="28">
        <v>5.7638000000000002E-2</v>
      </c>
      <c r="Q12" s="28">
        <v>0.27052633333333298</v>
      </c>
      <c r="R12" s="28">
        <v>0.15040300000000001</v>
      </c>
      <c r="S12" s="28">
        <v>0.11563</v>
      </c>
      <c r="T12" s="28">
        <v>6.9292000000000006E-2</v>
      </c>
      <c r="U12" s="28">
        <v>0.106504666666667</v>
      </c>
      <c r="V12" s="28">
        <v>0.18754000000000001</v>
      </c>
      <c r="W12" s="28">
        <v>0.28436866666666699</v>
      </c>
      <c r="X12" s="28">
        <v>6.88453333333333E-2</v>
      </c>
      <c r="Y12" s="28">
        <v>0.14353333333333301</v>
      </c>
      <c r="Z12" s="28">
        <v>5.5E-2</v>
      </c>
      <c r="AA12" s="28">
        <v>5.2999999999999999E-2</v>
      </c>
      <c r="AB12" s="28">
        <v>5.3999999999999999E-2</v>
      </c>
      <c r="AC12" s="28">
        <v>0.05</v>
      </c>
      <c r="AD12" s="28">
        <v>0.149163666666667</v>
      </c>
      <c r="AE12" s="28">
        <v>5.5E-2</v>
      </c>
      <c r="AF12" s="28">
        <v>8.8854999999999906E-2</v>
      </c>
      <c r="AG12" s="28">
        <v>6.0999999999999999E-2</v>
      </c>
      <c r="AH12" s="28">
        <v>4.5999999999999999E-2</v>
      </c>
      <c r="AI12" s="28">
        <v>0.19125666666666699</v>
      </c>
      <c r="AJ12" s="28">
        <v>0.17548</v>
      </c>
      <c r="AK12" s="28">
        <v>6.28673333333334E-2</v>
      </c>
      <c r="AL12" s="28">
        <v>4.4999999999999998E-2</v>
      </c>
      <c r="AM12" s="28">
        <v>0.20855399999999999</v>
      </c>
      <c r="AN12" s="28">
        <v>9.2053999999999997E-2</v>
      </c>
      <c r="AO12" s="28">
        <v>0.160787333333333</v>
      </c>
      <c r="AP12" s="28">
        <v>0.29405033333333302</v>
      </c>
      <c r="AQ12" s="28">
        <v>0.12881000000000001</v>
      </c>
      <c r="AR12" s="28">
        <v>5.5E-2</v>
      </c>
      <c r="AS12" s="28">
        <v>5.8000000000000003E-2</v>
      </c>
      <c r="AT12" s="28">
        <v>0.04</v>
      </c>
      <c r="AU12" s="28">
        <v>6.5573999999999993E-2</v>
      </c>
      <c r="AV12" s="28">
        <v>0.122236</v>
      </c>
      <c r="AW12" s="28">
        <v>0.06</v>
      </c>
      <c r="AX12" s="28">
        <v>0.165922666666667</v>
      </c>
      <c r="AY12" s="28">
        <v>0.14577333333333301</v>
      </c>
      <c r="AZ12" s="28">
        <v>5.1999999999999998E-2</v>
      </c>
      <c r="BA12" s="28">
        <v>3.9E-2</v>
      </c>
      <c r="BB12" s="28">
        <v>0.13771800000000001</v>
      </c>
      <c r="BC12" s="28">
        <v>0.24377333333333301</v>
      </c>
      <c r="BD12" s="28">
        <v>0.127991666666667</v>
      </c>
      <c r="BE12" s="28">
        <v>0.11791</v>
      </c>
      <c r="BF12" s="28">
        <v>5.7000000000000002E-2</v>
      </c>
      <c r="BG12" s="28">
        <v>0.14386399999999999</v>
      </c>
      <c r="BH12" s="28">
        <v>0.05</v>
      </c>
      <c r="BI12" s="28">
        <v>0.17191400000000001</v>
      </c>
      <c r="BJ12" s="28">
        <v>0.117562</v>
      </c>
      <c r="BK12" s="28">
        <v>9.3898333333333306E-2</v>
      </c>
      <c r="BL12" s="28">
        <v>5.0999999999999997E-2</v>
      </c>
      <c r="BM12" s="28">
        <v>0.332830666666667</v>
      </c>
      <c r="BN12" s="28">
        <v>0.19751666666666701</v>
      </c>
      <c r="BO12" s="28">
        <v>6.1733333333333397E-2</v>
      </c>
      <c r="BP12" s="28">
        <v>0.05</v>
      </c>
      <c r="BQ12" s="28">
        <v>4.4739333333333298E-2</v>
      </c>
      <c r="BR12" s="28">
        <v>5.2999999999999999E-2</v>
      </c>
      <c r="BS12" s="28">
        <v>0.24864466666666701</v>
      </c>
      <c r="BT12" s="28">
        <v>5.2999999999999999E-2</v>
      </c>
      <c r="BU12" s="28">
        <v>5.6000000000000001E-2</v>
      </c>
      <c r="BV12" s="28">
        <v>4.8000000000000001E-2</v>
      </c>
      <c r="BW12" s="28">
        <v>0.131723333333333</v>
      </c>
      <c r="BX12" s="28">
        <v>0.10076</v>
      </c>
      <c r="BY12" s="28">
        <v>0.176703</v>
      </c>
      <c r="BZ12" s="28">
        <v>0.134884</v>
      </c>
      <c r="CA12" s="28">
        <v>5.7000000000000002E-2</v>
      </c>
      <c r="CB12" s="28">
        <v>4.2999999999999997E-2</v>
      </c>
      <c r="CC12" s="28">
        <v>9.6788333333333407E-2</v>
      </c>
      <c r="CD12" s="28">
        <v>0.22186600000000001</v>
      </c>
      <c r="CE12" s="28">
        <v>4.5999999999999999E-2</v>
      </c>
      <c r="CF12" s="28">
        <v>0.170599</v>
      </c>
      <c r="CG12" s="28">
        <v>4.1000000000000002E-2</v>
      </c>
      <c r="CH12" s="28">
        <v>0.16424</v>
      </c>
      <c r="CI12" s="28">
        <v>0.29369400000000001</v>
      </c>
      <c r="CJ12" s="28">
        <v>0.14553333333333299</v>
      </c>
      <c r="CK12" s="28">
        <v>0.174155333333333</v>
      </c>
      <c r="CL12" s="28">
        <v>0.05</v>
      </c>
      <c r="CM12" s="28">
        <v>0.27788333333333298</v>
      </c>
      <c r="CN12" s="28">
        <v>4.1000000000000002E-2</v>
      </c>
      <c r="CO12" s="28">
        <v>0.204034666666667</v>
      </c>
      <c r="CP12" s="28">
        <v>4.9000000000000002E-2</v>
      </c>
      <c r="CQ12" s="28">
        <v>0.21669333333333299</v>
      </c>
      <c r="CR12" s="28">
        <v>9.8336000000000007E-2</v>
      </c>
      <c r="CS12" s="28">
        <v>5.7000000000000002E-2</v>
      </c>
      <c r="CT12" s="28">
        <v>4.7E-2</v>
      </c>
      <c r="CU12" s="28">
        <v>0.220716</v>
      </c>
      <c r="CV12" s="28">
        <v>5.3999999999999999E-2</v>
      </c>
      <c r="CW12" s="28">
        <v>0.04</v>
      </c>
      <c r="CX12" s="28">
        <v>5.8000000000000003E-2</v>
      </c>
      <c r="CY12" s="28">
        <v>6.3966999999999996E-2</v>
      </c>
      <c r="CZ12" s="28">
        <v>5.1999999999999998E-2</v>
      </c>
      <c r="DA12" s="28">
        <v>5.7000000000000002E-2</v>
      </c>
      <c r="DB12" s="28">
        <v>3.9E-2</v>
      </c>
      <c r="DC12" s="28">
        <v>0.23278966666666701</v>
      </c>
      <c r="DD12" s="28">
        <v>0.11092933333333301</v>
      </c>
      <c r="DE12" s="28">
        <v>5.6000000000000001E-2</v>
      </c>
      <c r="DF12" s="28">
        <v>0.14847566666666701</v>
      </c>
      <c r="DG12" s="28">
        <v>0.11963500000000001</v>
      </c>
      <c r="DH12" s="28">
        <v>0.10540266666666701</v>
      </c>
      <c r="DI12" s="28">
        <v>0.15486866666666699</v>
      </c>
      <c r="DJ12" s="28">
        <v>0.120348</v>
      </c>
      <c r="DK12" s="28">
        <v>5.3999999999999999E-2</v>
      </c>
      <c r="DL12" s="28">
        <v>0.06</v>
      </c>
      <c r="DM12" s="28">
        <v>0.112722</v>
      </c>
      <c r="DN12" s="28">
        <v>0.15870933333333301</v>
      </c>
      <c r="DO12" s="28">
        <v>0.16036600000000001</v>
      </c>
      <c r="DP12" s="28">
        <v>7.5236666666666702E-2</v>
      </c>
      <c r="DQ12" s="28">
        <v>4.7E-2</v>
      </c>
      <c r="DR12" s="28">
        <v>0.199932</v>
      </c>
      <c r="DS12" s="28">
        <v>8.5074666666666701E-2</v>
      </c>
      <c r="DT12" s="28">
        <v>5.1999999999999998E-2</v>
      </c>
      <c r="DU12" s="28">
        <v>0.117443333333333</v>
      </c>
      <c r="DV12" s="28">
        <v>0.14570733333333299</v>
      </c>
      <c r="DW12" s="28">
        <v>0.11359414516129029</v>
      </c>
      <c r="DX12" s="34">
        <v>14.085673999999999</v>
      </c>
    </row>
    <row r="13" spans="1:128" x14ac:dyDescent="0.25">
      <c r="A13" s="24">
        <v>12</v>
      </c>
      <c r="B13" s="26">
        <v>5.5</v>
      </c>
      <c r="C13" s="28">
        <v>0.18032000000000001</v>
      </c>
      <c r="D13" s="28">
        <v>0.12656200000000001</v>
      </c>
      <c r="E13" s="28">
        <v>5.0999999999999997E-2</v>
      </c>
      <c r="F13" s="28">
        <v>5.8999999999999997E-2</v>
      </c>
      <c r="G13" s="28">
        <v>9.2069499999999999E-2</v>
      </c>
      <c r="H13" s="28">
        <v>0.20006499999999999</v>
      </c>
      <c r="I13" s="28">
        <v>5.2999999999999999E-2</v>
      </c>
      <c r="J13" s="28">
        <v>0.16764933333333301</v>
      </c>
      <c r="K13" s="28">
        <v>5.3999999999999999E-2</v>
      </c>
      <c r="L13" s="28">
        <v>5.0999999999999997E-2</v>
      </c>
      <c r="M13" s="28">
        <v>8.3274000000000001E-2</v>
      </c>
      <c r="N13" s="28">
        <v>4.7E-2</v>
      </c>
      <c r="O13" s="28">
        <v>5.1999999999999998E-2</v>
      </c>
      <c r="P13" s="28">
        <v>4.4999999999999998E-2</v>
      </c>
      <c r="Q13" s="28">
        <v>6.2048666666666703E-2</v>
      </c>
      <c r="R13" s="28">
        <v>0.1192545</v>
      </c>
      <c r="S13" s="28">
        <v>6.6325999999999996E-2</v>
      </c>
      <c r="T13" s="28">
        <v>0.282088333333333</v>
      </c>
      <c r="U13" s="28">
        <v>0.16650999999999999</v>
      </c>
      <c r="V13" s="28">
        <v>7.1854000000000001E-2</v>
      </c>
      <c r="W13" s="28">
        <v>4.8000000000000001E-2</v>
      </c>
      <c r="X13" s="28">
        <v>5.7000000000000002E-2</v>
      </c>
      <c r="Y13" s="28">
        <v>3.1E-2</v>
      </c>
      <c r="Z13" s="28">
        <v>0.14186799999999999</v>
      </c>
      <c r="AA13" s="28">
        <v>0.143736</v>
      </c>
      <c r="AB13" s="28">
        <v>0.260394666666667</v>
      </c>
      <c r="AC13" s="28">
        <v>0.23871200000000001</v>
      </c>
      <c r="AD13" s="28">
        <v>0.15698366666666699</v>
      </c>
      <c r="AE13" s="28">
        <v>5.5E-2</v>
      </c>
      <c r="AF13" s="28">
        <v>0.12770999999999999</v>
      </c>
      <c r="AG13" s="28">
        <v>6.0999999999999999E-2</v>
      </c>
      <c r="AH13" s="28">
        <v>4.5999999999999999E-2</v>
      </c>
      <c r="AI13" s="28">
        <v>0.14810066666666699</v>
      </c>
      <c r="AJ13" s="28">
        <v>9.76800000000001E-2</v>
      </c>
      <c r="AK13" s="28">
        <v>4.8000000000000001E-2</v>
      </c>
      <c r="AL13" s="28">
        <v>0.21151066666666701</v>
      </c>
      <c r="AM13" s="28">
        <v>9.6280000000000004E-2</v>
      </c>
      <c r="AN13" s="28">
        <v>0.16714399999999999</v>
      </c>
      <c r="AO13" s="28">
        <v>0.124144333333333</v>
      </c>
      <c r="AP13" s="28">
        <v>4.5999999999999999E-2</v>
      </c>
      <c r="AQ13" s="28">
        <v>5.2999999999999999E-2</v>
      </c>
      <c r="AR13" s="28">
        <v>9.7111000000000003E-2</v>
      </c>
      <c r="AS13" s="28">
        <v>5.8000000000000003E-2</v>
      </c>
      <c r="AT13" s="28">
        <v>0.23349666666666699</v>
      </c>
      <c r="AU13" s="28">
        <v>0.138252666666667</v>
      </c>
      <c r="AV13" s="28">
        <v>0.21875333333333299</v>
      </c>
      <c r="AW13" s="28">
        <v>0.06</v>
      </c>
      <c r="AX13" s="28">
        <v>5.8999999999999997E-2</v>
      </c>
      <c r="AY13" s="28">
        <v>4.8000000000000001E-2</v>
      </c>
      <c r="AZ13" s="28">
        <v>5.1999999999999998E-2</v>
      </c>
      <c r="BA13" s="28">
        <v>3.9E-2</v>
      </c>
      <c r="BB13" s="28">
        <v>6.3479999999999995E-2</v>
      </c>
      <c r="BC13" s="28">
        <v>0.03</v>
      </c>
      <c r="BD13" s="28">
        <v>0.30203633333333302</v>
      </c>
      <c r="BE13" s="28">
        <v>0.14003599999999999</v>
      </c>
      <c r="BF13" s="28">
        <v>0.17230999999999999</v>
      </c>
      <c r="BG13" s="28">
        <v>5.2192000000000002E-2</v>
      </c>
      <c r="BH13" s="28">
        <v>0.20795266666666701</v>
      </c>
      <c r="BI13" s="28">
        <v>0.124808</v>
      </c>
      <c r="BJ13" s="28">
        <v>4.2999999999999997E-2</v>
      </c>
      <c r="BK13" s="28">
        <v>0.26941300000000001</v>
      </c>
      <c r="BL13" s="28">
        <v>0.112564</v>
      </c>
      <c r="BM13" s="28">
        <v>5.6000000000000001E-2</v>
      </c>
      <c r="BN13" s="28">
        <v>5.5E-2</v>
      </c>
      <c r="BO13" s="28">
        <v>0.23486399999999999</v>
      </c>
      <c r="BP13" s="28">
        <v>0.05</v>
      </c>
      <c r="BQ13" s="28">
        <v>0.19952600000000001</v>
      </c>
      <c r="BR13" s="28">
        <v>0.185168</v>
      </c>
      <c r="BS13" s="28">
        <v>5.8999999999999997E-2</v>
      </c>
      <c r="BT13" s="28">
        <v>0.22558266666666699</v>
      </c>
      <c r="BU13" s="28">
        <v>5.6000000000000001E-2</v>
      </c>
      <c r="BV13" s="28">
        <v>4.8000000000000001E-2</v>
      </c>
      <c r="BW13" s="28">
        <v>0.05</v>
      </c>
      <c r="BX13" s="28">
        <v>5.0999999999999997E-2</v>
      </c>
      <c r="BY13" s="28">
        <v>9.0795000000000001E-2</v>
      </c>
      <c r="BZ13" s="28">
        <v>0.11957</v>
      </c>
      <c r="CA13" s="28">
        <v>5.7000000000000002E-2</v>
      </c>
      <c r="CB13" s="28">
        <v>0.24443200000000001</v>
      </c>
      <c r="CC13" s="28">
        <v>0.222797666666667</v>
      </c>
      <c r="CD13" s="28">
        <v>5.2999999999999999E-2</v>
      </c>
      <c r="CE13" s="28">
        <v>4.5999999999999999E-2</v>
      </c>
      <c r="CF13" s="28">
        <v>0.146071333333333</v>
      </c>
      <c r="CG13" s="28">
        <v>5.4396666666666697E-2</v>
      </c>
      <c r="CH13" s="28">
        <v>4.7E-2</v>
      </c>
      <c r="CI13" s="28">
        <v>5.0999999999999997E-2</v>
      </c>
      <c r="CJ13" s="28">
        <v>8.5199999999999998E-2</v>
      </c>
      <c r="CK13" s="28">
        <v>0.137937333333333</v>
      </c>
      <c r="CL13" s="28">
        <v>0.05</v>
      </c>
      <c r="CM13" s="28">
        <v>5.7181999999999997E-2</v>
      </c>
      <c r="CN13" s="28">
        <v>4.1000000000000002E-2</v>
      </c>
      <c r="CO13" s="28">
        <v>0.14620133333333299</v>
      </c>
      <c r="CP13" s="28">
        <v>4.9000000000000002E-2</v>
      </c>
      <c r="CQ13" s="28">
        <v>5.8000000000000003E-2</v>
      </c>
      <c r="CR13" s="28">
        <v>9.2737466666666699E-2</v>
      </c>
      <c r="CS13" s="28">
        <v>5.7000000000000002E-2</v>
      </c>
      <c r="CT13" s="28">
        <v>4.7E-2</v>
      </c>
      <c r="CU13" s="28">
        <v>0.18871199999999999</v>
      </c>
      <c r="CV13" s="28">
        <v>5.3999999999999999E-2</v>
      </c>
      <c r="CW13" s="28">
        <v>0.04</v>
      </c>
      <c r="CX13" s="28">
        <v>0.27711333333333299</v>
      </c>
      <c r="CY13" s="28">
        <v>3.4000000000000002E-2</v>
      </c>
      <c r="CZ13" s="28">
        <v>5.1999999999999998E-2</v>
      </c>
      <c r="DA13" s="28">
        <v>5.7000000000000002E-2</v>
      </c>
      <c r="DB13" s="28">
        <v>0.11742900000000001</v>
      </c>
      <c r="DC13" s="28">
        <v>0.123638333333333</v>
      </c>
      <c r="DD13" s="28">
        <v>4.6054666666666702E-2</v>
      </c>
      <c r="DE13" s="28">
        <v>0.26771266666666699</v>
      </c>
      <c r="DF13" s="28">
        <v>0.235826333333333</v>
      </c>
      <c r="DG13" s="28">
        <v>5.8000000000000003E-2</v>
      </c>
      <c r="DH13" s="28">
        <v>0.05</v>
      </c>
      <c r="DI13" s="28">
        <v>0.218207333333333</v>
      </c>
      <c r="DJ13" s="28">
        <v>5.7000000000000002E-2</v>
      </c>
      <c r="DK13" s="28">
        <v>0.16402133333333299</v>
      </c>
      <c r="DL13" s="28">
        <v>0.06</v>
      </c>
      <c r="DM13" s="28">
        <v>0.13337333333333301</v>
      </c>
      <c r="DN13" s="28">
        <v>3.4000000000000002E-2</v>
      </c>
      <c r="DO13" s="28">
        <v>0.18485733333333301</v>
      </c>
      <c r="DP13" s="28">
        <v>0.246371333333333</v>
      </c>
      <c r="DQ13" s="28">
        <v>0.13653799999999999</v>
      </c>
      <c r="DR13" s="28">
        <v>4.8000000000000001E-2</v>
      </c>
      <c r="DS13" s="28">
        <v>0.127130666666667</v>
      </c>
      <c r="DT13" s="28">
        <v>5.1999999999999998E-2</v>
      </c>
      <c r="DU13" s="28">
        <v>0.117443333333333</v>
      </c>
      <c r="DV13" s="28">
        <v>0.174213333333333</v>
      </c>
      <c r="DW13" s="28">
        <v>0.1087806032258065</v>
      </c>
      <c r="DX13" s="34">
        <v>13.488794800000001</v>
      </c>
    </row>
    <row r="14" spans="1:128" x14ac:dyDescent="0.25">
      <c r="A14" s="24">
        <v>13</v>
      </c>
      <c r="B14" s="26">
        <v>6</v>
      </c>
      <c r="C14" s="28">
        <v>4.2999999999999997E-2</v>
      </c>
      <c r="D14" s="28">
        <v>0.16103400000000001</v>
      </c>
      <c r="E14" s="28">
        <v>5.0999999999999997E-2</v>
      </c>
      <c r="F14" s="28">
        <v>5.8999999999999997E-2</v>
      </c>
      <c r="G14" s="28">
        <v>6.9773333333333298E-2</v>
      </c>
      <c r="H14" s="28">
        <v>8.7292666666666699E-2</v>
      </c>
      <c r="I14" s="28">
        <v>5.2999999999999999E-2</v>
      </c>
      <c r="J14" s="28">
        <v>5.4883000000000001E-2</v>
      </c>
      <c r="K14" s="28">
        <v>9.7530666666666696E-2</v>
      </c>
      <c r="L14" s="28">
        <v>0.17800666666666701</v>
      </c>
      <c r="M14" s="28">
        <v>4.8000000000000001E-2</v>
      </c>
      <c r="N14" s="28">
        <v>4.7E-2</v>
      </c>
      <c r="O14" s="28">
        <v>0.27195266666666701</v>
      </c>
      <c r="P14" s="28">
        <v>0.39591300000000001</v>
      </c>
      <c r="Q14" s="28">
        <v>6.6231999999999999E-2</v>
      </c>
      <c r="R14" s="28">
        <v>1.4831206666666701</v>
      </c>
      <c r="S14" s="28">
        <v>7.0434666666666701E-2</v>
      </c>
      <c r="T14" s="28">
        <v>0.12185</v>
      </c>
      <c r="U14" s="28">
        <v>5.3999999999999999E-2</v>
      </c>
      <c r="V14" s="28">
        <v>5.8999999999999997E-2</v>
      </c>
      <c r="W14" s="28">
        <v>6.4325999999999994E-2</v>
      </c>
      <c r="X14" s="28">
        <v>9.8458666666666694E-2</v>
      </c>
      <c r="Y14" s="28">
        <v>0.14353333333333301</v>
      </c>
      <c r="Z14" s="28">
        <v>0.12739</v>
      </c>
      <c r="AA14" s="28">
        <v>7.5684000000000001E-2</v>
      </c>
      <c r="AB14" s="28">
        <v>0.20281533333333299</v>
      </c>
      <c r="AC14" s="28">
        <v>7.47293333333333E-2</v>
      </c>
      <c r="AD14" s="28">
        <v>0.33366000000000001</v>
      </c>
      <c r="AE14" s="28">
        <v>0.13524359999999999</v>
      </c>
      <c r="AF14" s="28">
        <v>0.14325199999999999</v>
      </c>
      <c r="AG14" s="28">
        <v>0.22489266666666699</v>
      </c>
      <c r="AH14" s="28">
        <v>4.5999999999999999E-2</v>
      </c>
      <c r="AI14" s="28">
        <v>0.27730199999999999</v>
      </c>
      <c r="AJ14" s="28">
        <v>5.0999999999999997E-2</v>
      </c>
      <c r="AK14" s="28">
        <v>5.62553333333334E-2</v>
      </c>
      <c r="AL14" s="28">
        <v>4.4999999999999998E-2</v>
      </c>
      <c r="AM14" s="28">
        <v>0.234225666666667</v>
      </c>
      <c r="AN14" s="28">
        <v>4.7E-2</v>
      </c>
      <c r="AO14" s="28">
        <v>0.22334999999999999</v>
      </c>
      <c r="AP14" s="28">
        <v>4.5999999999999999E-2</v>
      </c>
      <c r="AQ14" s="28">
        <v>0.12881000000000001</v>
      </c>
      <c r="AR14" s="28">
        <v>0.19536999999999999</v>
      </c>
      <c r="AS14" s="28">
        <v>0.141568</v>
      </c>
      <c r="AT14" s="28">
        <v>0.04</v>
      </c>
      <c r="AU14" s="28">
        <v>0.05</v>
      </c>
      <c r="AV14" s="28">
        <v>0.122236</v>
      </c>
      <c r="AW14" s="28">
        <v>0.06</v>
      </c>
      <c r="AX14" s="28">
        <v>0.165922666666667</v>
      </c>
      <c r="AY14" s="28">
        <v>4.8000000000000001E-2</v>
      </c>
      <c r="AZ14" s="28">
        <v>5.1999999999999998E-2</v>
      </c>
      <c r="BA14" s="28">
        <v>3.9E-2</v>
      </c>
      <c r="BB14" s="28">
        <v>0.215645</v>
      </c>
      <c r="BC14" s="28">
        <v>0.03</v>
      </c>
      <c r="BD14" s="28">
        <v>4.1000000000000002E-2</v>
      </c>
      <c r="BE14" s="28">
        <v>5.6000000000000001E-2</v>
      </c>
      <c r="BF14" s="28">
        <v>0.14983233333333301</v>
      </c>
      <c r="BG14" s="28">
        <v>0.201426666666667</v>
      </c>
      <c r="BH14" s="28">
        <v>0.05</v>
      </c>
      <c r="BI14" s="28">
        <v>6.2E-2</v>
      </c>
      <c r="BJ14" s="28">
        <v>9.2707999999999999E-2</v>
      </c>
      <c r="BK14" s="28">
        <v>4.8000000000000001E-2</v>
      </c>
      <c r="BL14" s="28">
        <v>0.20732866666666699</v>
      </c>
      <c r="BM14" s="28">
        <v>0.29436933333333298</v>
      </c>
      <c r="BN14" s="28">
        <v>0.243798666666667</v>
      </c>
      <c r="BO14" s="28">
        <v>6.51013333333334E-2</v>
      </c>
      <c r="BP14" s="28">
        <v>0.05</v>
      </c>
      <c r="BQ14" s="28">
        <v>3.6999999999999998E-2</v>
      </c>
      <c r="BR14" s="28">
        <v>0.17416799999999999</v>
      </c>
      <c r="BS14" s="28">
        <v>0.47624266666666698</v>
      </c>
      <c r="BT14" s="28">
        <v>0.104223333333333</v>
      </c>
      <c r="BU14" s="28">
        <v>0.16771533333333299</v>
      </c>
      <c r="BV14" s="28">
        <v>4.8000000000000001E-2</v>
      </c>
      <c r="BW14" s="28">
        <v>0.139895666666667</v>
      </c>
      <c r="BX14" s="28">
        <v>5.0999999999999997E-2</v>
      </c>
      <c r="BY14" s="28">
        <v>5.5E-2</v>
      </c>
      <c r="BZ14" s="28">
        <v>5.0657000000000001E-2</v>
      </c>
      <c r="CA14" s="28">
        <v>5.7000000000000002E-2</v>
      </c>
      <c r="CB14" s="28">
        <v>0.104446</v>
      </c>
      <c r="CC14" s="28">
        <v>7.6429999999999998E-2</v>
      </c>
      <c r="CD14" s="28">
        <v>5.2999999999999999E-2</v>
      </c>
      <c r="CE14" s="28">
        <v>4.5999999999999999E-2</v>
      </c>
      <c r="CF14" s="28">
        <v>0.19048799999999999</v>
      </c>
      <c r="CG14" s="28">
        <v>0.12138</v>
      </c>
      <c r="CH14" s="28">
        <v>0.18378</v>
      </c>
      <c r="CI14" s="28">
        <v>0.17099500000000001</v>
      </c>
      <c r="CJ14" s="28">
        <v>4.9000000000000002E-2</v>
      </c>
      <c r="CK14" s="28">
        <v>0.123334</v>
      </c>
      <c r="CL14" s="28">
        <v>0.05</v>
      </c>
      <c r="CM14" s="28">
        <v>0.200822</v>
      </c>
      <c r="CN14" s="28">
        <v>0.14990666666666699</v>
      </c>
      <c r="CO14" s="28">
        <v>5.1999999999999998E-2</v>
      </c>
      <c r="CP14" s="28">
        <v>5.9181999999999998E-2</v>
      </c>
      <c r="CQ14" s="28">
        <v>0.195053333333333</v>
      </c>
      <c r="CR14" s="28">
        <v>0.16723816666666699</v>
      </c>
      <c r="CS14" s="28">
        <v>0.101056666666667</v>
      </c>
      <c r="CT14" s="28">
        <v>0.17366000000000001</v>
      </c>
      <c r="CU14" s="28">
        <v>0.11597399999999999</v>
      </c>
      <c r="CV14" s="28">
        <v>0.18836</v>
      </c>
      <c r="CW14" s="28">
        <v>0.167296</v>
      </c>
      <c r="CX14" s="28">
        <v>6.5256666666666699E-2</v>
      </c>
      <c r="CY14" s="28">
        <v>3.4000000000000002E-2</v>
      </c>
      <c r="CZ14" s="28">
        <v>6.4237000000000002E-2</v>
      </c>
      <c r="DA14" s="28">
        <v>5.7000000000000002E-2</v>
      </c>
      <c r="DB14" s="28">
        <v>8.2571666666666696E-2</v>
      </c>
      <c r="DC14" s="28">
        <v>0.15267800000000001</v>
      </c>
      <c r="DD14" s="28">
        <v>4.2000000000000003E-2</v>
      </c>
      <c r="DE14" s="28">
        <v>7.0264666666666697E-2</v>
      </c>
      <c r="DF14" s="28">
        <v>5.8000000000000003E-2</v>
      </c>
      <c r="DG14" s="28">
        <v>0.13333166666666699</v>
      </c>
      <c r="DH14" s="28">
        <v>0.12123200000000001</v>
      </c>
      <c r="DI14" s="28">
        <v>0.110568</v>
      </c>
      <c r="DJ14" s="28">
        <v>0.21372933333333299</v>
      </c>
      <c r="DK14" s="28">
        <v>5.3999999999999999E-2</v>
      </c>
      <c r="DL14" s="28">
        <v>0.06</v>
      </c>
      <c r="DM14" s="28">
        <v>0.154678333333333</v>
      </c>
      <c r="DN14" s="28">
        <v>3.4000000000000002E-2</v>
      </c>
      <c r="DO14" s="28">
        <v>3.7999999999999999E-2</v>
      </c>
      <c r="DP14" s="28">
        <v>8.5834666666666698E-2</v>
      </c>
      <c r="DQ14" s="28">
        <v>0.16087199999999999</v>
      </c>
      <c r="DR14" s="28">
        <v>0.16540199999999999</v>
      </c>
      <c r="DS14" s="28">
        <v>2.9000000000000001E-2</v>
      </c>
      <c r="DT14" s="28">
        <v>0.205750666666667</v>
      </c>
      <c r="DU14" s="28">
        <v>5.5E-2</v>
      </c>
      <c r="DV14" s="28">
        <v>0.111169</v>
      </c>
      <c r="DW14" s="28">
        <v>0.1244446567204302</v>
      </c>
      <c r="DX14" s="34">
        <v>15.43113743333334</v>
      </c>
    </row>
    <row r="15" spans="1:128" x14ac:dyDescent="0.25">
      <c r="A15" s="24">
        <v>14</v>
      </c>
      <c r="B15" s="26">
        <v>6.5</v>
      </c>
      <c r="C15" s="28">
        <v>4.2999999999999997E-2</v>
      </c>
      <c r="D15" s="28">
        <v>4.9000000000000002E-2</v>
      </c>
      <c r="E15" s="28">
        <v>5.0999999999999997E-2</v>
      </c>
      <c r="F15" s="28">
        <v>5.8999999999999997E-2</v>
      </c>
      <c r="G15" s="28">
        <v>4.7E-2</v>
      </c>
      <c r="H15" s="28">
        <v>0.25326833333333398</v>
      </c>
      <c r="I15" s="28">
        <v>0.21235999999999999</v>
      </c>
      <c r="J15" s="28">
        <v>0.46857066666666702</v>
      </c>
      <c r="K15" s="28">
        <v>0.28496333333333301</v>
      </c>
      <c r="L15" s="28">
        <v>5.0999999999999997E-2</v>
      </c>
      <c r="M15" s="28">
        <v>0.16558</v>
      </c>
      <c r="N15" s="28">
        <v>6.2575400000000003E-2</v>
      </c>
      <c r="O15" s="28">
        <v>7.7675999999999995E-2</v>
      </c>
      <c r="P15" s="28">
        <v>0.203888666666667</v>
      </c>
      <c r="Q15" s="28">
        <v>0.21717700000000001</v>
      </c>
      <c r="R15" s="28">
        <v>0.42362349999999999</v>
      </c>
      <c r="S15" s="28">
        <v>0.203881533333333</v>
      </c>
      <c r="T15" s="28">
        <v>0.152244666666667</v>
      </c>
      <c r="U15" s="28">
        <v>0.21151400000000001</v>
      </c>
      <c r="V15" s="28">
        <v>5.8999999999999997E-2</v>
      </c>
      <c r="W15" s="28">
        <v>0.31503366666666699</v>
      </c>
      <c r="X15" s="28">
        <v>0.13399466666666701</v>
      </c>
      <c r="Y15" s="28">
        <v>3.1E-2</v>
      </c>
      <c r="Z15" s="28">
        <v>6.9477999999999998E-2</v>
      </c>
      <c r="AA15" s="28">
        <v>0.156007333333333</v>
      </c>
      <c r="AB15" s="28">
        <v>0.176462333333333</v>
      </c>
      <c r="AC15" s="28">
        <v>0.116665333333333</v>
      </c>
      <c r="AD15" s="28">
        <v>0.16265333333333301</v>
      </c>
      <c r="AE15" s="28">
        <v>1.19124733333333</v>
      </c>
      <c r="AF15" s="28">
        <v>0.05</v>
      </c>
      <c r="AG15" s="28">
        <v>6.0999999999999999E-2</v>
      </c>
      <c r="AH15" s="28">
        <v>4.5999999999999999E-2</v>
      </c>
      <c r="AI15" s="28">
        <v>4.5864333333333403E-2</v>
      </c>
      <c r="AJ15" s="28">
        <v>0.14435999999999999</v>
      </c>
      <c r="AK15" s="28">
        <v>0.21154066666666699</v>
      </c>
      <c r="AL15" s="28">
        <v>4.4999999999999998E-2</v>
      </c>
      <c r="AM15" s="28">
        <v>8.6034999999999903E-2</v>
      </c>
      <c r="AN15" s="28">
        <v>0.212198</v>
      </c>
      <c r="AO15" s="28">
        <v>0.126892</v>
      </c>
      <c r="AP15" s="28">
        <v>4.5999999999999999E-2</v>
      </c>
      <c r="AQ15" s="28">
        <v>5.2999999999999999E-2</v>
      </c>
      <c r="AR15" s="28">
        <v>0.10378999999999999</v>
      </c>
      <c r="AS15" s="28">
        <v>5.8000000000000003E-2</v>
      </c>
      <c r="AT15" s="28">
        <v>0.28037846666666699</v>
      </c>
      <c r="AU15" s="28">
        <v>0.05</v>
      </c>
      <c r="AV15" s="28">
        <v>0.159206666666667</v>
      </c>
      <c r="AW15" s="28">
        <v>0.06</v>
      </c>
      <c r="AX15" s="28">
        <v>0.17283999999999999</v>
      </c>
      <c r="AY15" s="28">
        <v>0.21691533333333299</v>
      </c>
      <c r="AZ15" s="28">
        <v>0.100676666666667</v>
      </c>
      <c r="BA15" s="28">
        <v>3.9E-2</v>
      </c>
      <c r="BB15" s="28">
        <v>6.2952999999999995E-2</v>
      </c>
      <c r="BC15" s="28">
        <v>0.12858</v>
      </c>
      <c r="BD15" s="28">
        <v>0.33131833333333299</v>
      </c>
      <c r="BE15" s="28">
        <v>0.26385599999999998</v>
      </c>
      <c r="BF15" s="28">
        <v>9.6020999999999995E-2</v>
      </c>
      <c r="BG15" s="28">
        <v>0.13731599999999999</v>
      </c>
      <c r="BH15" s="28">
        <v>0.164874666666667</v>
      </c>
      <c r="BI15" s="28">
        <v>0.23472199999999999</v>
      </c>
      <c r="BJ15" s="28">
        <v>6.7853999999999901E-2</v>
      </c>
      <c r="BK15" s="28">
        <v>0.174109766666667</v>
      </c>
      <c r="BL15" s="28">
        <v>0.117694333333333</v>
      </c>
      <c r="BM15" s="28">
        <v>9.4461333333333397E-2</v>
      </c>
      <c r="BN15" s="28">
        <v>6.8223333333333303E-2</v>
      </c>
      <c r="BO15" s="28">
        <v>0.10551199999999999</v>
      </c>
      <c r="BP15" s="28">
        <v>0.05</v>
      </c>
      <c r="BQ15" s="28">
        <v>0.207265333333333</v>
      </c>
      <c r="BR15" s="28">
        <v>0.115638333333333</v>
      </c>
      <c r="BS15" s="28">
        <v>5.8999999999999997E-2</v>
      </c>
      <c r="BT15" s="28">
        <v>0.22680066666666701</v>
      </c>
      <c r="BU15" s="28">
        <v>5.6000000000000001E-2</v>
      </c>
      <c r="BV15" s="28">
        <v>4.8000000000000001E-2</v>
      </c>
      <c r="BW15" s="28">
        <v>0.17147899999999999</v>
      </c>
      <c r="BX15" s="28">
        <v>5.0999999999999997E-2</v>
      </c>
      <c r="BY15" s="28">
        <v>0.162385</v>
      </c>
      <c r="BZ15" s="28">
        <v>0.20379700000000001</v>
      </c>
      <c r="CA15" s="28">
        <v>7.0131666666666606E-2</v>
      </c>
      <c r="CB15" s="28">
        <v>4.2999999999999997E-2</v>
      </c>
      <c r="CC15" s="28">
        <v>0.10086000000000001</v>
      </c>
      <c r="CD15" s="28">
        <v>0.16109000000000001</v>
      </c>
      <c r="CE15" s="28">
        <v>4.5999999999999999E-2</v>
      </c>
      <c r="CF15" s="28">
        <v>0.146071333333333</v>
      </c>
      <c r="CG15" s="28">
        <v>4.1000000000000002E-2</v>
      </c>
      <c r="CH15" s="28">
        <v>0.28452166666666701</v>
      </c>
      <c r="CI15" s="28">
        <v>0.106997666666667</v>
      </c>
      <c r="CJ15" s="28">
        <v>0.16966666666666699</v>
      </c>
      <c r="CK15" s="28">
        <v>8.7115999999999999E-2</v>
      </c>
      <c r="CL15" s="28">
        <v>0.05</v>
      </c>
      <c r="CM15" s="28">
        <v>0.05</v>
      </c>
      <c r="CN15" s="28">
        <v>8.1839999999999899E-2</v>
      </c>
      <c r="CO15" s="28">
        <v>0.204034666666667</v>
      </c>
      <c r="CP15" s="28">
        <v>4.9000000000000002E-2</v>
      </c>
      <c r="CQ15" s="28">
        <v>7.9640000000000002E-2</v>
      </c>
      <c r="CR15" s="28">
        <v>4.1000000000000002E-2</v>
      </c>
      <c r="CS15" s="28">
        <v>9.2245333333333304E-2</v>
      </c>
      <c r="CT15" s="28">
        <v>4.7E-2</v>
      </c>
      <c r="CU15" s="28">
        <v>0.27784799999999998</v>
      </c>
      <c r="CV15" s="28">
        <v>5.3999999999999999E-2</v>
      </c>
      <c r="CW15" s="28">
        <v>8.7735999999999995E-2</v>
      </c>
      <c r="CX15" s="28">
        <v>0.30225000000000002</v>
      </c>
      <c r="CY15" s="28">
        <v>0.111058</v>
      </c>
      <c r="CZ15" s="28">
        <v>0.11318499999999999</v>
      </c>
      <c r="DA15" s="28">
        <v>9.5733333333333295E-2</v>
      </c>
      <c r="DB15" s="28">
        <v>3.9E-2</v>
      </c>
      <c r="DC15" s="28">
        <v>0.15528666666666699</v>
      </c>
      <c r="DD15" s="28">
        <v>4.2000000000000003E-2</v>
      </c>
      <c r="DE15" s="28">
        <v>0.160773</v>
      </c>
      <c r="DF15" s="28">
        <v>7.1919333333333405E-2</v>
      </c>
      <c r="DG15" s="28">
        <v>0.13333166666666699</v>
      </c>
      <c r="DH15" s="28">
        <v>0.05</v>
      </c>
      <c r="DI15" s="28">
        <v>0.15167800000000001</v>
      </c>
      <c r="DJ15" s="28">
        <v>0.22680266666666701</v>
      </c>
      <c r="DK15" s="28">
        <v>5.3999999999999999E-2</v>
      </c>
      <c r="DL15" s="28">
        <v>0.06</v>
      </c>
      <c r="DM15" s="28">
        <v>0.136753666666667</v>
      </c>
      <c r="DN15" s="28">
        <v>0.20547533333333301</v>
      </c>
      <c r="DO15" s="28">
        <v>0.138258666666667</v>
      </c>
      <c r="DP15" s="28">
        <v>8.5834666666666698E-2</v>
      </c>
      <c r="DQ15" s="28">
        <v>4.7E-2</v>
      </c>
      <c r="DR15" s="28">
        <v>8.2530000000000006E-2</v>
      </c>
      <c r="DS15" s="28">
        <v>0.183205333333333</v>
      </c>
      <c r="DT15" s="28">
        <v>1.4302616666666701</v>
      </c>
      <c r="DU15" s="28">
        <v>5.5E-2</v>
      </c>
      <c r="DV15" s="28">
        <v>0.23897033333333301</v>
      </c>
      <c r="DW15" s="28">
        <v>0.1464316908602151</v>
      </c>
      <c r="DX15" s="34">
        <v>18.157529666666679</v>
      </c>
    </row>
    <row r="16" spans="1:128" x14ac:dyDescent="0.25">
      <c r="A16" s="24">
        <v>15</v>
      </c>
      <c r="B16" s="26">
        <v>7</v>
      </c>
      <c r="C16" s="28">
        <v>4.2999999999999997E-2</v>
      </c>
      <c r="D16" s="28">
        <v>0.186888</v>
      </c>
      <c r="E16" s="28">
        <v>5.0999999999999997E-2</v>
      </c>
      <c r="F16" s="28">
        <v>5.8999999999999997E-2</v>
      </c>
      <c r="G16" s="28">
        <v>4.7E-2</v>
      </c>
      <c r="H16" s="28">
        <v>0.108587666666667</v>
      </c>
      <c r="I16" s="28">
        <v>0.16304866666666701</v>
      </c>
      <c r="J16" s="28">
        <v>8.6763599999999996E-2</v>
      </c>
      <c r="K16" s="28">
        <v>6.6437333333333404E-2</v>
      </c>
      <c r="L16" s="28">
        <v>0.17800666666666701</v>
      </c>
      <c r="M16" s="28">
        <v>6.1353999999999999E-2</v>
      </c>
      <c r="N16" s="28">
        <v>0.21965000000000001</v>
      </c>
      <c r="O16" s="28">
        <v>0.12863666666666701</v>
      </c>
      <c r="P16" s="28">
        <v>0.29737799999999998</v>
      </c>
      <c r="Q16" s="28">
        <v>0.14297033333333301</v>
      </c>
      <c r="R16" s="28">
        <v>0.29041233333333299</v>
      </c>
      <c r="S16" s="28">
        <v>7.4543333333333406E-2</v>
      </c>
      <c r="T16" s="28">
        <v>0.267397</v>
      </c>
      <c r="U16" s="28">
        <v>6.1500666666666703E-2</v>
      </c>
      <c r="V16" s="28">
        <v>0.24429100000000001</v>
      </c>
      <c r="W16" s="28">
        <v>6.6312999999999997E-2</v>
      </c>
      <c r="X16" s="28">
        <v>5.7000000000000002E-2</v>
      </c>
      <c r="Y16" s="28">
        <v>9.8519999999999996E-2</v>
      </c>
      <c r="Z16" s="28">
        <v>0.19978000000000001</v>
      </c>
      <c r="AA16" s="28">
        <v>0.94646133333333404</v>
      </c>
      <c r="AB16" s="28">
        <v>0.13793233333333299</v>
      </c>
      <c r="AC16" s="28">
        <v>0.19677600000000001</v>
      </c>
      <c r="AD16" s="28">
        <v>5.0999999999999997E-2</v>
      </c>
      <c r="AE16" s="28">
        <v>5.5E-2</v>
      </c>
      <c r="AF16" s="28">
        <v>0.22096199999999999</v>
      </c>
      <c r="AG16" s="28">
        <v>0.17274500000000001</v>
      </c>
      <c r="AH16" s="28">
        <v>4.5999999999999999E-2</v>
      </c>
      <c r="AI16" s="28">
        <v>0.27916366666666698</v>
      </c>
      <c r="AJ16" s="28">
        <v>0.1288</v>
      </c>
      <c r="AK16" s="28">
        <v>4.8000000000000001E-2</v>
      </c>
      <c r="AL16" s="28">
        <v>5.2568666666666701E-2</v>
      </c>
      <c r="AM16" s="28">
        <v>0.201228666666667</v>
      </c>
      <c r="AN16" s="28">
        <v>4.7E-2</v>
      </c>
      <c r="AO16" s="28">
        <v>0.14726566666666699</v>
      </c>
      <c r="AP16" s="28">
        <v>4.5999999999999999E-2</v>
      </c>
      <c r="AQ16" s="28">
        <v>5.2999999999999999E-2</v>
      </c>
      <c r="AR16" s="28">
        <v>5.5E-2</v>
      </c>
      <c r="AS16" s="28">
        <v>5.8000000000000003E-2</v>
      </c>
      <c r="AT16" s="28">
        <v>0.253792666666667</v>
      </c>
      <c r="AU16" s="28">
        <v>9.5939999999999998E-2</v>
      </c>
      <c r="AV16" s="28">
        <v>0.17057666666666699</v>
      </c>
      <c r="AW16" s="28">
        <v>0.06</v>
      </c>
      <c r="AX16" s="28">
        <v>5.8999999999999997E-2</v>
      </c>
      <c r="AY16" s="28">
        <v>4.8000000000000001E-2</v>
      </c>
      <c r="AZ16" s="28">
        <v>5.1999999999999998E-2</v>
      </c>
      <c r="BA16" s="28">
        <v>0.27176586666666702</v>
      </c>
      <c r="BB16" s="28">
        <v>4.9010666666666702E-2</v>
      </c>
      <c r="BC16" s="28">
        <v>6.2859999999999999E-2</v>
      </c>
      <c r="BD16" s="28">
        <v>0.17919299999999999</v>
      </c>
      <c r="BE16" s="28">
        <v>5.6000000000000001E-2</v>
      </c>
      <c r="BF16" s="28">
        <v>0.22612133333333401</v>
      </c>
      <c r="BG16" s="28">
        <v>1.075369</v>
      </c>
      <c r="BH16" s="28">
        <v>0.25525399999999998</v>
      </c>
      <c r="BI16" s="28">
        <v>6.3860933333333397E-2</v>
      </c>
      <c r="BJ16" s="28">
        <v>4.2999999999999997E-2</v>
      </c>
      <c r="BK16" s="28">
        <v>0.1549209</v>
      </c>
      <c r="BL16" s="28">
        <v>7.6651666666666701E-2</v>
      </c>
      <c r="BM16" s="28">
        <v>5.6000000000000001E-2</v>
      </c>
      <c r="BN16" s="28">
        <v>8.1446666666666695E-2</v>
      </c>
      <c r="BO16" s="28">
        <v>0.156393333333333</v>
      </c>
      <c r="BP16" s="28">
        <v>0.05</v>
      </c>
      <c r="BQ16" s="28">
        <v>3.6999999999999998E-2</v>
      </c>
      <c r="BR16" s="28">
        <v>0.24369766666666701</v>
      </c>
      <c r="BS16" s="28">
        <v>0.299323333333333</v>
      </c>
      <c r="BT16" s="28">
        <v>8.4378666666666602E-2</v>
      </c>
      <c r="BU16" s="28">
        <v>0.12781699999999999</v>
      </c>
      <c r="BV16" s="28">
        <v>4.8000000000000001E-2</v>
      </c>
      <c r="BW16" s="28">
        <v>0.14474999999999999</v>
      </c>
      <c r="BX16" s="28">
        <v>5.0999999999999997E-2</v>
      </c>
      <c r="BY16" s="28">
        <v>0.105113</v>
      </c>
      <c r="BZ16" s="28">
        <v>5.3024666666666602E-2</v>
      </c>
      <c r="CA16" s="28">
        <v>0.163432666666667</v>
      </c>
      <c r="CB16" s="28">
        <v>0.21223866666666699</v>
      </c>
      <c r="CC16" s="28">
        <v>0.21618100000000001</v>
      </c>
      <c r="CD16" s="28">
        <v>0.17382600000000001</v>
      </c>
      <c r="CE16" s="28">
        <v>0.190826</v>
      </c>
      <c r="CF16" s="28">
        <v>0.29043566666666698</v>
      </c>
      <c r="CG16" s="28">
        <v>4.1000000000000002E-2</v>
      </c>
      <c r="CH16" s="28">
        <v>4.7E-2</v>
      </c>
      <c r="CI16" s="28">
        <v>9.8998000000000003E-2</v>
      </c>
      <c r="CJ16" s="28">
        <v>6.1066666666666602E-2</v>
      </c>
      <c r="CK16" s="28">
        <v>0.22497666666666699</v>
      </c>
      <c r="CL16" s="28">
        <v>0.05</v>
      </c>
      <c r="CM16" s="28">
        <v>0.32815733333333302</v>
      </c>
      <c r="CN16" s="28">
        <v>5.1140666666666702E-2</v>
      </c>
      <c r="CO16" s="28">
        <v>0.16750266666666699</v>
      </c>
      <c r="CP16" s="28">
        <v>0.10996</v>
      </c>
      <c r="CQ16" s="28">
        <v>5.8000000000000003E-2</v>
      </c>
      <c r="CR16" s="28">
        <v>0.18115466666666699</v>
      </c>
      <c r="CS16" s="28">
        <v>5.7000000000000002E-2</v>
      </c>
      <c r="CT16" s="28">
        <v>4.7E-2</v>
      </c>
      <c r="CU16" s="28">
        <v>0.32944333333333298</v>
      </c>
      <c r="CV16" s="28">
        <v>8.7590000000000001E-2</v>
      </c>
      <c r="CW16" s="28">
        <v>8.7735999999999995E-2</v>
      </c>
      <c r="CX16" s="28">
        <v>5.8000000000000003E-2</v>
      </c>
      <c r="CY16" s="28">
        <v>0.29181766666666697</v>
      </c>
      <c r="CZ16" s="28">
        <v>5.1999999999999998E-2</v>
      </c>
      <c r="DA16" s="28">
        <v>0.20225000000000001</v>
      </c>
      <c r="DB16" s="28">
        <v>0.11742900000000001</v>
      </c>
      <c r="DC16" s="28">
        <v>0.18576266666666699</v>
      </c>
      <c r="DD16" s="28">
        <v>9.4710666666666707E-2</v>
      </c>
      <c r="DE16" s="28">
        <v>0.17720433333333299</v>
      </c>
      <c r="DF16" s="28">
        <v>0.360972666666667</v>
      </c>
      <c r="DG16" s="28">
        <v>5.8000000000000003E-2</v>
      </c>
      <c r="DH16" s="28">
        <v>0.12123200000000001</v>
      </c>
      <c r="DI16" s="28">
        <v>0.28596133333333301</v>
      </c>
      <c r="DJ16" s="28">
        <v>0.188507333333333</v>
      </c>
      <c r="DK16" s="28">
        <v>0.39997389999999999</v>
      </c>
      <c r="DL16" s="28">
        <v>0.06</v>
      </c>
      <c r="DM16" s="28">
        <v>0.15129799999999999</v>
      </c>
      <c r="DN16" s="28">
        <v>3.4000000000000002E-2</v>
      </c>
      <c r="DO16" s="28">
        <v>0.206967333333333</v>
      </c>
      <c r="DP16" s="28">
        <v>0.26660800000000001</v>
      </c>
      <c r="DQ16" s="28">
        <v>0.119464</v>
      </c>
      <c r="DR16" s="28">
        <v>0.12396600000000001</v>
      </c>
      <c r="DS16" s="28">
        <v>2.9000000000000001E-2</v>
      </c>
      <c r="DT16" s="28">
        <v>0.76162700000000005</v>
      </c>
      <c r="DU16" s="28">
        <v>0.14866499999999999</v>
      </c>
      <c r="DV16" s="28">
        <v>7.4042666666666604E-2</v>
      </c>
      <c r="DW16" s="28">
        <v>0.15143361451612911</v>
      </c>
      <c r="DX16" s="34">
        <v>18.777768200000011</v>
      </c>
    </row>
    <row r="17" spans="1:128" x14ac:dyDescent="0.25">
      <c r="A17" s="24">
        <v>16</v>
      </c>
      <c r="B17" s="26">
        <v>7.5</v>
      </c>
      <c r="C17" s="28">
        <v>4.2999999999999997E-2</v>
      </c>
      <c r="D17" s="28">
        <v>0.10070800000000001</v>
      </c>
      <c r="E17" s="28">
        <v>5.0999999999999997E-2</v>
      </c>
      <c r="F17" s="28">
        <v>5.8999999999999997E-2</v>
      </c>
      <c r="G17" s="28">
        <v>4.7E-2</v>
      </c>
      <c r="H17" s="28">
        <v>0.15389233333333299</v>
      </c>
      <c r="I17" s="28">
        <v>5.2999999999999999E-2</v>
      </c>
      <c r="J17" s="28">
        <v>0.71587650000000003</v>
      </c>
      <c r="K17" s="28">
        <v>0.165936</v>
      </c>
      <c r="L17" s="28">
        <v>5.0999999999999997E-2</v>
      </c>
      <c r="M17" s="28">
        <v>6.6216800000000006E-2</v>
      </c>
      <c r="N17" s="28">
        <v>0.100573333333333</v>
      </c>
      <c r="O17" s="28">
        <v>0.14396400000000001</v>
      </c>
      <c r="P17" s="28">
        <v>8.9212666666666704E-2</v>
      </c>
      <c r="Q17" s="28">
        <v>7.0900000000000005E-2</v>
      </c>
      <c r="R17" s="28">
        <v>0.18173700000000001</v>
      </c>
      <c r="S17" s="28">
        <v>0.107412666666667</v>
      </c>
      <c r="T17" s="28">
        <v>0.34759166666666702</v>
      </c>
      <c r="U17" s="28">
        <v>7.2729333333333396E-2</v>
      </c>
      <c r="V17" s="28">
        <v>0.29957600000000001</v>
      </c>
      <c r="W17" s="28">
        <v>0.190601666666667</v>
      </c>
      <c r="X17" s="28">
        <v>8.6613333333333306E-2</v>
      </c>
      <c r="Y17" s="28">
        <v>7.6013333333333294E-2</v>
      </c>
      <c r="Z17" s="28">
        <v>5.5E-2</v>
      </c>
      <c r="AA17" s="28">
        <v>0.13739399999999999</v>
      </c>
      <c r="AB17" s="28">
        <v>0.26720533333333302</v>
      </c>
      <c r="AC17" s="28">
        <v>9.3016666666666706E-2</v>
      </c>
      <c r="AD17" s="28">
        <v>0.14032266666666701</v>
      </c>
      <c r="AE17" s="28">
        <v>0.10171266666666701</v>
      </c>
      <c r="AF17" s="28">
        <v>0.05</v>
      </c>
      <c r="AG17" s="28">
        <v>0.14374100000000001</v>
      </c>
      <c r="AH17" s="28">
        <v>4.5999999999999999E-2</v>
      </c>
      <c r="AI17" s="28">
        <v>0.13885266666666701</v>
      </c>
      <c r="AJ17" s="28">
        <v>7.0288000000000003E-2</v>
      </c>
      <c r="AK17" s="28">
        <v>4.8000000000000001E-2</v>
      </c>
      <c r="AL17" s="28">
        <v>0.4389632</v>
      </c>
      <c r="AM17" s="28">
        <v>0.16531199999999999</v>
      </c>
      <c r="AN17" s="28">
        <v>0.159635</v>
      </c>
      <c r="AO17" s="28">
        <v>0.318577</v>
      </c>
      <c r="AP17" s="28">
        <v>4.5999999999999999E-2</v>
      </c>
      <c r="AQ17" s="28">
        <v>0.12881000000000001</v>
      </c>
      <c r="AR17" s="28">
        <v>5.5E-2</v>
      </c>
      <c r="AS17" s="28">
        <v>0.197382</v>
      </c>
      <c r="AT17" s="28">
        <v>0.14443400000000001</v>
      </c>
      <c r="AU17" s="28">
        <v>0.16783666666666699</v>
      </c>
      <c r="AV17" s="28">
        <v>6.6206000000000001E-2</v>
      </c>
      <c r="AW17" s="28">
        <v>0.06</v>
      </c>
      <c r="AX17" s="28">
        <v>0.35510266666666701</v>
      </c>
      <c r="AY17" s="28">
        <v>5.1952333333333399E-2</v>
      </c>
      <c r="AZ17" s="28">
        <v>5.1999999999999998E-2</v>
      </c>
      <c r="BA17" s="28">
        <v>0.91703566666666703</v>
      </c>
      <c r="BB17" s="28">
        <v>0.15902666666666701</v>
      </c>
      <c r="BC17" s="28">
        <v>6.9431999999999994E-2</v>
      </c>
      <c r="BD17" s="28">
        <v>0.14380833333333301</v>
      </c>
      <c r="BE17" s="28">
        <v>0.21422633333333299</v>
      </c>
      <c r="BF17" s="28">
        <v>0.135042</v>
      </c>
      <c r="BG17" s="28">
        <v>0.39878000000000002</v>
      </c>
      <c r="BH17" s="28">
        <v>0.20188</v>
      </c>
      <c r="BI17" s="28">
        <v>0.21548943333333301</v>
      </c>
      <c r="BJ17" s="28">
        <v>4.2999999999999997E-2</v>
      </c>
      <c r="BK17" s="28">
        <v>0.123645</v>
      </c>
      <c r="BL17" s="28">
        <v>0.17654666666666699</v>
      </c>
      <c r="BM17" s="28">
        <v>0.142538</v>
      </c>
      <c r="BN17" s="28">
        <v>0.17401</v>
      </c>
      <c r="BO17" s="28">
        <v>0.38697233333333297</v>
      </c>
      <c r="BP17" s="28">
        <v>0.201928</v>
      </c>
      <c r="BQ17" s="28">
        <v>0.249239666666667</v>
      </c>
      <c r="BR17" s="28">
        <v>0.13972999999999999</v>
      </c>
      <c r="BS17" s="28">
        <v>0.235922666666667</v>
      </c>
      <c r="BT17" s="28">
        <v>0.13144666666666699</v>
      </c>
      <c r="BU17" s="28">
        <v>9.5898333333333405E-2</v>
      </c>
      <c r="BV17" s="28">
        <v>4.8000000000000001E-2</v>
      </c>
      <c r="BW17" s="28">
        <v>0.25505800000000001</v>
      </c>
      <c r="BX17" s="28">
        <v>0.12564</v>
      </c>
      <c r="BY17" s="28">
        <v>0.100856666666667</v>
      </c>
      <c r="BZ17" s="28">
        <v>0.152562633333333</v>
      </c>
      <c r="CA17" s="28">
        <v>0.14505000000000001</v>
      </c>
      <c r="CB17" s="28">
        <v>0.136639333333333</v>
      </c>
      <c r="CC17" s="28">
        <v>7.6429999999999998E-2</v>
      </c>
      <c r="CD17" s="28">
        <v>0.12522133333333299</v>
      </c>
      <c r="CE17" s="28">
        <v>4.9363499999999998E-2</v>
      </c>
      <c r="CF17" s="28">
        <v>0.32352233333333302</v>
      </c>
      <c r="CG17" s="28">
        <v>0.13477666666666699</v>
      </c>
      <c r="CH17" s="28">
        <v>6.7278333333333301E-2</v>
      </c>
      <c r="CI17" s="28">
        <v>0.178994666666667</v>
      </c>
      <c r="CJ17" s="28">
        <v>6.7100000000000007E-2</v>
      </c>
      <c r="CK17" s="28">
        <v>4.9000000000000002E-2</v>
      </c>
      <c r="CL17" s="28">
        <v>0.05</v>
      </c>
      <c r="CM17" s="28">
        <v>9.9152833333333301E-2</v>
      </c>
      <c r="CN17" s="28">
        <v>1.2043856666666699</v>
      </c>
      <c r="CO17" s="28">
        <v>0.26743066666666698</v>
      </c>
      <c r="CP17" s="28">
        <v>6.2546666666666695E-2</v>
      </c>
      <c r="CQ17" s="28">
        <v>5.8000000000000003E-2</v>
      </c>
      <c r="CR17" s="28">
        <v>0.120626</v>
      </c>
      <c r="CS17" s="28">
        <v>0.10584399999999999</v>
      </c>
      <c r="CT17" s="28">
        <v>4.7E-2</v>
      </c>
      <c r="CU17" s="28">
        <v>1.2673099999999999</v>
      </c>
      <c r="CV17" s="28">
        <v>0.22341666666666701</v>
      </c>
      <c r="CW17" s="28">
        <v>0.167296</v>
      </c>
      <c r="CX17" s="28">
        <v>0.25159666666666702</v>
      </c>
      <c r="CY17" s="28">
        <v>0.179814</v>
      </c>
      <c r="CZ17" s="28">
        <v>0.12542200000000001</v>
      </c>
      <c r="DA17" s="28">
        <v>1.5860366666666701</v>
      </c>
      <c r="DB17" s="28">
        <v>8.2571666666666696E-2</v>
      </c>
      <c r="DC17" s="28">
        <v>0.13058400000000001</v>
      </c>
      <c r="DD17" s="28">
        <v>0.101983333333333</v>
      </c>
      <c r="DE17" s="28">
        <v>0.11924333333333299</v>
      </c>
      <c r="DF17" s="28">
        <v>5.8000000000000003E-2</v>
      </c>
      <c r="DG17" s="28">
        <v>0.174421666666667</v>
      </c>
      <c r="DH17" s="28">
        <v>0.05</v>
      </c>
      <c r="DI17" s="28">
        <v>0.117063866666667</v>
      </c>
      <c r="DJ17" s="28">
        <v>0.112736</v>
      </c>
      <c r="DK17" s="28">
        <v>0.26613999999999999</v>
      </c>
      <c r="DL17" s="28">
        <v>0.06</v>
      </c>
      <c r="DM17" s="28">
        <v>0.26937133333333302</v>
      </c>
      <c r="DN17" s="28">
        <v>0.15870933333333301</v>
      </c>
      <c r="DO17" s="28">
        <v>3.7999999999999999E-2</v>
      </c>
      <c r="DP17" s="28">
        <v>5.5E-2</v>
      </c>
      <c r="DQ17" s="28">
        <v>0.167997333333333</v>
      </c>
      <c r="DR17" s="28">
        <v>0.12396600000000001</v>
      </c>
      <c r="DS17" s="28">
        <v>5.7037333333333301E-2</v>
      </c>
      <c r="DT17" s="28">
        <v>0.64166666666666705</v>
      </c>
      <c r="DU17" s="28">
        <v>8.6221666666666696E-2</v>
      </c>
      <c r="DV17" s="28">
        <v>0.28416333333333399</v>
      </c>
      <c r="DW17" s="28">
        <v>0.1817269712365592</v>
      </c>
      <c r="DX17" s="34">
        <v>22.534144433333338</v>
      </c>
    </row>
    <row r="18" spans="1:128" x14ac:dyDescent="0.25">
      <c r="A18" s="24">
        <v>17</v>
      </c>
      <c r="B18" s="26">
        <v>8</v>
      </c>
      <c r="C18" s="28">
        <v>4.2999999999999997E-2</v>
      </c>
      <c r="D18" s="28">
        <v>0.11794399999999999</v>
      </c>
      <c r="E18" s="28">
        <v>5.0999999999999997E-2</v>
      </c>
      <c r="F18" s="28">
        <v>0.55665833333333303</v>
      </c>
      <c r="G18" s="28">
        <v>4.7E-2</v>
      </c>
      <c r="H18" s="28">
        <v>0.176856333333333</v>
      </c>
      <c r="I18" s="28">
        <v>6.20726666666667E-2</v>
      </c>
      <c r="J18" s="28">
        <v>1.8121893333333301</v>
      </c>
      <c r="K18" s="28">
        <v>0.225582</v>
      </c>
      <c r="L18" s="28">
        <v>0.17165633333333299</v>
      </c>
      <c r="M18" s="28">
        <v>0.30876633333333398</v>
      </c>
      <c r="N18" s="28">
        <v>5.4653333333333297E-2</v>
      </c>
      <c r="O18" s="28">
        <v>8.2654666666666696E-2</v>
      </c>
      <c r="P18" s="28">
        <v>0.53056233333333402</v>
      </c>
      <c r="Q18" s="28">
        <v>1.3619806666666701</v>
      </c>
      <c r="R18" s="28">
        <v>1.58406966666667</v>
      </c>
      <c r="S18" s="28">
        <v>9.0978000000000003E-2</v>
      </c>
      <c r="T18" s="28">
        <v>0.44515686666666698</v>
      </c>
      <c r="U18" s="28">
        <v>0.29582333333333299</v>
      </c>
      <c r="V18" s="28">
        <v>0.24326</v>
      </c>
      <c r="W18" s="28">
        <v>0.20707100000000001</v>
      </c>
      <c r="X18" s="28">
        <v>0.31218400000000002</v>
      </c>
      <c r="Y18" s="28">
        <v>3.1E-2</v>
      </c>
      <c r="Z18" s="28">
        <v>0.170824</v>
      </c>
      <c r="AA18" s="28">
        <v>8.7026000000000006E-2</v>
      </c>
      <c r="AB18" s="28">
        <v>0.16372300000000001</v>
      </c>
      <c r="AC18" s="28">
        <v>0.109142666666667</v>
      </c>
      <c r="AD18" s="28">
        <v>0.160611333333333</v>
      </c>
      <c r="AE18" s="28">
        <v>0.20003433333333301</v>
      </c>
      <c r="AF18" s="28">
        <v>0.14325199999999999</v>
      </c>
      <c r="AG18" s="28">
        <v>6.0999999999999999E-2</v>
      </c>
      <c r="AH18" s="28">
        <v>4.5999999999999999E-2</v>
      </c>
      <c r="AI18" s="28">
        <v>0.18945153333333301</v>
      </c>
      <c r="AJ18" s="28">
        <v>0.26133919999999999</v>
      </c>
      <c r="AK18" s="28">
        <v>0.21154066666666699</v>
      </c>
      <c r="AL18" s="28">
        <v>8.1155599999999994E-2</v>
      </c>
      <c r="AM18" s="28">
        <v>0.14873</v>
      </c>
      <c r="AN18" s="28">
        <v>9.9563000000000096E-2</v>
      </c>
      <c r="AO18" s="28">
        <v>4.9000000000000002E-2</v>
      </c>
      <c r="AP18" s="28">
        <v>4.5999999999999999E-2</v>
      </c>
      <c r="AQ18" s="28">
        <v>5.2999999999999999E-2</v>
      </c>
      <c r="AR18" s="28">
        <v>0.39145833333333302</v>
      </c>
      <c r="AS18" s="28">
        <v>0.260012666666667</v>
      </c>
      <c r="AT18" s="28">
        <v>0.192506333333333</v>
      </c>
      <c r="AU18" s="28">
        <v>5.39966666666667E-2</v>
      </c>
      <c r="AV18" s="28">
        <v>0.24490066666666699</v>
      </c>
      <c r="AW18" s="28">
        <v>0.06</v>
      </c>
      <c r="AX18" s="28">
        <v>0.27541199999999999</v>
      </c>
      <c r="AY18" s="28">
        <v>0.28249633333333302</v>
      </c>
      <c r="AZ18" s="28">
        <v>5.1999999999999998E-2</v>
      </c>
      <c r="BA18" s="28">
        <v>6.3194E-2</v>
      </c>
      <c r="BB18" s="28">
        <v>0.13771800000000001</v>
      </c>
      <c r="BC18" s="28">
        <v>0.12200800000000001</v>
      </c>
      <c r="BD18" s="28">
        <v>0.20884566666666701</v>
      </c>
      <c r="BE18" s="28">
        <v>0.105629666666667</v>
      </c>
      <c r="BF18" s="28">
        <v>0.110811333333333</v>
      </c>
      <c r="BG18" s="28">
        <v>7.9096E-2</v>
      </c>
      <c r="BH18" s="28">
        <v>0.52470899999999998</v>
      </c>
      <c r="BI18" s="28">
        <v>0.34396500000000002</v>
      </c>
      <c r="BJ18" s="28">
        <v>0.24156810000000001</v>
      </c>
      <c r="BK18" s="28">
        <v>0.39670933333333303</v>
      </c>
      <c r="BL18" s="28">
        <v>0.143346</v>
      </c>
      <c r="BM18" s="28">
        <v>5.6000000000000001E-2</v>
      </c>
      <c r="BN18" s="28">
        <v>9.5854666666666699E-2</v>
      </c>
      <c r="BO18" s="28">
        <v>0.207764</v>
      </c>
      <c r="BP18" s="28">
        <v>0.19459199999999999</v>
      </c>
      <c r="BQ18" s="28">
        <v>0.25454500000000002</v>
      </c>
      <c r="BR18" s="28">
        <v>0.159022</v>
      </c>
      <c r="BS18" s="28">
        <v>0.17262666666666701</v>
      </c>
      <c r="BT18" s="28">
        <v>0.14713599999999999</v>
      </c>
      <c r="BU18" s="28">
        <v>5.6000000000000001E-2</v>
      </c>
      <c r="BV18" s="28">
        <v>4.8000000000000001E-2</v>
      </c>
      <c r="BW18" s="28">
        <v>0.15106666666666699</v>
      </c>
      <c r="BX18" s="28">
        <v>0.29752766666666702</v>
      </c>
      <c r="BY18" s="28">
        <v>1.177975</v>
      </c>
      <c r="BZ18" s="28">
        <v>0.16242166666666699</v>
      </c>
      <c r="CA18" s="28">
        <v>1.0587583333333299</v>
      </c>
      <c r="CB18" s="28">
        <v>4.2999999999999997E-2</v>
      </c>
      <c r="CC18" s="28">
        <v>0.17200799999999999</v>
      </c>
      <c r="CD18" s="28">
        <v>0.12506</v>
      </c>
      <c r="CE18" s="28">
        <v>4.5999999999999999E-2</v>
      </c>
      <c r="CF18" s="28">
        <v>0.17756166666666701</v>
      </c>
      <c r="CG18" s="28">
        <v>4.1000000000000002E-2</v>
      </c>
      <c r="CH18" s="28">
        <v>0.17726666666666699</v>
      </c>
      <c r="CI18" s="28">
        <v>5.0999999999999997E-2</v>
      </c>
      <c r="CJ18" s="28">
        <v>1.0817636666666699</v>
      </c>
      <c r="CK18" s="28">
        <v>0.56166300000000002</v>
      </c>
      <c r="CL18" s="28">
        <v>0.09</v>
      </c>
      <c r="CM18" s="28">
        <v>0.49935833333333302</v>
      </c>
      <c r="CN18" s="28">
        <v>0.20368773333333301</v>
      </c>
      <c r="CO18" s="28">
        <v>0.203721333333333</v>
      </c>
      <c r="CP18" s="28">
        <v>9.6413333333333295E-2</v>
      </c>
      <c r="CQ18" s="28">
        <v>0.18062666666666699</v>
      </c>
      <c r="CR18" s="28">
        <v>0.18115466666666699</v>
      </c>
      <c r="CS18" s="28">
        <v>6.8199066666666697E-2</v>
      </c>
      <c r="CT18" s="28">
        <v>0.219380666666667</v>
      </c>
      <c r="CU18" s="28">
        <v>0.23100399999999999</v>
      </c>
      <c r="CV18" s="28">
        <v>5.3999999999999999E-2</v>
      </c>
      <c r="CW18" s="28">
        <v>0.04</v>
      </c>
      <c r="CX18" s="28">
        <v>0.20688000000000001</v>
      </c>
      <c r="CY18" s="28">
        <v>0.17972733333333299</v>
      </c>
      <c r="CZ18" s="28">
        <v>5.1999999999999998E-2</v>
      </c>
      <c r="DA18" s="28">
        <v>0.21358333333333299</v>
      </c>
      <c r="DB18" s="28">
        <v>3.9E-2</v>
      </c>
      <c r="DC18" s="28">
        <v>0.20111599999999999</v>
      </c>
      <c r="DD18" s="28">
        <v>4.2000000000000003E-2</v>
      </c>
      <c r="DE18" s="28">
        <v>0.40607466666666697</v>
      </c>
      <c r="DF18" s="28">
        <v>0.19507566666666701</v>
      </c>
      <c r="DG18" s="28">
        <v>9.2241666666666597E-2</v>
      </c>
      <c r="DH18" s="28">
        <v>1.3899534</v>
      </c>
      <c r="DI18" s="28">
        <v>0.93210999999999999</v>
      </c>
      <c r="DJ18" s="28">
        <v>0.17984133333333399</v>
      </c>
      <c r="DK18" s="28">
        <v>0.19777666666666699</v>
      </c>
      <c r="DL18" s="28">
        <v>0.06</v>
      </c>
      <c r="DM18" s="28">
        <v>0.36018933333333297</v>
      </c>
      <c r="DN18" s="28">
        <v>8.0765999999999893E-2</v>
      </c>
      <c r="DO18" s="28">
        <v>0.158808</v>
      </c>
      <c r="DP18" s="28">
        <v>0.22687399999999999</v>
      </c>
      <c r="DQ18" s="28">
        <v>7.7652666666666703E-2</v>
      </c>
      <c r="DR18" s="28">
        <v>4.8000000000000001E-2</v>
      </c>
      <c r="DS18" s="28">
        <v>0.155168</v>
      </c>
      <c r="DT18" s="28">
        <v>0.43598199999999998</v>
      </c>
      <c r="DU18" s="28">
        <v>0.23348666666666701</v>
      </c>
      <c r="DV18" s="28">
        <v>0.24892400000000001</v>
      </c>
      <c r="DW18" s="28">
        <v>0.24661520026881709</v>
      </c>
      <c r="DX18" s="34">
        <v>30.58028483333333</v>
      </c>
    </row>
    <row r="19" spans="1:128" x14ac:dyDescent="0.25">
      <c r="A19" s="24">
        <v>18</v>
      </c>
      <c r="B19" s="26">
        <v>8.5</v>
      </c>
      <c r="C19" s="28">
        <v>0.159722</v>
      </c>
      <c r="D19" s="28">
        <v>0.169652</v>
      </c>
      <c r="E19" s="28">
        <v>5.0999999999999997E-2</v>
      </c>
      <c r="F19" s="28">
        <v>0.56267400000000001</v>
      </c>
      <c r="G19" s="28">
        <v>4.7E-2</v>
      </c>
      <c r="H19" s="28">
        <v>0.14950866666666701</v>
      </c>
      <c r="I19" s="28">
        <v>0.24352599999999999</v>
      </c>
      <c r="J19" s="28">
        <v>5.6000000000000001E-2</v>
      </c>
      <c r="K19" s="28">
        <v>0.62692633333333303</v>
      </c>
      <c r="L19" s="28">
        <v>5.7350333333333302E-2</v>
      </c>
      <c r="M19" s="28">
        <v>0.124427</v>
      </c>
      <c r="N19" s="28">
        <v>0.20771999999999999</v>
      </c>
      <c r="O19" s="28">
        <v>0.26697399999999999</v>
      </c>
      <c r="P19" s="28">
        <v>4.4999999999999998E-2</v>
      </c>
      <c r="Q19" s="28">
        <v>0.167488</v>
      </c>
      <c r="R19" s="28">
        <v>0.25124299999999999</v>
      </c>
      <c r="S19" s="28">
        <v>9.0977999999999906E-2</v>
      </c>
      <c r="T19" s="28">
        <v>1.12292666666667</v>
      </c>
      <c r="U19" s="28">
        <v>0.48765333333333299</v>
      </c>
      <c r="V19" s="28">
        <v>0.35893999999999998</v>
      </c>
      <c r="W19" s="28">
        <v>0.102939</v>
      </c>
      <c r="X19" s="28">
        <v>0.72626599999999997</v>
      </c>
      <c r="Y19" s="28">
        <v>3.1E-2</v>
      </c>
      <c r="Z19" s="28">
        <v>9.8434000000000105E-2</v>
      </c>
      <c r="AA19" s="28">
        <v>5.3666666666666703E-2</v>
      </c>
      <c r="AB19" s="28">
        <v>0.206738333333333</v>
      </c>
      <c r="AC19" s="28">
        <v>0.16128200000000001</v>
      </c>
      <c r="AD19" s="28">
        <v>0.100874666666667</v>
      </c>
      <c r="AE19" s="28">
        <v>0.22650999999999999</v>
      </c>
      <c r="AF19" s="28">
        <v>0.12770999999999999</v>
      </c>
      <c r="AG19" s="28">
        <v>0.29750599999999999</v>
      </c>
      <c r="AH19" s="28">
        <v>4.5999999999999999E-2</v>
      </c>
      <c r="AI19" s="28">
        <v>0.27341266666666703</v>
      </c>
      <c r="AJ19" s="28">
        <v>1.3613818666666699</v>
      </c>
      <c r="AK19" s="28">
        <v>4.8000000000000001E-2</v>
      </c>
      <c r="AL19" s="28">
        <v>1.5282486666666699</v>
      </c>
      <c r="AM19" s="28">
        <v>1.3682586666666701</v>
      </c>
      <c r="AN19" s="28">
        <v>7.7035999999999993E-2</v>
      </c>
      <c r="AO19" s="28">
        <v>0.40754299999999999</v>
      </c>
      <c r="AP19" s="28">
        <v>8.6023333333333299E-2</v>
      </c>
      <c r="AQ19" s="28">
        <v>0.19073346666666699</v>
      </c>
      <c r="AR19" s="28">
        <v>0.21398</v>
      </c>
      <c r="AS19" s="28">
        <v>0.141568</v>
      </c>
      <c r="AT19" s="28">
        <v>0.243830133333333</v>
      </c>
      <c r="AU19" s="28">
        <v>0.35100999999999999</v>
      </c>
      <c r="AV19" s="28">
        <v>9.6088666666666697E-2</v>
      </c>
      <c r="AW19" s="28">
        <v>0.06</v>
      </c>
      <c r="AX19" s="28">
        <v>0.20088</v>
      </c>
      <c r="AY19" s="28">
        <v>0.25277333333333302</v>
      </c>
      <c r="AZ19" s="28">
        <v>5.1999999999999998E-2</v>
      </c>
      <c r="BA19" s="28">
        <v>6.3194E-2</v>
      </c>
      <c r="BB19" s="28">
        <v>6.0382666666666703E-2</v>
      </c>
      <c r="BC19" s="28">
        <v>0.03</v>
      </c>
      <c r="BD19" s="28">
        <v>0.11837</v>
      </c>
      <c r="BE19" s="28">
        <v>0.16601733333333299</v>
      </c>
      <c r="BF19" s="28">
        <v>0.18470900000000001</v>
      </c>
      <c r="BG19" s="28">
        <v>8.7454666666666694E-2</v>
      </c>
      <c r="BH19" s="28">
        <v>0.05</v>
      </c>
      <c r="BI19" s="28">
        <v>0.335961333333333</v>
      </c>
      <c r="BJ19" s="28">
        <v>0.20415359999999999</v>
      </c>
      <c r="BK19" s="28">
        <v>1.4682773333333301</v>
      </c>
      <c r="BL19" s="28">
        <v>0.170269333333333</v>
      </c>
      <c r="BM19" s="28">
        <v>0.332830666666667</v>
      </c>
      <c r="BN19" s="28">
        <v>7.0713333333333295E-2</v>
      </c>
      <c r="BO19" s="28">
        <v>0.33493333333333303</v>
      </c>
      <c r="BP19" s="28">
        <v>0.136613333333333</v>
      </c>
      <c r="BQ19" s="28">
        <v>0.39828999999999998</v>
      </c>
      <c r="BR19" s="28">
        <v>0.15776533333333301</v>
      </c>
      <c r="BS19" s="28">
        <v>0.85660313333333404</v>
      </c>
      <c r="BT19" s="28">
        <v>0.12285</v>
      </c>
      <c r="BU19" s="28">
        <v>5.6000000000000001E-2</v>
      </c>
      <c r="BV19" s="28">
        <v>4.8000000000000001E-2</v>
      </c>
      <c r="BW19" s="28">
        <v>0.173334666666667</v>
      </c>
      <c r="BX19" s="28">
        <v>0.40556500000000001</v>
      </c>
      <c r="BY19" s="28">
        <v>0.27131899999999998</v>
      </c>
      <c r="BZ19" s="28">
        <v>0.16505600000000001</v>
      </c>
      <c r="CA19" s="28">
        <v>0.239493333333333</v>
      </c>
      <c r="CB19" s="28">
        <v>0.30587799999999998</v>
      </c>
      <c r="CC19" s="28">
        <v>0.12314799999999999</v>
      </c>
      <c r="CD19" s="28">
        <v>0.18599733333333299</v>
      </c>
      <c r="CE19" s="28">
        <v>4.5999999999999999E-2</v>
      </c>
      <c r="CF19" s="28">
        <v>0.125185666666667</v>
      </c>
      <c r="CG19" s="28">
        <v>0.84151266666666702</v>
      </c>
      <c r="CH19" s="28">
        <v>0.27304166666666702</v>
      </c>
      <c r="CI19" s="28">
        <v>0.46497300000000003</v>
      </c>
      <c r="CJ19" s="28">
        <v>0.15337566666666699</v>
      </c>
      <c r="CK19" s="28">
        <v>0.119204333333333</v>
      </c>
      <c r="CL19" s="28">
        <v>0.85211999999999999</v>
      </c>
      <c r="CM19" s="28">
        <v>1.3634090000000001</v>
      </c>
      <c r="CN19" s="28">
        <v>4.9593999999999999E-2</v>
      </c>
      <c r="CO19" s="28">
        <v>0.25916933333333297</v>
      </c>
      <c r="CP19" s="28">
        <v>4.9000000000000002E-2</v>
      </c>
      <c r="CQ19" s="28">
        <v>9.4066666666666604E-2</v>
      </c>
      <c r="CR19" s="28">
        <v>4.1000000000000002E-2</v>
      </c>
      <c r="CS19" s="28">
        <v>0.88605943333333403</v>
      </c>
      <c r="CT19" s="28">
        <v>0.15934726666666699</v>
      </c>
      <c r="CU19" s="28">
        <v>0.18875666666666699</v>
      </c>
      <c r="CV19" s="28">
        <v>0.174924</v>
      </c>
      <c r="CW19" s="28">
        <v>0.215032</v>
      </c>
      <c r="CX19" s="28">
        <v>0.27912566666666699</v>
      </c>
      <c r="CY19" s="28">
        <v>7.2528999999999996E-2</v>
      </c>
      <c r="CZ19" s="28">
        <v>0.21612999999999999</v>
      </c>
      <c r="DA19" s="28">
        <v>0.240422</v>
      </c>
      <c r="DB19" s="28">
        <v>0.14357200000000001</v>
      </c>
      <c r="DC19" s="28">
        <v>0.40096233333333298</v>
      </c>
      <c r="DD19" s="28">
        <v>4.2000000000000003E-2</v>
      </c>
      <c r="DE19" s="28">
        <v>1.6454486666666699</v>
      </c>
      <c r="DF19" s="28">
        <v>0.189226333333333</v>
      </c>
      <c r="DG19" s="28">
        <v>5.8000000000000003E-2</v>
      </c>
      <c r="DH19" s="28">
        <v>1.9818453333333299</v>
      </c>
      <c r="DI19" s="28">
        <v>0.65608100000000003</v>
      </c>
      <c r="DJ19" s="28">
        <v>0.33646199999999998</v>
      </c>
      <c r="DK19" s="28">
        <v>0.19370999999999999</v>
      </c>
      <c r="DL19" s="28">
        <v>0.06</v>
      </c>
      <c r="DM19" s="28">
        <v>0.370813333333333</v>
      </c>
      <c r="DN19" s="28">
        <v>3.4000000000000002E-2</v>
      </c>
      <c r="DO19" s="28">
        <v>0.18641333333333401</v>
      </c>
      <c r="DP19" s="28">
        <v>0.43342126666666703</v>
      </c>
      <c r="DQ19" s="28">
        <v>0.14016799999999999</v>
      </c>
      <c r="DR19" s="28">
        <v>8.2530000000000006E-2</v>
      </c>
      <c r="DS19" s="28">
        <v>2.9000000000000001E-2</v>
      </c>
      <c r="DT19" s="28">
        <v>0.39753066666666598</v>
      </c>
      <c r="DU19" s="28">
        <v>0.25451400000000002</v>
      </c>
      <c r="DV19" s="28">
        <v>0.50824533333333299</v>
      </c>
      <c r="DW19" s="28">
        <v>0.29846375134408609</v>
      </c>
      <c r="DX19" s="34">
        <v>37.009505166666678</v>
      </c>
    </row>
    <row r="20" spans="1:128" x14ac:dyDescent="0.25">
      <c r="A20" s="24">
        <v>19</v>
      </c>
      <c r="B20" s="26">
        <v>9</v>
      </c>
      <c r="C20" s="28">
        <v>7.4825666666666693E-2</v>
      </c>
      <c r="D20" s="28">
        <v>4.9000000000000002E-2</v>
      </c>
      <c r="E20" s="28">
        <v>6.4265000000000003E-2</v>
      </c>
      <c r="F20" s="28">
        <v>1.7257480000000001</v>
      </c>
      <c r="G20" s="28">
        <v>9.0385833333333401E-2</v>
      </c>
      <c r="H20" s="28">
        <v>0.49973766666666702</v>
      </c>
      <c r="I20" s="28">
        <v>5.2999999999999999E-2</v>
      </c>
      <c r="J20" s="28">
        <v>0.14789466666666701</v>
      </c>
      <c r="K20" s="28">
        <v>0.21780333333333299</v>
      </c>
      <c r="L20" s="28">
        <v>0.27814766666666702</v>
      </c>
      <c r="M20" s="28">
        <v>9.0152999999999997E-2</v>
      </c>
      <c r="N20" s="28">
        <v>4.7E-2</v>
      </c>
      <c r="O20" s="28">
        <v>0.12545666666666699</v>
      </c>
      <c r="P20" s="28">
        <v>0.120828</v>
      </c>
      <c r="Q20" s="28">
        <v>1.4050243333333301</v>
      </c>
      <c r="R20" s="28">
        <v>0.15277633333333299</v>
      </c>
      <c r="S20" s="28">
        <v>5.3999999999999999E-2</v>
      </c>
      <c r="T20" s="28">
        <v>0.37968000000000002</v>
      </c>
      <c r="U20" s="28">
        <v>0.251919</v>
      </c>
      <c r="V20" s="28">
        <v>0.23224800000000001</v>
      </c>
      <c r="W20" s="28">
        <v>0.26208166666666699</v>
      </c>
      <c r="X20" s="28">
        <v>0.28190066666666702</v>
      </c>
      <c r="Y20" s="28">
        <v>0.14353333333333301</v>
      </c>
      <c r="Z20" s="28">
        <v>5.5E-2</v>
      </c>
      <c r="AA20" s="28">
        <v>1.1197969999999999</v>
      </c>
      <c r="AB20" s="28">
        <v>0.29512833333333399</v>
      </c>
      <c r="AC20" s="28">
        <v>7.3815000000000006E-2</v>
      </c>
      <c r="AD20" s="28">
        <v>8.0868333333333306E-2</v>
      </c>
      <c r="AE20" s="28">
        <v>0.22650999999999999</v>
      </c>
      <c r="AF20" s="28">
        <v>0.31093733333333301</v>
      </c>
      <c r="AG20" s="28">
        <v>0.200232666666667</v>
      </c>
      <c r="AH20" s="28">
        <v>4.5999999999999999E-2</v>
      </c>
      <c r="AI20" s="28">
        <v>0.197387333333333</v>
      </c>
      <c r="AJ20" s="28">
        <v>0.80293333333333305</v>
      </c>
      <c r="AK20" s="28">
        <v>0.37061873333333301</v>
      </c>
      <c r="AL20" s="28">
        <v>0.32120033333333298</v>
      </c>
      <c r="AM20" s="28">
        <v>0.55462733333333403</v>
      </c>
      <c r="AN20" s="28">
        <v>0.18216199999999999</v>
      </c>
      <c r="AO20" s="28">
        <v>0.37485566666666698</v>
      </c>
      <c r="AP20" s="28">
        <v>0.20212866666666701</v>
      </c>
      <c r="AQ20" s="28">
        <v>0.1831776</v>
      </c>
      <c r="AR20" s="28">
        <v>0.390616666666667</v>
      </c>
      <c r="AS20" s="28">
        <v>5.8000000000000003E-2</v>
      </c>
      <c r="AT20" s="28">
        <v>0.90309393333333399</v>
      </c>
      <c r="AU20" s="28">
        <v>1.25169666666667</v>
      </c>
      <c r="AV20" s="28">
        <v>8.4773333333333298E-2</v>
      </c>
      <c r="AW20" s="28">
        <v>0.06</v>
      </c>
      <c r="AX20" s="28">
        <v>0.54821766666666605</v>
      </c>
      <c r="AY20" s="28">
        <v>0.37121633333333398</v>
      </c>
      <c r="AZ20" s="28">
        <v>0.15169233333333301</v>
      </c>
      <c r="BA20" s="28">
        <v>4.3838799999999997E-2</v>
      </c>
      <c r="BB20" s="28">
        <v>0.35315800000000003</v>
      </c>
      <c r="BC20" s="28">
        <v>0.16894000000000001</v>
      </c>
      <c r="BD20" s="28">
        <v>0.23569833333333301</v>
      </c>
      <c r="BE20" s="28">
        <v>0.15383866666666701</v>
      </c>
      <c r="BF20" s="28">
        <v>6.4687333333333305E-2</v>
      </c>
      <c r="BG20" s="28">
        <v>0.130768</v>
      </c>
      <c r="BH20" s="28">
        <v>0.26612799999999998</v>
      </c>
      <c r="BI20" s="28">
        <v>1.12510933333333</v>
      </c>
      <c r="BJ20" s="28">
        <v>0.22686000000000001</v>
      </c>
      <c r="BK20" s="28">
        <v>1.000156</v>
      </c>
      <c r="BL20" s="28">
        <v>5.7277333333333298E-2</v>
      </c>
      <c r="BM20" s="28">
        <v>8.4339333333333405E-2</v>
      </c>
      <c r="BN20" s="28">
        <v>0.187233333333333</v>
      </c>
      <c r="BO20" s="28">
        <v>0.25640233333333301</v>
      </c>
      <c r="BP20" s="28">
        <v>0.05</v>
      </c>
      <c r="BQ20" s="28">
        <v>0.207265333333333</v>
      </c>
      <c r="BR20" s="28">
        <v>1.1347116666666699</v>
      </c>
      <c r="BS20" s="28">
        <v>0.5609558</v>
      </c>
      <c r="BT20" s="28">
        <v>0.239552666666667</v>
      </c>
      <c r="BU20" s="28">
        <v>0.16771533333333299</v>
      </c>
      <c r="BV20" s="28">
        <v>0.337361666666667</v>
      </c>
      <c r="BW20" s="28">
        <v>0.58738366666666697</v>
      </c>
      <c r="BX20" s="28">
        <v>0.28055099999999999</v>
      </c>
      <c r="BY20" s="28">
        <v>1.36513366666667</v>
      </c>
      <c r="BZ20" s="28">
        <v>0.28651450000000001</v>
      </c>
      <c r="CA20" s="28">
        <v>0.19646</v>
      </c>
      <c r="CB20" s="28">
        <v>0.26051999999999997</v>
      </c>
      <c r="CC20" s="28">
        <v>6.0143333333333403E-2</v>
      </c>
      <c r="CD20" s="28">
        <v>0.13707</v>
      </c>
      <c r="CE20" s="28">
        <v>4.5999999999999999E-2</v>
      </c>
      <c r="CF20" s="28">
        <v>3.9E-2</v>
      </c>
      <c r="CG20" s="28">
        <v>1.6425670000000001</v>
      </c>
      <c r="CH20" s="28">
        <v>0.21006533333333299</v>
      </c>
      <c r="CI20" s="28">
        <v>0.35262233333333298</v>
      </c>
      <c r="CJ20" s="28">
        <v>4.9000000000000002E-2</v>
      </c>
      <c r="CK20" s="28">
        <v>0.118879333333333</v>
      </c>
      <c r="CL20" s="28">
        <v>0.34744999999999998</v>
      </c>
      <c r="CM20" s="28">
        <v>0.28247666666666699</v>
      </c>
      <c r="CN20" s="28">
        <v>0.259555166666667</v>
      </c>
      <c r="CO20" s="28">
        <v>0.386346666666667</v>
      </c>
      <c r="CP20" s="28">
        <v>9.3026666666666702E-2</v>
      </c>
      <c r="CQ20" s="28">
        <v>0.15746933333333299</v>
      </c>
      <c r="CR20" s="28">
        <v>0.20681333333333299</v>
      </c>
      <c r="CS20" s="28">
        <v>0.13630200000000001</v>
      </c>
      <c r="CT20" s="28">
        <v>1.47426146666667</v>
      </c>
      <c r="CU20" s="28">
        <v>0.22131600000000001</v>
      </c>
      <c r="CV20" s="28">
        <v>6.7435999999999996E-2</v>
      </c>
      <c r="CW20" s="28">
        <v>0.04</v>
      </c>
      <c r="CX20" s="28">
        <v>0.16814799999999999</v>
      </c>
      <c r="CY20" s="28">
        <v>7.2528999999999996E-2</v>
      </c>
      <c r="CZ20" s="28">
        <v>0.28363300000000002</v>
      </c>
      <c r="DA20" s="28">
        <v>0.32949000000000001</v>
      </c>
      <c r="DB20" s="28">
        <v>5.6428666666666599E-2</v>
      </c>
      <c r="DC20" s="28">
        <v>0.32972000000000001</v>
      </c>
      <c r="DD20" s="28">
        <v>4.2000000000000003E-2</v>
      </c>
      <c r="DE20" s="28">
        <v>2.76189333333333</v>
      </c>
      <c r="DF20" s="28">
        <v>0.21814666666666699</v>
      </c>
      <c r="DG20" s="28">
        <v>0.20866333333333301</v>
      </c>
      <c r="DH20" s="28">
        <v>9.2914666666666604E-2</v>
      </c>
      <c r="DI20" s="28">
        <v>0.32242466666666703</v>
      </c>
      <c r="DJ20" s="28">
        <v>5.7000000000000002E-2</v>
      </c>
      <c r="DK20" s="28">
        <v>0.23300499999999999</v>
      </c>
      <c r="DL20" s="28">
        <v>0.06</v>
      </c>
      <c r="DM20" s="28">
        <v>0.26543666666666699</v>
      </c>
      <c r="DN20" s="28">
        <v>0.34542200000000001</v>
      </c>
      <c r="DO20" s="28">
        <v>3.7999999999999999E-2</v>
      </c>
      <c r="DP20" s="28">
        <v>0.264382333333333</v>
      </c>
      <c r="DQ20" s="28">
        <v>0.13653799999999999</v>
      </c>
      <c r="DR20" s="28">
        <v>0.16540199999999999</v>
      </c>
      <c r="DS20" s="28">
        <v>2.9000000000000001E-2</v>
      </c>
      <c r="DT20" s="28">
        <v>0.25189</v>
      </c>
      <c r="DU20" s="28">
        <v>0.662791666666666</v>
      </c>
      <c r="DV20" s="28">
        <v>0.77082700000000004</v>
      </c>
      <c r="DW20" s="28">
        <v>0.32811404973118291</v>
      </c>
      <c r="DX20" s="34">
        <v>40.686142166666677</v>
      </c>
    </row>
    <row r="21" spans="1:128" x14ac:dyDescent="0.25">
      <c r="A21" s="24">
        <v>20</v>
      </c>
      <c r="B21" s="26">
        <v>9.5</v>
      </c>
      <c r="C21" s="28">
        <v>0.170949666666667</v>
      </c>
      <c r="D21" s="28">
        <v>8.3472000000000005E-2</v>
      </c>
      <c r="E21" s="28">
        <v>6.0600000000000001E-2</v>
      </c>
      <c r="F21" s="28">
        <v>0.45200366666666703</v>
      </c>
      <c r="G21" s="28">
        <v>0.300599333333334</v>
      </c>
      <c r="H21" s="28">
        <v>0.353810666666667</v>
      </c>
      <c r="I21" s="28">
        <v>0.170805333333333</v>
      </c>
      <c r="J21" s="28">
        <v>0.25441266666666701</v>
      </c>
      <c r="K21" s="28">
        <v>0.19770733333333301</v>
      </c>
      <c r="L21" s="28">
        <v>0.265620666666667</v>
      </c>
      <c r="M21" s="28">
        <v>0.124427</v>
      </c>
      <c r="N21" s="28">
        <v>0.71019233333333298</v>
      </c>
      <c r="O21" s="28">
        <v>0.20662</v>
      </c>
      <c r="P21" s="28">
        <v>8.49346666666667E-2</v>
      </c>
      <c r="Q21" s="28">
        <v>0.38990966666666699</v>
      </c>
      <c r="R21" s="28">
        <v>0.36238199999999998</v>
      </c>
      <c r="S21" s="28">
        <v>5.3999999999999999E-2</v>
      </c>
      <c r="T21" s="28">
        <v>0.311350666666667</v>
      </c>
      <c r="U21" s="28">
        <v>0.27437066666666698</v>
      </c>
      <c r="V21" s="28">
        <v>0.29233066666666702</v>
      </c>
      <c r="W21" s="28">
        <v>8.0652000000000001E-2</v>
      </c>
      <c r="X21" s="28">
        <v>0.318711666666667</v>
      </c>
      <c r="Y21" s="28">
        <v>3.1E-2</v>
      </c>
      <c r="Z21" s="28">
        <v>5.5E-2</v>
      </c>
      <c r="AA21" s="28">
        <v>0.13272300000000001</v>
      </c>
      <c r="AB21" s="28">
        <v>0.170214</v>
      </c>
      <c r="AC21" s="28">
        <v>0.68135999999999997</v>
      </c>
      <c r="AD21" s="28">
        <v>0.70830700000000002</v>
      </c>
      <c r="AE21" s="28">
        <v>0.22650999999999999</v>
      </c>
      <c r="AF21" s="28">
        <v>0.33904899999999999</v>
      </c>
      <c r="AG21" s="28">
        <v>0.43077833333333299</v>
      </c>
      <c r="AH21" s="28">
        <v>4.5999999999999999E-2</v>
      </c>
      <c r="AI21" s="28">
        <v>0.199284666666667</v>
      </c>
      <c r="AJ21" s="28">
        <v>1.29128666666667</v>
      </c>
      <c r="AK21" s="28">
        <v>0.46512466666666602</v>
      </c>
      <c r="AL21" s="28">
        <v>0.3967</v>
      </c>
      <c r="AM21" s="28">
        <v>0.18681466666666699</v>
      </c>
      <c r="AN21" s="28">
        <v>4.7E-2</v>
      </c>
      <c r="AO21" s="28">
        <v>0.951327700000001</v>
      </c>
      <c r="AP21" s="28">
        <v>4.5999999999999999E-2</v>
      </c>
      <c r="AQ21" s="28">
        <v>0.131435</v>
      </c>
      <c r="AR21" s="28">
        <v>0.75174666666666701</v>
      </c>
      <c r="AS21" s="28">
        <v>5.8000000000000003E-2</v>
      </c>
      <c r="AT21" s="28">
        <v>0.43677899999999997</v>
      </c>
      <c r="AU21" s="28">
        <v>0.29313866666666699</v>
      </c>
      <c r="AV21" s="28">
        <v>0.256216</v>
      </c>
      <c r="AW21" s="28">
        <v>0.06</v>
      </c>
      <c r="AX21" s="28">
        <v>0.407831</v>
      </c>
      <c r="AY21" s="28">
        <v>1.40820866666667</v>
      </c>
      <c r="AZ21" s="28">
        <v>0.18804000000000001</v>
      </c>
      <c r="BA21" s="28">
        <v>8.0570533333333305E-2</v>
      </c>
      <c r="BB21" s="28">
        <v>0.31775199999999998</v>
      </c>
      <c r="BC21" s="28">
        <v>3.5000000000000003E-2</v>
      </c>
      <c r="BD21" s="28">
        <v>0.116955</v>
      </c>
      <c r="BE21" s="28">
        <v>0.124101</v>
      </c>
      <c r="BF21" s="28">
        <v>0.71408000000000005</v>
      </c>
      <c r="BG21" s="28">
        <v>2.8500000000000001E-2</v>
      </c>
      <c r="BH21" s="28">
        <v>0.24495800000000001</v>
      </c>
      <c r="BI21" s="28">
        <v>0.315832</v>
      </c>
      <c r="BJ21" s="28">
        <v>0.32142500000000002</v>
      </c>
      <c r="BK21" s="28">
        <v>1.11772</v>
      </c>
      <c r="BL21" s="28">
        <v>0.25633800000000001</v>
      </c>
      <c r="BM21" s="28">
        <v>0.39317733333333299</v>
      </c>
      <c r="BN21" s="28">
        <v>0.12479066666666699</v>
      </c>
      <c r="BO21" s="28">
        <v>8.7813333333333396E-2</v>
      </c>
      <c r="BP21" s="28">
        <v>0.18379466666666699</v>
      </c>
      <c r="BQ21" s="28">
        <v>3.9803499999999999E-2</v>
      </c>
      <c r="BR21" s="28">
        <v>0.458031666666667</v>
      </c>
      <c r="BS21" s="28">
        <v>0.202082333333333</v>
      </c>
      <c r="BT21" s="28">
        <v>0.13682</v>
      </c>
      <c r="BU21" s="28">
        <v>5.6000000000000001E-2</v>
      </c>
      <c r="BV21" s="28">
        <v>0.39991793333333298</v>
      </c>
      <c r="BW21" s="28">
        <v>0.65253799999999995</v>
      </c>
      <c r="BX21" s="28">
        <v>0.237157433333333</v>
      </c>
      <c r="BY21" s="28">
        <v>2.9296150000000001</v>
      </c>
      <c r="BZ21" s="28">
        <v>5.1520966666666598E-2</v>
      </c>
      <c r="CA21" s="28">
        <v>0.18645999999999999</v>
      </c>
      <c r="CB21" s="28">
        <v>0.23832700000000001</v>
      </c>
      <c r="CC21" s="28">
        <v>0.117146666666667</v>
      </c>
      <c r="CD21" s="28">
        <v>0.22202733333333299</v>
      </c>
      <c r="CE21" s="28">
        <v>4.5999999999999999E-2</v>
      </c>
      <c r="CF21" s="28">
        <v>0.125185666666667</v>
      </c>
      <c r="CG21" s="28">
        <v>1.36056546666667</v>
      </c>
      <c r="CH21" s="28">
        <v>8.4257600000000002E-2</v>
      </c>
      <c r="CI21" s="28">
        <v>2.8682623333333299</v>
      </c>
      <c r="CJ21" s="28">
        <v>0.59136666666666704</v>
      </c>
      <c r="CK21" s="28">
        <v>0.220257333333333</v>
      </c>
      <c r="CL21" s="28">
        <v>0.15</v>
      </c>
      <c r="CM21" s="28">
        <v>0.115891333333333</v>
      </c>
      <c r="CN21" s="28">
        <v>0.14951666666666699</v>
      </c>
      <c r="CO21" s="28">
        <v>0.26912533333333299</v>
      </c>
      <c r="CP21" s="28">
        <v>6.5933333333333302E-2</v>
      </c>
      <c r="CQ21" s="28">
        <v>0.173413333333333</v>
      </c>
      <c r="CR21" s="28">
        <v>9.4973333333333299E-2</v>
      </c>
      <c r="CS21" s="28">
        <v>5.7000000000000002E-2</v>
      </c>
      <c r="CT21" s="28">
        <v>0.17895066666666701</v>
      </c>
      <c r="CU21" s="28">
        <v>0.30318580000000001</v>
      </c>
      <c r="CV21" s="28">
        <v>0.22425300000000001</v>
      </c>
      <c r="CW21" s="28">
        <v>0.04</v>
      </c>
      <c r="CX21" s="28">
        <v>0.33113933333333301</v>
      </c>
      <c r="CY21" s="28">
        <v>8.5372000000000003E-2</v>
      </c>
      <c r="CZ21" s="28">
        <v>0.22645933333333301</v>
      </c>
      <c r="DA21" s="28">
        <v>0.23866000000000001</v>
      </c>
      <c r="DB21" s="28">
        <v>5.6428666666666703E-2</v>
      </c>
      <c r="DC21" s="28">
        <v>2.20306633333333</v>
      </c>
      <c r="DD21" s="28">
        <v>0.24456333333333299</v>
      </c>
      <c r="DE21" s="28">
        <v>1.0943273333333301</v>
      </c>
      <c r="DF21" s="28">
        <v>0.60694433333333297</v>
      </c>
      <c r="DG21" s="28">
        <v>0.21133866666666701</v>
      </c>
      <c r="DH21" s="28">
        <v>7.7440400000000006E-2</v>
      </c>
      <c r="DI21" s="28">
        <v>0.18558133333333299</v>
      </c>
      <c r="DJ21" s="28">
        <v>0.169237</v>
      </c>
      <c r="DK21" s="28">
        <v>0.26817433333333301</v>
      </c>
      <c r="DL21" s="28">
        <v>0.06</v>
      </c>
      <c r="DM21" s="28">
        <v>0.27068466666666702</v>
      </c>
      <c r="DN21" s="28">
        <v>3.4000000000000002E-2</v>
      </c>
      <c r="DO21" s="28">
        <v>9.1762333333333307E-2</v>
      </c>
      <c r="DP21" s="28">
        <v>0.30321999999999999</v>
      </c>
      <c r="DQ21" s="28">
        <v>0.58336266666666703</v>
      </c>
      <c r="DR21" s="28">
        <v>4.8000000000000001E-2</v>
      </c>
      <c r="DS21" s="28">
        <v>7.8065333333333403E-2</v>
      </c>
      <c r="DT21" s="28">
        <v>0.36964066666666701</v>
      </c>
      <c r="DU21" s="28">
        <v>5.6099999999999997E-2</v>
      </c>
      <c r="DV21" s="28">
        <v>0.34351466666666702</v>
      </c>
      <c r="DW21" s="28">
        <v>0.33597752688172072</v>
      </c>
      <c r="DX21" s="34">
        <v>41.661213333333357</v>
      </c>
    </row>
    <row r="22" spans="1:128" x14ac:dyDescent="0.25">
      <c r="A22" s="24">
        <v>21</v>
      </c>
      <c r="B22" s="26">
        <v>10</v>
      </c>
      <c r="C22" s="28">
        <v>6.3598000000000002E-2</v>
      </c>
      <c r="D22" s="28">
        <v>0.204124</v>
      </c>
      <c r="E22" s="28">
        <v>5.5500000000000001E-2</v>
      </c>
      <c r="F22" s="28">
        <v>1.1207560000000001</v>
      </c>
      <c r="G22" s="28">
        <v>4.7E-2</v>
      </c>
      <c r="H22" s="28">
        <v>0.15037666666666699</v>
      </c>
      <c r="I22" s="28">
        <v>0.204603333333333</v>
      </c>
      <c r="J22" s="28">
        <v>0.47786000000000001</v>
      </c>
      <c r="K22" s="28">
        <v>0.178373333333333</v>
      </c>
      <c r="L22" s="28">
        <v>0.41769400000000001</v>
      </c>
      <c r="M22" s="28">
        <v>0.26228000000000001</v>
      </c>
      <c r="N22" s="28">
        <v>1.1559157333333301</v>
      </c>
      <c r="O22" s="28">
        <v>0.233101</v>
      </c>
      <c r="P22" s="28">
        <v>0.291628</v>
      </c>
      <c r="Q22" s="28">
        <v>9.50926666666667E-2</v>
      </c>
      <c r="R22" s="28">
        <v>0.56505266666666698</v>
      </c>
      <c r="S22" s="28">
        <v>5.3999999999999999E-2</v>
      </c>
      <c r="T22" s="28">
        <v>0.43192399999999997</v>
      </c>
      <c r="U22" s="28">
        <v>0.37489733333333303</v>
      </c>
      <c r="V22" s="28">
        <v>0.901474000000001</v>
      </c>
      <c r="W22" s="28">
        <v>2.9241433333333302</v>
      </c>
      <c r="X22" s="28">
        <v>0.26648633333333299</v>
      </c>
      <c r="Y22" s="28">
        <v>0.104146666666667</v>
      </c>
      <c r="Z22" s="28">
        <v>0.21056566666666701</v>
      </c>
      <c r="AA22" s="28">
        <v>5.2999999999999999E-2</v>
      </c>
      <c r="AB22" s="28">
        <v>0.83867466666666701</v>
      </c>
      <c r="AC22" s="28">
        <v>2.1110000000000002</v>
      </c>
      <c r="AD22" s="28">
        <v>0.92300633333333304</v>
      </c>
      <c r="AE22" s="28">
        <v>0.22650999999999999</v>
      </c>
      <c r="AF22" s="28">
        <v>0.05</v>
      </c>
      <c r="AG22" s="28">
        <v>0.50548899999999997</v>
      </c>
      <c r="AH22" s="28">
        <v>0.05</v>
      </c>
      <c r="AI22" s="28">
        <v>0.25613200000000003</v>
      </c>
      <c r="AJ22" s="28">
        <v>0.19103999999999999</v>
      </c>
      <c r="AK22" s="28">
        <v>0.66093333333333404</v>
      </c>
      <c r="AL22" s="28">
        <v>0.181041333333333</v>
      </c>
      <c r="AM22" s="28">
        <v>0.179726</v>
      </c>
      <c r="AN22" s="28">
        <v>0.159635</v>
      </c>
      <c r="AO22" s="28">
        <v>0.2480087</v>
      </c>
      <c r="AP22" s="28">
        <v>4.5999999999999999E-2</v>
      </c>
      <c r="AQ22" s="28">
        <v>6.1041600000000001E-2</v>
      </c>
      <c r="AR22" s="28">
        <v>0.49454166666666699</v>
      </c>
      <c r="AS22" s="28">
        <v>0.20788999999999999</v>
      </c>
      <c r="AT22" s="28">
        <v>1.70103</v>
      </c>
      <c r="AU22" s="28">
        <v>0.251608</v>
      </c>
      <c r="AV22" s="28">
        <v>5.5E-2</v>
      </c>
      <c r="AW22" s="28">
        <v>0.06</v>
      </c>
      <c r="AX22" s="28">
        <v>1.3054410000000001</v>
      </c>
      <c r="AY22" s="28">
        <v>0.42293599999999998</v>
      </c>
      <c r="AZ22" s="28">
        <v>0.18804000000000001</v>
      </c>
      <c r="BA22" s="28">
        <v>0.16675999999999999</v>
      </c>
      <c r="BB22" s="28">
        <v>1.04020133333333</v>
      </c>
      <c r="BC22" s="28">
        <v>0.10267066666666699</v>
      </c>
      <c r="BD22" s="28">
        <v>0.32344200000000001</v>
      </c>
      <c r="BE22" s="28">
        <v>0.429385666666667</v>
      </c>
      <c r="BF22" s="28">
        <v>0.50249200000000005</v>
      </c>
      <c r="BG22" s="28">
        <v>0.22585566666666701</v>
      </c>
      <c r="BH22" s="28">
        <v>0.20188</v>
      </c>
      <c r="BI22" s="28">
        <v>0.29003166666666702</v>
      </c>
      <c r="BJ22" s="28">
        <v>6.3711666666666694E-2</v>
      </c>
      <c r="BK22" s="28">
        <v>0.17419933333333301</v>
      </c>
      <c r="BL22" s="28">
        <v>6.3554666666666607E-2</v>
      </c>
      <c r="BM22" s="28">
        <v>0.59628400000000004</v>
      </c>
      <c r="BN22" s="28">
        <v>0.130870666666667</v>
      </c>
      <c r="BO22" s="28">
        <v>0.10957600000000001</v>
      </c>
      <c r="BP22" s="28">
        <v>1.37974</v>
      </c>
      <c r="BQ22" s="28">
        <v>0.294913166666667</v>
      </c>
      <c r="BR22" s="28">
        <v>0.24378</v>
      </c>
      <c r="BS22" s="28">
        <v>0.45925766666666701</v>
      </c>
      <c r="BT22" s="28">
        <v>0.207044333333333</v>
      </c>
      <c r="BU22" s="28">
        <v>0.12781699999999999</v>
      </c>
      <c r="BV22" s="28">
        <v>5.00892E-2</v>
      </c>
      <c r="BW22" s="28">
        <v>0.37718933333333299</v>
      </c>
      <c r="BX22" s="28">
        <v>6.0458400000000002E-2</v>
      </c>
      <c r="BY22" s="28">
        <v>1.8908463333333301</v>
      </c>
      <c r="BZ22" s="28">
        <v>4.2999999999999997E-2</v>
      </c>
      <c r="CA22" s="28">
        <v>5.7000000000000002E-2</v>
      </c>
      <c r="CB22" s="28">
        <v>0.110551</v>
      </c>
      <c r="CC22" s="28">
        <v>5.1999999999999998E-2</v>
      </c>
      <c r="CD22" s="28">
        <v>0.13442100000000001</v>
      </c>
      <c r="CE22" s="28">
        <v>4.5999999999999999E-2</v>
      </c>
      <c r="CF22" s="28">
        <v>0.21137366666666699</v>
      </c>
      <c r="CG22" s="28">
        <v>0.95986666666666598</v>
      </c>
      <c r="CH22" s="28">
        <v>0.155295033333333</v>
      </c>
      <c r="CI22" s="28">
        <v>0.40297566666666601</v>
      </c>
      <c r="CJ22" s="28">
        <v>6.6890666666666695E-2</v>
      </c>
      <c r="CK22" s="28">
        <v>0.20933599999999999</v>
      </c>
      <c r="CL22" s="28">
        <v>0.179768333333333</v>
      </c>
      <c r="CM22" s="28">
        <v>0.257375666666667</v>
      </c>
      <c r="CN22" s="28">
        <v>0.22007133333333301</v>
      </c>
      <c r="CO22" s="28">
        <v>0.446768</v>
      </c>
      <c r="CP22" s="28">
        <v>4.9000000000000002E-2</v>
      </c>
      <c r="CQ22" s="28">
        <v>5.8000000000000003E-2</v>
      </c>
      <c r="CR22" s="28">
        <v>8.5008133333333305E-2</v>
      </c>
      <c r="CS22" s="28">
        <v>5.7000000000000002E-2</v>
      </c>
      <c r="CT22" s="28">
        <v>0.11600000000000001</v>
      </c>
      <c r="CU22" s="28">
        <v>0.4066186</v>
      </c>
      <c r="CV22" s="28">
        <v>0.31490899999999999</v>
      </c>
      <c r="CW22" s="28">
        <v>0.334382666666666</v>
      </c>
      <c r="CX22" s="28">
        <v>0.198064666666667</v>
      </c>
      <c r="CY22" s="28">
        <v>5.9686000000000003E-2</v>
      </c>
      <c r="CZ22" s="28">
        <v>0.117405466666667</v>
      </c>
      <c r="DA22" s="28">
        <v>0.26660333333333303</v>
      </c>
      <c r="DB22" s="28">
        <v>0.44319199999999997</v>
      </c>
      <c r="DC22" s="28">
        <v>0.37027033333333398</v>
      </c>
      <c r="DD22" s="28">
        <v>4.2000000000000003E-2</v>
      </c>
      <c r="DE22" s="28">
        <v>5.6000000000000001E-2</v>
      </c>
      <c r="DF22" s="28">
        <v>0.630436</v>
      </c>
      <c r="DG22" s="28">
        <v>0.366759</v>
      </c>
      <c r="DH22" s="28">
        <v>0.17074626666666701</v>
      </c>
      <c r="DI22" s="28">
        <v>0.27749200000000002</v>
      </c>
      <c r="DJ22" s="28">
        <v>0.35353166666666702</v>
      </c>
      <c r="DK22" s="28">
        <v>0.19691</v>
      </c>
      <c r="DL22" s="28">
        <v>0.06</v>
      </c>
      <c r="DM22" s="28">
        <v>0.33039733333333299</v>
      </c>
      <c r="DN22" s="28">
        <v>0.18988666666666701</v>
      </c>
      <c r="DO22" s="28">
        <v>0.231979666666667</v>
      </c>
      <c r="DP22" s="28">
        <v>0.32930733333333301</v>
      </c>
      <c r="DQ22" s="28">
        <v>0.97096333333333296</v>
      </c>
      <c r="DR22" s="28">
        <v>4.8000000000000001E-2</v>
      </c>
      <c r="DS22" s="28">
        <v>0.13414000000000001</v>
      </c>
      <c r="DT22" s="28">
        <v>1.49473533333333</v>
      </c>
      <c r="DU22" s="28">
        <v>0.36827500000000002</v>
      </c>
      <c r="DV22" s="28">
        <v>0.42735299999999998</v>
      </c>
      <c r="DW22" s="28">
        <v>0.36159769327956992</v>
      </c>
      <c r="DX22" s="34">
        <v>44.838113966666661</v>
      </c>
    </row>
    <row r="23" spans="1:128" x14ac:dyDescent="0.25">
      <c r="A23" s="24">
        <v>22</v>
      </c>
      <c r="B23" s="26">
        <v>10.5</v>
      </c>
      <c r="C23" s="28">
        <v>4.2999999999999997E-2</v>
      </c>
      <c r="D23" s="28">
        <v>4.9000000000000002E-2</v>
      </c>
      <c r="E23" s="28">
        <v>6.6000000000000003E-2</v>
      </c>
      <c r="F23" s="28">
        <v>6.8823633333333301E-2</v>
      </c>
      <c r="G23" s="28">
        <v>4.7E-2</v>
      </c>
      <c r="H23" s="28">
        <v>0.13371</v>
      </c>
      <c r="I23" s="28">
        <v>0.107296666666667</v>
      </c>
      <c r="J23" s="28">
        <v>1.92804333333333</v>
      </c>
      <c r="K23" s="28">
        <v>0.20412066666666701</v>
      </c>
      <c r="L23" s="28">
        <v>0.22468199999999999</v>
      </c>
      <c r="M23" s="28">
        <v>0.16558</v>
      </c>
      <c r="N23" s="28">
        <v>1.5850042666666699</v>
      </c>
      <c r="O23" s="28">
        <v>0.62982499999999997</v>
      </c>
      <c r="P23" s="28">
        <v>4.4999999999999998E-2</v>
      </c>
      <c r="Q23" s="28">
        <v>0.31356000000000001</v>
      </c>
      <c r="R23" s="28">
        <v>2.1664206666666699</v>
      </c>
      <c r="S23" s="28">
        <v>0.12795599999999999</v>
      </c>
      <c r="T23" s="28">
        <v>1.1412756666666699</v>
      </c>
      <c r="U23" s="28">
        <v>1.6140953333333301</v>
      </c>
      <c r="V23" s="28">
        <v>0.546474666666667</v>
      </c>
      <c r="W23" s="28">
        <v>2.93441333333333</v>
      </c>
      <c r="X23" s="28">
        <v>0.203063933333333</v>
      </c>
      <c r="Y23" s="28">
        <v>7.0386666666666597E-2</v>
      </c>
      <c r="Z23" s="28">
        <v>6.2239000000000003E-2</v>
      </c>
      <c r="AA23" s="28">
        <v>5.2999999999999999E-2</v>
      </c>
      <c r="AB23" s="28">
        <v>0.230508666666667</v>
      </c>
      <c r="AC23" s="28">
        <v>0.82799333333333403</v>
      </c>
      <c r="AD23" s="28">
        <v>0.58283600000000002</v>
      </c>
      <c r="AE23" s="28">
        <v>5.5E-2</v>
      </c>
      <c r="AF23" s="28">
        <v>0.27443000000000001</v>
      </c>
      <c r="AG23" s="28">
        <v>0.19854566666666701</v>
      </c>
      <c r="AH23" s="28">
        <v>0.21698466666666699</v>
      </c>
      <c r="AI23" s="28">
        <v>1.2573093333333301</v>
      </c>
      <c r="AJ23" s="28">
        <v>5.0999999999999997E-2</v>
      </c>
      <c r="AK23" s="28">
        <v>1.5417110000000001</v>
      </c>
      <c r="AL23" s="28">
        <v>4.4999999999999998E-2</v>
      </c>
      <c r="AM23" s="28">
        <v>0.149466666666667</v>
      </c>
      <c r="AN23" s="28">
        <v>9.9563000000000096E-2</v>
      </c>
      <c r="AO23" s="28">
        <v>0.64816200000000002</v>
      </c>
      <c r="AP23" s="28">
        <v>4.5999999999999999E-2</v>
      </c>
      <c r="AQ23" s="28">
        <v>0.31720306666666698</v>
      </c>
      <c r="AR23" s="28">
        <v>2.1864653333333299</v>
      </c>
      <c r="AS23" s="28">
        <v>0.19164466666666699</v>
      </c>
      <c r="AT23" s="28">
        <v>2.0459853333333302</v>
      </c>
      <c r="AU23" s="28">
        <v>0.30528066666666698</v>
      </c>
      <c r="AV23" s="28">
        <v>0.13687666666666701</v>
      </c>
      <c r="AW23" s="28">
        <v>0.06</v>
      </c>
      <c r="AX23" s="28">
        <v>0.328814</v>
      </c>
      <c r="AY23" s="28">
        <v>0.73415399999999997</v>
      </c>
      <c r="AZ23" s="28">
        <v>0.18804000000000001</v>
      </c>
      <c r="BA23" s="28">
        <v>0.165076</v>
      </c>
      <c r="BB23" s="28">
        <v>0.41274733333333302</v>
      </c>
      <c r="BC23" s="28">
        <v>0.115436</v>
      </c>
      <c r="BD23" s="28">
        <v>0.21810089999999999</v>
      </c>
      <c r="BE23" s="28">
        <v>1.8840934</v>
      </c>
      <c r="BF23" s="28">
        <v>0.47218433333333298</v>
      </c>
      <c r="BG23" s="28">
        <v>2.0443173333333302</v>
      </c>
      <c r="BH23" s="28">
        <v>0.31675466666666702</v>
      </c>
      <c r="BI23" s="28">
        <v>0.11695700000000001</v>
      </c>
      <c r="BJ23" s="28">
        <v>9.6850333333333399E-2</v>
      </c>
      <c r="BK23" s="28">
        <v>5.33586666666667E-2</v>
      </c>
      <c r="BL23" s="28">
        <v>9.7172999999999995E-2</v>
      </c>
      <c r="BM23" s="28">
        <v>0.40033200000000002</v>
      </c>
      <c r="BN23" s="28">
        <v>0.18115000000000001</v>
      </c>
      <c r="BO23" s="28">
        <v>0.13056000000000001</v>
      </c>
      <c r="BP23" s="28">
        <v>0.22131933333333301</v>
      </c>
      <c r="BQ23" s="28">
        <v>9.4419500000000003E-2</v>
      </c>
      <c r="BR23" s="28">
        <v>0.25428933333333298</v>
      </c>
      <c r="BS23" s="28">
        <v>0.33561233333333301</v>
      </c>
      <c r="BT23" s="28">
        <v>0.17247333333333301</v>
      </c>
      <c r="BU23" s="28">
        <v>9.5898333333333405E-2</v>
      </c>
      <c r="BV23" s="28">
        <v>4.8000000000000001E-2</v>
      </c>
      <c r="BW23" s="28">
        <v>0.32131066666666602</v>
      </c>
      <c r="BX23" s="28">
        <v>6.3439999999999996E-2</v>
      </c>
      <c r="BY23" s="28">
        <v>1.6855946666666699</v>
      </c>
      <c r="BZ23" s="28">
        <v>9.6599000000000004E-2</v>
      </c>
      <c r="CA23" s="28">
        <v>5.7000000000000002E-2</v>
      </c>
      <c r="CB23" s="28">
        <v>6.3481999999999997E-2</v>
      </c>
      <c r="CC23" s="28">
        <v>0.17991799999999999</v>
      </c>
      <c r="CD23" s="28">
        <v>7.7581666666666604E-2</v>
      </c>
      <c r="CE23" s="28">
        <v>4.5999999999999999E-2</v>
      </c>
      <c r="CF23" s="28">
        <v>7.21483333333333E-2</v>
      </c>
      <c r="CG23" s="28">
        <v>0.95021666666666704</v>
      </c>
      <c r="CH23" s="28">
        <v>9.9106666666666801E-2</v>
      </c>
      <c r="CI23" s="28">
        <v>0.363676</v>
      </c>
      <c r="CJ23" s="28">
        <v>6.9373599999999994E-2</v>
      </c>
      <c r="CK23" s="28">
        <v>0.28111033333333302</v>
      </c>
      <c r="CL23" s="28">
        <v>8.3699999999999997E-2</v>
      </c>
      <c r="CM23" s="28">
        <v>9.2053666666666603E-2</v>
      </c>
      <c r="CN23" s="28">
        <v>0.31248666666666602</v>
      </c>
      <c r="CO23" s="28">
        <v>0.14620133333333299</v>
      </c>
      <c r="CP23" s="28">
        <v>5.4091E-2</v>
      </c>
      <c r="CQ23" s="28">
        <v>0.25118119999999999</v>
      </c>
      <c r="CR23" s="28">
        <v>0.14293066666666701</v>
      </c>
      <c r="CS23" s="28">
        <v>5.7000000000000002E-2</v>
      </c>
      <c r="CT23" s="28">
        <v>0.162462</v>
      </c>
      <c r="CU23" s="28">
        <v>0.122249466666667</v>
      </c>
      <c r="CV23" s="28">
        <v>0.29946666666666699</v>
      </c>
      <c r="CW23" s="28">
        <v>8.6706666666666696E-2</v>
      </c>
      <c r="CX23" s="28">
        <v>0.29034599999999999</v>
      </c>
      <c r="CY23" s="28">
        <v>0.119706666666667</v>
      </c>
      <c r="CZ23" s="28">
        <v>0.1133952</v>
      </c>
      <c r="DA23" s="28">
        <v>0.21728466666666699</v>
      </c>
      <c r="DB23" s="28">
        <v>0.3621548</v>
      </c>
      <c r="DC23" s="28">
        <v>0.28669666666666699</v>
      </c>
      <c r="DD23" s="28">
        <v>9.4710666666666707E-2</v>
      </c>
      <c r="DE23" s="28">
        <v>0.22054000000000001</v>
      </c>
      <c r="DF23" s="28">
        <v>0.146386666666667</v>
      </c>
      <c r="DG23" s="28">
        <v>0.42779266666666699</v>
      </c>
      <c r="DH23" s="28">
        <v>0.21215719999999999</v>
      </c>
      <c r="DI23" s="28">
        <v>0.22572</v>
      </c>
      <c r="DJ23" s="28">
        <v>5.7000000000000002E-2</v>
      </c>
      <c r="DK23" s="28">
        <v>0.308802666666667</v>
      </c>
      <c r="DL23" s="28">
        <v>0.06</v>
      </c>
      <c r="DM23" s="28">
        <v>0.258826</v>
      </c>
      <c r="DN23" s="28">
        <v>0.14905333333333301</v>
      </c>
      <c r="DO23" s="28">
        <v>5.9484000000000002E-2</v>
      </c>
      <c r="DP23" s="28">
        <v>1.07545293333333</v>
      </c>
      <c r="DQ23" s="28">
        <v>4.7E-2</v>
      </c>
      <c r="DR23" s="28">
        <v>4.8000000000000001E-2</v>
      </c>
      <c r="DS23" s="28">
        <v>2.9000000000000001E-2</v>
      </c>
      <c r="DT23" s="28">
        <v>0.21889</v>
      </c>
      <c r="DU23" s="28">
        <v>8.6888333333333401E-2</v>
      </c>
      <c r="DV23" s="28">
        <v>0.53767533333333295</v>
      </c>
      <c r="DW23" s="28">
        <v>0.3795653126344084</v>
      </c>
      <c r="DX23" s="34">
        <v>47.066098766666641</v>
      </c>
    </row>
    <row r="24" spans="1:128" x14ac:dyDescent="0.25">
      <c r="A24" s="24">
        <v>23</v>
      </c>
      <c r="B24" s="26">
        <v>11</v>
      </c>
      <c r="C24" s="28">
        <v>0.11852600000000001</v>
      </c>
      <c r="D24" s="28">
        <v>0.238596</v>
      </c>
      <c r="E24" s="28">
        <v>5.0999999999999997E-2</v>
      </c>
      <c r="F24" s="28">
        <v>2.0650621999999998</v>
      </c>
      <c r="G24" s="28">
        <v>4.7E-2</v>
      </c>
      <c r="H24" s="28">
        <v>0.17136000000000001</v>
      </c>
      <c r="I24" s="28">
        <v>0.26811200000000002</v>
      </c>
      <c r="J24" s="28">
        <v>0.32623466666666601</v>
      </c>
      <c r="K24" s="28">
        <v>0.16365533333333299</v>
      </c>
      <c r="L24" s="28">
        <v>0.30506100000000003</v>
      </c>
      <c r="M24" s="28">
        <v>4.8000000000000001E-2</v>
      </c>
      <c r="N24" s="28">
        <v>1.3018333333333301</v>
      </c>
      <c r="O24" s="28">
        <v>0.199633</v>
      </c>
      <c r="P24" s="28">
        <v>0.14442833333333299</v>
      </c>
      <c r="Q24" s="28">
        <v>1.6801056666666701</v>
      </c>
      <c r="R24" s="28">
        <v>0.26426966666666701</v>
      </c>
      <c r="S24" s="28">
        <v>0.31581866666666703</v>
      </c>
      <c r="T24" s="28">
        <v>0.44843499999999997</v>
      </c>
      <c r="U24" s="28">
        <v>0.39337666666666699</v>
      </c>
      <c r="V24" s="28">
        <v>0.16825899999999999</v>
      </c>
      <c r="W24" s="28">
        <v>0.47287200000000001</v>
      </c>
      <c r="X24" s="28">
        <v>0.120126</v>
      </c>
      <c r="Y24" s="28">
        <v>3.1E-2</v>
      </c>
      <c r="Z24" s="28">
        <v>5.5E-2</v>
      </c>
      <c r="AA24" s="28">
        <v>5.2999999999999999E-2</v>
      </c>
      <c r="AB24" s="28">
        <v>0.57307666666666701</v>
      </c>
      <c r="AC24" s="28">
        <v>5.8603333333333403E-2</v>
      </c>
      <c r="AD24" s="28">
        <v>1.40202</v>
      </c>
      <c r="AE24" s="28">
        <v>5.5E-2</v>
      </c>
      <c r="AF24" s="28">
        <v>0.191198333333333</v>
      </c>
      <c r="AG24" s="28">
        <v>0.32190999999999997</v>
      </c>
      <c r="AH24" s="28">
        <v>0.75824833333333297</v>
      </c>
      <c r="AI24" s="28">
        <v>0.700942333333334</v>
      </c>
      <c r="AJ24" s="28">
        <v>0.20660000000000001</v>
      </c>
      <c r="AK24" s="28">
        <v>0.46662666666666702</v>
      </c>
      <c r="AL24" s="28">
        <v>0.21151066666666701</v>
      </c>
      <c r="AM24" s="28">
        <v>0.39513900000000002</v>
      </c>
      <c r="AN24" s="28">
        <v>0.107072</v>
      </c>
      <c r="AO24" s="28">
        <v>1.4120333333333299</v>
      </c>
      <c r="AP24" s="28">
        <v>4.5999999999999999E-2</v>
      </c>
      <c r="AQ24" s="28">
        <v>6.5820266666666599E-2</v>
      </c>
      <c r="AR24" s="28">
        <v>2.64903333333333</v>
      </c>
      <c r="AS24" s="28">
        <v>5.8000000000000003E-2</v>
      </c>
      <c r="AT24" s="28">
        <v>0.85965539999999996</v>
      </c>
      <c r="AU24" s="28">
        <v>0.25946599999999997</v>
      </c>
      <c r="AV24" s="28">
        <v>0.17049466666666699</v>
      </c>
      <c r="AW24" s="28">
        <v>0.17536499999999999</v>
      </c>
      <c r="AX24" s="28">
        <v>0.51771433333333305</v>
      </c>
      <c r="AY24" s="28">
        <v>0.65344633333333302</v>
      </c>
      <c r="AZ24" s="28">
        <v>0.22403999999999999</v>
      </c>
      <c r="BA24" s="28">
        <v>0.37212600000000001</v>
      </c>
      <c r="BB24" s="28">
        <v>0.38654566666666701</v>
      </c>
      <c r="BC24" s="28">
        <v>6.2859999999999999E-2</v>
      </c>
      <c r="BD24" s="28">
        <v>0.11374593333333299</v>
      </c>
      <c r="BE24" s="28">
        <v>0.25683600000000001</v>
      </c>
      <c r="BF24" s="28">
        <v>0.118789666666667</v>
      </c>
      <c r="BG24" s="28">
        <v>0.51288966666666702</v>
      </c>
      <c r="BH24" s="28">
        <v>0.22977</v>
      </c>
      <c r="BI24" s="28">
        <v>0.21849666666666701</v>
      </c>
      <c r="BJ24" s="28">
        <v>4.2999999999999997E-2</v>
      </c>
      <c r="BK24" s="28">
        <v>6.0038333333333402E-2</v>
      </c>
      <c r="BL24" s="28">
        <v>0.153669</v>
      </c>
      <c r="BM24" s="28">
        <v>0.85933466666666702</v>
      </c>
      <c r="BN24" s="28">
        <v>0.25059999999999999</v>
      </c>
      <c r="BO24" s="28">
        <v>0.10736</v>
      </c>
      <c r="BP24" s="28">
        <v>2.5823913333333302</v>
      </c>
      <c r="BQ24" s="28">
        <v>0.18033299999999999</v>
      </c>
      <c r="BR24" s="28">
        <v>9.6365000000000006E-2</v>
      </c>
      <c r="BS24" s="28">
        <v>0.118276333333333</v>
      </c>
      <c r="BT24" s="28">
        <v>0.13682</v>
      </c>
      <c r="BU24" s="28">
        <v>5.6000000000000001E-2</v>
      </c>
      <c r="BV24" s="28">
        <v>4.8000000000000001E-2</v>
      </c>
      <c r="BW24" s="28">
        <v>0.24242466666666701</v>
      </c>
      <c r="BX24" s="28">
        <v>0.1132</v>
      </c>
      <c r="BY24" s="28">
        <v>8.4704000000000002E-2</v>
      </c>
      <c r="BZ24" s="28">
        <v>0.157855</v>
      </c>
      <c r="CA24" s="28">
        <v>5.7000000000000002E-2</v>
      </c>
      <c r="CB24" s="28">
        <v>0.36749266666666702</v>
      </c>
      <c r="CC24" s="28">
        <v>0.13966799999999999</v>
      </c>
      <c r="CD24" s="28">
        <v>0.35839733333333301</v>
      </c>
      <c r="CE24" s="28">
        <v>4.5999999999999999E-2</v>
      </c>
      <c r="CF24" s="28">
        <v>0.26441100000000001</v>
      </c>
      <c r="CG24" s="28">
        <v>0.122896266666667</v>
      </c>
      <c r="CH24" s="28">
        <v>4.7E-2</v>
      </c>
      <c r="CI24" s="28">
        <v>0.25523499999999999</v>
      </c>
      <c r="CJ24" s="28">
        <v>1.04024133333333</v>
      </c>
      <c r="CK24" s="28">
        <v>0.104465</v>
      </c>
      <c r="CL24" s="28">
        <v>0.32245000000000001</v>
      </c>
      <c r="CM24" s="28">
        <v>9.3091999999999994E-2</v>
      </c>
      <c r="CN24" s="28">
        <v>1.91319533333333</v>
      </c>
      <c r="CO24" s="28">
        <v>5.1999999999999998E-2</v>
      </c>
      <c r="CP24" s="28">
        <v>7.9546000000000103E-2</v>
      </c>
      <c r="CQ24" s="28">
        <v>0.1290472</v>
      </c>
      <c r="CR24" s="28">
        <v>0.120626</v>
      </c>
      <c r="CS24" s="28">
        <v>0.10986799999999999</v>
      </c>
      <c r="CT24" s="28">
        <v>0.17739333333333299</v>
      </c>
      <c r="CU24" s="28">
        <v>0.20459633333333299</v>
      </c>
      <c r="CV24" s="28">
        <v>0.25000600000000001</v>
      </c>
      <c r="CW24" s="28">
        <v>0.217532</v>
      </c>
      <c r="CX24" s="28">
        <v>0.47387200000000002</v>
      </c>
      <c r="CY24" s="28">
        <v>0.41452800000000001</v>
      </c>
      <c r="CZ24" s="28">
        <v>0.55776313333333305</v>
      </c>
      <c r="DA24" s="28">
        <v>0.21479000000000001</v>
      </c>
      <c r="DB24" s="28">
        <v>0.39650479999999999</v>
      </c>
      <c r="DC24" s="28">
        <v>0.33226966666666702</v>
      </c>
      <c r="DD24" s="28">
        <v>6.2273333333333403E-2</v>
      </c>
      <c r="DE24" s="28">
        <v>0.117437333333333</v>
      </c>
      <c r="DF24" s="28">
        <v>0.28801533333333301</v>
      </c>
      <c r="DG24" s="28">
        <v>0.42492400000000002</v>
      </c>
      <c r="DH24" s="28">
        <v>9.6803999999999904E-2</v>
      </c>
      <c r="DI24" s="28">
        <v>0.12623733333333301</v>
      </c>
      <c r="DJ24" s="28">
        <v>0.16390766666666701</v>
      </c>
      <c r="DK24" s="28">
        <v>0.23811233333333401</v>
      </c>
      <c r="DL24" s="28">
        <v>8.9663000000000007E-2</v>
      </c>
      <c r="DM24" s="28">
        <v>0.28309066666666699</v>
      </c>
      <c r="DN24" s="28">
        <v>3.4000000000000002E-2</v>
      </c>
      <c r="DO24" s="28">
        <v>0.206967333333333</v>
      </c>
      <c r="DP24" s="28">
        <v>0.167091666666667</v>
      </c>
      <c r="DQ24" s="28">
        <v>0.155696</v>
      </c>
      <c r="DR24" s="28">
        <v>0.199932</v>
      </c>
      <c r="DS24" s="28">
        <v>0.340897333333333</v>
      </c>
      <c r="DT24" s="28">
        <v>0.70035866666666702</v>
      </c>
      <c r="DU24" s="28">
        <v>0.107799333333333</v>
      </c>
      <c r="DV24" s="28">
        <v>0.476314666666667</v>
      </c>
      <c r="DW24" s="28">
        <v>0.34430338602150512</v>
      </c>
      <c r="DX24" s="34">
        <v>42.693619866666637</v>
      </c>
    </row>
    <row r="25" spans="1:128" x14ac:dyDescent="0.25">
      <c r="A25" s="24">
        <v>24</v>
      </c>
      <c r="B25" s="26">
        <v>11.5</v>
      </c>
      <c r="C25" s="28">
        <v>0.104794</v>
      </c>
      <c r="D25" s="28">
        <v>4.9000000000000002E-2</v>
      </c>
      <c r="E25" s="28">
        <v>5.0999999999999997E-2</v>
      </c>
      <c r="F25" s="28">
        <v>4.6403433333333401</v>
      </c>
      <c r="G25" s="28">
        <v>5.2543333333333303E-2</v>
      </c>
      <c r="H25" s="28">
        <v>0.16457333333333299</v>
      </c>
      <c r="I25" s="28">
        <v>9.0333333333333293E-2</v>
      </c>
      <c r="J25" s="28">
        <v>9.7040666666666706E-2</v>
      </c>
      <c r="K25" s="28">
        <v>0.36342466666666701</v>
      </c>
      <c r="L25" s="28">
        <v>0.52044400000000002</v>
      </c>
      <c r="M25" s="28">
        <v>8.9152999999999996E-2</v>
      </c>
      <c r="N25" s="28">
        <v>0.55852666666666695</v>
      </c>
      <c r="O25" s="28">
        <v>1.565512</v>
      </c>
      <c r="P25" s="28">
        <v>0.195958666666667</v>
      </c>
      <c r="Q25" s="28">
        <v>0.18523000000000001</v>
      </c>
      <c r="R25" s="28">
        <v>1.67849933333333</v>
      </c>
      <c r="S25" s="28">
        <v>0.34380066666666698</v>
      </c>
      <c r="T25" s="28">
        <v>7.7055999999999999E-2</v>
      </c>
      <c r="U25" s="28">
        <v>0.58642766666666701</v>
      </c>
      <c r="V25" s="28">
        <v>9.1134999999999994E-2</v>
      </c>
      <c r="W25" s="28">
        <v>0.319199333333333</v>
      </c>
      <c r="X25" s="28">
        <v>0.21568733333333301</v>
      </c>
      <c r="Y25" s="28">
        <v>0.122329666666667</v>
      </c>
      <c r="Z25" s="28">
        <v>9.1194999999999998E-2</v>
      </c>
      <c r="AA25" s="28">
        <v>0.13806499999999999</v>
      </c>
      <c r="AB25" s="28">
        <v>0.31069600000000003</v>
      </c>
      <c r="AC25" s="28">
        <v>0.186011333333333</v>
      </c>
      <c r="AD25" s="28">
        <v>0.210910666666667</v>
      </c>
      <c r="AE25" s="28">
        <v>5.5E-2</v>
      </c>
      <c r="AF25" s="28">
        <v>0.13548099999999999</v>
      </c>
      <c r="AG25" s="28">
        <v>0.57373866666666595</v>
      </c>
      <c r="AH25" s="28">
        <v>0.56957999999999998</v>
      </c>
      <c r="AI25" s="28">
        <v>0.214723833333333</v>
      </c>
      <c r="AJ25" s="28">
        <v>6.6559999999999994E-2</v>
      </c>
      <c r="AK25" s="28">
        <v>0.102987933333333</v>
      </c>
      <c r="AL25" s="28">
        <v>4.4999999999999998E-2</v>
      </c>
      <c r="AM25" s="28">
        <v>1.2828613333333301</v>
      </c>
      <c r="AN25" s="28">
        <v>0.15212600000000001</v>
      </c>
      <c r="AO25" s="28">
        <v>2.5110394</v>
      </c>
      <c r="AP25" s="28">
        <v>4.5999999999999999E-2</v>
      </c>
      <c r="AQ25" s="28">
        <v>0.15481</v>
      </c>
      <c r="AR25" s="28">
        <v>0.72302666666666604</v>
      </c>
      <c r="AS25" s="28">
        <v>5.8000000000000003E-2</v>
      </c>
      <c r="AT25" s="28">
        <v>0.2200056</v>
      </c>
      <c r="AU25" s="28">
        <v>1.0785439999999999</v>
      </c>
      <c r="AV25" s="28">
        <v>0.118391333333333</v>
      </c>
      <c r="AW25" s="28">
        <v>0.90912266666666597</v>
      </c>
      <c r="AX25" s="28">
        <v>0.31189966666666702</v>
      </c>
      <c r="AY25" s="28">
        <v>0.41217999999999999</v>
      </c>
      <c r="AZ25" s="28">
        <v>0.16383200000000001</v>
      </c>
      <c r="BA25" s="28">
        <v>0.18024000000000001</v>
      </c>
      <c r="BB25" s="28">
        <v>0.12540000000000001</v>
      </c>
      <c r="BC25" s="28">
        <v>0.12941333333333299</v>
      </c>
      <c r="BD25" s="28">
        <v>1.26770433333333</v>
      </c>
      <c r="BE25" s="28">
        <v>1.1736850000000001</v>
      </c>
      <c r="BF25" s="28">
        <v>7.2377399999999995E-2</v>
      </c>
      <c r="BG25" s="28">
        <v>0.651745666666667</v>
      </c>
      <c r="BH25" s="28">
        <v>0.12345399999999999</v>
      </c>
      <c r="BI25" s="28">
        <v>0.52226333333333297</v>
      </c>
      <c r="BJ25" s="28">
        <v>4.2999999999999997E-2</v>
      </c>
      <c r="BK25" s="28">
        <v>0.497985333333333</v>
      </c>
      <c r="BL25" s="28">
        <v>0.120050666666667</v>
      </c>
      <c r="BM25" s="28">
        <v>2.7715000000000001</v>
      </c>
      <c r="BN25" s="28">
        <v>0.22461800000000001</v>
      </c>
      <c r="BO25" s="28">
        <v>0.27272333333333298</v>
      </c>
      <c r="BP25" s="28">
        <v>1.09727666666667</v>
      </c>
      <c r="BQ25" s="28">
        <v>0.28033799999999998</v>
      </c>
      <c r="BR25" s="28">
        <v>9.6365000000000006E-2</v>
      </c>
      <c r="BS25" s="28">
        <v>0.57118766666666698</v>
      </c>
      <c r="BT25" s="28">
        <v>0.22558266666666699</v>
      </c>
      <c r="BU25" s="28">
        <v>0.16771533333333299</v>
      </c>
      <c r="BV25" s="28">
        <v>4.8000000000000001E-2</v>
      </c>
      <c r="BW25" s="28">
        <v>0.05</v>
      </c>
      <c r="BX25" s="28">
        <v>5.0999999999999997E-2</v>
      </c>
      <c r="BY25" s="28">
        <v>0.28084999999999999</v>
      </c>
      <c r="BZ25" s="28">
        <v>4.2999999999999997E-2</v>
      </c>
      <c r="CA25" s="28">
        <v>5.7000000000000002E-2</v>
      </c>
      <c r="CB25" s="28">
        <v>1.55582</v>
      </c>
      <c r="CC25" s="28">
        <v>0.11668000000000001</v>
      </c>
      <c r="CD25" s="28">
        <v>0.94413873333333298</v>
      </c>
      <c r="CE25" s="28">
        <v>4.5999999999999999E-2</v>
      </c>
      <c r="CF25" s="28">
        <v>3.9E-2</v>
      </c>
      <c r="CG25" s="28">
        <v>0.10024</v>
      </c>
      <c r="CH25" s="28">
        <v>0.36807000000000001</v>
      </c>
      <c r="CI25" s="28">
        <v>0.31507933333333299</v>
      </c>
      <c r="CJ25" s="28">
        <v>0.25865453333333399</v>
      </c>
      <c r="CK25" s="28">
        <v>0.26775900000000002</v>
      </c>
      <c r="CL25" s="28">
        <v>0.107736766666667</v>
      </c>
      <c r="CM25" s="28">
        <v>0.23700399999999999</v>
      </c>
      <c r="CN25" s="28">
        <v>1.1067973333333301</v>
      </c>
      <c r="CO25" s="28">
        <v>0.27805000000000002</v>
      </c>
      <c r="CP25" s="28">
        <v>0.38130380000000003</v>
      </c>
      <c r="CQ25" s="28">
        <v>0.24882699999999999</v>
      </c>
      <c r="CR25" s="28">
        <v>0.16824</v>
      </c>
      <c r="CS25" s="28">
        <v>8.3433999999999994E-2</v>
      </c>
      <c r="CT25" s="28">
        <v>0.186205333333333</v>
      </c>
      <c r="CU25" s="28">
        <v>0.54462999999999995</v>
      </c>
      <c r="CV25" s="28">
        <v>0.56579299999999999</v>
      </c>
      <c r="CW25" s="28">
        <v>0.17930499999999999</v>
      </c>
      <c r="CX25" s="28">
        <v>0.59897650000000002</v>
      </c>
      <c r="CY25" s="28">
        <v>0.168023333333333</v>
      </c>
      <c r="CZ25" s="28">
        <v>0.265158333333334</v>
      </c>
      <c r="DA25" s="28">
        <v>0.20392199999999999</v>
      </c>
      <c r="DB25" s="28">
        <v>0.1465108</v>
      </c>
      <c r="DC25" s="28">
        <v>0.22053500000000001</v>
      </c>
      <c r="DD25" s="28">
        <v>4.2000000000000003E-2</v>
      </c>
      <c r="DE25" s="28">
        <v>0.196866666666667</v>
      </c>
      <c r="DF25" s="28">
        <v>0.29430133333333303</v>
      </c>
      <c r="DG25" s="28">
        <v>4.2310333333333299</v>
      </c>
      <c r="DH25" s="28">
        <v>0.05</v>
      </c>
      <c r="DI25" s="28">
        <v>0.37100666666666698</v>
      </c>
      <c r="DJ25" s="28">
        <v>0.25541566666666699</v>
      </c>
      <c r="DK25" s="28">
        <v>5.3999999999999999E-2</v>
      </c>
      <c r="DL25" s="28">
        <v>9.86740333333333E-2</v>
      </c>
      <c r="DM25" s="28">
        <v>0.15077866666666701</v>
      </c>
      <c r="DN25" s="28">
        <v>0.255948333333333</v>
      </c>
      <c r="DO25" s="28">
        <v>0.18686866666666699</v>
      </c>
      <c r="DP25" s="28">
        <v>1.1581980000000001</v>
      </c>
      <c r="DQ25" s="28">
        <v>0.14171400000000001</v>
      </c>
      <c r="DR25" s="28">
        <v>4.8000000000000001E-2</v>
      </c>
      <c r="DS25" s="28">
        <v>0.30540699999999998</v>
      </c>
      <c r="DT25" s="28">
        <v>1.88100666666667</v>
      </c>
      <c r="DU25" s="28">
        <v>0.142420666666667</v>
      </c>
      <c r="DV25" s="28">
        <v>0.63893299999999997</v>
      </c>
      <c r="DW25" s="28">
        <v>0.43832856720430091</v>
      </c>
      <c r="DX25" s="34">
        <v>54.35274233333331</v>
      </c>
    </row>
    <row r="26" spans="1:128" x14ac:dyDescent="0.25">
      <c r="A26" s="24">
        <v>25</v>
      </c>
      <c r="B26" s="26">
        <v>12</v>
      </c>
      <c r="C26" s="28">
        <v>9.7928000000000001E-2</v>
      </c>
      <c r="D26" s="28">
        <v>9.2090000000000005E-2</v>
      </c>
      <c r="E26" s="28">
        <v>5.0999999999999997E-2</v>
      </c>
      <c r="F26" s="28">
        <v>0.55664000000000002</v>
      </c>
      <c r="G26" s="28">
        <v>4.7E-2</v>
      </c>
      <c r="H26" s="28">
        <v>0.15469333333333299</v>
      </c>
      <c r="I26" s="28">
        <v>0.278882666666667</v>
      </c>
      <c r="J26" s="28">
        <v>0.30078033333333298</v>
      </c>
      <c r="K26" s="28">
        <v>0.47518633333333299</v>
      </c>
      <c r="L26" s="28">
        <v>0.51976</v>
      </c>
      <c r="M26" s="28">
        <v>0.124427</v>
      </c>
      <c r="N26" s="28">
        <v>0.15414666666666699</v>
      </c>
      <c r="O26" s="28">
        <v>0.68045733333333303</v>
      </c>
      <c r="P26" s="28">
        <v>4.4999999999999998E-2</v>
      </c>
      <c r="Q26" s="28">
        <v>0.353636333333333</v>
      </c>
      <c r="R26" s="28">
        <v>0.36636333333333299</v>
      </c>
      <c r="S26" s="28">
        <v>0.73083733333333301</v>
      </c>
      <c r="T26" s="28">
        <v>0.29817700000000003</v>
      </c>
      <c r="U26" s="28">
        <v>1.41419266666667</v>
      </c>
      <c r="V26" s="28">
        <v>0.12969700000000001</v>
      </c>
      <c r="W26" s="28">
        <v>7.2488999999999998E-2</v>
      </c>
      <c r="X26" s="28">
        <v>5.7000000000000002E-2</v>
      </c>
      <c r="Y26" s="28">
        <v>6.6543599999999994E-2</v>
      </c>
      <c r="Z26" s="28">
        <v>0.178063</v>
      </c>
      <c r="AA26" s="28">
        <v>0.33164866666666698</v>
      </c>
      <c r="AB26" s="28">
        <v>0.32685399999999998</v>
      </c>
      <c r="AC26" s="28">
        <v>0.12742999999999999</v>
      </c>
      <c r="AD26" s="28">
        <v>0.218393</v>
      </c>
      <c r="AE26" s="28">
        <v>5.5E-2</v>
      </c>
      <c r="AF26" s="28">
        <v>8.1084000000000003E-2</v>
      </c>
      <c r="AG26" s="28">
        <v>0.29650199999999999</v>
      </c>
      <c r="AH26" s="28">
        <v>0.16066666666666701</v>
      </c>
      <c r="AI26" s="28">
        <v>0.26186799999999999</v>
      </c>
      <c r="AJ26" s="28">
        <v>5.8779999999999999E-2</v>
      </c>
      <c r="AK26" s="28">
        <v>0.58110866666666705</v>
      </c>
      <c r="AL26" s="28">
        <v>4.4999999999999998E-2</v>
      </c>
      <c r="AM26" s="28">
        <v>0.19919999999999999</v>
      </c>
      <c r="AN26" s="28">
        <v>4.7E-2</v>
      </c>
      <c r="AO26" s="28">
        <v>0.45829700000000001</v>
      </c>
      <c r="AP26" s="28">
        <v>4.5999999999999999E-2</v>
      </c>
      <c r="AQ26" s="28">
        <v>0.86746999999999996</v>
      </c>
      <c r="AR26" s="28">
        <v>5.5E-2</v>
      </c>
      <c r="AS26" s="28">
        <v>5.8000000000000003E-2</v>
      </c>
      <c r="AT26" s="28">
        <v>1.6620933333333301</v>
      </c>
      <c r="AU26" s="28">
        <v>0.31390400000000002</v>
      </c>
      <c r="AV26" s="28">
        <v>0.23753933333333299</v>
      </c>
      <c r="AW26" s="28">
        <v>0.128033333333333</v>
      </c>
      <c r="AX26" s="28">
        <v>0.27978666666666702</v>
      </c>
      <c r="AY26" s="28">
        <v>0.37063166666666703</v>
      </c>
      <c r="AZ26" s="28">
        <v>5.3066666666666699E-2</v>
      </c>
      <c r="BA26" s="28">
        <v>0.16249333333333299</v>
      </c>
      <c r="BB26" s="28">
        <v>0.13771800000000001</v>
      </c>
      <c r="BC26" s="28">
        <v>3.08333333333334E-2</v>
      </c>
      <c r="BD26" s="28">
        <v>1.32850333333333</v>
      </c>
      <c r="BE26" s="28">
        <v>1.237738</v>
      </c>
      <c r="BF26" s="28">
        <v>1.7641239333333301</v>
      </c>
      <c r="BG26" s="28">
        <v>0.21639</v>
      </c>
      <c r="BH26" s="28">
        <v>0.31675466666666602</v>
      </c>
      <c r="BI26" s="28">
        <v>2.0402823333333302</v>
      </c>
      <c r="BJ26" s="28">
        <v>4.2999999999999997E-2</v>
      </c>
      <c r="BK26" s="28">
        <v>4.8000000000000001E-2</v>
      </c>
      <c r="BL26" s="28">
        <v>5.0999999999999997E-2</v>
      </c>
      <c r="BM26" s="28">
        <v>2.6415199999999999</v>
      </c>
      <c r="BN26" s="28">
        <v>6.7570666666666598E-2</v>
      </c>
      <c r="BO26" s="28">
        <v>0.164033333333333</v>
      </c>
      <c r="BP26" s="28">
        <v>1.7195069333333299</v>
      </c>
      <c r="BQ26" s="28">
        <v>0.112</v>
      </c>
      <c r="BR26" s="28">
        <v>0.19412299999999999</v>
      </c>
      <c r="BS26" s="28">
        <v>0.38073299999999999</v>
      </c>
      <c r="BT26" s="28">
        <v>0.13682</v>
      </c>
      <c r="BU26" s="28">
        <v>5.6000000000000001E-2</v>
      </c>
      <c r="BV26" s="28">
        <v>4.8000000000000001E-2</v>
      </c>
      <c r="BW26" s="28">
        <v>0.24988433333333299</v>
      </c>
      <c r="BX26" s="28">
        <v>0.20408000000000001</v>
      </c>
      <c r="BY26" s="28">
        <v>0.14665966666666699</v>
      </c>
      <c r="BZ26" s="28">
        <v>0.267092</v>
      </c>
      <c r="CA26" s="28">
        <v>5.7000000000000002E-2</v>
      </c>
      <c r="CB26" s="28">
        <v>0.25452000000000002</v>
      </c>
      <c r="CC26" s="28">
        <v>0.228126</v>
      </c>
      <c r="CD26" s="28">
        <v>0.30632160000000003</v>
      </c>
      <c r="CE26" s="28">
        <v>4.5999999999999999E-2</v>
      </c>
      <c r="CF26" s="28">
        <v>0.204080333333333</v>
      </c>
      <c r="CG26" s="28">
        <v>0.200604</v>
      </c>
      <c r="CH26" s="28">
        <v>9.6410000000000107E-2</v>
      </c>
      <c r="CI26" s="28">
        <v>0.117696</v>
      </c>
      <c r="CJ26" s="28">
        <v>4.9000000000000002E-2</v>
      </c>
      <c r="CK26" s="28">
        <v>6.9648333333333298E-2</v>
      </c>
      <c r="CL26" s="28">
        <v>6.1728999999999999E-2</v>
      </c>
      <c r="CM26" s="28">
        <v>0.110115133333333</v>
      </c>
      <c r="CN26" s="28">
        <v>1.3464993333333299</v>
      </c>
      <c r="CO26" s="28">
        <v>7.2186E-2</v>
      </c>
      <c r="CP26" s="28">
        <v>7.0480000000000001E-2</v>
      </c>
      <c r="CQ26" s="28">
        <v>0.109803333333333</v>
      </c>
      <c r="CR26" s="28">
        <v>0.49056866666666699</v>
      </c>
      <c r="CS26" s="28">
        <v>5.7000000000000002E-2</v>
      </c>
      <c r="CT26" s="28">
        <v>1.627667</v>
      </c>
      <c r="CU26" s="28">
        <v>1.7556449999999999</v>
      </c>
      <c r="CV26" s="28">
        <v>0.23608399999999999</v>
      </c>
      <c r="CW26" s="28">
        <v>0.29587999999999998</v>
      </c>
      <c r="CX26" s="28">
        <v>1.183929</v>
      </c>
      <c r="CY26" s="28">
        <v>0.249285333333333</v>
      </c>
      <c r="CZ26" s="28">
        <v>0.192024</v>
      </c>
      <c r="DA26" s="28">
        <v>6.6683333333333303E-2</v>
      </c>
      <c r="DB26" s="28">
        <v>0.30792439999999999</v>
      </c>
      <c r="DC26" s="28">
        <v>0.22178</v>
      </c>
      <c r="DD26" s="28">
        <v>4.2000000000000003E-2</v>
      </c>
      <c r="DE26" s="28">
        <v>1.6702633333333301</v>
      </c>
      <c r="DF26" s="28">
        <v>0.35491333333333402</v>
      </c>
      <c r="DG26" s="28">
        <v>3.2232266666666698</v>
      </c>
      <c r="DH26" s="28">
        <v>8.9573333333333297E-2</v>
      </c>
      <c r="DI26" s="28">
        <v>6.7522666666666703E-2</v>
      </c>
      <c r="DJ26" s="28">
        <v>0.22718866666666701</v>
      </c>
      <c r="DK26" s="28">
        <v>0.25716366666666701</v>
      </c>
      <c r="DL26" s="28">
        <v>0.06</v>
      </c>
      <c r="DM26" s="28">
        <v>1.0042546666666701</v>
      </c>
      <c r="DN26" s="28">
        <v>0.33553539999999998</v>
      </c>
      <c r="DO26" s="28">
        <v>0.29650700000000002</v>
      </c>
      <c r="DP26" s="28">
        <v>2.1677266666666699</v>
      </c>
      <c r="DQ26" s="28">
        <v>4.7E-2</v>
      </c>
      <c r="DR26" s="28">
        <v>0.14468400000000001</v>
      </c>
      <c r="DS26" s="28">
        <v>3.60093333333334E-2</v>
      </c>
      <c r="DT26" s="28">
        <v>7.9954666666666702E-2</v>
      </c>
      <c r="DU26" s="28">
        <v>6.7488666666666697E-2</v>
      </c>
      <c r="DV26" s="28">
        <v>2.14759066666667</v>
      </c>
      <c r="DW26" s="28">
        <v>0.40914113172042998</v>
      </c>
      <c r="DX26" s="34">
        <v>50.733500333333318</v>
      </c>
    </row>
    <row r="27" spans="1:128" x14ac:dyDescent="0.25">
      <c r="A27" s="24">
        <v>26</v>
      </c>
      <c r="B27" s="26">
        <v>12.5</v>
      </c>
      <c r="C27" s="28">
        <v>0.125392</v>
      </c>
      <c r="D27" s="28">
        <v>0.19976566666666701</v>
      </c>
      <c r="E27" s="28">
        <v>5.0999999999999997E-2</v>
      </c>
      <c r="F27" s="28">
        <v>5.8999999999999997E-2</v>
      </c>
      <c r="G27" s="28">
        <v>4.7E-2</v>
      </c>
      <c r="H27" s="28">
        <v>0.20716333333333301</v>
      </c>
      <c r="I27" s="28">
        <v>0.23477799999999999</v>
      </c>
      <c r="J27" s="28">
        <v>0.17386033333333301</v>
      </c>
      <c r="K27" s="28">
        <v>0.34259066666666699</v>
      </c>
      <c r="L27" s="28">
        <v>7.0051000000000002E-2</v>
      </c>
      <c r="M27" s="28">
        <v>4.8000000000000001E-2</v>
      </c>
      <c r="N27" s="28">
        <v>4.7E-2</v>
      </c>
      <c r="O27" s="28">
        <v>0.55496333333333303</v>
      </c>
      <c r="P27" s="28">
        <v>0.27109066666666698</v>
      </c>
      <c r="Q27" s="28">
        <v>0.139207</v>
      </c>
      <c r="R27" s="28">
        <v>1.75717026666667</v>
      </c>
      <c r="S27" s="28">
        <v>0.15536666666666701</v>
      </c>
      <c r="T27" s="28">
        <v>9.7993666666666604E-2</v>
      </c>
      <c r="U27" s="28">
        <v>0.87439599999999995</v>
      </c>
      <c r="V27" s="28">
        <v>0.12969700000000001</v>
      </c>
      <c r="W27" s="28">
        <v>4.8000000000000001E-2</v>
      </c>
      <c r="X27" s="28">
        <v>0.17545333333333299</v>
      </c>
      <c r="Y27" s="28">
        <v>8.7266666666666701E-2</v>
      </c>
      <c r="Z27" s="28">
        <v>5.5E-2</v>
      </c>
      <c r="AA27" s="28">
        <v>8.2834966666666704E-2</v>
      </c>
      <c r="AB27" s="28">
        <v>0.50257366666666703</v>
      </c>
      <c r="AC27" s="28">
        <v>0.05</v>
      </c>
      <c r="AD27" s="28">
        <v>8.2171666666666698E-2</v>
      </c>
      <c r="AE27" s="28">
        <v>5.5E-2</v>
      </c>
      <c r="AF27" s="28">
        <v>0.41430800000000001</v>
      </c>
      <c r="AG27" s="28">
        <v>0.32563900000000001</v>
      </c>
      <c r="AH27" s="28">
        <v>6.8000000000000005E-2</v>
      </c>
      <c r="AI27" s="28">
        <v>0.25078499999999998</v>
      </c>
      <c r="AJ27" s="28">
        <v>0.21437999999999999</v>
      </c>
      <c r="AK27" s="28">
        <v>1.3935507333333299</v>
      </c>
      <c r="AL27" s="28">
        <v>0.427037733333333</v>
      </c>
      <c r="AM27" s="28">
        <v>0.36308733333333298</v>
      </c>
      <c r="AN27" s="28">
        <v>0.12959899999999999</v>
      </c>
      <c r="AO27" s="28">
        <v>0.15307733333333301</v>
      </c>
      <c r="AP27" s="28">
        <v>4.5999999999999999E-2</v>
      </c>
      <c r="AQ27" s="28">
        <v>0.120875</v>
      </c>
      <c r="AR27" s="28">
        <v>5.5E-2</v>
      </c>
      <c r="AS27" s="28">
        <v>0.29893799999999998</v>
      </c>
      <c r="AT27" s="28">
        <v>0.228882</v>
      </c>
      <c r="AU27" s="28">
        <v>0.230842666666667</v>
      </c>
      <c r="AV27" s="28">
        <v>7.3676666666666599E-2</v>
      </c>
      <c r="AW27" s="28">
        <v>0.15156666666666699</v>
      </c>
      <c r="AX27" s="28">
        <v>0.112461333333333</v>
      </c>
      <c r="AY27" s="28">
        <v>0.55345299999999997</v>
      </c>
      <c r="AZ27" s="28">
        <v>0.325456666666667</v>
      </c>
      <c r="BA27" s="28">
        <v>0.15604000000000001</v>
      </c>
      <c r="BB27" s="28">
        <v>6.3479999999999995E-2</v>
      </c>
      <c r="BC27" s="28">
        <v>0.35062643333333299</v>
      </c>
      <c r="BD27" s="28">
        <v>0.24683833333333299</v>
      </c>
      <c r="BE27" s="28">
        <v>0.21969</v>
      </c>
      <c r="BF27" s="28">
        <v>0.91543593333333295</v>
      </c>
      <c r="BG27" s="28">
        <v>0.44375999999999999</v>
      </c>
      <c r="BH27" s="28">
        <v>0.41738199999999998</v>
      </c>
      <c r="BI27" s="28">
        <v>0.552477</v>
      </c>
      <c r="BJ27" s="28">
        <v>0.117562</v>
      </c>
      <c r="BK27" s="28">
        <v>0.174708</v>
      </c>
      <c r="BL27" s="28">
        <v>0.27461633333333302</v>
      </c>
      <c r="BM27" s="28">
        <v>0.65414300000000003</v>
      </c>
      <c r="BN27" s="28">
        <v>0.200456666666667</v>
      </c>
      <c r="BO27" s="28">
        <v>0.220059</v>
      </c>
      <c r="BP27" s="28">
        <v>0.16915379999999999</v>
      </c>
      <c r="BQ27" s="28">
        <v>0.28875499999999998</v>
      </c>
      <c r="BR27" s="28">
        <v>0.165213</v>
      </c>
      <c r="BS27" s="28">
        <v>0.20921933333333301</v>
      </c>
      <c r="BT27" s="28">
        <v>5.48296666666667E-2</v>
      </c>
      <c r="BU27" s="28">
        <v>5.6000000000000001E-2</v>
      </c>
      <c r="BV27" s="28">
        <v>4.8000000000000001E-2</v>
      </c>
      <c r="BW27" s="28">
        <v>0.15624033333333301</v>
      </c>
      <c r="BX27" s="28">
        <v>0.21407999999999999</v>
      </c>
      <c r="BY27" s="28">
        <v>0.30598633333333303</v>
      </c>
      <c r="BZ27" s="28">
        <v>0.12249</v>
      </c>
      <c r="CA27" s="28">
        <v>5.7000000000000002E-2</v>
      </c>
      <c r="CB27" s="28">
        <v>0.30587799999999998</v>
      </c>
      <c r="CC27" s="28">
        <v>9.6395333333333402E-2</v>
      </c>
      <c r="CD27" s="28">
        <v>0.18789486666666699</v>
      </c>
      <c r="CE27" s="28">
        <v>4.5999999999999999E-2</v>
      </c>
      <c r="CF27" s="28">
        <v>0.13247900000000001</v>
      </c>
      <c r="CG27" s="28">
        <v>5.8484000000000001E-2</v>
      </c>
      <c r="CH27" s="28">
        <v>0.28182499999999999</v>
      </c>
      <c r="CI27" s="28">
        <v>0.16611266666666699</v>
      </c>
      <c r="CJ27" s="28">
        <v>4.9000000000000002E-2</v>
      </c>
      <c r="CK27" s="28">
        <v>0.12809633333333301</v>
      </c>
      <c r="CL27" s="28">
        <v>1.3952423</v>
      </c>
      <c r="CM27" s="28">
        <v>1.48520733333333</v>
      </c>
      <c r="CN27" s="28">
        <v>0.16274</v>
      </c>
      <c r="CO27" s="28">
        <v>5.1999999999999998E-2</v>
      </c>
      <c r="CP27" s="28">
        <v>0.10996</v>
      </c>
      <c r="CQ27" s="28">
        <v>0.21669333333333299</v>
      </c>
      <c r="CR27" s="28">
        <v>0.28596933333333302</v>
      </c>
      <c r="CS27" s="28">
        <v>0.13630200000000001</v>
      </c>
      <c r="CT27" s="28">
        <v>1.6979740000000001</v>
      </c>
      <c r="CU27" s="28">
        <v>1.6945539999999999</v>
      </c>
      <c r="CV27" s="28">
        <v>0.161953333333333</v>
      </c>
      <c r="CW27" s="28">
        <v>0.25337999999999999</v>
      </c>
      <c r="CX27" s="28">
        <v>0.34181</v>
      </c>
      <c r="CY27" s="28">
        <v>0.16269</v>
      </c>
      <c r="CZ27" s="28">
        <v>0.17718999999999999</v>
      </c>
      <c r="DA27" s="28">
        <v>0.27892</v>
      </c>
      <c r="DB27" s="28">
        <v>0.38301433333333301</v>
      </c>
      <c r="DC27" s="28">
        <v>0.22378000000000001</v>
      </c>
      <c r="DD27" s="28">
        <v>0.114984</v>
      </c>
      <c r="DE27" s="28">
        <v>1.17589066666667</v>
      </c>
      <c r="DF27" s="28">
        <v>0.18368933333333301</v>
      </c>
      <c r="DG27" s="28">
        <v>0.65944733333333305</v>
      </c>
      <c r="DH27" s="28">
        <v>8.1658666666666602E-2</v>
      </c>
      <c r="DI27" s="28">
        <v>0.150449</v>
      </c>
      <c r="DJ27" s="28">
        <v>0.37794499999999998</v>
      </c>
      <c r="DK27" s="28">
        <v>0.31151400000000001</v>
      </c>
      <c r="DL27" s="28">
        <v>0.10165766666666699</v>
      </c>
      <c r="DM27" s="28">
        <v>0.12614400000000001</v>
      </c>
      <c r="DN27" s="28">
        <v>1.3298666666666701</v>
      </c>
      <c r="DO27" s="28">
        <v>0.124455</v>
      </c>
      <c r="DP27" s="28">
        <v>1.64635873333333</v>
      </c>
      <c r="DQ27" s="28">
        <v>0.182205333333333</v>
      </c>
      <c r="DR27" s="28">
        <v>0.10324800000000001</v>
      </c>
      <c r="DS27" s="28">
        <v>0.17619599999999999</v>
      </c>
      <c r="DT27" s="28">
        <v>0.36581733333333399</v>
      </c>
      <c r="DU27" s="28">
        <v>0.16739799999999999</v>
      </c>
      <c r="DV27" s="28">
        <v>0.42405599999999999</v>
      </c>
      <c r="DW27" s="28">
        <v>0.30636427499999991</v>
      </c>
      <c r="DX27" s="34">
        <v>37.989170099999981</v>
      </c>
    </row>
    <row r="28" spans="1:128" x14ac:dyDescent="0.25">
      <c r="A28" s="24">
        <v>27</v>
      </c>
      <c r="B28" s="26">
        <v>13</v>
      </c>
      <c r="C28" s="28">
        <v>7.0463999999999999E-2</v>
      </c>
      <c r="D28" s="28">
        <v>0.40707979999999999</v>
      </c>
      <c r="E28" s="28">
        <v>0.99240600000000001</v>
      </c>
      <c r="F28" s="28">
        <v>5.8999999999999997E-2</v>
      </c>
      <c r="G28" s="28">
        <v>4.7E-2</v>
      </c>
      <c r="H28" s="28">
        <v>6.6554000000000002E-2</v>
      </c>
      <c r="I28" s="28">
        <v>2.6420349999999999</v>
      </c>
      <c r="J28" s="28">
        <v>0.12963333333333299</v>
      </c>
      <c r="K28" s="28">
        <v>0.31684333333333398</v>
      </c>
      <c r="L28" s="28">
        <v>0.15895566666666699</v>
      </c>
      <c r="M28" s="28">
        <v>0.124427</v>
      </c>
      <c r="N28" s="28">
        <v>4.7E-2</v>
      </c>
      <c r="O28" s="28">
        <v>0.220600666666667</v>
      </c>
      <c r="P28" s="28">
        <v>6.9293999999999994E-2</v>
      </c>
      <c r="Q28" s="28">
        <v>0.116175666666667</v>
      </c>
      <c r="R28" s="28">
        <v>0.47559053333333301</v>
      </c>
      <c r="S28" s="28">
        <v>0.16985600000000001</v>
      </c>
      <c r="T28" s="28">
        <v>5.3585000000000001E-2</v>
      </c>
      <c r="U28" s="28">
        <v>0.41910333333333399</v>
      </c>
      <c r="V28" s="28">
        <v>5.8999999999999997E-2</v>
      </c>
      <c r="W28" s="28">
        <v>0.22758600000000001</v>
      </c>
      <c r="X28" s="28">
        <v>0.10772900000000001</v>
      </c>
      <c r="Y28" s="28">
        <v>8.7266666666666798E-2</v>
      </c>
      <c r="Z28" s="28">
        <v>5.5E-2</v>
      </c>
      <c r="AA28" s="28">
        <v>0.168671866666667</v>
      </c>
      <c r="AB28" s="28">
        <v>0.290325</v>
      </c>
      <c r="AC28" s="28">
        <v>0.18307100000000001</v>
      </c>
      <c r="AD28" s="28">
        <v>5.0999999999999997E-2</v>
      </c>
      <c r="AE28" s="28">
        <v>5.5E-2</v>
      </c>
      <c r="AF28" s="28">
        <v>0.05</v>
      </c>
      <c r="AG28" s="28">
        <v>0.32711966666666598</v>
      </c>
      <c r="AH28" s="28">
        <v>4.6325166666666702E-2</v>
      </c>
      <c r="AI28" s="28">
        <v>4.0407666666666703E-2</v>
      </c>
      <c r="AJ28" s="28">
        <v>5.0999999999999997E-2</v>
      </c>
      <c r="AK28" s="28">
        <v>0.89683999999999997</v>
      </c>
      <c r="AL28" s="28">
        <v>0.1062408</v>
      </c>
      <c r="AM28" s="28">
        <v>0.35845866666666698</v>
      </c>
      <c r="AN28" s="28">
        <v>0.12959899999999999</v>
      </c>
      <c r="AO28" s="28">
        <v>0.126892</v>
      </c>
      <c r="AP28" s="28">
        <v>4.5999999999999999E-2</v>
      </c>
      <c r="AQ28" s="28">
        <v>0.301966333333334</v>
      </c>
      <c r="AR28" s="28">
        <v>5.5E-2</v>
      </c>
      <c r="AS28" s="28">
        <v>0.21537000000000001</v>
      </c>
      <c r="AT28" s="28">
        <v>0.27006033333333301</v>
      </c>
      <c r="AU28" s="28">
        <v>0.40224066666666702</v>
      </c>
      <c r="AV28" s="28">
        <v>6.2443333333333302E-2</v>
      </c>
      <c r="AW28" s="28">
        <v>0.06</v>
      </c>
      <c r="AX28" s="28">
        <v>0.112461333333333</v>
      </c>
      <c r="AY28" s="28">
        <v>0.693608</v>
      </c>
      <c r="AZ28" s="28">
        <v>0.95663033333333303</v>
      </c>
      <c r="BA28" s="28">
        <v>0.22072</v>
      </c>
      <c r="BB28" s="28">
        <v>0.230598</v>
      </c>
      <c r="BC28" s="28">
        <v>0.18146090000000001</v>
      </c>
      <c r="BD28" s="28">
        <v>1.57790233333333</v>
      </c>
      <c r="BE28" s="28">
        <v>0.42754599999999998</v>
      </c>
      <c r="BF28" s="28">
        <v>0.20601133333333299</v>
      </c>
      <c r="BG28" s="28">
        <v>0.212336</v>
      </c>
      <c r="BH28" s="28">
        <v>0.20795266666666701</v>
      </c>
      <c r="BI28" s="28">
        <v>0.39338000000000001</v>
      </c>
      <c r="BJ28" s="28">
        <v>6.5658999999999995E-2</v>
      </c>
      <c r="BK28" s="28">
        <v>0.219322666666667</v>
      </c>
      <c r="BL28" s="28">
        <v>0.123319533333333</v>
      </c>
      <c r="BM28" s="28">
        <v>6.4649666666666702E-2</v>
      </c>
      <c r="BN28" s="28">
        <v>0.111568</v>
      </c>
      <c r="BO28" s="28">
        <v>5.3999999999999999E-2</v>
      </c>
      <c r="BP28" s="28">
        <v>6.2798566666666694E-2</v>
      </c>
      <c r="BQ28" s="28">
        <v>0.130592666666667</v>
      </c>
      <c r="BR28" s="28">
        <v>0.15514</v>
      </c>
      <c r="BS28" s="28">
        <v>1.1143179999999999</v>
      </c>
      <c r="BT28" s="28">
        <v>5.7656666666666703E-2</v>
      </c>
      <c r="BU28" s="28">
        <v>5.6000000000000001E-2</v>
      </c>
      <c r="BV28" s="28">
        <v>4.8000000000000001E-2</v>
      </c>
      <c r="BW28" s="28">
        <v>8.9146666666666693E-2</v>
      </c>
      <c r="BX28" s="28">
        <v>0.12764</v>
      </c>
      <c r="BY28" s="28">
        <v>0.22350400000000001</v>
      </c>
      <c r="BZ28" s="28">
        <v>1.1124130000000001</v>
      </c>
      <c r="CA28" s="28">
        <v>5.7000000000000002E-2</v>
      </c>
      <c r="CB28" s="28">
        <v>0.10689333333333299</v>
      </c>
      <c r="CC28" s="28">
        <v>0.33125733333333302</v>
      </c>
      <c r="CD28" s="28">
        <v>0.13854333333333299</v>
      </c>
      <c r="CE28" s="28">
        <v>4.5999999999999999E-2</v>
      </c>
      <c r="CF28" s="28">
        <v>3.9E-2</v>
      </c>
      <c r="CG28" s="28">
        <v>4.1000000000000002E-2</v>
      </c>
      <c r="CH28" s="28">
        <v>6.9934866666666706E-2</v>
      </c>
      <c r="CI28" s="28">
        <v>0.17857999999999999</v>
      </c>
      <c r="CJ28" s="28">
        <v>7.9166666666666705E-2</v>
      </c>
      <c r="CK28" s="28">
        <v>0.18399633333333401</v>
      </c>
      <c r="CL28" s="28">
        <v>1.0523</v>
      </c>
      <c r="CM28" s="28">
        <v>8.75214666666667E-2</v>
      </c>
      <c r="CN28" s="28">
        <v>0.32993600000000001</v>
      </c>
      <c r="CO28" s="28">
        <v>0.14620133333333299</v>
      </c>
      <c r="CP28" s="28">
        <v>4.9000000000000002E-2</v>
      </c>
      <c r="CQ28" s="28">
        <v>5.8000000000000003E-2</v>
      </c>
      <c r="CR28" s="28">
        <v>0.51889666666666701</v>
      </c>
      <c r="CS28" s="28">
        <v>5.7000000000000002E-2</v>
      </c>
      <c r="CT28" s="28">
        <v>0.50620699999999996</v>
      </c>
      <c r="CU28" s="28">
        <v>0.35907666666666699</v>
      </c>
      <c r="CV28" s="28">
        <v>5.3999999999999999E-2</v>
      </c>
      <c r="CW28" s="28">
        <v>0.27860600000000002</v>
      </c>
      <c r="CX28" s="28">
        <v>0.44988166666666701</v>
      </c>
      <c r="CY28" s="28">
        <v>1.3401586666666701</v>
      </c>
      <c r="CZ28" s="28">
        <v>0.17718999999999999</v>
      </c>
      <c r="DA28" s="28">
        <v>5.7000000000000002E-2</v>
      </c>
      <c r="DB28" s="28">
        <v>0.1012757</v>
      </c>
      <c r="DC28" s="28">
        <v>0.36168133333333302</v>
      </c>
      <c r="DD28" s="28">
        <v>4.2000000000000003E-2</v>
      </c>
      <c r="DE28" s="28">
        <v>0.25951966666666698</v>
      </c>
      <c r="DF28" s="28">
        <v>0.1910896</v>
      </c>
      <c r="DG28" s="28">
        <v>0.33349499999999999</v>
      </c>
      <c r="DH28" s="28">
        <v>0.245825666666667</v>
      </c>
      <c r="DI28" s="28">
        <v>0.33603100000000002</v>
      </c>
      <c r="DJ28" s="28">
        <v>0.53743200000000002</v>
      </c>
      <c r="DK28" s="28">
        <v>5.3999999999999999E-2</v>
      </c>
      <c r="DL28" s="28">
        <v>0.06</v>
      </c>
      <c r="DM28" s="28">
        <v>0.10827199999999999</v>
      </c>
      <c r="DN28" s="28">
        <v>0.18673653333333301</v>
      </c>
      <c r="DO28" s="28">
        <v>6.7164333333333395E-2</v>
      </c>
      <c r="DP28" s="28">
        <v>0.21170720000000001</v>
      </c>
      <c r="DQ28" s="28">
        <v>0.176538</v>
      </c>
      <c r="DR28" s="28">
        <v>4.8000000000000001E-2</v>
      </c>
      <c r="DS28" s="28">
        <v>2.9000000000000001E-2</v>
      </c>
      <c r="DT28" s="28">
        <v>5.86666666666667E-2</v>
      </c>
      <c r="DU28" s="28">
        <v>0.17027999999999999</v>
      </c>
      <c r="DV28" s="28">
        <v>0.111169</v>
      </c>
      <c r="DW28" s="28">
        <v>0.25108695860215052</v>
      </c>
      <c r="DX28" s="34">
        <v>31.134782866666662</v>
      </c>
    </row>
    <row r="29" spans="1:128" x14ac:dyDescent="0.25">
      <c r="A29" s="24">
        <v>28</v>
      </c>
      <c r="B29" s="26">
        <v>13.5</v>
      </c>
      <c r="C29" s="28">
        <v>0.15285599999999999</v>
      </c>
      <c r="D29" s="28">
        <v>0.73048833333333296</v>
      </c>
      <c r="E29" s="28">
        <v>0.117502733333333</v>
      </c>
      <c r="F29" s="28">
        <v>5.8999999999999997E-2</v>
      </c>
      <c r="G29" s="28">
        <v>4.7E-2</v>
      </c>
      <c r="H29" s="28">
        <v>0.139139333333333</v>
      </c>
      <c r="I29" s="28">
        <v>1.0235826666666701</v>
      </c>
      <c r="J29" s="28">
        <v>0.57755366666666696</v>
      </c>
      <c r="K29" s="28">
        <v>0.204787</v>
      </c>
      <c r="L29" s="28">
        <v>5.0999999999999997E-2</v>
      </c>
      <c r="M29" s="28">
        <v>8.9152999999999996E-2</v>
      </c>
      <c r="N29" s="28">
        <v>0.215373333333333</v>
      </c>
      <c r="O29" s="28">
        <v>0.76397733333333295</v>
      </c>
      <c r="P29" s="28">
        <v>6.18506666666667E-2</v>
      </c>
      <c r="Q29" s="28">
        <v>0.25761966666666702</v>
      </c>
      <c r="R29" s="28">
        <v>0.488568</v>
      </c>
      <c r="S29" s="28">
        <v>5.3999999999999999E-2</v>
      </c>
      <c r="T29" s="28">
        <v>0.31541166666666698</v>
      </c>
      <c r="U29" s="28">
        <v>0.31186133333333299</v>
      </c>
      <c r="V29" s="28">
        <v>5.8999999999999997E-2</v>
      </c>
      <c r="W29" s="28">
        <v>0.170086666666667</v>
      </c>
      <c r="X29" s="28">
        <v>0.364396</v>
      </c>
      <c r="Y29" s="28">
        <v>3.1E-2</v>
      </c>
      <c r="Z29" s="28">
        <v>0.19254099999999999</v>
      </c>
      <c r="AA29" s="28">
        <v>0.12955946666666701</v>
      </c>
      <c r="AB29" s="28">
        <v>0.49465866666666702</v>
      </c>
      <c r="AC29" s="28">
        <v>0.64466846666666699</v>
      </c>
      <c r="AD29" s="28">
        <v>0.18815533333333301</v>
      </c>
      <c r="AE29" s="28">
        <v>5.5E-2</v>
      </c>
      <c r="AF29" s="28">
        <v>0.20541999999999999</v>
      </c>
      <c r="AG29" s="28">
        <v>0.258189</v>
      </c>
      <c r="AH29" s="28">
        <v>4.5999999999999999E-2</v>
      </c>
      <c r="AI29" s="28">
        <v>0.14810066666666699</v>
      </c>
      <c r="AJ29" s="28">
        <v>9.5168333333333299E-2</v>
      </c>
      <c r="AK29" s="28">
        <v>0.10422466666666701</v>
      </c>
      <c r="AL29" s="28">
        <v>0.10329000000000001</v>
      </c>
      <c r="AM29" s="28">
        <v>0.28414366666666702</v>
      </c>
      <c r="AN29" s="28">
        <v>4.7E-2</v>
      </c>
      <c r="AO29" s="28">
        <v>0.210105666666667</v>
      </c>
      <c r="AP29" s="28">
        <v>4.5999999999999999E-2</v>
      </c>
      <c r="AQ29" s="28">
        <v>0.45230866666666703</v>
      </c>
      <c r="AR29" s="28">
        <v>5.5E-2</v>
      </c>
      <c r="AS29" s="28">
        <v>0.31091033333333301</v>
      </c>
      <c r="AT29" s="28">
        <v>0.36483733333333401</v>
      </c>
      <c r="AU29" s="28">
        <v>0.31274933333333299</v>
      </c>
      <c r="AV29" s="28">
        <v>0.22998666666666701</v>
      </c>
      <c r="AW29" s="28">
        <v>0.06</v>
      </c>
      <c r="AX29" s="28">
        <v>0.17283999999999999</v>
      </c>
      <c r="AY29" s="28">
        <v>0.303802666666667</v>
      </c>
      <c r="AZ29" s="28">
        <v>2.79551666666667</v>
      </c>
      <c r="BA29" s="28">
        <v>0.26678800000000003</v>
      </c>
      <c r="BB29" s="28">
        <v>4.8000000000000001E-2</v>
      </c>
      <c r="BC29" s="28">
        <v>0.03</v>
      </c>
      <c r="BD29" s="28">
        <v>0.35581099999999999</v>
      </c>
      <c r="BE29" s="28">
        <v>0.110563333333333</v>
      </c>
      <c r="BF29" s="28">
        <v>0.15515200000000001</v>
      </c>
      <c r="BG29" s="28">
        <v>0.26217200000000002</v>
      </c>
      <c r="BH29" s="28">
        <v>0.05</v>
      </c>
      <c r="BI29" s="28">
        <v>0.71038566666666703</v>
      </c>
      <c r="BJ29" s="28">
        <v>4.2999999999999997E-2</v>
      </c>
      <c r="BK29" s="28">
        <v>7.35503666666667E-2</v>
      </c>
      <c r="BL29" s="28">
        <v>0.25122</v>
      </c>
      <c r="BM29" s="28">
        <v>5.6000000000000001E-2</v>
      </c>
      <c r="BN29" s="28">
        <v>5.5E-2</v>
      </c>
      <c r="BO29" s="28">
        <v>0.17071333333333299</v>
      </c>
      <c r="BP29" s="28">
        <v>0.29576659999999999</v>
      </c>
      <c r="BQ29" s="28">
        <v>0.291995333333333</v>
      </c>
      <c r="BR29" s="28">
        <v>0.37478299999999998</v>
      </c>
      <c r="BS29" s="28">
        <v>0.64414866666666704</v>
      </c>
      <c r="BT29" s="28">
        <v>0.27336733333333302</v>
      </c>
      <c r="BU29" s="28">
        <v>0.16771533333333299</v>
      </c>
      <c r="BV29" s="28">
        <v>7.8204266666666605E-2</v>
      </c>
      <c r="BW29" s="28">
        <v>0.67326066666666695</v>
      </c>
      <c r="BX29" s="28">
        <v>5.0999999999999997E-2</v>
      </c>
      <c r="BY29" s="28">
        <v>1.72858166666667</v>
      </c>
      <c r="BZ29" s="28">
        <v>0.104256</v>
      </c>
      <c r="CA29" s="28">
        <v>5.7000000000000002E-2</v>
      </c>
      <c r="CB29" s="28">
        <v>0.22222</v>
      </c>
      <c r="CC29" s="28">
        <v>0.144309033333333</v>
      </c>
      <c r="CD29" s="28">
        <v>0.29408733333333398</v>
      </c>
      <c r="CE29" s="28">
        <v>4.5999999999999999E-2</v>
      </c>
      <c r="CF29" s="28">
        <v>0.207394</v>
      </c>
      <c r="CG29" s="28">
        <v>0.13477666666666699</v>
      </c>
      <c r="CH29" s="28">
        <v>6.1286E-2</v>
      </c>
      <c r="CI29" s="28">
        <v>0.16240733333333299</v>
      </c>
      <c r="CJ29" s="28">
        <v>0.15156666666666699</v>
      </c>
      <c r="CK29" s="28">
        <v>9.0296666666666595E-2</v>
      </c>
      <c r="CL29" s="28">
        <v>0.75046666666666695</v>
      </c>
      <c r="CM29" s="28">
        <v>0.449378533333334</v>
      </c>
      <c r="CN29" s="28">
        <v>0.395625333333333</v>
      </c>
      <c r="CO29" s="28">
        <v>0.14874933333333301</v>
      </c>
      <c r="CP29" s="28">
        <v>0.10996</v>
      </c>
      <c r="CQ29" s="28">
        <v>8.6853333333333393E-2</v>
      </c>
      <c r="CR29" s="28">
        <v>0.35537533333333399</v>
      </c>
      <c r="CS29" s="28">
        <v>0.13630200000000001</v>
      </c>
      <c r="CT29" s="28">
        <v>0.369016333333333</v>
      </c>
      <c r="CU29" s="28">
        <v>0.19847860000000001</v>
      </c>
      <c r="CV29" s="28">
        <v>5.3999999999999999E-2</v>
      </c>
      <c r="CW29" s="28">
        <v>0.27996199999999999</v>
      </c>
      <c r="CX29" s="28">
        <v>0.459845333333333</v>
      </c>
      <c r="CY29" s="28">
        <v>0.77513333333333501</v>
      </c>
      <c r="CZ29" s="28">
        <v>0.52839000000000003</v>
      </c>
      <c r="DA29" s="28">
        <v>8.7454000000000004E-2</v>
      </c>
      <c r="DB29" s="28">
        <v>0.16959433333333301</v>
      </c>
      <c r="DC29" s="28">
        <v>0.35635333333333302</v>
      </c>
      <c r="DD29" s="28">
        <v>4.2000000000000003E-2</v>
      </c>
      <c r="DE29" s="28">
        <v>0.38704</v>
      </c>
      <c r="DF29" s="28">
        <v>0.157855</v>
      </c>
      <c r="DG29" s="28">
        <v>0.888459</v>
      </c>
      <c r="DH29" s="28">
        <v>0.13908573333333299</v>
      </c>
      <c r="DI29" s="28">
        <v>0.15940399999999999</v>
      </c>
      <c r="DJ29" s="28">
        <v>0.33463700000000002</v>
      </c>
      <c r="DK29" s="28">
        <v>0.16402133333333299</v>
      </c>
      <c r="DL29" s="28">
        <v>0.06</v>
      </c>
      <c r="DM29" s="28">
        <v>0.13337333333333301</v>
      </c>
      <c r="DN29" s="28">
        <v>0.24959000000000001</v>
      </c>
      <c r="DO29" s="28">
        <v>0.19928699999999999</v>
      </c>
      <c r="DP29" s="28">
        <v>0.24725179999999999</v>
      </c>
      <c r="DQ29" s="28">
        <v>0.117067666666667</v>
      </c>
      <c r="DR29" s="28">
        <v>8.9436000000000002E-2</v>
      </c>
      <c r="DS29" s="28">
        <v>0.16217733333333301</v>
      </c>
      <c r="DT29" s="28">
        <v>0.54452800000000001</v>
      </c>
      <c r="DU29" s="28">
        <v>0.83582166666666702</v>
      </c>
      <c r="DV29" s="28">
        <v>0.52634133333333399</v>
      </c>
      <c r="DW29" s="28">
        <v>0.27932642150537651</v>
      </c>
      <c r="DX29" s="34">
        <v>34.636476266666683</v>
      </c>
    </row>
    <row r="30" spans="1:128" x14ac:dyDescent="0.25">
      <c r="A30" s="24">
        <v>29</v>
      </c>
      <c r="B30" s="26">
        <v>14</v>
      </c>
      <c r="C30" s="28">
        <v>4.2999999999999997E-2</v>
      </c>
      <c r="D30" s="28">
        <v>0.179286</v>
      </c>
      <c r="E30" s="28">
        <v>5.0999999999999997E-2</v>
      </c>
      <c r="F30" s="28">
        <v>5.8999999999999997E-2</v>
      </c>
      <c r="G30" s="28">
        <v>4.7E-2</v>
      </c>
      <c r="H30" s="28">
        <v>0.20716333333333301</v>
      </c>
      <c r="I30" s="28">
        <v>1.44747</v>
      </c>
      <c r="J30" s="28">
        <v>7.5107333333333401E-2</v>
      </c>
      <c r="K30" s="28">
        <v>0.64160633333333394</v>
      </c>
      <c r="L30" s="28">
        <v>7.6401333333333293E-2</v>
      </c>
      <c r="M30" s="28">
        <v>0.11266900000000001</v>
      </c>
      <c r="N30" s="28">
        <v>4.7E-2</v>
      </c>
      <c r="O30" s="28">
        <v>0.25470799999999999</v>
      </c>
      <c r="P30" s="28">
        <v>0.10397733333333301</v>
      </c>
      <c r="Q30" s="28">
        <v>0.30502000000000001</v>
      </c>
      <c r="R30" s="28">
        <v>0.54112000000000005</v>
      </c>
      <c r="S30" s="28">
        <v>8.7128000000000094E-2</v>
      </c>
      <c r="T30" s="28">
        <v>0.10423</v>
      </c>
      <c r="U30" s="28">
        <v>0.232580333333334</v>
      </c>
      <c r="V30" s="28">
        <v>0.232944333333333</v>
      </c>
      <c r="W30" s="28">
        <v>8.8815000000000005E-2</v>
      </c>
      <c r="X30" s="28">
        <v>0.30351766666666702</v>
      </c>
      <c r="Y30" s="28">
        <v>9.2893333333333397E-2</v>
      </c>
      <c r="Z30" s="28">
        <v>7.6716999999999994E-2</v>
      </c>
      <c r="AA30" s="28">
        <v>7.5684000000000001E-2</v>
      </c>
      <c r="AB30" s="28">
        <v>0.153412666666667</v>
      </c>
      <c r="AC30" s="28">
        <v>7.5135333333333304E-2</v>
      </c>
      <c r="AD30" s="28">
        <v>0.157070666666667</v>
      </c>
      <c r="AE30" s="28">
        <v>5.5E-2</v>
      </c>
      <c r="AF30" s="28">
        <v>6.5542000000000003E-2</v>
      </c>
      <c r="AG30" s="28">
        <v>0.79510966666666705</v>
      </c>
      <c r="AH30" s="28">
        <v>0.18148</v>
      </c>
      <c r="AI30" s="28">
        <v>0.412408</v>
      </c>
      <c r="AJ30" s="28">
        <v>0.113399266666667</v>
      </c>
      <c r="AK30" s="28">
        <v>0.73684166666666695</v>
      </c>
      <c r="AL30" s="28">
        <v>0.26467200000000002</v>
      </c>
      <c r="AM30" s="28">
        <v>0.64847933333333396</v>
      </c>
      <c r="AN30" s="28">
        <v>7.7035999999999993E-2</v>
      </c>
      <c r="AO30" s="28">
        <v>0.30702966666666698</v>
      </c>
      <c r="AP30" s="28">
        <v>4.5999999999999999E-2</v>
      </c>
      <c r="AQ30" s="28">
        <v>3.4289830000000001</v>
      </c>
      <c r="AR30" s="28">
        <v>5.5E-2</v>
      </c>
      <c r="AS30" s="28">
        <v>0.25455699999999998</v>
      </c>
      <c r="AT30" s="28">
        <v>0.29229300000000003</v>
      </c>
      <c r="AU30" s="28">
        <v>7.1570666666666602E-2</v>
      </c>
      <c r="AV30" s="28">
        <v>0.103559333333333</v>
      </c>
      <c r="AW30" s="28">
        <v>0.06</v>
      </c>
      <c r="AX30" s="28">
        <v>0.197144866666667</v>
      </c>
      <c r="AY30" s="28">
        <v>0.65141533333333301</v>
      </c>
      <c r="AZ30" s="28">
        <v>3.0301200000000001</v>
      </c>
      <c r="BA30" s="28">
        <v>0.44712600000000002</v>
      </c>
      <c r="BB30" s="28">
        <v>0.18521199999999999</v>
      </c>
      <c r="BC30" s="28">
        <v>0.16144</v>
      </c>
      <c r="BD30" s="28">
        <v>0.41352133333333302</v>
      </c>
      <c r="BE30" s="28">
        <v>0.26385599999999998</v>
      </c>
      <c r="BF30" s="28">
        <v>0.110811333333333</v>
      </c>
      <c r="BG30" s="28">
        <v>0.14802799999999999</v>
      </c>
      <c r="BH30" s="28">
        <v>0.164874666666667</v>
      </c>
      <c r="BI30" s="28">
        <v>0.101255</v>
      </c>
      <c r="BJ30" s="28">
        <v>0.117562</v>
      </c>
      <c r="BK30" s="28">
        <v>0.24029</v>
      </c>
      <c r="BL30" s="28">
        <v>0.18336633333333299</v>
      </c>
      <c r="BM30" s="28">
        <v>0.22034366666666699</v>
      </c>
      <c r="BN30" s="28">
        <v>0.23392299999999999</v>
      </c>
      <c r="BO30" s="28">
        <v>0.104</v>
      </c>
      <c r="BP30" s="28">
        <v>0.201848</v>
      </c>
      <c r="BQ30" s="28">
        <v>0.27282333333333397</v>
      </c>
      <c r="BR30" s="28">
        <v>0.585758</v>
      </c>
      <c r="BS30" s="28">
        <v>0.29657733333333303</v>
      </c>
      <c r="BT30" s="28">
        <v>8.4378666666666602E-2</v>
      </c>
      <c r="BU30" s="28">
        <v>5.6000000000000001E-2</v>
      </c>
      <c r="BV30" s="28">
        <v>0.21789106666666699</v>
      </c>
      <c r="BW30" s="28">
        <v>0.15352209999999999</v>
      </c>
      <c r="BX30" s="28">
        <v>7.1733333333333302E-2</v>
      </c>
      <c r="BY30" s="28">
        <v>2.4446180000000002</v>
      </c>
      <c r="BZ30" s="28">
        <v>4.2999999999999997E-2</v>
      </c>
      <c r="CA30" s="28">
        <v>5.7000000000000002E-2</v>
      </c>
      <c r="CB30" s="28">
        <v>0.30403533333333299</v>
      </c>
      <c r="CC30" s="28">
        <v>0.15408683333333301</v>
      </c>
      <c r="CD30" s="28">
        <v>5.2999999999999999E-2</v>
      </c>
      <c r="CE30" s="28">
        <v>4.5999999999999999E-2</v>
      </c>
      <c r="CF30" s="28">
        <v>0.12916533333333299</v>
      </c>
      <c r="CG30" s="28">
        <v>4.1000000000000002E-2</v>
      </c>
      <c r="CH30" s="28">
        <v>0.14394193333333299</v>
      </c>
      <c r="CI30" s="28">
        <v>0.2328548</v>
      </c>
      <c r="CJ30" s="28">
        <v>4.9000000000000002E-2</v>
      </c>
      <c r="CK30" s="28">
        <v>0.22179599999999999</v>
      </c>
      <c r="CL30" s="28">
        <v>0.05</v>
      </c>
      <c r="CM30" s="28">
        <v>0.134107333333333</v>
      </c>
      <c r="CN30" s="28">
        <v>0.39454499999999998</v>
      </c>
      <c r="CO30" s="28">
        <v>0.20148666666666701</v>
      </c>
      <c r="CP30" s="28">
        <v>4.9000000000000002E-2</v>
      </c>
      <c r="CQ30" s="28">
        <v>0.18784000000000001</v>
      </c>
      <c r="CR30" s="28">
        <v>0.38693766666666701</v>
      </c>
      <c r="CS30" s="28">
        <v>5.7000000000000002E-2</v>
      </c>
      <c r="CT30" s="28">
        <v>0.30377999999999999</v>
      </c>
      <c r="CU30" s="28">
        <v>0.31661333333333302</v>
      </c>
      <c r="CV30" s="28">
        <v>0.34427000000000002</v>
      </c>
      <c r="CW30" s="28">
        <v>4.7955999999999999E-2</v>
      </c>
      <c r="CX30" s="28">
        <v>0.71404933333333398</v>
      </c>
      <c r="CY30" s="28">
        <v>0.26087900000000003</v>
      </c>
      <c r="CZ30" s="28">
        <v>5.1999999999999998E-2</v>
      </c>
      <c r="DA30" s="28">
        <v>0.13586146666666701</v>
      </c>
      <c r="DB30" s="28">
        <v>0.31692346666666699</v>
      </c>
      <c r="DC30" s="28">
        <v>0.255749333333333</v>
      </c>
      <c r="DD30" s="28">
        <v>0.114984</v>
      </c>
      <c r="DE30" s="28">
        <v>0.14067933333333299</v>
      </c>
      <c r="DF30" s="28">
        <v>0.29910933333333301</v>
      </c>
      <c r="DG30" s="28">
        <v>0.93435900000000005</v>
      </c>
      <c r="DH30" s="28">
        <v>0.15417006666666699</v>
      </c>
      <c r="DI30" s="28">
        <v>0.15486866666666699</v>
      </c>
      <c r="DJ30" s="28">
        <v>1.7766439999999999</v>
      </c>
      <c r="DK30" s="28">
        <v>5.3999999999999999E-2</v>
      </c>
      <c r="DL30" s="28">
        <v>0.06</v>
      </c>
      <c r="DM30" s="28">
        <v>0.117613333333333</v>
      </c>
      <c r="DN30" s="28">
        <v>0.40449433333333301</v>
      </c>
      <c r="DO30" s="28">
        <v>0.138258666666667</v>
      </c>
      <c r="DP30" s="28">
        <v>0.1004946</v>
      </c>
      <c r="DQ30" s="28">
        <v>0.193675666666667</v>
      </c>
      <c r="DR30" s="28">
        <v>0.158496</v>
      </c>
      <c r="DS30" s="28">
        <v>0.30194466666666703</v>
      </c>
      <c r="DT30" s="28">
        <v>0.110818666666667</v>
      </c>
      <c r="DU30" s="28">
        <v>1.394158</v>
      </c>
      <c r="DV30" s="28">
        <v>0.108246</v>
      </c>
      <c r="DW30" s="28">
        <v>0.3032334688172042</v>
      </c>
      <c r="DX30" s="34">
        <v>37.60095013333332</v>
      </c>
    </row>
    <row r="31" spans="1:128" x14ac:dyDescent="0.25">
      <c r="A31" s="24">
        <v>30</v>
      </c>
      <c r="B31" s="26">
        <v>14.5</v>
      </c>
      <c r="C31" s="28">
        <v>4.2999999999999997E-2</v>
      </c>
      <c r="D31" s="28">
        <v>0.10184</v>
      </c>
      <c r="E31" s="28">
        <v>5.0999999999999997E-2</v>
      </c>
      <c r="F31" s="28">
        <v>5.8999999999999997E-2</v>
      </c>
      <c r="G31" s="28">
        <v>4.7E-2</v>
      </c>
      <c r="H31" s="28">
        <v>0.15469333333333299</v>
      </c>
      <c r="I31" s="28">
        <v>0.15016733333333299</v>
      </c>
      <c r="J31" s="28">
        <v>3.1E-2</v>
      </c>
      <c r="K31" s="28">
        <v>0.36412299999999997</v>
      </c>
      <c r="L31" s="28">
        <v>0.15260533333333301</v>
      </c>
      <c r="M31" s="28">
        <v>0.100911</v>
      </c>
      <c r="N31" s="28">
        <v>4.7E-2</v>
      </c>
      <c r="O31" s="28">
        <v>0.39361533333333398</v>
      </c>
      <c r="P31" s="28">
        <v>0.19301633333333301</v>
      </c>
      <c r="Q31" s="28">
        <v>1.7962739999999999</v>
      </c>
      <c r="R31" s="28">
        <v>0.22499333333333299</v>
      </c>
      <c r="S31" s="28">
        <v>0.22620066666666699</v>
      </c>
      <c r="T31" s="28">
        <v>0.131142333333333</v>
      </c>
      <c r="U31" s="28">
        <v>0.34709499999999999</v>
      </c>
      <c r="V31" s="28">
        <v>0.28979966666666701</v>
      </c>
      <c r="W31" s="28">
        <v>0.18677099999999999</v>
      </c>
      <c r="X31" s="28">
        <v>0.36731900000000001</v>
      </c>
      <c r="Y31" s="28">
        <v>8.1640000000000101E-2</v>
      </c>
      <c r="Z31" s="28">
        <v>5.5E-2</v>
      </c>
      <c r="AA31" s="28">
        <v>0.143736</v>
      </c>
      <c r="AB31" s="28">
        <v>0.33534166666666698</v>
      </c>
      <c r="AC31" s="28">
        <v>0.13587793333333301</v>
      </c>
      <c r="AD31" s="28">
        <v>5.6582666666666698E-2</v>
      </c>
      <c r="AE31" s="28">
        <v>5.5E-2</v>
      </c>
      <c r="AF31" s="28">
        <v>0.112168</v>
      </c>
      <c r="AG31" s="28">
        <v>1.10366566666667</v>
      </c>
      <c r="AH31" s="28">
        <v>1.27439533333333</v>
      </c>
      <c r="AI31" s="28">
        <v>0.48297699999999999</v>
      </c>
      <c r="AJ31" s="28">
        <v>5.8630399999999999E-2</v>
      </c>
      <c r="AK31" s="28">
        <v>0.79371700000000001</v>
      </c>
      <c r="AL31" s="28">
        <v>0.20874933333333301</v>
      </c>
      <c r="AM31" s="28">
        <v>0.1822298</v>
      </c>
      <c r="AN31" s="28">
        <v>0.18216199999999999</v>
      </c>
      <c r="AO31" s="28">
        <v>1.4658825</v>
      </c>
      <c r="AP31" s="28">
        <v>4.5999999999999999E-2</v>
      </c>
      <c r="AQ31" s="28">
        <v>0.97076566666666697</v>
      </c>
      <c r="AR31" s="28">
        <v>5.5E-2</v>
      </c>
      <c r="AS31" s="28">
        <v>0.13385420000000001</v>
      </c>
      <c r="AT31" s="28">
        <v>0.31343866666666698</v>
      </c>
      <c r="AU31" s="28">
        <v>0.174238</v>
      </c>
      <c r="AV31" s="28">
        <v>5.5E-2</v>
      </c>
      <c r="AW31" s="28">
        <v>0.06</v>
      </c>
      <c r="AX31" s="28">
        <v>5.8999999999999997E-2</v>
      </c>
      <c r="AY31" s="28">
        <v>0.34521800000000002</v>
      </c>
      <c r="AZ31" s="28">
        <v>0.57619366666666705</v>
      </c>
      <c r="BA31" s="28">
        <v>0.20063600000000001</v>
      </c>
      <c r="BB31" s="28">
        <v>0.108866</v>
      </c>
      <c r="BC31" s="28">
        <v>0.03</v>
      </c>
      <c r="BD31" s="28">
        <v>0.60209433333333295</v>
      </c>
      <c r="BE31" s="28">
        <v>5.6000000000000001E-2</v>
      </c>
      <c r="BF31" s="28">
        <v>0.17230999999999999</v>
      </c>
      <c r="BG31" s="28">
        <v>0.25381799999999999</v>
      </c>
      <c r="BH31" s="28">
        <v>9.3077999999999897E-2</v>
      </c>
      <c r="BI31" s="28">
        <v>0.37490166666666702</v>
      </c>
      <c r="BJ31" s="28">
        <v>4.2999999999999997E-2</v>
      </c>
      <c r="BK31" s="28">
        <v>0.123021333333333</v>
      </c>
      <c r="BL31" s="28">
        <v>0.15296463333333299</v>
      </c>
      <c r="BM31" s="28">
        <v>0.24184600000000001</v>
      </c>
      <c r="BN31" s="28">
        <v>0.14625533333333299</v>
      </c>
      <c r="BO31" s="28">
        <v>0.21113499999999999</v>
      </c>
      <c r="BP31" s="28">
        <v>0.149299866666667</v>
      </c>
      <c r="BQ31" s="28">
        <v>0.316081</v>
      </c>
      <c r="BR31" s="28">
        <v>0.34129199999999998</v>
      </c>
      <c r="BS31" s="28">
        <v>2.4824866666666701</v>
      </c>
      <c r="BT31" s="28">
        <v>0.210886666666667</v>
      </c>
      <c r="BU31" s="28">
        <v>0.151756</v>
      </c>
      <c r="BV31" s="28">
        <v>0.50889866666666606</v>
      </c>
      <c r="BW31" s="28">
        <v>0.299510533333333</v>
      </c>
      <c r="BX31" s="28">
        <v>0.104906666666667</v>
      </c>
      <c r="BY31" s="28">
        <v>0.94939466666666605</v>
      </c>
      <c r="BZ31" s="28">
        <v>4.2999999999999997E-2</v>
      </c>
      <c r="CA31" s="28">
        <v>0.210887666666667</v>
      </c>
      <c r="CB31" s="28">
        <v>5.7439866666666603E-2</v>
      </c>
      <c r="CC31" s="28">
        <v>0.918188</v>
      </c>
      <c r="CD31" s="28">
        <v>0.107206333333333</v>
      </c>
      <c r="CE31" s="28">
        <v>4.5999999999999999E-2</v>
      </c>
      <c r="CF31" s="28">
        <v>6.1541333333333302E-2</v>
      </c>
      <c r="CG31" s="28">
        <v>0.12807833333333299</v>
      </c>
      <c r="CH31" s="28">
        <v>0.379659466666667</v>
      </c>
      <c r="CI31" s="28">
        <v>1.4726964</v>
      </c>
      <c r="CJ31" s="28">
        <v>0.181733333333333</v>
      </c>
      <c r="CK31" s="28">
        <v>9.0999999999999998E-2</v>
      </c>
      <c r="CL31" s="28">
        <v>0.05</v>
      </c>
      <c r="CM31" s="28">
        <v>0.24404999999999999</v>
      </c>
      <c r="CN31" s="28">
        <v>0.172818</v>
      </c>
      <c r="CO31" s="28">
        <v>5.1999999999999998E-2</v>
      </c>
      <c r="CP31" s="28">
        <v>4.9000000000000002E-2</v>
      </c>
      <c r="CQ31" s="28">
        <v>5.8000000000000003E-2</v>
      </c>
      <c r="CR31" s="28">
        <v>0.39451633333333302</v>
      </c>
      <c r="CS31" s="28">
        <v>0.13630200000000001</v>
      </c>
      <c r="CT31" s="28">
        <v>0.30377999999999999</v>
      </c>
      <c r="CU31" s="28">
        <v>1.2721226666666701</v>
      </c>
      <c r="CV31" s="28">
        <v>0.36744066666666603</v>
      </c>
      <c r="CW31" s="28">
        <v>0.20707600000000001</v>
      </c>
      <c r="CX31" s="28">
        <v>0.25659399999999999</v>
      </c>
      <c r="CY31" s="28">
        <v>0.18114733333333299</v>
      </c>
      <c r="CZ31" s="28">
        <v>0.12542200000000001</v>
      </c>
      <c r="DA31" s="28">
        <v>0.16545073333333399</v>
      </c>
      <c r="DB31" s="28">
        <v>0.41793340000000001</v>
      </c>
      <c r="DC31" s="28">
        <v>8.9420666666666704E-2</v>
      </c>
      <c r="DD31" s="28">
        <v>4.2000000000000003E-2</v>
      </c>
      <c r="DE31" s="28">
        <v>0.11576699999999999</v>
      </c>
      <c r="DF31" s="28">
        <v>3.0261213333333301</v>
      </c>
      <c r="DG31" s="28">
        <v>0.37534066666666699</v>
      </c>
      <c r="DH31" s="28">
        <v>0.164845466666667</v>
      </c>
      <c r="DI31" s="28">
        <v>0.15361333333333299</v>
      </c>
      <c r="DJ31" s="28">
        <v>0.1970981</v>
      </c>
      <c r="DK31" s="28">
        <v>5.3999999999999999E-2</v>
      </c>
      <c r="DL31" s="28">
        <v>0.06</v>
      </c>
      <c r="DM31" s="28">
        <v>0.114426</v>
      </c>
      <c r="DN31" s="28">
        <v>0.52964366666666696</v>
      </c>
      <c r="DO31" s="28">
        <v>0.16088533333333299</v>
      </c>
      <c r="DP31" s="28">
        <v>0.31553053333333397</v>
      </c>
      <c r="DQ31" s="28">
        <v>9.0499999999999997E-2</v>
      </c>
      <c r="DR31" s="28">
        <v>4.8000000000000001E-2</v>
      </c>
      <c r="DS31" s="28">
        <v>0.25594600000000001</v>
      </c>
      <c r="DT31" s="28">
        <v>0.390374</v>
      </c>
      <c r="DU31" s="28">
        <v>0.69433333333333302</v>
      </c>
      <c r="DV31" s="28">
        <v>0.35696866666666699</v>
      </c>
      <c r="DW31" s="28">
        <v>0.31197876747311842</v>
      </c>
      <c r="DX31" s="34">
        <v>38.68536716666668</v>
      </c>
    </row>
    <row r="32" spans="1:128" x14ac:dyDescent="0.25">
      <c r="A32" s="24">
        <v>31</v>
      </c>
      <c r="B32" s="26">
        <v>15</v>
      </c>
      <c r="C32" s="28">
        <v>4.2999999999999997E-2</v>
      </c>
      <c r="D32" s="28">
        <v>0.32061400000000001</v>
      </c>
      <c r="E32" s="28">
        <v>5.46243333333334E-2</v>
      </c>
      <c r="F32" s="28">
        <v>5.8999999999999997E-2</v>
      </c>
      <c r="G32" s="28">
        <v>4.7E-2</v>
      </c>
      <c r="H32" s="28">
        <v>5.0999999999999997E-2</v>
      </c>
      <c r="I32" s="28">
        <v>0.17094466666666699</v>
      </c>
      <c r="J32" s="28">
        <v>3.1E-2</v>
      </c>
      <c r="K32" s="28">
        <v>5.3999999999999999E-2</v>
      </c>
      <c r="L32" s="28">
        <v>0.35683999999999999</v>
      </c>
      <c r="M32" s="28">
        <v>4.8000000000000001E-2</v>
      </c>
      <c r="N32" s="28">
        <v>0.200066666666667</v>
      </c>
      <c r="O32" s="28">
        <v>7.3396666666666693E-2</v>
      </c>
      <c r="P32" s="28">
        <v>0.14737066666666701</v>
      </c>
      <c r="Q32" s="28">
        <v>0.155212033333333</v>
      </c>
      <c r="R32" s="28">
        <v>0.39864066666666698</v>
      </c>
      <c r="S32" s="28">
        <v>0.25218600000000002</v>
      </c>
      <c r="T32" s="28">
        <v>0.29608600000000002</v>
      </c>
      <c r="U32" s="28">
        <v>0.11487033333333301</v>
      </c>
      <c r="V32" s="28">
        <v>7.3826666666666693E-2</v>
      </c>
      <c r="W32" s="28">
        <v>0.170086666666667</v>
      </c>
      <c r="X32" s="28">
        <v>0.39084433333333402</v>
      </c>
      <c r="Y32" s="28">
        <v>0.28156819999999999</v>
      </c>
      <c r="Z32" s="28">
        <v>5.5E-2</v>
      </c>
      <c r="AA32" s="28">
        <v>5.2999999999999999E-2</v>
      </c>
      <c r="AB32" s="28">
        <v>0.456892666666667</v>
      </c>
      <c r="AC32" s="28">
        <v>0.12284766666666699</v>
      </c>
      <c r="AD32" s="28">
        <v>5.0999999999999997E-2</v>
      </c>
      <c r="AE32" s="28">
        <v>5.5E-2</v>
      </c>
      <c r="AF32" s="28">
        <v>0.15879399999999999</v>
      </c>
      <c r="AG32" s="28">
        <v>6.0999999999999999E-2</v>
      </c>
      <c r="AH32" s="28">
        <v>9.0380500000000003E-2</v>
      </c>
      <c r="AI32" s="28">
        <v>0.27161200000000002</v>
      </c>
      <c r="AJ32" s="28">
        <v>0.219806</v>
      </c>
      <c r="AK32" s="28">
        <v>0.58593333333333297</v>
      </c>
      <c r="AL32" s="28">
        <v>0.34374633333333399</v>
      </c>
      <c r="AM32" s="28">
        <v>0.166105</v>
      </c>
      <c r="AN32" s="28">
        <v>4.7E-2</v>
      </c>
      <c r="AO32" s="28">
        <v>0.26286599999999999</v>
      </c>
      <c r="AP32" s="28">
        <v>4.5999999999999999E-2</v>
      </c>
      <c r="AQ32" s="28">
        <v>2.2581929999999999</v>
      </c>
      <c r="AR32" s="28">
        <v>5.5E-2</v>
      </c>
      <c r="AS32" s="28">
        <v>0.122919</v>
      </c>
      <c r="AT32" s="28">
        <v>0.30050066666666703</v>
      </c>
      <c r="AU32" s="28">
        <v>0.114665666666667</v>
      </c>
      <c r="AV32" s="28">
        <v>0.26727000000000001</v>
      </c>
      <c r="AW32" s="28">
        <v>0.06</v>
      </c>
      <c r="AX32" s="28">
        <v>0.134941333333333</v>
      </c>
      <c r="AY32" s="28">
        <v>0.332967333333333</v>
      </c>
      <c r="AZ32" s="28">
        <v>0.226356</v>
      </c>
      <c r="BA32" s="28">
        <v>0.31676533333333301</v>
      </c>
      <c r="BB32" s="28">
        <v>8.2890333333333302E-2</v>
      </c>
      <c r="BC32" s="28">
        <v>0.03</v>
      </c>
      <c r="BD32" s="28">
        <v>0.90734099999999995</v>
      </c>
      <c r="BE32" s="28">
        <v>0.203163333333333</v>
      </c>
      <c r="BF32" s="28">
        <v>0.176603333333333</v>
      </c>
      <c r="BG32" s="28">
        <v>1.2903640000000001</v>
      </c>
      <c r="BH32" s="28">
        <v>0.05</v>
      </c>
      <c r="BI32" s="28">
        <v>0.241895</v>
      </c>
      <c r="BJ32" s="28">
        <v>8.4423333333333295E-2</v>
      </c>
      <c r="BK32" s="28">
        <v>0.15656999999999999</v>
      </c>
      <c r="BL32" s="28">
        <v>0.111736766666667</v>
      </c>
      <c r="BM32" s="28">
        <v>0.13962033333333301</v>
      </c>
      <c r="BN32" s="28">
        <v>5.5E-2</v>
      </c>
      <c r="BO32" s="28">
        <v>0.12862473333333299</v>
      </c>
      <c r="BP32" s="28">
        <v>0.188386</v>
      </c>
      <c r="BQ32" s="28">
        <v>0.117414333333333</v>
      </c>
      <c r="BR32" s="28">
        <v>0.29430000000000001</v>
      </c>
      <c r="BS32" s="28">
        <v>2.7330433333333302</v>
      </c>
      <c r="BT32" s="28">
        <v>0.38839733333333398</v>
      </c>
      <c r="BU32" s="28">
        <v>7.1959333333333403E-2</v>
      </c>
      <c r="BV32" s="28">
        <v>0.51470633333333304</v>
      </c>
      <c r="BW32" s="28">
        <v>0.216472</v>
      </c>
      <c r="BX32" s="28">
        <v>5.0999999999999997E-2</v>
      </c>
      <c r="BY32" s="28">
        <v>1.82686033333333</v>
      </c>
      <c r="BZ32" s="28">
        <v>0.16551199999999999</v>
      </c>
      <c r="CA32" s="28">
        <v>0.20549999999999999</v>
      </c>
      <c r="CB32" s="28">
        <v>0.147628333333333</v>
      </c>
      <c r="CC32" s="28">
        <v>0.1794905</v>
      </c>
      <c r="CD32" s="28">
        <v>0.25189099999999998</v>
      </c>
      <c r="CE32" s="28">
        <v>4.5999999999999999E-2</v>
      </c>
      <c r="CF32" s="28">
        <v>1.192952</v>
      </c>
      <c r="CG32" s="28">
        <v>4.7698333333333301E-2</v>
      </c>
      <c r="CH32" s="28">
        <v>9.1961433333333301E-2</v>
      </c>
      <c r="CI32" s="28">
        <v>0.143763</v>
      </c>
      <c r="CJ32" s="28">
        <v>4.9000000000000002E-2</v>
      </c>
      <c r="CK32" s="28">
        <v>0.217256333333333</v>
      </c>
      <c r="CL32" s="28">
        <v>0.05</v>
      </c>
      <c r="CM32" s="28">
        <v>0.116084333333333</v>
      </c>
      <c r="CN32" s="28">
        <v>7.7095833333333294E-2</v>
      </c>
      <c r="CO32" s="28">
        <v>0.203670666666667</v>
      </c>
      <c r="CP32" s="28">
        <v>0.10996</v>
      </c>
      <c r="CQ32" s="28">
        <v>5.8000000000000003E-2</v>
      </c>
      <c r="CR32" s="28">
        <v>0.31380433333333302</v>
      </c>
      <c r="CS32" s="28">
        <v>5.7000000000000002E-2</v>
      </c>
      <c r="CT32" s="28">
        <v>0.26866433333333301</v>
      </c>
      <c r="CU32" s="28">
        <v>0.39482766666666702</v>
      </c>
      <c r="CV32" s="28">
        <v>1.34894133333333</v>
      </c>
      <c r="CW32" s="28">
        <v>0.04</v>
      </c>
      <c r="CX32" s="28">
        <v>0.22132733333333299</v>
      </c>
      <c r="CY32" s="28">
        <v>0.22462399999999999</v>
      </c>
      <c r="CZ32" s="28">
        <v>5.1999999999999998E-2</v>
      </c>
      <c r="DA32" s="28">
        <v>0.220209666666667</v>
      </c>
      <c r="DB32" s="28">
        <v>0.256220433333333</v>
      </c>
      <c r="DC32" s="28">
        <v>0.182564</v>
      </c>
      <c r="DD32" s="28">
        <v>0.13525400000000001</v>
      </c>
      <c r="DE32" s="28">
        <v>0.22604733333333299</v>
      </c>
      <c r="DF32" s="28">
        <v>2.9470533333333302</v>
      </c>
      <c r="DG32" s="28">
        <v>0.35594799999999999</v>
      </c>
      <c r="DH32" s="28">
        <v>0.197301333333333</v>
      </c>
      <c r="DI32" s="28">
        <v>0.110581</v>
      </c>
      <c r="DJ32" s="28">
        <v>0.45529140000000001</v>
      </c>
      <c r="DK32" s="28">
        <v>5.3999999999999999E-2</v>
      </c>
      <c r="DL32" s="28">
        <v>0.06</v>
      </c>
      <c r="DM32" s="28">
        <v>0.13337333333333301</v>
      </c>
      <c r="DN32" s="28">
        <v>0.36727799999999999</v>
      </c>
      <c r="DO32" s="28">
        <v>8.4081999999999907E-2</v>
      </c>
      <c r="DP32" s="28">
        <v>9.3543333333333395E-2</v>
      </c>
      <c r="DQ32" s="28">
        <v>0.20601800000000001</v>
      </c>
      <c r="DR32" s="28">
        <v>4.8000000000000001E-2</v>
      </c>
      <c r="DS32" s="28">
        <v>0.187586</v>
      </c>
      <c r="DT32" s="28">
        <v>1.3998539999999999</v>
      </c>
      <c r="DU32" s="28">
        <v>1.0668120000000001</v>
      </c>
      <c r="DV32" s="28">
        <v>0.348302</v>
      </c>
      <c r="DW32" s="28">
        <v>0.29433453897849438</v>
      </c>
      <c r="DX32" s="34">
        <v>36.497482833333308</v>
      </c>
    </row>
    <row r="33" spans="1:128" x14ac:dyDescent="0.25">
      <c r="A33" s="24">
        <v>32</v>
      </c>
      <c r="B33" s="26">
        <v>15.5</v>
      </c>
      <c r="C33" s="28">
        <v>4.2999999999999997E-2</v>
      </c>
      <c r="D33" s="28">
        <v>0.14899999999999999</v>
      </c>
      <c r="E33" s="28">
        <v>5.4624333333333303E-2</v>
      </c>
      <c r="F33" s="28">
        <v>5.8999999999999997E-2</v>
      </c>
      <c r="G33" s="28">
        <v>4.7E-2</v>
      </c>
      <c r="H33" s="28">
        <v>0.20006499999999999</v>
      </c>
      <c r="I33" s="28">
        <v>0.30979000000000001</v>
      </c>
      <c r="J33" s="28">
        <v>0.142454</v>
      </c>
      <c r="K33" s="28">
        <v>0.321670333333333</v>
      </c>
      <c r="L33" s="28">
        <v>0.51642666666666703</v>
      </c>
      <c r="M33" s="28">
        <v>0.16558</v>
      </c>
      <c r="N33" s="28">
        <v>6.2306666666666601E-2</v>
      </c>
      <c r="O33" s="28">
        <v>0.12295866666666699</v>
      </c>
      <c r="P33" s="28">
        <v>0.25324533333333299</v>
      </c>
      <c r="Q33" s="28">
        <v>0.33724083333333299</v>
      </c>
      <c r="R33" s="28">
        <v>0.34465000000000001</v>
      </c>
      <c r="S33" s="28">
        <v>0.17823</v>
      </c>
      <c r="T33" s="28">
        <v>4.5999999999999999E-2</v>
      </c>
      <c r="U33" s="28">
        <v>0.237711333333333</v>
      </c>
      <c r="V33" s="28">
        <v>0.34932479999999999</v>
      </c>
      <c r="W33" s="28">
        <v>0.22758600000000001</v>
      </c>
      <c r="X33" s="28">
        <v>0.14528199999999999</v>
      </c>
      <c r="Y33" s="28">
        <v>0.184994933333333</v>
      </c>
      <c r="Z33" s="28">
        <v>0.214258</v>
      </c>
      <c r="AA33" s="28">
        <v>0.14940700000000001</v>
      </c>
      <c r="AB33" s="28">
        <v>0.335463333333333</v>
      </c>
      <c r="AC33" s="28">
        <v>0.14731733333333299</v>
      </c>
      <c r="AD33" s="28">
        <v>0.17410100000000001</v>
      </c>
      <c r="AE33" s="28">
        <v>5.5E-2</v>
      </c>
      <c r="AF33" s="28">
        <v>0.05</v>
      </c>
      <c r="AG33" s="28">
        <v>0.22489266666666699</v>
      </c>
      <c r="AH33" s="28">
        <v>7.5886666666666699E-2</v>
      </c>
      <c r="AI33" s="28">
        <v>0.10620033333333299</v>
      </c>
      <c r="AJ33" s="28">
        <v>8.5909033333333398E-2</v>
      </c>
      <c r="AK33" s="28">
        <v>0.122469333333333</v>
      </c>
      <c r="AL33" s="28">
        <v>0.49610300000000002</v>
      </c>
      <c r="AM33" s="28">
        <v>0.26225166666666699</v>
      </c>
      <c r="AN33" s="28">
        <v>0.19717999999999999</v>
      </c>
      <c r="AO33" s="28">
        <v>0.230650666666667</v>
      </c>
      <c r="AP33" s="28">
        <v>1.01591766666667</v>
      </c>
      <c r="AQ33" s="28">
        <v>0.30053000000000002</v>
      </c>
      <c r="AR33" s="28">
        <v>5.5E-2</v>
      </c>
      <c r="AS33" s="28">
        <v>0.20141800000000001</v>
      </c>
      <c r="AT33" s="28">
        <v>0.330170666666667</v>
      </c>
      <c r="AU33" s="28">
        <v>0.18460299999999999</v>
      </c>
      <c r="AV33" s="28">
        <v>5.5E-2</v>
      </c>
      <c r="AW33" s="28">
        <v>0.06</v>
      </c>
      <c r="AX33" s="28">
        <v>0.20382133333333299</v>
      </c>
      <c r="AY33" s="28">
        <v>0.62859766666666606</v>
      </c>
      <c r="AZ33" s="28">
        <v>0.21809000000000001</v>
      </c>
      <c r="BA33" s="28">
        <v>0.25507459999999998</v>
      </c>
      <c r="BB33" s="28">
        <v>0.102827666666667</v>
      </c>
      <c r="BC33" s="28">
        <v>0.16144</v>
      </c>
      <c r="BD33" s="28">
        <v>0.28004499999999999</v>
      </c>
      <c r="BE33" s="28">
        <v>0.116692666666667</v>
      </c>
      <c r="BF33" s="28">
        <v>1.34911466666667</v>
      </c>
      <c r="BG33" s="28">
        <v>0.81208100000000005</v>
      </c>
      <c r="BH33" s="28">
        <v>0.05</v>
      </c>
      <c r="BI33" s="28">
        <v>0.26452346666666698</v>
      </c>
      <c r="BJ33" s="28">
        <v>7.6138666666666702E-2</v>
      </c>
      <c r="BK33" s="28">
        <v>0.40044313333333398</v>
      </c>
      <c r="BL33" s="28">
        <v>0.17495133333333299</v>
      </c>
      <c r="BM33" s="28">
        <v>0.24921033333333301</v>
      </c>
      <c r="BN33" s="28">
        <v>0.190906666666667</v>
      </c>
      <c r="BO33" s="28">
        <v>0.17523493333333301</v>
      </c>
      <c r="BP33" s="28">
        <v>0.61119933333333298</v>
      </c>
      <c r="BQ33" s="28">
        <v>0.27615000000000001</v>
      </c>
      <c r="BR33" s="28">
        <v>0.22673699999999999</v>
      </c>
      <c r="BS33" s="28">
        <v>1.1557864</v>
      </c>
      <c r="BT33" s="28">
        <v>0.26658333333333301</v>
      </c>
      <c r="BU33" s="28">
        <v>5.6000000000000001E-2</v>
      </c>
      <c r="BV33" s="28">
        <v>6.0055999999999998E-2</v>
      </c>
      <c r="BW33" s="28">
        <v>0.35504200000000002</v>
      </c>
      <c r="BX33" s="28">
        <v>5.0999999999999997E-2</v>
      </c>
      <c r="BY33" s="28">
        <v>0.35682999999999998</v>
      </c>
      <c r="BZ33" s="28">
        <v>0.74804199999999998</v>
      </c>
      <c r="CA33" s="28">
        <v>0.20815600000000001</v>
      </c>
      <c r="CB33" s="28">
        <v>5.10483333333333E-2</v>
      </c>
      <c r="CC33" s="28">
        <v>0.61224400000000101</v>
      </c>
      <c r="CD33" s="28">
        <v>5.2999999999999999E-2</v>
      </c>
      <c r="CE33" s="28">
        <v>4.5999999999999999E-2</v>
      </c>
      <c r="CF33" s="28">
        <v>0.583716666666666</v>
      </c>
      <c r="CG33" s="28">
        <v>4.1000000000000002E-2</v>
      </c>
      <c r="CH33" s="28">
        <v>0.235704466666667</v>
      </c>
      <c r="CI33" s="28">
        <v>0.117696</v>
      </c>
      <c r="CJ33" s="28">
        <v>0.15759999999999999</v>
      </c>
      <c r="CK33" s="28">
        <v>7.0110599999999995E-2</v>
      </c>
      <c r="CL33" s="28">
        <v>0.05</v>
      </c>
      <c r="CM33" s="28">
        <v>0.19025300000000001</v>
      </c>
      <c r="CN33" s="28">
        <v>0.57470833333333304</v>
      </c>
      <c r="CO33" s="28">
        <v>0.14656533333333299</v>
      </c>
      <c r="CP33" s="28">
        <v>4.9000000000000002E-2</v>
      </c>
      <c r="CQ33" s="28">
        <v>0.20226666666666701</v>
      </c>
      <c r="CR33" s="28">
        <v>0.37032599999999999</v>
      </c>
      <c r="CS33" s="28">
        <v>5.7000000000000002E-2</v>
      </c>
      <c r="CT33" s="28">
        <v>0.33467000000000002</v>
      </c>
      <c r="CU33" s="28">
        <v>0.1747476</v>
      </c>
      <c r="CV33" s="28">
        <v>0.756002333333333</v>
      </c>
      <c r="CW33" s="28">
        <v>0.191164</v>
      </c>
      <c r="CX33" s="28">
        <v>0.18157266666666699</v>
      </c>
      <c r="CY33" s="28">
        <v>0.20176466666666701</v>
      </c>
      <c r="CZ33" s="28">
        <v>0.12542200000000001</v>
      </c>
      <c r="DA33" s="28">
        <v>0.42414499999999999</v>
      </c>
      <c r="DB33" s="28">
        <v>0.13228500000000001</v>
      </c>
      <c r="DC33" s="28">
        <v>6.2994999999999995E-2</v>
      </c>
      <c r="DD33" s="28">
        <v>8.2546666666666602E-2</v>
      </c>
      <c r="DE33" s="28">
        <v>0.67081299999999999</v>
      </c>
      <c r="DF33" s="28">
        <v>0.58794866666666701</v>
      </c>
      <c r="DG33" s="28">
        <v>0.82942866666666704</v>
      </c>
      <c r="DH33" s="28">
        <v>0.19817899999999999</v>
      </c>
      <c r="DI33" s="28">
        <v>0.238506</v>
      </c>
      <c r="DJ33" s="28">
        <v>0.18674263333333299</v>
      </c>
      <c r="DK33" s="28">
        <v>0.16402133333333299</v>
      </c>
      <c r="DL33" s="28">
        <v>0.06</v>
      </c>
      <c r="DM33" s="28">
        <v>0.146820333333333</v>
      </c>
      <c r="DN33" s="28">
        <v>1.67241</v>
      </c>
      <c r="DO33" s="28">
        <v>0.138258666666667</v>
      </c>
      <c r="DP33" s="28">
        <v>0.10125199999999999</v>
      </c>
      <c r="DQ33" s="28">
        <v>0.17512800000000001</v>
      </c>
      <c r="DR33" s="28">
        <v>0.199932</v>
      </c>
      <c r="DS33" s="28">
        <v>0.31188266666666697</v>
      </c>
      <c r="DT33" s="28">
        <v>0.78711966666666699</v>
      </c>
      <c r="DU33" s="28">
        <v>2.7364666666666699</v>
      </c>
      <c r="DV33" s="28">
        <v>0.57863766666666705</v>
      </c>
      <c r="DW33" s="28">
        <v>0.28844957069892468</v>
      </c>
      <c r="DX33" s="34">
        <v>35.767746766666669</v>
      </c>
    </row>
    <row r="34" spans="1:128" x14ac:dyDescent="0.25">
      <c r="A34" s="24">
        <v>33</v>
      </c>
      <c r="B34" s="26">
        <v>16</v>
      </c>
      <c r="C34" s="28">
        <v>0.13225799999999999</v>
      </c>
      <c r="D34" s="28">
        <v>0.64795866666666702</v>
      </c>
      <c r="E34" s="28">
        <v>5.0999999999999997E-2</v>
      </c>
      <c r="F34" s="28">
        <v>5.8999999999999997E-2</v>
      </c>
      <c r="G34" s="28">
        <v>4.7E-2</v>
      </c>
      <c r="H34" s="28">
        <v>0.16179133333333301</v>
      </c>
      <c r="I34" s="28">
        <v>0.17486126666666699</v>
      </c>
      <c r="J34" s="28">
        <v>0.13038133333333299</v>
      </c>
      <c r="K34" s="28">
        <v>6.0823666666666699E-2</v>
      </c>
      <c r="L34" s="28">
        <v>0.30102133333333297</v>
      </c>
      <c r="M34" s="28">
        <v>4.8000000000000001E-2</v>
      </c>
      <c r="N34" s="28">
        <v>0.15414666666666699</v>
      </c>
      <c r="O34" s="28">
        <v>0.205273333333333</v>
      </c>
      <c r="P34" s="28">
        <v>0.28115800000000002</v>
      </c>
      <c r="Q34" s="28">
        <v>0.79470066666666705</v>
      </c>
      <c r="R34" s="28">
        <v>0.31652000000000002</v>
      </c>
      <c r="S34" s="28">
        <v>1.059571</v>
      </c>
      <c r="T34" s="28">
        <v>0.47037366666666602</v>
      </c>
      <c r="U34" s="28">
        <v>0.21248133333333299</v>
      </c>
      <c r="V34" s="28">
        <v>0.33778973333333301</v>
      </c>
      <c r="W34" s="28">
        <v>6.0208666666666702E-2</v>
      </c>
      <c r="X34" s="28">
        <v>0.19869046666666701</v>
      </c>
      <c r="Y34" s="28">
        <v>3.1E-2</v>
      </c>
      <c r="Z34" s="28">
        <v>6.5491066666666695E-2</v>
      </c>
      <c r="AA34" s="28">
        <v>0.105433</v>
      </c>
      <c r="AB34" s="28">
        <v>0.58325899999999997</v>
      </c>
      <c r="AC34" s="28">
        <v>0.14891733333333301</v>
      </c>
      <c r="AD34" s="28">
        <v>0.17670766666666701</v>
      </c>
      <c r="AE34" s="28">
        <v>5.5E-2</v>
      </c>
      <c r="AF34" s="28">
        <v>0.05</v>
      </c>
      <c r="AG34" s="28">
        <v>0.25013000000000002</v>
      </c>
      <c r="AH34" s="28">
        <v>4.5999999999999999E-2</v>
      </c>
      <c r="AI34" s="28">
        <v>0.42560566666666699</v>
      </c>
      <c r="AJ34" s="28">
        <v>9.8655833333333401E-2</v>
      </c>
      <c r="AK34" s="28">
        <v>0.44317533333333298</v>
      </c>
      <c r="AL34" s="28">
        <v>0.23237833333333299</v>
      </c>
      <c r="AM34" s="28">
        <v>0.16993766666666699</v>
      </c>
      <c r="AN34" s="28">
        <v>6.2017999999999997E-2</v>
      </c>
      <c r="AO34" s="28">
        <v>0.92400966666666595</v>
      </c>
      <c r="AP34" s="28">
        <v>0.74597933333333399</v>
      </c>
      <c r="AQ34" s="28">
        <v>0.209528666666667</v>
      </c>
      <c r="AR34" s="28">
        <v>5.5E-2</v>
      </c>
      <c r="AS34" s="28">
        <v>8.7877999999999901E-2</v>
      </c>
      <c r="AT34" s="28">
        <v>1.4295246666666701</v>
      </c>
      <c r="AU34" s="28">
        <v>0.133191266666667</v>
      </c>
      <c r="AV34" s="28">
        <v>0.118282</v>
      </c>
      <c r="AW34" s="28">
        <v>0.12489400000000001</v>
      </c>
      <c r="AX34" s="28">
        <v>9.3151999999999999E-2</v>
      </c>
      <c r="AY34" s="28">
        <v>0.709198</v>
      </c>
      <c r="AZ34" s="28">
        <v>0.49908833333333302</v>
      </c>
      <c r="BA34" s="28">
        <v>5.0290533333333297E-2</v>
      </c>
      <c r="BB34" s="28">
        <v>0.1254208</v>
      </c>
      <c r="BC34" s="28">
        <v>0.03</v>
      </c>
      <c r="BD34" s="28">
        <v>1.8159620000000001</v>
      </c>
      <c r="BE34" s="28">
        <v>0.111719</v>
      </c>
      <c r="BF34" s="28">
        <v>0.38184600000000002</v>
      </c>
      <c r="BG34" s="28">
        <v>9.7343333333333198E-2</v>
      </c>
      <c r="BH34" s="28">
        <v>0.31220599999999998</v>
      </c>
      <c r="BI34" s="28">
        <v>0.39217099999999999</v>
      </c>
      <c r="BJ34" s="28">
        <v>4.2999999999999997E-2</v>
      </c>
      <c r="BK34" s="28">
        <v>0.110334133333333</v>
      </c>
      <c r="BL34" s="28">
        <v>5.0999999999999997E-2</v>
      </c>
      <c r="BM34" s="28">
        <v>0.17263600000000001</v>
      </c>
      <c r="BN34" s="28">
        <v>0.121116666666667</v>
      </c>
      <c r="BO34" s="28">
        <v>0.28841800000000001</v>
      </c>
      <c r="BP34" s="28">
        <v>1.5205266666666699</v>
      </c>
      <c r="BQ34" s="28">
        <v>0.205886666666667</v>
      </c>
      <c r="BR34" s="28">
        <v>0.25795753333333299</v>
      </c>
      <c r="BS34" s="28">
        <v>1.40917733333333</v>
      </c>
      <c r="BT34" s="28">
        <v>0.53989033333333403</v>
      </c>
      <c r="BU34" s="28">
        <v>0.16771533333333299</v>
      </c>
      <c r="BV34" s="28">
        <v>6.4439999999999997E-2</v>
      </c>
      <c r="BW34" s="28">
        <v>0.258027333333333</v>
      </c>
      <c r="BX34" s="28">
        <v>0.12564</v>
      </c>
      <c r="BY34" s="28">
        <v>0.35346</v>
      </c>
      <c r="BZ34" s="28">
        <v>0.27508126666666699</v>
      </c>
      <c r="CA34" s="28">
        <v>0.18576400000000001</v>
      </c>
      <c r="CB34" s="28">
        <v>0.14541000000000001</v>
      </c>
      <c r="CC34" s="28">
        <v>0.12577766666666701</v>
      </c>
      <c r="CD34" s="28">
        <v>0.26982533333333297</v>
      </c>
      <c r="CE34" s="28">
        <v>4.5999999999999999E-2</v>
      </c>
      <c r="CF34" s="28">
        <v>6.2904966666666604E-2</v>
      </c>
      <c r="CG34" s="28">
        <v>0.15226200000000001</v>
      </c>
      <c r="CH34" s="28">
        <v>7.5140999999999902E-2</v>
      </c>
      <c r="CI34" s="28">
        <v>0.22699266666666701</v>
      </c>
      <c r="CJ34" s="28">
        <v>0.155233333333333</v>
      </c>
      <c r="CK34" s="28">
        <v>0.19588673333333301</v>
      </c>
      <c r="CL34" s="28">
        <v>0.05</v>
      </c>
      <c r="CM34" s="28">
        <v>0.12182</v>
      </c>
      <c r="CN34" s="28">
        <v>7.4817966666666597E-2</v>
      </c>
      <c r="CO34" s="28">
        <v>0.107285333333333</v>
      </c>
      <c r="CP34" s="28">
        <v>5.0799999999999998E-2</v>
      </c>
      <c r="CQ34" s="28">
        <v>0.12422999999999999</v>
      </c>
      <c r="CR34" s="28">
        <v>0.37695800000000002</v>
      </c>
      <c r="CS34" s="28">
        <v>5.7000000000000002E-2</v>
      </c>
      <c r="CT34" s="28">
        <v>0.33144566666666703</v>
      </c>
      <c r="CU34" s="28">
        <v>0.131045666666667</v>
      </c>
      <c r="CV34" s="28">
        <v>1.5053673333333299</v>
      </c>
      <c r="CW34" s="28">
        <v>0.21831800000000001</v>
      </c>
      <c r="CX34" s="28">
        <v>0.109033333333333</v>
      </c>
      <c r="CY34" s="28">
        <v>0.25769433333333303</v>
      </c>
      <c r="CZ34" s="28">
        <v>0.21805833333333299</v>
      </c>
      <c r="DA34" s="28">
        <v>1.5294126666666701</v>
      </c>
      <c r="DB34" s="28">
        <v>1.196569</v>
      </c>
      <c r="DC34" s="28">
        <v>0.273287</v>
      </c>
      <c r="DD34" s="28">
        <v>0.144623</v>
      </c>
      <c r="DE34" s="28">
        <v>1.87590066666667</v>
      </c>
      <c r="DF34" s="28">
        <v>0.24372933333333299</v>
      </c>
      <c r="DG34" s="28">
        <v>0.269704</v>
      </c>
      <c r="DH34" s="28">
        <v>7.1613999999999997E-2</v>
      </c>
      <c r="DI34" s="28">
        <v>0.24998300000000001</v>
      </c>
      <c r="DJ34" s="28">
        <v>5.7000000000000002E-2</v>
      </c>
      <c r="DK34" s="28">
        <v>5.3999999999999999E-2</v>
      </c>
      <c r="DL34" s="28">
        <v>0.06</v>
      </c>
      <c r="DM34" s="28">
        <v>9.8924999999999902E-2</v>
      </c>
      <c r="DN34" s="28">
        <v>1.17133333333333</v>
      </c>
      <c r="DO34" s="28">
        <v>0.19160666666666701</v>
      </c>
      <c r="DP34" s="28">
        <v>0.23904866666666699</v>
      </c>
      <c r="DQ34" s="28">
        <v>0.130646233333333</v>
      </c>
      <c r="DR34" s="28">
        <v>4.8000000000000001E-2</v>
      </c>
      <c r="DS34" s="28">
        <v>0.395336666666667</v>
      </c>
      <c r="DT34" s="28">
        <v>0.56317933333333403</v>
      </c>
      <c r="DU34" s="28">
        <v>2.6476500000000001</v>
      </c>
      <c r="DV34" s="28">
        <v>0.48132666666666601</v>
      </c>
      <c r="DW34" s="28">
        <v>0.32764239354838709</v>
      </c>
      <c r="DX34" s="34">
        <v>40.627656799999997</v>
      </c>
    </row>
    <row r="35" spans="1:128" x14ac:dyDescent="0.25">
      <c r="A35" s="24">
        <v>34</v>
      </c>
      <c r="B35" s="26">
        <v>16.5</v>
      </c>
      <c r="C35" s="28">
        <v>9.1062000000000101E-2</v>
      </c>
      <c r="D35" s="28">
        <v>6.6236000000000003E-2</v>
      </c>
      <c r="E35" s="28">
        <v>5.0999999999999997E-2</v>
      </c>
      <c r="F35" s="28">
        <v>5.8999999999999997E-2</v>
      </c>
      <c r="G35" s="28">
        <v>4.7E-2</v>
      </c>
      <c r="H35" s="28">
        <v>0.107786666666667</v>
      </c>
      <c r="I35" s="28">
        <v>0.25136726666666698</v>
      </c>
      <c r="J35" s="28">
        <v>0.10950559999999999</v>
      </c>
      <c r="K35" s="28">
        <v>7.4470999999999996E-2</v>
      </c>
      <c r="L35" s="28">
        <v>0.57396400000000003</v>
      </c>
      <c r="M35" s="28">
        <v>4.8000000000000001E-2</v>
      </c>
      <c r="N35" s="28">
        <v>0.108226666666667</v>
      </c>
      <c r="O35" s="28">
        <v>1.773728</v>
      </c>
      <c r="P35" s="28">
        <v>0.98347266666666799</v>
      </c>
      <c r="Q35" s="28">
        <v>0.84840166666666506</v>
      </c>
      <c r="R35" s="28">
        <v>0.40289599999999998</v>
      </c>
      <c r="S35" s="28">
        <v>0.801366666666667</v>
      </c>
      <c r="T35" s="28">
        <v>0.17859630000000001</v>
      </c>
      <c r="U35" s="28">
        <v>0.237474666666667</v>
      </c>
      <c r="V35" s="28">
        <v>0.1804702</v>
      </c>
      <c r="W35" s="28">
        <v>0.36979733333333298</v>
      </c>
      <c r="X35" s="28">
        <v>0.30205933333333301</v>
      </c>
      <c r="Y35" s="28">
        <v>0.14353333333333301</v>
      </c>
      <c r="Z35" s="28">
        <v>0.20701900000000001</v>
      </c>
      <c r="AA35" s="28">
        <v>7.6613333333333297E-2</v>
      </c>
      <c r="AB35" s="28">
        <v>0.42186200000000001</v>
      </c>
      <c r="AC35" s="28">
        <v>0.05</v>
      </c>
      <c r="AD35" s="28">
        <v>8.4496000000000002E-2</v>
      </c>
      <c r="AE35" s="28">
        <v>0.22650999999999999</v>
      </c>
      <c r="AF35" s="28">
        <v>0.22096199999999999</v>
      </c>
      <c r="AG35" s="28">
        <v>0.30448266666666701</v>
      </c>
      <c r="AH35" s="28">
        <v>4.5999999999999999E-2</v>
      </c>
      <c r="AI35" s="28">
        <v>0.358967066666667</v>
      </c>
      <c r="AJ35" s="28">
        <v>0.27740806666666701</v>
      </c>
      <c r="AK35" s="28">
        <v>1.11443633333333</v>
      </c>
      <c r="AL35" s="28">
        <v>0.78445533333333295</v>
      </c>
      <c r="AM35" s="28">
        <v>0.26493766666666702</v>
      </c>
      <c r="AN35" s="28">
        <v>4.7E-2</v>
      </c>
      <c r="AO35" s="28">
        <v>0.47993533333333399</v>
      </c>
      <c r="AP35" s="28">
        <v>0.17882899999999999</v>
      </c>
      <c r="AQ35" s="28">
        <v>0.18789</v>
      </c>
      <c r="AR35" s="28">
        <v>5.5E-2</v>
      </c>
      <c r="AS35" s="28">
        <v>1.82240483333333</v>
      </c>
      <c r="AT35" s="28">
        <v>0.23577066666666699</v>
      </c>
      <c r="AU35" s="28">
        <v>0.28102533333333302</v>
      </c>
      <c r="AV35" s="28">
        <v>0.22270733333333301</v>
      </c>
      <c r="AW35" s="28">
        <v>0.18768000000000001</v>
      </c>
      <c r="AX35" s="28">
        <v>0.245610666666667</v>
      </c>
      <c r="AY35" s="28">
        <v>0.1786162</v>
      </c>
      <c r="AZ35" s="28">
        <v>0.41147600000000001</v>
      </c>
      <c r="BA35" s="28">
        <v>3.9E-2</v>
      </c>
      <c r="BB35" s="28">
        <v>0.23105466666666699</v>
      </c>
      <c r="BC35" s="28">
        <v>0.13515199999999999</v>
      </c>
      <c r="BD35" s="28">
        <v>0.233797333333333</v>
      </c>
      <c r="BE35" s="28">
        <v>0.51199366666666701</v>
      </c>
      <c r="BF35" s="28">
        <v>0.23744199999999999</v>
      </c>
      <c r="BG35" s="28">
        <v>0.18129200000000001</v>
      </c>
      <c r="BH35" s="28">
        <v>0.20188</v>
      </c>
      <c r="BI35" s="28">
        <v>0.224531333333333</v>
      </c>
      <c r="BJ35" s="28">
        <v>4.2999999999999997E-2</v>
      </c>
      <c r="BK35" s="28">
        <v>0.167808333333333</v>
      </c>
      <c r="BL35" s="28">
        <v>0.25863199999999997</v>
      </c>
      <c r="BM35" s="28">
        <v>0.82380133333333305</v>
      </c>
      <c r="BN35" s="28">
        <v>7.3039833333333304E-2</v>
      </c>
      <c r="BO35" s="28">
        <v>0.23958133333333301</v>
      </c>
      <c r="BP35" s="28">
        <v>2.60683333333334</v>
      </c>
      <c r="BQ35" s="28">
        <v>3.6999999999999998E-2</v>
      </c>
      <c r="BR35" s="28">
        <v>0.26564579999999999</v>
      </c>
      <c r="BS35" s="28">
        <v>1.18419266666667</v>
      </c>
      <c r="BT35" s="28">
        <v>0.51492700000000002</v>
      </c>
      <c r="BU35" s="28">
        <v>5.6000000000000001E-2</v>
      </c>
      <c r="BV35" s="28">
        <v>5.9507999999999998E-2</v>
      </c>
      <c r="BW35" s="28">
        <v>0.20251</v>
      </c>
      <c r="BX35" s="28">
        <v>5.0999999999999997E-2</v>
      </c>
      <c r="BY35" s="28">
        <v>0.44747466666666702</v>
      </c>
      <c r="BZ35" s="28">
        <v>0.32783980000000001</v>
      </c>
      <c r="CA35" s="28">
        <v>0.24176500000000001</v>
      </c>
      <c r="CB35" s="28">
        <v>0.14712966666666699</v>
      </c>
      <c r="CC35" s="28">
        <v>9.6788333333333407E-2</v>
      </c>
      <c r="CD35" s="28">
        <v>8.9272000000000004E-2</v>
      </c>
      <c r="CE35" s="28">
        <v>4.5999999999999999E-2</v>
      </c>
      <c r="CF35" s="28">
        <v>0.27448466666666699</v>
      </c>
      <c r="CG35" s="28">
        <v>0.17780509999999999</v>
      </c>
      <c r="CH35" s="28">
        <v>0.18502976666666701</v>
      </c>
      <c r="CI35" s="28">
        <v>5.0999999999999997E-2</v>
      </c>
      <c r="CJ35" s="28">
        <v>0.12631999999999999</v>
      </c>
      <c r="CK35" s="28">
        <v>0.15556</v>
      </c>
      <c r="CL35" s="28">
        <v>0.05</v>
      </c>
      <c r="CM35" s="28">
        <v>0.05</v>
      </c>
      <c r="CN35" s="28">
        <v>0.23899000000000001</v>
      </c>
      <c r="CO35" s="28">
        <v>0.24295066666666601</v>
      </c>
      <c r="CP35" s="28">
        <v>0.11355999999999999</v>
      </c>
      <c r="CQ35" s="28">
        <v>0.385492</v>
      </c>
      <c r="CR35" s="28">
        <v>0.37789933333333398</v>
      </c>
      <c r="CS35" s="28">
        <v>1.2629629333333301</v>
      </c>
      <c r="CT35" s="28">
        <v>0.23825233333333301</v>
      </c>
      <c r="CU35" s="28">
        <v>0.37101499999999998</v>
      </c>
      <c r="CV35" s="28">
        <v>1.69577933333333</v>
      </c>
      <c r="CW35" s="28">
        <v>0.50534699999999999</v>
      </c>
      <c r="CX35" s="28">
        <v>0.46258266666666698</v>
      </c>
      <c r="CY35" s="28">
        <v>0.22691366666666701</v>
      </c>
      <c r="CZ35" s="28">
        <v>0.20219000000000001</v>
      </c>
      <c r="DA35" s="28">
        <v>0.152709333333333</v>
      </c>
      <c r="DB35" s="28">
        <v>0.51172200000000001</v>
      </c>
      <c r="DC35" s="28">
        <v>0.29082966666666699</v>
      </c>
      <c r="DD35" s="28">
        <v>0.18637500000000001</v>
      </c>
      <c r="DE35" s="28">
        <v>0.662758333333334</v>
      </c>
      <c r="DF35" s="28">
        <v>0.34858763333333298</v>
      </c>
      <c r="DG35" s="28">
        <v>0.28670400000000001</v>
      </c>
      <c r="DH35" s="28">
        <v>7.60348E-2</v>
      </c>
      <c r="DI35" s="28">
        <v>0.42558233333333301</v>
      </c>
      <c r="DJ35" s="28">
        <v>0.32238466666666699</v>
      </c>
      <c r="DK35" s="28">
        <v>9.3293333333333395E-2</v>
      </c>
      <c r="DL35" s="28">
        <v>0.06</v>
      </c>
      <c r="DM35" s="28">
        <v>0.19698533333333301</v>
      </c>
      <c r="DN35" s="28">
        <v>1.7739036666666701</v>
      </c>
      <c r="DO35" s="28">
        <v>0.10349</v>
      </c>
      <c r="DP35" s="28">
        <v>6.7141999999999993E-2</v>
      </c>
      <c r="DQ35" s="28">
        <v>0.127486933333333</v>
      </c>
      <c r="DR35" s="28">
        <v>0.18612000000000001</v>
      </c>
      <c r="DS35" s="28">
        <v>0.24297299999999999</v>
      </c>
      <c r="DT35" s="28">
        <v>0.442960666666667</v>
      </c>
      <c r="DU35" s="28">
        <v>0.16952066666666701</v>
      </c>
      <c r="DV35" s="28">
        <v>1.4765523333333299</v>
      </c>
      <c r="DW35" s="28">
        <v>0.34157784247311818</v>
      </c>
      <c r="DX35" s="34">
        <v>42.355652466666662</v>
      </c>
    </row>
    <row r="36" spans="1:128" x14ac:dyDescent="0.25">
      <c r="A36" s="24">
        <v>35</v>
      </c>
      <c r="B36" s="26">
        <v>17</v>
      </c>
      <c r="C36" s="28">
        <v>4.2999999999999997E-2</v>
      </c>
      <c r="D36" s="28">
        <v>0.212486333333333</v>
      </c>
      <c r="E36" s="28">
        <v>5.0999999999999997E-2</v>
      </c>
      <c r="F36" s="28">
        <v>5.8999999999999997E-2</v>
      </c>
      <c r="G36" s="28">
        <v>4.7E-2</v>
      </c>
      <c r="H36" s="28">
        <v>0.25406600000000001</v>
      </c>
      <c r="I36" s="28">
        <v>0.28719699999999998</v>
      </c>
      <c r="J36" s="28">
        <v>0.1673924</v>
      </c>
      <c r="K36" s="28">
        <v>0.35548633333333302</v>
      </c>
      <c r="L36" s="28">
        <v>0.44532933333333302</v>
      </c>
      <c r="M36" s="28">
        <v>0.19177</v>
      </c>
      <c r="N36" s="28">
        <v>0.111024333333333</v>
      </c>
      <c r="O36" s="28">
        <v>0.70385000000000097</v>
      </c>
      <c r="P36" s="28">
        <v>5.3453000000000001E-2</v>
      </c>
      <c r="Q36" s="28">
        <v>6.2048666666666703E-2</v>
      </c>
      <c r="R36" s="28">
        <v>0.20342833333333299</v>
      </c>
      <c r="S36" s="28">
        <v>0.39476033333333299</v>
      </c>
      <c r="T36" s="28">
        <v>0.112324833333333</v>
      </c>
      <c r="U36" s="28">
        <v>0.18999733333333299</v>
      </c>
      <c r="V36" s="28">
        <v>0.22183420000000001</v>
      </c>
      <c r="W36" s="28">
        <v>0.146424</v>
      </c>
      <c r="X36" s="28">
        <v>5.7000000000000002E-2</v>
      </c>
      <c r="Y36" s="28">
        <v>3.9537999999999997E-2</v>
      </c>
      <c r="Z36" s="28">
        <v>6.2239000000000003E-2</v>
      </c>
      <c r="AA36" s="28">
        <v>5.2999999999999999E-2</v>
      </c>
      <c r="AB36" s="28">
        <v>0.63590899999999995</v>
      </c>
      <c r="AC36" s="28">
        <v>0.26344133333333303</v>
      </c>
      <c r="AD36" s="28">
        <v>0.26376266666666698</v>
      </c>
      <c r="AE36" s="28">
        <v>0.22650999999999999</v>
      </c>
      <c r="AF36" s="28">
        <v>0.05</v>
      </c>
      <c r="AG36" s="28">
        <v>0.217443</v>
      </c>
      <c r="AH36" s="28">
        <v>4.5999999999999999E-2</v>
      </c>
      <c r="AI36" s="28">
        <v>0.30326446666666701</v>
      </c>
      <c r="AJ36" s="28">
        <v>6.3048000000000007E-2</v>
      </c>
      <c r="AK36" s="28">
        <v>0.76056166666666702</v>
      </c>
      <c r="AL36" s="28">
        <v>2.0418753333333299</v>
      </c>
      <c r="AM36" s="28">
        <v>0.15892999999999999</v>
      </c>
      <c r="AN36" s="28">
        <v>8.4544999999999995E-2</v>
      </c>
      <c r="AO36" s="28">
        <v>0.34985566666666701</v>
      </c>
      <c r="AP36" s="28">
        <v>0.14361033333333301</v>
      </c>
      <c r="AQ36" s="28">
        <v>0.22374733333333299</v>
      </c>
      <c r="AR36" s="28">
        <v>5.5E-2</v>
      </c>
      <c r="AS36" s="28">
        <v>0.43178440000000001</v>
      </c>
      <c r="AT36" s="28">
        <v>0.61110200000000003</v>
      </c>
      <c r="AU36" s="28">
        <v>0.15856933333333301</v>
      </c>
      <c r="AV36" s="28">
        <v>5.5E-2</v>
      </c>
      <c r="AW36" s="28">
        <v>0.18768000000000001</v>
      </c>
      <c r="AX36" s="28">
        <v>5.8999999999999997E-2</v>
      </c>
      <c r="AY36" s="28">
        <v>0.56106766666666696</v>
      </c>
      <c r="AZ36" s="28">
        <v>0.210196666666667</v>
      </c>
      <c r="BA36" s="28">
        <v>4.5666666666666703E-2</v>
      </c>
      <c r="BB36" s="28">
        <v>0.243168666666667</v>
      </c>
      <c r="BC36" s="28">
        <v>5.6287999999999998E-2</v>
      </c>
      <c r="BD36" s="28">
        <v>1.16292</v>
      </c>
      <c r="BE36" s="28">
        <v>0.38867299999999999</v>
      </c>
      <c r="BF36" s="28">
        <v>0.15196000000000001</v>
      </c>
      <c r="BG36" s="28">
        <v>0.15744566666666701</v>
      </c>
      <c r="BH36" s="28">
        <v>0.25213766666666698</v>
      </c>
      <c r="BI36" s="28">
        <v>0.24914700000000001</v>
      </c>
      <c r="BJ36" s="28">
        <v>4.71423333333333E-2</v>
      </c>
      <c r="BK36" s="28">
        <v>7.2999999999999995E-2</v>
      </c>
      <c r="BL36" s="28">
        <v>6.1260666666666602E-2</v>
      </c>
      <c r="BM36" s="28">
        <v>0.91525900000000004</v>
      </c>
      <c r="BN36" s="28">
        <v>0.378514666666667</v>
      </c>
      <c r="BO36" s="28">
        <v>0.41134100000000001</v>
      </c>
      <c r="BP36" s="28">
        <v>0.313669066666667</v>
      </c>
      <c r="BQ36" s="28">
        <v>0.23247799999999999</v>
      </c>
      <c r="BR36" s="28">
        <v>0.151449</v>
      </c>
      <c r="BS36" s="28">
        <v>1.9045719999999999</v>
      </c>
      <c r="BT36" s="28">
        <v>0.38377</v>
      </c>
      <c r="BU36" s="28">
        <v>5.6000000000000001E-2</v>
      </c>
      <c r="BV36" s="28">
        <v>7.3333333333333403E-2</v>
      </c>
      <c r="BW36" s="28">
        <v>0.63456100000000004</v>
      </c>
      <c r="BX36" s="28">
        <v>0.109053333333333</v>
      </c>
      <c r="BY36" s="28">
        <v>0.61395666666666704</v>
      </c>
      <c r="BZ36" s="28">
        <v>0.161031333333333</v>
      </c>
      <c r="CA36" s="28">
        <v>0.252392333333333</v>
      </c>
      <c r="CB36" s="28">
        <v>9.9338333333333501E-2</v>
      </c>
      <c r="CC36" s="28">
        <v>0.206511</v>
      </c>
      <c r="CD36" s="28">
        <v>6.5090666666666699E-2</v>
      </c>
      <c r="CE36" s="28">
        <v>4.5999999999999999E-2</v>
      </c>
      <c r="CF36" s="28">
        <v>0.27986499999999997</v>
      </c>
      <c r="CG36" s="28">
        <v>9.1271000000000005E-2</v>
      </c>
      <c r="CH36" s="28">
        <v>0.1024</v>
      </c>
      <c r="CI36" s="28">
        <v>0.173693666666667</v>
      </c>
      <c r="CJ36" s="28">
        <v>0.19005333333333299</v>
      </c>
      <c r="CK36" s="28">
        <v>0.18205753333333299</v>
      </c>
      <c r="CL36" s="28">
        <v>0.05</v>
      </c>
      <c r="CM36" s="28">
        <v>0.17015333333333299</v>
      </c>
      <c r="CN36" s="28">
        <v>0.31386333333333399</v>
      </c>
      <c r="CO36" s="28">
        <v>0.15822133333333299</v>
      </c>
      <c r="CP36" s="28">
        <v>4.9000000000000002E-2</v>
      </c>
      <c r="CQ36" s="28">
        <v>0.64297833333333299</v>
      </c>
      <c r="CR36" s="28">
        <v>0.67475866666666695</v>
      </c>
      <c r="CS36" s="28">
        <v>0.83845150000000102</v>
      </c>
      <c r="CT36" s="28">
        <v>0.16114899999999999</v>
      </c>
      <c r="CU36" s="28">
        <v>0.14529066666666701</v>
      </c>
      <c r="CV36" s="28">
        <v>0.318745</v>
      </c>
      <c r="CW36" s="28">
        <v>0.45327466666666599</v>
      </c>
      <c r="CX36" s="28">
        <v>0.29416666666666702</v>
      </c>
      <c r="CY36" s="28">
        <v>0.52685000000000004</v>
      </c>
      <c r="CZ36" s="28">
        <v>0.242753</v>
      </c>
      <c r="DA36" s="28">
        <v>0.1178</v>
      </c>
      <c r="DB36" s="28">
        <v>0.37232320000000002</v>
      </c>
      <c r="DC36" s="28">
        <v>0.27623766666666699</v>
      </c>
      <c r="DD36" s="28">
        <v>4.2000000000000003E-2</v>
      </c>
      <c r="DE36" s="28">
        <v>0.40270499999999998</v>
      </c>
      <c r="DF36" s="28">
        <v>0.10596496666666699</v>
      </c>
      <c r="DG36" s="28">
        <v>0.364375333333333</v>
      </c>
      <c r="DH36" s="28">
        <v>5.5098000000000001E-2</v>
      </c>
      <c r="DI36" s="28">
        <v>0.11182549999999999</v>
      </c>
      <c r="DJ36" s="28">
        <v>7.1077333333333298E-2</v>
      </c>
      <c r="DK36" s="28">
        <v>0.12472800000000001</v>
      </c>
      <c r="DL36" s="28">
        <v>0.15685716666666699</v>
      </c>
      <c r="DM36" s="28">
        <v>0.15143066666666699</v>
      </c>
      <c r="DN36" s="28">
        <v>0.24282466666666699</v>
      </c>
      <c r="DO36" s="28">
        <v>0.11885066666666699</v>
      </c>
      <c r="DP36" s="28">
        <v>0.24964666666666699</v>
      </c>
      <c r="DQ36" s="28">
        <v>0.1981842</v>
      </c>
      <c r="DR36" s="28">
        <v>6.1811999999999999E-2</v>
      </c>
      <c r="DS36" s="28">
        <v>0.18336620000000001</v>
      </c>
      <c r="DT36" s="28">
        <v>0.68773099999999998</v>
      </c>
      <c r="DU36" s="28">
        <v>5.5E-2</v>
      </c>
      <c r="DV36" s="28">
        <v>0.98822333333333301</v>
      </c>
      <c r="DW36" s="28">
        <v>0.27242533306451611</v>
      </c>
      <c r="DX36" s="34">
        <v>33.780741300000003</v>
      </c>
    </row>
    <row r="37" spans="1:128" x14ac:dyDescent="0.25">
      <c r="A37" s="24">
        <v>36</v>
      </c>
      <c r="B37" s="26">
        <v>17.5</v>
      </c>
      <c r="C37" s="28">
        <v>0.18032000000000001</v>
      </c>
      <c r="D37" s="28">
        <v>0.30441633333333301</v>
      </c>
      <c r="E37" s="28">
        <v>5.0999999999999997E-2</v>
      </c>
      <c r="F37" s="28">
        <v>5.8999999999999997E-2</v>
      </c>
      <c r="G37" s="28">
        <v>4.7E-2</v>
      </c>
      <c r="H37" s="28">
        <v>5.0999999999999997E-2</v>
      </c>
      <c r="I37" s="28">
        <v>9.6956333333333394E-2</v>
      </c>
      <c r="J37" s="28">
        <v>0.17013266666666699</v>
      </c>
      <c r="K37" s="28">
        <v>0.15049066666666699</v>
      </c>
      <c r="L37" s="28">
        <v>0.340264133333333</v>
      </c>
      <c r="M37" s="28">
        <v>5.9757999999999999E-2</v>
      </c>
      <c r="N37" s="28">
        <v>1.7134548000000001</v>
      </c>
      <c r="O37" s="28">
        <v>0.34208833333333399</v>
      </c>
      <c r="P37" s="28">
        <v>0.28868933333333302</v>
      </c>
      <c r="Q37" s="28">
        <v>0.229508666666667</v>
      </c>
      <c r="R37" s="28">
        <v>0.255021</v>
      </c>
      <c r="S37" s="28">
        <v>0.200631333333333</v>
      </c>
      <c r="T37" s="28">
        <v>0.248954066666667</v>
      </c>
      <c r="U37" s="28">
        <v>0.13650733333333301</v>
      </c>
      <c r="V37" s="28">
        <v>0.463533266666667</v>
      </c>
      <c r="W37" s="28">
        <v>0.178086666666667</v>
      </c>
      <c r="X37" s="28">
        <v>0.287302</v>
      </c>
      <c r="Y37" s="28">
        <v>0.30146000000000001</v>
      </c>
      <c r="Z37" s="28">
        <v>5.5E-2</v>
      </c>
      <c r="AA37" s="28">
        <v>5.2999999999999999E-2</v>
      </c>
      <c r="AB37" s="28">
        <v>0.72230366666666701</v>
      </c>
      <c r="AC37" s="28">
        <v>0.05</v>
      </c>
      <c r="AD37" s="28">
        <v>0.317458666666667</v>
      </c>
      <c r="AE37" s="28">
        <v>0.313296666666667</v>
      </c>
      <c r="AF37" s="28">
        <v>0.18210699999999999</v>
      </c>
      <c r="AG37" s="28">
        <v>6.0999999999999999E-2</v>
      </c>
      <c r="AH37" s="28">
        <v>4.5999999999999999E-2</v>
      </c>
      <c r="AI37" s="28">
        <v>0.301781666666667</v>
      </c>
      <c r="AJ37" s="28">
        <v>0.29914000000000002</v>
      </c>
      <c r="AK37" s="28">
        <v>0.197535666666667</v>
      </c>
      <c r="AL37" s="28">
        <v>0.833670666666666</v>
      </c>
      <c r="AM37" s="28">
        <v>0.157986666666667</v>
      </c>
      <c r="AN37" s="28">
        <v>0.174653</v>
      </c>
      <c r="AO37" s="28">
        <v>0.242921</v>
      </c>
      <c r="AP37" s="28">
        <v>9.4217933333333406E-2</v>
      </c>
      <c r="AQ37" s="28">
        <v>0.24160999999999999</v>
      </c>
      <c r="AR37" s="28">
        <v>5.5E-2</v>
      </c>
      <c r="AS37" s="28">
        <v>5.8000000000000003E-2</v>
      </c>
      <c r="AT37" s="28">
        <v>0.356939333333333</v>
      </c>
      <c r="AU37" s="28">
        <v>8.2020399999999993E-2</v>
      </c>
      <c r="AV37" s="28">
        <v>0.29715266666666701</v>
      </c>
      <c r="AW37" s="28">
        <v>0.18962933333333301</v>
      </c>
      <c r="AX37" s="28">
        <v>0.17930096666666701</v>
      </c>
      <c r="AY37" s="28">
        <v>0.38532416666666702</v>
      </c>
      <c r="AZ37" s="28">
        <v>0.40045033333333302</v>
      </c>
      <c r="BA37" s="28">
        <v>0.12632399999999999</v>
      </c>
      <c r="BB37" s="28">
        <v>0.34205153333333299</v>
      </c>
      <c r="BC37" s="28">
        <v>8.2575999999999997E-2</v>
      </c>
      <c r="BD37" s="28">
        <v>2.0585766666666698</v>
      </c>
      <c r="BE37" s="28">
        <v>0.35760999999999998</v>
      </c>
      <c r="BF37" s="28">
        <v>0.74835300000000005</v>
      </c>
      <c r="BG37" s="28">
        <v>7.1835999999999997E-2</v>
      </c>
      <c r="BH37" s="28">
        <v>0.30957499999999999</v>
      </c>
      <c r="BI37" s="28">
        <v>0.294107333333333</v>
      </c>
      <c r="BJ37" s="28">
        <v>0.29728266666666597</v>
      </c>
      <c r="BK37" s="28">
        <v>0.30915833333333298</v>
      </c>
      <c r="BL37" s="28">
        <v>0.113773333333333</v>
      </c>
      <c r="BM37" s="28">
        <v>1.13159566666667</v>
      </c>
      <c r="BN37" s="28">
        <v>0.155247733333333</v>
      </c>
      <c r="BO37" s="28">
        <v>0.25751400000000002</v>
      </c>
      <c r="BP37" s="28">
        <v>1.7603690000000001</v>
      </c>
      <c r="BQ37" s="28">
        <v>0.20183950000000001</v>
      </c>
      <c r="BR37" s="28">
        <v>0.17415866666666699</v>
      </c>
      <c r="BS37" s="28">
        <v>0.57636433333333303</v>
      </c>
      <c r="BT37" s="28">
        <v>0.50833766666666702</v>
      </c>
      <c r="BU37" s="28">
        <v>0.16771533333333299</v>
      </c>
      <c r="BV37" s="28">
        <v>0.13223033333333301</v>
      </c>
      <c r="BW37" s="28">
        <v>0.69134633333333395</v>
      </c>
      <c r="BX37" s="28">
        <v>6.7586666666666601E-2</v>
      </c>
      <c r="BY37" s="28">
        <v>1.19795233333333</v>
      </c>
      <c r="BZ37" s="28">
        <v>0.23411933333333301</v>
      </c>
      <c r="CA37" s="28">
        <v>0.22009999999999999</v>
      </c>
      <c r="CB37" s="28">
        <v>0.12358066666666701</v>
      </c>
      <c r="CC37" s="28">
        <v>0.13713649999999999</v>
      </c>
      <c r="CD37" s="28">
        <v>0.36424000000000001</v>
      </c>
      <c r="CE37" s="28">
        <v>4.5999999999999999E-2</v>
      </c>
      <c r="CF37" s="28">
        <v>1.7069650000000001</v>
      </c>
      <c r="CG37" s="28">
        <v>0.2381856</v>
      </c>
      <c r="CH37" s="28">
        <v>0.19444946666666699</v>
      </c>
      <c r="CI37" s="28">
        <v>0.17099500000000001</v>
      </c>
      <c r="CJ37" s="28">
        <v>5.4823999999999998E-2</v>
      </c>
      <c r="CK37" s="28">
        <v>0.61591799999999997</v>
      </c>
      <c r="CL37" s="28">
        <v>0.05</v>
      </c>
      <c r="CM37" s="28">
        <v>0.05</v>
      </c>
      <c r="CN37" s="28">
        <v>0.13984533333333299</v>
      </c>
      <c r="CO37" s="28">
        <v>0.45103533333333301</v>
      </c>
      <c r="CP37" s="28">
        <v>0.10996</v>
      </c>
      <c r="CQ37" s="28">
        <v>0.32454033333333299</v>
      </c>
      <c r="CR37" s="28">
        <v>1.1619550000000001</v>
      </c>
      <c r="CS37" s="28">
        <v>0.10421646666666699</v>
      </c>
      <c r="CT37" s="28">
        <v>5.9665999999999997E-2</v>
      </c>
      <c r="CU37" s="28">
        <v>0.21992400000000001</v>
      </c>
      <c r="CV37" s="28">
        <v>0.30637266666666702</v>
      </c>
      <c r="CW37" s="28">
        <v>0.41855900000000001</v>
      </c>
      <c r="CX37" s="28">
        <v>0.53797933333333303</v>
      </c>
      <c r="CY37" s="28">
        <v>1.79018733333333</v>
      </c>
      <c r="CZ37" s="28">
        <v>0.64077333333333297</v>
      </c>
      <c r="DA37" s="28">
        <v>0.393967333333333</v>
      </c>
      <c r="DB37" s="28">
        <v>0.153548766666667</v>
      </c>
      <c r="DC37" s="28">
        <v>1.4791700000000001</v>
      </c>
      <c r="DD37" s="28">
        <v>7.5263333333333404E-2</v>
      </c>
      <c r="DE37" s="28">
        <v>0.39056833333333302</v>
      </c>
      <c r="DF37" s="28">
        <v>0.24409666666666699</v>
      </c>
      <c r="DG37" s="28">
        <v>0.23426</v>
      </c>
      <c r="DH37" s="28">
        <v>0.17072426666666701</v>
      </c>
      <c r="DI37" s="28">
        <v>0.34419633333333299</v>
      </c>
      <c r="DJ37" s="28">
        <v>0.12811866666666699</v>
      </c>
      <c r="DK37" s="28">
        <v>5.3999999999999999E-2</v>
      </c>
      <c r="DL37" s="28">
        <v>0.113001166666667</v>
      </c>
      <c r="DM37" s="28">
        <v>0.182174</v>
      </c>
      <c r="DN37" s="28">
        <v>1.2951600000000001</v>
      </c>
      <c r="DO37" s="28">
        <v>0.17624600000000001</v>
      </c>
      <c r="DP37" s="28">
        <v>0.102796</v>
      </c>
      <c r="DQ37" s="28">
        <v>0.1183332</v>
      </c>
      <c r="DR37" s="28">
        <v>5.8776866666666698E-2</v>
      </c>
      <c r="DS37" s="28">
        <v>0.113455</v>
      </c>
      <c r="DT37" s="28">
        <v>0.43012533333333303</v>
      </c>
      <c r="DU37" s="28">
        <v>5.5E-2</v>
      </c>
      <c r="DV37" s="28">
        <v>0.42903766666666698</v>
      </c>
      <c r="DW37" s="28">
        <v>0.33750082903225831</v>
      </c>
      <c r="DX37" s="34">
        <v>41.850102800000023</v>
      </c>
    </row>
    <row r="38" spans="1:128" x14ac:dyDescent="0.25">
      <c r="A38" s="24">
        <v>37</v>
      </c>
      <c r="B38" s="26">
        <v>18</v>
      </c>
      <c r="C38" s="28">
        <v>4.2999999999999997E-2</v>
      </c>
      <c r="D38" s="28">
        <v>6.6236000000000003E-2</v>
      </c>
      <c r="E38" s="28">
        <v>5.0999999999999997E-2</v>
      </c>
      <c r="F38" s="28">
        <v>5.8999999999999997E-2</v>
      </c>
      <c r="G38" s="28">
        <v>4.7E-2</v>
      </c>
      <c r="H38" s="28">
        <v>0.282457333333333</v>
      </c>
      <c r="I38" s="28">
        <v>0.315873666666667</v>
      </c>
      <c r="J38" s="28">
        <v>0.24882099999999999</v>
      </c>
      <c r="K38" s="28">
        <v>0.130805333333333</v>
      </c>
      <c r="L38" s="28">
        <v>0.39729999999999999</v>
      </c>
      <c r="M38" s="28">
        <v>4.8000000000000001E-2</v>
      </c>
      <c r="N38" s="28">
        <v>8.6493333333333394E-2</v>
      </c>
      <c r="O38" s="28">
        <v>0.245317333333333</v>
      </c>
      <c r="P38" s="28">
        <v>0.31227233333333299</v>
      </c>
      <c r="Q38" s="28">
        <v>0.29925200000000002</v>
      </c>
      <c r="R38" s="28">
        <v>0.298481</v>
      </c>
      <c r="S38" s="28">
        <v>0.29994599999999999</v>
      </c>
      <c r="T38" s="28">
        <v>0.28287266666666699</v>
      </c>
      <c r="U38" s="28">
        <v>0.11487033333333301</v>
      </c>
      <c r="V38" s="28">
        <v>0.44383</v>
      </c>
      <c r="W38" s="28">
        <v>0.228919333333333</v>
      </c>
      <c r="X38" s="28">
        <v>0.22487033333333301</v>
      </c>
      <c r="Y38" s="28">
        <v>0.17360866666666699</v>
      </c>
      <c r="Z38" s="28">
        <v>0.16358500000000001</v>
      </c>
      <c r="AA38" s="28">
        <v>0.15050666666666701</v>
      </c>
      <c r="AB38" s="28">
        <v>2.3690880000000001</v>
      </c>
      <c r="AC38" s="28">
        <v>0.12993399999999999</v>
      </c>
      <c r="AD38" s="28">
        <v>0.413215</v>
      </c>
      <c r="AE38" s="28">
        <v>0.40173433333333303</v>
      </c>
      <c r="AF38" s="28">
        <v>8.8854999999999906E-2</v>
      </c>
      <c r="AG38" s="28">
        <v>0.517085666666666</v>
      </c>
      <c r="AH38" s="28">
        <v>4.5999999999999999E-2</v>
      </c>
      <c r="AI38" s="28">
        <v>0.22614266666666699</v>
      </c>
      <c r="AJ38" s="28">
        <v>0.39312200000000003</v>
      </c>
      <c r="AK38" s="28">
        <v>0.60373433333333304</v>
      </c>
      <c r="AL38" s="28">
        <v>0.56234466666666705</v>
      </c>
      <c r="AM38" s="28">
        <v>0.286617333333333</v>
      </c>
      <c r="AN38" s="28">
        <v>4.7E-2</v>
      </c>
      <c r="AO38" s="28">
        <v>0.191992</v>
      </c>
      <c r="AP38" s="28">
        <v>0.16705</v>
      </c>
      <c r="AQ38" s="28">
        <v>0.13312979999999999</v>
      </c>
      <c r="AR38" s="28">
        <v>5.5E-2</v>
      </c>
      <c r="AS38" s="28">
        <v>0.141568</v>
      </c>
      <c r="AT38" s="28">
        <v>0.35413666666666699</v>
      </c>
      <c r="AU38" s="28">
        <v>0.12787000000000001</v>
      </c>
      <c r="AV38" s="28">
        <v>0.26827933333333298</v>
      </c>
      <c r="AW38" s="28">
        <v>0.21692</v>
      </c>
      <c r="AX38" s="28">
        <v>0.165922666666667</v>
      </c>
      <c r="AY38" s="28">
        <v>0.19400700000000001</v>
      </c>
      <c r="AZ38" s="28">
        <v>0.14489233333333301</v>
      </c>
      <c r="BA38" s="28">
        <v>0.10710146666666701</v>
      </c>
      <c r="BB38" s="28">
        <v>0.27585799999999999</v>
      </c>
      <c r="BC38" s="28">
        <v>0.108864</v>
      </c>
      <c r="BD38" s="28">
        <v>0.56198499999999996</v>
      </c>
      <c r="BE38" s="28">
        <v>0.28340666666666697</v>
      </c>
      <c r="BF38" s="28">
        <v>1.0238800666666701</v>
      </c>
      <c r="BG38" s="28">
        <v>0.26690166666666698</v>
      </c>
      <c r="BH38" s="28">
        <v>0.253716</v>
      </c>
      <c r="BI38" s="28">
        <v>0.14959</v>
      </c>
      <c r="BJ38" s="28">
        <v>0.25452999999999998</v>
      </c>
      <c r="BK38" s="28">
        <v>0.36784166666666701</v>
      </c>
      <c r="BL38" s="28">
        <v>0.16957403333333301</v>
      </c>
      <c r="BM38" s="28">
        <v>0.84552099999999997</v>
      </c>
      <c r="BN38" s="28">
        <v>0.19555513333333299</v>
      </c>
      <c r="BO38" s="28">
        <v>0.31840659999999998</v>
      </c>
      <c r="BP38" s="28">
        <v>4.0328633333333297</v>
      </c>
      <c r="BQ38" s="28">
        <v>0.11481483333333301</v>
      </c>
      <c r="BR38" s="28">
        <v>0.117020333333333</v>
      </c>
      <c r="BS38" s="28">
        <v>0.64403766666666695</v>
      </c>
      <c r="BT38" s="28">
        <v>0.384220333333333</v>
      </c>
      <c r="BU38" s="28">
        <v>5.6000000000000001E-2</v>
      </c>
      <c r="BV38" s="28">
        <v>0.54496800000000001</v>
      </c>
      <c r="BW38" s="28">
        <v>0.16744000000000001</v>
      </c>
      <c r="BX38" s="28">
        <v>9.6613333333333301E-2</v>
      </c>
      <c r="BY38" s="28">
        <v>1.0537138666666701</v>
      </c>
      <c r="BZ38" s="28">
        <v>0.143136033333333</v>
      </c>
      <c r="CA38" s="28">
        <v>0.116369</v>
      </c>
      <c r="CB38" s="28">
        <v>0.24580866666666701</v>
      </c>
      <c r="CC38" s="28">
        <v>0.172985</v>
      </c>
      <c r="CD38" s="28">
        <v>1.1314200000000001</v>
      </c>
      <c r="CE38" s="28">
        <v>4.5999999999999999E-2</v>
      </c>
      <c r="CF38" s="28">
        <v>0.61225133333333404</v>
      </c>
      <c r="CG38" s="28">
        <v>0.17338066666666699</v>
      </c>
      <c r="CH38" s="28">
        <v>0.2918461</v>
      </c>
      <c r="CI38" s="28">
        <v>0.117696</v>
      </c>
      <c r="CJ38" s="28">
        <v>0.17941306666666701</v>
      </c>
      <c r="CK38" s="28">
        <v>7.1794066666666698E-2</v>
      </c>
      <c r="CL38" s="28">
        <v>0.05</v>
      </c>
      <c r="CM38" s="28">
        <v>0.34812866666666697</v>
      </c>
      <c r="CN38" s="28">
        <v>0.12042310000000001</v>
      </c>
      <c r="CO38" s="28">
        <v>0.28486</v>
      </c>
      <c r="CP38" s="28">
        <v>0.15405466666666701</v>
      </c>
      <c r="CQ38" s="28">
        <v>0.24185000000000001</v>
      </c>
      <c r="CR38" s="28">
        <v>0.23205066666666699</v>
      </c>
      <c r="CS38" s="28">
        <v>0.18515773333333299</v>
      </c>
      <c r="CT38" s="28">
        <v>0.83819833333333305</v>
      </c>
      <c r="CU38" s="28">
        <v>0.24687773333333299</v>
      </c>
      <c r="CV38" s="28">
        <v>0.17204166666666701</v>
      </c>
      <c r="CW38" s="28">
        <v>0.28655000000000003</v>
      </c>
      <c r="CX38" s="28">
        <v>1.20641833333333</v>
      </c>
      <c r="CY38" s="28">
        <v>1.1047676666666699</v>
      </c>
      <c r="CZ38" s="28">
        <v>1.60155766666667</v>
      </c>
      <c r="DA38" s="28">
        <v>0.43342333333333299</v>
      </c>
      <c r="DB38" s="28">
        <v>0.25038833333333299</v>
      </c>
      <c r="DC38" s="28">
        <v>0.65780233333333304</v>
      </c>
      <c r="DD38" s="28">
        <v>0.136686</v>
      </c>
      <c r="DE38" s="28">
        <v>0.219263333333333</v>
      </c>
      <c r="DF38" s="28">
        <v>0.143096</v>
      </c>
      <c r="DG38" s="28">
        <v>0.38604066666666698</v>
      </c>
      <c r="DH38" s="28">
        <v>0.12677973333333301</v>
      </c>
      <c r="DI38" s="28">
        <v>0.15386966666666699</v>
      </c>
      <c r="DJ38" s="28">
        <v>0.29596600000000001</v>
      </c>
      <c r="DK38" s="28">
        <v>0.296314666666667</v>
      </c>
      <c r="DL38" s="28">
        <v>8.5000000000000006E-2</v>
      </c>
      <c r="DM38" s="28">
        <v>0.18688133333333301</v>
      </c>
      <c r="DN38" s="28">
        <v>0.97460166666666703</v>
      </c>
      <c r="DO38" s="28">
        <v>0.27692733333333303</v>
      </c>
      <c r="DP38" s="28">
        <v>5.5E-2</v>
      </c>
      <c r="DQ38" s="28">
        <v>0.269681</v>
      </c>
      <c r="DR38" s="28">
        <v>4.8000000000000001E-2</v>
      </c>
      <c r="DS38" s="28">
        <v>0.75419400000000003</v>
      </c>
      <c r="DT38" s="28">
        <v>0.639940333333333</v>
      </c>
      <c r="DU38" s="28">
        <v>0.13617633333333301</v>
      </c>
      <c r="DV38" s="28">
        <v>7.3960666666666702E-2</v>
      </c>
      <c r="DW38" s="28">
        <v>0.34378557284946232</v>
      </c>
      <c r="DX38" s="34">
        <v>42.629411033333319</v>
      </c>
    </row>
    <row r="39" spans="1:128" x14ac:dyDescent="0.25">
      <c r="A39" s="24">
        <v>38</v>
      </c>
      <c r="B39" s="26">
        <v>18.5</v>
      </c>
      <c r="C39" s="28">
        <v>7.7329999999999996E-2</v>
      </c>
      <c r="D39" s="28">
        <v>0.22136</v>
      </c>
      <c r="E39" s="28">
        <v>5.0999999999999997E-2</v>
      </c>
      <c r="F39" s="28">
        <v>5.8999999999999997E-2</v>
      </c>
      <c r="G39" s="28">
        <v>4.7E-2</v>
      </c>
      <c r="H39" s="28">
        <v>0.159393333333333</v>
      </c>
      <c r="I39" s="28">
        <v>0.18219949999999999</v>
      </c>
      <c r="J39" s="28">
        <v>0.28856256666666702</v>
      </c>
      <c r="K39" s="28">
        <v>0.28696066666666697</v>
      </c>
      <c r="L39" s="28">
        <v>0.507738666666667</v>
      </c>
      <c r="M39" s="28">
        <v>0.16558</v>
      </c>
      <c r="N39" s="28">
        <v>0.24516199999999999</v>
      </c>
      <c r="O39" s="28">
        <v>0.40877200000000002</v>
      </c>
      <c r="P39" s="28">
        <v>0.59572233333333302</v>
      </c>
      <c r="Q39" s="28">
        <v>0.25903700000000002</v>
      </c>
      <c r="R39" s="28">
        <v>0.218155666666667</v>
      </c>
      <c r="S39" s="28">
        <v>0.21045133333333299</v>
      </c>
      <c r="T39" s="28">
        <v>0.19673233333333301</v>
      </c>
      <c r="U39" s="28">
        <v>0.21242366666666701</v>
      </c>
      <c r="V39" s="28">
        <v>1.4100573333333299</v>
      </c>
      <c r="W39" s="28">
        <v>0.179553566666667</v>
      </c>
      <c r="X39" s="28">
        <v>7.4768000000000001E-2</v>
      </c>
      <c r="Y39" s="28">
        <v>0.13916173333333301</v>
      </c>
      <c r="Z39" s="28">
        <v>0.105673</v>
      </c>
      <c r="AA39" s="28">
        <v>0.16642000000000001</v>
      </c>
      <c r="AB39" s="28">
        <v>0.49010199999999998</v>
      </c>
      <c r="AC39" s="28">
        <v>0.38798569999999999</v>
      </c>
      <c r="AD39" s="28">
        <v>0.20505999999999999</v>
      </c>
      <c r="AE39" s="28">
        <v>0.466289333333333</v>
      </c>
      <c r="AF39" s="28">
        <v>0.05</v>
      </c>
      <c r="AG39" s="28">
        <v>0.37316633333333399</v>
      </c>
      <c r="AH39" s="28">
        <v>7.4260000000000007E-2</v>
      </c>
      <c r="AI39" s="28">
        <v>0.46614933333333303</v>
      </c>
      <c r="AJ39" s="28">
        <v>0.21018000000000001</v>
      </c>
      <c r="AK39" s="28">
        <v>0.1973087</v>
      </c>
      <c r="AL39" s="28">
        <v>0.72372466666666702</v>
      </c>
      <c r="AM39" s="28">
        <v>0.34705433333333302</v>
      </c>
      <c r="AN39" s="28">
        <v>4.7E-2</v>
      </c>
      <c r="AO39" s="28">
        <v>0.24215366666666699</v>
      </c>
      <c r="AP39" s="28">
        <v>0.24529000000000001</v>
      </c>
      <c r="AQ39" s="28">
        <v>0.39047900000000002</v>
      </c>
      <c r="AR39" s="28">
        <v>5.5E-2</v>
      </c>
      <c r="AS39" s="28">
        <v>5.8000000000000003E-2</v>
      </c>
      <c r="AT39" s="28">
        <v>1.4978753333333299</v>
      </c>
      <c r="AU39" s="28">
        <v>6.4932000000000101E-2</v>
      </c>
      <c r="AV39" s="28">
        <v>0.57256533333333304</v>
      </c>
      <c r="AW39" s="28">
        <v>0.21692</v>
      </c>
      <c r="AX39" s="28">
        <v>7.6076000000000005E-2</v>
      </c>
      <c r="AY39" s="28">
        <v>0.345901666666666</v>
      </c>
      <c r="AZ39" s="28">
        <v>5.1999999999999998E-2</v>
      </c>
      <c r="BA39" s="28">
        <v>0.13421393333333301</v>
      </c>
      <c r="BB39" s="28">
        <v>0.32083133333333302</v>
      </c>
      <c r="BC39" s="28">
        <v>0.03</v>
      </c>
      <c r="BD39" s="28">
        <v>0.44174766666666698</v>
      </c>
      <c r="BE39" s="28">
        <v>0.21969873333333301</v>
      </c>
      <c r="BF39" s="28">
        <v>0.96199773333333305</v>
      </c>
      <c r="BG39" s="28">
        <v>2.5999999999999999E-2</v>
      </c>
      <c r="BH39" s="28">
        <v>0.400096333333333</v>
      </c>
      <c r="BI39" s="28">
        <v>8.5553000000000004E-2</v>
      </c>
      <c r="BJ39" s="28">
        <v>0.16056699999999999</v>
      </c>
      <c r="BK39" s="28">
        <v>0.342457333333334</v>
      </c>
      <c r="BL39" s="28">
        <v>0.19295200000000001</v>
      </c>
      <c r="BM39" s="28">
        <v>0.29864533333333299</v>
      </c>
      <c r="BN39" s="28">
        <v>0.367807</v>
      </c>
      <c r="BO39" s="28">
        <v>0.17500640000000001</v>
      </c>
      <c r="BP39" s="28">
        <v>2.8136666666666699</v>
      </c>
      <c r="BQ39" s="28">
        <v>0.17630799999999999</v>
      </c>
      <c r="BR39" s="28">
        <v>0.18931400000000001</v>
      </c>
      <c r="BS39" s="28">
        <v>0.52992333333333297</v>
      </c>
      <c r="BT39" s="28">
        <v>0.41857566666666701</v>
      </c>
      <c r="BU39" s="28">
        <v>5.6000000000000001E-2</v>
      </c>
      <c r="BV39" s="28">
        <v>0.46113053333333298</v>
      </c>
      <c r="BW39" s="28">
        <v>0.339907666666667</v>
      </c>
      <c r="BX39" s="28">
        <v>8.0026666666666704E-2</v>
      </c>
      <c r="BY39" s="28">
        <v>0.23819173333333299</v>
      </c>
      <c r="BZ39" s="28">
        <v>0.381774</v>
      </c>
      <c r="CA39" s="28">
        <v>0.146315466666667</v>
      </c>
      <c r="CB39" s="28">
        <v>5.7166666666666699E-2</v>
      </c>
      <c r="CC39" s="28">
        <v>0.32139716666666701</v>
      </c>
      <c r="CD39" s="28">
        <v>0.29736000000000001</v>
      </c>
      <c r="CE39" s="28">
        <v>4.5999999999999999E-2</v>
      </c>
      <c r="CF39" s="28">
        <v>1.0008986666666699</v>
      </c>
      <c r="CG39" s="28">
        <v>0.25427866666666699</v>
      </c>
      <c r="CH39" s="28">
        <v>5.7336999999999999E-2</v>
      </c>
      <c r="CI39" s="28">
        <v>0.22699266666666701</v>
      </c>
      <c r="CJ39" s="28">
        <v>0.14967333333333299</v>
      </c>
      <c r="CK39" s="28">
        <v>1.13051366666667</v>
      </c>
      <c r="CL39" s="28">
        <v>5.50825666666667E-2</v>
      </c>
      <c r="CM39" s="28">
        <v>6.73406E-2</v>
      </c>
      <c r="CN39" s="28">
        <v>0.47158603333333299</v>
      </c>
      <c r="CO39" s="28">
        <v>0.32132533333333302</v>
      </c>
      <c r="CP39" s="28">
        <v>0.21987999999999999</v>
      </c>
      <c r="CQ39" s="28">
        <v>0.252016666666667</v>
      </c>
      <c r="CR39" s="28">
        <v>0.16824</v>
      </c>
      <c r="CS39" s="28">
        <v>0.246728</v>
      </c>
      <c r="CT39" s="28">
        <v>4.7E-2</v>
      </c>
      <c r="CU39" s="28">
        <v>0.73325019999999996</v>
      </c>
      <c r="CV39" s="28">
        <v>0.16386066666666699</v>
      </c>
      <c r="CW39" s="28">
        <v>0.28736699999999998</v>
      </c>
      <c r="CX39" s="28">
        <v>0.72825899999999999</v>
      </c>
      <c r="CY39" s="28">
        <v>0.19469</v>
      </c>
      <c r="CZ39" s="28">
        <v>0.105713666666667</v>
      </c>
      <c r="DA39" s="28">
        <v>0.42488999999999999</v>
      </c>
      <c r="DB39" s="28">
        <v>0.29411999999999999</v>
      </c>
      <c r="DC39" s="28">
        <v>0.30240699999999998</v>
      </c>
      <c r="DD39" s="28">
        <v>1.327132</v>
      </c>
      <c r="DE39" s="28">
        <v>0.33438933333333298</v>
      </c>
      <c r="DF39" s="28">
        <v>2.0565926666666701</v>
      </c>
      <c r="DG39" s="28">
        <v>0.45374266666666702</v>
      </c>
      <c r="DH39" s="28">
        <v>0.157043666666667</v>
      </c>
      <c r="DI39" s="28">
        <v>0.23881720000000001</v>
      </c>
      <c r="DJ39" s="28">
        <v>0.181545333333333</v>
      </c>
      <c r="DK39" s="28">
        <v>1.7298453333333299</v>
      </c>
      <c r="DL39" s="28">
        <v>8.8954666666666696E-2</v>
      </c>
      <c r="DM39" s="28">
        <v>0.29544583333333302</v>
      </c>
      <c r="DN39" s="28">
        <v>1.667038</v>
      </c>
      <c r="DO39" s="28">
        <v>0.35642533333333298</v>
      </c>
      <c r="DP39" s="28">
        <v>0.106843333333333</v>
      </c>
      <c r="DQ39" s="28">
        <v>0.36505933333333301</v>
      </c>
      <c r="DR39" s="28">
        <v>0.460160333333333</v>
      </c>
      <c r="DS39" s="28">
        <v>0.59002666666666703</v>
      </c>
      <c r="DT39" s="28">
        <v>3.0957063333333301</v>
      </c>
      <c r="DU39" s="28">
        <v>9.87103333333334E-2</v>
      </c>
      <c r="DV39" s="28">
        <v>0.36404466666666702</v>
      </c>
      <c r="DW39" s="28">
        <v>0.3782684938172044</v>
      </c>
      <c r="DX39" s="34">
        <v>46.905293233333353</v>
      </c>
    </row>
    <row r="40" spans="1:128" x14ac:dyDescent="0.25">
      <c r="A40" s="24">
        <v>39</v>
      </c>
      <c r="B40" s="26">
        <v>19</v>
      </c>
      <c r="C40" s="28">
        <v>0.14599000000000001</v>
      </c>
      <c r="D40" s="28">
        <v>4.9000000000000002E-2</v>
      </c>
      <c r="E40" s="28">
        <v>5.0999999999999997E-2</v>
      </c>
      <c r="F40" s="28">
        <v>6.3E-2</v>
      </c>
      <c r="G40" s="28">
        <v>4.7E-2</v>
      </c>
      <c r="H40" s="28">
        <v>0.26788400000000001</v>
      </c>
      <c r="I40" s="28">
        <v>0.30030433333333301</v>
      </c>
      <c r="J40" s="28">
        <v>0.150364566666667</v>
      </c>
      <c r="K40" s="28">
        <v>9.7122E-2</v>
      </c>
      <c r="L40" s="28">
        <v>0.47098533333333298</v>
      </c>
      <c r="M40" s="28">
        <v>0.225851</v>
      </c>
      <c r="N40" s="28">
        <v>0.166228866666667</v>
      </c>
      <c r="O40" s="28">
        <v>0.51714533333333401</v>
      </c>
      <c r="P40" s="28">
        <v>0.66043466666666695</v>
      </c>
      <c r="Q40" s="28">
        <v>0.183834</v>
      </c>
      <c r="R40" s="28">
        <v>0.25365333333333301</v>
      </c>
      <c r="S40" s="28">
        <v>0.23762333333333299</v>
      </c>
      <c r="T40" s="28">
        <v>0.257745</v>
      </c>
      <c r="U40" s="28">
        <v>0.887062666666666</v>
      </c>
      <c r="V40" s="28">
        <v>0.58239166666666697</v>
      </c>
      <c r="W40" s="28">
        <v>8.6267333333333293E-2</v>
      </c>
      <c r="X40" s="28">
        <v>5.7000000000000002E-2</v>
      </c>
      <c r="Y40" s="28">
        <v>0.32409433333333298</v>
      </c>
      <c r="Z40" s="28">
        <v>0.105673</v>
      </c>
      <c r="AA40" s="28">
        <v>5.2999999999999999E-2</v>
      </c>
      <c r="AB40" s="28">
        <v>0.41872300000000001</v>
      </c>
      <c r="AC40" s="28">
        <v>0.39954266666666699</v>
      </c>
      <c r="AD40" s="28">
        <v>0.28453066666666699</v>
      </c>
      <c r="AE40" s="28">
        <v>0.14606533333333299</v>
      </c>
      <c r="AF40" s="28">
        <v>0.22096199999999999</v>
      </c>
      <c r="AG40" s="28">
        <v>0.64898</v>
      </c>
      <c r="AH40" s="28">
        <v>0.122576666666667</v>
      </c>
      <c r="AI40" s="28">
        <v>0.506392333333334</v>
      </c>
      <c r="AJ40" s="28">
        <v>0.18477666666666701</v>
      </c>
      <c r="AK40" s="28">
        <v>0.86363306666666695</v>
      </c>
      <c r="AL40" s="28">
        <v>0.48097400000000001</v>
      </c>
      <c r="AM40" s="28">
        <v>0.167795</v>
      </c>
      <c r="AN40" s="28">
        <v>4.7E-2</v>
      </c>
      <c r="AO40" s="28">
        <v>0.12542500000000001</v>
      </c>
      <c r="AP40" s="28">
        <v>0.28001999999999999</v>
      </c>
      <c r="AQ40" s="28">
        <v>0.160022</v>
      </c>
      <c r="AR40" s="28">
        <v>5.5E-2</v>
      </c>
      <c r="AS40" s="28">
        <v>8.5856000000000099E-2</v>
      </c>
      <c r="AT40" s="28">
        <v>0.10109333333333299</v>
      </c>
      <c r="AU40" s="28">
        <v>0.20228073333333299</v>
      </c>
      <c r="AV40" s="28">
        <v>0.44011966666666702</v>
      </c>
      <c r="AW40" s="28">
        <v>0.19840133333333301</v>
      </c>
      <c r="AX40" s="28">
        <v>0.17073466666666701</v>
      </c>
      <c r="AY40" s="28">
        <v>0.19248299999999999</v>
      </c>
      <c r="AZ40" s="28">
        <v>5.1999999999999998E-2</v>
      </c>
      <c r="BA40" s="28">
        <v>0.419781666666667</v>
      </c>
      <c r="BB40" s="28">
        <v>0.22014359999999999</v>
      </c>
      <c r="BC40" s="28">
        <v>6.2859999999999999E-2</v>
      </c>
      <c r="BD40" s="28">
        <v>0.20519699999999999</v>
      </c>
      <c r="BE40" s="28">
        <v>0.33257833333333298</v>
      </c>
      <c r="BF40" s="28">
        <v>0.38300606666666698</v>
      </c>
      <c r="BG40" s="28">
        <v>0.16467999999999999</v>
      </c>
      <c r="BH40" s="28">
        <v>0.26532333333333302</v>
      </c>
      <c r="BI40" s="28">
        <v>0.211169</v>
      </c>
      <c r="BJ40" s="28">
        <v>0.24928800000000001</v>
      </c>
      <c r="BK40" s="28">
        <v>0.1403074</v>
      </c>
      <c r="BL40" s="28">
        <v>0.40750700000000001</v>
      </c>
      <c r="BM40" s="28">
        <v>0.243283</v>
      </c>
      <c r="BN40" s="28">
        <v>0.37044833333333299</v>
      </c>
      <c r="BO40" s="28">
        <v>0.97088833333333402</v>
      </c>
      <c r="BP40" s="28">
        <v>0.654609</v>
      </c>
      <c r="BQ40" s="28">
        <v>3.6999999999999998E-2</v>
      </c>
      <c r="BR40" s="28">
        <v>5.2999999999999999E-2</v>
      </c>
      <c r="BS40" s="28">
        <v>0.54080066666666704</v>
      </c>
      <c r="BT40" s="28">
        <v>2.1153093333333302</v>
      </c>
      <c r="BU40" s="28">
        <v>5.6000000000000001E-2</v>
      </c>
      <c r="BV40" s="28">
        <v>0.59462026666666701</v>
      </c>
      <c r="BW40" s="28">
        <v>0.18075733333333299</v>
      </c>
      <c r="BX40" s="28">
        <v>5.0999999999999997E-2</v>
      </c>
      <c r="BY40" s="28">
        <v>0.20078733333333301</v>
      </c>
      <c r="BZ40" s="28">
        <v>0.50558756666666704</v>
      </c>
      <c r="CA40" s="28">
        <v>0.333011733333333</v>
      </c>
      <c r="CB40" s="28">
        <v>0.64743333333333397</v>
      </c>
      <c r="CC40" s="28">
        <v>0.155945633333333</v>
      </c>
      <c r="CD40" s="28">
        <v>0.33272233333333301</v>
      </c>
      <c r="CE40" s="28">
        <v>4.5999999999999999E-2</v>
      </c>
      <c r="CF40" s="28">
        <v>2.8028266666666699</v>
      </c>
      <c r="CG40" s="28">
        <v>0.47475899999999999</v>
      </c>
      <c r="CH40" s="28">
        <v>0.32775310000000002</v>
      </c>
      <c r="CI40" s="28">
        <v>5.0999999999999997E-2</v>
      </c>
      <c r="CJ40" s="28">
        <v>0.200025166666667</v>
      </c>
      <c r="CK40" s="28">
        <v>9.1319266666666704E-2</v>
      </c>
      <c r="CL40" s="28">
        <v>6.0166666666666702E-2</v>
      </c>
      <c r="CM40" s="28">
        <v>0.108068</v>
      </c>
      <c r="CN40" s="28">
        <v>0.15582733333333301</v>
      </c>
      <c r="CO40" s="28">
        <v>0.36770999999999998</v>
      </c>
      <c r="CP40" s="28">
        <v>0.1535685</v>
      </c>
      <c r="CQ40" s="28">
        <v>0.39286700000000002</v>
      </c>
      <c r="CR40" s="28">
        <v>0.24840733333333301</v>
      </c>
      <c r="CS40" s="28">
        <v>1.0521653333333301</v>
      </c>
      <c r="CT40" s="28">
        <v>4.7E-2</v>
      </c>
      <c r="CU40" s="28">
        <v>1.761131</v>
      </c>
      <c r="CV40" s="28">
        <v>8.62666666666667E-2</v>
      </c>
      <c r="CW40" s="28">
        <v>0.11338910000000001</v>
      </c>
      <c r="CX40" s="28">
        <v>3.1452266666666699</v>
      </c>
      <c r="CY40" s="28">
        <v>1.02207166666667</v>
      </c>
      <c r="CZ40" s="28">
        <v>0.103433333333333</v>
      </c>
      <c r="DA40" s="28">
        <v>0.450147666666667</v>
      </c>
      <c r="DB40" s="28">
        <v>0.49666466666666698</v>
      </c>
      <c r="DC40" s="28">
        <v>0.43209700000000001</v>
      </c>
      <c r="DD40" s="28">
        <v>4.2000000000000003E-2</v>
      </c>
      <c r="DE40" s="28">
        <v>0.37346400000000002</v>
      </c>
      <c r="DF40" s="28">
        <v>1.7341726666666699</v>
      </c>
      <c r="DG40" s="28">
        <v>0.14018</v>
      </c>
      <c r="DH40" s="28">
        <v>0.34651533333333301</v>
      </c>
      <c r="DI40" s="28">
        <v>0.34876000000000001</v>
      </c>
      <c r="DJ40" s="28">
        <v>0.25898666666666698</v>
      </c>
      <c r="DK40" s="28">
        <v>2.3109933333333301</v>
      </c>
      <c r="DL40" s="28">
        <v>0.24246266666666699</v>
      </c>
      <c r="DM40" s="28">
        <v>0.4106804</v>
      </c>
      <c r="DN40" s="28">
        <v>0.46143833333333301</v>
      </c>
      <c r="DO40" s="28">
        <v>0.43745133333333303</v>
      </c>
      <c r="DP40" s="28">
        <v>0.245599333333333</v>
      </c>
      <c r="DQ40" s="28">
        <v>0.25570999999999999</v>
      </c>
      <c r="DR40" s="28">
        <v>0.200128</v>
      </c>
      <c r="DS40" s="28">
        <v>0.437973</v>
      </c>
      <c r="DT40" s="28">
        <v>3.6970333333333301</v>
      </c>
      <c r="DU40" s="28">
        <v>5.5E-2</v>
      </c>
      <c r="DV40" s="28">
        <v>0.40396433333333298</v>
      </c>
      <c r="DW40" s="28">
        <v>0.40720557553763442</v>
      </c>
      <c r="DX40" s="34">
        <v>50.49349136666666</v>
      </c>
    </row>
    <row r="41" spans="1:128" x14ac:dyDescent="0.25">
      <c r="A41" s="24">
        <v>40</v>
      </c>
      <c r="B41" s="26">
        <v>19.5</v>
      </c>
      <c r="C41" s="28">
        <v>4.2999999999999997E-2</v>
      </c>
      <c r="D41" s="28">
        <v>5.7618000000000003E-2</v>
      </c>
      <c r="E41" s="28">
        <v>5.0999999999999997E-2</v>
      </c>
      <c r="F41" s="28">
        <v>0.22464066666666699</v>
      </c>
      <c r="G41" s="28">
        <v>4.7E-2</v>
      </c>
      <c r="H41" s="28">
        <v>0.31937333333333301</v>
      </c>
      <c r="I41" s="28">
        <v>0.53514133333333402</v>
      </c>
      <c r="J41" s="28">
        <v>0.32725133333333301</v>
      </c>
      <c r="K41" s="28">
        <v>0.54041799999999995</v>
      </c>
      <c r="L41" s="28">
        <v>0.72429500000000002</v>
      </c>
      <c r="M41" s="28">
        <v>0.357265</v>
      </c>
      <c r="N41" s="28">
        <v>1.54871166666667</v>
      </c>
      <c r="O41" s="28">
        <v>0.24729000000000001</v>
      </c>
      <c r="P41" s="28">
        <v>0.62062233333333305</v>
      </c>
      <c r="Q41" s="28">
        <v>0.33823633333333297</v>
      </c>
      <c r="R41" s="28">
        <v>0.42372233333333298</v>
      </c>
      <c r="S41" s="28">
        <v>0.45380533333333301</v>
      </c>
      <c r="T41" s="28">
        <v>0.45763266666666702</v>
      </c>
      <c r="U41" s="28">
        <v>0.40166866666666701</v>
      </c>
      <c r="V41" s="28">
        <v>0.68250833333333305</v>
      </c>
      <c r="W41" s="28">
        <v>0.444998</v>
      </c>
      <c r="X41" s="28">
        <v>0.163608</v>
      </c>
      <c r="Y41" s="28">
        <v>0.48785000000000001</v>
      </c>
      <c r="Z41" s="28">
        <v>0.16358500000000001</v>
      </c>
      <c r="AA41" s="28">
        <v>5.2999999999999999E-2</v>
      </c>
      <c r="AB41" s="28">
        <v>0.72047466666666704</v>
      </c>
      <c r="AC41" s="28">
        <v>0.79433233333333297</v>
      </c>
      <c r="AD41" s="28">
        <v>5.0999999999999997E-2</v>
      </c>
      <c r="AE41" s="28">
        <v>0.22498333333333301</v>
      </c>
      <c r="AF41" s="28">
        <v>0.05</v>
      </c>
      <c r="AG41" s="28">
        <v>0.82095433333333301</v>
      </c>
      <c r="AH41" s="28">
        <v>0.31688433333333299</v>
      </c>
      <c r="AI41" s="28">
        <v>0.52675333333333296</v>
      </c>
      <c r="AJ41" s="28">
        <v>0.293476666666667</v>
      </c>
      <c r="AK41" s="28">
        <v>0.92823066666666698</v>
      </c>
      <c r="AL41" s="28">
        <v>0.35638599999999998</v>
      </c>
      <c r="AM41" s="28">
        <v>0.41623599999999999</v>
      </c>
      <c r="AN41" s="28">
        <v>0.212198</v>
      </c>
      <c r="AO41" s="28">
        <v>0.44488366666666701</v>
      </c>
      <c r="AP41" s="28">
        <v>0.43558666666666701</v>
      </c>
      <c r="AQ41" s="28">
        <v>0.44269666666666702</v>
      </c>
      <c r="AR41" s="28">
        <v>5.5E-2</v>
      </c>
      <c r="AS41" s="28">
        <v>0.11447526666666701</v>
      </c>
      <c r="AT41" s="28">
        <v>0.16476666666666701</v>
      </c>
      <c r="AU41" s="28">
        <v>0.19527713333333299</v>
      </c>
      <c r="AV41" s="28">
        <v>0.36990266666666699</v>
      </c>
      <c r="AW41" s="28">
        <v>0.30501333333333303</v>
      </c>
      <c r="AX41" s="28">
        <v>0.24795200000000001</v>
      </c>
      <c r="AY41" s="28">
        <v>0.53475966666666697</v>
      </c>
      <c r="AZ41" s="28">
        <v>0.161453333333333</v>
      </c>
      <c r="BA41" s="28">
        <v>0.61802333333333304</v>
      </c>
      <c r="BB41" s="28">
        <v>0.41761199999999998</v>
      </c>
      <c r="BC41" s="28">
        <v>0.12858</v>
      </c>
      <c r="BD41" s="28">
        <v>0.43872666666666699</v>
      </c>
      <c r="BE41" s="28">
        <v>0.60150066666666702</v>
      </c>
      <c r="BF41" s="28">
        <v>0.55669266666666695</v>
      </c>
      <c r="BG41" s="28">
        <v>0.17406099999999999</v>
      </c>
      <c r="BH41" s="28">
        <v>0.50318566666666698</v>
      </c>
      <c r="BI41" s="28">
        <v>6.2E-2</v>
      </c>
      <c r="BJ41" s="28">
        <v>0.24690599999999999</v>
      </c>
      <c r="BK41" s="28">
        <v>0.36181533333333299</v>
      </c>
      <c r="BL41" s="28">
        <v>0.306765333333333</v>
      </c>
      <c r="BM41" s="28">
        <v>0.45617566666666698</v>
      </c>
      <c r="BN41" s="28">
        <v>0.71634466666666696</v>
      </c>
      <c r="BO41" s="28">
        <v>0.81762400000000002</v>
      </c>
      <c r="BP41" s="28">
        <v>0.272890666666666</v>
      </c>
      <c r="BQ41" s="28">
        <v>0.114393333333333</v>
      </c>
      <c r="BR41" s="28">
        <v>0.13972999999999999</v>
      </c>
      <c r="BS41" s="28">
        <v>0.64591133333333295</v>
      </c>
      <c r="BT41" s="28">
        <v>2.5706266666666702</v>
      </c>
      <c r="BU41" s="28">
        <v>0.203141666666667</v>
      </c>
      <c r="BV41" s="28">
        <v>0.491226</v>
      </c>
      <c r="BW41" s="28">
        <v>0.16220066666666699</v>
      </c>
      <c r="BX41" s="28">
        <v>5.0999999999999997E-2</v>
      </c>
      <c r="BY41" s="28">
        <v>0.169544</v>
      </c>
      <c r="BZ41" s="28">
        <v>0.65409799999999996</v>
      </c>
      <c r="CA41" s="28">
        <v>0.41708299999999998</v>
      </c>
      <c r="CB41" s="28">
        <v>1.0318750000000001</v>
      </c>
      <c r="CC41" s="28">
        <v>0.38399499999999998</v>
      </c>
      <c r="CD41" s="28">
        <v>0.48189433333333298</v>
      </c>
      <c r="CE41" s="28">
        <v>4.5999999999999999E-2</v>
      </c>
      <c r="CF41" s="28">
        <v>2.0250733333333302</v>
      </c>
      <c r="CG41" s="28">
        <v>0.31869666666666702</v>
      </c>
      <c r="CH41" s="28">
        <v>0.37320399999999998</v>
      </c>
      <c r="CI41" s="28">
        <v>0.117696</v>
      </c>
      <c r="CJ41" s="28">
        <v>0.414708666666666</v>
      </c>
      <c r="CK41" s="28">
        <v>0.48631533333333299</v>
      </c>
      <c r="CL41" s="28">
        <v>0.16383413333333299</v>
      </c>
      <c r="CM41" s="28">
        <v>0.43325666666666701</v>
      </c>
      <c r="CN41" s="28">
        <v>0.44711466666666699</v>
      </c>
      <c r="CO41" s="28">
        <v>5.1999999999999998E-2</v>
      </c>
      <c r="CP41" s="28">
        <v>0.4225604</v>
      </c>
      <c r="CQ41" s="28">
        <v>0.65873333333333295</v>
      </c>
      <c r="CR41" s="28">
        <v>0.521401</v>
      </c>
      <c r="CS41" s="28">
        <v>1.3461733333333299</v>
      </c>
      <c r="CT41" s="28">
        <v>0.17366000000000001</v>
      </c>
      <c r="CU41" s="28">
        <v>0.44136466666666702</v>
      </c>
      <c r="CV41" s="28">
        <v>0.36263499999999999</v>
      </c>
      <c r="CW41" s="28">
        <v>0.13621030000000001</v>
      </c>
      <c r="CX41" s="28">
        <v>2.9911333333333299</v>
      </c>
      <c r="CY41" s="28">
        <v>0.348335333333333</v>
      </c>
      <c r="CZ41" s="28">
        <v>1.3380476666666701</v>
      </c>
      <c r="DA41" s="28">
        <v>1.3017036666666699</v>
      </c>
      <c r="DB41" s="28">
        <v>0.58271866666666705</v>
      </c>
      <c r="DC41" s="28">
        <v>0.53149299999999999</v>
      </c>
      <c r="DD41" s="28">
        <v>4.2000000000000003E-2</v>
      </c>
      <c r="DE41" s="28">
        <v>0.62670700000000001</v>
      </c>
      <c r="DF41" s="28">
        <v>0.68271933333333301</v>
      </c>
      <c r="DG41" s="28">
        <v>5.8000000000000003E-2</v>
      </c>
      <c r="DH41" s="28">
        <v>0.167714</v>
      </c>
      <c r="DI41" s="28">
        <v>0.78481833333333295</v>
      </c>
      <c r="DJ41" s="28">
        <v>0.237920666666667</v>
      </c>
      <c r="DK41" s="28">
        <v>1.0316593333333299</v>
      </c>
      <c r="DL41" s="28">
        <v>0.37961933333333397</v>
      </c>
      <c r="DM41" s="28">
        <v>0.30555199999999999</v>
      </c>
      <c r="DN41" s="28">
        <v>0.26026033333333298</v>
      </c>
      <c r="DO41" s="28">
        <v>0.56458699999999995</v>
      </c>
      <c r="DP41" s="28">
        <v>5.5E-2</v>
      </c>
      <c r="DQ41" s="28">
        <v>0.40818333333333301</v>
      </c>
      <c r="DR41" s="28">
        <v>0.20539199999999999</v>
      </c>
      <c r="DS41" s="28">
        <v>1.3968496666666701</v>
      </c>
      <c r="DT41" s="28">
        <v>1.0453779999999999</v>
      </c>
      <c r="DU41" s="28">
        <v>0.179886666666667</v>
      </c>
      <c r="DV41" s="28">
        <v>0.13038866666666701</v>
      </c>
      <c r="DW41" s="28">
        <v>0.46524391586021502</v>
      </c>
      <c r="DX41" s="34">
        <v>57.690245566666661</v>
      </c>
    </row>
    <row r="42" spans="1:128" x14ac:dyDescent="0.25">
      <c r="A42" s="24">
        <v>41</v>
      </c>
      <c r="B42" s="26">
        <v>20</v>
      </c>
      <c r="C42" s="28">
        <v>0.18032000000000001</v>
      </c>
      <c r="D42" s="28">
        <v>0.22997799999999999</v>
      </c>
      <c r="E42" s="28">
        <v>5.0999999999999997E-2</v>
      </c>
      <c r="F42" s="28">
        <v>0.66292733333333298</v>
      </c>
      <c r="G42" s="28">
        <v>0.35664566666666703</v>
      </c>
      <c r="H42" s="28">
        <v>0.54754233333333402</v>
      </c>
      <c r="I42" s="28">
        <v>0.49177533333333301</v>
      </c>
      <c r="J42" s="28">
        <v>0.333816</v>
      </c>
      <c r="K42" s="28">
        <v>0.58953933333333297</v>
      </c>
      <c r="L42" s="28">
        <v>1.10314133333333</v>
      </c>
      <c r="M42" s="28">
        <v>0.15382199999999999</v>
      </c>
      <c r="N42" s="28">
        <v>1.6230433333333301</v>
      </c>
      <c r="O42" s="28">
        <v>0.54765533333333305</v>
      </c>
      <c r="P42" s="28">
        <v>0.50505800000000001</v>
      </c>
      <c r="Q42" s="28">
        <v>0.40335833333333299</v>
      </c>
      <c r="R42" s="28">
        <v>0.62942766666666605</v>
      </c>
      <c r="S42" s="28">
        <v>1.32853133333333</v>
      </c>
      <c r="T42" s="28">
        <v>1.00543933333333</v>
      </c>
      <c r="U42" s="28">
        <v>0.49294433333333398</v>
      </c>
      <c r="V42" s="28">
        <v>0.45307700000000001</v>
      </c>
      <c r="W42" s="28">
        <v>0.58603466666666704</v>
      </c>
      <c r="X42" s="28">
        <v>6.88453333333333E-2</v>
      </c>
      <c r="Y42" s="28">
        <v>0.85603866666666695</v>
      </c>
      <c r="Z42" s="28">
        <v>5.5E-2</v>
      </c>
      <c r="AA42" s="28">
        <v>5.2999999999999999E-2</v>
      </c>
      <c r="AB42" s="28">
        <v>0.77469633333333299</v>
      </c>
      <c r="AC42" s="28">
        <v>0.72157233333333404</v>
      </c>
      <c r="AD42" s="28">
        <v>0.28864333333333297</v>
      </c>
      <c r="AE42" s="28">
        <v>0.41906700000000002</v>
      </c>
      <c r="AF42" s="28">
        <v>0.05</v>
      </c>
      <c r="AG42" s="28">
        <v>1.43324566666667</v>
      </c>
      <c r="AH42" s="28">
        <v>0.30933333333333302</v>
      </c>
      <c r="AI42" s="28">
        <v>9.0296000000000001E-2</v>
      </c>
      <c r="AJ42" s="28">
        <v>0.44815533333333402</v>
      </c>
      <c r="AK42" s="28">
        <v>1.54537533333333</v>
      </c>
      <c r="AL42" s="28">
        <v>0.48510766666666699</v>
      </c>
      <c r="AM42" s="28">
        <v>1.8851053333333301</v>
      </c>
      <c r="AN42" s="28">
        <v>4.7E-2</v>
      </c>
      <c r="AO42" s="28">
        <v>0.61232533333333306</v>
      </c>
      <c r="AP42" s="28">
        <v>4.5999999999999999E-2</v>
      </c>
      <c r="AQ42" s="28">
        <v>0.59688833333333402</v>
      </c>
      <c r="AR42" s="28">
        <v>5.5E-2</v>
      </c>
      <c r="AS42" s="28">
        <v>0.18933333333333299</v>
      </c>
      <c r="AT42" s="28">
        <v>0.10872999999999999</v>
      </c>
      <c r="AU42" s="28">
        <v>0.16663</v>
      </c>
      <c r="AV42" s="28">
        <v>0.66987666666666701</v>
      </c>
      <c r="AW42" s="28">
        <v>0.29682433333333302</v>
      </c>
      <c r="AX42" s="28">
        <v>0.57252800000000004</v>
      </c>
      <c r="AY42" s="28">
        <v>0.67799866666666697</v>
      </c>
      <c r="AZ42" s="28">
        <v>0.45444600000000002</v>
      </c>
      <c r="BA42" s="28">
        <v>0.58795666666666602</v>
      </c>
      <c r="BB42" s="28">
        <v>8.7874666666666698E-2</v>
      </c>
      <c r="BC42" s="28">
        <v>4.3144000000000002E-2</v>
      </c>
      <c r="BD42" s="28">
        <v>0.55158600000000002</v>
      </c>
      <c r="BE42" s="28">
        <v>0.56560600000000005</v>
      </c>
      <c r="BF42" s="28">
        <v>0.50086333333333299</v>
      </c>
      <c r="BG42" s="28">
        <v>8.4931999999999994E-2</v>
      </c>
      <c r="BH42" s="28">
        <v>0.25954433333333299</v>
      </c>
      <c r="BI42" s="28">
        <v>0.15621199999999999</v>
      </c>
      <c r="BJ42" s="28">
        <v>0.41185033333333299</v>
      </c>
      <c r="BK42" s="28">
        <v>1.7030206666666701</v>
      </c>
      <c r="BL42" s="28">
        <v>0.28103933333333297</v>
      </c>
      <c r="BM42" s="28">
        <v>0.40941233333333299</v>
      </c>
      <c r="BN42" s="28">
        <v>0.61302833333333395</v>
      </c>
      <c r="BO42" s="28">
        <v>0.60692999999999997</v>
      </c>
      <c r="BP42" s="28">
        <v>0.29419766666666702</v>
      </c>
      <c r="BQ42" s="28">
        <v>0.12987199999999999</v>
      </c>
      <c r="BR42" s="28">
        <v>5.2999999999999999E-2</v>
      </c>
      <c r="BS42" s="28">
        <v>0.61767933333333402</v>
      </c>
      <c r="BT42" s="28">
        <v>1.6833340000000001</v>
      </c>
      <c r="BU42" s="28">
        <v>0.20101666666666701</v>
      </c>
      <c r="BV42" s="28">
        <v>0.549769333333333</v>
      </c>
      <c r="BW42" s="28">
        <v>0.113166666666667</v>
      </c>
      <c r="BX42" s="28">
        <v>8.8319999999999996E-2</v>
      </c>
      <c r="BY42" s="28">
        <v>5.5E-2</v>
      </c>
      <c r="BZ42" s="28">
        <v>1.07039366666667</v>
      </c>
      <c r="CA42" s="28">
        <v>0.25171233333333298</v>
      </c>
      <c r="CB42" s="28">
        <v>0.30369866666666701</v>
      </c>
      <c r="CC42" s="28">
        <v>0.36042566666666698</v>
      </c>
      <c r="CD42" s="28">
        <v>0.51244000000000001</v>
      </c>
      <c r="CE42" s="28">
        <v>4.5999999999999999E-2</v>
      </c>
      <c r="CF42" s="28">
        <v>0.47563499999999997</v>
      </c>
      <c r="CG42" s="28">
        <v>0.124885333333333</v>
      </c>
      <c r="CH42" s="28">
        <v>0.53986999999999996</v>
      </c>
      <c r="CI42" s="28">
        <v>0.22699266666666701</v>
      </c>
      <c r="CJ42" s="28">
        <v>0.38421566666666701</v>
      </c>
      <c r="CK42" s="28">
        <v>0.153953333333333</v>
      </c>
      <c r="CL42" s="28">
        <v>0.05</v>
      </c>
      <c r="CM42" s="28">
        <v>0.50489200000000001</v>
      </c>
      <c r="CN42" s="28">
        <v>0.646000666666667</v>
      </c>
      <c r="CO42" s="28">
        <v>0.16693333333333299</v>
      </c>
      <c r="CP42" s="28">
        <v>0.75875866666666703</v>
      </c>
      <c r="CQ42" s="28">
        <v>0.55633233333333298</v>
      </c>
      <c r="CR42" s="28">
        <v>0.53876866666666701</v>
      </c>
      <c r="CS42" s="28">
        <v>1.3783523333333401</v>
      </c>
      <c r="CT42" s="28">
        <v>4.7E-2</v>
      </c>
      <c r="CU42" s="28">
        <v>0.43479000000000001</v>
      </c>
      <c r="CV42" s="28">
        <v>0.28338000000000002</v>
      </c>
      <c r="CW42" s="28">
        <v>0.33644879999999999</v>
      </c>
      <c r="CX42" s="28">
        <v>1.44039266666667</v>
      </c>
      <c r="CY42" s="28">
        <v>0.238324333333333</v>
      </c>
      <c r="CZ42" s="28">
        <v>0.867350333333333</v>
      </c>
      <c r="DA42" s="28">
        <v>0.35815999999999998</v>
      </c>
      <c r="DB42" s="28">
        <v>0.83306500000000006</v>
      </c>
      <c r="DC42" s="28">
        <v>0.12596533333333301</v>
      </c>
      <c r="DD42" s="28">
        <v>0.114984</v>
      </c>
      <c r="DE42" s="28">
        <v>0.72397100000000003</v>
      </c>
      <c r="DF42" s="28">
        <v>0.59824100000000002</v>
      </c>
      <c r="DG42" s="28">
        <v>0.16072500000000001</v>
      </c>
      <c r="DH42" s="28">
        <v>0.15647866666666699</v>
      </c>
      <c r="DI42" s="28">
        <v>0.91732666666666696</v>
      </c>
      <c r="DJ42" s="28">
        <v>0.11044266666666699</v>
      </c>
      <c r="DK42" s="28">
        <v>0.40942833333333301</v>
      </c>
      <c r="DL42" s="28">
        <v>0.50418466666666695</v>
      </c>
      <c r="DM42" s="28">
        <v>0.52184333333333299</v>
      </c>
      <c r="DN42" s="28">
        <v>0.43400433333333399</v>
      </c>
      <c r="DO42" s="28">
        <v>0.375462666666667</v>
      </c>
      <c r="DP42" s="28">
        <v>0.28202533333333302</v>
      </c>
      <c r="DQ42" s="28">
        <v>0.58860100000000004</v>
      </c>
      <c r="DR42" s="28">
        <v>0.27731733333333303</v>
      </c>
      <c r="DS42" s="28">
        <v>0.63030466666666696</v>
      </c>
      <c r="DT42" s="28">
        <v>0.47305399999999997</v>
      </c>
      <c r="DU42" s="28">
        <v>0.53648533333333304</v>
      </c>
      <c r="DV42" s="28">
        <v>0.19643966666666701</v>
      </c>
      <c r="DW42" s="28">
        <v>0.47521734784946212</v>
      </c>
      <c r="DX42" s="34">
        <v>58.926951133333297</v>
      </c>
    </row>
    <row r="43" spans="1:128" x14ac:dyDescent="0.25">
      <c r="A43" s="24">
        <v>42</v>
      </c>
      <c r="B43" s="26">
        <v>20.5</v>
      </c>
      <c r="C43" s="28">
        <v>4.2999999999999997E-2</v>
      </c>
      <c r="D43" s="28">
        <v>4.9000000000000002E-2</v>
      </c>
      <c r="E43" s="28">
        <v>5.0999999999999997E-2</v>
      </c>
      <c r="F43" s="28">
        <v>0.62115266666666702</v>
      </c>
      <c r="G43" s="28">
        <v>0.21404366666666699</v>
      </c>
      <c r="H43" s="28">
        <v>2.0546009999999999</v>
      </c>
      <c r="I43" s="28">
        <v>2.5085683333333302</v>
      </c>
      <c r="J43" s="28">
        <v>0.24388299999999999</v>
      </c>
      <c r="K43" s="28">
        <v>0.80388400000000004</v>
      </c>
      <c r="L43" s="28">
        <v>0.72377233333333302</v>
      </c>
      <c r="M43" s="28">
        <v>0.126602666666667</v>
      </c>
      <c r="N43" s="28">
        <v>1.053982</v>
      </c>
      <c r="O43" s="28">
        <v>0.65964933333333298</v>
      </c>
      <c r="P43" s="28">
        <v>0.563543666666667</v>
      </c>
      <c r="Q43" s="28">
        <v>0.161251333333333</v>
      </c>
      <c r="R43" s="28">
        <v>0.494039333333334</v>
      </c>
      <c r="S43" s="28">
        <v>1.86376866666667</v>
      </c>
      <c r="T43" s="28">
        <v>0.72727633333333297</v>
      </c>
      <c r="U43" s="28">
        <v>0.49787999999999999</v>
      </c>
      <c r="V43" s="28">
        <v>0.32827133333333303</v>
      </c>
      <c r="W43" s="28">
        <v>0.330619</v>
      </c>
      <c r="X43" s="28">
        <v>9.2535999999999993E-2</v>
      </c>
      <c r="Y43" s="28">
        <v>0.72657499999999997</v>
      </c>
      <c r="Z43" s="28">
        <v>6.2239000000000003E-2</v>
      </c>
      <c r="AA43" s="28">
        <v>0.126723</v>
      </c>
      <c r="AB43" s="28">
        <v>1.207212</v>
      </c>
      <c r="AC43" s="28">
        <v>0.91261999999999999</v>
      </c>
      <c r="AD43" s="28">
        <v>6.2165333333333302E-2</v>
      </c>
      <c r="AE43" s="28">
        <v>1.6850849999999999</v>
      </c>
      <c r="AF43" s="28">
        <v>0.119939</v>
      </c>
      <c r="AG43" s="28">
        <v>0.97995900000000002</v>
      </c>
      <c r="AH43" s="28">
        <v>0.47607766666666701</v>
      </c>
      <c r="AI43" s="28">
        <v>0.174248666666667</v>
      </c>
      <c r="AJ43" s="28">
        <v>0.62932600000000005</v>
      </c>
      <c r="AK43" s="28">
        <v>0.86360400000000004</v>
      </c>
      <c r="AL43" s="28">
        <v>1.6572213333333301</v>
      </c>
      <c r="AM43" s="28">
        <v>0.60918266666666698</v>
      </c>
      <c r="AN43" s="28">
        <v>7.1295999999999998E-2</v>
      </c>
      <c r="AO43" s="28">
        <v>0.50519199999999997</v>
      </c>
      <c r="AP43" s="28">
        <v>4.5999999999999999E-2</v>
      </c>
      <c r="AQ43" s="28">
        <v>1.8317033333333299</v>
      </c>
      <c r="AR43" s="28">
        <v>5.5E-2</v>
      </c>
      <c r="AS43" s="28">
        <v>1.7806393333333299</v>
      </c>
      <c r="AT43" s="28">
        <v>0.04</v>
      </c>
      <c r="AU43" s="28">
        <v>0.05</v>
      </c>
      <c r="AV43" s="28">
        <v>1.3252803333333301</v>
      </c>
      <c r="AW43" s="28">
        <v>0.37037266666666702</v>
      </c>
      <c r="AX43" s="28">
        <v>0.63613200000000003</v>
      </c>
      <c r="AY43" s="28">
        <v>1.0413446666666699</v>
      </c>
      <c r="AZ43" s="28">
        <v>0.43658533333333299</v>
      </c>
      <c r="BA43" s="28">
        <v>0.74020433333333302</v>
      </c>
      <c r="BB43" s="28">
        <v>0.22414266666666699</v>
      </c>
      <c r="BC43" s="28">
        <v>0.32319199999999998</v>
      </c>
      <c r="BD43" s="28">
        <v>0.40370600000000001</v>
      </c>
      <c r="BE43" s="28">
        <v>0.558711333333333</v>
      </c>
      <c r="BF43" s="28">
        <v>0.57665133333333396</v>
      </c>
      <c r="BG43" s="28">
        <v>0.40537333333333297</v>
      </c>
      <c r="BH43" s="28">
        <v>0.33758666666666698</v>
      </c>
      <c r="BI43" s="28">
        <v>0.14051</v>
      </c>
      <c r="BJ43" s="28">
        <v>0.40433333333333299</v>
      </c>
      <c r="BK43" s="28">
        <v>1.8986940000000001</v>
      </c>
      <c r="BL43" s="28">
        <v>7.1521333333333298E-2</v>
      </c>
      <c r="BM43" s="28">
        <v>0.741387666666667</v>
      </c>
      <c r="BN43" s="28">
        <v>0.389564666666667</v>
      </c>
      <c r="BO43" s="28">
        <v>0.48688466666666702</v>
      </c>
      <c r="BP43" s="28">
        <v>1.8943540000000001</v>
      </c>
      <c r="BQ43" s="28">
        <v>3.6999999999999998E-2</v>
      </c>
      <c r="BR43" s="28">
        <v>0.219606</v>
      </c>
      <c r="BS43" s="28">
        <v>0.705531666666666</v>
      </c>
      <c r="BT43" s="28">
        <v>7.6534000000000005E-2</v>
      </c>
      <c r="BU43" s="28">
        <v>0.21578433333333299</v>
      </c>
      <c r="BV43" s="28">
        <v>0.44009666666666702</v>
      </c>
      <c r="BW43" s="28">
        <v>0.05</v>
      </c>
      <c r="BX43" s="28">
        <v>8.8319999999999996E-2</v>
      </c>
      <c r="BY43" s="28">
        <v>0.21249799999999999</v>
      </c>
      <c r="BZ43" s="28">
        <v>0.201272333333333</v>
      </c>
      <c r="CA43" s="28">
        <v>0.187266666666667</v>
      </c>
      <c r="CB43" s="28">
        <v>0.52384866666666696</v>
      </c>
      <c r="CC43" s="28">
        <v>0.37977233333333299</v>
      </c>
      <c r="CD43" s="28">
        <v>0.79746399999999995</v>
      </c>
      <c r="CE43" s="28">
        <v>4.5999999999999999E-2</v>
      </c>
      <c r="CF43" s="28">
        <v>1.4461660000000001</v>
      </c>
      <c r="CG43" s="28">
        <v>0.29409166666666697</v>
      </c>
      <c r="CH43" s="28">
        <v>0.47811666666666702</v>
      </c>
      <c r="CI43" s="28">
        <v>5.0999999999999997E-2</v>
      </c>
      <c r="CJ43" s="28">
        <v>0.65812000000000004</v>
      </c>
      <c r="CK43" s="28">
        <v>0.114433333333333</v>
      </c>
      <c r="CL43" s="28">
        <v>0.05</v>
      </c>
      <c r="CM43" s="28">
        <v>0.48047166666666602</v>
      </c>
      <c r="CN43" s="28">
        <v>0.74403166666666598</v>
      </c>
      <c r="CO43" s="28">
        <v>0.183302666666666</v>
      </c>
      <c r="CP43" s="28">
        <v>2.7296</v>
      </c>
      <c r="CQ43" s="28">
        <v>0.73277099999999995</v>
      </c>
      <c r="CR43" s="28">
        <v>0.423580333333333</v>
      </c>
      <c r="CS43" s="28">
        <v>0.35421233333333302</v>
      </c>
      <c r="CT43" s="28">
        <v>0.17366000000000001</v>
      </c>
      <c r="CU43" s="28">
        <v>0.51737599999999995</v>
      </c>
      <c r="CV43" s="28">
        <v>0.35232833333333302</v>
      </c>
      <c r="CW43" s="28">
        <v>0.34687093333333302</v>
      </c>
      <c r="CX43" s="28">
        <v>0.57113833333333297</v>
      </c>
      <c r="CY43" s="28">
        <v>0.434846333333334</v>
      </c>
      <c r="CZ43" s="28">
        <v>0.58390666666666702</v>
      </c>
      <c r="DA43" s="28">
        <v>0.30337033333333302</v>
      </c>
      <c r="DB43" s="28">
        <v>0.74300333333333402</v>
      </c>
      <c r="DC43" s="28">
        <v>0.229139333333333</v>
      </c>
      <c r="DD43" s="28">
        <v>4.2000000000000003E-2</v>
      </c>
      <c r="DE43" s="28">
        <v>0.63586733333333301</v>
      </c>
      <c r="DF43" s="28">
        <v>0.91908500000000004</v>
      </c>
      <c r="DG43" s="28">
        <v>0.105938333333333</v>
      </c>
      <c r="DH43" s="28">
        <v>0.31004933333333301</v>
      </c>
      <c r="DI43" s="28">
        <v>0.63498966666666701</v>
      </c>
      <c r="DJ43" s="28">
        <v>0.40410233333333401</v>
      </c>
      <c r="DK43" s="28">
        <v>1.2764486666666699</v>
      </c>
      <c r="DL43" s="28">
        <v>0.53860333333333299</v>
      </c>
      <c r="DM43" s="28">
        <v>0.70912399999999998</v>
      </c>
      <c r="DN43" s="28">
        <v>0.355090666666666</v>
      </c>
      <c r="DO43" s="28">
        <v>0.24578166666666701</v>
      </c>
      <c r="DP43" s="28">
        <v>7.0417333333333304E-2</v>
      </c>
      <c r="DQ43" s="28">
        <v>0.62531266666666696</v>
      </c>
      <c r="DR43" s="28">
        <v>0.19616</v>
      </c>
      <c r="DS43" s="28">
        <v>0.29464633333333301</v>
      </c>
      <c r="DT43" s="28">
        <v>0.50479333333333298</v>
      </c>
      <c r="DU43" s="28">
        <v>0.45955333333333298</v>
      </c>
      <c r="DV43" s="28">
        <v>9.7353666666666602E-2</v>
      </c>
      <c r="DW43" s="28">
        <v>0.54752188655913969</v>
      </c>
      <c r="DX43" s="34">
        <v>67.892713933333326</v>
      </c>
    </row>
    <row r="44" spans="1:128" x14ac:dyDescent="0.25">
      <c r="A44" s="24">
        <v>43</v>
      </c>
      <c r="B44" s="26">
        <v>21</v>
      </c>
      <c r="C44" s="28">
        <v>0.16658800000000001</v>
      </c>
      <c r="D44" s="28">
        <v>0.204124</v>
      </c>
      <c r="E44" s="28">
        <v>5.0999999999999997E-2</v>
      </c>
      <c r="F44" s="28">
        <v>0.58718300000000001</v>
      </c>
      <c r="G44" s="28">
        <v>0.35088666666666701</v>
      </c>
      <c r="H44" s="28">
        <v>0.303887666666667</v>
      </c>
      <c r="I44" s="28">
        <v>0.84634166666666599</v>
      </c>
      <c r="J44" s="28">
        <v>0.65253433333333299</v>
      </c>
      <c r="K44" s="28">
        <v>0.59842066666666704</v>
      </c>
      <c r="L44" s="28">
        <v>0.64688133333333397</v>
      </c>
      <c r="M44" s="28">
        <v>0.25880300000000001</v>
      </c>
      <c r="N44" s="28">
        <v>0.66578999999999999</v>
      </c>
      <c r="O44" s="28">
        <v>0.21160000000000001</v>
      </c>
      <c r="P44" s="28">
        <v>0.40138533333333298</v>
      </c>
      <c r="Q44" s="28">
        <v>0.48388833333333398</v>
      </c>
      <c r="R44" s="28">
        <v>0.55653166666666698</v>
      </c>
      <c r="S44" s="28">
        <v>0.42468266666666699</v>
      </c>
      <c r="T44" s="28">
        <v>0.96933566666666704</v>
      </c>
      <c r="U44" s="28">
        <v>0.51614566666666695</v>
      </c>
      <c r="V44" s="28">
        <v>0.67323599999999995</v>
      </c>
      <c r="W44" s="28">
        <v>0.41875566666666703</v>
      </c>
      <c r="X44" s="28">
        <v>0.139917333333333</v>
      </c>
      <c r="Y44" s="28">
        <v>0.68549333333333295</v>
      </c>
      <c r="Z44" s="28">
        <v>0.20701900000000001</v>
      </c>
      <c r="AA44" s="28">
        <v>9.2697000000000002E-2</v>
      </c>
      <c r="AB44" s="28">
        <v>1.08106866666667</v>
      </c>
      <c r="AC44" s="28">
        <v>0.39073366666666698</v>
      </c>
      <c r="AD44" s="28">
        <v>0.175404333333333</v>
      </c>
      <c r="AE44" s="28">
        <v>0.605287666666667</v>
      </c>
      <c r="AF44" s="28">
        <v>0.15102299999999999</v>
      </c>
      <c r="AG44" s="28">
        <v>0.69611733333333403</v>
      </c>
      <c r="AH44" s="28">
        <v>0.43801699999999999</v>
      </c>
      <c r="AI44" s="28">
        <v>0.162304</v>
      </c>
      <c r="AJ44" s="28">
        <v>0.56803000000000003</v>
      </c>
      <c r="AK44" s="28">
        <v>0.492748666666667</v>
      </c>
      <c r="AL44" s="28">
        <v>1.1878649999999999</v>
      </c>
      <c r="AM44" s="28">
        <v>0.76265366666666701</v>
      </c>
      <c r="AN44" s="28">
        <v>0.21263016666666701</v>
      </c>
      <c r="AO44" s="28">
        <v>0.21671199999999999</v>
      </c>
      <c r="AP44" s="28">
        <v>0.84575133333333297</v>
      </c>
      <c r="AQ44" s="28">
        <v>0.52452233333333298</v>
      </c>
      <c r="AR44" s="28">
        <v>5.5E-2</v>
      </c>
      <c r="AS44" s="28">
        <v>1.4757656666666701</v>
      </c>
      <c r="AT44" s="28">
        <v>0.10238333333333299</v>
      </c>
      <c r="AU44" s="28">
        <v>0.05</v>
      </c>
      <c r="AV44" s="28">
        <v>3.0703033333333298</v>
      </c>
      <c r="AW44" s="28">
        <v>0.52547533333333396</v>
      </c>
      <c r="AX44" s="28">
        <v>0.494497666666667</v>
      </c>
      <c r="AY44" s="28">
        <v>1.1526146666666699</v>
      </c>
      <c r="AZ44" s="28">
        <v>0.99929400000000002</v>
      </c>
      <c r="BA44" s="28">
        <v>0.70130899999999996</v>
      </c>
      <c r="BB44" s="28">
        <v>0.35040700000000002</v>
      </c>
      <c r="BC44" s="28">
        <v>0.30483733333333302</v>
      </c>
      <c r="BD44" s="28">
        <v>0.75507999999999997</v>
      </c>
      <c r="BE44" s="28">
        <v>0.68040299999999998</v>
      </c>
      <c r="BF44" s="28">
        <v>1.2946993333333301</v>
      </c>
      <c r="BG44" s="28">
        <v>0.48181766666666698</v>
      </c>
      <c r="BH44" s="28">
        <v>0.76988800000000002</v>
      </c>
      <c r="BI44" s="28">
        <v>6.2E-2</v>
      </c>
      <c r="BJ44" s="28">
        <v>0.421333333333333</v>
      </c>
      <c r="BK44" s="28">
        <v>0.88801466666666695</v>
      </c>
      <c r="BL44" s="28">
        <v>0.170269333333333</v>
      </c>
      <c r="BM44" s="28">
        <v>0.65219300000000002</v>
      </c>
      <c r="BN44" s="28">
        <v>0.45306733333333299</v>
      </c>
      <c r="BO44" s="28">
        <v>0.53748333333333298</v>
      </c>
      <c r="BP44" s="28">
        <v>2.5317813333333299</v>
      </c>
      <c r="BQ44" s="28">
        <v>4.4476000000000002E-2</v>
      </c>
      <c r="BR44" s="28">
        <v>5.2999999999999999E-2</v>
      </c>
      <c r="BS44" s="28">
        <v>0.72116833333333397</v>
      </c>
      <c r="BT44" s="28">
        <v>0.18292066666666701</v>
      </c>
      <c r="BU44" s="28">
        <v>0.289673666666667</v>
      </c>
      <c r="BV44" s="28">
        <v>0.60019666666666704</v>
      </c>
      <c r="BW44" s="28">
        <v>0.29260166666666698</v>
      </c>
      <c r="BX44" s="28">
        <v>5.0999999999999997E-2</v>
      </c>
      <c r="BY44" s="28">
        <v>5.5E-2</v>
      </c>
      <c r="BZ44" s="28">
        <v>0.34762733333333301</v>
      </c>
      <c r="CA44" s="28">
        <v>0.30234533333333302</v>
      </c>
      <c r="CB44" s="28">
        <v>1.496116</v>
      </c>
      <c r="CC44" s="28">
        <v>0.47324366666666701</v>
      </c>
      <c r="CD44" s="28">
        <v>0.71712266666666602</v>
      </c>
      <c r="CE44" s="28">
        <v>4.5999999999999999E-2</v>
      </c>
      <c r="CF44" s="28">
        <v>9.5353333333333401E-2</v>
      </c>
      <c r="CG44" s="28">
        <v>0.17480599999999999</v>
      </c>
      <c r="CH44" s="28">
        <v>0.26111633333333301</v>
      </c>
      <c r="CI44" s="28">
        <v>0.13546466666666701</v>
      </c>
      <c r="CJ44" s="28">
        <v>1.4278439999999999</v>
      </c>
      <c r="CK44" s="28">
        <v>0.19765933333333399</v>
      </c>
      <c r="CL44" s="28">
        <v>0.05</v>
      </c>
      <c r="CM44" s="28">
        <v>0.60334866666666698</v>
      </c>
      <c r="CN44" s="28">
        <v>0.58533999999999997</v>
      </c>
      <c r="CO44" s="28">
        <v>0.105829333333333</v>
      </c>
      <c r="CP44" s="28">
        <v>2.9558266666666699</v>
      </c>
      <c r="CQ44" s="28">
        <v>0.53134400000000004</v>
      </c>
      <c r="CR44" s="28">
        <v>0.81721033333333304</v>
      </c>
      <c r="CS44" s="28">
        <v>0.46313266666666703</v>
      </c>
      <c r="CT44" s="28">
        <v>4.7E-2</v>
      </c>
      <c r="CU44" s="28">
        <v>0.751734666666666</v>
      </c>
      <c r="CV44" s="28">
        <v>0.50089499999999998</v>
      </c>
      <c r="CW44" s="28">
        <v>0.486850333333333</v>
      </c>
      <c r="CX44" s="28">
        <v>0.63262633333333296</v>
      </c>
      <c r="CY44" s="28">
        <v>0.28580033333333299</v>
      </c>
      <c r="CZ44" s="28">
        <v>0.43523200000000001</v>
      </c>
      <c r="DA44" s="28">
        <v>0.389251666666667</v>
      </c>
      <c r="DB44" s="28">
        <v>0.95897933333333296</v>
      </c>
      <c r="DC44" s="28">
        <v>0.51729499999999995</v>
      </c>
      <c r="DD44" s="28">
        <v>0.114984</v>
      </c>
      <c r="DE44" s="28">
        <v>0.50235600000000002</v>
      </c>
      <c r="DF44" s="28">
        <v>0.73749399999999998</v>
      </c>
      <c r="DG44" s="28">
        <v>1.0090625666666699</v>
      </c>
      <c r="DH44" s="28">
        <v>0.38301333333333398</v>
      </c>
      <c r="DI44" s="28">
        <v>0.878363</v>
      </c>
      <c r="DJ44" s="28">
        <v>9.1084999999999999E-2</v>
      </c>
      <c r="DK44" s="28">
        <v>0.66434533333333301</v>
      </c>
      <c r="DL44" s="28">
        <v>0.73285933333333297</v>
      </c>
      <c r="DM44" s="28">
        <v>0.61315133333333305</v>
      </c>
      <c r="DN44" s="28">
        <v>0.55572699999999997</v>
      </c>
      <c r="DO44" s="28">
        <v>3.7999999999999999E-2</v>
      </c>
      <c r="DP44" s="28">
        <v>0.14095333333333299</v>
      </c>
      <c r="DQ44" s="28">
        <v>4.7E-2</v>
      </c>
      <c r="DR44" s="28">
        <v>0.36911533333333302</v>
      </c>
      <c r="DS44" s="28">
        <v>0.28426400000000002</v>
      </c>
      <c r="DT44" s="28">
        <v>1.6946383333333299</v>
      </c>
      <c r="DU44" s="28">
        <v>0.44376900000000002</v>
      </c>
      <c r="DV44" s="28">
        <v>0.56770666666666703</v>
      </c>
      <c r="DW44" s="28">
        <v>0.54479221021505342</v>
      </c>
      <c r="DX44" s="34">
        <v>67.554234066666623</v>
      </c>
    </row>
    <row r="45" spans="1:128" x14ac:dyDescent="0.25">
      <c r="A45" s="24">
        <v>44</v>
      </c>
      <c r="B45" s="26">
        <v>21.5</v>
      </c>
      <c r="C45" s="28">
        <v>5.6731999999999998E-2</v>
      </c>
      <c r="D45" s="28">
        <v>8.3472000000000005E-2</v>
      </c>
      <c r="E45" s="28">
        <v>0.102170266666667</v>
      </c>
      <c r="F45" s="28">
        <v>0.55100933333333402</v>
      </c>
      <c r="G45" s="28">
        <v>0.53100000000000003</v>
      </c>
      <c r="H45" s="28">
        <v>0.34490900000000002</v>
      </c>
      <c r="I45" s="28">
        <v>0.46391066666666603</v>
      </c>
      <c r="J45" s="28">
        <v>0.588696</v>
      </c>
      <c r="K45" s="28">
        <v>0.70314066666666697</v>
      </c>
      <c r="L45" s="28">
        <v>0.50057866666666695</v>
      </c>
      <c r="M45" s="28">
        <v>0.15256349999999999</v>
      </c>
      <c r="N45" s="28">
        <v>0.43113299999999999</v>
      </c>
      <c r="O45" s="28">
        <v>0.31929533333333299</v>
      </c>
      <c r="P45" s="28">
        <v>0.53950699999999996</v>
      </c>
      <c r="Q45" s="28">
        <v>0.38756099999999999</v>
      </c>
      <c r="R45" s="28">
        <v>0.68541666666666701</v>
      </c>
      <c r="S45" s="28">
        <v>0.37526733333333301</v>
      </c>
      <c r="T45" s="28">
        <v>0.59571366666666703</v>
      </c>
      <c r="U45" s="28">
        <v>0.45578366666666698</v>
      </c>
      <c r="V45" s="28">
        <v>0.96847799999999995</v>
      </c>
      <c r="W45" s="28">
        <v>0.695956666666667</v>
      </c>
      <c r="X45" s="28">
        <v>9.2535999999999993E-2</v>
      </c>
      <c r="Y45" s="28">
        <v>0.41371433333333302</v>
      </c>
      <c r="Z45" s="28">
        <v>5.5E-2</v>
      </c>
      <c r="AA45" s="28">
        <v>5.2999999999999999E-2</v>
      </c>
      <c r="AB45" s="28">
        <v>0.86077733333333295</v>
      </c>
      <c r="AC45" s="28">
        <v>0.424149</v>
      </c>
      <c r="AD45" s="28">
        <v>0.27694099999999999</v>
      </c>
      <c r="AE45" s="28">
        <v>0.73855966666666595</v>
      </c>
      <c r="AF45" s="28">
        <v>0.05</v>
      </c>
      <c r="AG45" s="28">
        <v>1.74365533333333</v>
      </c>
      <c r="AH45" s="28">
        <v>0.48782199999999998</v>
      </c>
      <c r="AI45" s="28">
        <v>7.4560000000000001E-2</v>
      </c>
      <c r="AJ45" s="28">
        <v>0.436562333333333</v>
      </c>
      <c r="AK45" s="28">
        <v>1.56169966666667</v>
      </c>
      <c r="AL45" s="28">
        <v>0.86702100000000004</v>
      </c>
      <c r="AM45" s="28">
        <v>0.92857199999999995</v>
      </c>
      <c r="AN45" s="28">
        <v>0.47774566666666701</v>
      </c>
      <c r="AO45" s="28">
        <v>0.36059333333333299</v>
      </c>
      <c r="AP45" s="28">
        <v>4.5999999999999999E-2</v>
      </c>
      <c r="AQ45" s="28">
        <v>0.32108500000000001</v>
      </c>
      <c r="AR45" s="28">
        <v>0.30559999999999998</v>
      </c>
      <c r="AS45" s="28">
        <v>1.019042</v>
      </c>
      <c r="AT45" s="28">
        <v>0.10238333333333299</v>
      </c>
      <c r="AU45" s="28">
        <v>0.05</v>
      </c>
      <c r="AV45" s="28">
        <v>2.9746106666666701</v>
      </c>
      <c r="AW45" s="28">
        <v>0.44017533333333397</v>
      </c>
      <c r="AX45" s="28">
        <v>0.60533700000000001</v>
      </c>
      <c r="AY45" s="28">
        <v>1.173584</v>
      </c>
      <c r="AZ45" s="28">
        <v>2.8232866666666698</v>
      </c>
      <c r="BA45" s="28">
        <v>0.49800800000000001</v>
      </c>
      <c r="BB45" s="28">
        <v>0.46652266666666697</v>
      </c>
      <c r="BC45" s="28">
        <v>0.43027333333333301</v>
      </c>
      <c r="BD45" s="28">
        <v>0.66240833333333404</v>
      </c>
      <c r="BE45" s="28">
        <v>0.41211433333333303</v>
      </c>
      <c r="BF45" s="28">
        <v>1.25293566666667</v>
      </c>
      <c r="BG45" s="28">
        <v>0.49238933333333301</v>
      </c>
      <c r="BH45" s="28">
        <v>0.41693133333333299</v>
      </c>
      <c r="BI45" s="28">
        <v>0.23472199999999999</v>
      </c>
      <c r="BJ45" s="28">
        <v>0.50299666666666698</v>
      </c>
      <c r="BK45" s="28">
        <v>0.24029</v>
      </c>
      <c r="BL45" s="28">
        <v>0.30539733333333302</v>
      </c>
      <c r="BM45" s="28">
        <v>0.681172</v>
      </c>
      <c r="BN45" s="28">
        <v>8.3283999999999997E-2</v>
      </c>
      <c r="BO45" s="28">
        <v>0.49546733333333298</v>
      </c>
      <c r="BP45" s="28">
        <v>1.14769066666667</v>
      </c>
      <c r="BQ45" s="28">
        <v>0.146666666666667</v>
      </c>
      <c r="BR45" s="28">
        <v>5.2999999999999999E-2</v>
      </c>
      <c r="BS45" s="28">
        <v>0.67125833333333396</v>
      </c>
      <c r="BT45" s="28">
        <v>0.179482</v>
      </c>
      <c r="BU45" s="28">
        <v>0.23972433333333301</v>
      </c>
      <c r="BV45" s="28">
        <v>0.38672533333333398</v>
      </c>
      <c r="BW45" s="28">
        <v>0.113523</v>
      </c>
      <c r="BX45" s="28">
        <v>0.12564</v>
      </c>
      <c r="BY45" s="28">
        <v>5.5E-2</v>
      </c>
      <c r="BZ45" s="28">
        <v>0.220323666666667</v>
      </c>
      <c r="CA45" s="28">
        <v>0.344856</v>
      </c>
      <c r="CB45" s="28">
        <v>0.19749466666666701</v>
      </c>
      <c r="CC45" s="28">
        <v>0.297841666666667</v>
      </c>
      <c r="CD45" s="28">
        <v>0.119498666666667</v>
      </c>
      <c r="CE45" s="28">
        <v>0.100669333333333</v>
      </c>
      <c r="CF45" s="28">
        <v>0.208057666666667</v>
      </c>
      <c r="CG45" s="28">
        <v>0.55447633333333302</v>
      </c>
      <c r="CH45" s="28">
        <v>4.7E-2</v>
      </c>
      <c r="CI45" s="28">
        <v>0.29547266666666699</v>
      </c>
      <c r="CJ45" s="28">
        <v>1.212439</v>
      </c>
      <c r="CK45" s="28">
        <v>5.31296666666667E-2</v>
      </c>
      <c r="CL45" s="28">
        <v>0.05</v>
      </c>
      <c r="CM45" s="28">
        <v>0.57610533333333303</v>
      </c>
      <c r="CN45" s="28">
        <v>0.67420833333333297</v>
      </c>
      <c r="CO45" s="28">
        <v>0.44508399999999998</v>
      </c>
      <c r="CP45" s="28">
        <v>0.52078599999999997</v>
      </c>
      <c r="CQ45" s="28">
        <v>0.62215799999999999</v>
      </c>
      <c r="CR45" s="28">
        <v>0.63947066666666696</v>
      </c>
      <c r="CS45" s="28">
        <v>0.83803033333333399</v>
      </c>
      <c r="CT45" s="28">
        <v>4.7E-2</v>
      </c>
      <c r="CU45" s="28">
        <v>0.51884533333333405</v>
      </c>
      <c r="CV45" s="28">
        <v>0.58557599999999999</v>
      </c>
      <c r="CW45" s="28">
        <v>0.28601199999999999</v>
      </c>
      <c r="CX45" s="28">
        <v>0.66662533333333296</v>
      </c>
      <c r="CY45" s="28">
        <v>0.28529666666666698</v>
      </c>
      <c r="CZ45" s="28">
        <v>0.32433133333333303</v>
      </c>
      <c r="DA45" s="28">
        <v>0.61334066666666698</v>
      </c>
      <c r="DB45" s="28">
        <v>0.50672966666666697</v>
      </c>
      <c r="DC45" s="28">
        <v>0.32057000000000002</v>
      </c>
      <c r="DD45" s="28">
        <v>4.2000000000000003E-2</v>
      </c>
      <c r="DE45" s="28">
        <v>0.48737200000000003</v>
      </c>
      <c r="DF45" s="28">
        <v>0.64366566666666702</v>
      </c>
      <c r="DG45" s="28">
        <v>1.06174793333333</v>
      </c>
      <c r="DH45" s="28">
        <v>0.46262066666666701</v>
      </c>
      <c r="DI45" s="28">
        <v>0.63217366666666697</v>
      </c>
      <c r="DJ45" s="28">
        <v>0.25898666666666698</v>
      </c>
      <c r="DK45" s="28">
        <v>0.685875666666666</v>
      </c>
      <c r="DL45" s="28">
        <v>0.36871999999999999</v>
      </c>
      <c r="DM45" s="28">
        <v>0.13663966666666699</v>
      </c>
      <c r="DN45" s="28">
        <v>0.75896166666666698</v>
      </c>
      <c r="DO45" s="28">
        <v>6.6645333333333404E-2</v>
      </c>
      <c r="DP45" s="28">
        <v>0.211489333333333</v>
      </c>
      <c r="DQ45" s="28">
        <v>0.119464</v>
      </c>
      <c r="DR45" s="28">
        <v>0.36746166666666702</v>
      </c>
      <c r="DS45" s="28">
        <v>0.35944999999999999</v>
      </c>
      <c r="DT45" s="28">
        <v>0.88264866666666697</v>
      </c>
      <c r="DU45" s="28">
        <v>0.55416233333333298</v>
      </c>
      <c r="DV45" s="28">
        <v>0.73761533333333396</v>
      </c>
      <c r="DW45" s="28">
        <v>0.48870208897849449</v>
      </c>
      <c r="DX45" s="34">
        <v>60.599059033333319</v>
      </c>
    </row>
    <row r="46" spans="1:128" x14ac:dyDescent="0.25">
      <c r="A46" s="24">
        <v>45</v>
      </c>
      <c r="B46" s="26">
        <v>22</v>
      </c>
      <c r="C46" s="28">
        <v>0.28340586666666701</v>
      </c>
      <c r="D46" s="28">
        <v>4.9000000000000002E-2</v>
      </c>
      <c r="E46" s="28">
        <v>5.0999999999999997E-2</v>
      </c>
      <c r="F46" s="28">
        <v>5.8999999999999997E-2</v>
      </c>
      <c r="G46" s="28">
        <v>0.35795199999999999</v>
      </c>
      <c r="H46" s="28">
        <v>0.23549166666666699</v>
      </c>
      <c r="I46" s="28">
        <v>0.56185133333333304</v>
      </c>
      <c r="J46" s="28">
        <v>0.41272066666666701</v>
      </c>
      <c r="K46" s="28">
        <v>0.50015033333333303</v>
      </c>
      <c r="L46" s="28">
        <v>0.50358400000000003</v>
      </c>
      <c r="M46" s="28">
        <v>0.19255900000000001</v>
      </c>
      <c r="N46" s="28">
        <v>0.146493333333333</v>
      </c>
      <c r="O46" s="28">
        <v>0.46938166666666598</v>
      </c>
      <c r="P46" s="28">
        <v>0.87603266666666701</v>
      </c>
      <c r="Q46" s="28">
        <v>6.9072999999999996E-2</v>
      </c>
      <c r="R46" s="28">
        <v>0.73400066666666597</v>
      </c>
      <c r="S46" s="28">
        <v>0.56987399999999999</v>
      </c>
      <c r="T46" s="28">
        <v>1.7250336666666699</v>
      </c>
      <c r="U46" s="28">
        <v>0.776538333333334</v>
      </c>
      <c r="V46" s="28">
        <v>0.17567366666666701</v>
      </c>
      <c r="W46" s="28">
        <v>0.29253166666666702</v>
      </c>
      <c r="X46" s="28">
        <v>0.139917333333333</v>
      </c>
      <c r="Y46" s="28">
        <v>0.14353333333333301</v>
      </c>
      <c r="Z46" s="28">
        <v>0.214258</v>
      </c>
      <c r="AA46" s="28">
        <v>5.2999999999999999E-2</v>
      </c>
      <c r="AB46" s="28">
        <v>1.89413566666667</v>
      </c>
      <c r="AC46" s="28">
        <v>0.40685900000000003</v>
      </c>
      <c r="AD46" s="28">
        <v>8.2171666666666698E-2</v>
      </c>
      <c r="AE46" s="28">
        <v>0.77654366666666697</v>
      </c>
      <c r="AF46" s="28">
        <v>0.22096199999999999</v>
      </c>
      <c r="AG46" s="28">
        <v>0.990041333333333</v>
      </c>
      <c r="AH46" s="28">
        <v>0.40530766666666701</v>
      </c>
      <c r="AI46" s="28">
        <v>0.200741</v>
      </c>
      <c r="AJ46" s="28">
        <v>0.46737400000000001</v>
      </c>
      <c r="AK46" s="28">
        <v>0.38538266666666698</v>
      </c>
      <c r="AL46" s="28">
        <v>0.90037433333333305</v>
      </c>
      <c r="AM46" s="28">
        <v>0.73144866666666697</v>
      </c>
      <c r="AN46" s="28">
        <v>0.32639566666666697</v>
      </c>
      <c r="AO46" s="28">
        <v>5.7654666666666701E-2</v>
      </c>
      <c r="AP46" s="28">
        <v>4.5999999999999999E-2</v>
      </c>
      <c r="AQ46" s="28">
        <v>0.46195833333333303</v>
      </c>
      <c r="AR46" s="28">
        <v>0.36399999999999999</v>
      </c>
      <c r="AS46" s="28">
        <v>0.50963666666666696</v>
      </c>
      <c r="AT46" s="28">
        <v>0.04</v>
      </c>
      <c r="AU46" s="28">
        <v>0.14863533333333301</v>
      </c>
      <c r="AV46" s="28">
        <v>0.39623599999999998</v>
      </c>
      <c r="AW46" s="28">
        <v>0.45720533333333302</v>
      </c>
      <c r="AX46" s="28">
        <v>0.85498566666666598</v>
      </c>
      <c r="AY46" s="28">
        <v>1.0432526666666699</v>
      </c>
      <c r="AZ46" s="28">
        <v>4.3316833333333298</v>
      </c>
      <c r="BA46" s="28">
        <v>0.43472833333333299</v>
      </c>
      <c r="BB46" s="28">
        <v>0.52270000000000005</v>
      </c>
      <c r="BC46" s="28">
        <v>0.41617266666666702</v>
      </c>
      <c r="BD46" s="28">
        <v>0.54202666666666699</v>
      </c>
      <c r="BE46" s="28">
        <v>0.51293866666666699</v>
      </c>
      <c r="BF46" s="28">
        <v>0.79816633333333298</v>
      </c>
      <c r="BG46" s="28">
        <v>1.22502033333333</v>
      </c>
      <c r="BH46" s="28">
        <v>0.399391</v>
      </c>
      <c r="BI46" s="28">
        <v>6.2E-2</v>
      </c>
      <c r="BJ46" s="28">
        <v>0.65771133333333298</v>
      </c>
      <c r="BK46" s="28">
        <v>6.4153333333333298E-2</v>
      </c>
      <c r="BL46" s="28">
        <v>0.20441400000000001</v>
      </c>
      <c r="BM46" s="28">
        <v>7.5230666666666696E-2</v>
      </c>
      <c r="BN46" s="28">
        <v>0.14591799999999999</v>
      </c>
      <c r="BO46" s="28">
        <v>0.69118599999999997</v>
      </c>
      <c r="BP46" s="28">
        <v>0.33702666666666697</v>
      </c>
      <c r="BQ46" s="28">
        <v>0.51225833333333304</v>
      </c>
      <c r="BR46" s="28">
        <v>0.16659499999999999</v>
      </c>
      <c r="BS46" s="28">
        <v>0.74222333333333401</v>
      </c>
      <c r="BT46" s="28">
        <v>0.100068</v>
      </c>
      <c r="BU46" s="28">
        <v>0.45039099999999999</v>
      </c>
      <c r="BV46" s="28">
        <v>0.51315066666666698</v>
      </c>
      <c r="BW46" s="28">
        <v>0.16480600000000001</v>
      </c>
      <c r="BX46" s="28">
        <v>5.0999999999999997E-2</v>
      </c>
      <c r="BY46" s="28">
        <v>0.245608666666667</v>
      </c>
      <c r="BZ46" s="28">
        <v>0.42357566666666702</v>
      </c>
      <c r="CA46" s="28">
        <v>0.299439333333333</v>
      </c>
      <c r="CB46" s="28">
        <v>0.193201333333333</v>
      </c>
      <c r="CC46" s="28">
        <v>0.27103466666666698</v>
      </c>
      <c r="CD46" s="28">
        <v>0.119498666666667</v>
      </c>
      <c r="CE46" s="28">
        <v>0.23417333333333301</v>
      </c>
      <c r="CF46" s="28">
        <v>0.117231</v>
      </c>
      <c r="CG46" s="28">
        <v>0.24392666666666701</v>
      </c>
      <c r="CH46" s="28">
        <v>9.2593333333333305E-2</v>
      </c>
      <c r="CI46" s="28">
        <v>0.194994</v>
      </c>
      <c r="CJ46" s="28">
        <v>0.63226466666666603</v>
      </c>
      <c r="CK46" s="28">
        <v>0.119204333333333</v>
      </c>
      <c r="CL46" s="28">
        <v>0.05</v>
      </c>
      <c r="CM46" s="28">
        <v>0.494259333333333</v>
      </c>
      <c r="CN46" s="28">
        <v>0.50304533333333301</v>
      </c>
      <c r="CO46" s="28">
        <v>5.1999999999999998E-2</v>
      </c>
      <c r="CP46" s="28">
        <v>0.25866866666666699</v>
      </c>
      <c r="CQ46" s="28">
        <v>0.43307200000000001</v>
      </c>
      <c r="CR46" s="28">
        <v>0.70780333333333301</v>
      </c>
      <c r="CS46" s="28">
        <v>0.63845700000000005</v>
      </c>
      <c r="CT46" s="28">
        <v>0.10399700000000001</v>
      </c>
      <c r="CU46" s="28">
        <v>0.88802766666666599</v>
      </c>
      <c r="CV46" s="28">
        <v>0.69588633333333405</v>
      </c>
      <c r="CW46" s="28">
        <v>0.43421199999999999</v>
      </c>
      <c r="CX46" s="28">
        <v>0.29594300000000001</v>
      </c>
      <c r="CY46" s="28">
        <v>3.4000000000000002E-2</v>
      </c>
      <c r="CZ46" s="28">
        <v>0.316272</v>
      </c>
      <c r="DA46" s="28">
        <v>0.67864599999999997</v>
      </c>
      <c r="DB46" s="28">
        <v>0.62226033333333297</v>
      </c>
      <c r="DC46" s="28">
        <v>0.57400399999999996</v>
      </c>
      <c r="DD46" s="28">
        <v>4.6054666666666702E-2</v>
      </c>
      <c r="DE46" s="28">
        <v>0.36303999999999997</v>
      </c>
      <c r="DF46" s="28">
        <v>0.73501733333333297</v>
      </c>
      <c r="DG46" s="28">
        <v>5.8000000000000003E-2</v>
      </c>
      <c r="DH46" s="28">
        <v>0.32910866666666699</v>
      </c>
      <c r="DI46" s="28">
        <v>0.69299699999999997</v>
      </c>
      <c r="DJ46" s="28">
        <v>0.237920666666667</v>
      </c>
      <c r="DK46" s="28">
        <v>0.63255799999999995</v>
      </c>
      <c r="DL46" s="28">
        <v>0.48834100000000003</v>
      </c>
      <c r="DM46" s="28">
        <v>0.10609</v>
      </c>
      <c r="DN46" s="28">
        <v>0.50089099999999998</v>
      </c>
      <c r="DO46" s="28">
        <v>0.240179</v>
      </c>
      <c r="DP46" s="28">
        <v>5.5E-2</v>
      </c>
      <c r="DQ46" s="28">
        <v>8.8408E-2</v>
      </c>
      <c r="DR46" s="28">
        <v>0.44893</v>
      </c>
      <c r="DS46" s="28">
        <v>0.30606533333333402</v>
      </c>
      <c r="DT46" s="28">
        <v>0.87443666666666697</v>
      </c>
      <c r="DU46" s="28">
        <v>1.4945090000000001</v>
      </c>
      <c r="DV46" s="28">
        <v>0.93333100000000002</v>
      </c>
      <c r="DW46" s="28">
        <v>0.44740721666666688</v>
      </c>
      <c r="DX46" s="34">
        <v>55.478494866666693</v>
      </c>
    </row>
    <row r="47" spans="1:128" x14ac:dyDescent="0.25">
      <c r="A47" s="24">
        <v>46</v>
      </c>
      <c r="B47" s="26">
        <v>22.5</v>
      </c>
      <c r="C47" s="28">
        <v>1.81671</v>
      </c>
      <c r="D47" s="28">
        <v>4.9000000000000002E-2</v>
      </c>
      <c r="E47" s="28">
        <v>5.0999999999999997E-2</v>
      </c>
      <c r="F47" s="28">
        <v>5.8999999999999997E-2</v>
      </c>
      <c r="G47" s="28">
        <v>4.7E-2</v>
      </c>
      <c r="H47" s="28">
        <v>0.17574366666666699</v>
      </c>
      <c r="I47" s="28">
        <v>0.341266666666667</v>
      </c>
      <c r="J47" s="28">
        <v>0.19691400000000001</v>
      </c>
      <c r="K47" s="28">
        <v>0.27703499999999998</v>
      </c>
      <c r="L47" s="28">
        <v>0.81952599999999998</v>
      </c>
      <c r="M47" s="28">
        <v>0.22474666666666701</v>
      </c>
      <c r="N47" s="28">
        <v>4.7E-2</v>
      </c>
      <c r="O47" s="28">
        <v>0.15181333333333299</v>
      </c>
      <c r="P47" s="28">
        <v>0.58489000000000002</v>
      </c>
      <c r="Q47" s="28">
        <v>0.26350166666666702</v>
      </c>
      <c r="R47" s="28">
        <v>0.89950300000000005</v>
      </c>
      <c r="S47" s="28">
        <v>0.53709933333333304</v>
      </c>
      <c r="T47" s="28">
        <v>0.70800933333333305</v>
      </c>
      <c r="U47" s="28">
        <v>2.1796283333333299</v>
      </c>
      <c r="V47" s="28">
        <v>0.303653333333333</v>
      </c>
      <c r="W47" s="28">
        <v>0.105141</v>
      </c>
      <c r="X47" s="28">
        <v>5.7000000000000002E-2</v>
      </c>
      <c r="Y47" s="28">
        <v>3.1E-2</v>
      </c>
      <c r="Z47" s="28">
        <v>5.5E-2</v>
      </c>
      <c r="AA47" s="28">
        <v>9.2697000000000002E-2</v>
      </c>
      <c r="AB47" s="28">
        <v>0.75827966666666702</v>
      </c>
      <c r="AC47" s="28">
        <v>0.471868333333334</v>
      </c>
      <c r="AD47" s="28">
        <v>0.26863700000000001</v>
      </c>
      <c r="AE47" s="28">
        <v>0.54537433333333396</v>
      </c>
      <c r="AF47" s="28">
        <v>0.05</v>
      </c>
      <c r="AG47" s="28">
        <v>0.67263899999999999</v>
      </c>
      <c r="AH47" s="28">
        <v>0.32269799999999998</v>
      </c>
      <c r="AI47" s="28">
        <v>0.59016033333333295</v>
      </c>
      <c r="AJ47" s="28">
        <v>0.76173900000000005</v>
      </c>
      <c r="AK47" s="28">
        <v>0.40051399999999998</v>
      </c>
      <c r="AL47" s="28">
        <v>0.81093233333333403</v>
      </c>
      <c r="AM47" s="28">
        <v>0.54984833333333305</v>
      </c>
      <c r="AN47" s="28">
        <v>0.26624566666666699</v>
      </c>
      <c r="AO47" s="28">
        <v>0.30647600000000003</v>
      </c>
      <c r="AP47" s="28">
        <v>4.5999999999999999E-2</v>
      </c>
      <c r="AQ47" s="28">
        <v>0.68579800000000002</v>
      </c>
      <c r="AR47" s="28">
        <v>0.25949133333333302</v>
      </c>
      <c r="AS47" s="28">
        <v>0.31935400000000003</v>
      </c>
      <c r="AT47" s="28">
        <v>7.4365000000000001E-2</v>
      </c>
      <c r="AU47" s="28">
        <v>5.5191333333333398E-2</v>
      </c>
      <c r="AV47" s="28">
        <v>0.61279300000000003</v>
      </c>
      <c r="AW47" s="28">
        <v>1.7427360000000001</v>
      </c>
      <c r="AX47" s="28">
        <v>0.60500166666666699</v>
      </c>
      <c r="AY47" s="28">
        <v>1.2753159999999999</v>
      </c>
      <c r="AZ47" s="28">
        <v>0.49304633333333298</v>
      </c>
      <c r="BA47" s="28">
        <v>0.55769100000000005</v>
      </c>
      <c r="BB47" s="28">
        <v>0.50668866666666701</v>
      </c>
      <c r="BC47" s="28">
        <v>0.03</v>
      </c>
      <c r="BD47" s="28">
        <v>0.41182633333333302</v>
      </c>
      <c r="BE47" s="28">
        <v>0.437809333333333</v>
      </c>
      <c r="BF47" s="28">
        <v>0.26649600000000001</v>
      </c>
      <c r="BG47" s="28">
        <v>0.288383</v>
      </c>
      <c r="BH47" s="28">
        <v>0.66973166666666695</v>
      </c>
      <c r="BI47" s="28">
        <v>0.16406299999999999</v>
      </c>
      <c r="BJ47" s="28">
        <v>0.51221133333333402</v>
      </c>
      <c r="BK47" s="28">
        <v>0.55442766666666699</v>
      </c>
      <c r="BL47" s="28">
        <v>0.143346</v>
      </c>
      <c r="BM47" s="28">
        <v>0.52673800000000004</v>
      </c>
      <c r="BN47" s="28">
        <v>0.247594333333333</v>
      </c>
      <c r="BO47" s="28">
        <v>0.50860399999999995</v>
      </c>
      <c r="BP47" s="28">
        <v>0.54580933333333304</v>
      </c>
      <c r="BQ47" s="28">
        <v>0.31082733333333301</v>
      </c>
      <c r="BR47" s="28">
        <v>0.25844</v>
      </c>
      <c r="BS47" s="28">
        <v>0.66899966666666599</v>
      </c>
      <c r="BT47" s="28">
        <v>0.17851466666666699</v>
      </c>
      <c r="BU47" s="28">
        <v>0.31077966666666701</v>
      </c>
      <c r="BV47" s="28">
        <v>0.49411433333333299</v>
      </c>
      <c r="BW47" s="28">
        <v>0.24131866666666699</v>
      </c>
      <c r="BX47" s="28">
        <v>0.12564</v>
      </c>
      <c r="BY47" s="28">
        <v>0.41196733333333302</v>
      </c>
      <c r="BZ47" s="28">
        <v>0.262984</v>
      </c>
      <c r="CA47" s="28">
        <v>0.32107666666666701</v>
      </c>
      <c r="CB47" s="28">
        <v>0.15567666666666699</v>
      </c>
      <c r="CC47" s="28">
        <v>0.45135399999999998</v>
      </c>
      <c r="CD47" s="28">
        <v>0.16709499999999999</v>
      </c>
      <c r="CE47" s="28">
        <v>0.35162700000000002</v>
      </c>
      <c r="CF47" s="28">
        <v>0.106624</v>
      </c>
      <c r="CG47" s="28">
        <v>0.52915000000000001</v>
      </c>
      <c r="CH47" s="28">
        <v>0.1447</v>
      </c>
      <c r="CI47" s="28">
        <v>5.47053333333333E-2</v>
      </c>
      <c r="CJ47" s="28">
        <v>0.40655333333333299</v>
      </c>
      <c r="CK47" s="28">
        <v>4.9000000000000002E-2</v>
      </c>
      <c r="CL47" s="28">
        <v>0.05</v>
      </c>
      <c r="CM47" s="28">
        <v>0.58638933333333298</v>
      </c>
      <c r="CN47" s="28">
        <v>1.8848703333333301</v>
      </c>
      <c r="CO47" s="28">
        <v>0.14620133333333299</v>
      </c>
      <c r="CP47" s="28">
        <v>0.231713</v>
      </c>
      <c r="CQ47" s="28">
        <v>0.14404</v>
      </c>
      <c r="CR47" s="28">
        <v>0.40825866666666699</v>
      </c>
      <c r="CS47" s="28">
        <v>0.56513599999999997</v>
      </c>
      <c r="CT47" s="28">
        <v>0.116663</v>
      </c>
      <c r="CU47" s="28">
        <v>0.42549066666666702</v>
      </c>
      <c r="CV47" s="28">
        <v>0.46088499999999999</v>
      </c>
      <c r="CW47" s="28">
        <v>0.76517500000000005</v>
      </c>
      <c r="CX47" s="28">
        <v>0.55482799999999999</v>
      </c>
      <c r="CY47" s="28">
        <v>0.13570133333333301</v>
      </c>
      <c r="CZ47" s="28">
        <v>0.413248333333333</v>
      </c>
      <c r="DA47" s="28">
        <v>0.48114299999999999</v>
      </c>
      <c r="DB47" s="28">
        <v>1.545884</v>
      </c>
      <c r="DC47" s="28">
        <v>0.41360333333333299</v>
      </c>
      <c r="DD47" s="28">
        <v>0.11092933333333301</v>
      </c>
      <c r="DE47" s="28">
        <v>0.942139333333333</v>
      </c>
      <c r="DF47" s="28">
        <v>0.78225033333333305</v>
      </c>
      <c r="DG47" s="28">
        <v>0.188118333333333</v>
      </c>
      <c r="DH47" s="28">
        <v>0.11243133333333299</v>
      </c>
      <c r="DI47" s="28">
        <v>0.84284300000000001</v>
      </c>
      <c r="DJ47" s="28">
        <v>0.208569333333333</v>
      </c>
      <c r="DK47" s="28">
        <v>0.61160999999999999</v>
      </c>
      <c r="DL47" s="28">
        <v>0.59799999999999998</v>
      </c>
      <c r="DM47" s="28">
        <v>0.190039333333333</v>
      </c>
      <c r="DN47" s="28">
        <v>0.37142766666666699</v>
      </c>
      <c r="DO47" s="28">
        <v>7.6401666666666701E-2</v>
      </c>
      <c r="DP47" s="28">
        <v>0.26101666666666701</v>
      </c>
      <c r="DQ47" s="28">
        <v>6.1922999999999999E-2</v>
      </c>
      <c r="DR47" s="28">
        <v>0.439406666666667</v>
      </c>
      <c r="DS47" s="28">
        <v>0.38595933333333299</v>
      </c>
      <c r="DT47" s="28">
        <v>0.170231666666666</v>
      </c>
      <c r="DU47" s="28">
        <v>1.2286060000000001</v>
      </c>
      <c r="DV47" s="28">
        <v>0.35247366666666702</v>
      </c>
      <c r="DW47" s="28">
        <v>0.4246335268817204</v>
      </c>
      <c r="DX47" s="34">
        <v>52.654557333333329</v>
      </c>
    </row>
    <row r="48" spans="1:128" x14ac:dyDescent="0.25">
      <c r="A48" s="24">
        <v>47</v>
      </c>
      <c r="B48" s="26">
        <v>23</v>
      </c>
      <c r="C48" s="28">
        <v>0.56430733333333305</v>
      </c>
      <c r="D48" s="28">
        <v>0.238596</v>
      </c>
      <c r="E48" s="28">
        <v>5.0999999999999997E-2</v>
      </c>
      <c r="F48" s="28">
        <v>5.8999999999999997E-2</v>
      </c>
      <c r="G48" s="28">
        <v>4.7E-2</v>
      </c>
      <c r="H48" s="28">
        <v>0.10803133333333299</v>
      </c>
      <c r="I48" s="28">
        <v>0.61193200000000003</v>
      </c>
      <c r="J48" s="28">
        <v>0.14262900000000001</v>
      </c>
      <c r="K48" s="28">
        <v>0.387867666666667</v>
      </c>
      <c r="L48" s="28">
        <v>0.294478666666667</v>
      </c>
      <c r="M48" s="28">
        <v>0.20808533333333301</v>
      </c>
      <c r="N48" s="28">
        <v>0.18476000000000001</v>
      </c>
      <c r="O48" s="28">
        <v>0.243088</v>
      </c>
      <c r="P48" s="28">
        <v>0.295385333333333</v>
      </c>
      <c r="Q48" s="28">
        <v>4.8000000000000001E-2</v>
      </c>
      <c r="R48" s="28">
        <v>0.77008399999999999</v>
      </c>
      <c r="S48" s="28">
        <v>0.36133933333333301</v>
      </c>
      <c r="T48" s="28">
        <v>0.52632199999999996</v>
      </c>
      <c r="U48" s="28">
        <v>0.45985266666666702</v>
      </c>
      <c r="V48" s="28">
        <v>8.4708000000000006E-2</v>
      </c>
      <c r="W48" s="28">
        <v>4.8000000000000001E-2</v>
      </c>
      <c r="X48" s="28">
        <v>5.7000000000000002E-2</v>
      </c>
      <c r="Y48" s="28">
        <v>3.1E-2</v>
      </c>
      <c r="Z48" s="28">
        <v>8.3956000000000003E-2</v>
      </c>
      <c r="AA48" s="28">
        <v>0.126723</v>
      </c>
      <c r="AB48" s="28">
        <v>2.2277830000000001</v>
      </c>
      <c r="AC48" s="28">
        <v>0.57839996666666604</v>
      </c>
      <c r="AD48" s="28">
        <v>5.0999999999999997E-2</v>
      </c>
      <c r="AE48" s="28">
        <v>0.21928666666666699</v>
      </c>
      <c r="AF48" s="28">
        <v>0.119939</v>
      </c>
      <c r="AG48" s="28">
        <v>6.0999999999999999E-2</v>
      </c>
      <c r="AH48" s="28">
        <v>0.59359899999999999</v>
      </c>
      <c r="AI48" s="28">
        <v>5.1074000000000001E-2</v>
      </c>
      <c r="AJ48" s="28">
        <v>0.31671666666666698</v>
      </c>
      <c r="AK48" s="28">
        <v>0.81425233333333302</v>
      </c>
      <c r="AL48" s="28">
        <v>0.18880466666666701</v>
      </c>
      <c r="AM48" s="28">
        <v>0.44244</v>
      </c>
      <c r="AN48" s="28">
        <v>0.36226666666666701</v>
      </c>
      <c r="AO48" s="28">
        <v>0.150717666666667</v>
      </c>
      <c r="AP48" s="28">
        <v>4.5999999999999999E-2</v>
      </c>
      <c r="AQ48" s="28">
        <v>0.68279999999999996</v>
      </c>
      <c r="AR48" s="28">
        <v>5.5E-2</v>
      </c>
      <c r="AS48" s="28">
        <v>0.141568</v>
      </c>
      <c r="AT48" s="28">
        <v>9.3079999999999996E-2</v>
      </c>
      <c r="AU48" s="28">
        <v>6.5573999999999993E-2</v>
      </c>
      <c r="AV48" s="28">
        <v>0.406418</v>
      </c>
      <c r="AW48" s="28">
        <v>1.52480866666667</v>
      </c>
      <c r="AX48" s="28">
        <v>0.150648</v>
      </c>
      <c r="AY48" s="28">
        <v>1.2401279999999999</v>
      </c>
      <c r="AZ48" s="28">
        <v>0.37425966666666699</v>
      </c>
      <c r="BA48" s="28">
        <v>0.283486666666667</v>
      </c>
      <c r="BB48" s="28">
        <v>0.155306</v>
      </c>
      <c r="BC48" s="28">
        <v>0.03</v>
      </c>
      <c r="BD48" s="28">
        <v>5.8193333333333298E-2</v>
      </c>
      <c r="BE48" s="28">
        <v>0.17555799999999999</v>
      </c>
      <c r="BF48" s="28">
        <v>0.20305933333333301</v>
      </c>
      <c r="BG48" s="28">
        <v>0.46745066666666701</v>
      </c>
      <c r="BH48" s="28">
        <v>0.05</v>
      </c>
      <c r="BI48" s="28">
        <v>0.132659</v>
      </c>
      <c r="BJ48" s="28">
        <v>0.34501999999999999</v>
      </c>
      <c r="BK48" s="28">
        <v>0.22991963333333301</v>
      </c>
      <c r="BL48" s="28">
        <v>0.17654666666666699</v>
      </c>
      <c r="BM48" s="28">
        <v>0.355821</v>
      </c>
      <c r="BN48" s="28">
        <v>5.5E-2</v>
      </c>
      <c r="BO48" s="28">
        <v>0.12986366666666699</v>
      </c>
      <c r="BP48" s="28">
        <v>0.34061533333333299</v>
      </c>
      <c r="BQ48" s="28">
        <v>0.88343700000000003</v>
      </c>
      <c r="BR48" s="28">
        <v>0.14538000000000001</v>
      </c>
      <c r="BS48" s="28">
        <v>0.34821466666666701</v>
      </c>
      <c r="BT48" s="28">
        <v>0.13682</v>
      </c>
      <c r="BU48" s="28">
        <v>0.36795166666666701</v>
      </c>
      <c r="BV48" s="28">
        <v>0.67325433333333395</v>
      </c>
      <c r="BW48" s="28">
        <v>0.05</v>
      </c>
      <c r="BX48" s="28">
        <v>5.0999999999999997E-2</v>
      </c>
      <c r="BY48" s="28">
        <v>0.24084666666666699</v>
      </c>
      <c r="BZ48" s="28">
        <v>0.31655066666666698</v>
      </c>
      <c r="CA48" s="28">
        <v>5.7000000000000002E-2</v>
      </c>
      <c r="CB48" s="28">
        <v>4.98273333333333E-2</v>
      </c>
      <c r="CC48" s="28">
        <v>0.110212</v>
      </c>
      <c r="CD48" s="28">
        <v>0.33498386666666702</v>
      </c>
      <c r="CE48" s="28">
        <v>0.13123000000000001</v>
      </c>
      <c r="CF48" s="28">
        <v>0.2243</v>
      </c>
      <c r="CG48" s="28">
        <v>0.32583800000000002</v>
      </c>
      <c r="CH48" s="28">
        <v>4.7E-2</v>
      </c>
      <c r="CI48" s="28">
        <v>0.22598633333333301</v>
      </c>
      <c r="CJ48" s="28">
        <v>0.39323066666666701</v>
      </c>
      <c r="CK48" s="28">
        <v>4.9000000000000002E-2</v>
      </c>
      <c r="CL48" s="28">
        <v>0.05</v>
      </c>
      <c r="CM48" s="28">
        <v>0.49533700000000003</v>
      </c>
      <c r="CN48" s="28">
        <v>0.18393999999999999</v>
      </c>
      <c r="CO48" s="28">
        <v>5.8910666666666701E-2</v>
      </c>
      <c r="CP48" s="28">
        <v>0.52397333333333296</v>
      </c>
      <c r="CQ48" s="28">
        <v>0.21669333333333299</v>
      </c>
      <c r="CR48" s="28">
        <v>0.331743333333333</v>
      </c>
      <c r="CS48" s="28">
        <v>0.43990000000000001</v>
      </c>
      <c r="CT48" s="28">
        <v>0.50746666666666695</v>
      </c>
      <c r="CU48" s="28">
        <v>0.16145000000000001</v>
      </c>
      <c r="CV48" s="28">
        <v>0.37022699999999997</v>
      </c>
      <c r="CW48" s="28">
        <v>5.5912000000000003E-2</v>
      </c>
      <c r="CX48" s="28">
        <v>0.197118666666667</v>
      </c>
      <c r="CY48" s="28">
        <v>0.216043333333333</v>
      </c>
      <c r="CZ48" s="28">
        <v>1.439179</v>
      </c>
      <c r="DA48" s="28">
        <v>0.31007000000000001</v>
      </c>
      <c r="DB48" s="28">
        <v>0.49645333333333302</v>
      </c>
      <c r="DC48" s="28">
        <v>0.412057333333333</v>
      </c>
      <c r="DD48" s="28">
        <v>7.0382666666666704E-2</v>
      </c>
      <c r="DE48" s="28">
        <v>0.41821666666666701</v>
      </c>
      <c r="DF48" s="28">
        <v>0.33056200000000002</v>
      </c>
      <c r="DG48" s="28">
        <v>7.8545000000000004E-2</v>
      </c>
      <c r="DH48" s="28">
        <v>0.12123200000000001</v>
      </c>
      <c r="DI48" s="28">
        <v>0.70148100000000002</v>
      </c>
      <c r="DJ48" s="28">
        <v>0.264857333333333</v>
      </c>
      <c r="DK48" s="28">
        <v>0.33025933333333302</v>
      </c>
      <c r="DL48" s="28">
        <v>0.55483333333333296</v>
      </c>
      <c r="DM48" s="28">
        <v>0.13337333333333301</v>
      </c>
      <c r="DN48" s="28">
        <v>0.38933133333333297</v>
      </c>
      <c r="DO48" s="28">
        <v>0.138258666666667</v>
      </c>
      <c r="DP48" s="28">
        <v>9.1426000000000104E-2</v>
      </c>
      <c r="DQ48" s="28">
        <v>0.235487</v>
      </c>
      <c r="DR48" s="28">
        <v>0.44</v>
      </c>
      <c r="DS48" s="28">
        <v>0.27684700000000001</v>
      </c>
      <c r="DT48" s="28">
        <v>5.1999999999999998E-2</v>
      </c>
      <c r="DU48" s="28">
        <v>0.50835399999999997</v>
      </c>
      <c r="DV48" s="28">
        <v>0.48569333333333398</v>
      </c>
      <c r="DW48" s="28">
        <v>0.30184586397849439</v>
      </c>
      <c r="DX48" s="34">
        <v>37.428887133333312</v>
      </c>
    </row>
    <row r="49" spans="1:128" x14ac:dyDescent="0.25">
      <c r="A49" s="25">
        <v>48</v>
      </c>
      <c r="B49" s="27">
        <v>23.5</v>
      </c>
      <c r="C49" s="29">
        <v>0.69304466666666698</v>
      </c>
      <c r="D49" s="29">
        <v>4.9000000000000002E-2</v>
      </c>
      <c r="E49" s="29">
        <v>5.0999999999999997E-2</v>
      </c>
      <c r="F49" s="29">
        <v>5.8999999999999997E-2</v>
      </c>
      <c r="G49" s="29">
        <v>4.7E-2</v>
      </c>
      <c r="H49" s="29">
        <v>5.0999999999999997E-2</v>
      </c>
      <c r="I49" s="29">
        <v>0.19147666666666699</v>
      </c>
      <c r="J49" s="29">
        <v>8.6727000000000096E-2</v>
      </c>
      <c r="K49" s="29">
        <v>0.50570599999999999</v>
      </c>
      <c r="L49" s="29">
        <v>0.15260533333333301</v>
      </c>
      <c r="M49" s="29">
        <v>0.21165999999999999</v>
      </c>
      <c r="N49" s="29">
        <v>7.7613333333333298E-2</v>
      </c>
      <c r="O49" s="29">
        <v>0.10654066666666701</v>
      </c>
      <c r="P49" s="29">
        <v>4.4999999999999998E-2</v>
      </c>
      <c r="Q49" s="29">
        <v>0.20253533333333301</v>
      </c>
      <c r="R49" s="29">
        <v>0.16327</v>
      </c>
      <c r="S49" s="29">
        <v>0.17460266666666699</v>
      </c>
      <c r="T49" s="29">
        <v>0.53206766666666705</v>
      </c>
      <c r="U49" s="29">
        <v>0.13236666666666699</v>
      </c>
      <c r="V49" s="29">
        <v>0.17468600000000001</v>
      </c>
      <c r="W49" s="29">
        <v>0.111173666666667</v>
      </c>
      <c r="X49" s="29">
        <v>0.139917333333333</v>
      </c>
      <c r="Y49" s="29">
        <v>0.14353333333333301</v>
      </c>
      <c r="Z49" s="29">
        <v>0.18530199999999999</v>
      </c>
      <c r="AA49" s="29">
        <v>5.2999999999999999E-2</v>
      </c>
      <c r="AB49" s="29">
        <v>0.21694833333333399</v>
      </c>
      <c r="AC49" s="29">
        <v>5.8603333333333403E-2</v>
      </c>
      <c r="AD49" s="29">
        <v>0.23086166666666699</v>
      </c>
      <c r="AE49" s="29">
        <v>5.5E-2</v>
      </c>
      <c r="AF49" s="29">
        <v>0.15102299999999999</v>
      </c>
      <c r="AG49" s="29">
        <v>0.16529533333333299</v>
      </c>
      <c r="AH49" s="29">
        <v>0.50397333333333405</v>
      </c>
      <c r="AI49" s="29">
        <v>0.31141566666666698</v>
      </c>
      <c r="AJ49" s="29">
        <v>0.43429833333333301</v>
      </c>
      <c r="AK49" s="29">
        <v>4.8000000000000001E-2</v>
      </c>
      <c r="AL49" s="29">
        <v>4.4999999999999998E-2</v>
      </c>
      <c r="AM49" s="29">
        <v>0.615997666666667</v>
      </c>
      <c r="AN49" s="29">
        <v>0.55700966666666696</v>
      </c>
      <c r="AO49" s="29">
        <v>6.1982000000000002E-2</v>
      </c>
      <c r="AP49" s="29">
        <v>4.5999999999999999E-2</v>
      </c>
      <c r="AQ49" s="29">
        <v>0.33791066666666703</v>
      </c>
      <c r="AR49" s="29">
        <v>5.5E-2</v>
      </c>
      <c r="AS49" s="29">
        <v>5.8000000000000003E-2</v>
      </c>
      <c r="AT49" s="29">
        <v>0.17277999999999999</v>
      </c>
      <c r="AU49" s="29">
        <v>0.138252666666667</v>
      </c>
      <c r="AV49" s="29">
        <v>0.44712333333333298</v>
      </c>
      <c r="AW49" s="29">
        <v>1.102703</v>
      </c>
      <c r="AX49" s="29">
        <v>0.165346666666667</v>
      </c>
      <c r="AY49" s="29">
        <v>0.54701066666666698</v>
      </c>
      <c r="AZ49" s="29">
        <v>0.27930766666666701</v>
      </c>
      <c r="BA49" s="29">
        <v>0.279243666666667</v>
      </c>
      <c r="BB49" s="29">
        <v>0.161626666666667</v>
      </c>
      <c r="BC49" s="29">
        <v>0.03</v>
      </c>
      <c r="BD49" s="29">
        <v>0.191258333333333</v>
      </c>
      <c r="BE49" s="29">
        <v>7.0005999999999999E-2</v>
      </c>
      <c r="BF49" s="29">
        <v>0.15810399999999999</v>
      </c>
      <c r="BG49" s="29">
        <v>0.30963233333333301</v>
      </c>
      <c r="BH49" s="29">
        <v>0.05</v>
      </c>
      <c r="BI49" s="29">
        <v>6.2E-2</v>
      </c>
      <c r="BJ49" s="29">
        <v>0.288702666666667</v>
      </c>
      <c r="BK49" s="29">
        <v>0.29530000000000001</v>
      </c>
      <c r="BL49" s="29">
        <v>5.0999999999999997E-2</v>
      </c>
      <c r="BM49" s="29">
        <v>9.9268999999999996E-2</v>
      </c>
      <c r="BN49" s="29">
        <v>0.118179666666667</v>
      </c>
      <c r="BO49" s="29">
        <v>9.4849666666666596E-2</v>
      </c>
      <c r="BP49" s="29">
        <v>0.31285800000000002</v>
      </c>
      <c r="BQ49" s="29">
        <v>0.75672766666666702</v>
      </c>
      <c r="BR49" s="29">
        <v>0.26434366666666698</v>
      </c>
      <c r="BS49" s="29">
        <v>0.23638000000000001</v>
      </c>
      <c r="BT49" s="29">
        <v>0.17851466666666699</v>
      </c>
      <c r="BU49" s="29">
        <v>0.62400733333333402</v>
      </c>
      <c r="BV49" s="29">
        <v>0.51275033333333297</v>
      </c>
      <c r="BW49" s="29">
        <v>0.109811666666667</v>
      </c>
      <c r="BX49" s="29">
        <v>5.0999999999999997E-2</v>
      </c>
      <c r="BY49" s="29">
        <v>0.44744299999999998</v>
      </c>
      <c r="BZ49" s="29">
        <v>4.2999999999999997E-2</v>
      </c>
      <c r="CA49" s="29">
        <v>5.7000000000000002E-2</v>
      </c>
      <c r="CB49" s="29">
        <v>0.194422333333333</v>
      </c>
      <c r="CC49" s="29">
        <v>5.1999999999999998E-2</v>
      </c>
      <c r="CD49" s="29">
        <v>0.12804726666666699</v>
      </c>
      <c r="CE49" s="29">
        <v>8.08796666666666E-2</v>
      </c>
      <c r="CF49" s="29">
        <v>0.112259333333333</v>
      </c>
      <c r="CG49" s="29">
        <v>4.1000000000000002E-2</v>
      </c>
      <c r="CH49" s="29">
        <v>4.7E-2</v>
      </c>
      <c r="CI49" s="29">
        <v>0.13722933333333301</v>
      </c>
      <c r="CJ49" s="29">
        <v>5.5033333333333302E-2</v>
      </c>
      <c r="CK49" s="29">
        <v>0.180508</v>
      </c>
      <c r="CL49" s="29">
        <v>0.05</v>
      </c>
      <c r="CM49" s="29">
        <v>0.32815733333333302</v>
      </c>
      <c r="CN49" s="29">
        <v>4.1000000000000002E-2</v>
      </c>
      <c r="CO49" s="29">
        <v>0.24422466666666601</v>
      </c>
      <c r="CP49" s="29">
        <v>0.3624</v>
      </c>
      <c r="CQ49" s="29">
        <v>5.8000000000000003E-2</v>
      </c>
      <c r="CR49" s="29">
        <v>0.29207080000000002</v>
      </c>
      <c r="CS49" s="29">
        <v>0.61555199999999999</v>
      </c>
      <c r="CT49" s="29">
        <v>0.53738833333333302</v>
      </c>
      <c r="CU49" s="29">
        <v>0.294796</v>
      </c>
      <c r="CV49" s="29">
        <v>0.19189800000000001</v>
      </c>
      <c r="CW49" s="29">
        <v>0.19911999999999999</v>
      </c>
      <c r="CX49" s="29">
        <v>0.49606499999999998</v>
      </c>
      <c r="CY49" s="29">
        <v>0.308894</v>
      </c>
      <c r="CZ49" s="29">
        <v>0.631548</v>
      </c>
      <c r="DA49" s="29">
        <v>5.7000000000000002E-2</v>
      </c>
      <c r="DB49" s="29">
        <v>0.47516166666666698</v>
      </c>
      <c r="DC49" s="29">
        <v>0.63323066666666705</v>
      </c>
      <c r="DD49" s="29">
        <v>8.6601333333333294E-2</v>
      </c>
      <c r="DE49" s="29">
        <v>0.207896</v>
      </c>
      <c r="DF49" s="29">
        <v>0.20556666666666701</v>
      </c>
      <c r="DG49" s="29">
        <v>5.8000000000000003E-2</v>
      </c>
      <c r="DH49" s="29">
        <v>5.7914666666666698E-2</v>
      </c>
      <c r="DI49" s="29">
        <v>0.685066333333333</v>
      </c>
      <c r="DJ49" s="29">
        <v>0.21279400000000001</v>
      </c>
      <c r="DK49" s="29">
        <v>0.70146533333333405</v>
      </c>
      <c r="DL49" s="29">
        <v>0.62299066666666703</v>
      </c>
      <c r="DM49" s="29">
        <v>0.112722</v>
      </c>
      <c r="DN49" s="29">
        <v>0.33706166666666698</v>
      </c>
      <c r="DO49" s="29">
        <v>0.206967333333333</v>
      </c>
      <c r="DP49" s="29">
        <v>0.22013133333333301</v>
      </c>
      <c r="DQ49" s="29">
        <v>4.7E-2</v>
      </c>
      <c r="DR49" s="29">
        <v>0.25321466666666698</v>
      </c>
      <c r="DS49" s="29">
        <v>9.0284666666666694E-2</v>
      </c>
      <c r="DT49" s="29">
        <v>0.205750666666667</v>
      </c>
      <c r="DU49" s="29">
        <v>0.152933333333333</v>
      </c>
      <c r="DV49" s="29">
        <v>0.56935199999999997</v>
      </c>
      <c r="DW49" s="29">
        <v>0.23287321021505381</v>
      </c>
      <c r="DX49" s="35">
        <v>28.876278066666671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X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128" width="15" customWidth="1"/>
  </cols>
  <sheetData>
    <row r="1" spans="1:128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21" t="s">
        <v>84</v>
      </c>
      <c r="AY1" s="21" t="s">
        <v>85</v>
      </c>
      <c r="AZ1" s="21" t="s">
        <v>86</v>
      </c>
      <c r="BA1" s="21" t="s">
        <v>87</v>
      </c>
      <c r="BB1" s="21" t="s">
        <v>88</v>
      </c>
      <c r="BC1" s="21" t="s">
        <v>89</v>
      </c>
      <c r="BD1" s="21" t="s">
        <v>90</v>
      </c>
      <c r="BE1" s="21" t="s">
        <v>91</v>
      </c>
      <c r="BF1" s="21" t="s">
        <v>92</v>
      </c>
      <c r="BG1" s="21" t="s">
        <v>93</v>
      </c>
      <c r="BH1" s="21" t="s">
        <v>94</v>
      </c>
      <c r="BI1" s="21" t="s">
        <v>95</v>
      </c>
      <c r="BJ1" s="21" t="s">
        <v>96</v>
      </c>
      <c r="BK1" s="21" t="s">
        <v>97</v>
      </c>
      <c r="BL1" s="21" t="s">
        <v>98</v>
      </c>
      <c r="BM1" s="21" t="s">
        <v>99</v>
      </c>
      <c r="BN1" s="21" t="s">
        <v>100</v>
      </c>
      <c r="BO1" s="21" t="s">
        <v>101</v>
      </c>
      <c r="BP1" s="21" t="s">
        <v>102</v>
      </c>
      <c r="BQ1" s="21" t="s">
        <v>103</v>
      </c>
      <c r="BR1" s="21" t="s">
        <v>104</v>
      </c>
      <c r="BS1" s="21" t="s">
        <v>105</v>
      </c>
      <c r="BT1" s="21" t="s">
        <v>106</v>
      </c>
      <c r="BU1" s="21" t="s">
        <v>107</v>
      </c>
      <c r="BV1" s="21" t="s">
        <v>108</v>
      </c>
      <c r="BW1" s="21" t="s">
        <v>109</v>
      </c>
      <c r="BX1" s="21" t="s">
        <v>110</v>
      </c>
      <c r="BY1" s="21" t="s">
        <v>111</v>
      </c>
      <c r="BZ1" s="21" t="s">
        <v>112</v>
      </c>
      <c r="CA1" s="21" t="s">
        <v>113</v>
      </c>
      <c r="CB1" s="21" t="s">
        <v>114</v>
      </c>
      <c r="CC1" s="21" t="s">
        <v>115</v>
      </c>
      <c r="CD1" s="21" t="s">
        <v>116</v>
      </c>
      <c r="CE1" s="21" t="s">
        <v>117</v>
      </c>
      <c r="CF1" s="21" t="s">
        <v>118</v>
      </c>
      <c r="CG1" s="21" t="s">
        <v>119</v>
      </c>
      <c r="CH1" s="21" t="s">
        <v>120</v>
      </c>
      <c r="CI1" s="21" t="s">
        <v>121</v>
      </c>
      <c r="CJ1" s="21" t="s">
        <v>122</v>
      </c>
      <c r="CK1" s="21" t="s">
        <v>123</v>
      </c>
      <c r="CL1" s="21" t="s">
        <v>124</v>
      </c>
      <c r="CM1" s="21" t="s">
        <v>125</v>
      </c>
      <c r="CN1" s="21" t="s">
        <v>126</v>
      </c>
      <c r="CO1" s="21" t="s">
        <v>127</v>
      </c>
      <c r="CP1" s="21" t="s">
        <v>128</v>
      </c>
      <c r="CQ1" s="21" t="s">
        <v>129</v>
      </c>
      <c r="CR1" s="21" t="s">
        <v>130</v>
      </c>
      <c r="CS1" s="21" t="s">
        <v>131</v>
      </c>
      <c r="CT1" s="21" t="s">
        <v>132</v>
      </c>
      <c r="CU1" s="21" t="s">
        <v>133</v>
      </c>
      <c r="CV1" s="21" t="s">
        <v>134</v>
      </c>
      <c r="CW1" s="21" t="s">
        <v>135</v>
      </c>
      <c r="CX1" s="21" t="s">
        <v>136</v>
      </c>
      <c r="CY1" s="21" t="s">
        <v>137</v>
      </c>
      <c r="CZ1" s="21" t="s">
        <v>138</v>
      </c>
      <c r="DA1" s="21" t="s">
        <v>139</v>
      </c>
      <c r="DB1" s="21" t="s">
        <v>140</v>
      </c>
      <c r="DC1" s="21" t="s">
        <v>141</v>
      </c>
      <c r="DD1" s="21" t="s">
        <v>142</v>
      </c>
      <c r="DE1" s="21" t="s">
        <v>143</v>
      </c>
      <c r="DF1" s="21" t="s">
        <v>144</v>
      </c>
      <c r="DG1" s="21" t="s">
        <v>145</v>
      </c>
      <c r="DH1" s="21" t="s">
        <v>146</v>
      </c>
      <c r="DI1" s="21" t="s">
        <v>147</v>
      </c>
      <c r="DJ1" s="21" t="s">
        <v>148</v>
      </c>
      <c r="DK1" s="21" t="s">
        <v>149</v>
      </c>
      <c r="DL1" s="21" t="s">
        <v>150</v>
      </c>
      <c r="DM1" s="21" t="s">
        <v>151</v>
      </c>
      <c r="DN1" s="21" t="s">
        <v>152</v>
      </c>
      <c r="DO1" s="21" t="s">
        <v>153</v>
      </c>
      <c r="DP1" s="21" t="s">
        <v>154</v>
      </c>
      <c r="DQ1" s="21" t="s">
        <v>155</v>
      </c>
      <c r="DR1" s="21" t="s">
        <v>156</v>
      </c>
      <c r="DS1" s="21" t="s">
        <v>157</v>
      </c>
      <c r="DT1" s="21" t="s">
        <v>158</v>
      </c>
      <c r="DU1" s="21" t="s">
        <v>159</v>
      </c>
      <c r="DV1" s="21" t="s">
        <v>160</v>
      </c>
      <c r="DW1" s="21" t="s">
        <v>161</v>
      </c>
      <c r="DX1" s="9" t="s">
        <v>162</v>
      </c>
    </row>
    <row r="2" spans="1:128" x14ac:dyDescent="0.25">
      <c r="A2" s="24">
        <v>1</v>
      </c>
      <c r="B2" s="26">
        <v>0</v>
      </c>
      <c r="C2" s="28">
        <v>0</v>
      </c>
      <c r="D2" s="28">
        <v>0</v>
      </c>
      <c r="E2" s="28">
        <v>0</v>
      </c>
      <c r="F2" s="28">
        <v>0</v>
      </c>
      <c r="G2" s="28">
        <v>0</v>
      </c>
      <c r="H2" s="28">
        <v>0</v>
      </c>
      <c r="I2" s="28">
        <v>0</v>
      </c>
      <c r="J2" s="28">
        <v>0</v>
      </c>
      <c r="K2" s="28">
        <v>0</v>
      </c>
      <c r="L2" s="28">
        <v>0</v>
      </c>
      <c r="M2" s="28">
        <v>0</v>
      </c>
      <c r="N2" s="28">
        <v>0</v>
      </c>
      <c r="O2" s="28">
        <v>0</v>
      </c>
      <c r="P2" s="28">
        <v>0</v>
      </c>
      <c r="Q2" s="28">
        <v>0</v>
      </c>
      <c r="R2" s="28">
        <v>0</v>
      </c>
      <c r="S2" s="28">
        <v>0</v>
      </c>
      <c r="T2" s="28">
        <v>0</v>
      </c>
      <c r="U2" s="28">
        <v>0</v>
      </c>
      <c r="V2" s="28">
        <v>0</v>
      </c>
      <c r="W2" s="28">
        <v>0</v>
      </c>
      <c r="X2" s="28">
        <v>0</v>
      </c>
      <c r="Y2" s="28">
        <v>0</v>
      </c>
      <c r="Z2" s="28">
        <v>0</v>
      </c>
      <c r="AA2" s="28">
        <v>0</v>
      </c>
      <c r="AB2" s="28">
        <v>0</v>
      </c>
      <c r="AC2" s="28">
        <v>0</v>
      </c>
      <c r="AD2" s="28">
        <v>0</v>
      </c>
      <c r="AE2" s="28">
        <v>0</v>
      </c>
      <c r="AF2" s="28">
        <v>0</v>
      </c>
      <c r="AG2" s="28">
        <v>0</v>
      </c>
      <c r="AH2" s="28">
        <v>0</v>
      </c>
      <c r="AI2" s="28">
        <v>0</v>
      </c>
      <c r="AJ2" s="28">
        <v>0</v>
      </c>
      <c r="AK2" s="28">
        <v>0</v>
      </c>
      <c r="AL2" s="28">
        <v>0</v>
      </c>
      <c r="AM2" s="28">
        <v>0</v>
      </c>
      <c r="AN2" s="28">
        <v>0</v>
      </c>
      <c r="AO2" s="28">
        <v>0</v>
      </c>
      <c r="AP2" s="28">
        <v>0</v>
      </c>
      <c r="AQ2" s="28">
        <v>0</v>
      </c>
      <c r="AR2" s="28">
        <v>0</v>
      </c>
      <c r="AS2" s="28">
        <v>0</v>
      </c>
      <c r="AT2" s="28">
        <v>0</v>
      </c>
      <c r="AU2" s="28">
        <v>0</v>
      </c>
      <c r="AV2" s="28">
        <v>0</v>
      </c>
      <c r="AW2" s="28">
        <v>0</v>
      </c>
      <c r="AX2" s="28">
        <v>0</v>
      </c>
      <c r="AY2" s="28">
        <v>0</v>
      </c>
      <c r="AZ2" s="28">
        <v>0</v>
      </c>
      <c r="BA2" s="28">
        <v>0</v>
      </c>
      <c r="BB2" s="28">
        <v>0</v>
      </c>
      <c r="BC2" s="28">
        <v>0</v>
      </c>
      <c r="BD2" s="28">
        <v>0</v>
      </c>
      <c r="BE2" s="28">
        <v>0</v>
      </c>
      <c r="BF2" s="28">
        <v>0</v>
      </c>
      <c r="BG2" s="28">
        <v>0</v>
      </c>
      <c r="BH2" s="28">
        <v>0</v>
      </c>
      <c r="BI2" s="28">
        <v>0</v>
      </c>
      <c r="BJ2" s="28">
        <v>0</v>
      </c>
      <c r="BK2" s="28">
        <v>0</v>
      </c>
      <c r="BL2" s="28">
        <v>0</v>
      </c>
      <c r="BM2" s="28">
        <v>0</v>
      </c>
      <c r="BN2" s="28">
        <v>0</v>
      </c>
      <c r="BO2" s="28">
        <v>0</v>
      </c>
      <c r="BP2" s="28">
        <v>0</v>
      </c>
      <c r="BQ2" s="28">
        <v>0</v>
      </c>
      <c r="BR2" s="28">
        <v>0</v>
      </c>
      <c r="BS2" s="28">
        <v>0</v>
      </c>
      <c r="BT2" s="28">
        <v>0</v>
      </c>
      <c r="BU2" s="28">
        <v>0</v>
      </c>
      <c r="BV2" s="28">
        <v>0</v>
      </c>
      <c r="BW2" s="28">
        <v>0</v>
      </c>
      <c r="BX2" s="28">
        <v>0</v>
      </c>
      <c r="BY2" s="28">
        <v>0</v>
      </c>
      <c r="BZ2" s="28">
        <v>0</v>
      </c>
      <c r="CA2" s="28">
        <v>0</v>
      </c>
      <c r="CB2" s="28">
        <v>0</v>
      </c>
      <c r="CC2" s="28">
        <v>0</v>
      </c>
      <c r="CD2" s="28">
        <v>0</v>
      </c>
      <c r="CE2" s="28">
        <v>0</v>
      </c>
      <c r="CF2" s="28">
        <v>0</v>
      </c>
      <c r="CG2" s="28">
        <v>0</v>
      </c>
      <c r="CH2" s="28">
        <v>0</v>
      </c>
      <c r="CI2" s="28">
        <v>0</v>
      </c>
      <c r="CJ2" s="28">
        <v>0</v>
      </c>
      <c r="CK2" s="28">
        <v>0</v>
      </c>
      <c r="CL2" s="28">
        <v>0</v>
      </c>
      <c r="CM2" s="28">
        <v>0</v>
      </c>
      <c r="CN2" s="28">
        <v>0</v>
      </c>
      <c r="CO2" s="28">
        <v>0</v>
      </c>
      <c r="CP2" s="28">
        <v>0</v>
      </c>
      <c r="CQ2" s="28">
        <v>0</v>
      </c>
      <c r="CR2" s="28">
        <v>0</v>
      </c>
      <c r="CS2" s="28">
        <v>0</v>
      </c>
      <c r="CT2" s="28">
        <v>0</v>
      </c>
      <c r="CU2" s="28">
        <v>0</v>
      </c>
      <c r="CV2" s="28">
        <v>0</v>
      </c>
      <c r="CW2" s="28">
        <v>0</v>
      </c>
      <c r="CX2" s="28">
        <v>0</v>
      </c>
      <c r="CY2" s="28">
        <v>0</v>
      </c>
      <c r="CZ2" s="28">
        <v>0</v>
      </c>
      <c r="DA2" s="28">
        <v>0</v>
      </c>
      <c r="DB2" s="28">
        <v>0</v>
      </c>
      <c r="DC2" s="28">
        <v>0</v>
      </c>
      <c r="DD2" s="28">
        <v>0</v>
      </c>
      <c r="DE2" s="28">
        <v>0</v>
      </c>
      <c r="DF2" s="28">
        <v>0</v>
      </c>
      <c r="DG2" s="28">
        <v>0</v>
      </c>
      <c r="DH2" s="28">
        <v>0</v>
      </c>
      <c r="DI2" s="28">
        <v>0</v>
      </c>
      <c r="DJ2" s="28">
        <v>0</v>
      </c>
      <c r="DK2" s="28">
        <v>0</v>
      </c>
      <c r="DL2" s="28">
        <v>0</v>
      </c>
      <c r="DM2" s="28">
        <v>0</v>
      </c>
      <c r="DN2" s="28">
        <v>0</v>
      </c>
      <c r="DO2" s="28">
        <v>0</v>
      </c>
      <c r="DP2" s="28">
        <v>0</v>
      </c>
      <c r="DQ2" s="28">
        <v>0</v>
      </c>
      <c r="DR2" s="28">
        <v>0</v>
      </c>
      <c r="DS2" s="28">
        <v>0</v>
      </c>
      <c r="DT2" s="28">
        <v>0</v>
      </c>
      <c r="DU2" s="28">
        <v>0</v>
      </c>
      <c r="DV2" s="28">
        <v>0</v>
      </c>
      <c r="DW2" s="28">
        <v>0</v>
      </c>
      <c r="DX2" s="34">
        <v>0</v>
      </c>
    </row>
    <row r="3" spans="1:128" x14ac:dyDescent="0.25">
      <c r="A3" s="24">
        <v>2</v>
      </c>
      <c r="B3" s="26">
        <v>0.5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  <c r="AR3" s="28">
        <v>0</v>
      </c>
      <c r="AS3" s="28">
        <v>0</v>
      </c>
      <c r="AT3" s="28">
        <v>0</v>
      </c>
      <c r="AU3" s="28">
        <v>0</v>
      </c>
      <c r="AV3" s="28">
        <v>0</v>
      </c>
      <c r="AW3" s="28">
        <v>0</v>
      </c>
      <c r="AX3" s="28">
        <v>0</v>
      </c>
      <c r="AY3" s="28">
        <v>0</v>
      </c>
      <c r="AZ3" s="28">
        <v>0</v>
      </c>
      <c r="BA3" s="28">
        <v>0</v>
      </c>
      <c r="BB3" s="28">
        <v>0</v>
      </c>
      <c r="BC3" s="28">
        <v>0</v>
      </c>
      <c r="BD3" s="28">
        <v>0</v>
      </c>
      <c r="BE3" s="28">
        <v>0</v>
      </c>
      <c r="BF3" s="28">
        <v>0</v>
      </c>
      <c r="BG3" s="28">
        <v>0</v>
      </c>
      <c r="BH3" s="28">
        <v>0</v>
      </c>
      <c r="BI3" s="28">
        <v>0</v>
      </c>
      <c r="BJ3" s="28">
        <v>0</v>
      </c>
      <c r="BK3" s="28">
        <v>0</v>
      </c>
      <c r="BL3" s="28">
        <v>0</v>
      </c>
      <c r="BM3" s="28">
        <v>0</v>
      </c>
      <c r="BN3" s="28">
        <v>0</v>
      </c>
      <c r="BO3" s="28">
        <v>0</v>
      </c>
      <c r="BP3" s="28">
        <v>0</v>
      </c>
      <c r="BQ3" s="28">
        <v>0</v>
      </c>
      <c r="BR3" s="28">
        <v>0</v>
      </c>
      <c r="BS3" s="28">
        <v>0</v>
      </c>
      <c r="BT3" s="28">
        <v>0</v>
      </c>
      <c r="BU3" s="28">
        <v>0</v>
      </c>
      <c r="BV3" s="28">
        <v>0</v>
      </c>
      <c r="BW3" s="28">
        <v>0</v>
      </c>
      <c r="BX3" s="28">
        <v>0</v>
      </c>
      <c r="BY3" s="28">
        <v>0</v>
      </c>
      <c r="BZ3" s="28">
        <v>0</v>
      </c>
      <c r="CA3" s="28">
        <v>0</v>
      </c>
      <c r="CB3" s="28">
        <v>0</v>
      </c>
      <c r="CC3" s="28">
        <v>0</v>
      </c>
      <c r="CD3" s="28">
        <v>0</v>
      </c>
      <c r="CE3" s="28">
        <v>0</v>
      </c>
      <c r="CF3" s="28">
        <v>0</v>
      </c>
      <c r="CG3" s="28">
        <v>0</v>
      </c>
      <c r="CH3" s="28">
        <v>0</v>
      </c>
      <c r="CI3" s="28">
        <v>0</v>
      </c>
      <c r="CJ3" s="28">
        <v>0</v>
      </c>
      <c r="CK3" s="28">
        <v>0</v>
      </c>
      <c r="CL3" s="28">
        <v>0</v>
      </c>
      <c r="CM3" s="28">
        <v>0</v>
      </c>
      <c r="CN3" s="28">
        <v>0</v>
      </c>
      <c r="CO3" s="28">
        <v>0</v>
      </c>
      <c r="CP3" s="28">
        <v>0</v>
      </c>
      <c r="CQ3" s="28">
        <v>0</v>
      </c>
      <c r="CR3" s="28">
        <v>0</v>
      </c>
      <c r="CS3" s="28">
        <v>0</v>
      </c>
      <c r="CT3" s="28">
        <v>0</v>
      </c>
      <c r="CU3" s="28">
        <v>0</v>
      </c>
      <c r="CV3" s="28">
        <v>0</v>
      </c>
      <c r="CW3" s="28">
        <v>0</v>
      </c>
      <c r="CX3" s="28">
        <v>0</v>
      </c>
      <c r="CY3" s="28">
        <v>0</v>
      </c>
      <c r="CZ3" s="28">
        <v>0</v>
      </c>
      <c r="DA3" s="28">
        <v>0</v>
      </c>
      <c r="DB3" s="28">
        <v>0</v>
      </c>
      <c r="DC3" s="28">
        <v>0</v>
      </c>
      <c r="DD3" s="28">
        <v>0</v>
      </c>
      <c r="DE3" s="28">
        <v>0</v>
      </c>
      <c r="DF3" s="28">
        <v>0</v>
      </c>
      <c r="DG3" s="28">
        <v>0</v>
      </c>
      <c r="DH3" s="28">
        <v>0</v>
      </c>
      <c r="DI3" s="28">
        <v>0</v>
      </c>
      <c r="DJ3" s="28">
        <v>0</v>
      </c>
      <c r="DK3" s="28">
        <v>0</v>
      </c>
      <c r="DL3" s="28">
        <v>0</v>
      </c>
      <c r="DM3" s="28">
        <v>0</v>
      </c>
      <c r="DN3" s="28">
        <v>0</v>
      </c>
      <c r="DO3" s="28">
        <v>0</v>
      </c>
      <c r="DP3" s="28">
        <v>0</v>
      </c>
      <c r="DQ3" s="28">
        <v>0</v>
      </c>
      <c r="DR3" s="28">
        <v>0</v>
      </c>
      <c r="DS3" s="28">
        <v>0</v>
      </c>
      <c r="DT3" s="28">
        <v>0</v>
      </c>
      <c r="DU3" s="28">
        <v>0</v>
      </c>
      <c r="DV3" s="28">
        <v>0</v>
      </c>
      <c r="DW3" s="28">
        <v>0</v>
      </c>
      <c r="DX3" s="34">
        <v>0</v>
      </c>
    </row>
    <row r="4" spans="1:128" x14ac:dyDescent="0.25">
      <c r="A4" s="24">
        <v>3</v>
      </c>
      <c r="B4" s="26">
        <v>1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0</v>
      </c>
      <c r="AR4" s="28">
        <v>0</v>
      </c>
      <c r="AS4" s="28">
        <v>0</v>
      </c>
      <c r="AT4" s="28">
        <v>0</v>
      </c>
      <c r="AU4" s="28">
        <v>0</v>
      </c>
      <c r="AV4" s="28">
        <v>0</v>
      </c>
      <c r="AW4" s="28">
        <v>0</v>
      </c>
      <c r="AX4" s="28">
        <v>0</v>
      </c>
      <c r="AY4" s="28">
        <v>0</v>
      </c>
      <c r="AZ4" s="28">
        <v>0</v>
      </c>
      <c r="BA4" s="28">
        <v>0</v>
      </c>
      <c r="BB4" s="28">
        <v>0</v>
      </c>
      <c r="BC4" s="28">
        <v>0</v>
      </c>
      <c r="BD4" s="28">
        <v>0</v>
      </c>
      <c r="BE4" s="28">
        <v>0</v>
      </c>
      <c r="BF4" s="28">
        <v>0</v>
      </c>
      <c r="BG4" s="28">
        <v>0</v>
      </c>
      <c r="BH4" s="28">
        <v>0</v>
      </c>
      <c r="BI4" s="28">
        <v>0</v>
      </c>
      <c r="BJ4" s="28">
        <v>0</v>
      </c>
      <c r="BK4" s="28">
        <v>0</v>
      </c>
      <c r="BL4" s="28">
        <v>0</v>
      </c>
      <c r="BM4" s="28">
        <v>0</v>
      </c>
      <c r="BN4" s="28">
        <v>0</v>
      </c>
      <c r="BO4" s="28">
        <v>0</v>
      </c>
      <c r="BP4" s="28">
        <v>0</v>
      </c>
      <c r="BQ4" s="28">
        <v>0</v>
      </c>
      <c r="BR4" s="28">
        <v>0</v>
      </c>
      <c r="BS4" s="28">
        <v>0</v>
      </c>
      <c r="BT4" s="28">
        <v>0</v>
      </c>
      <c r="BU4" s="28">
        <v>0</v>
      </c>
      <c r="BV4" s="28">
        <v>0</v>
      </c>
      <c r="BW4" s="28">
        <v>0</v>
      </c>
      <c r="BX4" s="28">
        <v>0</v>
      </c>
      <c r="BY4" s="28">
        <v>0</v>
      </c>
      <c r="BZ4" s="28">
        <v>0</v>
      </c>
      <c r="CA4" s="28">
        <v>0</v>
      </c>
      <c r="CB4" s="28">
        <v>0</v>
      </c>
      <c r="CC4" s="28">
        <v>0</v>
      </c>
      <c r="CD4" s="28">
        <v>0</v>
      </c>
      <c r="CE4" s="28">
        <v>0</v>
      </c>
      <c r="CF4" s="28">
        <v>0</v>
      </c>
      <c r="CG4" s="28">
        <v>0</v>
      </c>
      <c r="CH4" s="28">
        <v>0</v>
      </c>
      <c r="CI4" s="28">
        <v>0</v>
      </c>
      <c r="CJ4" s="28">
        <v>0</v>
      </c>
      <c r="CK4" s="28">
        <v>0</v>
      </c>
      <c r="CL4" s="28">
        <v>0</v>
      </c>
      <c r="CM4" s="28">
        <v>0</v>
      </c>
      <c r="CN4" s="28">
        <v>0</v>
      </c>
      <c r="CO4" s="28">
        <v>0</v>
      </c>
      <c r="CP4" s="28">
        <v>0</v>
      </c>
      <c r="CQ4" s="28">
        <v>0</v>
      </c>
      <c r="CR4" s="28">
        <v>0</v>
      </c>
      <c r="CS4" s="28">
        <v>0</v>
      </c>
      <c r="CT4" s="28">
        <v>0</v>
      </c>
      <c r="CU4" s="28">
        <v>0</v>
      </c>
      <c r="CV4" s="28">
        <v>0</v>
      </c>
      <c r="CW4" s="28">
        <v>0</v>
      </c>
      <c r="CX4" s="28">
        <v>0</v>
      </c>
      <c r="CY4" s="28">
        <v>0</v>
      </c>
      <c r="CZ4" s="28">
        <v>0</v>
      </c>
      <c r="DA4" s="28">
        <v>0</v>
      </c>
      <c r="DB4" s="28">
        <v>0</v>
      </c>
      <c r="DC4" s="28">
        <v>0</v>
      </c>
      <c r="DD4" s="28">
        <v>0</v>
      </c>
      <c r="DE4" s="28">
        <v>0</v>
      </c>
      <c r="DF4" s="28">
        <v>0</v>
      </c>
      <c r="DG4" s="28">
        <v>0</v>
      </c>
      <c r="DH4" s="28">
        <v>0</v>
      </c>
      <c r="DI4" s="28">
        <v>0</v>
      </c>
      <c r="DJ4" s="28">
        <v>0</v>
      </c>
      <c r="DK4" s="28">
        <v>0</v>
      </c>
      <c r="DL4" s="28">
        <v>0</v>
      </c>
      <c r="DM4" s="28">
        <v>0</v>
      </c>
      <c r="DN4" s="28">
        <v>0</v>
      </c>
      <c r="DO4" s="28">
        <v>0</v>
      </c>
      <c r="DP4" s="28">
        <v>0</v>
      </c>
      <c r="DQ4" s="28">
        <v>0</v>
      </c>
      <c r="DR4" s="28">
        <v>0</v>
      </c>
      <c r="DS4" s="28">
        <v>0</v>
      </c>
      <c r="DT4" s="28">
        <v>0</v>
      </c>
      <c r="DU4" s="28">
        <v>0</v>
      </c>
      <c r="DV4" s="28">
        <v>0</v>
      </c>
      <c r="DW4" s="28">
        <v>0</v>
      </c>
      <c r="DX4" s="34">
        <v>0</v>
      </c>
    </row>
    <row r="5" spans="1:128" x14ac:dyDescent="0.25">
      <c r="A5" s="24">
        <v>4</v>
      </c>
      <c r="B5" s="26">
        <v>1.5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  <c r="AR5" s="28">
        <v>0</v>
      </c>
      <c r="AS5" s="28">
        <v>0</v>
      </c>
      <c r="AT5" s="28">
        <v>0</v>
      </c>
      <c r="AU5" s="28">
        <v>0</v>
      </c>
      <c r="AV5" s="28">
        <v>0</v>
      </c>
      <c r="AW5" s="28">
        <v>0</v>
      </c>
      <c r="AX5" s="28">
        <v>0</v>
      </c>
      <c r="AY5" s="28">
        <v>0</v>
      </c>
      <c r="AZ5" s="28">
        <v>0</v>
      </c>
      <c r="BA5" s="28">
        <v>0</v>
      </c>
      <c r="BB5" s="28">
        <v>0</v>
      </c>
      <c r="BC5" s="28">
        <v>0</v>
      </c>
      <c r="BD5" s="28">
        <v>0</v>
      </c>
      <c r="BE5" s="28">
        <v>0</v>
      </c>
      <c r="BF5" s="28">
        <v>0</v>
      </c>
      <c r="BG5" s="28">
        <v>0</v>
      </c>
      <c r="BH5" s="28">
        <v>0</v>
      </c>
      <c r="BI5" s="28">
        <v>0</v>
      </c>
      <c r="BJ5" s="28">
        <v>0</v>
      </c>
      <c r="BK5" s="28">
        <v>0</v>
      </c>
      <c r="BL5" s="28">
        <v>0</v>
      </c>
      <c r="BM5" s="28">
        <v>0</v>
      </c>
      <c r="BN5" s="28">
        <v>0</v>
      </c>
      <c r="BO5" s="28">
        <v>0</v>
      </c>
      <c r="BP5" s="28">
        <v>0</v>
      </c>
      <c r="BQ5" s="28">
        <v>0</v>
      </c>
      <c r="BR5" s="28">
        <v>0</v>
      </c>
      <c r="BS5" s="28">
        <v>0</v>
      </c>
      <c r="BT5" s="28">
        <v>0</v>
      </c>
      <c r="BU5" s="28">
        <v>0</v>
      </c>
      <c r="BV5" s="28">
        <v>0</v>
      </c>
      <c r="BW5" s="28">
        <v>0</v>
      </c>
      <c r="BX5" s="28">
        <v>0</v>
      </c>
      <c r="BY5" s="28">
        <v>0</v>
      </c>
      <c r="BZ5" s="28">
        <v>0</v>
      </c>
      <c r="CA5" s="28">
        <v>0</v>
      </c>
      <c r="CB5" s="28">
        <v>0</v>
      </c>
      <c r="CC5" s="28">
        <v>0</v>
      </c>
      <c r="CD5" s="28">
        <v>0</v>
      </c>
      <c r="CE5" s="28">
        <v>0</v>
      </c>
      <c r="CF5" s="28">
        <v>0</v>
      </c>
      <c r="CG5" s="28">
        <v>0</v>
      </c>
      <c r="CH5" s="28">
        <v>0</v>
      </c>
      <c r="CI5" s="28">
        <v>0</v>
      </c>
      <c r="CJ5" s="28">
        <v>0</v>
      </c>
      <c r="CK5" s="28">
        <v>0</v>
      </c>
      <c r="CL5" s="28">
        <v>0</v>
      </c>
      <c r="CM5" s="28">
        <v>0</v>
      </c>
      <c r="CN5" s="28">
        <v>0</v>
      </c>
      <c r="CO5" s="28">
        <v>0</v>
      </c>
      <c r="CP5" s="28">
        <v>0</v>
      </c>
      <c r="CQ5" s="28">
        <v>0</v>
      </c>
      <c r="CR5" s="28">
        <v>0</v>
      </c>
      <c r="CS5" s="28">
        <v>0</v>
      </c>
      <c r="CT5" s="28">
        <v>0</v>
      </c>
      <c r="CU5" s="28">
        <v>0</v>
      </c>
      <c r="CV5" s="28">
        <v>0</v>
      </c>
      <c r="CW5" s="28">
        <v>0</v>
      </c>
      <c r="CX5" s="28">
        <v>0</v>
      </c>
      <c r="CY5" s="28">
        <v>0</v>
      </c>
      <c r="CZ5" s="28">
        <v>0</v>
      </c>
      <c r="DA5" s="28">
        <v>0</v>
      </c>
      <c r="DB5" s="28">
        <v>0</v>
      </c>
      <c r="DC5" s="28">
        <v>0</v>
      </c>
      <c r="DD5" s="28">
        <v>0</v>
      </c>
      <c r="DE5" s="28">
        <v>0</v>
      </c>
      <c r="DF5" s="28">
        <v>0</v>
      </c>
      <c r="DG5" s="28">
        <v>0</v>
      </c>
      <c r="DH5" s="28">
        <v>0</v>
      </c>
      <c r="DI5" s="28">
        <v>0</v>
      </c>
      <c r="DJ5" s="28">
        <v>0</v>
      </c>
      <c r="DK5" s="28">
        <v>0</v>
      </c>
      <c r="DL5" s="28">
        <v>0</v>
      </c>
      <c r="DM5" s="28">
        <v>0</v>
      </c>
      <c r="DN5" s="28">
        <v>0</v>
      </c>
      <c r="DO5" s="28">
        <v>0</v>
      </c>
      <c r="DP5" s="28">
        <v>0</v>
      </c>
      <c r="DQ5" s="28">
        <v>0</v>
      </c>
      <c r="DR5" s="28">
        <v>0</v>
      </c>
      <c r="DS5" s="28">
        <v>0</v>
      </c>
      <c r="DT5" s="28">
        <v>0</v>
      </c>
      <c r="DU5" s="28">
        <v>0</v>
      </c>
      <c r="DV5" s="28">
        <v>0</v>
      </c>
      <c r="DW5" s="28">
        <v>0</v>
      </c>
      <c r="DX5" s="34">
        <v>0</v>
      </c>
    </row>
    <row r="6" spans="1:128" x14ac:dyDescent="0.25">
      <c r="A6" s="24">
        <v>5</v>
      </c>
      <c r="B6" s="26">
        <v>2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8">
        <v>0</v>
      </c>
      <c r="AY6" s="28">
        <v>0</v>
      </c>
      <c r="AZ6" s="28">
        <v>0</v>
      </c>
      <c r="BA6" s="28">
        <v>0</v>
      </c>
      <c r="BB6" s="28">
        <v>0</v>
      </c>
      <c r="BC6" s="28">
        <v>0</v>
      </c>
      <c r="BD6" s="28">
        <v>0</v>
      </c>
      <c r="BE6" s="28">
        <v>0</v>
      </c>
      <c r="BF6" s="28">
        <v>0</v>
      </c>
      <c r="BG6" s="28">
        <v>0</v>
      </c>
      <c r="BH6" s="28">
        <v>0</v>
      </c>
      <c r="BI6" s="28">
        <v>0</v>
      </c>
      <c r="BJ6" s="28">
        <v>0</v>
      </c>
      <c r="BK6" s="28">
        <v>0</v>
      </c>
      <c r="BL6" s="28">
        <v>0</v>
      </c>
      <c r="BM6" s="28">
        <v>0</v>
      </c>
      <c r="BN6" s="28">
        <v>0</v>
      </c>
      <c r="BO6" s="28">
        <v>0</v>
      </c>
      <c r="BP6" s="28">
        <v>0</v>
      </c>
      <c r="BQ6" s="28">
        <v>0</v>
      </c>
      <c r="BR6" s="28">
        <v>0</v>
      </c>
      <c r="BS6" s="28">
        <v>0</v>
      </c>
      <c r="BT6" s="28">
        <v>0</v>
      </c>
      <c r="BU6" s="28">
        <v>0</v>
      </c>
      <c r="BV6" s="28">
        <v>0</v>
      </c>
      <c r="BW6" s="28">
        <v>0</v>
      </c>
      <c r="BX6" s="28">
        <v>0</v>
      </c>
      <c r="BY6" s="28">
        <v>0</v>
      </c>
      <c r="BZ6" s="28">
        <v>0</v>
      </c>
      <c r="CA6" s="28">
        <v>0</v>
      </c>
      <c r="CB6" s="28">
        <v>0</v>
      </c>
      <c r="CC6" s="28">
        <v>0</v>
      </c>
      <c r="CD6" s="28">
        <v>0</v>
      </c>
      <c r="CE6" s="28">
        <v>0</v>
      </c>
      <c r="CF6" s="28">
        <v>0</v>
      </c>
      <c r="CG6" s="28">
        <v>0</v>
      </c>
      <c r="CH6" s="28">
        <v>0</v>
      </c>
      <c r="CI6" s="28">
        <v>0</v>
      </c>
      <c r="CJ6" s="28">
        <v>0</v>
      </c>
      <c r="CK6" s="28">
        <v>0</v>
      </c>
      <c r="CL6" s="28">
        <v>0</v>
      </c>
      <c r="CM6" s="28">
        <v>0</v>
      </c>
      <c r="CN6" s="28">
        <v>0</v>
      </c>
      <c r="CO6" s="28">
        <v>0</v>
      </c>
      <c r="CP6" s="28">
        <v>0</v>
      </c>
      <c r="CQ6" s="28">
        <v>0</v>
      </c>
      <c r="CR6" s="28">
        <v>0</v>
      </c>
      <c r="CS6" s="28">
        <v>0</v>
      </c>
      <c r="CT6" s="28">
        <v>0</v>
      </c>
      <c r="CU6" s="28">
        <v>0</v>
      </c>
      <c r="CV6" s="28">
        <v>0</v>
      </c>
      <c r="CW6" s="28">
        <v>0</v>
      </c>
      <c r="CX6" s="28">
        <v>0</v>
      </c>
      <c r="CY6" s="28">
        <v>0</v>
      </c>
      <c r="CZ6" s="28">
        <v>0</v>
      </c>
      <c r="DA6" s="28">
        <v>0</v>
      </c>
      <c r="DB6" s="28">
        <v>0</v>
      </c>
      <c r="DC6" s="28">
        <v>0</v>
      </c>
      <c r="DD6" s="28">
        <v>0</v>
      </c>
      <c r="DE6" s="28">
        <v>0</v>
      </c>
      <c r="DF6" s="28">
        <v>0</v>
      </c>
      <c r="DG6" s="28">
        <v>0</v>
      </c>
      <c r="DH6" s="28">
        <v>0</v>
      </c>
      <c r="DI6" s="28">
        <v>0</v>
      </c>
      <c r="DJ6" s="28">
        <v>0</v>
      </c>
      <c r="DK6" s="28">
        <v>0</v>
      </c>
      <c r="DL6" s="28">
        <v>0</v>
      </c>
      <c r="DM6" s="28">
        <v>0</v>
      </c>
      <c r="DN6" s="28">
        <v>0</v>
      </c>
      <c r="DO6" s="28">
        <v>0</v>
      </c>
      <c r="DP6" s="28">
        <v>0</v>
      </c>
      <c r="DQ6" s="28">
        <v>0</v>
      </c>
      <c r="DR6" s="28">
        <v>0</v>
      </c>
      <c r="DS6" s="28">
        <v>0</v>
      </c>
      <c r="DT6" s="28">
        <v>0</v>
      </c>
      <c r="DU6" s="28">
        <v>0</v>
      </c>
      <c r="DV6" s="28">
        <v>0</v>
      </c>
      <c r="DW6" s="28">
        <v>0</v>
      </c>
      <c r="DX6" s="34">
        <v>0</v>
      </c>
    </row>
    <row r="7" spans="1:128" x14ac:dyDescent="0.25">
      <c r="A7" s="24">
        <v>6</v>
      </c>
      <c r="B7" s="26">
        <v>2.5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0</v>
      </c>
      <c r="AS7" s="28">
        <v>0</v>
      </c>
      <c r="AT7" s="28">
        <v>0</v>
      </c>
      <c r="AU7" s="28">
        <v>0</v>
      </c>
      <c r="AV7" s="28">
        <v>0</v>
      </c>
      <c r="AW7" s="28">
        <v>0</v>
      </c>
      <c r="AX7" s="28">
        <v>0</v>
      </c>
      <c r="AY7" s="28">
        <v>0</v>
      </c>
      <c r="AZ7" s="28">
        <v>0</v>
      </c>
      <c r="BA7" s="28">
        <v>0</v>
      </c>
      <c r="BB7" s="28">
        <v>0</v>
      </c>
      <c r="BC7" s="28">
        <v>0</v>
      </c>
      <c r="BD7" s="28">
        <v>0</v>
      </c>
      <c r="BE7" s="28">
        <v>0</v>
      </c>
      <c r="BF7" s="28">
        <v>0</v>
      </c>
      <c r="BG7" s="28">
        <v>0</v>
      </c>
      <c r="BH7" s="28">
        <v>0</v>
      </c>
      <c r="BI7" s="28">
        <v>0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  <c r="BQ7" s="28">
        <v>0</v>
      </c>
      <c r="BR7" s="28">
        <v>0</v>
      </c>
      <c r="BS7" s="28">
        <v>0</v>
      </c>
      <c r="BT7" s="28">
        <v>0</v>
      </c>
      <c r="BU7" s="28">
        <v>0</v>
      </c>
      <c r="BV7" s="28">
        <v>0</v>
      </c>
      <c r="BW7" s="28">
        <v>0</v>
      </c>
      <c r="BX7" s="28">
        <v>0</v>
      </c>
      <c r="BY7" s="28">
        <v>0</v>
      </c>
      <c r="BZ7" s="28">
        <v>0</v>
      </c>
      <c r="CA7" s="28">
        <v>0</v>
      </c>
      <c r="CB7" s="28">
        <v>0</v>
      </c>
      <c r="CC7" s="28">
        <v>0</v>
      </c>
      <c r="CD7" s="28">
        <v>0</v>
      </c>
      <c r="CE7" s="28">
        <v>0</v>
      </c>
      <c r="CF7" s="28">
        <v>0</v>
      </c>
      <c r="CG7" s="28">
        <v>0</v>
      </c>
      <c r="CH7" s="28">
        <v>0</v>
      </c>
      <c r="CI7" s="28">
        <v>0</v>
      </c>
      <c r="CJ7" s="28">
        <v>0</v>
      </c>
      <c r="CK7" s="28">
        <v>0</v>
      </c>
      <c r="CL7" s="28">
        <v>0</v>
      </c>
      <c r="CM7" s="28">
        <v>0</v>
      </c>
      <c r="CN7" s="28">
        <v>0</v>
      </c>
      <c r="CO7" s="28">
        <v>0</v>
      </c>
      <c r="CP7" s="28">
        <v>0</v>
      </c>
      <c r="CQ7" s="28">
        <v>0</v>
      </c>
      <c r="CR7" s="28">
        <v>0</v>
      </c>
      <c r="CS7" s="28">
        <v>0</v>
      </c>
      <c r="CT7" s="28">
        <v>0</v>
      </c>
      <c r="CU7" s="28">
        <v>0</v>
      </c>
      <c r="CV7" s="28">
        <v>0</v>
      </c>
      <c r="CW7" s="28">
        <v>0</v>
      </c>
      <c r="CX7" s="28">
        <v>0</v>
      </c>
      <c r="CY7" s="28">
        <v>0</v>
      </c>
      <c r="CZ7" s="28">
        <v>0</v>
      </c>
      <c r="DA7" s="28">
        <v>0</v>
      </c>
      <c r="DB7" s="28">
        <v>0</v>
      </c>
      <c r="DC7" s="28">
        <v>0</v>
      </c>
      <c r="DD7" s="28">
        <v>0</v>
      </c>
      <c r="DE7" s="28">
        <v>0</v>
      </c>
      <c r="DF7" s="28">
        <v>0</v>
      </c>
      <c r="DG7" s="28">
        <v>0</v>
      </c>
      <c r="DH7" s="28">
        <v>0</v>
      </c>
      <c r="DI7" s="28">
        <v>0</v>
      </c>
      <c r="DJ7" s="28">
        <v>0</v>
      </c>
      <c r="DK7" s="28">
        <v>0</v>
      </c>
      <c r="DL7" s="28">
        <v>0</v>
      </c>
      <c r="DM7" s="28">
        <v>0</v>
      </c>
      <c r="DN7" s="28">
        <v>0</v>
      </c>
      <c r="DO7" s="28">
        <v>0</v>
      </c>
      <c r="DP7" s="28">
        <v>0</v>
      </c>
      <c r="DQ7" s="28">
        <v>0</v>
      </c>
      <c r="DR7" s="28">
        <v>0</v>
      </c>
      <c r="DS7" s="28">
        <v>0</v>
      </c>
      <c r="DT7" s="28">
        <v>0</v>
      </c>
      <c r="DU7" s="28">
        <v>0</v>
      </c>
      <c r="DV7" s="28">
        <v>0</v>
      </c>
      <c r="DW7" s="28">
        <v>0</v>
      </c>
      <c r="DX7" s="34">
        <v>0</v>
      </c>
    </row>
    <row r="8" spans="1:128" x14ac:dyDescent="0.25">
      <c r="A8" s="24">
        <v>7</v>
      </c>
      <c r="B8" s="26">
        <v>3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0</v>
      </c>
      <c r="BD8" s="28">
        <v>0</v>
      </c>
      <c r="BE8" s="28">
        <v>0</v>
      </c>
      <c r="BF8" s="2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28">
        <v>0</v>
      </c>
      <c r="CG8" s="28">
        <v>0</v>
      </c>
      <c r="CH8" s="28">
        <v>0</v>
      </c>
      <c r="CI8" s="28">
        <v>0</v>
      </c>
      <c r="CJ8" s="28">
        <v>0</v>
      </c>
      <c r="CK8" s="28">
        <v>0</v>
      </c>
      <c r="CL8" s="28">
        <v>0</v>
      </c>
      <c r="CM8" s="28">
        <v>0</v>
      </c>
      <c r="CN8" s="28">
        <v>0</v>
      </c>
      <c r="CO8" s="28">
        <v>0</v>
      </c>
      <c r="CP8" s="28">
        <v>0</v>
      </c>
      <c r="CQ8" s="28">
        <v>0</v>
      </c>
      <c r="CR8" s="28">
        <v>0</v>
      </c>
      <c r="CS8" s="28">
        <v>0</v>
      </c>
      <c r="CT8" s="28">
        <v>0</v>
      </c>
      <c r="CU8" s="28">
        <v>0</v>
      </c>
      <c r="CV8" s="28">
        <v>0</v>
      </c>
      <c r="CW8" s="28">
        <v>0</v>
      </c>
      <c r="CX8" s="28">
        <v>0</v>
      </c>
      <c r="CY8" s="28">
        <v>0</v>
      </c>
      <c r="CZ8" s="28">
        <v>0</v>
      </c>
      <c r="DA8" s="28">
        <v>0</v>
      </c>
      <c r="DB8" s="28">
        <v>0</v>
      </c>
      <c r="DC8" s="28">
        <v>0</v>
      </c>
      <c r="DD8" s="28">
        <v>0</v>
      </c>
      <c r="DE8" s="28">
        <v>0</v>
      </c>
      <c r="DF8" s="28">
        <v>0</v>
      </c>
      <c r="DG8" s="28">
        <v>0</v>
      </c>
      <c r="DH8" s="28">
        <v>0</v>
      </c>
      <c r="DI8" s="28">
        <v>0</v>
      </c>
      <c r="DJ8" s="28">
        <v>0</v>
      </c>
      <c r="DK8" s="28">
        <v>0</v>
      </c>
      <c r="DL8" s="28">
        <v>0</v>
      </c>
      <c r="DM8" s="28">
        <v>0</v>
      </c>
      <c r="DN8" s="28">
        <v>0</v>
      </c>
      <c r="DO8" s="28">
        <v>0</v>
      </c>
      <c r="DP8" s="28">
        <v>0</v>
      </c>
      <c r="DQ8" s="28">
        <v>0</v>
      </c>
      <c r="DR8" s="28">
        <v>0</v>
      </c>
      <c r="DS8" s="28">
        <v>0</v>
      </c>
      <c r="DT8" s="28">
        <v>0</v>
      </c>
      <c r="DU8" s="28">
        <v>0</v>
      </c>
      <c r="DV8" s="28">
        <v>0</v>
      </c>
      <c r="DW8" s="28">
        <v>0</v>
      </c>
      <c r="DX8" s="34">
        <v>0</v>
      </c>
    </row>
    <row r="9" spans="1:128" x14ac:dyDescent="0.25">
      <c r="A9" s="24">
        <v>8</v>
      </c>
      <c r="B9" s="26">
        <v>3.5</v>
      </c>
      <c r="C9" s="28">
        <v>1.720401733333334E-3</v>
      </c>
      <c r="D9" s="28">
        <v>2.1505021666666682E-3</v>
      </c>
      <c r="E9" s="28">
        <v>2.1505021666666682E-3</v>
      </c>
      <c r="F9" s="28">
        <v>1.720401733333334E-3</v>
      </c>
      <c r="G9" s="28">
        <v>3.4408034666666681E-3</v>
      </c>
      <c r="H9" s="28">
        <v>3.4408034666666681E-3</v>
      </c>
      <c r="I9" s="28">
        <v>3.4408034666666681E-3</v>
      </c>
      <c r="J9" s="28">
        <v>2.5806026000000011E-3</v>
      </c>
      <c r="K9" s="28">
        <v>1.720401733333334E-3</v>
      </c>
      <c r="L9" s="28">
        <v>2.5806026000000011E-3</v>
      </c>
      <c r="M9" s="28">
        <v>3.4408034666666681E-3</v>
      </c>
      <c r="N9" s="28">
        <v>3.4408034666666681E-3</v>
      </c>
      <c r="O9" s="28">
        <v>3.4408034666666681E-3</v>
      </c>
      <c r="P9" s="28">
        <v>3.0107030333333339E-3</v>
      </c>
      <c r="Q9" s="28">
        <v>1.720401733333334E-3</v>
      </c>
      <c r="R9" s="28">
        <v>1.290301300000001E-3</v>
      </c>
      <c r="S9" s="28">
        <v>1.720401733333334E-3</v>
      </c>
      <c r="T9" s="28">
        <v>8.6020086666666702E-4</v>
      </c>
      <c r="U9" s="28">
        <v>3.4408034666666681E-3</v>
      </c>
      <c r="V9" s="28">
        <v>3.4408034666666681E-3</v>
      </c>
      <c r="W9" s="28">
        <v>1.720401733333334E-3</v>
      </c>
      <c r="X9" s="28">
        <v>2.1505021666666682E-3</v>
      </c>
      <c r="Y9" s="28">
        <v>2.5806026000000011E-3</v>
      </c>
      <c r="Z9" s="28">
        <v>3.4408034666666681E-3</v>
      </c>
      <c r="AA9" s="28">
        <v>3.0107030333333339E-3</v>
      </c>
      <c r="AB9" s="28">
        <v>2.1505021666666682E-3</v>
      </c>
      <c r="AC9" s="28">
        <v>3.4408034666666681E-3</v>
      </c>
      <c r="AD9" s="28">
        <v>3.4408034666666681E-3</v>
      </c>
      <c r="AE9" s="28">
        <v>3.4408034666666681E-3</v>
      </c>
      <c r="AF9" s="28">
        <v>2.5806026000000011E-3</v>
      </c>
      <c r="AG9" s="28">
        <v>2.1505021666666682E-3</v>
      </c>
      <c r="AH9" s="28">
        <v>3.4408034666666681E-3</v>
      </c>
      <c r="AI9" s="28">
        <v>3.0107030333333339E-3</v>
      </c>
      <c r="AJ9" s="28">
        <v>3.0107030333333339E-3</v>
      </c>
      <c r="AK9" s="28">
        <v>2.5806026000000011E-3</v>
      </c>
      <c r="AL9" s="28">
        <v>2.1505021666666682E-3</v>
      </c>
      <c r="AM9" s="28">
        <v>1.720401733333334E-3</v>
      </c>
      <c r="AN9" s="28">
        <v>3.4408034666666681E-3</v>
      </c>
      <c r="AO9" s="28">
        <v>3.4408034666666681E-3</v>
      </c>
      <c r="AP9" s="28">
        <v>3.0107030333333339E-3</v>
      </c>
      <c r="AQ9" s="28">
        <v>3.0107030333333339E-3</v>
      </c>
      <c r="AR9" s="28">
        <v>3.4408034666666681E-3</v>
      </c>
      <c r="AS9" s="28">
        <v>3.4408034666666681E-3</v>
      </c>
      <c r="AT9" s="28">
        <v>1.720401733333334E-3</v>
      </c>
      <c r="AU9" s="28">
        <v>3.4408034666666681E-3</v>
      </c>
      <c r="AV9" s="28">
        <v>3.0107030333333339E-3</v>
      </c>
      <c r="AW9" s="28">
        <v>3.4408034666666681E-3</v>
      </c>
      <c r="AX9" s="28">
        <v>2.1505021666666682E-3</v>
      </c>
      <c r="AY9" s="28">
        <v>3.4408034666666681E-3</v>
      </c>
      <c r="AZ9" s="28">
        <v>2.5806026000000011E-3</v>
      </c>
      <c r="BA9" s="28">
        <v>2.5806026000000011E-3</v>
      </c>
      <c r="BB9" s="28">
        <v>3.4408034666666681E-3</v>
      </c>
      <c r="BC9" s="28">
        <v>3.4408034666666681E-3</v>
      </c>
      <c r="BD9" s="28">
        <v>1.290301300000001E-3</v>
      </c>
      <c r="BE9" s="28">
        <v>3.4408034666666681E-3</v>
      </c>
      <c r="BF9" s="28">
        <v>2.1505021666666682E-3</v>
      </c>
      <c r="BG9" s="28">
        <v>1.290301300000001E-3</v>
      </c>
      <c r="BH9" s="28">
        <v>1.720401733333334E-3</v>
      </c>
      <c r="BI9" s="28">
        <v>3.4408034666666681E-3</v>
      </c>
      <c r="BJ9" s="28">
        <v>1.720401733333334E-3</v>
      </c>
      <c r="BK9" s="28">
        <v>3.0107030333333339E-3</v>
      </c>
      <c r="BL9" s="28">
        <v>3.0107030333333339E-3</v>
      </c>
      <c r="BM9" s="28">
        <v>1.720401733333334E-3</v>
      </c>
      <c r="BN9" s="28">
        <v>1.290301300000001E-3</v>
      </c>
      <c r="BO9" s="28">
        <v>3.0107030333333339E-3</v>
      </c>
      <c r="BP9" s="28">
        <v>2.5806026000000011E-3</v>
      </c>
      <c r="BQ9" s="28">
        <v>3.4408034666666681E-3</v>
      </c>
      <c r="BR9" s="28">
        <v>3.0107030333333339E-3</v>
      </c>
      <c r="BS9" s="28">
        <v>1.720401733333334E-3</v>
      </c>
      <c r="BT9" s="28">
        <v>2.5806026000000011E-3</v>
      </c>
      <c r="BU9" s="28">
        <v>3.4408034666666681E-3</v>
      </c>
      <c r="BV9" s="28">
        <v>2.5806026000000011E-3</v>
      </c>
      <c r="BW9" s="28">
        <v>3.4408034666666681E-3</v>
      </c>
      <c r="BX9" s="28">
        <v>3.0107030333333339E-3</v>
      </c>
      <c r="BY9" s="28">
        <v>3.4408034666666681E-3</v>
      </c>
      <c r="BZ9" s="28">
        <v>2.5806026000000011E-3</v>
      </c>
      <c r="CA9" s="28">
        <v>3.4408034666666681E-3</v>
      </c>
      <c r="CB9" s="28">
        <v>2.5806026000000011E-3</v>
      </c>
      <c r="CC9" s="28">
        <v>3.4408034666666681E-3</v>
      </c>
      <c r="CD9" s="28">
        <v>2.5806026000000011E-3</v>
      </c>
      <c r="CE9" s="28">
        <v>2.1505021666666682E-3</v>
      </c>
      <c r="CF9" s="28">
        <v>3.4408034666666681E-3</v>
      </c>
      <c r="CG9" s="28">
        <v>3.4408034666666681E-3</v>
      </c>
      <c r="CH9" s="28">
        <v>3.4408034666666681E-3</v>
      </c>
      <c r="CI9" s="28">
        <v>1.290301300000001E-3</v>
      </c>
      <c r="CJ9" s="28">
        <v>3.0107030333333339E-3</v>
      </c>
      <c r="CK9" s="28">
        <v>2.1505021666666682E-3</v>
      </c>
      <c r="CL9" s="28">
        <v>2.5806026000000011E-3</v>
      </c>
      <c r="CM9" s="28">
        <v>2.5806026000000011E-3</v>
      </c>
      <c r="CN9" s="28">
        <v>1.720401733333334E-3</v>
      </c>
      <c r="CO9" s="28">
        <v>2.5806026000000011E-3</v>
      </c>
      <c r="CP9" s="28">
        <v>3.4408034666666681E-3</v>
      </c>
      <c r="CQ9" s="28">
        <v>1.720401733333334E-3</v>
      </c>
      <c r="CR9" s="28">
        <v>1.290301300000001E-3</v>
      </c>
      <c r="CS9" s="28">
        <v>3.4408034666666681E-3</v>
      </c>
      <c r="CT9" s="28">
        <v>3.0107030333333339E-3</v>
      </c>
      <c r="CU9" s="28">
        <v>3.0107030333333339E-3</v>
      </c>
      <c r="CV9" s="28">
        <v>3.0107030333333339E-3</v>
      </c>
      <c r="CW9" s="28">
        <v>1.290301300000001E-3</v>
      </c>
      <c r="CX9" s="28">
        <v>1.290301300000001E-3</v>
      </c>
      <c r="CY9" s="28">
        <v>3.4408034666666681E-3</v>
      </c>
      <c r="CZ9" s="28">
        <v>1.720401733333334E-3</v>
      </c>
      <c r="DA9" s="28">
        <v>3.4408034666666681E-3</v>
      </c>
      <c r="DB9" s="28">
        <v>2.1505021666666682E-3</v>
      </c>
      <c r="DC9" s="28">
        <v>1.290301300000001E-3</v>
      </c>
      <c r="DD9" s="28">
        <v>1.720401733333334E-3</v>
      </c>
      <c r="DE9" s="28">
        <v>1.720401733333334E-3</v>
      </c>
      <c r="DF9" s="28">
        <v>3.0107030333333339E-3</v>
      </c>
      <c r="DG9" s="28">
        <v>3.4408034666666681E-3</v>
      </c>
      <c r="DH9" s="28">
        <v>3.4408034666666681E-3</v>
      </c>
      <c r="DI9" s="28">
        <v>3.0107030333333339E-3</v>
      </c>
      <c r="DJ9" s="28">
        <v>3.4408034666666681E-3</v>
      </c>
      <c r="DK9" s="28">
        <v>3.0107030333333339E-3</v>
      </c>
      <c r="DL9" s="28">
        <v>2.5806026000000011E-3</v>
      </c>
      <c r="DM9" s="28">
        <v>3.4408034666666681E-3</v>
      </c>
      <c r="DN9" s="28">
        <v>3.4408034666666681E-3</v>
      </c>
      <c r="DO9" s="28">
        <v>3.4408034666666681E-3</v>
      </c>
      <c r="DP9" s="28">
        <v>2.1505021666666682E-3</v>
      </c>
      <c r="DQ9" s="28">
        <v>2.1505021666666682E-3</v>
      </c>
      <c r="DR9" s="28">
        <v>3.4408034666666681E-3</v>
      </c>
      <c r="DS9" s="28">
        <v>1.720401733333334E-3</v>
      </c>
      <c r="DT9" s="28">
        <v>1.720401733333334E-3</v>
      </c>
      <c r="DU9" s="28">
        <v>1.720401733333334E-3</v>
      </c>
      <c r="DV9" s="28">
        <v>8.6020086666666702E-4</v>
      </c>
      <c r="DW9" s="28">
        <v>2.6465050857526879E-3</v>
      </c>
      <c r="DX9" s="34">
        <v>0.32816663063333329</v>
      </c>
    </row>
    <row r="10" spans="1:128" x14ac:dyDescent="0.25">
      <c r="A10" s="24">
        <v>9</v>
      </c>
      <c r="B10" s="26">
        <v>4</v>
      </c>
      <c r="C10" s="28">
        <v>2.4867246266666601E-2</v>
      </c>
      <c r="D10" s="28">
        <v>3.1084057833333251E-2</v>
      </c>
      <c r="E10" s="28">
        <v>3.1084057833333251E-2</v>
      </c>
      <c r="F10" s="28">
        <v>2.4867246266666601E-2</v>
      </c>
      <c r="G10" s="28">
        <v>4.9734492533333202E-2</v>
      </c>
      <c r="H10" s="28">
        <v>4.9734492533333202E-2</v>
      </c>
      <c r="I10" s="28">
        <v>4.9734492533333202E-2</v>
      </c>
      <c r="J10" s="28">
        <v>3.7300869399999902E-2</v>
      </c>
      <c r="K10" s="28">
        <v>2.4867246266666601E-2</v>
      </c>
      <c r="L10" s="28">
        <v>3.7300869399999902E-2</v>
      </c>
      <c r="M10" s="28">
        <v>4.9734492533333202E-2</v>
      </c>
      <c r="N10" s="28">
        <v>4.9734492533333202E-2</v>
      </c>
      <c r="O10" s="28">
        <v>4.9734492533333202E-2</v>
      </c>
      <c r="P10" s="28">
        <v>4.3517680966666562E-2</v>
      </c>
      <c r="Q10" s="28">
        <v>2.4867246266666601E-2</v>
      </c>
      <c r="R10" s="28">
        <v>1.8650434699999951E-2</v>
      </c>
      <c r="S10" s="28">
        <v>2.4867246266666601E-2</v>
      </c>
      <c r="T10" s="28">
        <v>1.2433623133333301E-2</v>
      </c>
      <c r="U10" s="28">
        <v>4.9734492533333202E-2</v>
      </c>
      <c r="V10" s="28">
        <v>4.9734492533333202E-2</v>
      </c>
      <c r="W10" s="28">
        <v>2.4867246266666601E-2</v>
      </c>
      <c r="X10" s="28">
        <v>3.1084057833333251E-2</v>
      </c>
      <c r="Y10" s="28">
        <v>3.7300869399999902E-2</v>
      </c>
      <c r="Z10" s="28">
        <v>4.9734492533333202E-2</v>
      </c>
      <c r="AA10" s="28">
        <v>4.3517680966666562E-2</v>
      </c>
      <c r="AB10" s="28">
        <v>3.1084057833333251E-2</v>
      </c>
      <c r="AC10" s="28">
        <v>4.9734492533333202E-2</v>
      </c>
      <c r="AD10" s="28">
        <v>4.9734492533333202E-2</v>
      </c>
      <c r="AE10" s="28">
        <v>4.9734492533333202E-2</v>
      </c>
      <c r="AF10" s="28">
        <v>3.7300869399999902E-2</v>
      </c>
      <c r="AG10" s="28">
        <v>3.1084057833333251E-2</v>
      </c>
      <c r="AH10" s="28">
        <v>4.9734492533333202E-2</v>
      </c>
      <c r="AI10" s="28">
        <v>4.3517680966666562E-2</v>
      </c>
      <c r="AJ10" s="28">
        <v>4.3517680966666562E-2</v>
      </c>
      <c r="AK10" s="28">
        <v>3.7300869399999902E-2</v>
      </c>
      <c r="AL10" s="28">
        <v>3.1084057833333251E-2</v>
      </c>
      <c r="AM10" s="28">
        <v>2.4867246266666601E-2</v>
      </c>
      <c r="AN10" s="28">
        <v>4.9734492533333202E-2</v>
      </c>
      <c r="AO10" s="28">
        <v>4.9734492533333202E-2</v>
      </c>
      <c r="AP10" s="28">
        <v>4.3517680966666562E-2</v>
      </c>
      <c r="AQ10" s="28">
        <v>4.3517680966666562E-2</v>
      </c>
      <c r="AR10" s="28">
        <v>4.9734492533333202E-2</v>
      </c>
      <c r="AS10" s="28">
        <v>4.9734492533333202E-2</v>
      </c>
      <c r="AT10" s="28">
        <v>2.4867246266666601E-2</v>
      </c>
      <c r="AU10" s="28">
        <v>4.9734492533333202E-2</v>
      </c>
      <c r="AV10" s="28">
        <v>4.3517680966666562E-2</v>
      </c>
      <c r="AW10" s="28">
        <v>4.9734492533333202E-2</v>
      </c>
      <c r="AX10" s="28">
        <v>3.1084057833333251E-2</v>
      </c>
      <c r="AY10" s="28">
        <v>4.9734492533333202E-2</v>
      </c>
      <c r="AZ10" s="28">
        <v>3.7300869399999902E-2</v>
      </c>
      <c r="BA10" s="28">
        <v>3.7300869399999902E-2</v>
      </c>
      <c r="BB10" s="28">
        <v>4.9734492533333202E-2</v>
      </c>
      <c r="BC10" s="28">
        <v>4.9734492533333202E-2</v>
      </c>
      <c r="BD10" s="28">
        <v>1.8650434699999951E-2</v>
      </c>
      <c r="BE10" s="28">
        <v>4.9734492533333202E-2</v>
      </c>
      <c r="BF10" s="28">
        <v>3.1084057833333251E-2</v>
      </c>
      <c r="BG10" s="28">
        <v>1.8650434699999951E-2</v>
      </c>
      <c r="BH10" s="28">
        <v>2.4867246266666601E-2</v>
      </c>
      <c r="BI10" s="28">
        <v>4.9734492533333202E-2</v>
      </c>
      <c r="BJ10" s="28">
        <v>2.4867246266666601E-2</v>
      </c>
      <c r="BK10" s="28">
        <v>4.3517680966666562E-2</v>
      </c>
      <c r="BL10" s="28">
        <v>4.3517680966666562E-2</v>
      </c>
      <c r="BM10" s="28">
        <v>2.4867246266666601E-2</v>
      </c>
      <c r="BN10" s="28">
        <v>1.8650434699999951E-2</v>
      </c>
      <c r="BO10" s="28">
        <v>4.3517680966666562E-2</v>
      </c>
      <c r="BP10" s="28">
        <v>3.7300869399999902E-2</v>
      </c>
      <c r="BQ10" s="28">
        <v>4.9734492533333202E-2</v>
      </c>
      <c r="BR10" s="28">
        <v>4.3517680966666562E-2</v>
      </c>
      <c r="BS10" s="28">
        <v>2.4867246266666601E-2</v>
      </c>
      <c r="BT10" s="28">
        <v>3.7300869399999902E-2</v>
      </c>
      <c r="BU10" s="28">
        <v>4.9734492533333202E-2</v>
      </c>
      <c r="BV10" s="28">
        <v>3.7300869399999902E-2</v>
      </c>
      <c r="BW10" s="28">
        <v>4.9734492533333202E-2</v>
      </c>
      <c r="BX10" s="28">
        <v>4.3517680966666562E-2</v>
      </c>
      <c r="BY10" s="28">
        <v>4.9734492533333202E-2</v>
      </c>
      <c r="BZ10" s="28">
        <v>3.7300869399999902E-2</v>
      </c>
      <c r="CA10" s="28">
        <v>4.9734492533333202E-2</v>
      </c>
      <c r="CB10" s="28">
        <v>3.7300869399999902E-2</v>
      </c>
      <c r="CC10" s="28">
        <v>4.9734492533333202E-2</v>
      </c>
      <c r="CD10" s="28">
        <v>3.7300869399999902E-2</v>
      </c>
      <c r="CE10" s="28">
        <v>3.1084057833333251E-2</v>
      </c>
      <c r="CF10" s="28">
        <v>4.9734492533333202E-2</v>
      </c>
      <c r="CG10" s="28">
        <v>4.9734492533333202E-2</v>
      </c>
      <c r="CH10" s="28">
        <v>4.9734492533333202E-2</v>
      </c>
      <c r="CI10" s="28">
        <v>1.8650434699999951E-2</v>
      </c>
      <c r="CJ10" s="28">
        <v>4.3517680966666562E-2</v>
      </c>
      <c r="CK10" s="28">
        <v>3.1084057833333251E-2</v>
      </c>
      <c r="CL10" s="28">
        <v>3.7300869399999902E-2</v>
      </c>
      <c r="CM10" s="28">
        <v>3.7300869399999902E-2</v>
      </c>
      <c r="CN10" s="28">
        <v>2.4867246266666601E-2</v>
      </c>
      <c r="CO10" s="28">
        <v>3.7300869399999902E-2</v>
      </c>
      <c r="CP10" s="28">
        <v>4.9734492533333202E-2</v>
      </c>
      <c r="CQ10" s="28">
        <v>2.4867246266666601E-2</v>
      </c>
      <c r="CR10" s="28">
        <v>1.8650434699999951E-2</v>
      </c>
      <c r="CS10" s="28">
        <v>4.9734492533333202E-2</v>
      </c>
      <c r="CT10" s="28">
        <v>4.3517680966666562E-2</v>
      </c>
      <c r="CU10" s="28">
        <v>4.3517680966666562E-2</v>
      </c>
      <c r="CV10" s="28">
        <v>4.3517680966666562E-2</v>
      </c>
      <c r="CW10" s="28">
        <v>1.8650434699999951E-2</v>
      </c>
      <c r="CX10" s="28">
        <v>1.8650434699999951E-2</v>
      </c>
      <c r="CY10" s="28">
        <v>4.9734492533333202E-2</v>
      </c>
      <c r="CZ10" s="28">
        <v>2.4867246266666601E-2</v>
      </c>
      <c r="DA10" s="28">
        <v>4.9734492533333202E-2</v>
      </c>
      <c r="DB10" s="28">
        <v>3.1084057833333251E-2</v>
      </c>
      <c r="DC10" s="28">
        <v>1.8650434699999951E-2</v>
      </c>
      <c r="DD10" s="28">
        <v>2.4867246266666601E-2</v>
      </c>
      <c r="DE10" s="28">
        <v>2.4867246266666601E-2</v>
      </c>
      <c r="DF10" s="28">
        <v>4.3517680966666562E-2</v>
      </c>
      <c r="DG10" s="28">
        <v>4.9734492533333202E-2</v>
      </c>
      <c r="DH10" s="28">
        <v>4.9734492533333202E-2</v>
      </c>
      <c r="DI10" s="28">
        <v>4.3517680966666562E-2</v>
      </c>
      <c r="DJ10" s="28">
        <v>4.9734492533333202E-2</v>
      </c>
      <c r="DK10" s="28">
        <v>4.3517680966666562E-2</v>
      </c>
      <c r="DL10" s="28">
        <v>3.7300869399999902E-2</v>
      </c>
      <c r="DM10" s="28">
        <v>4.9734492533333202E-2</v>
      </c>
      <c r="DN10" s="28">
        <v>4.9734492533333202E-2</v>
      </c>
      <c r="DO10" s="28">
        <v>4.9734492533333202E-2</v>
      </c>
      <c r="DP10" s="28">
        <v>3.1084057833333251E-2</v>
      </c>
      <c r="DQ10" s="28">
        <v>3.1084057833333251E-2</v>
      </c>
      <c r="DR10" s="28">
        <v>4.9734492533333202E-2</v>
      </c>
      <c r="DS10" s="28">
        <v>2.4867246266666601E-2</v>
      </c>
      <c r="DT10" s="28">
        <v>2.4867246266666601E-2</v>
      </c>
      <c r="DU10" s="28">
        <v>2.4867246266666601E-2</v>
      </c>
      <c r="DV10" s="28">
        <v>1.2433623133333301E-2</v>
      </c>
      <c r="DW10" s="28">
        <v>3.8253445365860152E-2</v>
      </c>
      <c r="DX10" s="34">
        <v>4.7434272253666592</v>
      </c>
    </row>
    <row r="11" spans="1:128" x14ac:dyDescent="0.25">
      <c r="A11" s="24">
        <v>10</v>
      </c>
      <c r="B11" s="26">
        <v>4.5</v>
      </c>
      <c r="C11" s="28">
        <v>0.1162867786</v>
      </c>
      <c r="D11" s="28">
        <v>0.14535847325000001</v>
      </c>
      <c r="E11" s="28">
        <v>0.14535847325000001</v>
      </c>
      <c r="F11" s="28">
        <v>0.1162867786</v>
      </c>
      <c r="G11" s="28">
        <v>0.2325735572</v>
      </c>
      <c r="H11" s="28">
        <v>0.2325735572</v>
      </c>
      <c r="I11" s="28">
        <v>0.2325735572</v>
      </c>
      <c r="J11" s="28">
        <v>0.17443016789999999</v>
      </c>
      <c r="K11" s="28">
        <v>0.1162867786</v>
      </c>
      <c r="L11" s="28">
        <v>0.17443016789999999</v>
      </c>
      <c r="M11" s="28">
        <v>0.2325735572</v>
      </c>
      <c r="N11" s="28">
        <v>0.2325735572</v>
      </c>
      <c r="O11" s="28">
        <v>0.2325735572</v>
      </c>
      <c r="P11" s="28">
        <v>0.20350186255</v>
      </c>
      <c r="Q11" s="28">
        <v>0.1162867786</v>
      </c>
      <c r="R11" s="28">
        <v>8.7215083949999994E-2</v>
      </c>
      <c r="S11" s="28">
        <v>0.1162867786</v>
      </c>
      <c r="T11" s="28">
        <v>5.8143389300000001E-2</v>
      </c>
      <c r="U11" s="28">
        <v>0.2325735572</v>
      </c>
      <c r="V11" s="28">
        <v>0.2325735572</v>
      </c>
      <c r="W11" s="28">
        <v>0.1162867786</v>
      </c>
      <c r="X11" s="28">
        <v>0.14535847325000001</v>
      </c>
      <c r="Y11" s="28">
        <v>0.17443016789999999</v>
      </c>
      <c r="Z11" s="28">
        <v>0.2325735572</v>
      </c>
      <c r="AA11" s="28">
        <v>0.20350186255</v>
      </c>
      <c r="AB11" s="28">
        <v>0.14535847325000001</v>
      </c>
      <c r="AC11" s="28">
        <v>0.2325735572</v>
      </c>
      <c r="AD11" s="28">
        <v>0.2325735572</v>
      </c>
      <c r="AE11" s="28">
        <v>0.2325735572</v>
      </c>
      <c r="AF11" s="28">
        <v>0.17443016789999999</v>
      </c>
      <c r="AG11" s="28">
        <v>0.14535847325000001</v>
      </c>
      <c r="AH11" s="28">
        <v>0.2325735572</v>
      </c>
      <c r="AI11" s="28">
        <v>0.20350186255</v>
      </c>
      <c r="AJ11" s="28">
        <v>0.20350186255</v>
      </c>
      <c r="AK11" s="28">
        <v>0.17443016789999999</v>
      </c>
      <c r="AL11" s="28">
        <v>0.14535847325000001</v>
      </c>
      <c r="AM11" s="28">
        <v>0.1162867786</v>
      </c>
      <c r="AN11" s="28">
        <v>0.2325735572</v>
      </c>
      <c r="AO11" s="28">
        <v>0.2325735572</v>
      </c>
      <c r="AP11" s="28">
        <v>0.20350186255</v>
      </c>
      <c r="AQ11" s="28">
        <v>0.20350186255</v>
      </c>
      <c r="AR11" s="28">
        <v>0.2325735572</v>
      </c>
      <c r="AS11" s="28">
        <v>0.2325735572</v>
      </c>
      <c r="AT11" s="28">
        <v>0.1162867786</v>
      </c>
      <c r="AU11" s="28">
        <v>0.2325735572</v>
      </c>
      <c r="AV11" s="28">
        <v>0.20350186255</v>
      </c>
      <c r="AW11" s="28">
        <v>0.2325735572</v>
      </c>
      <c r="AX11" s="28">
        <v>0.14535847325000001</v>
      </c>
      <c r="AY11" s="28">
        <v>0.2325735572</v>
      </c>
      <c r="AZ11" s="28">
        <v>0.17443016789999999</v>
      </c>
      <c r="BA11" s="28">
        <v>0.17443016789999999</v>
      </c>
      <c r="BB11" s="28">
        <v>0.2325735572</v>
      </c>
      <c r="BC11" s="28">
        <v>0.2325735572</v>
      </c>
      <c r="BD11" s="28">
        <v>8.7215083949999994E-2</v>
      </c>
      <c r="BE11" s="28">
        <v>0.2325735572</v>
      </c>
      <c r="BF11" s="28">
        <v>0.14535847325000001</v>
      </c>
      <c r="BG11" s="28">
        <v>8.7215083949999994E-2</v>
      </c>
      <c r="BH11" s="28">
        <v>0.1162867786</v>
      </c>
      <c r="BI11" s="28">
        <v>0.2325735572</v>
      </c>
      <c r="BJ11" s="28">
        <v>0.1162867786</v>
      </c>
      <c r="BK11" s="28">
        <v>0.20350186255</v>
      </c>
      <c r="BL11" s="28">
        <v>0.20350186255</v>
      </c>
      <c r="BM11" s="28">
        <v>0.1162867786</v>
      </c>
      <c r="BN11" s="28">
        <v>8.7215083949999994E-2</v>
      </c>
      <c r="BO11" s="28">
        <v>0.20350186255</v>
      </c>
      <c r="BP11" s="28">
        <v>0.17443016789999999</v>
      </c>
      <c r="BQ11" s="28">
        <v>0.2325735572</v>
      </c>
      <c r="BR11" s="28">
        <v>0.20350186255</v>
      </c>
      <c r="BS11" s="28">
        <v>0.1162867786</v>
      </c>
      <c r="BT11" s="28">
        <v>0.17443016789999999</v>
      </c>
      <c r="BU11" s="28">
        <v>0.2325735572</v>
      </c>
      <c r="BV11" s="28">
        <v>0.17443016789999999</v>
      </c>
      <c r="BW11" s="28">
        <v>0.2325735572</v>
      </c>
      <c r="BX11" s="28">
        <v>0.20350186255</v>
      </c>
      <c r="BY11" s="28">
        <v>0.2325735572</v>
      </c>
      <c r="BZ11" s="28">
        <v>0.17443016789999999</v>
      </c>
      <c r="CA11" s="28">
        <v>0.2325735572</v>
      </c>
      <c r="CB11" s="28">
        <v>0.17443016789999999</v>
      </c>
      <c r="CC11" s="28">
        <v>0.2325735572</v>
      </c>
      <c r="CD11" s="28">
        <v>0.17443016789999999</v>
      </c>
      <c r="CE11" s="28">
        <v>0.14535847325000001</v>
      </c>
      <c r="CF11" s="28">
        <v>0.2325735572</v>
      </c>
      <c r="CG11" s="28">
        <v>0.2325735572</v>
      </c>
      <c r="CH11" s="28">
        <v>0.2325735572</v>
      </c>
      <c r="CI11" s="28">
        <v>8.7215083949999994E-2</v>
      </c>
      <c r="CJ11" s="28">
        <v>0.20350186255</v>
      </c>
      <c r="CK11" s="28">
        <v>0.14535847325000001</v>
      </c>
      <c r="CL11" s="28">
        <v>0.17443016789999999</v>
      </c>
      <c r="CM11" s="28">
        <v>0.17443016789999999</v>
      </c>
      <c r="CN11" s="28">
        <v>0.1162867786</v>
      </c>
      <c r="CO11" s="28">
        <v>0.17443016789999999</v>
      </c>
      <c r="CP11" s="28">
        <v>0.2325735572</v>
      </c>
      <c r="CQ11" s="28">
        <v>0.1162867786</v>
      </c>
      <c r="CR11" s="28">
        <v>8.7215083949999994E-2</v>
      </c>
      <c r="CS11" s="28">
        <v>0.2325735572</v>
      </c>
      <c r="CT11" s="28">
        <v>0.20350186255</v>
      </c>
      <c r="CU11" s="28">
        <v>0.20350186255</v>
      </c>
      <c r="CV11" s="28">
        <v>0.20350186255</v>
      </c>
      <c r="CW11" s="28">
        <v>8.7215083949999994E-2</v>
      </c>
      <c r="CX11" s="28">
        <v>8.7215083949999994E-2</v>
      </c>
      <c r="CY11" s="28">
        <v>0.2325735572</v>
      </c>
      <c r="CZ11" s="28">
        <v>0.1162867786</v>
      </c>
      <c r="DA11" s="28">
        <v>0.2325735572</v>
      </c>
      <c r="DB11" s="28">
        <v>0.14535847325000001</v>
      </c>
      <c r="DC11" s="28">
        <v>8.7215083949999994E-2</v>
      </c>
      <c r="DD11" s="28">
        <v>0.1162867786</v>
      </c>
      <c r="DE11" s="28">
        <v>0.1162867786</v>
      </c>
      <c r="DF11" s="28">
        <v>0.20350186255</v>
      </c>
      <c r="DG11" s="28">
        <v>0.2325735572</v>
      </c>
      <c r="DH11" s="28">
        <v>0.2325735572</v>
      </c>
      <c r="DI11" s="28">
        <v>0.20350186255</v>
      </c>
      <c r="DJ11" s="28">
        <v>0.2325735572</v>
      </c>
      <c r="DK11" s="28">
        <v>0.20350186255</v>
      </c>
      <c r="DL11" s="28">
        <v>0.17443016789999999</v>
      </c>
      <c r="DM11" s="28">
        <v>0.2325735572</v>
      </c>
      <c r="DN11" s="28">
        <v>0.2325735572</v>
      </c>
      <c r="DO11" s="28">
        <v>0.2325735572</v>
      </c>
      <c r="DP11" s="28">
        <v>0.14535847325000001</v>
      </c>
      <c r="DQ11" s="28">
        <v>0.14535847325000001</v>
      </c>
      <c r="DR11" s="28">
        <v>0.2325735572</v>
      </c>
      <c r="DS11" s="28">
        <v>0.1162867786</v>
      </c>
      <c r="DT11" s="28">
        <v>0.1162867786</v>
      </c>
      <c r="DU11" s="28">
        <v>0.1162867786</v>
      </c>
      <c r="DV11" s="28">
        <v>5.8143389300000001E-2</v>
      </c>
      <c r="DW11" s="28">
        <v>0.17888470175766111</v>
      </c>
      <c r="DX11" s="34">
        <v>22.181703017949971</v>
      </c>
    </row>
    <row r="12" spans="1:128" x14ac:dyDescent="0.25">
      <c r="A12" s="24">
        <v>11</v>
      </c>
      <c r="B12" s="26">
        <v>5</v>
      </c>
      <c r="C12" s="28">
        <v>0.230670144133334</v>
      </c>
      <c r="D12" s="28">
        <v>0.2883376801666675</v>
      </c>
      <c r="E12" s="28">
        <v>0.2883376801666675</v>
      </c>
      <c r="F12" s="28">
        <v>0.230670144133334</v>
      </c>
      <c r="G12" s="28">
        <v>0.46134028826666801</v>
      </c>
      <c r="H12" s="28">
        <v>0.46134028826666801</v>
      </c>
      <c r="I12" s="28">
        <v>0.46134028826666801</v>
      </c>
      <c r="J12" s="28">
        <v>0.34600521620000102</v>
      </c>
      <c r="K12" s="28">
        <v>0.230670144133334</v>
      </c>
      <c r="L12" s="28">
        <v>0.34600521620000102</v>
      </c>
      <c r="M12" s="28">
        <v>0.46134028826666801</v>
      </c>
      <c r="N12" s="28">
        <v>0.46134028826666801</v>
      </c>
      <c r="O12" s="28">
        <v>0.46134028826666801</v>
      </c>
      <c r="P12" s="28">
        <v>0.40367275223333449</v>
      </c>
      <c r="Q12" s="28">
        <v>0.230670144133334</v>
      </c>
      <c r="R12" s="28">
        <v>0.17300260810000051</v>
      </c>
      <c r="S12" s="28">
        <v>0.230670144133334</v>
      </c>
      <c r="T12" s="28">
        <v>0.115335072066667</v>
      </c>
      <c r="U12" s="28">
        <v>0.46134028826666801</v>
      </c>
      <c r="V12" s="28">
        <v>0.46134028826666801</v>
      </c>
      <c r="W12" s="28">
        <v>0.230670144133334</v>
      </c>
      <c r="X12" s="28">
        <v>0.2883376801666675</v>
      </c>
      <c r="Y12" s="28">
        <v>0.34600521620000102</v>
      </c>
      <c r="Z12" s="28">
        <v>0.46134028826666801</v>
      </c>
      <c r="AA12" s="28">
        <v>0.40367275223333449</v>
      </c>
      <c r="AB12" s="28">
        <v>0.2883376801666675</v>
      </c>
      <c r="AC12" s="28">
        <v>0.46134028826666801</v>
      </c>
      <c r="AD12" s="28">
        <v>0.46134028826666801</v>
      </c>
      <c r="AE12" s="28">
        <v>0.46134028826666801</v>
      </c>
      <c r="AF12" s="28">
        <v>0.34600521620000102</v>
      </c>
      <c r="AG12" s="28">
        <v>0.2883376801666675</v>
      </c>
      <c r="AH12" s="28">
        <v>0.46134028826666801</v>
      </c>
      <c r="AI12" s="28">
        <v>0.40367275223333449</v>
      </c>
      <c r="AJ12" s="28">
        <v>0.40367275223333449</v>
      </c>
      <c r="AK12" s="28">
        <v>0.34600521620000102</v>
      </c>
      <c r="AL12" s="28">
        <v>0.2883376801666675</v>
      </c>
      <c r="AM12" s="28">
        <v>0.230670144133334</v>
      </c>
      <c r="AN12" s="28">
        <v>0.46134028826666801</v>
      </c>
      <c r="AO12" s="28">
        <v>0.46134028826666801</v>
      </c>
      <c r="AP12" s="28">
        <v>0.40367275223333449</v>
      </c>
      <c r="AQ12" s="28">
        <v>0.40367275223333449</v>
      </c>
      <c r="AR12" s="28">
        <v>0.46134028826666801</v>
      </c>
      <c r="AS12" s="28">
        <v>0.46134028826666801</v>
      </c>
      <c r="AT12" s="28">
        <v>0.230670144133334</v>
      </c>
      <c r="AU12" s="28">
        <v>0.46134028826666801</v>
      </c>
      <c r="AV12" s="28">
        <v>0.40367275223333449</v>
      </c>
      <c r="AW12" s="28">
        <v>0.46134028826666801</v>
      </c>
      <c r="AX12" s="28">
        <v>0.2883376801666675</v>
      </c>
      <c r="AY12" s="28">
        <v>0.46134028826666801</v>
      </c>
      <c r="AZ12" s="28">
        <v>0.34600521620000102</v>
      </c>
      <c r="BA12" s="28">
        <v>0.34600521620000102</v>
      </c>
      <c r="BB12" s="28">
        <v>0.46134028826666801</v>
      </c>
      <c r="BC12" s="28">
        <v>0.46134028826666801</v>
      </c>
      <c r="BD12" s="28">
        <v>0.17300260810000051</v>
      </c>
      <c r="BE12" s="28">
        <v>0.46134028826666801</v>
      </c>
      <c r="BF12" s="28">
        <v>0.2883376801666675</v>
      </c>
      <c r="BG12" s="28">
        <v>0.17300260810000051</v>
      </c>
      <c r="BH12" s="28">
        <v>0.230670144133334</v>
      </c>
      <c r="BI12" s="28">
        <v>0.46134028826666801</v>
      </c>
      <c r="BJ12" s="28">
        <v>0.230670144133334</v>
      </c>
      <c r="BK12" s="28">
        <v>0.40367275223333449</v>
      </c>
      <c r="BL12" s="28">
        <v>0.40367275223333449</v>
      </c>
      <c r="BM12" s="28">
        <v>0.230670144133334</v>
      </c>
      <c r="BN12" s="28">
        <v>0.17300260810000051</v>
      </c>
      <c r="BO12" s="28">
        <v>0.40367275223333449</v>
      </c>
      <c r="BP12" s="28">
        <v>0.34600521620000102</v>
      </c>
      <c r="BQ12" s="28">
        <v>0.46134028826666801</v>
      </c>
      <c r="BR12" s="28">
        <v>0.40367275223333449</v>
      </c>
      <c r="BS12" s="28">
        <v>0.230670144133334</v>
      </c>
      <c r="BT12" s="28">
        <v>0.34600521620000102</v>
      </c>
      <c r="BU12" s="28">
        <v>0.46134028826666801</v>
      </c>
      <c r="BV12" s="28">
        <v>0.34600521620000102</v>
      </c>
      <c r="BW12" s="28">
        <v>0.46134028826666801</v>
      </c>
      <c r="BX12" s="28">
        <v>0.40367275223333449</v>
      </c>
      <c r="BY12" s="28">
        <v>0.46134028826666801</v>
      </c>
      <c r="BZ12" s="28">
        <v>0.34600521620000102</v>
      </c>
      <c r="CA12" s="28">
        <v>0.46134028826666801</v>
      </c>
      <c r="CB12" s="28">
        <v>0.34600521620000102</v>
      </c>
      <c r="CC12" s="28">
        <v>0.46134028826666801</v>
      </c>
      <c r="CD12" s="28">
        <v>0.34600521620000102</v>
      </c>
      <c r="CE12" s="28">
        <v>0.2883376801666675</v>
      </c>
      <c r="CF12" s="28">
        <v>0.46134028826666801</v>
      </c>
      <c r="CG12" s="28">
        <v>0.46134028826666801</v>
      </c>
      <c r="CH12" s="28">
        <v>0.46134028826666801</v>
      </c>
      <c r="CI12" s="28">
        <v>0.17300260810000051</v>
      </c>
      <c r="CJ12" s="28">
        <v>0.40367275223333449</v>
      </c>
      <c r="CK12" s="28">
        <v>0.2883376801666675</v>
      </c>
      <c r="CL12" s="28">
        <v>0.34600521620000102</v>
      </c>
      <c r="CM12" s="28">
        <v>0.34600521620000102</v>
      </c>
      <c r="CN12" s="28">
        <v>0.230670144133334</v>
      </c>
      <c r="CO12" s="28">
        <v>0.34600521620000102</v>
      </c>
      <c r="CP12" s="28">
        <v>0.46134028826666801</v>
      </c>
      <c r="CQ12" s="28">
        <v>0.230670144133334</v>
      </c>
      <c r="CR12" s="28">
        <v>0.17300260810000051</v>
      </c>
      <c r="CS12" s="28">
        <v>0.46134028826666801</v>
      </c>
      <c r="CT12" s="28">
        <v>0.40367275223333449</v>
      </c>
      <c r="CU12" s="28">
        <v>0.40367275223333449</v>
      </c>
      <c r="CV12" s="28">
        <v>0.40367275223333449</v>
      </c>
      <c r="CW12" s="28">
        <v>0.17300260810000051</v>
      </c>
      <c r="CX12" s="28">
        <v>0.17300260810000051</v>
      </c>
      <c r="CY12" s="28">
        <v>0.46134028826666801</v>
      </c>
      <c r="CZ12" s="28">
        <v>0.230670144133334</v>
      </c>
      <c r="DA12" s="28">
        <v>0.46134028826666801</v>
      </c>
      <c r="DB12" s="28">
        <v>0.2883376801666675</v>
      </c>
      <c r="DC12" s="28">
        <v>0.17300260810000051</v>
      </c>
      <c r="DD12" s="28">
        <v>0.230670144133334</v>
      </c>
      <c r="DE12" s="28">
        <v>0.230670144133334</v>
      </c>
      <c r="DF12" s="28">
        <v>0.40367275223333449</v>
      </c>
      <c r="DG12" s="28">
        <v>0.46134028826666801</v>
      </c>
      <c r="DH12" s="28">
        <v>0.46134028826666801</v>
      </c>
      <c r="DI12" s="28">
        <v>0.40367275223333449</v>
      </c>
      <c r="DJ12" s="28">
        <v>0.46134028826666801</v>
      </c>
      <c r="DK12" s="28">
        <v>0.40367275223333449</v>
      </c>
      <c r="DL12" s="28">
        <v>0.34600521620000102</v>
      </c>
      <c r="DM12" s="28">
        <v>0.46134028826666801</v>
      </c>
      <c r="DN12" s="28">
        <v>0.46134028826666801</v>
      </c>
      <c r="DO12" s="28">
        <v>0.46134028826666801</v>
      </c>
      <c r="DP12" s="28">
        <v>0.2883376801666675</v>
      </c>
      <c r="DQ12" s="28">
        <v>0.2883376801666675</v>
      </c>
      <c r="DR12" s="28">
        <v>0.46134028826666801</v>
      </c>
      <c r="DS12" s="28">
        <v>0.230670144133334</v>
      </c>
      <c r="DT12" s="28">
        <v>0.230670144133334</v>
      </c>
      <c r="DU12" s="28">
        <v>0.230670144133334</v>
      </c>
      <c r="DV12" s="28">
        <v>0.115335072066667</v>
      </c>
      <c r="DW12" s="28">
        <v>0.35484137091478601</v>
      </c>
      <c r="DX12" s="34">
        <v>44.000329993433468</v>
      </c>
    </row>
    <row r="13" spans="1:128" x14ac:dyDescent="0.25">
      <c r="A13" s="24">
        <v>12</v>
      </c>
      <c r="B13" s="26">
        <v>5.5</v>
      </c>
      <c r="C13" s="28">
        <v>0.37092898826666598</v>
      </c>
      <c r="D13" s="28">
        <v>0.46366123533333248</v>
      </c>
      <c r="E13" s="28">
        <v>0.46366123533333248</v>
      </c>
      <c r="F13" s="28">
        <v>0.37092898826666598</v>
      </c>
      <c r="G13" s="28">
        <v>0.74185797653333196</v>
      </c>
      <c r="H13" s="28">
        <v>0.74185797653333196</v>
      </c>
      <c r="I13" s="28">
        <v>0.74185797653333196</v>
      </c>
      <c r="J13" s="28">
        <v>0.55639348239999897</v>
      </c>
      <c r="K13" s="28">
        <v>0.37092898826666598</v>
      </c>
      <c r="L13" s="28">
        <v>0.55639348239999897</v>
      </c>
      <c r="M13" s="28">
        <v>0.74185797653333196</v>
      </c>
      <c r="N13" s="28">
        <v>0.74185797653333196</v>
      </c>
      <c r="O13" s="28">
        <v>0.74185797653333196</v>
      </c>
      <c r="P13" s="28">
        <v>0.64912572946666547</v>
      </c>
      <c r="Q13" s="28">
        <v>0.37092898826666598</v>
      </c>
      <c r="R13" s="28">
        <v>0.27819674119999949</v>
      </c>
      <c r="S13" s="28">
        <v>0.37092898826666598</v>
      </c>
      <c r="T13" s="28">
        <v>0.18546449413333299</v>
      </c>
      <c r="U13" s="28">
        <v>0.74185797653333196</v>
      </c>
      <c r="V13" s="28">
        <v>0.74185797653333196</v>
      </c>
      <c r="W13" s="28">
        <v>0.37092898826666598</v>
      </c>
      <c r="X13" s="28">
        <v>0.46366123533333248</v>
      </c>
      <c r="Y13" s="28">
        <v>0.55639348239999897</v>
      </c>
      <c r="Z13" s="28">
        <v>0.74185797653333196</v>
      </c>
      <c r="AA13" s="28">
        <v>0.64912572946666547</v>
      </c>
      <c r="AB13" s="28">
        <v>0.46366123533333248</v>
      </c>
      <c r="AC13" s="28">
        <v>0.74185797653333196</v>
      </c>
      <c r="AD13" s="28">
        <v>0.74185797653333196</v>
      </c>
      <c r="AE13" s="28">
        <v>0.74185797653333196</v>
      </c>
      <c r="AF13" s="28">
        <v>0.55639348239999897</v>
      </c>
      <c r="AG13" s="28">
        <v>0.46366123533333248</v>
      </c>
      <c r="AH13" s="28">
        <v>0.74185797653333196</v>
      </c>
      <c r="AI13" s="28">
        <v>0.64912572946666547</v>
      </c>
      <c r="AJ13" s="28">
        <v>0.64912572946666547</v>
      </c>
      <c r="AK13" s="28">
        <v>0.55639348239999897</v>
      </c>
      <c r="AL13" s="28">
        <v>0.46366123533333248</v>
      </c>
      <c r="AM13" s="28">
        <v>0.37092898826666598</v>
      </c>
      <c r="AN13" s="28">
        <v>0.74185797653333196</v>
      </c>
      <c r="AO13" s="28">
        <v>0.74185797653333196</v>
      </c>
      <c r="AP13" s="28">
        <v>0.64912572946666547</v>
      </c>
      <c r="AQ13" s="28">
        <v>0.64912572946666547</v>
      </c>
      <c r="AR13" s="28">
        <v>0.74185797653333196</v>
      </c>
      <c r="AS13" s="28">
        <v>0.74185797653333196</v>
      </c>
      <c r="AT13" s="28">
        <v>0.37092898826666598</v>
      </c>
      <c r="AU13" s="28">
        <v>0.74185797653333196</v>
      </c>
      <c r="AV13" s="28">
        <v>0.64912572946666547</v>
      </c>
      <c r="AW13" s="28">
        <v>0.74185797653333196</v>
      </c>
      <c r="AX13" s="28">
        <v>0.46366123533333248</v>
      </c>
      <c r="AY13" s="28">
        <v>0.74185797653333196</v>
      </c>
      <c r="AZ13" s="28">
        <v>0.55639348239999897</v>
      </c>
      <c r="BA13" s="28">
        <v>0.55639348239999897</v>
      </c>
      <c r="BB13" s="28">
        <v>0.74185797653333196</v>
      </c>
      <c r="BC13" s="28">
        <v>0.74185797653333196</v>
      </c>
      <c r="BD13" s="28">
        <v>0.27819674119999949</v>
      </c>
      <c r="BE13" s="28">
        <v>0.74185797653333196</v>
      </c>
      <c r="BF13" s="28">
        <v>0.46366123533333248</v>
      </c>
      <c r="BG13" s="28">
        <v>0.27819674119999949</v>
      </c>
      <c r="BH13" s="28">
        <v>0.37092898826666598</v>
      </c>
      <c r="BI13" s="28">
        <v>0.74185797653333196</v>
      </c>
      <c r="BJ13" s="28">
        <v>0.37092898826666598</v>
      </c>
      <c r="BK13" s="28">
        <v>0.64912572946666547</v>
      </c>
      <c r="BL13" s="28">
        <v>0.64912572946666547</v>
      </c>
      <c r="BM13" s="28">
        <v>0.37092898826666598</v>
      </c>
      <c r="BN13" s="28">
        <v>0.27819674119999949</v>
      </c>
      <c r="BO13" s="28">
        <v>0.64912572946666547</v>
      </c>
      <c r="BP13" s="28">
        <v>0.55639348239999897</v>
      </c>
      <c r="BQ13" s="28">
        <v>0.74185797653333196</v>
      </c>
      <c r="BR13" s="28">
        <v>0.64912572946666547</v>
      </c>
      <c r="BS13" s="28">
        <v>0.37092898826666598</v>
      </c>
      <c r="BT13" s="28">
        <v>0.55639348239999897</v>
      </c>
      <c r="BU13" s="28">
        <v>0.74185797653333196</v>
      </c>
      <c r="BV13" s="28">
        <v>0.55639348239999897</v>
      </c>
      <c r="BW13" s="28">
        <v>0.74185797653333196</v>
      </c>
      <c r="BX13" s="28">
        <v>0.64912572946666547</v>
      </c>
      <c r="BY13" s="28">
        <v>0.74185797653333196</v>
      </c>
      <c r="BZ13" s="28">
        <v>0.55639348239999897</v>
      </c>
      <c r="CA13" s="28">
        <v>0.74185797653333196</v>
      </c>
      <c r="CB13" s="28">
        <v>0.55639348239999897</v>
      </c>
      <c r="CC13" s="28">
        <v>0.74185797653333196</v>
      </c>
      <c r="CD13" s="28">
        <v>0.55639348239999897</v>
      </c>
      <c r="CE13" s="28">
        <v>0.46366123533333248</v>
      </c>
      <c r="CF13" s="28">
        <v>0.74185797653333196</v>
      </c>
      <c r="CG13" s="28">
        <v>0.74185797653333196</v>
      </c>
      <c r="CH13" s="28">
        <v>0.74185797653333196</v>
      </c>
      <c r="CI13" s="28">
        <v>0.27819674119999949</v>
      </c>
      <c r="CJ13" s="28">
        <v>0.64912572946666547</v>
      </c>
      <c r="CK13" s="28">
        <v>0.46366123533333248</v>
      </c>
      <c r="CL13" s="28">
        <v>0.55639348239999897</v>
      </c>
      <c r="CM13" s="28">
        <v>0.55639348239999897</v>
      </c>
      <c r="CN13" s="28">
        <v>0.37092898826666598</v>
      </c>
      <c r="CO13" s="28">
        <v>0.55639348239999897</v>
      </c>
      <c r="CP13" s="28">
        <v>0.74185797653333196</v>
      </c>
      <c r="CQ13" s="28">
        <v>0.37092898826666598</v>
      </c>
      <c r="CR13" s="28">
        <v>0.27819674119999949</v>
      </c>
      <c r="CS13" s="28">
        <v>0.74185797653333196</v>
      </c>
      <c r="CT13" s="28">
        <v>0.64912572946666547</v>
      </c>
      <c r="CU13" s="28">
        <v>0.64912572946666547</v>
      </c>
      <c r="CV13" s="28">
        <v>0.64912572946666547</v>
      </c>
      <c r="CW13" s="28">
        <v>0.27819674119999949</v>
      </c>
      <c r="CX13" s="28">
        <v>0.27819674119999949</v>
      </c>
      <c r="CY13" s="28">
        <v>0.74185797653333196</v>
      </c>
      <c r="CZ13" s="28">
        <v>0.37092898826666598</v>
      </c>
      <c r="DA13" s="28">
        <v>0.74185797653333196</v>
      </c>
      <c r="DB13" s="28">
        <v>0.46366123533333248</v>
      </c>
      <c r="DC13" s="28">
        <v>0.27819674119999949</v>
      </c>
      <c r="DD13" s="28">
        <v>0.37092898826666598</v>
      </c>
      <c r="DE13" s="28">
        <v>0.37092898826666598</v>
      </c>
      <c r="DF13" s="28">
        <v>0.64912572946666547</v>
      </c>
      <c r="DG13" s="28">
        <v>0.74185797653333196</v>
      </c>
      <c r="DH13" s="28">
        <v>0.74185797653333196</v>
      </c>
      <c r="DI13" s="28">
        <v>0.64912572946666547</v>
      </c>
      <c r="DJ13" s="28">
        <v>0.74185797653333196</v>
      </c>
      <c r="DK13" s="28">
        <v>0.64912572946666547</v>
      </c>
      <c r="DL13" s="28">
        <v>0.55639348239999897</v>
      </c>
      <c r="DM13" s="28">
        <v>0.74185797653333196</v>
      </c>
      <c r="DN13" s="28">
        <v>0.74185797653333196</v>
      </c>
      <c r="DO13" s="28">
        <v>0.74185797653333196</v>
      </c>
      <c r="DP13" s="28">
        <v>0.46366123533333248</v>
      </c>
      <c r="DQ13" s="28">
        <v>0.46366123533333248</v>
      </c>
      <c r="DR13" s="28">
        <v>0.74185797653333196</v>
      </c>
      <c r="DS13" s="28">
        <v>0.37092898826666598</v>
      </c>
      <c r="DT13" s="28">
        <v>0.37092898826666598</v>
      </c>
      <c r="DU13" s="28">
        <v>0.37092898826666598</v>
      </c>
      <c r="DV13" s="28">
        <v>0.18546449413333299</v>
      </c>
      <c r="DW13" s="28">
        <v>0.57060245574085966</v>
      </c>
      <c r="DX13" s="34">
        <v>70.754704511866592</v>
      </c>
    </row>
    <row r="14" spans="1:128" x14ac:dyDescent="0.25">
      <c r="A14" s="24">
        <v>13</v>
      </c>
      <c r="B14" s="26">
        <v>6</v>
      </c>
      <c r="C14" s="28">
        <v>0.52395929633333405</v>
      </c>
      <c r="D14" s="28">
        <v>0.65494912041666753</v>
      </c>
      <c r="E14" s="28">
        <v>0.65494912041666753</v>
      </c>
      <c r="F14" s="28">
        <v>0.52395929633333405</v>
      </c>
      <c r="G14" s="28">
        <v>1.0479185926666681</v>
      </c>
      <c r="H14" s="28">
        <v>1.0479185926666681</v>
      </c>
      <c r="I14" s="28">
        <v>1.0479185926666681</v>
      </c>
      <c r="J14" s="28">
        <v>0.78593894450000112</v>
      </c>
      <c r="K14" s="28">
        <v>0.52395929633333405</v>
      </c>
      <c r="L14" s="28">
        <v>0.78593894450000112</v>
      </c>
      <c r="M14" s="28">
        <v>1.0479185926666681</v>
      </c>
      <c r="N14" s="28">
        <v>1.0479185926666681</v>
      </c>
      <c r="O14" s="28">
        <v>1.0479185926666681</v>
      </c>
      <c r="P14" s="28">
        <v>0.91692876858333461</v>
      </c>
      <c r="Q14" s="28">
        <v>0.52395929633333405</v>
      </c>
      <c r="R14" s="28">
        <v>0.39296947225000062</v>
      </c>
      <c r="S14" s="28">
        <v>0.52395929633333405</v>
      </c>
      <c r="T14" s="28">
        <v>0.26197964816666702</v>
      </c>
      <c r="U14" s="28">
        <v>1.0479185926666681</v>
      </c>
      <c r="V14" s="28">
        <v>1.0479185926666681</v>
      </c>
      <c r="W14" s="28">
        <v>0.52395929633333405</v>
      </c>
      <c r="X14" s="28">
        <v>0.65494912041666753</v>
      </c>
      <c r="Y14" s="28">
        <v>0.78593894450000112</v>
      </c>
      <c r="Z14" s="28">
        <v>1.0479185926666681</v>
      </c>
      <c r="AA14" s="28">
        <v>0.91692876858333461</v>
      </c>
      <c r="AB14" s="28">
        <v>0.65494912041666753</v>
      </c>
      <c r="AC14" s="28">
        <v>1.0479185926666681</v>
      </c>
      <c r="AD14" s="28">
        <v>1.0479185926666681</v>
      </c>
      <c r="AE14" s="28">
        <v>1.0479185926666681</v>
      </c>
      <c r="AF14" s="28">
        <v>0.78593894450000112</v>
      </c>
      <c r="AG14" s="28">
        <v>0.65494912041666753</v>
      </c>
      <c r="AH14" s="28">
        <v>1.0479185926666681</v>
      </c>
      <c r="AI14" s="28">
        <v>0.91692876858333461</v>
      </c>
      <c r="AJ14" s="28">
        <v>0.91692876858333461</v>
      </c>
      <c r="AK14" s="28">
        <v>0.78593894450000112</v>
      </c>
      <c r="AL14" s="28">
        <v>0.65494912041666753</v>
      </c>
      <c r="AM14" s="28">
        <v>0.52395929633333405</v>
      </c>
      <c r="AN14" s="28">
        <v>1.0479185926666681</v>
      </c>
      <c r="AO14" s="28">
        <v>1.0479185926666681</v>
      </c>
      <c r="AP14" s="28">
        <v>0.91692876858333461</v>
      </c>
      <c r="AQ14" s="28">
        <v>0.91692876858333461</v>
      </c>
      <c r="AR14" s="28">
        <v>1.0479185926666681</v>
      </c>
      <c r="AS14" s="28">
        <v>1.0479185926666681</v>
      </c>
      <c r="AT14" s="28">
        <v>0.52395929633333405</v>
      </c>
      <c r="AU14" s="28">
        <v>1.0479185926666681</v>
      </c>
      <c r="AV14" s="28">
        <v>0.91692876858333461</v>
      </c>
      <c r="AW14" s="28">
        <v>1.0479185926666681</v>
      </c>
      <c r="AX14" s="28">
        <v>0.65494912041666753</v>
      </c>
      <c r="AY14" s="28">
        <v>1.0479185926666681</v>
      </c>
      <c r="AZ14" s="28">
        <v>0.78593894450000112</v>
      </c>
      <c r="BA14" s="28">
        <v>0.78593894450000112</v>
      </c>
      <c r="BB14" s="28">
        <v>1.0479185926666681</v>
      </c>
      <c r="BC14" s="28">
        <v>1.0479185926666681</v>
      </c>
      <c r="BD14" s="28">
        <v>0.39296947225000062</v>
      </c>
      <c r="BE14" s="28">
        <v>1.0479185926666681</v>
      </c>
      <c r="BF14" s="28">
        <v>0.65494912041666753</v>
      </c>
      <c r="BG14" s="28">
        <v>0.39296947225000062</v>
      </c>
      <c r="BH14" s="28">
        <v>0.52395929633333405</v>
      </c>
      <c r="BI14" s="28">
        <v>1.0479185926666681</v>
      </c>
      <c r="BJ14" s="28">
        <v>0.52395929633333405</v>
      </c>
      <c r="BK14" s="28">
        <v>0.91692876858333461</v>
      </c>
      <c r="BL14" s="28">
        <v>0.91692876858333461</v>
      </c>
      <c r="BM14" s="28">
        <v>0.52395929633333405</v>
      </c>
      <c r="BN14" s="28">
        <v>0.39296947225000062</v>
      </c>
      <c r="BO14" s="28">
        <v>0.91692876858333461</v>
      </c>
      <c r="BP14" s="28">
        <v>0.78593894450000112</v>
      </c>
      <c r="BQ14" s="28">
        <v>1.0479185926666681</v>
      </c>
      <c r="BR14" s="28">
        <v>0.91692876858333461</v>
      </c>
      <c r="BS14" s="28">
        <v>0.52395929633333405</v>
      </c>
      <c r="BT14" s="28">
        <v>0.78593894450000112</v>
      </c>
      <c r="BU14" s="28">
        <v>1.0479185926666681</v>
      </c>
      <c r="BV14" s="28">
        <v>0.78593894450000112</v>
      </c>
      <c r="BW14" s="28">
        <v>1.0479185926666681</v>
      </c>
      <c r="BX14" s="28">
        <v>0.91692876858333461</v>
      </c>
      <c r="BY14" s="28">
        <v>1.0479185926666681</v>
      </c>
      <c r="BZ14" s="28">
        <v>0.78593894450000112</v>
      </c>
      <c r="CA14" s="28">
        <v>1.0479185926666681</v>
      </c>
      <c r="CB14" s="28">
        <v>0.78593894450000112</v>
      </c>
      <c r="CC14" s="28">
        <v>1.0479185926666681</v>
      </c>
      <c r="CD14" s="28">
        <v>0.78593894450000112</v>
      </c>
      <c r="CE14" s="28">
        <v>0.65494912041666753</v>
      </c>
      <c r="CF14" s="28">
        <v>1.0479185926666681</v>
      </c>
      <c r="CG14" s="28">
        <v>1.0479185926666681</v>
      </c>
      <c r="CH14" s="28">
        <v>1.0479185926666681</v>
      </c>
      <c r="CI14" s="28">
        <v>0.39296947225000062</v>
      </c>
      <c r="CJ14" s="28">
        <v>0.91692876858333461</v>
      </c>
      <c r="CK14" s="28">
        <v>0.65494912041666753</v>
      </c>
      <c r="CL14" s="28">
        <v>0.78593894450000112</v>
      </c>
      <c r="CM14" s="28">
        <v>0.78593894450000112</v>
      </c>
      <c r="CN14" s="28">
        <v>0.52395929633333405</v>
      </c>
      <c r="CO14" s="28">
        <v>0.78593894450000112</v>
      </c>
      <c r="CP14" s="28">
        <v>1.0479185926666681</v>
      </c>
      <c r="CQ14" s="28">
        <v>0.52395929633333405</v>
      </c>
      <c r="CR14" s="28">
        <v>0.39296947225000062</v>
      </c>
      <c r="CS14" s="28">
        <v>1.0479185926666681</v>
      </c>
      <c r="CT14" s="28">
        <v>0.91692876858333461</v>
      </c>
      <c r="CU14" s="28">
        <v>0.91692876858333461</v>
      </c>
      <c r="CV14" s="28">
        <v>0.91692876858333461</v>
      </c>
      <c r="CW14" s="28">
        <v>0.39296947225000062</v>
      </c>
      <c r="CX14" s="28">
        <v>0.39296947225000062</v>
      </c>
      <c r="CY14" s="28">
        <v>1.0479185926666681</v>
      </c>
      <c r="CZ14" s="28">
        <v>0.52395929633333405</v>
      </c>
      <c r="DA14" s="28">
        <v>1.0479185926666681</v>
      </c>
      <c r="DB14" s="28">
        <v>0.65494912041666753</v>
      </c>
      <c r="DC14" s="28">
        <v>0.39296947225000062</v>
      </c>
      <c r="DD14" s="28">
        <v>0.52395929633333405</v>
      </c>
      <c r="DE14" s="28">
        <v>0.52395929633333405</v>
      </c>
      <c r="DF14" s="28">
        <v>0.91692876858333461</v>
      </c>
      <c r="DG14" s="28">
        <v>1.0479185926666681</v>
      </c>
      <c r="DH14" s="28">
        <v>1.0479185926666681</v>
      </c>
      <c r="DI14" s="28">
        <v>0.91692876858333461</v>
      </c>
      <c r="DJ14" s="28">
        <v>1.0479185926666681</v>
      </c>
      <c r="DK14" s="28">
        <v>0.91692876858333461</v>
      </c>
      <c r="DL14" s="28">
        <v>0.78593894450000112</v>
      </c>
      <c r="DM14" s="28">
        <v>1.0479185926666681</v>
      </c>
      <c r="DN14" s="28">
        <v>1.0479185926666681</v>
      </c>
      <c r="DO14" s="28">
        <v>1.0479185926666681</v>
      </c>
      <c r="DP14" s="28">
        <v>0.65494912041666753</v>
      </c>
      <c r="DQ14" s="28">
        <v>0.65494912041666753</v>
      </c>
      <c r="DR14" s="28">
        <v>1.0479185926666681</v>
      </c>
      <c r="DS14" s="28">
        <v>0.52395929633333405</v>
      </c>
      <c r="DT14" s="28">
        <v>0.52395929633333405</v>
      </c>
      <c r="DU14" s="28">
        <v>0.52395929633333405</v>
      </c>
      <c r="DV14" s="28">
        <v>0.26197964816666702</v>
      </c>
      <c r="DW14" s="28">
        <v>0.80600996593212404</v>
      </c>
      <c r="DX14" s="34">
        <v>99.945235775583384</v>
      </c>
    </row>
    <row r="15" spans="1:128" x14ac:dyDescent="0.25">
      <c r="A15" s="24">
        <v>14</v>
      </c>
      <c r="B15" s="26">
        <v>6.5</v>
      </c>
      <c r="C15" s="28">
        <v>0.67887058386666599</v>
      </c>
      <c r="D15" s="28">
        <v>0.84858822983333249</v>
      </c>
      <c r="E15" s="28">
        <v>0.84858822983333249</v>
      </c>
      <c r="F15" s="28">
        <v>0.67887058386666599</v>
      </c>
      <c r="G15" s="28">
        <v>1.357741167733332</v>
      </c>
      <c r="H15" s="28">
        <v>1.357741167733332</v>
      </c>
      <c r="I15" s="28">
        <v>1.357741167733332</v>
      </c>
      <c r="J15" s="28">
        <v>1.018305875799999</v>
      </c>
      <c r="K15" s="28">
        <v>0.67887058386666599</v>
      </c>
      <c r="L15" s="28">
        <v>1.018305875799999</v>
      </c>
      <c r="M15" s="28">
        <v>1.357741167733332</v>
      </c>
      <c r="N15" s="28">
        <v>1.357741167733332</v>
      </c>
      <c r="O15" s="28">
        <v>1.357741167733332</v>
      </c>
      <c r="P15" s="28">
        <v>1.188023521766665</v>
      </c>
      <c r="Q15" s="28">
        <v>0.67887058386666599</v>
      </c>
      <c r="R15" s="28">
        <v>0.50915293789999949</v>
      </c>
      <c r="S15" s="28">
        <v>0.67887058386666599</v>
      </c>
      <c r="T15" s="28">
        <v>0.33943529193333299</v>
      </c>
      <c r="U15" s="28">
        <v>1.357741167733332</v>
      </c>
      <c r="V15" s="28">
        <v>1.357741167733332</v>
      </c>
      <c r="W15" s="28">
        <v>0.67887058386666599</v>
      </c>
      <c r="X15" s="28">
        <v>0.84858822983333249</v>
      </c>
      <c r="Y15" s="28">
        <v>1.018305875799999</v>
      </c>
      <c r="Z15" s="28">
        <v>1.357741167733332</v>
      </c>
      <c r="AA15" s="28">
        <v>1.188023521766665</v>
      </c>
      <c r="AB15" s="28">
        <v>0.84858822983333249</v>
      </c>
      <c r="AC15" s="28">
        <v>1.357741167733332</v>
      </c>
      <c r="AD15" s="28">
        <v>1.357741167733332</v>
      </c>
      <c r="AE15" s="28">
        <v>1.357741167733332</v>
      </c>
      <c r="AF15" s="28">
        <v>1.018305875799999</v>
      </c>
      <c r="AG15" s="28">
        <v>0.84858822983333249</v>
      </c>
      <c r="AH15" s="28">
        <v>1.357741167733332</v>
      </c>
      <c r="AI15" s="28">
        <v>1.188023521766665</v>
      </c>
      <c r="AJ15" s="28">
        <v>1.188023521766665</v>
      </c>
      <c r="AK15" s="28">
        <v>1.018305875799999</v>
      </c>
      <c r="AL15" s="28">
        <v>0.84858822983333249</v>
      </c>
      <c r="AM15" s="28">
        <v>0.67887058386666599</v>
      </c>
      <c r="AN15" s="28">
        <v>1.357741167733332</v>
      </c>
      <c r="AO15" s="28">
        <v>1.357741167733332</v>
      </c>
      <c r="AP15" s="28">
        <v>1.188023521766665</v>
      </c>
      <c r="AQ15" s="28">
        <v>1.188023521766665</v>
      </c>
      <c r="AR15" s="28">
        <v>1.357741167733332</v>
      </c>
      <c r="AS15" s="28">
        <v>1.357741167733332</v>
      </c>
      <c r="AT15" s="28">
        <v>0.67887058386666599</v>
      </c>
      <c r="AU15" s="28">
        <v>1.357741167733332</v>
      </c>
      <c r="AV15" s="28">
        <v>1.188023521766665</v>
      </c>
      <c r="AW15" s="28">
        <v>1.357741167733332</v>
      </c>
      <c r="AX15" s="28">
        <v>0.84858822983333249</v>
      </c>
      <c r="AY15" s="28">
        <v>1.357741167733332</v>
      </c>
      <c r="AZ15" s="28">
        <v>1.018305875799999</v>
      </c>
      <c r="BA15" s="28">
        <v>1.018305875799999</v>
      </c>
      <c r="BB15" s="28">
        <v>1.357741167733332</v>
      </c>
      <c r="BC15" s="28">
        <v>1.357741167733332</v>
      </c>
      <c r="BD15" s="28">
        <v>0.50915293789999949</v>
      </c>
      <c r="BE15" s="28">
        <v>1.357741167733332</v>
      </c>
      <c r="BF15" s="28">
        <v>0.84858822983333249</v>
      </c>
      <c r="BG15" s="28">
        <v>0.50915293789999949</v>
      </c>
      <c r="BH15" s="28">
        <v>0.67887058386666599</v>
      </c>
      <c r="BI15" s="28">
        <v>1.357741167733332</v>
      </c>
      <c r="BJ15" s="28">
        <v>0.67887058386666599</v>
      </c>
      <c r="BK15" s="28">
        <v>1.188023521766665</v>
      </c>
      <c r="BL15" s="28">
        <v>1.188023521766665</v>
      </c>
      <c r="BM15" s="28">
        <v>0.67887058386666599</v>
      </c>
      <c r="BN15" s="28">
        <v>0.50915293789999949</v>
      </c>
      <c r="BO15" s="28">
        <v>1.188023521766665</v>
      </c>
      <c r="BP15" s="28">
        <v>1.018305875799999</v>
      </c>
      <c r="BQ15" s="28">
        <v>1.357741167733332</v>
      </c>
      <c r="BR15" s="28">
        <v>1.188023521766665</v>
      </c>
      <c r="BS15" s="28">
        <v>0.67887058386666599</v>
      </c>
      <c r="BT15" s="28">
        <v>1.018305875799999</v>
      </c>
      <c r="BU15" s="28">
        <v>1.357741167733332</v>
      </c>
      <c r="BV15" s="28">
        <v>1.018305875799999</v>
      </c>
      <c r="BW15" s="28">
        <v>1.357741167733332</v>
      </c>
      <c r="BX15" s="28">
        <v>1.188023521766665</v>
      </c>
      <c r="BY15" s="28">
        <v>1.357741167733332</v>
      </c>
      <c r="BZ15" s="28">
        <v>1.018305875799999</v>
      </c>
      <c r="CA15" s="28">
        <v>1.357741167733332</v>
      </c>
      <c r="CB15" s="28">
        <v>1.018305875799999</v>
      </c>
      <c r="CC15" s="28">
        <v>1.357741167733332</v>
      </c>
      <c r="CD15" s="28">
        <v>1.018305875799999</v>
      </c>
      <c r="CE15" s="28">
        <v>0.84858822983333249</v>
      </c>
      <c r="CF15" s="28">
        <v>1.357741167733332</v>
      </c>
      <c r="CG15" s="28">
        <v>1.357741167733332</v>
      </c>
      <c r="CH15" s="28">
        <v>1.357741167733332</v>
      </c>
      <c r="CI15" s="28">
        <v>0.50915293789999949</v>
      </c>
      <c r="CJ15" s="28">
        <v>1.188023521766665</v>
      </c>
      <c r="CK15" s="28">
        <v>0.84858822983333249</v>
      </c>
      <c r="CL15" s="28">
        <v>1.018305875799999</v>
      </c>
      <c r="CM15" s="28">
        <v>1.018305875799999</v>
      </c>
      <c r="CN15" s="28">
        <v>0.67887058386666599</v>
      </c>
      <c r="CO15" s="28">
        <v>1.018305875799999</v>
      </c>
      <c r="CP15" s="28">
        <v>1.357741167733332</v>
      </c>
      <c r="CQ15" s="28">
        <v>0.67887058386666599</v>
      </c>
      <c r="CR15" s="28">
        <v>0.50915293789999949</v>
      </c>
      <c r="CS15" s="28">
        <v>1.357741167733332</v>
      </c>
      <c r="CT15" s="28">
        <v>1.188023521766665</v>
      </c>
      <c r="CU15" s="28">
        <v>1.188023521766665</v>
      </c>
      <c r="CV15" s="28">
        <v>1.188023521766665</v>
      </c>
      <c r="CW15" s="28">
        <v>0.50915293789999949</v>
      </c>
      <c r="CX15" s="28">
        <v>0.50915293789999949</v>
      </c>
      <c r="CY15" s="28">
        <v>1.357741167733332</v>
      </c>
      <c r="CZ15" s="28">
        <v>0.67887058386666599</v>
      </c>
      <c r="DA15" s="28">
        <v>1.357741167733332</v>
      </c>
      <c r="DB15" s="28">
        <v>0.84858822983333249</v>
      </c>
      <c r="DC15" s="28">
        <v>0.50915293789999949</v>
      </c>
      <c r="DD15" s="28">
        <v>0.67887058386666599</v>
      </c>
      <c r="DE15" s="28">
        <v>0.67887058386666599</v>
      </c>
      <c r="DF15" s="28">
        <v>1.188023521766665</v>
      </c>
      <c r="DG15" s="28">
        <v>1.357741167733332</v>
      </c>
      <c r="DH15" s="28">
        <v>1.357741167733332</v>
      </c>
      <c r="DI15" s="28">
        <v>1.188023521766665</v>
      </c>
      <c r="DJ15" s="28">
        <v>1.357741167733332</v>
      </c>
      <c r="DK15" s="28">
        <v>1.188023521766665</v>
      </c>
      <c r="DL15" s="28">
        <v>1.018305875799999</v>
      </c>
      <c r="DM15" s="28">
        <v>1.357741167733332</v>
      </c>
      <c r="DN15" s="28">
        <v>1.357741167733332</v>
      </c>
      <c r="DO15" s="28">
        <v>1.357741167733332</v>
      </c>
      <c r="DP15" s="28">
        <v>0.84858822983333249</v>
      </c>
      <c r="DQ15" s="28">
        <v>0.84858822983333249</v>
      </c>
      <c r="DR15" s="28">
        <v>1.357741167733332</v>
      </c>
      <c r="DS15" s="28">
        <v>0.67887058386666599</v>
      </c>
      <c r="DT15" s="28">
        <v>0.67887058386666599</v>
      </c>
      <c r="DU15" s="28">
        <v>0.67887058386666599</v>
      </c>
      <c r="DV15" s="28">
        <v>0.33943529193333299</v>
      </c>
      <c r="DW15" s="28">
        <v>1.0443109989723121</v>
      </c>
      <c r="DX15" s="34">
        <v>129.4945638725666</v>
      </c>
    </row>
    <row r="16" spans="1:128" x14ac:dyDescent="0.25">
      <c r="A16" s="24">
        <v>15</v>
      </c>
      <c r="B16" s="26">
        <v>7</v>
      </c>
      <c r="C16" s="28">
        <v>0.83297972740000004</v>
      </c>
      <c r="D16" s="28">
        <v>1.0412246592500001</v>
      </c>
      <c r="E16" s="28">
        <v>1.0412246592500001</v>
      </c>
      <c r="F16" s="28">
        <v>0.83297972740000004</v>
      </c>
      <c r="G16" s="28">
        <v>1.6659594548000001</v>
      </c>
      <c r="H16" s="28">
        <v>1.6659594548000001</v>
      </c>
      <c r="I16" s="28">
        <v>1.6659594548000001</v>
      </c>
      <c r="J16" s="28">
        <v>1.2494695911</v>
      </c>
      <c r="K16" s="28">
        <v>0.83297972740000004</v>
      </c>
      <c r="L16" s="28">
        <v>1.2494695911</v>
      </c>
      <c r="M16" s="28">
        <v>1.6659594548000001</v>
      </c>
      <c r="N16" s="28">
        <v>1.6659594548000001</v>
      </c>
      <c r="O16" s="28">
        <v>1.6659594548000001</v>
      </c>
      <c r="P16" s="28">
        <v>1.4577145229499999</v>
      </c>
      <c r="Q16" s="28">
        <v>0.83297972740000004</v>
      </c>
      <c r="R16" s="28">
        <v>0.62473479555</v>
      </c>
      <c r="S16" s="28">
        <v>0.83297972740000004</v>
      </c>
      <c r="T16" s="28">
        <v>0.41648986370000002</v>
      </c>
      <c r="U16" s="28">
        <v>1.6659594548000001</v>
      </c>
      <c r="V16" s="28">
        <v>1.6659594548000001</v>
      </c>
      <c r="W16" s="28">
        <v>0.83297972740000004</v>
      </c>
      <c r="X16" s="28">
        <v>1.0412246592500001</v>
      </c>
      <c r="Y16" s="28">
        <v>1.2494695911</v>
      </c>
      <c r="Z16" s="28">
        <v>1.6659594548000001</v>
      </c>
      <c r="AA16" s="28">
        <v>1.4577145229499999</v>
      </c>
      <c r="AB16" s="28">
        <v>1.0412246592500001</v>
      </c>
      <c r="AC16" s="28">
        <v>1.6659594548000001</v>
      </c>
      <c r="AD16" s="28">
        <v>1.6659594548000001</v>
      </c>
      <c r="AE16" s="28">
        <v>1.6659594548000001</v>
      </c>
      <c r="AF16" s="28">
        <v>1.2494695911</v>
      </c>
      <c r="AG16" s="28">
        <v>1.0412246592500001</v>
      </c>
      <c r="AH16" s="28">
        <v>1.6659594548000001</v>
      </c>
      <c r="AI16" s="28">
        <v>1.4577145229499999</v>
      </c>
      <c r="AJ16" s="28">
        <v>1.4577145229499999</v>
      </c>
      <c r="AK16" s="28">
        <v>1.2494695911</v>
      </c>
      <c r="AL16" s="28">
        <v>1.0412246592500001</v>
      </c>
      <c r="AM16" s="28">
        <v>0.83297972740000004</v>
      </c>
      <c r="AN16" s="28">
        <v>1.6659594548000001</v>
      </c>
      <c r="AO16" s="28">
        <v>1.6659594548000001</v>
      </c>
      <c r="AP16" s="28">
        <v>1.4577145229499999</v>
      </c>
      <c r="AQ16" s="28">
        <v>1.4577145229499999</v>
      </c>
      <c r="AR16" s="28">
        <v>1.6659594548000001</v>
      </c>
      <c r="AS16" s="28">
        <v>1.6659594548000001</v>
      </c>
      <c r="AT16" s="28">
        <v>0.83297972740000004</v>
      </c>
      <c r="AU16" s="28">
        <v>1.6659594548000001</v>
      </c>
      <c r="AV16" s="28">
        <v>1.4577145229499999</v>
      </c>
      <c r="AW16" s="28">
        <v>1.6659594548000001</v>
      </c>
      <c r="AX16" s="28">
        <v>1.0412246592500001</v>
      </c>
      <c r="AY16" s="28">
        <v>1.6659594548000001</v>
      </c>
      <c r="AZ16" s="28">
        <v>1.2494695911</v>
      </c>
      <c r="BA16" s="28">
        <v>1.2494695911</v>
      </c>
      <c r="BB16" s="28">
        <v>1.6659594548000001</v>
      </c>
      <c r="BC16" s="28">
        <v>1.6659594548000001</v>
      </c>
      <c r="BD16" s="28">
        <v>0.62473479555</v>
      </c>
      <c r="BE16" s="28">
        <v>1.6659594548000001</v>
      </c>
      <c r="BF16" s="28">
        <v>1.0412246592500001</v>
      </c>
      <c r="BG16" s="28">
        <v>0.62473479555</v>
      </c>
      <c r="BH16" s="28">
        <v>0.83297972740000004</v>
      </c>
      <c r="BI16" s="28">
        <v>1.6659594548000001</v>
      </c>
      <c r="BJ16" s="28">
        <v>0.83297972740000004</v>
      </c>
      <c r="BK16" s="28">
        <v>1.4577145229499999</v>
      </c>
      <c r="BL16" s="28">
        <v>1.4577145229499999</v>
      </c>
      <c r="BM16" s="28">
        <v>0.83297972740000004</v>
      </c>
      <c r="BN16" s="28">
        <v>0.62473479555</v>
      </c>
      <c r="BO16" s="28">
        <v>1.4577145229499999</v>
      </c>
      <c r="BP16" s="28">
        <v>1.2494695911</v>
      </c>
      <c r="BQ16" s="28">
        <v>1.6659594548000001</v>
      </c>
      <c r="BR16" s="28">
        <v>1.4577145229499999</v>
      </c>
      <c r="BS16" s="28">
        <v>0.83297972740000004</v>
      </c>
      <c r="BT16" s="28">
        <v>1.2494695911</v>
      </c>
      <c r="BU16" s="28">
        <v>1.6659594548000001</v>
      </c>
      <c r="BV16" s="28">
        <v>1.2494695911</v>
      </c>
      <c r="BW16" s="28">
        <v>1.6659594548000001</v>
      </c>
      <c r="BX16" s="28">
        <v>1.4577145229499999</v>
      </c>
      <c r="BY16" s="28">
        <v>1.6659594548000001</v>
      </c>
      <c r="BZ16" s="28">
        <v>1.2494695911</v>
      </c>
      <c r="CA16" s="28">
        <v>1.6659594548000001</v>
      </c>
      <c r="CB16" s="28">
        <v>1.2494695911</v>
      </c>
      <c r="CC16" s="28">
        <v>1.6659594548000001</v>
      </c>
      <c r="CD16" s="28">
        <v>1.2494695911</v>
      </c>
      <c r="CE16" s="28">
        <v>1.0412246592500001</v>
      </c>
      <c r="CF16" s="28">
        <v>1.6659594548000001</v>
      </c>
      <c r="CG16" s="28">
        <v>1.6659594548000001</v>
      </c>
      <c r="CH16" s="28">
        <v>1.6659594548000001</v>
      </c>
      <c r="CI16" s="28">
        <v>0.62473479555</v>
      </c>
      <c r="CJ16" s="28">
        <v>1.4577145229499999</v>
      </c>
      <c r="CK16" s="28">
        <v>1.0412246592500001</v>
      </c>
      <c r="CL16" s="28">
        <v>1.2494695911</v>
      </c>
      <c r="CM16" s="28">
        <v>1.2494695911</v>
      </c>
      <c r="CN16" s="28">
        <v>0.83297972740000004</v>
      </c>
      <c r="CO16" s="28">
        <v>1.2494695911</v>
      </c>
      <c r="CP16" s="28">
        <v>1.6659594548000001</v>
      </c>
      <c r="CQ16" s="28">
        <v>0.83297972740000004</v>
      </c>
      <c r="CR16" s="28">
        <v>0.62473479555</v>
      </c>
      <c r="CS16" s="28">
        <v>1.6659594548000001</v>
      </c>
      <c r="CT16" s="28">
        <v>1.4577145229499999</v>
      </c>
      <c r="CU16" s="28">
        <v>1.4577145229499999</v>
      </c>
      <c r="CV16" s="28">
        <v>1.4577145229499999</v>
      </c>
      <c r="CW16" s="28">
        <v>0.62473479555</v>
      </c>
      <c r="CX16" s="28">
        <v>0.62473479555</v>
      </c>
      <c r="CY16" s="28">
        <v>1.6659594548000001</v>
      </c>
      <c r="CZ16" s="28">
        <v>0.83297972740000004</v>
      </c>
      <c r="DA16" s="28">
        <v>1.6659594548000001</v>
      </c>
      <c r="DB16" s="28">
        <v>1.0412246592500001</v>
      </c>
      <c r="DC16" s="28">
        <v>0.62473479555</v>
      </c>
      <c r="DD16" s="28">
        <v>0.83297972740000004</v>
      </c>
      <c r="DE16" s="28">
        <v>0.83297972740000004</v>
      </c>
      <c r="DF16" s="28">
        <v>1.4577145229499999</v>
      </c>
      <c r="DG16" s="28">
        <v>1.6659594548000001</v>
      </c>
      <c r="DH16" s="28">
        <v>1.6659594548000001</v>
      </c>
      <c r="DI16" s="28">
        <v>1.4577145229499999</v>
      </c>
      <c r="DJ16" s="28">
        <v>1.6659594548000001</v>
      </c>
      <c r="DK16" s="28">
        <v>1.4577145229499999</v>
      </c>
      <c r="DL16" s="28">
        <v>1.2494695911</v>
      </c>
      <c r="DM16" s="28">
        <v>1.6659594548000001</v>
      </c>
      <c r="DN16" s="28">
        <v>1.6659594548000001</v>
      </c>
      <c r="DO16" s="28">
        <v>1.6659594548000001</v>
      </c>
      <c r="DP16" s="28">
        <v>1.0412246592500001</v>
      </c>
      <c r="DQ16" s="28">
        <v>1.0412246592500001</v>
      </c>
      <c r="DR16" s="28">
        <v>1.6659594548000001</v>
      </c>
      <c r="DS16" s="28">
        <v>0.83297972740000004</v>
      </c>
      <c r="DT16" s="28">
        <v>0.83297972740000004</v>
      </c>
      <c r="DU16" s="28">
        <v>0.83297972740000004</v>
      </c>
      <c r="DV16" s="28">
        <v>0.41648986370000002</v>
      </c>
      <c r="DW16" s="28">
        <v>1.2813780887221771</v>
      </c>
      <c r="DX16" s="34">
        <v>158.89088300155001</v>
      </c>
    </row>
    <row r="17" spans="1:128" x14ac:dyDescent="0.25">
      <c r="A17" s="24">
        <v>16</v>
      </c>
      <c r="B17" s="26">
        <v>7.5</v>
      </c>
      <c r="C17" s="28">
        <v>0.98731304499999994</v>
      </c>
      <c r="D17" s="28">
        <v>1.23414130625</v>
      </c>
      <c r="E17" s="28">
        <v>1.23414130625</v>
      </c>
      <c r="F17" s="28">
        <v>0.98731304499999994</v>
      </c>
      <c r="G17" s="28">
        <v>1.9746260899999999</v>
      </c>
      <c r="H17" s="28">
        <v>1.9746260899999999</v>
      </c>
      <c r="I17" s="28">
        <v>1.9746260899999999</v>
      </c>
      <c r="J17" s="28">
        <v>1.4809695675000001</v>
      </c>
      <c r="K17" s="28">
        <v>0.98731304499999994</v>
      </c>
      <c r="L17" s="28">
        <v>1.4809695675000001</v>
      </c>
      <c r="M17" s="28">
        <v>1.9746260899999999</v>
      </c>
      <c r="N17" s="28">
        <v>1.9746260899999999</v>
      </c>
      <c r="O17" s="28">
        <v>1.9746260899999999</v>
      </c>
      <c r="P17" s="28">
        <v>1.72779782875</v>
      </c>
      <c r="Q17" s="28">
        <v>0.98731304499999994</v>
      </c>
      <c r="R17" s="28">
        <v>0.74048478374999993</v>
      </c>
      <c r="S17" s="28">
        <v>0.98731304499999994</v>
      </c>
      <c r="T17" s="28">
        <v>0.49365652249999997</v>
      </c>
      <c r="U17" s="28">
        <v>1.9746260899999999</v>
      </c>
      <c r="V17" s="28">
        <v>1.9746260899999999</v>
      </c>
      <c r="W17" s="28">
        <v>0.98731304499999994</v>
      </c>
      <c r="X17" s="28">
        <v>1.23414130625</v>
      </c>
      <c r="Y17" s="28">
        <v>1.4809695675000001</v>
      </c>
      <c r="Z17" s="28">
        <v>1.9746260899999999</v>
      </c>
      <c r="AA17" s="28">
        <v>1.72779782875</v>
      </c>
      <c r="AB17" s="28">
        <v>1.23414130625</v>
      </c>
      <c r="AC17" s="28">
        <v>1.9746260899999999</v>
      </c>
      <c r="AD17" s="28">
        <v>1.9746260899999999</v>
      </c>
      <c r="AE17" s="28">
        <v>1.9746260899999999</v>
      </c>
      <c r="AF17" s="28">
        <v>1.4809695675000001</v>
      </c>
      <c r="AG17" s="28">
        <v>1.23414130625</v>
      </c>
      <c r="AH17" s="28">
        <v>1.9746260899999999</v>
      </c>
      <c r="AI17" s="28">
        <v>1.72779782875</v>
      </c>
      <c r="AJ17" s="28">
        <v>1.72779782875</v>
      </c>
      <c r="AK17" s="28">
        <v>1.4809695675000001</v>
      </c>
      <c r="AL17" s="28">
        <v>1.23414130625</v>
      </c>
      <c r="AM17" s="28">
        <v>0.98731304499999994</v>
      </c>
      <c r="AN17" s="28">
        <v>1.9746260899999999</v>
      </c>
      <c r="AO17" s="28">
        <v>1.9746260899999999</v>
      </c>
      <c r="AP17" s="28">
        <v>1.72779782875</v>
      </c>
      <c r="AQ17" s="28">
        <v>1.72779782875</v>
      </c>
      <c r="AR17" s="28">
        <v>1.9746260899999999</v>
      </c>
      <c r="AS17" s="28">
        <v>1.9746260899999999</v>
      </c>
      <c r="AT17" s="28">
        <v>0.98731304499999994</v>
      </c>
      <c r="AU17" s="28">
        <v>1.9746260899999999</v>
      </c>
      <c r="AV17" s="28">
        <v>1.72779782875</v>
      </c>
      <c r="AW17" s="28">
        <v>1.9746260899999999</v>
      </c>
      <c r="AX17" s="28">
        <v>1.23414130625</v>
      </c>
      <c r="AY17" s="28">
        <v>1.9746260899999999</v>
      </c>
      <c r="AZ17" s="28">
        <v>1.4809695675000001</v>
      </c>
      <c r="BA17" s="28">
        <v>1.4809695675000001</v>
      </c>
      <c r="BB17" s="28">
        <v>1.9746260899999999</v>
      </c>
      <c r="BC17" s="28">
        <v>1.9746260899999999</v>
      </c>
      <c r="BD17" s="28">
        <v>0.74048478374999993</v>
      </c>
      <c r="BE17" s="28">
        <v>1.9746260899999999</v>
      </c>
      <c r="BF17" s="28">
        <v>1.23414130625</v>
      </c>
      <c r="BG17" s="28">
        <v>0.74048478374999993</v>
      </c>
      <c r="BH17" s="28">
        <v>0.98731304499999994</v>
      </c>
      <c r="BI17" s="28">
        <v>1.9746260899999999</v>
      </c>
      <c r="BJ17" s="28">
        <v>0.98731304499999994</v>
      </c>
      <c r="BK17" s="28">
        <v>1.72779782875</v>
      </c>
      <c r="BL17" s="28">
        <v>1.72779782875</v>
      </c>
      <c r="BM17" s="28">
        <v>0.98731304499999994</v>
      </c>
      <c r="BN17" s="28">
        <v>0.74048478374999993</v>
      </c>
      <c r="BO17" s="28">
        <v>1.72779782875</v>
      </c>
      <c r="BP17" s="28">
        <v>1.4809695675000001</v>
      </c>
      <c r="BQ17" s="28">
        <v>1.9746260899999999</v>
      </c>
      <c r="BR17" s="28">
        <v>1.72779782875</v>
      </c>
      <c r="BS17" s="28">
        <v>0.98731304499999994</v>
      </c>
      <c r="BT17" s="28">
        <v>1.4809695675000001</v>
      </c>
      <c r="BU17" s="28">
        <v>1.9746260899999999</v>
      </c>
      <c r="BV17" s="28">
        <v>1.4809695675000001</v>
      </c>
      <c r="BW17" s="28">
        <v>1.9746260899999999</v>
      </c>
      <c r="BX17" s="28">
        <v>1.72779782875</v>
      </c>
      <c r="BY17" s="28">
        <v>1.9746260899999999</v>
      </c>
      <c r="BZ17" s="28">
        <v>1.4809695675000001</v>
      </c>
      <c r="CA17" s="28">
        <v>1.9746260899999999</v>
      </c>
      <c r="CB17" s="28">
        <v>1.4809695675000001</v>
      </c>
      <c r="CC17" s="28">
        <v>1.9746260899999999</v>
      </c>
      <c r="CD17" s="28">
        <v>1.4809695675000001</v>
      </c>
      <c r="CE17" s="28">
        <v>1.23414130625</v>
      </c>
      <c r="CF17" s="28">
        <v>1.9746260899999999</v>
      </c>
      <c r="CG17" s="28">
        <v>1.9746260899999999</v>
      </c>
      <c r="CH17" s="28">
        <v>1.9746260899999999</v>
      </c>
      <c r="CI17" s="28">
        <v>0.74048478374999993</v>
      </c>
      <c r="CJ17" s="28">
        <v>1.72779782875</v>
      </c>
      <c r="CK17" s="28">
        <v>1.23414130625</v>
      </c>
      <c r="CL17" s="28">
        <v>1.4809695675000001</v>
      </c>
      <c r="CM17" s="28">
        <v>1.4809695675000001</v>
      </c>
      <c r="CN17" s="28">
        <v>0.98731304499999994</v>
      </c>
      <c r="CO17" s="28">
        <v>1.4809695675000001</v>
      </c>
      <c r="CP17" s="28">
        <v>1.9746260899999999</v>
      </c>
      <c r="CQ17" s="28">
        <v>0.98731304499999994</v>
      </c>
      <c r="CR17" s="28">
        <v>0.74048478374999993</v>
      </c>
      <c r="CS17" s="28">
        <v>1.9746260899999999</v>
      </c>
      <c r="CT17" s="28">
        <v>1.72779782875</v>
      </c>
      <c r="CU17" s="28">
        <v>1.72779782875</v>
      </c>
      <c r="CV17" s="28">
        <v>1.72779782875</v>
      </c>
      <c r="CW17" s="28">
        <v>0.74048478374999993</v>
      </c>
      <c r="CX17" s="28">
        <v>0.74048478374999993</v>
      </c>
      <c r="CY17" s="28">
        <v>1.9746260899999999</v>
      </c>
      <c r="CZ17" s="28">
        <v>0.98731304499999994</v>
      </c>
      <c r="DA17" s="28">
        <v>1.9746260899999999</v>
      </c>
      <c r="DB17" s="28">
        <v>1.23414130625</v>
      </c>
      <c r="DC17" s="28">
        <v>0.74048478374999993</v>
      </c>
      <c r="DD17" s="28">
        <v>0.98731304499999994</v>
      </c>
      <c r="DE17" s="28">
        <v>0.98731304499999994</v>
      </c>
      <c r="DF17" s="28">
        <v>1.72779782875</v>
      </c>
      <c r="DG17" s="28">
        <v>1.9746260899999999</v>
      </c>
      <c r="DH17" s="28">
        <v>1.9746260899999999</v>
      </c>
      <c r="DI17" s="28">
        <v>1.72779782875</v>
      </c>
      <c r="DJ17" s="28">
        <v>1.9746260899999999</v>
      </c>
      <c r="DK17" s="28">
        <v>1.72779782875</v>
      </c>
      <c r="DL17" s="28">
        <v>1.4809695675000001</v>
      </c>
      <c r="DM17" s="28">
        <v>1.9746260899999999</v>
      </c>
      <c r="DN17" s="28">
        <v>1.9746260899999999</v>
      </c>
      <c r="DO17" s="28">
        <v>1.9746260899999999</v>
      </c>
      <c r="DP17" s="28">
        <v>1.23414130625</v>
      </c>
      <c r="DQ17" s="28">
        <v>1.23414130625</v>
      </c>
      <c r="DR17" s="28">
        <v>1.9746260899999999</v>
      </c>
      <c r="DS17" s="28">
        <v>0.98731304499999994</v>
      </c>
      <c r="DT17" s="28">
        <v>0.98731304499999994</v>
      </c>
      <c r="DU17" s="28">
        <v>0.98731304499999994</v>
      </c>
      <c r="DV17" s="28">
        <v>0.49365652249999997</v>
      </c>
      <c r="DW17" s="28">
        <v>1.5187900268850789</v>
      </c>
      <c r="DX17" s="34">
        <v>188.32996333374979</v>
      </c>
    </row>
    <row r="18" spans="1:128" x14ac:dyDescent="0.25">
      <c r="A18" s="24">
        <v>17</v>
      </c>
      <c r="B18" s="26">
        <v>8</v>
      </c>
      <c r="C18" s="28">
        <v>1.1321646991333341</v>
      </c>
      <c r="D18" s="28">
        <v>1.415205873916668</v>
      </c>
      <c r="E18" s="28">
        <v>1.415205873916668</v>
      </c>
      <c r="F18" s="28">
        <v>1.1321646991333341</v>
      </c>
      <c r="G18" s="28">
        <v>2.2643293982666681</v>
      </c>
      <c r="H18" s="28">
        <v>2.2643293982666681</v>
      </c>
      <c r="I18" s="28">
        <v>2.2643293982666681</v>
      </c>
      <c r="J18" s="28">
        <v>1.698247048700001</v>
      </c>
      <c r="K18" s="28">
        <v>1.1321646991333341</v>
      </c>
      <c r="L18" s="28">
        <v>1.698247048700001</v>
      </c>
      <c r="M18" s="28">
        <v>2.2643293982666681</v>
      </c>
      <c r="N18" s="28">
        <v>2.2643293982666681</v>
      </c>
      <c r="O18" s="28">
        <v>2.2643293982666681</v>
      </c>
      <c r="P18" s="28">
        <v>1.9812882234833351</v>
      </c>
      <c r="Q18" s="28">
        <v>1.1321646991333341</v>
      </c>
      <c r="R18" s="28">
        <v>0.8491235243500006</v>
      </c>
      <c r="S18" s="28">
        <v>1.1321646991333341</v>
      </c>
      <c r="T18" s="28">
        <v>0.56608234956666703</v>
      </c>
      <c r="U18" s="28">
        <v>2.2643293982666681</v>
      </c>
      <c r="V18" s="28">
        <v>2.2643293982666681</v>
      </c>
      <c r="W18" s="28">
        <v>1.1321646991333341</v>
      </c>
      <c r="X18" s="28">
        <v>1.415205873916668</v>
      </c>
      <c r="Y18" s="28">
        <v>1.698247048700001</v>
      </c>
      <c r="Z18" s="28">
        <v>2.2643293982666681</v>
      </c>
      <c r="AA18" s="28">
        <v>1.9812882234833351</v>
      </c>
      <c r="AB18" s="28">
        <v>1.415205873916668</v>
      </c>
      <c r="AC18" s="28">
        <v>2.2643293982666681</v>
      </c>
      <c r="AD18" s="28">
        <v>2.2643293982666681</v>
      </c>
      <c r="AE18" s="28">
        <v>2.2643293982666681</v>
      </c>
      <c r="AF18" s="28">
        <v>1.698247048700001</v>
      </c>
      <c r="AG18" s="28">
        <v>1.415205873916668</v>
      </c>
      <c r="AH18" s="28">
        <v>2.2643293982666681</v>
      </c>
      <c r="AI18" s="28">
        <v>1.9812882234833351</v>
      </c>
      <c r="AJ18" s="28">
        <v>1.9812882234833351</v>
      </c>
      <c r="AK18" s="28">
        <v>1.698247048700001</v>
      </c>
      <c r="AL18" s="28">
        <v>1.415205873916668</v>
      </c>
      <c r="AM18" s="28">
        <v>1.1321646991333341</v>
      </c>
      <c r="AN18" s="28">
        <v>2.2643293982666681</v>
      </c>
      <c r="AO18" s="28">
        <v>2.2643293982666681</v>
      </c>
      <c r="AP18" s="28">
        <v>1.9812882234833351</v>
      </c>
      <c r="AQ18" s="28">
        <v>1.9812882234833351</v>
      </c>
      <c r="AR18" s="28">
        <v>2.2643293982666681</v>
      </c>
      <c r="AS18" s="28">
        <v>2.2643293982666681</v>
      </c>
      <c r="AT18" s="28">
        <v>1.1321646991333341</v>
      </c>
      <c r="AU18" s="28">
        <v>2.2643293982666681</v>
      </c>
      <c r="AV18" s="28">
        <v>1.9812882234833351</v>
      </c>
      <c r="AW18" s="28">
        <v>2.2643293982666681</v>
      </c>
      <c r="AX18" s="28">
        <v>1.415205873916668</v>
      </c>
      <c r="AY18" s="28">
        <v>2.2643293982666681</v>
      </c>
      <c r="AZ18" s="28">
        <v>1.698247048700001</v>
      </c>
      <c r="BA18" s="28">
        <v>1.698247048700001</v>
      </c>
      <c r="BB18" s="28">
        <v>2.2643293982666681</v>
      </c>
      <c r="BC18" s="28">
        <v>2.2643293982666681</v>
      </c>
      <c r="BD18" s="28">
        <v>0.8491235243500006</v>
      </c>
      <c r="BE18" s="28">
        <v>2.2643293982666681</v>
      </c>
      <c r="BF18" s="28">
        <v>1.415205873916668</v>
      </c>
      <c r="BG18" s="28">
        <v>0.8491235243500006</v>
      </c>
      <c r="BH18" s="28">
        <v>1.1321646991333341</v>
      </c>
      <c r="BI18" s="28">
        <v>2.2643293982666681</v>
      </c>
      <c r="BJ18" s="28">
        <v>1.1321646991333341</v>
      </c>
      <c r="BK18" s="28">
        <v>1.9812882234833351</v>
      </c>
      <c r="BL18" s="28">
        <v>1.9812882234833351</v>
      </c>
      <c r="BM18" s="28">
        <v>1.1321646991333341</v>
      </c>
      <c r="BN18" s="28">
        <v>0.8491235243500006</v>
      </c>
      <c r="BO18" s="28">
        <v>1.9812882234833351</v>
      </c>
      <c r="BP18" s="28">
        <v>1.698247048700001</v>
      </c>
      <c r="BQ18" s="28">
        <v>2.2643293982666681</v>
      </c>
      <c r="BR18" s="28">
        <v>1.9812882234833351</v>
      </c>
      <c r="BS18" s="28">
        <v>1.1321646991333341</v>
      </c>
      <c r="BT18" s="28">
        <v>1.698247048700001</v>
      </c>
      <c r="BU18" s="28">
        <v>2.2643293982666681</v>
      </c>
      <c r="BV18" s="28">
        <v>1.698247048700001</v>
      </c>
      <c r="BW18" s="28">
        <v>2.2643293982666681</v>
      </c>
      <c r="BX18" s="28">
        <v>1.9812882234833351</v>
      </c>
      <c r="BY18" s="28">
        <v>2.2643293982666681</v>
      </c>
      <c r="BZ18" s="28">
        <v>1.698247048700001</v>
      </c>
      <c r="CA18" s="28">
        <v>2.2643293982666681</v>
      </c>
      <c r="CB18" s="28">
        <v>1.698247048700001</v>
      </c>
      <c r="CC18" s="28">
        <v>2.2643293982666681</v>
      </c>
      <c r="CD18" s="28">
        <v>1.698247048700001</v>
      </c>
      <c r="CE18" s="28">
        <v>1.415205873916668</v>
      </c>
      <c r="CF18" s="28">
        <v>2.2643293982666681</v>
      </c>
      <c r="CG18" s="28">
        <v>2.2643293982666681</v>
      </c>
      <c r="CH18" s="28">
        <v>2.2643293982666681</v>
      </c>
      <c r="CI18" s="28">
        <v>0.8491235243500006</v>
      </c>
      <c r="CJ18" s="28">
        <v>1.9812882234833351</v>
      </c>
      <c r="CK18" s="28">
        <v>1.415205873916668</v>
      </c>
      <c r="CL18" s="28">
        <v>1.698247048700001</v>
      </c>
      <c r="CM18" s="28">
        <v>1.698247048700001</v>
      </c>
      <c r="CN18" s="28">
        <v>1.1321646991333341</v>
      </c>
      <c r="CO18" s="28">
        <v>1.698247048700001</v>
      </c>
      <c r="CP18" s="28">
        <v>2.2643293982666681</v>
      </c>
      <c r="CQ18" s="28">
        <v>1.1321646991333341</v>
      </c>
      <c r="CR18" s="28">
        <v>0.8491235243500006</v>
      </c>
      <c r="CS18" s="28">
        <v>2.2643293982666681</v>
      </c>
      <c r="CT18" s="28">
        <v>1.9812882234833351</v>
      </c>
      <c r="CU18" s="28">
        <v>1.9812882234833351</v>
      </c>
      <c r="CV18" s="28">
        <v>1.9812882234833351</v>
      </c>
      <c r="CW18" s="28">
        <v>0.8491235243500006</v>
      </c>
      <c r="CX18" s="28">
        <v>0.8491235243500006</v>
      </c>
      <c r="CY18" s="28">
        <v>2.2643293982666681</v>
      </c>
      <c r="CZ18" s="28">
        <v>1.1321646991333341</v>
      </c>
      <c r="DA18" s="28">
        <v>2.2643293982666681</v>
      </c>
      <c r="DB18" s="28">
        <v>1.415205873916668</v>
      </c>
      <c r="DC18" s="28">
        <v>0.8491235243500006</v>
      </c>
      <c r="DD18" s="28">
        <v>1.1321646991333341</v>
      </c>
      <c r="DE18" s="28">
        <v>1.1321646991333341</v>
      </c>
      <c r="DF18" s="28">
        <v>1.9812882234833351</v>
      </c>
      <c r="DG18" s="28">
        <v>2.2643293982666681</v>
      </c>
      <c r="DH18" s="28">
        <v>2.2643293982666681</v>
      </c>
      <c r="DI18" s="28">
        <v>1.9812882234833351</v>
      </c>
      <c r="DJ18" s="28">
        <v>2.2643293982666681</v>
      </c>
      <c r="DK18" s="28">
        <v>1.9812882234833351</v>
      </c>
      <c r="DL18" s="28">
        <v>1.698247048700001</v>
      </c>
      <c r="DM18" s="28">
        <v>2.2643293982666681</v>
      </c>
      <c r="DN18" s="28">
        <v>2.2643293982666681</v>
      </c>
      <c r="DO18" s="28">
        <v>2.2643293982666681</v>
      </c>
      <c r="DP18" s="28">
        <v>1.415205873916668</v>
      </c>
      <c r="DQ18" s="28">
        <v>1.415205873916668</v>
      </c>
      <c r="DR18" s="28">
        <v>2.2643293982666681</v>
      </c>
      <c r="DS18" s="28">
        <v>1.1321646991333341</v>
      </c>
      <c r="DT18" s="28">
        <v>1.1321646991333341</v>
      </c>
      <c r="DU18" s="28">
        <v>1.1321646991333341</v>
      </c>
      <c r="DV18" s="28">
        <v>0.56608234956666703</v>
      </c>
      <c r="DW18" s="28">
        <v>1.741616260965194</v>
      </c>
      <c r="DX18" s="34">
        <v>215.96041635968399</v>
      </c>
    </row>
    <row r="19" spans="1:128" x14ac:dyDescent="0.25">
      <c r="A19" s="24">
        <v>18</v>
      </c>
      <c r="B19" s="26">
        <v>8.5</v>
      </c>
      <c r="C19" s="28">
        <v>1.2683254667999999</v>
      </c>
      <c r="D19" s="28">
        <v>1.5854068335</v>
      </c>
      <c r="E19" s="28">
        <v>1.5854068335</v>
      </c>
      <c r="F19" s="28">
        <v>1.2683254667999999</v>
      </c>
      <c r="G19" s="28">
        <v>2.5366509335999998</v>
      </c>
      <c r="H19" s="28">
        <v>2.5366509335999998</v>
      </c>
      <c r="I19" s="28">
        <v>2.5366509335999998</v>
      </c>
      <c r="J19" s="28">
        <v>1.9024882002000001</v>
      </c>
      <c r="K19" s="28">
        <v>1.2683254667999999</v>
      </c>
      <c r="L19" s="28">
        <v>1.9024882002000001</v>
      </c>
      <c r="M19" s="28">
        <v>2.5366509335999998</v>
      </c>
      <c r="N19" s="28">
        <v>2.5366509335999998</v>
      </c>
      <c r="O19" s="28">
        <v>2.5366509335999998</v>
      </c>
      <c r="P19" s="28">
        <v>2.2195695669000002</v>
      </c>
      <c r="Q19" s="28">
        <v>1.2683254667999999</v>
      </c>
      <c r="R19" s="28">
        <v>0.95124410009999993</v>
      </c>
      <c r="S19" s="28">
        <v>1.2683254667999999</v>
      </c>
      <c r="T19" s="28">
        <v>0.63416273339999996</v>
      </c>
      <c r="U19" s="28">
        <v>2.5366509335999998</v>
      </c>
      <c r="V19" s="28">
        <v>2.5366509335999998</v>
      </c>
      <c r="W19" s="28">
        <v>1.2683254667999999</v>
      </c>
      <c r="X19" s="28">
        <v>1.5854068335</v>
      </c>
      <c r="Y19" s="28">
        <v>1.9024882002000001</v>
      </c>
      <c r="Z19" s="28">
        <v>2.5366509335999998</v>
      </c>
      <c r="AA19" s="28">
        <v>2.2195695669000002</v>
      </c>
      <c r="AB19" s="28">
        <v>1.5854068335</v>
      </c>
      <c r="AC19" s="28">
        <v>2.5366509335999998</v>
      </c>
      <c r="AD19" s="28">
        <v>2.5366509335999998</v>
      </c>
      <c r="AE19" s="28">
        <v>2.5366509335999998</v>
      </c>
      <c r="AF19" s="28">
        <v>1.9024882002000001</v>
      </c>
      <c r="AG19" s="28">
        <v>1.5854068335</v>
      </c>
      <c r="AH19" s="28">
        <v>2.5366509335999998</v>
      </c>
      <c r="AI19" s="28">
        <v>2.2195695669000002</v>
      </c>
      <c r="AJ19" s="28">
        <v>2.2195695669000002</v>
      </c>
      <c r="AK19" s="28">
        <v>1.9024882002000001</v>
      </c>
      <c r="AL19" s="28">
        <v>1.5854068335</v>
      </c>
      <c r="AM19" s="28">
        <v>1.2683254667999999</v>
      </c>
      <c r="AN19" s="28">
        <v>2.5366509335999998</v>
      </c>
      <c r="AO19" s="28">
        <v>2.5366509335999998</v>
      </c>
      <c r="AP19" s="28">
        <v>2.2195695669000002</v>
      </c>
      <c r="AQ19" s="28">
        <v>2.2195695669000002</v>
      </c>
      <c r="AR19" s="28">
        <v>2.5366509335999998</v>
      </c>
      <c r="AS19" s="28">
        <v>2.5366509335999998</v>
      </c>
      <c r="AT19" s="28">
        <v>1.2683254667999999</v>
      </c>
      <c r="AU19" s="28">
        <v>2.5366509335999998</v>
      </c>
      <c r="AV19" s="28">
        <v>2.2195695669000002</v>
      </c>
      <c r="AW19" s="28">
        <v>2.5366509335999998</v>
      </c>
      <c r="AX19" s="28">
        <v>1.5854068335</v>
      </c>
      <c r="AY19" s="28">
        <v>2.5366509335999998</v>
      </c>
      <c r="AZ19" s="28">
        <v>1.9024882002000001</v>
      </c>
      <c r="BA19" s="28">
        <v>1.9024882002000001</v>
      </c>
      <c r="BB19" s="28">
        <v>2.5366509335999998</v>
      </c>
      <c r="BC19" s="28">
        <v>2.5366509335999998</v>
      </c>
      <c r="BD19" s="28">
        <v>0.95124410009999993</v>
      </c>
      <c r="BE19" s="28">
        <v>2.5366509335999998</v>
      </c>
      <c r="BF19" s="28">
        <v>1.5854068335</v>
      </c>
      <c r="BG19" s="28">
        <v>0.95124410009999993</v>
      </c>
      <c r="BH19" s="28">
        <v>1.2683254667999999</v>
      </c>
      <c r="BI19" s="28">
        <v>2.5366509335999998</v>
      </c>
      <c r="BJ19" s="28">
        <v>1.2683254667999999</v>
      </c>
      <c r="BK19" s="28">
        <v>2.2195695669000002</v>
      </c>
      <c r="BL19" s="28">
        <v>2.2195695669000002</v>
      </c>
      <c r="BM19" s="28">
        <v>1.2683254667999999</v>
      </c>
      <c r="BN19" s="28">
        <v>0.95124410009999993</v>
      </c>
      <c r="BO19" s="28">
        <v>2.2195695669000002</v>
      </c>
      <c r="BP19" s="28">
        <v>1.9024882002000001</v>
      </c>
      <c r="BQ19" s="28">
        <v>2.5366509335999998</v>
      </c>
      <c r="BR19" s="28">
        <v>2.2195695669000002</v>
      </c>
      <c r="BS19" s="28">
        <v>1.2683254667999999</v>
      </c>
      <c r="BT19" s="28">
        <v>1.9024882002000001</v>
      </c>
      <c r="BU19" s="28">
        <v>2.5366509335999998</v>
      </c>
      <c r="BV19" s="28">
        <v>1.9024882002000001</v>
      </c>
      <c r="BW19" s="28">
        <v>2.5366509335999998</v>
      </c>
      <c r="BX19" s="28">
        <v>2.2195695669000002</v>
      </c>
      <c r="BY19" s="28">
        <v>2.5366509335999998</v>
      </c>
      <c r="BZ19" s="28">
        <v>1.9024882002000001</v>
      </c>
      <c r="CA19" s="28">
        <v>2.5366509335999998</v>
      </c>
      <c r="CB19" s="28">
        <v>1.9024882002000001</v>
      </c>
      <c r="CC19" s="28">
        <v>2.5366509335999998</v>
      </c>
      <c r="CD19" s="28">
        <v>1.9024882002000001</v>
      </c>
      <c r="CE19" s="28">
        <v>1.5854068335</v>
      </c>
      <c r="CF19" s="28">
        <v>2.5366509335999998</v>
      </c>
      <c r="CG19" s="28">
        <v>2.5366509335999998</v>
      </c>
      <c r="CH19" s="28">
        <v>2.5366509335999998</v>
      </c>
      <c r="CI19" s="28">
        <v>0.95124410009999993</v>
      </c>
      <c r="CJ19" s="28">
        <v>2.2195695669000002</v>
      </c>
      <c r="CK19" s="28">
        <v>1.5854068335</v>
      </c>
      <c r="CL19" s="28">
        <v>1.9024882002000001</v>
      </c>
      <c r="CM19" s="28">
        <v>1.9024882002000001</v>
      </c>
      <c r="CN19" s="28">
        <v>1.2683254667999999</v>
      </c>
      <c r="CO19" s="28">
        <v>1.9024882002000001</v>
      </c>
      <c r="CP19" s="28">
        <v>2.5366509335999998</v>
      </c>
      <c r="CQ19" s="28">
        <v>1.2683254667999999</v>
      </c>
      <c r="CR19" s="28">
        <v>0.95124410009999993</v>
      </c>
      <c r="CS19" s="28">
        <v>2.5366509335999998</v>
      </c>
      <c r="CT19" s="28">
        <v>2.2195695669000002</v>
      </c>
      <c r="CU19" s="28">
        <v>2.2195695669000002</v>
      </c>
      <c r="CV19" s="28">
        <v>2.2195695669000002</v>
      </c>
      <c r="CW19" s="28">
        <v>0.95124410009999993</v>
      </c>
      <c r="CX19" s="28">
        <v>0.95124410009999993</v>
      </c>
      <c r="CY19" s="28">
        <v>2.5366509335999998</v>
      </c>
      <c r="CZ19" s="28">
        <v>1.2683254667999999</v>
      </c>
      <c r="DA19" s="28">
        <v>2.5366509335999998</v>
      </c>
      <c r="DB19" s="28">
        <v>1.5854068335</v>
      </c>
      <c r="DC19" s="28">
        <v>0.95124410009999993</v>
      </c>
      <c r="DD19" s="28">
        <v>1.2683254667999999</v>
      </c>
      <c r="DE19" s="28">
        <v>1.2683254667999999</v>
      </c>
      <c r="DF19" s="28">
        <v>2.2195695669000002</v>
      </c>
      <c r="DG19" s="28">
        <v>2.5366509335999998</v>
      </c>
      <c r="DH19" s="28">
        <v>2.5366509335999998</v>
      </c>
      <c r="DI19" s="28">
        <v>2.2195695669000002</v>
      </c>
      <c r="DJ19" s="28">
        <v>2.5366509335999998</v>
      </c>
      <c r="DK19" s="28">
        <v>2.2195695669000002</v>
      </c>
      <c r="DL19" s="28">
        <v>1.9024882002000001</v>
      </c>
      <c r="DM19" s="28">
        <v>2.5366509335999998</v>
      </c>
      <c r="DN19" s="28">
        <v>2.5366509335999998</v>
      </c>
      <c r="DO19" s="28">
        <v>2.5366509335999998</v>
      </c>
      <c r="DP19" s="28">
        <v>1.5854068335</v>
      </c>
      <c r="DQ19" s="28">
        <v>1.5854068335</v>
      </c>
      <c r="DR19" s="28">
        <v>2.5366509335999998</v>
      </c>
      <c r="DS19" s="28">
        <v>1.2683254667999999</v>
      </c>
      <c r="DT19" s="28">
        <v>1.2683254667999999</v>
      </c>
      <c r="DU19" s="28">
        <v>1.2683254667999999</v>
      </c>
      <c r="DV19" s="28">
        <v>0.63416273339999996</v>
      </c>
      <c r="DW19" s="28">
        <v>1.951073248323385</v>
      </c>
      <c r="DX19" s="34">
        <v>241.93308279209981</v>
      </c>
    </row>
    <row r="20" spans="1:128" x14ac:dyDescent="0.25">
      <c r="A20" s="24">
        <v>19</v>
      </c>
      <c r="B20" s="26">
        <v>9</v>
      </c>
      <c r="C20" s="28">
        <v>1.384287681333334</v>
      </c>
      <c r="D20" s="28">
        <v>1.730359601666668</v>
      </c>
      <c r="E20" s="28">
        <v>1.730359601666668</v>
      </c>
      <c r="F20" s="28">
        <v>1.384287681333334</v>
      </c>
      <c r="G20" s="28">
        <v>2.768575362666668</v>
      </c>
      <c r="H20" s="28">
        <v>2.768575362666668</v>
      </c>
      <c r="I20" s="28">
        <v>2.768575362666668</v>
      </c>
      <c r="J20" s="28">
        <v>2.0764315220000009</v>
      </c>
      <c r="K20" s="28">
        <v>1.384287681333334</v>
      </c>
      <c r="L20" s="28">
        <v>2.0764315220000009</v>
      </c>
      <c r="M20" s="28">
        <v>2.768575362666668</v>
      </c>
      <c r="N20" s="28">
        <v>2.768575362666668</v>
      </c>
      <c r="O20" s="28">
        <v>2.768575362666668</v>
      </c>
      <c r="P20" s="28">
        <v>2.4225034423333351</v>
      </c>
      <c r="Q20" s="28">
        <v>1.384287681333334</v>
      </c>
      <c r="R20" s="28">
        <v>1.038215761</v>
      </c>
      <c r="S20" s="28">
        <v>1.384287681333334</v>
      </c>
      <c r="T20" s="28">
        <v>0.69214384066666701</v>
      </c>
      <c r="U20" s="28">
        <v>2.768575362666668</v>
      </c>
      <c r="V20" s="28">
        <v>2.768575362666668</v>
      </c>
      <c r="W20" s="28">
        <v>1.384287681333334</v>
      </c>
      <c r="X20" s="28">
        <v>1.730359601666668</v>
      </c>
      <c r="Y20" s="28">
        <v>2.0764315220000009</v>
      </c>
      <c r="Z20" s="28">
        <v>2.768575362666668</v>
      </c>
      <c r="AA20" s="28">
        <v>2.4225034423333351</v>
      </c>
      <c r="AB20" s="28">
        <v>1.730359601666668</v>
      </c>
      <c r="AC20" s="28">
        <v>2.768575362666668</v>
      </c>
      <c r="AD20" s="28">
        <v>2.768575362666668</v>
      </c>
      <c r="AE20" s="28">
        <v>2.768575362666668</v>
      </c>
      <c r="AF20" s="28">
        <v>2.0764315220000009</v>
      </c>
      <c r="AG20" s="28">
        <v>1.730359601666668</v>
      </c>
      <c r="AH20" s="28">
        <v>2.768575362666668</v>
      </c>
      <c r="AI20" s="28">
        <v>2.4225034423333351</v>
      </c>
      <c r="AJ20" s="28">
        <v>2.4225034423333351</v>
      </c>
      <c r="AK20" s="28">
        <v>2.0764315220000009</v>
      </c>
      <c r="AL20" s="28">
        <v>1.730359601666668</v>
      </c>
      <c r="AM20" s="28">
        <v>1.384287681333334</v>
      </c>
      <c r="AN20" s="28">
        <v>2.768575362666668</v>
      </c>
      <c r="AO20" s="28">
        <v>2.768575362666668</v>
      </c>
      <c r="AP20" s="28">
        <v>2.4225034423333351</v>
      </c>
      <c r="AQ20" s="28">
        <v>2.4225034423333351</v>
      </c>
      <c r="AR20" s="28">
        <v>2.768575362666668</v>
      </c>
      <c r="AS20" s="28">
        <v>2.768575362666668</v>
      </c>
      <c r="AT20" s="28">
        <v>1.384287681333334</v>
      </c>
      <c r="AU20" s="28">
        <v>2.768575362666668</v>
      </c>
      <c r="AV20" s="28">
        <v>2.4225034423333351</v>
      </c>
      <c r="AW20" s="28">
        <v>2.768575362666668</v>
      </c>
      <c r="AX20" s="28">
        <v>1.730359601666668</v>
      </c>
      <c r="AY20" s="28">
        <v>2.768575362666668</v>
      </c>
      <c r="AZ20" s="28">
        <v>2.0764315220000009</v>
      </c>
      <c r="BA20" s="28">
        <v>2.0764315220000009</v>
      </c>
      <c r="BB20" s="28">
        <v>2.768575362666668</v>
      </c>
      <c r="BC20" s="28">
        <v>2.768575362666668</v>
      </c>
      <c r="BD20" s="28">
        <v>1.038215761</v>
      </c>
      <c r="BE20" s="28">
        <v>2.768575362666668</v>
      </c>
      <c r="BF20" s="28">
        <v>1.730359601666668</v>
      </c>
      <c r="BG20" s="28">
        <v>1.038215761</v>
      </c>
      <c r="BH20" s="28">
        <v>1.384287681333334</v>
      </c>
      <c r="BI20" s="28">
        <v>2.768575362666668</v>
      </c>
      <c r="BJ20" s="28">
        <v>1.384287681333334</v>
      </c>
      <c r="BK20" s="28">
        <v>2.4225034423333351</v>
      </c>
      <c r="BL20" s="28">
        <v>2.4225034423333351</v>
      </c>
      <c r="BM20" s="28">
        <v>1.384287681333334</v>
      </c>
      <c r="BN20" s="28">
        <v>1.038215761</v>
      </c>
      <c r="BO20" s="28">
        <v>2.4225034423333351</v>
      </c>
      <c r="BP20" s="28">
        <v>2.0764315220000009</v>
      </c>
      <c r="BQ20" s="28">
        <v>2.768575362666668</v>
      </c>
      <c r="BR20" s="28">
        <v>2.4225034423333351</v>
      </c>
      <c r="BS20" s="28">
        <v>1.384287681333334</v>
      </c>
      <c r="BT20" s="28">
        <v>2.0764315220000009</v>
      </c>
      <c r="BU20" s="28">
        <v>2.768575362666668</v>
      </c>
      <c r="BV20" s="28">
        <v>2.0764315220000009</v>
      </c>
      <c r="BW20" s="28">
        <v>2.768575362666668</v>
      </c>
      <c r="BX20" s="28">
        <v>2.4225034423333351</v>
      </c>
      <c r="BY20" s="28">
        <v>2.768575362666668</v>
      </c>
      <c r="BZ20" s="28">
        <v>2.0764315220000009</v>
      </c>
      <c r="CA20" s="28">
        <v>2.768575362666668</v>
      </c>
      <c r="CB20" s="28">
        <v>2.0764315220000009</v>
      </c>
      <c r="CC20" s="28">
        <v>2.768575362666668</v>
      </c>
      <c r="CD20" s="28">
        <v>2.0764315220000009</v>
      </c>
      <c r="CE20" s="28">
        <v>1.730359601666668</v>
      </c>
      <c r="CF20" s="28">
        <v>2.768575362666668</v>
      </c>
      <c r="CG20" s="28">
        <v>2.768575362666668</v>
      </c>
      <c r="CH20" s="28">
        <v>2.768575362666668</v>
      </c>
      <c r="CI20" s="28">
        <v>1.038215761</v>
      </c>
      <c r="CJ20" s="28">
        <v>2.4225034423333351</v>
      </c>
      <c r="CK20" s="28">
        <v>1.730359601666668</v>
      </c>
      <c r="CL20" s="28">
        <v>2.0764315220000009</v>
      </c>
      <c r="CM20" s="28">
        <v>2.0764315220000009</v>
      </c>
      <c r="CN20" s="28">
        <v>1.384287681333334</v>
      </c>
      <c r="CO20" s="28">
        <v>2.0764315220000009</v>
      </c>
      <c r="CP20" s="28">
        <v>2.768575362666668</v>
      </c>
      <c r="CQ20" s="28">
        <v>1.384287681333334</v>
      </c>
      <c r="CR20" s="28">
        <v>1.038215761</v>
      </c>
      <c r="CS20" s="28">
        <v>2.768575362666668</v>
      </c>
      <c r="CT20" s="28">
        <v>2.4225034423333351</v>
      </c>
      <c r="CU20" s="28">
        <v>2.4225034423333351</v>
      </c>
      <c r="CV20" s="28">
        <v>2.4225034423333351</v>
      </c>
      <c r="CW20" s="28">
        <v>1.038215761</v>
      </c>
      <c r="CX20" s="28">
        <v>1.038215761</v>
      </c>
      <c r="CY20" s="28">
        <v>2.768575362666668</v>
      </c>
      <c r="CZ20" s="28">
        <v>1.384287681333334</v>
      </c>
      <c r="DA20" s="28">
        <v>2.768575362666668</v>
      </c>
      <c r="DB20" s="28">
        <v>1.730359601666668</v>
      </c>
      <c r="DC20" s="28">
        <v>1.038215761</v>
      </c>
      <c r="DD20" s="28">
        <v>1.384287681333334</v>
      </c>
      <c r="DE20" s="28">
        <v>1.384287681333334</v>
      </c>
      <c r="DF20" s="28">
        <v>2.4225034423333351</v>
      </c>
      <c r="DG20" s="28">
        <v>2.768575362666668</v>
      </c>
      <c r="DH20" s="28">
        <v>2.768575362666668</v>
      </c>
      <c r="DI20" s="28">
        <v>2.4225034423333351</v>
      </c>
      <c r="DJ20" s="28">
        <v>2.768575362666668</v>
      </c>
      <c r="DK20" s="28">
        <v>2.4225034423333351</v>
      </c>
      <c r="DL20" s="28">
        <v>2.0764315220000009</v>
      </c>
      <c r="DM20" s="28">
        <v>2.768575362666668</v>
      </c>
      <c r="DN20" s="28">
        <v>2.768575362666668</v>
      </c>
      <c r="DO20" s="28">
        <v>2.768575362666668</v>
      </c>
      <c r="DP20" s="28">
        <v>1.730359601666668</v>
      </c>
      <c r="DQ20" s="28">
        <v>1.730359601666668</v>
      </c>
      <c r="DR20" s="28">
        <v>2.768575362666668</v>
      </c>
      <c r="DS20" s="28">
        <v>1.384287681333334</v>
      </c>
      <c r="DT20" s="28">
        <v>1.384287681333334</v>
      </c>
      <c r="DU20" s="28">
        <v>1.384287681333334</v>
      </c>
      <c r="DV20" s="28">
        <v>0.69214384066666701</v>
      </c>
      <c r="DW20" s="28">
        <v>2.1294586710833352</v>
      </c>
      <c r="DX20" s="34">
        <v>264.05287521433348</v>
      </c>
    </row>
    <row r="21" spans="1:128" x14ac:dyDescent="0.25">
      <c r="A21" s="24">
        <v>20</v>
      </c>
      <c r="B21" s="26">
        <v>9.5</v>
      </c>
      <c r="C21" s="28">
        <v>1.4831917030666659</v>
      </c>
      <c r="D21" s="28">
        <v>1.853989628833332</v>
      </c>
      <c r="E21" s="28">
        <v>1.853989628833332</v>
      </c>
      <c r="F21" s="28">
        <v>1.4831917030666659</v>
      </c>
      <c r="G21" s="28">
        <v>2.9663834061333318</v>
      </c>
      <c r="H21" s="28">
        <v>2.9663834061333318</v>
      </c>
      <c r="I21" s="28">
        <v>2.9663834061333318</v>
      </c>
      <c r="J21" s="28">
        <v>2.2247875545999989</v>
      </c>
      <c r="K21" s="28">
        <v>1.4831917030666659</v>
      </c>
      <c r="L21" s="28">
        <v>2.2247875545999989</v>
      </c>
      <c r="M21" s="28">
        <v>2.9663834061333318</v>
      </c>
      <c r="N21" s="28">
        <v>2.9663834061333318</v>
      </c>
      <c r="O21" s="28">
        <v>2.9663834061333318</v>
      </c>
      <c r="P21" s="28">
        <v>2.5955854803666649</v>
      </c>
      <c r="Q21" s="28">
        <v>1.4831917030666659</v>
      </c>
      <c r="R21" s="28">
        <v>1.112393777299999</v>
      </c>
      <c r="S21" s="28">
        <v>1.4831917030666659</v>
      </c>
      <c r="T21" s="28">
        <v>0.74159585153333296</v>
      </c>
      <c r="U21" s="28">
        <v>2.9663834061333318</v>
      </c>
      <c r="V21" s="28">
        <v>2.9663834061333318</v>
      </c>
      <c r="W21" s="28">
        <v>1.4831917030666659</v>
      </c>
      <c r="X21" s="28">
        <v>1.853989628833332</v>
      </c>
      <c r="Y21" s="28">
        <v>2.2247875545999989</v>
      </c>
      <c r="Z21" s="28">
        <v>2.9663834061333318</v>
      </c>
      <c r="AA21" s="28">
        <v>2.5955854803666649</v>
      </c>
      <c r="AB21" s="28">
        <v>1.853989628833332</v>
      </c>
      <c r="AC21" s="28">
        <v>2.9663834061333318</v>
      </c>
      <c r="AD21" s="28">
        <v>2.9663834061333318</v>
      </c>
      <c r="AE21" s="28">
        <v>2.9663834061333318</v>
      </c>
      <c r="AF21" s="28">
        <v>2.2247875545999989</v>
      </c>
      <c r="AG21" s="28">
        <v>1.853989628833332</v>
      </c>
      <c r="AH21" s="28">
        <v>2.9663834061333318</v>
      </c>
      <c r="AI21" s="28">
        <v>2.5955854803666649</v>
      </c>
      <c r="AJ21" s="28">
        <v>2.5955854803666649</v>
      </c>
      <c r="AK21" s="28">
        <v>2.2247875545999989</v>
      </c>
      <c r="AL21" s="28">
        <v>1.853989628833332</v>
      </c>
      <c r="AM21" s="28">
        <v>1.4831917030666659</v>
      </c>
      <c r="AN21" s="28">
        <v>2.9663834061333318</v>
      </c>
      <c r="AO21" s="28">
        <v>2.9663834061333318</v>
      </c>
      <c r="AP21" s="28">
        <v>2.5955854803666649</v>
      </c>
      <c r="AQ21" s="28">
        <v>2.5955854803666649</v>
      </c>
      <c r="AR21" s="28">
        <v>2.9663834061333318</v>
      </c>
      <c r="AS21" s="28">
        <v>2.9663834061333318</v>
      </c>
      <c r="AT21" s="28">
        <v>1.4831917030666659</v>
      </c>
      <c r="AU21" s="28">
        <v>2.9663834061333318</v>
      </c>
      <c r="AV21" s="28">
        <v>2.5955854803666649</v>
      </c>
      <c r="AW21" s="28">
        <v>2.9663834061333318</v>
      </c>
      <c r="AX21" s="28">
        <v>1.853989628833332</v>
      </c>
      <c r="AY21" s="28">
        <v>2.9663834061333318</v>
      </c>
      <c r="AZ21" s="28">
        <v>2.2247875545999989</v>
      </c>
      <c r="BA21" s="28">
        <v>2.2247875545999989</v>
      </c>
      <c r="BB21" s="28">
        <v>2.9663834061333318</v>
      </c>
      <c r="BC21" s="28">
        <v>2.9663834061333318</v>
      </c>
      <c r="BD21" s="28">
        <v>1.112393777299999</v>
      </c>
      <c r="BE21" s="28">
        <v>2.9663834061333318</v>
      </c>
      <c r="BF21" s="28">
        <v>1.853989628833332</v>
      </c>
      <c r="BG21" s="28">
        <v>1.112393777299999</v>
      </c>
      <c r="BH21" s="28">
        <v>1.4831917030666659</v>
      </c>
      <c r="BI21" s="28">
        <v>2.9663834061333318</v>
      </c>
      <c r="BJ21" s="28">
        <v>1.4831917030666659</v>
      </c>
      <c r="BK21" s="28">
        <v>2.5955854803666649</v>
      </c>
      <c r="BL21" s="28">
        <v>2.5955854803666649</v>
      </c>
      <c r="BM21" s="28">
        <v>1.4831917030666659</v>
      </c>
      <c r="BN21" s="28">
        <v>1.112393777299999</v>
      </c>
      <c r="BO21" s="28">
        <v>2.5955854803666649</v>
      </c>
      <c r="BP21" s="28">
        <v>2.2247875545999989</v>
      </c>
      <c r="BQ21" s="28">
        <v>2.9663834061333318</v>
      </c>
      <c r="BR21" s="28">
        <v>2.5955854803666649</v>
      </c>
      <c r="BS21" s="28">
        <v>1.4831917030666659</v>
      </c>
      <c r="BT21" s="28">
        <v>2.2247875545999989</v>
      </c>
      <c r="BU21" s="28">
        <v>2.9663834061333318</v>
      </c>
      <c r="BV21" s="28">
        <v>2.2247875545999989</v>
      </c>
      <c r="BW21" s="28">
        <v>2.9663834061333318</v>
      </c>
      <c r="BX21" s="28">
        <v>2.5955854803666649</v>
      </c>
      <c r="BY21" s="28">
        <v>2.9663834061333318</v>
      </c>
      <c r="BZ21" s="28">
        <v>2.2247875545999989</v>
      </c>
      <c r="CA21" s="28">
        <v>2.9663834061333318</v>
      </c>
      <c r="CB21" s="28">
        <v>2.2247875545999989</v>
      </c>
      <c r="CC21" s="28">
        <v>2.9663834061333318</v>
      </c>
      <c r="CD21" s="28">
        <v>2.2247875545999989</v>
      </c>
      <c r="CE21" s="28">
        <v>1.853989628833332</v>
      </c>
      <c r="CF21" s="28">
        <v>2.9663834061333318</v>
      </c>
      <c r="CG21" s="28">
        <v>2.9663834061333318</v>
      </c>
      <c r="CH21" s="28">
        <v>2.9663834061333318</v>
      </c>
      <c r="CI21" s="28">
        <v>1.112393777299999</v>
      </c>
      <c r="CJ21" s="28">
        <v>2.5955854803666649</v>
      </c>
      <c r="CK21" s="28">
        <v>1.853989628833332</v>
      </c>
      <c r="CL21" s="28">
        <v>2.2247875545999989</v>
      </c>
      <c r="CM21" s="28">
        <v>2.2247875545999989</v>
      </c>
      <c r="CN21" s="28">
        <v>1.4831917030666659</v>
      </c>
      <c r="CO21" s="28">
        <v>2.2247875545999989</v>
      </c>
      <c r="CP21" s="28">
        <v>2.9663834061333318</v>
      </c>
      <c r="CQ21" s="28">
        <v>1.4831917030666659</v>
      </c>
      <c r="CR21" s="28">
        <v>1.112393777299999</v>
      </c>
      <c r="CS21" s="28">
        <v>2.9663834061333318</v>
      </c>
      <c r="CT21" s="28">
        <v>2.5955854803666649</v>
      </c>
      <c r="CU21" s="28">
        <v>2.5955854803666649</v>
      </c>
      <c r="CV21" s="28">
        <v>2.5955854803666649</v>
      </c>
      <c r="CW21" s="28">
        <v>1.112393777299999</v>
      </c>
      <c r="CX21" s="28">
        <v>1.112393777299999</v>
      </c>
      <c r="CY21" s="28">
        <v>2.9663834061333318</v>
      </c>
      <c r="CZ21" s="28">
        <v>1.4831917030666659</v>
      </c>
      <c r="DA21" s="28">
        <v>2.9663834061333318</v>
      </c>
      <c r="DB21" s="28">
        <v>1.853989628833332</v>
      </c>
      <c r="DC21" s="28">
        <v>1.112393777299999</v>
      </c>
      <c r="DD21" s="28">
        <v>1.4831917030666659</v>
      </c>
      <c r="DE21" s="28">
        <v>1.4831917030666659</v>
      </c>
      <c r="DF21" s="28">
        <v>2.5955854803666649</v>
      </c>
      <c r="DG21" s="28">
        <v>2.9663834061333318</v>
      </c>
      <c r="DH21" s="28">
        <v>2.9663834061333318</v>
      </c>
      <c r="DI21" s="28">
        <v>2.5955854803666649</v>
      </c>
      <c r="DJ21" s="28">
        <v>2.9663834061333318</v>
      </c>
      <c r="DK21" s="28">
        <v>2.5955854803666649</v>
      </c>
      <c r="DL21" s="28">
        <v>2.2247875545999989</v>
      </c>
      <c r="DM21" s="28">
        <v>2.9663834061333318</v>
      </c>
      <c r="DN21" s="28">
        <v>2.9663834061333318</v>
      </c>
      <c r="DO21" s="28">
        <v>2.9663834061333318</v>
      </c>
      <c r="DP21" s="28">
        <v>1.853989628833332</v>
      </c>
      <c r="DQ21" s="28">
        <v>1.853989628833332</v>
      </c>
      <c r="DR21" s="28">
        <v>2.9663834061333318</v>
      </c>
      <c r="DS21" s="28">
        <v>1.4831917030666659</v>
      </c>
      <c r="DT21" s="28">
        <v>1.4831917030666659</v>
      </c>
      <c r="DU21" s="28">
        <v>1.4831917030666659</v>
      </c>
      <c r="DV21" s="28">
        <v>0.74159585153333296</v>
      </c>
      <c r="DW21" s="28">
        <v>2.2816033658061792</v>
      </c>
      <c r="DX21" s="34">
        <v>282.91881735996623</v>
      </c>
    </row>
    <row r="22" spans="1:128" x14ac:dyDescent="0.25">
      <c r="A22" s="24">
        <v>21</v>
      </c>
      <c r="B22" s="26">
        <v>10</v>
      </c>
      <c r="C22" s="28">
        <v>1.5700044715333339</v>
      </c>
      <c r="D22" s="28">
        <v>1.962505589416667</v>
      </c>
      <c r="E22" s="28">
        <v>1.962505589416667</v>
      </c>
      <c r="F22" s="28">
        <v>1.5700044715333339</v>
      </c>
      <c r="G22" s="28">
        <v>3.1400089430666678</v>
      </c>
      <c r="H22" s="28">
        <v>3.1400089430666678</v>
      </c>
      <c r="I22" s="28">
        <v>3.1400089430666678</v>
      </c>
      <c r="J22" s="28">
        <v>2.3550067073000012</v>
      </c>
      <c r="K22" s="28">
        <v>1.5700044715333339</v>
      </c>
      <c r="L22" s="28">
        <v>2.3550067073000012</v>
      </c>
      <c r="M22" s="28">
        <v>3.1400089430666678</v>
      </c>
      <c r="N22" s="28">
        <v>3.1400089430666678</v>
      </c>
      <c r="O22" s="28">
        <v>3.1400089430666678</v>
      </c>
      <c r="P22" s="28">
        <v>2.7475078251833338</v>
      </c>
      <c r="Q22" s="28">
        <v>1.5700044715333339</v>
      </c>
      <c r="R22" s="28">
        <v>1.1775033536499999</v>
      </c>
      <c r="S22" s="28">
        <v>1.5700044715333339</v>
      </c>
      <c r="T22" s="28">
        <v>0.78500223576666694</v>
      </c>
      <c r="U22" s="28">
        <v>3.1400089430666678</v>
      </c>
      <c r="V22" s="28">
        <v>3.1400089430666678</v>
      </c>
      <c r="W22" s="28">
        <v>1.5700044715333339</v>
      </c>
      <c r="X22" s="28">
        <v>1.962505589416667</v>
      </c>
      <c r="Y22" s="28">
        <v>2.3550067073000012</v>
      </c>
      <c r="Z22" s="28">
        <v>3.1400089430666678</v>
      </c>
      <c r="AA22" s="28">
        <v>2.7475078251833338</v>
      </c>
      <c r="AB22" s="28">
        <v>1.962505589416667</v>
      </c>
      <c r="AC22" s="28">
        <v>3.1400089430666678</v>
      </c>
      <c r="AD22" s="28">
        <v>3.1400089430666678</v>
      </c>
      <c r="AE22" s="28">
        <v>3.1400089430666678</v>
      </c>
      <c r="AF22" s="28">
        <v>2.3550067073000012</v>
      </c>
      <c r="AG22" s="28">
        <v>1.962505589416667</v>
      </c>
      <c r="AH22" s="28">
        <v>3.1400089430666678</v>
      </c>
      <c r="AI22" s="28">
        <v>2.7475078251833338</v>
      </c>
      <c r="AJ22" s="28">
        <v>2.7475078251833338</v>
      </c>
      <c r="AK22" s="28">
        <v>2.3550067073000012</v>
      </c>
      <c r="AL22" s="28">
        <v>1.962505589416667</v>
      </c>
      <c r="AM22" s="28">
        <v>1.5700044715333339</v>
      </c>
      <c r="AN22" s="28">
        <v>3.1400089430666678</v>
      </c>
      <c r="AO22" s="28">
        <v>3.1400089430666678</v>
      </c>
      <c r="AP22" s="28">
        <v>2.7475078251833338</v>
      </c>
      <c r="AQ22" s="28">
        <v>2.7475078251833338</v>
      </c>
      <c r="AR22" s="28">
        <v>3.1400089430666678</v>
      </c>
      <c r="AS22" s="28">
        <v>3.1400089430666678</v>
      </c>
      <c r="AT22" s="28">
        <v>1.5700044715333339</v>
      </c>
      <c r="AU22" s="28">
        <v>3.1400089430666678</v>
      </c>
      <c r="AV22" s="28">
        <v>2.7475078251833338</v>
      </c>
      <c r="AW22" s="28">
        <v>3.1400089430666678</v>
      </c>
      <c r="AX22" s="28">
        <v>1.962505589416667</v>
      </c>
      <c r="AY22" s="28">
        <v>3.1400089430666678</v>
      </c>
      <c r="AZ22" s="28">
        <v>2.3550067073000012</v>
      </c>
      <c r="BA22" s="28">
        <v>2.3550067073000012</v>
      </c>
      <c r="BB22" s="28">
        <v>3.1400089430666678</v>
      </c>
      <c r="BC22" s="28">
        <v>3.1400089430666678</v>
      </c>
      <c r="BD22" s="28">
        <v>1.1775033536499999</v>
      </c>
      <c r="BE22" s="28">
        <v>3.1400089430666678</v>
      </c>
      <c r="BF22" s="28">
        <v>1.962505589416667</v>
      </c>
      <c r="BG22" s="28">
        <v>1.1775033536499999</v>
      </c>
      <c r="BH22" s="28">
        <v>1.5700044715333339</v>
      </c>
      <c r="BI22" s="28">
        <v>3.1400089430666678</v>
      </c>
      <c r="BJ22" s="28">
        <v>1.5700044715333339</v>
      </c>
      <c r="BK22" s="28">
        <v>2.7475078251833338</v>
      </c>
      <c r="BL22" s="28">
        <v>2.7475078251833338</v>
      </c>
      <c r="BM22" s="28">
        <v>1.5700044715333339</v>
      </c>
      <c r="BN22" s="28">
        <v>1.1775033536499999</v>
      </c>
      <c r="BO22" s="28">
        <v>2.7475078251833338</v>
      </c>
      <c r="BP22" s="28">
        <v>2.3550067073000012</v>
      </c>
      <c r="BQ22" s="28">
        <v>3.1400089430666678</v>
      </c>
      <c r="BR22" s="28">
        <v>2.7475078251833338</v>
      </c>
      <c r="BS22" s="28">
        <v>1.5700044715333339</v>
      </c>
      <c r="BT22" s="28">
        <v>2.3550067073000012</v>
      </c>
      <c r="BU22" s="28">
        <v>3.1400089430666678</v>
      </c>
      <c r="BV22" s="28">
        <v>2.3550067073000012</v>
      </c>
      <c r="BW22" s="28">
        <v>3.1400089430666678</v>
      </c>
      <c r="BX22" s="28">
        <v>2.7475078251833338</v>
      </c>
      <c r="BY22" s="28">
        <v>3.1400089430666678</v>
      </c>
      <c r="BZ22" s="28">
        <v>2.3550067073000012</v>
      </c>
      <c r="CA22" s="28">
        <v>3.1400089430666678</v>
      </c>
      <c r="CB22" s="28">
        <v>2.3550067073000012</v>
      </c>
      <c r="CC22" s="28">
        <v>3.1400089430666678</v>
      </c>
      <c r="CD22" s="28">
        <v>2.3550067073000012</v>
      </c>
      <c r="CE22" s="28">
        <v>1.962505589416667</v>
      </c>
      <c r="CF22" s="28">
        <v>3.1400089430666678</v>
      </c>
      <c r="CG22" s="28">
        <v>3.1400089430666678</v>
      </c>
      <c r="CH22" s="28">
        <v>3.1400089430666678</v>
      </c>
      <c r="CI22" s="28">
        <v>1.1775033536499999</v>
      </c>
      <c r="CJ22" s="28">
        <v>2.7475078251833338</v>
      </c>
      <c r="CK22" s="28">
        <v>1.962505589416667</v>
      </c>
      <c r="CL22" s="28">
        <v>2.3550067073000012</v>
      </c>
      <c r="CM22" s="28">
        <v>2.3550067073000012</v>
      </c>
      <c r="CN22" s="28">
        <v>1.5700044715333339</v>
      </c>
      <c r="CO22" s="28">
        <v>2.3550067073000012</v>
      </c>
      <c r="CP22" s="28">
        <v>3.1400089430666678</v>
      </c>
      <c r="CQ22" s="28">
        <v>1.5700044715333339</v>
      </c>
      <c r="CR22" s="28">
        <v>1.1775033536499999</v>
      </c>
      <c r="CS22" s="28">
        <v>3.1400089430666678</v>
      </c>
      <c r="CT22" s="28">
        <v>2.7475078251833338</v>
      </c>
      <c r="CU22" s="28">
        <v>2.7475078251833338</v>
      </c>
      <c r="CV22" s="28">
        <v>2.7475078251833338</v>
      </c>
      <c r="CW22" s="28">
        <v>1.1775033536499999</v>
      </c>
      <c r="CX22" s="28">
        <v>1.1775033536499999</v>
      </c>
      <c r="CY22" s="28">
        <v>3.1400089430666678</v>
      </c>
      <c r="CZ22" s="28">
        <v>1.5700044715333339</v>
      </c>
      <c r="DA22" s="28">
        <v>3.1400089430666678</v>
      </c>
      <c r="DB22" s="28">
        <v>1.962505589416667</v>
      </c>
      <c r="DC22" s="28">
        <v>1.1775033536499999</v>
      </c>
      <c r="DD22" s="28">
        <v>1.5700044715333339</v>
      </c>
      <c r="DE22" s="28">
        <v>1.5700044715333339</v>
      </c>
      <c r="DF22" s="28">
        <v>2.7475078251833338</v>
      </c>
      <c r="DG22" s="28">
        <v>3.1400089430666678</v>
      </c>
      <c r="DH22" s="28">
        <v>3.1400089430666678</v>
      </c>
      <c r="DI22" s="28">
        <v>2.7475078251833338</v>
      </c>
      <c r="DJ22" s="28">
        <v>3.1400089430666678</v>
      </c>
      <c r="DK22" s="28">
        <v>2.7475078251833338</v>
      </c>
      <c r="DL22" s="28">
        <v>2.3550067073000012</v>
      </c>
      <c r="DM22" s="28">
        <v>3.1400089430666678</v>
      </c>
      <c r="DN22" s="28">
        <v>3.1400089430666678</v>
      </c>
      <c r="DO22" s="28">
        <v>3.1400089430666678</v>
      </c>
      <c r="DP22" s="28">
        <v>1.962505589416667</v>
      </c>
      <c r="DQ22" s="28">
        <v>1.962505589416667</v>
      </c>
      <c r="DR22" s="28">
        <v>3.1400089430666678</v>
      </c>
      <c r="DS22" s="28">
        <v>1.5700044715333339</v>
      </c>
      <c r="DT22" s="28">
        <v>1.5700044715333339</v>
      </c>
      <c r="DU22" s="28">
        <v>1.5700044715333339</v>
      </c>
      <c r="DV22" s="28">
        <v>0.78500223576666694</v>
      </c>
      <c r="DW22" s="28">
        <v>2.415148007620834</v>
      </c>
      <c r="DX22" s="34">
        <v>299.47835294498338</v>
      </c>
    </row>
    <row r="23" spans="1:128" x14ac:dyDescent="0.25">
      <c r="A23" s="24">
        <v>22</v>
      </c>
      <c r="B23" s="26">
        <v>10.5</v>
      </c>
      <c r="C23" s="28">
        <v>1.6416525606000001</v>
      </c>
      <c r="D23" s="28">
        <v>2.0520657007500001</v>
      </c>
      <c r="E23" s="28">
        <v>2.0520657007500001</v>
      </c>
      <c r="F23" s="28">
        <v>1.6416525606000001</v>
      </c>
      <c r="G23" s="28">
        <v>3.2833051212000002</v>
      </c>
      <c r="H23" s="28">
        <v>3.2833051212000002</v>
      </c>
      <c r="I23" s="28">
        <v>3.2833051212000002</v>
      </c>
      <c r="J23" s="28">
        <v>2.4624788408999998</v>
      </c>
      <c r="K23" s="28">
        <v>1.6416525606000001</v>
      </c>
      <c r="L23" s="28">
        <v>2.4624788408999998</v>
      </c>
      <c r="M23" s="28">
        <v>3.2833051212000002</v>
      </c>
      <c r="N23" s="28">
        <v>3.2833051212000002</v>
      </c>
      <c r="O23" s="28">
        <v>3.2833051212000002</v>
      </c>
      <c r="P23" s="28">
        <v>2.87289198105</v>
      </c>
      <c r="Q23" s="28">
        <v>1.6416525606000001</v>
      </c>
      <c r="R23" s="28">
        <v>1.2312394204499999</v>
      </c>
      <c r="S23" s="28">
        <v>1.6416525606000001</v>
      </c>
      <c r="T23" s="28">
        <v>0.82082628030000004</v>
      </c>
      <c r="U23" s="28">
        <v>3.2833051212000002</v>
      </c>
      <c r="V23" s="28">
        <v>3.2833051212000002</v>
      </c>
      <c r="W23" s="28">
        <v>1.6416525606000001</v>
      </c>
      <c r="X23" s="28">
        <v>2.0520657007500001</v>
      </c>
      <c r="Y23" s="28">
        <v>2.4624788408999998</v>
      </c>
      <c r="Z23" s="28">
        <v>3.2833051212000002</v>
      </c>
      <c r="AA23" s="28">
        <v>2.87289198105</v>
      </c>
      <c r="AB23" s="28">
        <v>2.0520657007500001</v>
      </c>
      <c r="AC23" s="28">
        <v>3.2833051212000002</v>
      </c>
      <c r="AD23" s="28">
        <v>3.2833051212000002</v>
      </c>
      <c r="AE23" s="28">
        <v>3.2833051212000002</v>
      </c>
      <c r="AF23" s="28">
        <v>2.4624788408999998</v>
      </c>
      <c r="AG23" s="28">
        <v>2.0520657007500001</v>
      </c>
      <c r="AH23" s="28">
        <v>3.2833051212000002</v>
      </c>
      <c r="AI23" s="28">
        <v>2.87289198105</v>
      </c>
      <c r="AJ23" s="28">
        <v>2.87289198105</v>
      </c>
      <c r="AK23" s="28">
        <v>2.4624788408999998</v>
      </c>
      <c r="AL23" s="28">
        <v>2.0520657007500001</v>
      </c>
      <c r="AM23" s="28">
        <v>1.6416525606000001</v>
      </c>
      <c r="AN23" s="28">
        <v>3.2833051212000002</v>
      </c>
      <c r="AO23" s="28">
        <v>3.2833051212000002</v>
      </c>
      <c r="AP23" s="28">
        <v>2.87289198105</v>
      </c>
      <c r="AQ23" s="28">
        <v>2.87289198105</v>
      </c>
      <c r="AR23" s="28">
        <v>3.2833051212000002</v>
      </c>
      <c r="AS23" s="28">
        <v>3.2833051212000002</v>
      </c>
      <c r="AT23" s="28">
        <v>1.6416525606000001</v>
      </c>
      <c r="AU23" s="28">
        <v>3.2833051212000002</v>
      </c>
      <c r="AV23" s="28">
        <v>2.87289198105</v>
      </c>
      <c r="AW23" s="28">
        <v>3.2833051212000002</v>
      </c>
      <c r="AX23" s="28">
        <v>2.0520657007500001</v>
      </c>
      <c r="AY23" s="28">
        <v>3.2833051212000002</v>
      </c>
      <c r="AZ23" s="28">
        <v>2.4624788408999998</v>
      </c>
      <c r="BA23" s="28">
        <v>2.4624788408999998</v>
      </c>
      <c r="BB23" s="28">
        <v>3.2833051212000002</v>
      </c>
      <c r="BC23" s="28">
        <v>3.2833051212000002</v>
      </c>
      <c r="BD23" s="28">
        <v>1.2312394204499999</v>
      </c>
      <c r="BE23" s="28">
        <v>3.2833051212000002</v>
      </c>
      <c r="BF23" s="28">
        <v>2.0520657007500001</v>
      </c>
      <c r="BG23" s="28">
        <v>1.2312394204499999</v>
      </c>
      <c r="BH23" s="28">
        <v>1.6416525606000001</v>
      </c>
      <c r="BI23" s="28">
        <v>3.2833051212000002</v>
      </c>
      <c r="BJ23" s="28">
        <v>1.6416525606000001</v>
      </c>
      <c r="BK23" s="28">
        <v>2.87289198105</v>
      </c>
      <c r="BL23" s="28">
        <v>2.87289198105</v>
      </c>
      <c r="BM23" s="28">
        <v>1.6416525606000001</v>
      </c>
      <c r="BN23" s="28">
        <v>1.2312394204499999</v>
      </c>
      <c r="BO23" s="28">
        <v>2.87289198105</v>
      </c>
      <c r="BP23" s="28">
        <v>2.4624788408999998</v>
      </c>
      <c r="BQ23" s="28">
        <v>3.2833051212000002</v>
      </c>
      <c r="BR23" s="28">
        <v>2.87289198105</v>
      </c>
      <c r="BS23" s="28">
        <v>1.6416525606000001</v>
      </c>
      <c r="BT23" s="28">
        <v>2.4624788408999998</v>
      </c>
      <c r="BU23" s="28">
        <v>3.2833051212000002</v>
      </c>
      <c r="BV23" s="28">
        <v>2.4624788408999998</v>
      </c>
      <c r="BW23" s="28">
        <v>3.2833051212000002</v>
      </c>
      <c r="BX23" s="28">
        <v>2.87289198105</v>
      </c>
      <c r="BY23" s="28">
        <v>3.2833051212000002</v>
      </c>
      <c r="BZ23" s="28">
        <v>2.4624788408999998</v>
      </c>
      <c r="CA23" s="28">
        <v>3.2833051212000002</v>
      </c>
      <c r="CB23" s="28">
        <v>2.4624788408999998</v>
      </c>
      <c r="CC23" s="28">
        <v>3.2833051212000002</v>
      </c>
      <c r="CD23" s="28">
        <v>2.4624788408999998</v>
      </c>
      <c r="CE23" s="28">
        <v>2.0520657007500001</v>
      </c>
      <c r="CF23" s="28">
        <v>3.2833051212000002</v>
      </c>
      <c r="CG23" s="28">
        <v>3.2833051212000002</v>
      </c>
      <c r="CH23" s="28">
        <v>3.2833051212000002</v>
      </c>
      <c r="CI23" s="28">
        <v>1.2312394204499999</v>
      </c>
      <c r="CJ23" s="28">
        <v>2.87289198105</v>
      </c>
      <c r="CK23" s="28">
        <v>2.0520657007500001</v>
      </c>
      <c r="CL23" s="28">
        <v>2.4624788408999998</v>
      </c>
      <c r="CM23" s="28">
        <v>2.4624788408999998</v>
      </c>
      <c r="CN23" s="28">
        <v>1.6416525606000001</v>
      </c>
      <c r="CO23" s="28">
        <v>2.4624788408999998</v>
      </c>
      <c r="CP23" s="28">
        <v>3.2833051212000002</v>
      </c>
      <c r="CQ23" s="28">
        <v>1.6416525606000001</v>
      </c>
      <c r="CR23" s="28">
        <v>1.2312394204499999</v>
      </c>
      <c r="CS23" s="28">
        <v>3.2833051212000002</v>
      </c>
      <c r="CT23" s="28">
        <v>2.87289198105</v>
      </c>
      <c r="CU23" s="28">
        <v>2.87289198105</v>
      </c>
      <c r="CV23" s="28">
        <v>2.87289198105</v>
      </c>
      <c r="CW23" s="28">
        <v>1.2312394204499999</v>
      </c>
      <c r="CX23" s="28">
        <v>1.2312394204499999</v>
      </c>
      <c r="CY23" s="28">
        <v>3.2833051212000002</v>
      </c>
      <c r="CZ23" s="28">
        <v>1.6416525606000001</v>
      </c>
      <c r="DA23" s="28">
        <v>3.2833051212000002</v>
      </c>
      <c r="DB23" s="28">
        <v>2.0520657007500001</v>
      </c>
      <c r="DC23" s="28">
        <v>1.2312394204499999</v>
      </c>
      <c r="DD23" s="28">
        <v>1.6416525606000001</v>
      </c>
      <c r="DE23" s="28">
        <v>1.6416525606000001</v>
      </c>
      <c r="DF23" s="28">
        <v>2.87289198105</v>
      </c>
      <c r="DG23" s="28">
        <v>3.2833051212000002</v>
      </c>
      <c r="DH23" s="28">
        <v>3.2833051212000002</v>
      </c>
      <c r="DI23" s="28">
        <v>2.87289198105</v>
      </c>
      <c r="DJ23" s="28">
        <v>3.2833051212000002</v>
      </c>
      <c r="DK23" s="28">
        <v>2.87289198105</v>
      </c>
      <c r="DL23" s="28">
        <v>2.4624788408999998</v>
      </c>
      <c r="DM23" s="28">
        <v>3.2833051212000002</v>
      </c>
      <c r="DN23" s="28">
        <v>3.2833051212000002</v>
      </c>
      <c r="DO23" s="28">
        <v>3.2833051212000002</v>
      </c>
      <c r="DP23" s="28">
        <v>2.0520657007500001</v>
      </c>
      <c r="DQ23" s="28">
        <v>2.0520657007500001</v>
      </c>
      <c r="DR23" s="28">
        <v>3.2833051212000002</v>
      </c>
      <c r="DS23" s="28">
        <v>1.6416525606000001</v>
      </c>
      <c r="DT23" s="28">
        <v>1.6416525606000001</v>
      </c>
      <c r="DU23" s="28">
        <v>1.6416525606000001</v>
      </c>
      <c r="DV23" s="28">
        <v>0.82082628030000004</v>
      </c>
      <c r="DW23" s="28">
        <v>2.5253647252778202</v>
      </c>
      <c r="DX23" s="34">
        <v>313.14522593444968</v>
      </c>
    </row>
    <row r="24" spans="1:128" x14ac:dyDescent="0.25">
      <c r="A24" s="24">
        <v>23</v>
      </c>
      <c r="B24" s="26">
        <v>11</v>
      </c>
      <c r="C24" s="28">
        <v>1.6924889623333339</v>
      </c>
      <c r="D24" s="28">
        <v>2.1156112029166669</v>
      </c>
      <c r="E24" s="28">
        <v>2.1156112029166669</v>
      </c>
      <c r="F24" s="28">
        <v>1.6924889623333339</v>
      </c>
      <c r="G24" s="28">
        <v>3.3849779246666678</v>
      </c>
      <c r="H24" s="28">
        <v>3.3849779246666678</v>
      </c>
      <c r="I24" s="28">
        <v>3.3849779246666678</v>
      </c>
      <c r="J24" s="28">
        <v>2.5387334435000009</v>
      </c>
      <c r="K24" s="28">
        <v>1.6924889623333339</v>
      </c>
      <c r="L24" s="28">
        <v>2.5387334435000009</v>
      </c>
      <c r="M24" s="28">
        <v>3.3849779246666678</v>
      </c>
      <c r="N24" s="28">
        <v>3.3849779246666678</v>
      </c>
      <c r="O24" s="28">
        <v>3.3849779246666678</v>
      </c>
      <c r="P24" s="28">
        <v>2.9618556840833339</v>
      </c>
      <c r="Q24" s="28">
        <v>1.6924889623333339</v>
      </c>
      <c r="R24" s="28">
        <v>1.26936672175</v>
      </c>
      <c r="S24" s="28">
        <v>1.6924889623333339</v>
      </c>
      <c r="T24" s="28">
        <v>0.84624448116666695</v>
      </c>
      <c r="U24" s="28">
        <v>3.3849779246666678</v>
      </c>
      <c r="V24" s="28">
        <v>3.3849779246666678</v>
      </c>
      <c r="W24" s="28">
        <v>1.6924889623333339</v>
      </c>
      <c r="X24" s="28">
        <v>2.1156112029166669</v>
      </c>
      <c r="Y24" s="28">
        <v>2.5387334435000009</v>
      </c>
      <c r="Z24" s="28">
        <v>3.3849779246666678</v>
      </c>
      <c r="AA24" s="28">
        <v>2.9618556840833339</v>
      </c>
      <c r="AB24" s="28">
        <v>2.1156112029166669</v>
      </c>
      <c r="AC24" s="28">
        <v>3.3849779246666678</v>
      </c>
      <c r="AD24" s="28">
        <v>3.3849779246666678</v>
      </c>
      <c r="AE24" s="28">
        <v>3.3849779246666678</v>
      </c>
      <c r="AF24" s="28">
        <v>2.5387334435000009</v>
      </c>
      <c r="AG24" s="28">
        <v>2.1156112029166669</v>
      </c>
      <c r="AH24" s="28">
        <v>3.3849779246666678</v>
      </c>
      <c r="AI24" s="28">
        <v>2.9618556840833339</v>
      </c>
      <c r="AJ24" s="28">
        <v>2.9618556840833339</v>
      </c>
      <c r="AK24" s="28">
        <v>2.5387334435000009</v>
      </c>
      <c r="AL24" s="28">
        <v>2.1156112029166669</v>
      </c>
      <c r="AM24" s="28">
        <v>1.6924889623333339</v>
      </c>
      <c r="AN24" s="28">
        <v>3.3849779246666678</v>
      </c>
      <c r="AO24" s="28">
        <v>3.3849779246666678</v>
      </c>
      <c r="AP24" s="28">
        <v>2.9618556840833339</v>
      </c>
      <c r="AQ24" s="28">
        <v>2.9618556840833339</v>
      </c>
      <c r="AR24" s="28">
        <v>3.3849779246666678</v>
      </c>
      <c r="AS24" s="28">
        <v>3.3849779246666678</v>
      </c>
      <c r="AT24" s="28">
        <v>1.6924889623333339</v>
      </c>
      <c r="AU24" s="28">
        <v>3.3849779246666678</v>
      </c>
      <c r="AV24" s="28">
        <v>2.9618556840833339</v>
      </c>
      <c r="AW24" s="28">
        <v>3.3849779246666678</v>
      </c>
      <c r="AX24" s="28">
        <v>2.1156112029166669</v>
      </c>
      <c r="AY24" s="28">
        <v>3.3849779246666678</v>
      </c>
      <c r="AZ24" s="28">
        <v>2.5387334435000009</v>
      </c>
      <c r="BA24" s="28">
        <v>2.5387334435000009</v>
      </c>
      <c r="BB24" s="28">
        <v>3.3849779246666678</v>
      </c>
      <c r="BC24" s="28">
        <v>3.3849779246666678</v>
      </c>
      <c r="BD24" s="28">
        <v>1.26936672175</v>
      </c>
      <c r="BE24" s="28">
        <v>3.3849779246666678</v>
      </c>
      <c r="BF24" s="28">
        <v>2.1156112029166669</v>
      </c>
      <c r="BG24" s="28">
        <v>1.26936672175</v>
      </c>
      <c r="BH24" s="28">
        <v>1.6924889623333339</v>
      </c>
      <c r="BI24" s="28">
        <v>3.3849779246666678</v>
      </c>
      <c r="BJ24" s="28">
        <v>1.6924889623333339</v>
      </c>
      <c r="BK24" s="28">
        <v>2.9618556840833339</v>
      </c>
      <c r="BL24" s="28">
        <v>2.9618556840833339</v>
      </c>
      <c r="BM24" s="28">
        <v>1.6924889623333339</v>
      </c>
      <c r="BN24" s="28">
        <v>1.26936672175</v>
      </c>
      <c r="BO24" s="28">
        <v>2.9618556840833339</v>
      </c>
      <c r="BP24" s="28">
        <v>2.5387334435000009</v>
      </c>
      <c r="BQ24" s="28">
        <v>3.3849779246666678</v>
      </c>
      <c r="BR24" s="28">
        <v>2.9618556840833339</v>
      </c>
      <c r="BS24" s="28">
        <v>1.6924889623333339</v>
      </c>
      <c r="BT24" s="28">
        <v>2.5387334435000009</v>
      </c>
      <c r="BU24" s="28">
        <v>3.3849779246666678</v>
      </c>
      <c r="BV24" s="28">
        <v>2.5387334435000009</v>
      </c>
      <c r="BW24" s="28">
        <v>3.3849779246666678</v>
      </c>
      <c r="BX24" s="28">
        <v>2.9618556840833339</v>
      </c>
      <c r="BY24" s="28">
        <v>3.3849779246666678</v>
      </c>
      <c r="BZ24" s="28">
        <v>2.5387334435000009</v>
      </c>
      <c r="CA24" s="28">
        <v>3.3849779246666678</v>
      </c>
      <c r="CB24" s="28">
        <v>2.5387334435000009</v>
      </c>
      <c r="CC24" s="28">
        <v>3.3849779246666678</v>
      </c>
      <c r="CD24" s="28">
        <v>2.5387334435000009</v>
      </c>
      <c r="CE24" s="28">
        <v>2.1156112029166669</v>
      </c>
      <c r="CF24" s="28">
        <v>3.3849779246666678</v>
      </c>
      <c r="CG24" s="28">
        <v>3.3849779246666678</v>
      </c>
      <c r="CH24" s="28">
        <v>3.3849779246666678</v>
      </c>
      <c r="CI24" s="28">
        <v>1.26936672175</v>
      </c>
      <c r="CJ24" s="28">
        <v>2.9618556840833339</v>
      </c>
      <c r="CK24" s="28">
        <v>2.1156112029166669</v>
      </c>
      <c r="CL24" s="28">
        <v>2.5387334435000009</v>
      </c>
      <c r="CM24" s="28">
        <v>2.5387334435000009</v>
      </c>
      <c r="CN24" s="28">
        <v>1.6924889623333339</v>
      </c>
      <c r="CO24" s="28">
        <v>2.5387334435000009</v>
      </c>
      <c r="CP24" s="28">
        <v>3.3849779246666678</v>
      </c>
      <c r="CQ24" s="28">
        <v>1.6924889623333339</v>
      </c>
      <c r="CR24" s="28">
        <v>1.26936672175</v>
      </c>
      <c r="CS24" s="28">
        <v>3.3849779246666678</v>
      </c>
      <c r="CT24" s="28">
        <v>2.9618556840833339</v>
      </c>
      <c r="CU24" s="28">
        <v>2.9618556840833339</v>
      </c>
      <c r="CV24" s="28">
        <v>2.9618556840833339</v>
      </c>
      <c r="CW24" s="28">
        <v>1.26936672175</v>
      </c>
      <c r="CX24" s="28">
        <v>1.26936672175</v>
      </c>
      <c r="CY24" s="28">
        <v>3.3849779246666678</v>
      </c>
      <c r="CZ24" s="28">
        <v>1.6924889623333339</v>
      </c>
      <c r="DA24" s="28">
        <v>3.3849779246666678</v>
      </c>
      <c r="DB24" s="28">
        <v>2.1156112029166669</v>
      </c>
      <c r="DC24" s="28">
        <v>1.26936672175</v>
      </c>
      <c r="DD24" s="28">
        <v>1.6924889623333339</v>
      </c>
      <c r="DE24" s="28">
        <v>1.6924889623333339</v>
      </c>
      <c r="DF24" s="28">
        <v>2.9618556840833339</v>
      </c>
      <c r="DG24" s="28">
        <v>3.3849779246666678</v>
      </c>
      <c r="DH24" s="28">
        <v>3.3849779246666678</v>
      </c>
      <c r="DI24" s="28">
        <v>2.9618556840833339</v>
      </c>
      <c r="DJ24" s="28">
        <v>3.3849779246666678</v>
      </c>
      <c r="DK24" s="28">
        <v>2.9618556840833339</v>
      </c>
      <c r="DL24" s="28">
        <v>2.5387334435000009</v>
      </c>
      <c r="DM24" s="28">
        <v>3.3849779246666678</v>
      </c>
      <c r="DN24" s="28">
        <v>3.3849779246666678</v>
      </c>
      <c r="DO24" s="28">
        <v>3.3849779246666678</v>
      </c>
      <c r="DP24" s="28">
        <v>2.1156112029166669</v>
      </c>
      <c r="DQ24" s="28">
        <v>2.1156112029166669</v>
      </c>
      <c r="DR24" s="28">
        <v>3.3849779246666678</v>
      </c>
      <c r="DS24" s="28">
        <v>1.6924889623333339</v>
      </c>
      <c r="DT24" s="28">
        <v>1.6924889623333339</v>
      </c>
      <c r="DU24" s="28">
        <v>1.6924889623333339</v>
      </c>
      <c r="DV24" s="28">
        <v>0.84624448116666695</v>
      </c>
      <c r="DW24" s="28">
        <v>2.6035666900409939</v>
      </c>
      <c r="DX24" s="34">
        <v>322.84226956508331</v>
      </c>
    </row>
    <row r="25" spans="1:128" x14ac:dyDescent="0.25">
      <c r="A25" s="24">
        <v>24</v>
      </c>
      <c r="B25" s="26">
        <v>11.5</v>
      </c>
      <c r="C25" s="28">
        <v>1.7147833544</v>
      </c>
      <c r="D25" s="28">
        <v>2.1434791930000001</v>
      </c>
      <c r="E25" s="28">
        <v>2.1434791930000001</v>
      </c>
      <c r="F25" s="28">
        <v>1.7147833544</v>
      </c>
      <c r="G25" s="28">
        <v>3.4295667087999999</v>
      </c>
      <c r="H25" s="28">
        <v>3.4295667087999999</v>
      </c>
      <c r="I25" s="28">
        <v>3.4295667087999999</v>
      </c>
      <c r="J25" s="28">
        <v>2.5721750316000001</v>
      </c>
      <c r="K25" s="28">
        <v>1.7147833544</v>
      </c>
      <c r="L25" s="28">
        <v>2.5721750316000001</v>
      </c>
      <c r="M25" s="28">
        <v>3.4295667087999999</v>
      </c>
      <c r="N25" s="28">
        <v>3.4295667087999999</v>
      </c>
      <c r="O25" s="28">
        <v>3.4295667087999999</v>
      </c>
      <c r="P25" s="28">
        <v>3.0008708702</v>
      </c>
      <c r="Q25" s="28">
        <v>1.7147833544</v>
      </c>
      <c r="R25" s="28">
        <v>1.2860875158</v>
      </c>
      <c r="S25" s="28">
        <v>1.7147833544</v>
      </c>
      <c r="T25" s="28">
        <v>0.85739167719999998</v>
      </c>
      <c r="U25" s="28">
        <v>3.4295667087999999</v>
      </c>
      <c r="V25" s="28">
        <v>3.4295667087999999</v>
      </c>
      <c r="W25" s="28">
        <v>1.7147833544</v>
      </c>
      <c r="X25" s="28">
        <v>2.1434791930000001</v>
      </c>
      <c r="Y25" s="28">
        <v>2.5721750316000001</v>
      </c>
      <c r="Z25" s="28">
        <v>3.4295667087999999</v>
      </c>
      <c r="AA25" s="28">
        <v>3.0008708702</v>
      </c>
      <c r="AB25" s="28">
        <v>2.1434791930000001</v>
      </c>
      <c r="AC25" s="28">
        <v>3.4295667087999999</v>
      </c>
      <c r="AD25" s="28">
        <v>3.4295667087999999</v>
      </c>
      <c r="AE25" s="28">
        <v>3.4295667087999999</v>
      </c>
      <c r="AF25" s="28">
        <v>2.5721750316000001</v>
      </c>
      <c r="AG25" s="28">
        <v>2.1434791930000001</v>
      </c>
      <c r="AH25" s="28">
        <v>3.4295667087999999</v>
      </c>
      <c r="AI25" s="28">
        <v>3.0008708702</v>
      </c>
      <c r="AJ25" s="28">
        <v>3.0008708702</v>
      </c>
      <c r="AK25" s="28">
        <v>2.5721750316000001</v>
      </c>
      <c r="AL25" s="28">
        <v>2.1434791930000001</v>
      </c>
      <c r="AM25" s="28">
        <v>1.7147833544</v>
      </c>
      <c r="AN25" s="28">
        <v>3.4295667087999999</v>
      </c>
      <c r="AO25" s="28">
        <v>3.4295667087999999</v>
      </c>
      <c r="AP25" s="28">
        <v>3.0008708702</v>
      </c>
      <c r="AQ25" s="28">
        <v>3.0008708702</v>
      </c>
      <c r="AR25" s="28">
        <v>3.4295667087999999</v>
      </c>
      <c r="AS25" s="28">
        <v>3.4295667087999999</v>
      </c>
      <c r="AT25" s="28">
        <v>1.7147833544</v>
      </c>
      <c r="AU25" s="28">
        <v>3.4295667087999999</v>
      </c>
      <c r="AV25" s="28">
        <v>3.0008708702</v>
      </c>
      <c r="AW25" s="28">
        <v>3.4295667087999999</v>
      </c>
      <c r="AX25" s="28">
        <v>2.1434791930000001</v>
      </c>
      <c r="AY25" s="28">
        <v>3.4295667087999999</v>
      </c>
      <c r="AZ25" s="28">
        <v>2.5721750316000001</v>
      </c>
      <c r="BA25" s="28">
        <v>2.5721750316000001</v>
      </c>
      <c r="BB25" s="28">
        <v>3.4295667087999999</v>
      </c>
      <c r="BC25" s="28">
        <v>3.4295667087999999</v>
      </c>
      <c r="BD25" s="28">
        <v>1.2860875158</v>
      </c>
      <c r="BE25" s="28">
        <v>3.4295667087999999</v>
      </c>
      <c r="BF25" s="28">
        <v>2.1434791930000001</v>
      </c>
      <c r="BG25" s="28">
        <v>1.2860875158</v>
      </c>
      <c r="BH25" s="28">
        <v>1.7147833544</v>
      </c>
      <c r="BI25" s="28">
        <v>3.4295667087999999</v>
      </c>
      <c r="BJ25" s="28">
        <v>1.7147833544</v>
      </c>
      <c r="BK25" s="28">
        <v>3.0008708702</v>
      </c>
      <c r="BL25" s="28">
        <v>3.0008708702</v>
      </c>
      <c r="BM25" s="28">
        <v>1.7147833544</v>
      </c>
      <c r="BN25" s="28">
        <v>1.2860875158</v>
      </c>
      <c r="BO25" s="28">
        <v>3.0008708702</v>
      </c>
      <c r="BP25" s="28">
        <v>2.5721750316000001</v>
      </c>
      <c r="BQ25" s="28">
        <v>3.4295667087999999</v>
      </c>
      <c r="BR25" s="28">
        <v>3.0008708702</v>
      </c>
      <c r="BS25" s="28">
        <v>1.7147833544</v>
      </c>
      <c r="BT25" s="28">
        <v>2.5721750316000001</v>
      </c>
      <c r="BU25" s="28">
        <v>3.4295667087999999</v>
      </c>
      <c r="BV25" s="28">
        <v>2.5721750316000001</v>
      </c>
      <c r="BW25" s="28">
        <v>3.4295667087999999</v>
      </c>
      <c r="BX25" s="28">
        <v>3.0008708702</v>
      </c>
      <c r="BY25" s="28">
        <v>3.4295667087999999</v>
      </c>
      <c r="BZ25" s="28">
        <v>2.5721750316000001</v>
      </c>
      <c r="CA25" s="28">
        <v>3.4295667087999999</v>
      </c>
      <c r="CB25" s="28">
        <v>2.5721750316000001</v>
      </c>
      <c r="CC25" s="28">
        <v>3.4295667087999999</v>
      </c>
      <c r="CD25" s="28">
        <v>2.5721750316000001</v>
      </c>
      <c r="CE25" s="28">
        <v>2.1434791930000001</v>
      </c>
      <c r="CF25" s="28">
        <v>3.4295667087999999</v>
      </c>
      <c r="CG25" s="28">
        <v>3.4295667087999999</v>
      </c>
      <c r="CH25" s="28">
        <v>3.4295667087999999</v>
      </c>
      <c r="CI25" s="28">
        <v>1.2860875158</v>
      </c>
      <c r="CJ25" s="28">
        <v>3.0008708702</v>
      </c>
      <c r="CK25" s="28">
        <v>2.1434791930000001</v>
      </c>
      <c r="CL25" s="28">
        <v>2.5721750316000001</v>
      </c>
      <c r="CM25" s="28">
        <v>2.5721750316000001</v>
      </c>
      <c r="CN25" s="28">
        <v>1.7147833544</v>
      </c>
      <c r="CO25" s="28">
        <v>2.5721750316000001</v>
      </c>
      <c r="CP25" s="28">
        <v>3.4295667087999999</v>
      </c>
      <c r="CQ25" s="28">
        <v>1.7147833544</v>
      </c>
      <c r="CR25" s="28">
        <v>1.2860875158</v>
      </c>
      <c r="CS25" s="28">
        <v>3.4295667087999999</v>
      </c>
      <c r="CT25" s="28">
        <v>3.0008708702</v>
      </c>
      <c r="CU25" s="28">
        <v>3.0008708702</v>
      </c>
      <c r="CV25" s="28">
        <v>3.0008708702</v>
      </c>
      <c r="CW25" s="28">
        <v>1.2860875158</v>
      </c>
      <c r="CX25" s="28">
        <v>1.2860875158</v>
      </c>
      <c r="CY25" s="28">
        <v>3.4295667087999999</v>
      </c>
      <c r="CZ25" s="28">
        <v>1.7147833544</v>
      </c>
      <c r="DA25" s="28">
        <v>3.4295667087999999</v>
      </c>
      <c r="DB25" s="28">
        <v>2.1434791930000001</v>
      </c>
      <c r="DC25" s="28">
        <v>1.2860875158</v>
      </c>
      <c r="DD25" s="28">
        <v>1.7147833544</v>
      </c>
      <c r="DE25" s="28">
        <v>1.7147833544</v>
      </c>
      <c r="DF25" s="28">
        <v>3.0008708702</v>
      </c>
      <c r="DG25" s="28">
        <v>3.4295667087999999</v>
      </c>
      <c r="DH25" s="28">
        <v>3.4295667087999999</v>
      </c>
      <c r="DI25" s="28">
        <v>3.0008708702</v>
      </c>
      <c r="DJ25" s="28">
        <v>3.4295667087999999</v>
      </c>
      <c r="DK25" s="28">
        <v>3.0008708702</v>
      </c>
      <c r="DL25" s="28">
        <v>2.5721750316000001</v>
      </c>
      <c r="DM25" s="28">
        <v>3.4295667087999999</v>
      </c>
      <c r="DN25" s="28">
        <v>3.4295667087999999</v>
      </c>
      <c r="DO25" s="28">
        <v>3.4295667087999999</v>
      </c>
      <c r="DP25" s="28">
        <v>2.1434791930000001</v>
      </c>
      <c r="DQ25" s="28">
        <v>2.1434791930000001</v>
      </c>
      <c r="DR25" s="28">
        <v>3.4295667087999999</v>
      </c>
      <c r="DS25" s="28">
        <v>1.7147833544</v>
      </c>
      <c r="DT25" s="28">
        <v>1.7147833544</v>
      </c>
      <c r="DU25" s="28">
        <v>1.7147833544</v>
      </c>
      <c r="DV25" s="28">
        <v>0.85739167719999998</v>
      </c>
      <c r="DW25" s="28">
        <v>2.637862297191937</v>
      </c>
      <c r="DX25" s="34">
        <v>327.09492485180022</v>
      </c>
    </row>
    <row r="26" spans="1:128" x14ac:dyDescent="0.25">
      <c r="A26" s="24">
        <v>25</v>
      </c>
      <c r="B26" s="26">
        <v>12</v>
      </c>
      <c r="C26" s="28">
        <v>1.721240664533334</v>
      </c>
      <c r="D26" s="28">
        <v>2.1515508306666669</v>
      </c>
      <c r="E26" s="28">
        <v>2.1515508306666669</v>
      </c>
      <c r="F26" s="28">
        <v>1.721240664533334</v>
      </c>
      <c r="G26" s="28">
        <v>3.442481329066668</v>
      </c>
      <c r="H26" s="28">
        <v>3.442481329066668</v>
      </c>
      <c r="I26" s="28">
        <v>3.442481329066668</v>
      </c>
      <c r="J26" s="28">
        <v>2.581860996800001</v>
      </c>
      <c r="K26" s="28">
        <v>1.721240664533334</v>
      </c>
      <c r="L26" s="28">
        <v>2.581860996800001</v>
      </c>
      <c r="M26" s="28">
        <v>3.442481329066668</v>
      </c>
      <c r="N26" s="28">
        <v>3.442481329066668</v>
      </c>
      <c r="O26" s="28">
        <v>3.442481329066668</v>
      </c>
      <c r="P26" s="28">
        <v>3.0121711629333352</v>
      </c>
      <c r="Q26" s="28">
        <v>1.721240664533334</v>
      </c>
      <c r="R26" s="28">
        <v>1.290930498400001</v>
      </c>
      <c r="S26" s="28">
        <v>1.721240664533334</v>
      </c>
      <c r="T26" s="28">
        <v>0.86062033226666701</v>
      </c>
      <c r="U26" s="28">
        <v>3.442481329066668</v>
      </c>
      <c r="V26" s="28">
        <v>3.442481329066668</v>
      </c>
      <c r="W26" s="28">
        <v>1.721240664533334</v>
      </c>
      <c r="X26" s="28">
        <v>2.1515508306666669</v>
      </c>
      <c r="Y26" s="28">
        <v>2.581860996800001</v>
      </c>
      <c r="Z26" s="28">
        <v>3.442481329066668</v>
      </c>
      <c r="AA26" s="28">
        <v>3.0121711629333352</v>
      </c>
      <c r="AB26" s="28">
        <v>2.1515508306666669</v>
      </c>
      <c r="AC26" s="28">
        <v>3.442481329066668</v>
      </c>
      <c r="AD26" s="28">
        <v>3.442481329066668</v>
      </c>
      <c r="AE26" s="28">
        <v>3.442481329066668</v>
      </c>
      <c r="AF26" s="28">
        <v>2.581860996800001</v>
      </c>
      <c r="AG26" s="28">
        <v>2.1515508306666669</v>
      </c>
      <c r="AH26" s="28">
        <v>3.442481329066668</v>
      </c>
      <c r="AI26" s="28">
        <v>3.0121711629333352</v>
      </c>
      <c r="AJ26" s="28">
        <v>3.0121711629333352</v>
      </c>
      <c r="AK26" s="28">
        <v>2.581860996800001</v>
      </c>
      <c r="AL26" s="28">
        <v>2.1515508306666669</v>
      </c>
      <c r="AM26" s="28">
        <v>1.721240664533334</v>
      </c>
      <c r="AN26" s="28">
        <v>3.442481329066668</v>
      </c>
      <c r="AO26" s="28">
        <v>3.442481329066668</v>
      </c>
      <c r="AP26" s="28">
        <v>3.0121711629333352</v>
      </c>
      <c r="AQ26" s="28">
        <v>3.0121711629333352</v>
      </c>
      <c r="AR26" s="28">
        <v>3.442481329066668</v>
      </c>
      <c r="AS26" s="28">
        <v>3.442481329066668</v>
      </c>
      <c r="AT26" s="28">
        <v>1.721240664533334</v>
      </c>
      <c r="AU26" s="28">
        <v>3.442481329066668</v>
      </c>
      <c r="AV26" s="28">
        <v>3.0121711629333352</v>
      </c>
      <c r="AW26" s="28">
        <v>3.442481329066668</v>
      </c>
      <c r="AX26" s="28">
        <v>2.1515508306666669</v>
      </c>
      <c r="AY26" s="28">
        <v>3.442481329066668</v>
      </c>
      <c r="AZ26" s="28">
        <v>2.581860996800001</v>
      </c>
      <c r="BA26" s="28">
        <v>2.581860996800001</v>
      </c>
      <c r="BB26" s="28">
        <v>3.442481329066668</v>
      </c>
      <c r="BC26" s="28">
        <v>3.442481329066668</v>
      </c>
      <c r="BD26" s="28">
        <v>1.290930498400001</v>
      </c>
      <c r="BE26" s="28">
        <v>3.442481329066668</v>
      </c>
      <c r="BF26" s="28">
        <v>2.1515508306666669</v>
      </c>
      <c r="BG26" s="28">
        <v>1.290930498400001</v>
      </c>
      <c r="BH26" s="28">
        <v>1.721240664533334</v>
      </c>
      <c r="BI26" s="28">
        <v>3.442481329066668</v>
      </c>
      <c r="BJ26" s="28">
        <v>1.721240664533334</v>
      </c>
      <c r="BK26" s="28">
        <v>3.0121711629333352</v>
      </c>
      <c r="BL26" s="28">
        <v>3.0121711629333352</v>
      </c>
      <c r="BM26" s="28">
        <v>1.721240664533334</v>
      </c>
      <c r="BN26" s="28">
        <v>1.290930498400001</v>
      </c>
      <c r="BO26" s="28">
        <v>3.0121711629333352</v>
      </c>
      <c r="BP26" s="28">
        <v>2.581860996800001</v>
      </c>
      <c r="BQ26" s="28">
        <v>3.442481329066668</v>
      </c>
      <c r="BR26" s="28">
        <v>3.0121711629333352</v>
      </c>
      <c r="BS26" s="28">
        <v>1.721240664533334</v>
      </c>
      <c r="BT26" s="28">
        <v>2.581860996800001</v>
      </c>
      <c r="BU26" s="28">
        <v>3.442481329066668</v>
      </c>
      <c r="BV26" s="28">
        <v>2.581860996800001</v>
      </c>
      <c r="BW26" s="28">
        <v>3.442481329066668</v>
      </c>
      <c r="BX26" s="28">
        <v>3.0121711629333352</v>
      </c>
      <c r="BY26" s="28">
        <v>3.442481329066668</v>
      </c>
      <c r="BZ26" s="28">
        <v>2.581860996800001</v>
      </c>
      <c r="CA26" s="28">
        <v>3.442481329066668</v>
      </c>
      <c r="CB26" s="28">
        <v>2.581860996800001</v>
      </c>
      <c r="CC26" s="28">
        <v>3.442481329066668</v>
      </c>
      <c r="CD26" s="28">
        <v>2.581860996800001</v>
      </c>
      <c r="CE26" s="28">
        <v>2.1515508306666669</v>
      </c>
      <c r="CF26" s="28">
        <v>3.442481329066668</v>
      </c>
      <c r="CG26" s="28">
        <v>3.442481329066668</v>
      </c>
      <c r="CH26" s="28">
        <v>3.442481329066668</v>
      </c>
      <c r="CI26" s="28">
        <v>1.290930498400001</v>
      </c>
      <c r="CJ26" s="28">
        <v>3.0121711629333352</v>
      </c>
      <c r="CK26" s="28">
        <v>2.1515508306666669</v>
      </c>
      <c r="CL26" s="28">
        <v>2.581860996800001</v>
      </c>
      <c r="CM26" s="28">
        <v>2.581860996800001</v>
      </c>
      <c r="CN26" s="28">
        <v>1.721240664533334</v>
      </c>
      <c r="CO26" s="28">
        <v>2.581860996800001</v>
      </c>
      <c r="CP26" s="28">
        <v>3.442481329066668</v>
      </c>
      <c r="CQ26" s="28">
        <v>1.721240664533334</v>
      </c>
      <c r="CR26" s="28">
        <v>1.290930498400001</v>
      </c>
      <c r="CS26" s="28">
        <v>3.442481329066668</v>
      </c>
      <c r="CT26" s="28">
        <v>3.0121711629333352</v>
      </c>
      <c r="CU26" s="28">
        <v>3.0121711629333352</v>
      </c>
      <c r="CV26" s="28">
        <v>3.0121711629333352</v>
      </c>
      <c r="CW26" s="28">
        <v>1.290930498400001</v>
      </c>
      <c r="CX26" s="28">
        <v>1.290930498400001</v>
      </c>
      <c r="CY26" s="28">
        <v>3.442481329066668</v>
      </c>
      <c r="CZ26" s="28">
        <v>1.721240664533334</v>
      </c>
      <c r="DA26" s="28">
        <v>3.442481329066668</v>
      </c>
      <c r="DB26" s="28">
        <v>2.1515508306666669</v>
      </c>
      <c r="DC26" s="28">
        <v>1.290930498400001</v>
      </c>
      <c r="DD26" s="28">
        <v>1.721240664533334</v>
      </c>
      <c r="DE26" s="28">
        <v>1.721240664533334</v>
      </c>
      <c r="DF26" s="28">
        <v>3.0121711629333352</v>
      </c>
      <c r="DG26" s="28">
        <v>3.442481329066668</v>
      </c>
      <c r="DH26" s="28">
        <v>3.442481329066668</v>
      </c>
      <c r="DI26" s="28">
        <v>3.0121711629333352</v>
      </c>
      <c r="DJ26" s="28">
        <v>3.442481329066668</v>
      </c>
      <c r="DK26" s="28">
        <v>3.0121711629333352</v>
      </c>
      <c r="DL26" s="28">
        <v>2.581860996800001</v>
      </c>
      <c r="DM26" s="28">
        <v>3.442481329066668</v>
      </c>
      <c r="DN26" s="28">
        <v>3.442481329066668</v>
      </c>
      <c r="DO26" s="28">
        <v>3.442481329066668</v>
      </c>
      <c r="DP26" s="28">
        <v>2.1515508306666669</v>
      </c>
      <c r="DQ26" s="28">
        <v>2.1515508306666669</v>
      </c>
      <c r="DR26" s="28">
        <v>3.442481329066668</v>
      </c>
      <c r="DS26" s="28">
        <v>1.721240664533334</v>
      </c>
      <c r="DT26" s="28">
        <v>1.721240664533334</v>
      </c>
      <c r="DU26" s="28">
        <v>1.721240664533334</v>
      </c>
      <c r="DV26" s="28">
        <v>0.86062033226666701</v>
      </c>
      <c r="DW26" s="28">
        <v>2.6477956190301088</v>
      </c>
      <c r="DX26" s="34">
        <v>328.32665675973362</v>
      </c>
    </row>
    <row r="27" spans="1:128" x14ac:dyDescent="0.25">
      <c r="A27" s="24">
        <v>26</v>
      </c>
      <c r="B27" s="26">
        <v>12.5</v>
      </c>
      <c r="C27" s="28">
        <v>1.7091608359999999</v>
      </c>
      <c r="D27" s="28">
        <v>2.1364510449999998</v>
      </c>
      <c r="E27" s="28">
        <v>2.1364510449999998</v>
      </c>
      <c r="F27" s="28">
        <v>1.7091608359999999</v>
      </c>
      <c r="G27" s="28">
        <v>3.4183216719999998</v>
      </c>
      <c r="H27" s="28">
        <v>3.4183216719999998</v>
      </c>
      <c r="I27" s="28">
        <v>3.4183216719999998</v>
      </c>
      <c r="J27" s="28">
        <v>2.563741254</v>
      </c>
      <c r="K27" s="28">
        <v>1.7091608359999999</v>
      </c>
      <c r="L27" s="28">
        <v>2.563741254</v>
      </c>
      <c r="M27" s="28">
        <v>3.4183216719999998</v>
      </c>
      <c r="N27" s="28">
        <v>3.4183216719999998</v>
      </c>
      <c r="O27" s="28">
        <v>3.4183216719999998</v>
      </c>
      <c r="P27" s="28">
        <v>2.9910314630000001</v>
      </c>
      <c r="Q27" s="28">
        <v>1.7091608359999999</v>
      </c>
      <c r="R27" s="28">
        <v>1.281870627</v>
      </c>
      <c r="S27" s="28">
        <v>1.7091608359999999</v>
      </c>
      <c r="T27" s="28">
        <v>0.85458041799999995</v>
      </c>
      <c r="U27" s="28">
        <v>3.4183216719999998</v>
      </c>
      <c r="V27" s="28">
        <v>3.4183216719999998</v>
      </c>
      <c r="W27" s="28">
        <v>1.7091608359999999</v>
      </c>
      <c r="X27" s="28">
        <v>2.1364510449999998</v>
      </c>
      <c r="Y27" s="28">
        <v>2.563741254</v>
      </c>
      <c r="Z27" s="28">
        <v>3.4183216719999998</v>
      </c>
      <c r="AA27" s="28">
        <v>2.9910314630000001</v>
      </c>
      <c r="AB27" s="28">
        <v>2.1364510449999998</v>
      </c>
      <c r="AC27" s="28">
        <v>3.4183216719999998</v>
      </c>
      <c r="AD27" s="28">
        <v>3.4183216719999998</v>
      </c>
      <c r="AE27" s="28">
        <v>3.4183216719999998</v>
      </c>
      <c r="AF27" s="28">
        <v>2.563741254</v>
      </c>
      <c r="AG27" s="28">
        <v>2.1364510449999998</v>
      </c>
      <c r="AH27" s="28">
        <v>3.4183216719999998</v>
      </c>
      <c r="AI27" s="28">
        <v>2.9910314630000001</v>
      </c>
      <c r="AJ27" s="28">
        <v>2.9910314630000001</v>
      </c>
      <c r="AK27" s="28">
        <v>2.563741254</v>
      </c>
      <c r="AL27" s="28">
        <v>2.1364510449999998</v>
      </c>
      <c r="AM27" s="28">
        <v>1.7091608359999999</v>
      </c>
      <c r="AN27" s="28">
        <v>3.4183216719999998</v>
      </c>
      <c r="AO27" s="28">
        <v>3.4183216719999998</v>
      </c>
      <c r="AP27" s="28">
        <v>2.9910314630000001</v>
      </c>
      <c r="AQ27" s="28">
        <v>2.9910314630000001</v>
      </c>
      <c r="AR27" s="28">
        <v>3.4183216719999998</v>
      </c>
      <c r="AS27" s="28">
        <v>3.4183216719999998</v>
      </c>
      <c r="AT27" s="28">
        <v>1.7091608359999999</v>
      </c>
      <c r="AU27" s="28">
        <v>3.4183216719999998</v>
      </c>
      <c r="AV27" s="28">
        <v>2.9910314630000001</v>
      </c>
      <c r="AW27" s="28">
        <v>3.4183216719999998</v>
      </c>
      <c r="AX27" s="28">
        <v>2.1364510449999998</v>
      </c>
      <c r="AY27" s="28">
        <v>3.4183216719999998</v>
      </c>
      <c r="AZ27" s="28">
        <v>2.563741254</v>
      </c>
      <c r="BA27" s="28">
        <v>2.563741254</v>
      </c>
      <c r="BB27" s="28">
        <v>3.4183216719999998</v>
      </c>
      <c r="BC27" s="28">
        <v>3.4183216719999998</v>
      </c>
      <c r="BD27" s="28">
        <v>1.281870627</v>
      </c>
      <c r="BE27" s="28">
        <v>3.4183216719999998</v>
      </c>
      <c r="BF27" s="28">
        <v>2.1364510449999998</v>
      </c>
      <c r="BG27" s="28">
        <v>1.281870627</v>
      </c>
      <c r="BH27" s="28">
        <v>1.7091608359999999</v>
      </c>
      <c r="BI27" s="28">
        <v>3.4183216719999998</v>
      </c>
      <c r="BJ27" s="28">
        <v>1.7091608359999999</v>
      </c>
      <c r="BK27" s="28">
        <v>2.9910314630000001</v>
      </c>
      <c r="BL27" s="28">
        <v>2.9910314630000001</v>
      </c>
      <c r="BM27" s="28">
        <v>1.7091608359999999</v>
      </c>
      <c r="BN27" s="28">
        <v>1.281870627</v>
      </c>
      <c r="BO27" s="28">
        <v>2.9910314630000001</v>
      </c>
      <c r="BP27" s="28">
        <v>2.563741254</v>
      </c>
      <c r="BQ27" s="28">
        <v>3.4183216719999998</v>
      </c>
      <c r="BR27" s="28">
        <v>2.9910314630000001</v>
      </c>
      <c r="BS27" s="28">
        <v>1.7091608359999999</v>
      </c>
      <c r="BT27" s="28">
        <v>2.563741254</v>
      </c>
      <c r="BU27" s="28">
        <v>3.4183216719999998</v>
      </c>
      <c r="BV27" s="28">
        <v>2.563741254</v>
      </c>
      <c r="BW27" s="28">
        <v>3.4183216719999998</v>
      </c>
      <c r="BX27" s="28">
        <v>2.9910314630000001</v>
      </c>
      <c r="BY27" s="28">
        <v>3.4183216719999998</v>
      </c>
      <c r="BZ27" s="28">
        <v>2.563741254</v>
      </c>
      <c r="CA27" s="28">
        <v>3.4183216719999998</v>
      </c>
      <c r="CB27" s="28">
        <v>2.563741254</v>
      </c>
      <c r="CC27" s="28">
        <v>3.4183216719999998</v>
      </c>
      <c r="CD27" s="28">
        <v>2.563741254</v>
      </c>
      <c r="CE27" s="28">
        <v>2.1364510449999998</v>
      </c>
      <c r="CF27" s="28">
        <v>3.4183216719999998</v>
      </c>
      <c r="CG27" s="28">
        <v>3.4183216719999998</v>
      </c>
      <c r="CH27" s="28">
        <v>3.4183216719999998</v>
      </c>
      <c r="CI27" s="28">
        <v>1.281870627</v>
      </c>
      <c r="CJ27" s="28">
        <v>2.9910314630000001</v>
      </c>
      <c r="CK27" s="28">
        <v>2.1364510449999998</v>
      </c>
      <c r="CL27" s="28">
        <v>2.563741254</v>
      </c>
      <c r="CM27" s="28">
        <v>2.563741254</v>
      </c>
      <c r="CN27" s="28">
        <v>1.7091608359999999</v>
      </c>
      <c r="CO27" s="28">
        <v>2.563741254</v>
      </c>
      <c r="CP27" s="28">
        <v>3.4183216719999998</v>
      </c>
      <c r="CQ27" s="28">
        <v>1.7091608359999999</v>
      </c>
      <c r="CR27" s="28">
        <v>1.281870627</v>
      </c>
      <c r="CS27" s="28">
        <v>3.4183216719999998</v>
      </c>
      <c r="CT27" s="28">
        <v>2.9910314630000001</v>
      </c>
      <c r="CU27" s="28">
        <v>2.9910314630000001</v>
      </c>
      <c r="CV27" s="28">
        <v>2.9910314630000001</v>
      </c>
      <c r="CW27" s="28">
        <v>1.281870627</v>
      </c>
      <c r="CX27" s="28">
        <v>1.281870627</v>
      </c>
      <c r="CY27" s="28">
        <v>3.4183216719999998</v>
      </c>
      <c r="CZ27" s="28">
        <v>1.7091608359999999</v>
      </c>
      <c r="DA27" s="28">
        <v>3.4183216719999998</v>
      </c>
      <c r="DB27" s="28">
        <v>2.1364510449999998</v>
      </c>
      <c r="DC27" s="28">
        <v>1.281870627</v>
      </c>
      <c r="DD27" s="28">
        <v>1.7091608359999999</v>
      </c>
      <c r="DE27" s="28">
        <v>1.7091608359999999</v>
      </c>
      <c r="DF27" s="28">
        <v>2.9910314630000001</v>
      </c>
      <c r="DG27" s="28">
        <v>3.4183216719999998</v>
      </c>
      <c r="DH27" s="28">
        <v>3.4183216719999998</v>
      </c>
      <c r="DI27" s="28">
        <v>2.9910314630000001</v>
      </c>
      <c r="DJ27" s="28">
        <v>3.4183216719999998</v>
      </c>
      <c r="DK27" s="28">
        <v>2.9910314630000001</v>
      </c>
      <c r="DL27" s="28">
        <v>2.563741254</v>
      </c>
      <c r="DM27" s="28">
        <v>3.4183216719999998</v>
      </c>
      <c r="DN27" s="28">
        <v>3.4183216719999998</v>
      </c>
      <c r="DO27" s="28">
        <v>3.4183216719999998</v>
      </c>
      <c r="DP27" s="28">
        <v>2.1364510449999998</v>
      </c>
      <c r="DQ27" s="28">
        <v>2.1364510449999998</v>
      </c>
      <c r="DR27" s="28">
        <v>3.4183216719999998</v>
      </c>
      <c r="DS27" s="28">
        <v>1.7091608359999999</v>
      </c>
      <c r="DT27" s="28">
        <v>1.7091608359999999</v>
      </c>
      <c r="DU27" s="28">
        <v>1.7091608359999999</v>
      </c>
      <c r="DV27" s="28">
        <v>0.85458041799999995</v>
      </c>
      <c r="DW27" s="28">
        <v>2.6292131408629031</v>
      </c>
      <c r="DX27" s="34">
        <v>326.02242946699999</v>
      </c>
    </row>
    <row r="28" spans="1:128" x14ac:dyDescent="0.25">
      <c r="A28" s="24">
        <v>27</v>
      </c>
      <c r="B28" s="26">
        <v>13</v>
      </c>
      <c r="C28" s="28">
        <v>1.668579241</v>
      </c>
      <c r="D28" s="28">
        <v>2.0857240512500002</v>
      </c>
      <c r="E28" s="28">
        <v>2.0857240512500002</v>
      </c>
      <c r="F28" s="28">
        <v>1.668579241</v>
      </c>
      <c r="G28" s="28">
        <v>3.337158482</v>
      </c>
      <c r="H28" s="28">
        <v>3.337158482</v>
      </c>
      <c r="I28" s="28">
        <v>3.337158482</v>
      </c>
      <c r="J28" s="28">
        <v>2.5028688615000001</v>
      </c>
      <c r="K28" s="28">
        <v>1.668579241</v>
      </c>
      <c r="L28" s="28">
        <v>2.5028688615000001</v>
      </c>
      <c r="M28" s="28">
        <v>3.337158482</v>
      </c>
      <c r="N28" s="28">
        <v>3.337158482</v>
      </c>
      <c r="O28" s="28">
        <v>3.337158482</v>
      </c>
      <c r="P28" s="28">
        <v>2.92001367175</v>
      </c>
      <c r="Q28" s="28">
        <v>1.668579241</v>
      </c>
      <c r="R28" s="28">
        <v>1.25143443075</v>
      </c>
      <c r="S28" s="28">
        <v>1.668579241</v>
      </c>
      <c r="T28" s="28">
        <v>0.8342896205</v>
      </c>
      <c r="U28" s="28">
        <v>3.337158482</v>
      </c>
      <c r="V28" s="28">
        <v>3.337158482</v>
      </c>
      <c r="W28" s="28">
        <v>1.668579241</v>
      </c>
      <c r="X28" s="28">
        <v>2.0857240512500002</v>
      </c>
      <c r="Y28" s="28">
        <v>2.5028688615000001</v>
      </c>
      <c r="Z28" s="28">
        <v>3.337158482</v>
      </c>
      <c r="AA28" s="28">
        <v>2.92001367175</v>
      </c>
      <c r="AB28" s="28">
        <v>2.0857240512500002</v>
      </c>
      <c r="AC28" s="28">
        <v>3.337158482</v>
      </c>
      <c r="AD28" s="28">
        <v>3.337158482</v>
      </c>
      <c r="AE28" s="28">
        <v>3.337158482</v>
      </c>
      <c r="AF28" s="28">
        <v>2.5028688615000001</v>
      </c>
      <c r="AG28" s="28">
        <v>2.0857240512500002</v>
      </c>
      <c r="AH28" s="28">
        <v>3.337158482</v>
      </c>
      <c r="AI28" s="28">
        <v>2.92001367175</v>
      </c>
      <c r="AJ28" s="28">
        <v>2.92001367175</v>
      </c>
      <c r="AK28" s="28">
        <v>2.5028688615000001</v>
      </c>
      <c r="AL28" s="28">
        <v>2.0857240512500002</v>
      </c>
      <c r="AM28" s="28">
        <v>1.668579241</v>
      </c>
      <c r="AN28" s="28">
        <v>3.337158482</v>
      </c>
      <c r="AO28" s="28">
        <v>3.337158482</v>
      </c>
      <c r="AP28" s="28">
        <v>2.92001367175</v>
      </c>
      <c r="AQ28" s="28">
        <v>2.92001367175</v>
      </c>
      <c r="AR28" s="28">
        <v>3.337158482</v>
      </c>
      <c r="AS28" s="28">
        <v>3.337158482</v>
      </c>
      <c r="AT28" s="28">
        <v>1.668579241</v>
      </c>
      <c r="AU28" s="28">
        <v>3.337158482</v>
      </c>
      <c r="AV28" s="28">
        <v>2.92001367175</v>
      </c>
      <c r="AW28" s="28">
        <v>3.337158482</v>
      </c>
      <c r="AX28" s="28">
        <v>2.0857240512500002</v>
      </c>
      <c r="AY28" s="28">
        <v>3.337158482</v>
      </c>
      <c r="AZ28" s="28">
        <v>2.5028688615000001</v>
      </c>
      <c r="BA28" s="28">
        <v>2.5028688615000001</v>
      </c>
      <c r="BB28" s="28">
        <v>3.337158482</v>
      </c>
      <c r="BC28" s="28">
        <v>3.337158482</v>
      </c>
      <c r="BD28" s="28">
        <v>1.25143443075</v>
      </c>
      <c r="BE28" s="28">
        <v>3.337158482</v>
      </c>
      <c r="BF28" s="28">
        <v>2.0857240512500002</v>
      </c>
      <c r="BG28" s="28">
        <v>1.25143443075</v>
      </c>
      <c r="BH28" s="28">
        <v>1.668579241</v>
      </c>
      <c r="BI28" s="28">
        <v>3.337158482</v>
      </c>
      <c r="BJ28" s="28">
        <v>1.668579241</v>
      </c>
      <c r="BK28" s="28">
        <v>2.92001367175</v>
      </c>
      <c r="BL28" s="28">
        <v>2.92001367175</v>
      </c>
      <c r="BM28" s="28">
        <v>1.668579241</v>
      </c>
      <c r="BN28" s="28">
        <v>1.25143443075</v>
      </c>
      <c r="BO28" s="28">
        <v>2.92001367175</v>
      </c>
      <c r="BP28" s="28">
        <v>2.5028688615000001</v>
      </c>
      <c r="BQ28" s="28">
        <v>3.337158482</v>
      </c>
      <c r="BR28" s="28">
        <v>2.92001367175</v>
      </c>
      <c r="BS28" s="28">
        <v>1.668579241</v>
      </c>
      <c r="BT28" s="28">
        <v>2.5028688615000001</v>
      </c>
      <c r="BU28" s="28">
        <v>3.337158482</v>
      </c>
      <c r="BV28" s="28">
        <v>2.5028688615000001</v>
      </c>
      <c r="BW28" s="28">
        <v>3.337158482</v>
      </c>
      <c r="BX28" s="28">
        <v>2.92001367175</v>
      </c>
      <c r="BY28" s="28">
        <v>3.337158482</v>
      </c>
      <c r="BZ28" s="28">
        <v>2.5028688615000001</v>
      </c>
      <c r="CA28" s="28">
        <v>3.337158482</v>
      </c>
      <c r="CB28" s="28">
        <v>2.5028688615000001</v>
      </c>
      <c r="CC28" s="28">
        <v>3.337158482</v>
      </c>
      <c r="CD28" s="28">
        <v>2.5028688615000001</v>
      </c>
      <c r="CE28" s="28">
        <v>2.0857240512500002</v>
      </c>
      <c r="CF28" s="28">
        <v>3.337158482</v>
      </c>
      <c r="CG28" s="28">
        <v>3.337158482</v>
      </c>
      <c r="CH28" s="28">
        <v>3.337158482</v>
      </c>
      <c r="CI28" s="28">
        <v>1.25143443075</v>
      </c>
      <c r="CJ28" s="28">
        <v>2.92001367175</v>
      </c>
      <c r="CK28" s="28">
        <v>2.0857240512500002</v>
      </c>
      <c r="CL28" s="28">
        <v>2.5028688615000001</v>
      </c>
      <c r="CM28" s="28">
        <v>2.5028688615000001</v>
      </c>
      <c r="CN28" s="28">
        <v>1.668579241</v>
      </c>
      <c r="CO28" s="28">
        <v>2.5028688615000001</v>
      </c>
      <c r="CP28" s="28">
        <v>3.337158482</v>
      </c>
      <c r="CQ28" s="28">
        <v>1.668579241</v>
      </c>
      <c r="CR28" s="28">
        <v>1.25143443075</v>
      </c>
      <c r="CS28" s="28">
        <v>3.337158482</v>
      </c>
      <c r="CT28" s="28">
        <v>2.92001367175</v>
      </c>
      <c r="CU28" s="28">
        <v>2.92001367175</v>
      </c>
      <c r="CV28" s="28">
        <v>2.92001367175</v>
      </c>
      <c r="CW28" s="28">
        <v>1.25143443075</v>
      </c>
      <c r="CX28" s="28">
        <v>1.25143443075</v>
      </c>
      <c r="CY28" s="28">
        <v>3.337158482</v>
      </c>
      <c r="CZ28" s="28">
        <v>1.668579241</v>
      </c>
      <c r="DA28" s="28">
        <v>3.337158482</v>
      </c>
      <c r="DB28" s="28">
        <v>2.0857240512500002</v>
      </c>
      <c r="DC28" s="28">
        <v>1.25143443075</v>
      </c>
      <c r="DD28" s="28">
        <v>1.668579241</v>
      </c>
      <c r="DE28" s="28">
        <v>1.668579241</v>
      </c>
      <c r="DF28" s="28">
        <v>2.92001367175</v>
      </c>
      <c r="DG28" s="28">
        <v>3.337158482</v>
      </c>
      <c r="DH28" s="28">
        <v>3.337158482</v>
      </c>
      <c r="DI28" s="28">
        <v>2.92001367175</v>
      </c>
      <c r="DJ28" s="28">
        <v>3.337158482</v>
      </c>
      <c r="DK28" s="28">
        <v>2.92001367175</v>
      </c>
      <c r="DL28" s="28">
        <v>2.5028688615000001</v>
      </c>
      <c r="DM28" s="28">
        <v>3.337158482</v>
      </c>
      <c r="DN28" s="28">
        <v>3.337158482</v>
      </c>
      <c r="DO28" s="28">
        <v>3.337158482</v>
      </c>
      <c r="DP28" s="28">
        <v>2.0857240512500002</v>
      </c>
      <c r="DQ28" s="28">
        <v>2.0857240512500002</v>
      </c>
      <c r="DR28" s="28">
        <v>3.337158482</v>
      </c>
      <c r="DS28" s="28">
        <v>1.668579241</v>
      </c>
      <c r="DT28" s="28">
        <v>1.668579241</v>
      </c>
      <c r="DU28" s="28">
        <v>1.668579241</v>
      </c>
      <c r="DV28" s="28">
        <v>0.8342896205</v>
      </c>
      <c r="DW28" s="28">
        <v>2.5667862114576629</v>
      </c>
      <c r="DX28" s="34">
        <v>318.28149022075007</v>
      </c>
    </row>
    <row r="29" spans="1:128" x14ac:dyDescent="0.25">
      <c r="A29" s="24">
        <v>28</v>
      </c>
      <c r="B29" s="26">
        <v>13.5</v>
      </c>
      <c r="C29" s="28">
        <v>1.6066671637333341</v>
      </c>
      <c r="D29" s="28">
        <v>2.008333954666667</v>
      </c>
      <c r="E29" s="28">
        <v>2.008333954666667</v>
      </c>
      <c r="F29" s="28">
        <v>1.6066671637333341</v>
      </c>
      <c r="G29" s="28">
        <v>3.2133343274666681</v>
      </c>
      <c r="H29" s="28">
        <v>3.2133343274666681</v>
      </c>
      <c r="I29" s="28">
        <v>3.2133343274666681</v>
      </c>
      <c r="J29" s="28">
        <v>2.410000745600001</v>
      </c>
      <c r="K29" s="28">
        <v>1.6066671637333341</v>
      </c>
      <c r="L29" s="28">
        <v>2.410000745600001</v>
      </c>
      <c r="M29" s="28">
        <v>3.2133343274666681</v>
      </c>
      <c r="N29" s="28">
        <v>3.2133343274666681</v>
      </c>
      <c r="O29" s="28">
        <v>3.2133343274666681</v>
      </c>
      <c r="P29" s="28">
        <v>2.811667536533335</v>
      </c>
      <c r="Q29" s="28">
        <v>1.6066671637333341</v>
      </c>
      <c r="R29" s="28">
        <v>1.2050003728000001</v>
      </c>
      <c r="S29" s="28">
        <v>1.6066671637333341</v>
      </c>
      <c r="T29" s="28">
        <v>0.80333358186666703</v>
      </c>
      <c r="U29" s="28">
        <v>3.2133343274666681</v>
      </c>
      <c r="V29" s="28">
        <v>3.2133343274666681</v>
      </c>
      <c r="W29" s="28">
        <v>1.6066671637333341</v>
      </c>
      <c r="X29" s="28">
        <v>2.008333954666667</v>
      </c>
      <c r="Y29" s="28">
        <v>2.410000745600001</v>
      </c>
      <c r="Z29" s="28">
        <v>3.2133343274666681</v>
      </c>
      <c r="AA29" s="28">
        <v>2.811667536533335</v>
      </c>
      <c r="AB29" s="28">
        <v>2.008333954666667</v>
      </c>
      <c r="AC29" s="28">
        <v>3.2133343274666681</v>
      </c>
      <c r="AD29" s="28">
        <v>3.2133343274666681</v>
      </c>
      <c r="AE29" s="28">
        <v>3.2133343274666681</v>
      </c>
      <c r="AF29" s="28">
        <v>2.410000745600001</v>
      </c>
      <c r="AG29" s="28">
        <v>2.008333954666667</v>
      </c>
      <c r="AH29" s="28">
        <v>3.2133343274666681</v>
      </c>
      <c r="AI29" s="28">
        <v>2.811667536533335</v>
      </c>
      <c r="AJ29" s="28">
        <v>2.811667536533335</v>
      </c>
      <c r="AK29" s="28">
        <v>2.410000745600001</v>
      </c>
      <c r="AL29" s="28">
        <v>2.008333954666667</v>
      </c>
      <c r="AM29" s="28">
        <v>1.6066671637333341</v>
      </c>
      <c r="AN29" s="28">
        <v>3.2133343274666681</v>
      </c>
      <c r="AO29" s="28">
        <v>3.2133343274666681</v>
      </c>
      <c r="AP29" s="28">
        <v>2.811667536533335</v>
      </c>
      <c r="AQ29" s="28">
        <v>2.811667536533335</v>
      </c>
      <c r="AR29" s="28">
        <v>3.2133343274666681</v>
      </c>
      <c r="AS29" s="28">
        <v>3.2133343274666681</v>
      </c>
      <c r="AT29" s="28">
        <v>1.6066671637333341</v>
      </c>
      <c r="AU29" s="28">
        <v>3.2133343274666681</v>
      </c>
      <c r="AV29" s="28">
        <v>2.811667536533335</v>
      </c>
      <c r="AW29" s="28">
        <v>3.2133343274666681</v>
      </c>
      <c r="AX29" s="28">
        <v>2.008333954666667</v>
      </c>
      <c r="AY29" s="28">
        <v>3.2133343274666681</v>
      </c>
      <c r="AZ29" s="28">
        <v>2.410000745600001</v>
      </c>
      <c r="BA29" s="28">
        <v>2.410000745600001</v>
      </c>
      <c r="BB29" s="28">
        <v>3.2133343274666681</v>
      </c>
      <c r="BC29" s="28">
        <v>3.2133343274666681</v>
      </c>
      <c r="BD29" s="28">
        <v>1.2050003728000001</v>
      </c>
      <c r="BE29" s="28">
        <v>3.2133343274666681</v>
      </c>
      <c r="BF29" s="28">
        <v>2.008333954666667</v>
      </c>
      <c r="BG29" s="28">
        <v>1.2050003728000001</v>
      </c>
      <c r="BH29" s="28">
        <v>1.6066671637333341</v>
      </c>
      <c r="BI29" s="28">
        <v>3.2133343274666681</v>
      </c>
      <c r="BJ29" s="28">
        <v>1.6066671637333341</v>
      </c>
      <c r="BK29" s="28">
        <v>2.811667536533335</v>
      </c>
      <c r="BL29" s="28">
        <v>2.811667536533335</v>
      </c>
      <c r="BM29" s="28">
        <v>1.6066671637333341</v>
      </c>
      <c r="BN29" s="28">
        <v>1.2050003728000001</v>
      </c>
      <c r="BO29" s="28">
        <v>2.811667536533335</v>
      </c>
      <c r="BP29" s="28">
        <v>2.410000745600001</v>
      </c>
      <c r="BQ29" s="28">
        <v>3.2133343274666681</v>
      </c>
      <c r="BR29" s="28">
        <v>2.811667536533335</v>
      </c>
      <c r="BS29" s="28">
        <v>1.6066671637333341</v>
      </c>
      <c r="BT29" s="28">
        <v>2.410000745600001</v>
      </c>
      <c r="BU29" s="28">
        <v>3.2133343274666681</v>
      </c>
      <c r="BV29" s="28">
        <v>2.410000745600001</v>
      </c>
      <c r="BW29" s="28">
        <v>3.2133343274666681</v>
      </c>
      <c r="BX29" s="28">
        <v>2.811667536533335</v>
      </c>
      <c r="BY29" s="28">
        <v>3.2133343274666681</v>
      </c>
      <c r="BZ29" s="28">
        <v>2.410000745600001</v>
      </c>
      <c r="CA29" s="28">
        <v>3.2133343274666681</v>
      </c>
      <c r="CB29" s="28">
        <v>2.410000745600001</v>
      </c>
      <c r="CC29" s="28">
        <v>3.2133343274666681</v>
      </c>
      <c r="CD29" s="28">
        <v>2.410000745600001</v>
      </c>
      <c r="CE29" s="28">
        <v>2.008333954666667</v>
      </c>
      <c r="CF29" s="28">
        <v>3.2133343274666681</v>
      </c>
      <c r="CG29" s="28">
        <v>3.2133343274666681</v>
      </c>
      <c r="CH29" s="28">
        <v>3.2133343274666681</v>
      </c>
      <c r="CI29" s="28">
        <v>1.2050003728000001</v>
      </c>
      <c r="CJ29" s="28">
        <v>2.811667536533335</v>
      </c>
      <c r="CK29" s="28">
        <v>2.008333954666667</v>
      </c>
      <c r="CL29" s="28">
        <v>2.410000745600001</v>
      </c>
      <c r="CM29" s="28">
        <v>2.410000745600001</v>
      </c>
      <c r="CN29" s="28">
        <v>1.6066671637333341</v>
      </c>
      <c r="CO29" s="28">
        <v>2.410000745600001</v>
      </c>
      <c r="CP29" s="28">
        <v>3.2133343274666681</v>
      </c>
      <c r="CQ29" s="28">
        <v>1.6066671637333341</v>
      </c>
      <c r="CR29" s="28">
        <v>1.2050003728000001</v>
      </c>
      <c r="CS29" s="28">
        <v>3.2133343274666681</v>
      </c>
      <c r="CT29" s="28">
        <v>2.811667536533335</v>
      </c>
      <c r="CU29" s="28">
        <v>2.811667536533335</v>
      </c>
      <c r="CV29" s="28">
        <v>2.811667536533335</v>
      </c>
      <c r="CW29" s="28">
        <v>1.2050003728000001</v>
      </c>
      <c r="CX29" s="28">
        <v>1.2050003728000001</v>
      </c>
      <c r="CY29" s="28">
        <v>3.2133343274666681</v>
      </c>
      <c r="CZ29" s="28">
        <v>1.6066671637333341</v>
      </c>
      <c r="DA29" s="28">
        <v>3.2133343274666681</v>
      </c>
      <c r="DB29" s="28">
        <v>2.008333954666667</v>
      </c>
      <c r="DC29" s="28">
        <v>1.2050003728000001</v>
      </c>
      <c r="DD29" s="28">
        <v>1.6066671637333341</v>
      </c>
      <c r="DE29" s="28">
        <v>1.6066671637333341</v>
      </c>
      <c r="DF29" s="28">
        <v>2.811667536533335</v>
      </c>
      <c r="DG29" s="28">
        <v>3.2133343274666681</v>
      </c>
      <c r="DH29" s="28">
        <v>3.2133343274666681</v>
      </c>
      <c r="DI29" s="28">
        <v>2.811667536533335</v>
      </c>
      <c r="DJ29" s="28">
        <v>3.2133343274666681</v>
      </c>
      <c r="DK29" s="28">
        <v>2.811667536533335</v>
      </c>
      <c r="DL29" s="28">
        <v>2.410000745600001</v>
      </c>
      <c r="DM29" s="28">
        <v>3.2133343274666681</v>
      </c>
      <c r="DN29" s="28">
        <v>3.2133343274666681</v>
      </c>
      <c r="DO29" s="28">
        <v>3.2133343274666681</v>
      </c>
      <c r="DP29" s="28">
        <v>2.008333954666667</v>
      </c>
      <c r="DQ29" s="28">
        <v>2.008333954666667</v>
      </c>
      <c r="DR29" s="28">
        <v>3.2133343274666681</v>
      </c>
      <c r="DS29" s="28">
        <v>1.6066671637333341</v>
      </c>
      <c r="DT29" s="28">
        <v>1.6066671637333341</v>
      </c>
      <c r="DU29" s="28">
        <v>1.6066671637333341</v>
      </c>
      <c r="DV29" s="28">
        <v>0.80333358186666703</v>
      </c>
      <c r="DW29" s="28">
        <v>2.4715464635655899</v>
      </c>
      <c r="DX29" s="34">
        <v>306.47176148213322</v>
      </c>
    </row>
    <row r="30" spans="1:128" x14ac:dyDescent="0.25">
      <c r="A30" s="24">
        <v>29</v>
      </c>
      <c r="B30" s="26">
        <v>14</v>
      </c>
      <c r="C30" s="28">
        <v>1.5327539466</v>
      </c>
      <c r="D30" s="28">
        <v>1.9159424332499999</v>
      </c>
      <c r="E30" s="28">
        <v>1.9159424332499999</v>
      </c>
      <c r="F30" s="28">
        <v>1.5327539466</v>
      </c>
      <c r="G30" s="28">
        <v>3.0655078931999999</v>
      </c>
      <c r="H30" s="28">
        <v>3.0655078931999999</v>
      </c>
      <c r="I30" s="28">
        <v>3.0655078931999999</v>
      </c>
      <c r="J30" s="28">
        <v>2.2991309199000001</v>
      </c>
      <c r="K30" s="28">
        <v>1.5327539466</v>
      </c>
      <c r="L30" s="28">
        <v>2.2991309199000001</v>
      </c>
      <c r="M30" s="28">
        <v>3.0655078931999999</v>
      </c>
      <c r="N30" s="28">
        <v>3.0655078931999999</v>
      </c>
      <c r="O30" s="28">
        <v>3.0655078931999999</v>
      </c>
      <c r="P30" s="28">
        <v>2.68231940655</v>
      </c>
      <c r="Q30" s="28">
        <v>1.5327539466</v>
      </c>
      <c r="R30" s="28">
        <v>1.14956545995</v>
      </c>
      <c r="S30" s="28">
        <v>1.5327539466</v>
      </c>
      <c r="T30" s="28">
        <v>0.76637697329999999</v>
      </c>
      <c r="U30" s="28">
        <v>3.0655078931999999</v>
      </c>
      <c r="V30" s="28">
        <v>3.0655078931999999</v>
      </c>
      <c r="W30" s="28">
        <v>1.5327539466</v>
      </c>
      <c r="X30" s="28">
        <v>1.9159424332499999</v>
      </c>
      <c r="Y30" s="28">
        <v>2.2991309199000001</v>
      </c>
      <c r="Z30" s="28">
        <v>3.0655078931999999</v>
      </c>
      <c r="AA30" s="28">
        <v>2.68231940655</v>
      </c>
      <c r="AB30" s="28">
        <v>1.9159424332499999</v>
      </c>
      <c r="AC30" s="28">
        <v>3.0655078931999999</v>
      </c>
      <c r="AD30" s="28">
        <v>3.0655078931999999</v>
      </c>
      <c r="AE30" s="28">
        <v>3.0655078931999999</v>
      </c>
      <c r="AF30" s="28">
        <v>2.2991309199000001</v>
      </c>
      <c r="AG30" s="28">
        <v>1.9159424332499999</v>
      </c>
      <c r="AH30" s="28">
        <v>3.0655078931999999</v>
      </c>
      <c r="AI30" s="28">
        <v>2.68231940655</v>
      </c>
      <c r="AJ30" s="28">
        <v>2.68231940655</v>
      </c>
      <c r="AK30" s="28">
        <v>2.2991309199000001</v>
      </c>
      <c r="AL30" s="28">
        <v>1.9159424332499999</v>
      </c>
      <c r="AM30" s="28">
        <v>1.5327539466</v>
      </c>
      <c r="AN30" s="28">
        <v>3.0655078931999999</v>
      </c>
      <c r="AO30" s="28">
        <v>3.0655078931999999</v>
      </c>
      <c r="AP30" s="28">
        <v>2.68231940655</v>
      </c>
      <c r="AQ30" s="28">
        <v>2.68231940655</v>
      </c>
      <c r="AR30" s="28">
        <v>3.0655078931999999</v>
      </c>
      <c r="AS30" s="28">
        <v>3.0655078931999999</v>
      </c>
      <c r="AT30" s="28">
        <v>1.5327539466</v>
      </c>
      <c r="AU30" s="28">
        <v>3.0655078931999999</v>
      </c>
      <c r="AV30" s="28">
        <v>2.68231940655</v>
      </c>
      <c r="AW30" s="28">
        <v>3.0655078931999999</v>
      </c>
      <c r="AX30" s="28">
        <v>1.9159424332499999</v>
      </c>
      <c r="AY30" s="28">
        <v>3.0655078931999999</v>
      </c>
      <c r="AZ30" s="28">
        <v>2.2991309199000001</v>
      </c>
      <c r="BA30" s="28">
        <v>2.2991309199000001</v>
      </c>
      <c r="BB30" s="28">
        <v>3.0655078931999999</v>
      </c>
      <c r="BC30" s="28">
        <v>3.0655078931999999</v>
      </c>
      <c r="BD30" s="28">
        <v>1.14956545995</v>
      </c>
      <c r="BE30" s="28">
        <v>3.0655078931999999</v>
      </c>
      <c r="BF30" s="28">
        <v>1.9159424332499999</v>
      </c>
      <c r="BG30" s="28">
        <v>1.14956545995</v>
      </c>
      <c r="BH30" s="28">
        <v>1.5327539466</v>
      </c>
      <c r="BI30" s="28">
        <v>3.0655078931999999</v>
      </c>
      <c r="BJ30" s="28">
        <v>1.5327539466</v>
      </c>
      <c r="BK30" s="28">
        <v>2.68231940655</v>
      </c>
      <c r="BL30" s="28">
        <v>2.68231940655</v>
      </c>
      <c r="BM30" s="28">
        <v>1.5327539466</v>
      </c>
      <c r="BN30" s="28">
        <v>1.14956545995</v>
      </c>
      <c r="BO30" s="28">
        <v>2.68231940655</v>
      </c>
      <c r="BP30" s="28">
        <v>2.2991309199000001</v>
      </c>
      <c r="BQ30" s="28">
        <v>3.0655078931999999</v>
      </c>
      <c r="BR30" s="28">
        <v>2.68231940655</v>
      </c>
      <c r="BS30" s="28">
        <v>1.5327539466</v>
      </c>
      <c r="BT30" s="28">
        <v>2.2991309199000001</v>
      </c>
      <c r="BU30" s="28">
        <v>3.0655078931999999</v>
      </c>
      <c r="BV30" s="28">
        <v>2.2991309199000001</v>
      </c>
      <c r="BW30" s="28">
        <v>3.0655078931999999</v>
      </c>
      <c r="BX30" s="28">
        <v>2.68231940655</v>
      </c>
      <c r="BY30" s="28">
        <v>3.0655078931999999</v>
      </c>
      <c r="BZ30" s="28">
        <v>2.2991309199000001</v>
      </c>
      <c r="CA30" s="28">
        <v>3.0655078931999999</v>
      </c>
      <c r="CB30" s="28">
        <v>2.2991309199000001</v>
      </c>
      <c r="CC30" s="28">
        <v>3.0655078931999999</v>
      </c>
      <c r="CD30" s="28">
        <v>2.2991309199000001</v>
      </c>
      <c r="CE30" s="28">
        <v>1.9159424332499999</v>
      </c>
      <c r="CF30" s="28">
        <v>3.0655078931999999</v>
      </c>
      <c r="CG30" s="28">
        <v>3.0655078931999999</v>
      </c>
      <c r="CH30" s="28">
        <v>3.0655078931999999</v>
      </c>
      <c r="CI30" s="28">
        <v>1.14956545995</v>
      </c>
      <c r="CJ30" s="28">
        <v>2.68231940655</v>
      </c>
      <c r="CK30" s="28">
        <v>1.9159424332499999</v>
      </c>
      <c r="CL30" s="28">
        <v>2.2991309199000001</v>
      </c>
      <c r="CM30" s="28">
        <v>2.2991309199000001</v>
      </c>
      <c r="CN30" s="28">
        <v>1.5327539466</v>
      </c>
      <c r="CO30" s="28">
        <v>2.2991309199000001</v>
      </c>
      <c r="CP30" s="28">
        <v>3.0655078931999999</v>
      </c>
      <c r="CQ30" s="28">
        <v>1.5327539466</v>
      </c>
      <c r="CR30" s="28">
        <v>1.14956545995</v>
      </c>
      <c r="CS30" s="28">
        <v>3.0655078931999999</v>
      </c>
      <c r="CT30" s="28">
        <v>2.68231940655</v>
      </c>
      <c r="CU30" s="28">
        <v>2.68231940655</v>
      </c>
      <c r="CV30" s="28">
        <v>2.68231940655</v>
      </c>
      <c r="CW30" s="28">
        <v>1.14956545995</v>
      </c>
      <c r="CX30" s="28">
        <v>1.14956545995</v>
      </c>
      <c r="CY30" s="28">
        <v>3.0655078931999999</v>
      </c>
      <c r="CZ30" s="28">
        <v>1.5327539466</v>
      </c>
      <c r="DA30" s="28">
        <v>3.0655078931999999</v>
      </c>
      <c r="DB30" s="28">
        <v>1.9159424332499999</v>
      </c>
      <c r="DC30" s="28">
        <v>1.14956545995</v>
      </c>
      <c r="DD30" s="28">
        <v>1.5327539466</v>
      </c>
      <c r="DE30" s="28">
        <v>1.5327539466</v>
      </c>
      <c r="DF30" s="28">
        <v>2.68231940655</v>
      </c>
      <c r="DG30" s="28">
        <v>3.0655078931999999</v>
      </c>
      <c r="DH30" s="28">
        <v>3.0655078931999999</v>
      </c>
      <c r="DI30" s="28">
        <v>2.68231940655</v>
      </c>
      <c r="DJ30" s="28">
        <v>3.0655078931999999</v>
      </c>
      <c r="DK30" s="28">
        <v>2.68231940655</v>
      </c>
      <c r="DL30" s="28">
        <v>2.2991309199000001</v>
      </c>
      <c r="DM30" s="28">
        <v>3.0655078931999999</v>
      </c>
      <c r="DN30" s="28">
        <v>3.0655078931999999</v>
      </c>
      <c r="DO30" s="28">
        <v>3.0655078931999999</v>
      </c>
      <c r="DP30" s="28">
        <v>1.9159424332499999</v>
      </c>
      <c r="DQ30" s="28">
        <v>1.9159424332499999</v>
      </c>
      <c r="DR30" s="28">
        <v>3.0655078931999999</v>
      </c>
      <c r="DS30" s="28">
        <v>1.5327539466</v>
      </c>
      <c r="DT30" s="28">
        <v>1.5327539466</v>
      </c>
      <c r="DU30" s="28">
        <v>1.5327539466</v>
      </c>
      <c r="DV30" s="28">
        <v>0.76637697329999999</v>
      </c>
      <c r="DW30" s="28">
        <v>2.3578452847899158</v>
      </c>
      <c r="DX30" s="34">
        <v>292.37281531394962</v>
      </c>
    </row>
    <row r="31" spans="1:128" x14ac:dyDescent="0.25">
      <c r="A31" s="24">
        <v>30</v>
      </c>
      <c r="B31" s="26">
        <v>14.5</v>
      </c>
      <c r="C31" s="28">
        <v>1.4390950865333341</v>
      </c>
      <c r="D31" s="28">
        <v>1.7988688581666681</v>
      </c>
      <c r="E31" s="28">
        <v>1.7988688581666681</v>
      </c>
      <c r="F31" s="28">
        <v>1.4390950865333341</v>
      </c>
      <c r="G31" s="28">
        <v>2.8781901730666681</v>
      </c>
      <c r="H31" s="28">
        <v>2.8781901730666681</v>
      </c>
      <c r="I31" s="28">
        <v>2.8781901730666681</v>
      </c>
      <c r="J31" s="28">
        <v>2.158642629800001</v>
      </c>
      <c r="K31" s="28">
        <v>1.4390950865333341</v>
      </c>
      <c r="L31" s="28">
        <v>2.158642629800001</v>
      </c>
      <c r="M31" s="28">
        <v>2.8781901730666681</v>
      </c>
      <c r="N31" s="28">
        <v>2.8781901730666681</v>
      </c>
      <c r="O31" s="28">
        <v>2.8781901730666681</v>
      </c>
      <c r="P31" s="28">
        <v>2.5184164014333348</v>
      </c>
      <c r="Q31" s="28">
        <v>1.4390950865333341</v>
      </c>
      <c r="R31" s="28">
        <v>1.0793213149000001</v>
      </c>
      <c r="S31" s="28">
        <v>1.4390950865333341</v>
      </c>
      <c r="T31" s="28">
        <v>0.71954754326666703</v>
      </c>
      <c r="U31" s="28">
        <v>2.8781901730666681</v>
      </c>
      <c r="V31" s="28">
        <v>2.8781901730666681</v>
      </c>
      <c r="W31" s="28">
        <v>1.4390950865333341</v>
      </c>
      <c r="X31" s="28">
        <v>1.7988688581666681</v>
      </c>
      <c r="Y31" s="28">
        <v>2.158642629800001</v>
      </c>
      <c r="Z31" s="28">
        <v>2.8781901730666681</v>
      </c>
      <c r="AA31" s="28">
        <v>2.5184164014333348</v>
      </c>
      <c r="AB31" s="28">
        <v>1.7988688581666681</v>
      </c>
      <c r="AC31" s="28">
        <v>2.8781901730666681</v>
      </c>
      <c r="AD31" s="28">
        <v>2.8781901730666681</v>
      </c>
      <c r="AE31" s="28">
        <v>2.8781901730666681</v>
      </c>
      <c r="AF31" s="28">
        <v>2.158642629800001</v>
      </c>
      <c r="AG31" s="28">
        <v>1.7988688581666681</v>
      </c>
      <c r="AH31" s="28">
        <v>2.8781901730666681</v>
      </c>
      <c r="AI31" s="28">
        <v>2.5184164014333348</v>
      </c>
      <c r="AJ31" s="28">
        <v>2.5184164014333348</v>
      </c>
      <c r="AK31" s="28">
        <v>2.158642629800001</v>
      </c>
      <c r="AL31" s="28">
        <v>1.7988688581666681</v>
      </c>
      <c r="AM31" s="28">
        <v>1.4390950865333341</v>
      </c>
      <c r="AN31" s="28">
        <v>2.8781901730666681</v>
      </c>
      <c r="AO31" s="28">
        <v>2.8781901730666681</v>
      </c>
      <c r="AP31" s="28">
        <v>2.5184164014333348</v>
      </c>
      <c r="AQ31" s="28">
        <v>2.5184164014333348</v>
      </c>
      <c r="AR31" s="28">
        <v>2.8781901730666681</v>
      </c>
      <c r="AS31" s="28">
        <v>2.8781901730666681</v>
      </c>
      <c r="AT31" s="28">
        <v>1.4390950865333341</v>
      </c>
      <c r="AU31" s="28">
        <v>2.8781901730666681</v>
      </c>
      <c r="AV31" s="28">
        <v>2.5184164014333348</v>
      </c>
      <c r="AW31" s="28">
        <v>2.8781901730666681</v>
      </c>
      <c r="AX31" s="28">
        <v>1.7988688581666681</v>
      </c>
      <c r="AY31" s="28">
        <v>2.8781901730666681</v>
      </c>
      <c r="AZ31" s="28">
        <v>2.158642629800001</v>
      </c>
      <c r="BA31" s="28">
        <v>2.158642629800001</v>
      </c>
      <c r="BB31" s="28">
        <v>2.8781901730666681</v>
      </c>
      <c r="BC31" s="28">
        <v>2.8781901730666681</v>
      </c>
      <c r="BD31" s="28">
        <v>1.0793213149000001</v>
      </c>
      <c r="BE31" s="28">
        <v>2.8781901730666681</v>
      </c>
      <c r="BF31" s="28">
        <v>1.7988688581666681</v>
      </c>
      <c r="BG31" s="28">
        <v>1.0793213149000001</v>
      </c>
      <c r="BH31" s="28">
        <v>1.4390950865333341</v>
      </c>
      <c r="BI31" s="28">
        <v>2.8781901730666681</v>
      </c>
      <c r="BJ31" s="28">
        <v>1.4390950865333341</v>
      </c>
      <c r="BK31" s="28">
        <v>2.5184164014333348</v>
      </c>
      <c r="BL31" s="28">
        <v>2.5184164014333348</v>
      </c>
      <c r="BM31" s="28">
        <v>1.4390950865333341</v>
      </c>
      <c r="BN31" s="28">
        <v>1.0793213149000001</v>
      </c>
      <c r="BO31" s="28">
        <v>2.5184164014333348</v>
      </c>
      <c r="BP31" s="28">
        <v>2.158642629800001</v>
      </c>
      <c r="BQ31" s="28">
        <v>2.8781901730666681</v>
      </c>
      <c r="BR31" s="28">
        <v>2.5184164014333348</v>
      </c>
      <c r="BS31" s="28">
        <v>1.4390950865333341</v>
      </c>
      <c r="BT31" s="28">
        <v>2.158642629800001</v>
      </c>
      <c r="BU31" s="28">
        <v>2.8781901730666681</v>
      </c>
      <c r="BV31" s="28">
        <v>2.158642629800001</v>
      </c>
      <c r="BW31" s="28">
        <v>2.8781901730666681</v>
      </c>
      <c r="BX31" s="28">
        <v>2.5184164014333348</v>
      </c>
      <c r="BY31" s="28">
        <v>2.8781901730666681</v>
      </c>
      <c r="BZ31" s="28">
        <v>2.158642629800001</v>
      </c>
      <c r="CA31" s="28">
        <v>2.8781901730666681</v>
      </c>
      <c r="CB31" s="28">
        <v>2.158642629800001</v>
      </c>
      <c r="CC31" s="28">
        <v>2.8781901730666681</v>
      </c>
      <c r="CD31" s="28">
        <v>2.158642629800001</v>
      </c>
      <c r="CE31" s="28">
        <v>1.7988688581666681</v>
      </c>
      <c r="CF31" s="28">
        <v>2.8781901730666681</v>
      </c>
      <c r="CG31" s="28">
        <v>2.8781901730666681</v>
      </c>
      <c r="CH31" s="28">
        <v>2.8781901730666681</v>
      </c>
      <c r="CI31" s="28">
        <v>1.0793213149000001</v>
      </c>
      <c r="CJ31" s="28">
        <v>2.5184164014333348</v>
      </c>
      <c r="CK31" s="28">
        <v>1.7988688581666681</v>
      </c>
      <c r="CL31" s="28">
        <v>2.158642629800001</v>
      </c>
      <c r="CM31" s="28">
        <v>2.158642629800001</v>
      </c>
      <c r="CN31" s="28">
        <v>1.4390950865333341</v>
      </c>
      <c r="CO31" s="28">
        <v>2.158642629800001</v>
      </c>
      <c r="CP31" s="28">
        <v>2.8781901730666681</v>
      </c>
      <c r="CQ31" s="28">
        <v>1.4390950865333341</v>
      </c>
      <c r="CR31" s="28">
        <v>1.0793213149000001</v>
      </c>
      <c r="CS31" s="28">
        <v>2.8781901730666681</v>
      </c>
      <c r="CT31" s="28">
        <v>2.5184164014333348</v>
      </c>
      <c r="CU31" s="28">
        <v>2.5184164014333348</v>
      </c>
      <c r="CV31" s="28">
        <v>2.5184164014333348</v>
      </c>
      <c r="CW31" s="28">
        <v>1.0793213149000001</v>
      </c>
      <c r="CX31" s="28">
        <v>1.0793213149000001</v>
      </c>
      <c r="CY31" s="28">
        <v>2.8781901730666681</v>
      </c>
      <c r="CZ31" s="28">
        <v>1.4390950865333341</v>
      </c>
      <c r="DA31" s="28">
        <v>2.8781901730666681</v>
      </c>
      <c r="DB31" s="28">
        <v>1.7988688581666681</v>
      </c>
      <c r="DC31" s="28">
        <v>1.0793213149000001</v>
      </c>
      <c r="DD31" s="28">
        <v>1.4390950865333341</v>
      </c>
      <c r="DE31" s="28">
        <v>1.4390950865333341</v>
      </c>
      <c r="DF31" s="28">
        <v>2.5184164014333348</v>
      </c>
      <c r="DG31" s="28">
        <v>2.8781901730666681</v>
      </c>
      <c r="DH31" s="28">
        <v>2.8781901730666681</v>
      </c>
      <c r="DI31" s="28">
        <v>2.5184164014333348</v>
      </c>
      <c r="DJ31" s="28">
        <v>2.8781901730666681</v>
      </c>
      <c r="DK31" s="28">
        <v>2.5184164014333348</v>
      </c>
      <c r="DL31" s="28">
        <v>2.158642629800001</v>
      </c>
      <c r="DM31" s="28">
        <v>2.8781901730666681</v>
      </c>
      <c r="DN31" s="28">
        <v>2.8781901730666681</v>
      </c>
      <c r="DO31" s="28">
        <v>2.8781901730666681</v>
      </c>
      <c r="DP31" s="28">
        <v>1.7988688581666681</v>
      </c>
      <c r="DQ31" s="28">
        <v>1.7988688581666681</v>
      </c>
      <c r="DR31" s="28">
        <v>2.8781901730666681</v>
      </c>
      <c r="DS31" s="28">
        <v>1.4390950865333341</v>
      </c>
      <c r="DT31" s="28">
        <v>1.4390950865333341</v>
      </c>
      <c r="DU31" s="28">
        <v>1.4390950865333341</v>
      </c>
      <c r="DV31" s="28">
        <v>0.71954754326666703</v>
      </c>
      <c r="DW31" s="28">
        <v>2.213769256098657</v>
      </c>
      <c r="DX31" s="34">
        <v>274.50738775623353</v>
      </c>
    </row>
    <row r="32" spans="1:128" x14ac:dyDescent="0.25">
      <c r="A32" s="24">
        <v>31</v>
      </c>
      <c r="B32" s="26">
        <v>15</v>
      </c>
      <c r="C32" s="28">
        <v>1.3395642474</v>
      </c>
      <c r="D32" s="28">
        <v>1.6744553092500001</v>
      </c>
      <c r="E32" s="28">
        <v>1.6744553092500001</v>
      </c>
      <c r="F32" s="28">
        <v>1.3395642474</v>
      </c>
      <c r="G32" s="28">
        <v>2.6791284948</v>
      </c>
      <c r="H32" s="28">
        <v>2.6791284948</v>
      </c>
      <c r="I32" s="28">
        <v>2.6791284948</v>
      </c>
      <c r="J32" s="28">
        <v>2.0093463710999999</v>
      </c>
      <c r="K32" s="28">
        <v>1.3395642474</v>
      </c>
      <c r="L32" s="28">
        <v>2.0093463710999999</v>
      </c>
      <c r="M32" s="28">
        <v>2.6791284948</v>
      </c>
      <c r="N32" s="28">
        <v>2.6791284948</v>
      </c>
      <c r="O32" s="28">
        <v>2.6791284948</v>
      </c>
      <c r="P32" s="28">
        <v>2.34423743295</v>
      </c>
      <c r="Q32" s="28">
        <v>1.3395642474</v>
      </c>
      <c r="R32" s="28">
        <v>1.00467318555</v>
      </c>
      <c r="S32" s="28">
        <v>1.3395642474</v>
      </c>
      <c r="T32" s="28">
        <v>0.66978212370000001</v>
      </c>
      <c r="U32" s="28">
        <v>2.6791284948</v>
      </c>
      <c r="V32" s="28">
        <v>2.6791284948</v>
      </c>
      <c r="W32" s="28">
        <v>1.3395642474</v>
      </c>
      <c r="X32" s="28">
        <v>1.6744553092500001</v>
      </c>
      <c r="Y32" s="28">
        <v>2.0093463710999999</v>
      </c>
      <c r="Z32" s="28">
        <v>2.6791284948</v>
      </c>
      <c r="AA32" s="28">
        <v>2.34423743295</v>
      </c>
      <c r="AB32" s="28">
        <v>1.6744553092500001</v>
      </c>
      <c r="AC32" s="28">
        <v>2.6791284948</v>
      </c>
      <c r="AD32" s="28">
        <v>2.6791284948</v>
      </c>
      <c r="AE32" s="28">
        <v>2.6791284948</v>
      </c>
      <c r="AF32" s="28">
        <v>2.0093463710999999</v>
      </c>
      <c r="AG32" s="28">
        <v>1.6744553092500001</v>
      </c>
      <c r="AH32" s="28">
        <v>2.6791284948</v>
      </c>
      <c r="AI32" s="28">
        <v>2.34423743295</v>
      </c>
      <c r="AJ32" s="28">
        <v>2.34423743295</v>
      </c>
      <c r="AK32" s="28">
        <v>2.0093463710999999</v>
      </c>
      <c r="AL32" s="28">
        <v>1.6744553092500001</v>
      </c>
      <c r="AM32" s="28">
        <v>1.3395642474</v>
      </c>
      <c r="AN32" s="28">
        <v>2.6791284948</v>
      </c>
      <c r="AO32" s="28">
        <v>2.6791284948</v>
      </c>
      <c r="AP32" s="28">
        <v>2.34423743295</v>
      </c>
      <c r="AQ32" s="28">
        <v>2.34423743295</v>
      </c>
      <c r="AR32" s="28">
        <v>2.6791284948</v>
      </c>
      <c r="AS32" s="28">
        <v>2.6791284948</v>
      </c>
      <c r="AT32" s="28">
        <v>1.3395642474</v>
      </c>
      <c r="AU32" s="28">
        <v>2.6791284948</v>
      </c>
      <c r="AV32" s="28">
        <v>2.34423743295</v>
      </c>
      <c r="AW32" s="28">
        <v>2.6791284948</v>
      </c>
      <c r="AX32" s="28">
        <v>1.6744553092500001</v>
      </c>
      <c r="AY32" s="28">
        <v>2.6791284948</v>
      </c>
      <c r="AZ32" s="28">
        <v>2.0093463710999999</v>
      </c>
      <c r="BA32" s="28">
        <v>2.0093463710999999</v>
      </c>
      <c r="BB32" s="28">
        <v>2.6791284948</v>
      </c>
      <c r="BC32" s="28">
        <v>2.6791284948</v>
      </c>
      <c r="BD32" s="28">
        <v>1.00467318555</v>
      </c>
      <c r="BE32" s="28">
        <v>2.6791284948</v>
      </c>
      <c r="BF32" s="28">
        <v>1.6744553092500001</v>
      </c>
      <c r="BG32" s="28">
        <v>1.00467318555</v>
      </c>
      <c r="BH32" s="28">
        <v>1.3395642474</v>
      </c>
      <c r="BI32" s="28">
        <v>2.6791284948</v>
      </c>
      <c r="BJ32" s="28">
        <v>1.3395642474</v>
      </c>
      <c r="BK32" s="28">
        <v>2.34423743295</v>
      </c>
      <c r="BL32" s="28">
        <v>2.34423743295</v>
      </c>
      <c r="BM32" s="28">
        <v>1.3395642474</v>
      </c>
      <c r="BN32" s="28">
        <v>1.00467318555</v>
      </c>
      <c r="BO32" s="28">
        <v>2.34423743295</v>
      </c>
      <c r="BP32" s="28">
        <v>2.0093463710999999</v>
      </c>
      <c r="BQ32" s="28">
        <v>2.6791284948</v>
      </c>
      <c r="BR32" s="28">
        <v>2.34423743295</v>
      </c>
      <c r="BS32" s="28">
        <v>1.3395642474</v>
      </c>
      <c r="BT32" s="28">
        <v>2.0093463710999999</v>
      </c>
      <c r="BU32" s="28">
        <v>2.6791284948</v>
      </c>
      <c r="BV32" s="28">
        <v>2.0093463710999999</v>
      </c>
      <c r="BW32" s="28">
        <v>2.6791284948</v>
      </c>
      <c r="BX32" s="28">
        <v>2.34423743295</v>
      </c>
      <c r="BY32" s="28">
        <v>2.6791284948</v>
      </c>
      <c r="BZ32" s="28">
        <v>2.0093463710999999</v>
      </c>
      <c r="CA32" s="28">
        <v>2.6791284948</v>
      </c>
      <c r="CB32" s="28">
        <v>2.0093463710999999</v>
      </c>
      <c r="CC32" s="28">
        <v>2.6791284948</v>
      </c>
      <c r="CD32" s="28">
        <v>2.0093463710999999</v>
      </c>
      <c r="CE32" s="28">
        <v>1.6744553092500001</v>
      </c>
      <c r="CF32" s="28">
        <v>2.6791284948</v>
      </c>
      <c r="CG32" s="28">
        <v>2.6791284948</v>
      </c>
      <c r="CH32" s="28">
        <v>2.6791284948</v>
      </c>
      <c r="CI32" s="28">
        <v>1.00467318555</v>
      </c>
      <c r="CJ32" s="28">
        <v>2.34423743295</v>
      </c>
      <c r="CK32" s="28">
        <v>1.6744553092500001</v>
      </c>
      <c r="CL32" s="28">
        <v>2.0093463710999999</v>
      </c>
      <c r="CM32" s="28">
        <v>2.0093463710999999</v>
      </c>
      <c r="CN32" s="28">
        <v>1.3395642474</v>
      </c>
      <c r="CO32" s="28">
        <v>2.0093463710999999</v>
      </c>
      <c r="CP32" s="28">
        <v>2.6791284948</v>
      </c>
      <c r="CQ32" s="28">
        <v>1.3395642474</v>
      </c>
      <c r="CR32" s="28">
        <v>1.00467318555</v>
      </c>
      <c r="CS32" s="28">
        <v>2.6791284948</v>
      </c>
      <c r="CT32" s="28">
        <v>2.34423743295</v>
      </c>
      <c r="CU32" s="28">
        <v>2.34423743295</v>
      </c>
      <c r="CV32" s="28">
        <v>2.34423743295</v>
      </c>
      <c r="CW32" s="28">
        <v>1.00467318555</v>
      </c>
      <c r="CX32" s="28">
        <v>1.00467318555</v>
      </c>
      <c r="CY32" s="28">
        <v>2.6791284948</v>
      </c>
      <c r="CZ32" s="28">
        <v>1.3395642474</v>
      </c>
      <c r="DA32" s="28">
        <v>2.6791284948</v>
      </c>
      <c r="DB32" s="28">
        <v>1.6744553092500001</v>
      </c>
      <c r="DC32" s="28">
        <v>1.00467318555</v>
      </c>
      <c r="DD32" s="28">
        <v>1.3395642474</v>
      </c>
      <c r="DE32" s="28">
        <v>1.3395642474</v>
      </c>
      <c r="DF32" s="28">
        <v>2.34423743295</v>
      </c>
      <c r="DG32" s="28">
        <v>2.6791284948</v>
      </c>
      <c r="DH32" s="28">
        <v>2.6791284948</v>
      </c>
      <c r="DI32" s="28">
        <v>2.34423743295</v>
      </c>
      <c r="DJ32" s="28">
        <v>2.6791284948</v>
      </c>
      <c r="DK32" s="28">
        <v>2.34423743295</v>
      </c>
      <c r="DL32" s="28">
        <v>2.0093463710999999</v>
      </c>
      <c r="DM32" s="28">
        <v>2.6791284948</v>
      </c>
      <c r="DN32" s="28">
        <v>2.6791284948</v>
      </c>
      <c r="DO32" s="28">
        <v>2.6791284948</v>
      </c>
      <c r="DP32" s="28">
        <v>1.6744553092500001</v>
      </c>
      <c r="DQ32" s="28">
        <v>1.6744553092500001</v>
      </c>
      <c r="DR32" s="28">
        <v>2.6791284948</v>
      </c>
      <c r="DS32" s="28">
        <v>1.3395642474</v>
      </c>
      <c r="DT32" s="28">
        <v>1.3395642474</v>
      </c>
      <c r="DU32" s="28">
        <v>1.3395642474</v>
      </c>
      <c r="DV32" s="28">
        <v>0.66978212370000001</v>
      </c>
      <c r="DW32" s="28">
        <v>2.0606603241254051</v>
      </c>
      <c r="DX32" s="34">
        <v>255.5218801915502</v>
      </c>
    </row>
    <row r="33" spans="1:128" x14ac:dyDescent="0.25">
      <c r="A33" s="24">
        <v>32</v>
      </c>
      <c r="B33" s="26">
        <v>15.5</v>
      </c>
      <c r="C33" s="28">
        <v>1.2197919269333339</v>
      </c>
      <c r="D33" s="28">
        <v>1.524739908666668</v>
      </c>
      <c r="E33" s="28">
        <v>1.524739908666668</v>
      </c>
      <c r="F33" s="28">
        <v>1.2197919269333339</v>
      </c>
      <c r="G33" s="28">
        <v>2.4395838538666679</v>
      </c>
      <c r="H33" s="28">
        <v>2.4395838538666679</v>
      </c>
      <c r="I33" s="28">
        <v>2.4395838538666679</v>
      </c>
      <c r="J33" s="28">
        <v>1.8296878904000009</v>
      </c>
      <c r="K33" s="28">
        <v>1.2197919269333339</v>
      </c>
      <c r="L33" s="28">
        <v>1.8296878904000009</v>
      </c>
      <c r="M33" s="28">
        <v>2.4395838538666679</v>
      </c>
      <c r="N33" s="28">
        <v>2.4395838538666679</v>
      </c>
      <c r="O33" s="28">
        <v>2.4395838538666679</v>
      </c>
      <c r="P33" s="28">
        <v>2.1346358721333338</v>
      </c>
      <c r="Q33" s="28">
        <v>1.2197919269333339</v>
      </c>
      <c r="R33" s="28">
        <v>0.91484394520000045</v>
      </c>
      <c r="S33" s="28">
        <v>1.2197919269333339</v>
      </c>
      <c r="T33" s="28">
        <v>0.60989596346666697</v>
      </c>
      <c r="U33" s="28">
        <v>2.4395838538666679</v>
      </c>
      <c r="V33" s="28">
        <v>2.4395838538666679</v>
      </c>
      <c r="W33" s="28">
        <v>1.2197919269333339</v>
      </c>
      <c r="X33" s="28">
        <v>1.524739908666668</v>
      </c>
      <c r="Y33" s="28">
        <v>1.8296878904000009</v>
      </c>
      <c r="Z33" s="28">
        <v>2.4395838538666679</v>
      </c>
      <c r="AA33" s="28">
        <v>2.1346358721333338</v>
      </c>
      <c r="AB33" s="28">
        <v>1.524739908666668</v>
      </c>
      <c r="AC33" s="28">
        <v>2.4395838538666679</v>
      </c>
      <c r="AD33" s="28">
        <v>2.4395838538666679</v>
      </c>
      <c r="AE33" s="28">
        <v>2.4395838538666679</v>
      </c>
      <c r="AF33" s="28">
        <v>1.8296878904000009</v>
      </c>
      <c r="AG33" s="28">
        <v>1.524739908666668</v>
      </c>
      <c r="AH33" s="28">
        <v>2.4395838538666679</v>
      </c>
      <c r="AI33" s="28">
        <v>2.1346358721333338</v>
      </c>
      <c r="AJ33" s="28">
        <v>2.1346358721333338</v>
      </c>
      <c r="AK33" s="28">
        <v>1.8296878904000009</v>
      </c>
      <c r="AL33" s="28">
        <v>1.524739908666668</v>
      </c>
      <c r="AM33" s="28">
        <v>1.2197919269333339</v>
      </c>
      <c r="AN33" s="28">
        <v>2.4395838538666679</v>
      </c>
      <c r="AO33" s="28">
        <v>2.4395838538666679</v>
      </c>
      <c r="AP33" s="28">
        <v>2.1346358721333338</v>
      </c>
      <c r="AQ33" s="28">
        <v>2.1346358721333338</v>
      </c>
      <c r="AR33" s="28">
        <v>2.4395838538666679</v>
      </c>
      <c r="AS33" s="28">
        <v>2.4395838538666679</v>
      </c>
      <c r="AT33" s="28">
        <v>1.2197919269333339</v>
      </c>
      <c r="AU33" s="28">
        <v>2.4395838538666679</v>
      </c>
      <c r="AV33" s="28">
        <v>2.1346358721333338</v>
      </c>
      <c r="AW33" s="28">
        <v>2.4395838538666679</v>
      </c>
      <c r="AX33" s="28">
        <v>1.524739908666668</v>
      </c>
      <c r="AY33" s="28">
        <v>2.4395838538666679</v>
      </c>
      <c r="AZ33" s="28">
        <v>1.8296878904000009</v>
      </c>
      <c r="BA33" s="28">
        <v>1.8296878904000009</v>
      </c>
      <c r="BB33" s="28">
        <v>2.4395838538666679</v>
      </c>
      <c r="BC33" s="28">
        <v>2.4395838538666679</v>
      </c>
      <c r="BD33" s="28">
        <v>0.91484394520000045</v>
      </c>
      <c r="BE33" s="28">
        <v>2.4395838538666679</v>
      </c>
      <c r="BF33" s="28">
        <v>1.524739908666668</v>
      </c>
      <c r="BG33" s="28">
        <v>0.91484394520000045</v>
      </c>
      <c r="BH33" s="28">
        <v>1.2197919269333339</v>
      </c>
      <c r="BI33" s="28">
        <v>2.4395838538666679</v>
      </c>
      <c r="BJ33" s="28">
        <v>1.2197919269333339</v>
      </c>
      <c r="BK33" s="28">
        <v>2.1346358721333338</v>
      </c>
      <c r="BL33" s="28">
        <v>2.1346358721333338</v>
      </c>
      <c r="BM33" s="28">
        <v>1.2197919269333339</v>
      </c>
      <c r="BN33" s="28">
        <v>0.91484394520000045</v>
      </c>
      <c r="BO33" s="28">
        <v>2.1346358721333338</v>
      </c>
      <c r="BP33" s="28">
        <v>1.8296878904000009</v>
      </c>
      <c r="BQ33" s="28">
        <v>2.4395838538666679</v>
      </c>
      <c r="BR33" s="28">
        <v>2.1346358721333338</v>
      </c>
      <c r="BS33" s="28">
        <v>1.2197919269333339</v>
      </c>
      <c r="BT33" s="28">
        <v>1.8296878904000009</v>
      </c>
      <c r="BU33" s="28">
        <v>2.4395838538666679</v>
      </c>
      <c r="BV33" s="28">
        <v>1.8296878904000009</v>
      </c>
      <c r="BW33" s="28">
        <v>2.4395838538666679</v>
      </c>
      <c r="BX33" s="28">
        <v>2.1346358721333338</v>
      </c>
      <c r="BY33" s="28">
        <v>2.4395838538666679</v>
      </c>
      <c r="BZ33" s="28">
        <v>1.8296878904000009</v>
      </c>
      <c r="CA33" s="28">
        <v>2.4395838538666679</v>
      </c>
      <c r="CB33" s="28">
        <v>1.8296878904000009</v>
      </c>
      <c r="CC33" s="28">
        <v>2.4395838538666679</v>
      </c>
      <c r="CD33" s="28">
        <v>1.8296878904000009</v>
      </c>
      <c r="CE33" s="28">
        <v>1.524739908666668</v>
      </c>
      <c r="CF33" s="28">
        <v>2.4395838538666679</v>
      </c>
      <c r="CG33" s="28">
        <v>2.4395838538666679</v>
      </c>
      <c r="CH33" s="28">
        <v>2.4395838538666679</v>
      </c>
      <c r="CI33" s="28">
        <v>0.91484394520000045</v>
      </c>
      <c r="CJ33" s="28">
        <v>2.1346358721333338</v>
      </c>
      <c r="CK33" s="28">
        <v>1.524739908666668</v>
      </c>
      <c r="CL33" s="28">
        <v>1.8296878904000009</v>
      </c>
      <c r="CM33" s="28">
        <v>1.8296878904000009</v>
      </c>
      <c r="CN33" s="28">
        <v>1.2197919269333339</v>
      </c>
      <c r="CO33" s="28">
        <v>1.8296878904000009</v>
      </c>
      <c r="CP33" s="28">
        <v>2.4395838538666679</v>
      </c>
      <c r="CQ33" s="28">
        <v>1.2197919269333339</v>
      </c>
      <c r="CR33" s="28">
        <v>0.91484394520000045</v>
      </c>
      <c r="CS33" s="28">
        <v>2.4395838538666679</v>
      </c>
      <c r="CT33" s="28">
        <v>2.1346358721333338</v>
      </c>
      <c r="CU33" s="28">
        <v>2.1346358721333338</v>
      </c>
      <c r="CV33" s="28">
        <v>2.1346358721333338</v>
      </c>
      <c r="CW33" s="28">
        <v>0.91484394520000045</v>
      </c>
      <c r="CX33" s="28">
        <v>0.91484394520000045</v>
      </c>
      <c r="CY33" s="28">
        <v>2.4395838538666679</v>
      </c>
      <c r="CZ33" s="28">
        <v>1.2197919269333339</v>
      </c>
      <c r="DA33" s="28">
        <v>2.4395838538666679</v>
      </c>
      <c r="DB33" s="28">
        <v>1.524739908666668</v>
      </c>
      <c r="DC33" s="28">
        <v>0.91484394520000045</v>
      </c>
      <c r="DD33" s="28">
        <v>1.2197919269333339</v>
      </c>
      <c r="DE33" s="28">
        <v>1.2197919269333339</v>
      </c>
      <c r="DF33" s="28">
        <v>2.1346358721333338</v>
      </c>
      <c r="DG33" s="28">
        <v>2.4395838538666679</v>
      </c>
      <c r="DH33" s="28">
        <v>2.4395838538666679</v>
      </c>
      <c r="DI33" s="28">
        <v>2.1346358721333338</v>
      </c>
      <c r="DJ33" s="28">
        <v>2.4395838538666679</v>
      </c>
      <c r="DK33" s="28">
        <v>2.1346358721333338</v>
      </c>
      <c r="DL33" s="28">
        <v>1.8296878904000009</v>
      </c>
      <c r="DM33" s="28">
        <v>2.4395838538666679</v>
      </c>
      <c r="DN33" s="28">
        <v>2.4395838538666679</v>
      </c>
      <c r="DO33" s="28">
        <v>2.4395838538666679</v>
      </c>
      <c r="DP33" s="28">
        <v>1.524739908666668</v>
      </c>
      <c r="DQ33" s="28">
        <v>1.524739908666668</v>
      </c>
      <c r="DR33" s="28">
        <v>2.4395838538666679</v>
      </c>
      <c r="DS33" s="28">
        <v>1.2197919269333339</v>
      </c>
      <c r="DT33" s="28">
        <v>1.2197919269333339</v>
      </c>
      <c r="DU33" s="28">
        <v>1.2197919269333339</v>
      </c>
      <c r="DV33" s="28">
        <v>0.60989596346666697</v>
      </c>
      <c r="DW33" s="28">
        <v>1.876413790826887</v>
      </c>
      <c r="DX33" s="34">
        <v>232.6753100625339</v>
      </c>
    </row>
    <row r="34" spans="1:128" x14ac:dyDescent="0.25">
      <c r="A34" s="24">
        <v>33</v>
      </c>
      <c r="B34" s="26">
        <v>16</v>
      </c>
      <c r="C34" s="28">
        <v>1.0849000286666659</v>
      </c>
      <c r="D34" s="28">
        <v>1.3561250358333321</v>
      </c>
      <c r="E34" s="28">
        <v>1.3561250358333321</v>
      </c>
      <c r="F34" s="28">
        <v>1.0849000286666659</v>
      </c>
      <c r="G34" s="28">
        <v>2.1698000573333318</v>
      </c>
      <c r="H34" s="28">
        <v>2.1698000573333318</v>
      </c>
      <c r="I34" s="28">
        <v>2.1698000573333318</v>
      </c>
      <c r="J34" s="28">
        <v>1.627350042999999</v>
      </c>
      <c r="K34" s="28">
        <v>1.0849000286666659</v>
      </c>
      <c r="L34" s="28">
        <v>1.627350042999999</v>
      </c>
      <c r="M34" s="28">
        <v>2.1698000573333318</v>
      </c>
      <c r="N34" s="28">
        <v>2.1698000573333318</v>
      </c>
      <c r="O34" s="28">
        <v>2.1698000573333318</v>
      </c>
      <c r="P34" s="28">
        <v>1.8985750501666649</v>
      </c>
      <c r="Q34" s="28">
        <v>1.0849000286666659</v>
      </c>
      <c r="R34" s="28">
        <v>0.81367502149999948</v>
      </c>
      <c r="S34" s="28">
        <v>1.0849000286666659</v>
      </c>
      <c r="T34" s="28">
        <v>0.54245001433333295</v>
      </c>
      <c r="U34" s="28">
        <v>2.1698000573333318</v>
      </c>
      <c r="V34" s="28">
        <v>2.1698000573333318</v>
      </c>
      <c r="W34" s="28">
        <v>1.0849000286666659</v>
      </c>
      <c r="X34" s="28">
        <v>1.3561250358333321</v>
      </c>
      <c r="Y34" s="28">
        <v>1.627350042999999</v>
      </c>
      <c r="Z34" s="28">
        <v>2.1698000573333318</v>
      </c>
      <c r="AA34" s="28">
        <v>1.8985750501666649</v>
      </c>
      <c r="AB34" s="28">
        <v>1.3561250358333321</v>
      </c>
      <c r="AC34" s="28">
        <v>2.1698000573333318</v>
      </c>
      <c r="AD34" s="28">
        <v>2.1698000573333318</v>
      </c>
      <c r="AE34" s="28">
        <v>2.1698000573333318</v>
      </c>
      <c r="AF34" s="28">
        <v>1.627350042999999</v>
      </c>
      <c r="AG34" s="28">
        <v>1.3561250358333321</v>
      </c>
      <c r="AH34" s="28">
        <v>2.1698000573333318</v>
      </c>
      <c r="AI34" s="28">
        <v>1.8985750501666649</v>
      </c>
      <c r="AJ34" s="28">
        <v>1.8985750501666649</v>
      </c>
      <c r="AK34" s="28">
        <v>1.627350042999999</v>
      </c>
      <c r="AL34" s="28">
        <v>1.3561250358333321</v>
      </c>
      <c r="AM34" s="28">
        <v>1.0849000286666659</v>
      </c>
      <c r="AN34" s="28">
        <v>2.1698000573333318</v>
      </c>
      <c r="AO34" s="28">
        <v>2.1698000573333318</v>
      </c>
      <c r="AP34" s="28">
        <v>1.8985750501666649</v>
      </c>
      <c r="AQ34" s="28">
        <v>1.8985750501666649</v>
      </c>
      <c r="AR34" s="28">
        <v>2.1698000573333318</v>
      </c>
      <c r="AS34" s="28">
        <v>2.1698000573333318</v>
      </c>
      <c r="AT34" s="28">
        <v>1.0849000286666659</v>
      </c>
      <c r="AU34" s="28">
        <v>2.1698000573333318</v>
      </c>
      <c r="AV34" s="28">
        <v>1.8985750501666649</v>
      </c>
      <c r="AW34" s="28">
        <v>2.1698000573333318</v>
      </c>
      <c r="AX34" s="28">
        <v>1.3561250358333321</v>
      </c>
      <c r="AY34" s="28">
        <v>2.1698000573333318</v>
      </c>
      <c r="AZ34" s="28">
        <v>1.627350042999999</v>
      </c>
      <c r="BA34" s="28">
        <v>1.627350042999999</v>
      </c>
      <c r="BB34" s="28">
        <v>2.1698000573333318</v>
      </c>
      <c r="BC34" s="28">
        <v>2.1698000573333318</v>
      </c>
      <c r="BD34" s="28">
        <v>0.81367502149999948</v>
      </c>
      <c r="BE34" s="28">
        <v>2.1698000573333318</v>
      </c>
      <c r="BF34" s="28">
        <v>1.3561250358333321</v>
      </c>
      <c r="BG34" s="28">
        <v>0.81367502149999948</v>
      </c>
      <c r="BH34" s="28">
        <v>1.0849000286666659</v>
      </c>
      <c r="BI34" s="28">
        <v>2.1698000573333318</v>
      </c>
      <c r="BJ34" s="28">
        <v>1.0849000286666659</v>
      </c>
      <c r="BK34" s="28">
        <v>1.8985750501666649</v>
      </c>
      <c r="BL34" s="28">
        <v>1.8985750501666649</v>
      </c>
      <c r="BM34" s="28">
        <v>1.0849000286666659</v>
      </c>
      <c r="BN34" s="28">
        <v>0.81367502149999948</v>
      </c>
      <c r="BO34" s="28">
        <v>1.8985750501666649</v>
      </c>
      <c r="BP34" s="28">
        <v>1.627350042999999</v>
      </c>
      <c r="BQ34" s="28">
        <v>2.1698000573333318</v>
      </c>
      <c r="BR34" s="28">
        <v>1.8985750501666649</v>
      </c>
      <c r="BS34" s="28">
        <v>1.0849000286666659</v>
      </c>
      <c r="BT34" s="28">
        <v>1.627350042999999</v>
      </c>
      <c r="BU34" s="28">
        <v>2.1698000573333318</v>
      </c>
      <c r="BV34" s="28">
        <v>1.627350042999999</v>
      </c>
      <c r="BW34" s="28">
        <v>2.1698000573333318</v>
      </c>
      <c r="BX34" s="28">
        <v>1.8985750501666649</v>
      </c>
      <c r="BY34" s="28">
        <v>2.1698000573333318</v>
      </c>
      <c r="BZ34" s="28">
        <v>1.627350042999999</v>
      </c>
      <c r="CA34" s="28">
        <v>2.1698000573333318</v>
      </c>
      <c r="CB34" s="28">
        <v>1.627350042999999</v>
      </c>
      <c r="CC34" s="28">
        <v>2.1698000573333318</v>
      </c>
      <c r="CD34" s="28">
        <v>1.627350042999999</v>
      </c>
      <c r="CE34" s="28">
        <v>1.3561250358333321</v>
      </c>
      <c r="CF34" s="28">
        <v>2.1698000573333318</v>
      </c>
      <c r="CG34" s="28">
        <v>2.1698000573333318</v>
      </c>
      <c r="CH34" s="28">
        <v>2.1698000573333318</v>
      </c>
      <c r="CI34" s="28">
        <v>0.81367502149999948</v>
      </c>
      <c r="CJ34" s="28">
        <v>1.8985750501666649</v>
      </c>
      <c r="CK34" s="28">
        <v>1.3561250358333321</v>
      </c>
      <c r="CL34" s="28">
        <v>1.627350042999999</v>
      </c>
      <c r="CM34" s="28">
        <v>1.627350042999999</v>
      </c>
      <c r="CN34" s="28">
        <v>1.0849000286666659</v>
      </c>
      <c r="CO34" s="28">
        <v>1.627350042999999</v>
      </c>
      <c r="CP34" s="28">
        <v>2.1698000573333318</v>
      </c>
      <c r="CQ34" s="28">
        <v>1.0849000286666659</v>
      </c>
      <c r="CR34" s="28">
        <v>0.81367502149999948</v>
      </c>
      <c r="CS34" s="28">
        <v>2.1698000573333318</v>
      </c>
      <c r="CT34" s="28">
        <v>1.8985750501666649</v>
      </c>
      <c r="CU34" s="28">
        <v>1.8985750501666649</v>
      </c>
      <c r="CV34" s="28">
        <v>1.8985750501666649</v>
      </c>
      <c r="CW34" s="28">
        <v>0.81367502149999948</v>
      </c>
      <c r="CX34" s="28">
        <v>0.81367502149999948</v>
      </c>
      <c r="CY34" s="28">
        <v>2.1698000573333318</v>
      </c>
      <c r="CZ34" s="28">
        <v>1.0849000286666659</v>
      </c>
      <c r="DA34" s="28">
        <v>2.1698000573333318</v>
      </c>
      <c r="DB34" s="28">
        <v>1.3561250358333321</v>
      </c>
      <c r="DC34" s="28">
        <v>0.81367502149999948</v>
      </c>
      <c r="DD34" s="28">
        <v>1.0849000286666659</v>
      </c>
      <c r="DE34" s="28">
        <v>1.0849000286666659</v>
      </c>
      <c r="DF34" s="28">
        <v>1.8985750501666649</v>
      </c>
      <c r="DG34" s="28">
        <v>2.1698000573333318</v>
      </c>
      <c r="DH34" s="28">
        <v>2.1698000573333318</v>
      </c>
      <c r="DI34" s="28">
        <v>1.8985750501666649</v>
      </c>
      <c r="DJ34" s="28">
        <v>2.1698000573333318</v>
      </c>
      <c r="DK34" s="28">
        <v>1.8985750501666649</v>
      </c>
      <c r="DL34" s="28">
        <v>1.627350042999999</v>
      </c>
      <c r="DM34" s="28">
        <v>2.1698000573333318</v>
      </c>
      <c r="DN34" s="28">
        <v>2.1698000573333318</v>
      </c>
      <c r="DO34" s="28">
        <v>2.1698000573333318</v>
      </c>
      <c r="DP34" s="28">
        <v>1.3561250358333321</v>
      </c>
      <c r="DQ34" s="28">
        <v>1.3561250358333321</v>
      </c>
      <c r="DR34" s="28">
        <v>2.1698000573333318</v>
      </c>
      <c r="DS34" s="28">
        <v>1.0849000286666659</v>
      </c>
      <c r="DT34" s="28">
        <v>1.0849000286666659</v>
      </c>
      <c r="DU34" s="28">
        <v>1.0849000286666659</v>
      </c>
      <c r="DV34" s="28">
        <v>0.54245001433333295</v>
      </c>
      <c r="DW34" s="28">
        <v>1.6689087134529561</v>
      </c>
      <c r="DX34" s="34">
        <v>206.94468046816661</v>
      </c>
    </row>
    <row r="35" spans="1:128" x14ac:dyDescent="0.25">
      <c r="A35" s="24">
        <v>34</v>
      </c>
      <c r="B35" s="26">
        <v>16.5</v>
      </c>
      <c r="C35" s="28">
        <v>0.92203563646666598</v>
      </c>
      <c r="D35" s="28">
        <v>1.152544545583333</v>
      </c>
      <c r="E35" s="28">
        <v>1.152544545583333</v>
      </c>
      <c r="F35" s="28">
        <v>0.92203563646666598</v>
      </c>
      <c r="G35" s="28">
        <v>1.844071272933332</v>
      </c>
      <c r="H35" s="28">
        <v>1.844071272933332</v>
      </c>
      <c r="I35" s="28">
        <v>1.844071272933332</v>
      </c>
      <c r="J35" s="28">
        <v>1.3830534546999991</v>
      </c>
      <c r="K35" s="28">
        <v>0.92203563646666598</v>
      </c>
      <c r="L35" s="28">
        <v>1.3830534546999991</v>
      </c>
      <c r="M35" s="28">
        <v>1.844071272933332</v>
      </c>
      <c r="N35" s="28">
        <v>1.844071272933332</v>
      </c>
      <c r="O35" s="28">
        <v>1.844071272933332</v>
      </c>
      <c r="P35" s="28">
        <v>1.613562363816665</v>
      </c>
      <c r="Q35" s="28">
        <v>0.92203563646666598</v>
      </c>
      <c r="R35" s="28">
        <v>0.69152672734999943</v>
      </c>
      <c r="S35" s="28">
        <v>0.92203563646666598</v>
      </c>
      <c r="T35" s="28">
        <v>0.46101781823333299</v>
      </c>
      <c r="U35" s="28">
        <v>1.844071272933332</v>
      </c>
      <c r="V35" s="28">
        <v>1.844071272933332</v>
      </c>
      <c r="W35" s="28">
        <v>0.92203563646666598</v>
      </c>
      <c r="X35" s="28">
        <v>1.152544545583333</v>
      </c>
      <c r="Y35" s="28">
        <v>1.3830534546999991</v>
      </c>
      <c r="Z35" s="28">
        <v>1.844071272933332</v>
      </c>
      <c r="AA35" s="28">
        <v>1.613562363816665</v>
      </c>
      <c r="AB35" s="28">
        <v>1.152544545583333</v>
      </c>
      <c r="AC35" s="28">
        <v>1.844071272933332</v>
      </c>
      <c r="AD35" s="28">
        <v>1.844071272933332</v>
      </c>
      <c r="AE35" s="28">
        <v>1.844071272933332</v>
      </c>
      <c r="AF35" s="28">
        <v>1.3830534546999991</v>
      </c>
      <c r="AG35" s="28">
        <v>1.152544545583333</v>
      </c>
      <c r="AH35" s="28">
        <v>1.844071272933332</v>
      </c>
      <c r="AI35" s="28">
        <v>1.613562363816665</v>
      </c>
      <c r="AJ35" s="28">
        <v>1.613562363816665</v>
      </c>
      <c r="AK35" s="28">
        <v>1.3830534546999991</v>
      </c>
      <c r="AL35" s="28">
        <v>1.152544545583333</v>
      </c>
      <c r="AM35" s="28">
        <v>0.92203563646666598</v>
      </c>
      <c r="AN35" s="28">
        <v>1.844071272933332</v>
      </c>
      <c r="AO35" s="28">
        <v>1.844071272933332</v>
      </c>
      <c r="AP35" s="28">
        <v>1.613562363816665</v>
      </c>
      <c r="AQ35" s="28">
        <v>1.613562363816665</v>
      </c>
      <c r="AR35" s="28">
        <v>1.844071272933332</v>
      </c>
      <c r="AS35" s="28">
        <v>1.844071272933332</v>
      </c>
      <c r="AT35" s="28">
        <v>0.92203563646666598</v>
      </c>
      <c r="AU35" s="28">
        <v>1.844071272933332</v>
      </c>
      <c r="AV35" s="28">
        <v>1.613562363816665</v>
      </c>
      <c r="AW35" s="28">
        <v>1.844071272933332</v>
      </c>
      <c r="AX35" s="28">
        <v>1.152544545583333</v>
      </c>
      <c r="AY35" s="28">
        <v>1.844071272933332</v>
      </c>
      <c r="AZ35" s="28">
        <v>1.3830534546999991</v>
      </c>
      <c r="BA35" s="28">
        <v>1.3830534546999991</v>
      </c>
      <c r="BB35" s="28">
        <v>1.844071272933332</v>
      </c>
      <c r="BC35" s="28">
        <v>1.844071272933332</v>
      </c>
      <c r="BD35" s="28">
        <v>0.69152672734999943</v>
      </c>
      <c r="BE35" s="28">
        <v>1.844071272933332</v>
      </c>
      <c r="BF35" s="28">
        <v>1.152544545583333</v>
      </c>
      <c r="BG35" s="28">
        <v>0.69152672734999943</v>
      </c>
      <c r="BH35" s="28">
        <v>0.92203563646666598</v>
      </c>
      <c r="BI35" s="28">
        <v>1.844071272933332</v>
      </c>
      <c r="BJ35" s="28">
        <v>0.92203563646666598</v>
      </c>
      <c r="BK35" s="28">
        <v>1.613562363816665</v>
      </c>
      <c r="BL35" s="28">
        <v>1.613562363816665</v>
      </c>
      <c r="BM35" s="28">
        <v>0.92203563646666598</v>
      </c>
      <c r="BN35" s="28">
        <v>0.69152672734999943</v>
      </c>
      <c r="BO35" s="28">
        <v>1.613562363816665</v>
      </c>
      <c r="BP35" s="28">
        <v>1.3830534546999991</v>
      </c>
      <c r="BQ35" s="28">
        <v>1.844071272933332</v>
      </c>
      <c r="BR35" s="28">
        <v>1.613562363816665</v>
      </c>
      <c r="BS35" s="28">
        <v>0.92203563646666598</v>
      </c>
      <c r="BT35" s="28">
        <v>1.3830534546999991</v>
      </c>
      <c r="BU35" s="28">
        <v>1.844071272933332</v>
      </c>
      <c r="BV35" s="28">
        <v>1.3830534546999991</v>
      </c>
      <c r="BW35" s="28">
        <v>1.844071272933332</v>
      </c>
      <c r="BX35" s="28">
        <v>1.613562363816665</v>
      </c>
      <c r="BY35" s="28">
        <v>1.844071272933332</v>
      </c>
      <c r="BZ35" s="28">
        <v>1.3830534546999991</v>
      </c>
      <c r="CA35" s="28">
        <v>1.844071272933332</v>
      </c>
      <c r="CB35" s="28">
        <v>1.3830534546999991</v>
      </c>
      <c r="CC35" s="28">
        <v>1.844071272933332</v>
      </c>
      <c r="CD35" s="28">
        <v>1.3830534546999991</v>
      </c>
      <c r="CE35" s="28">
        <v>1.152544545583333</v>
      </c>
      <c r="CF35" s="28">
        <v>1.844071272933332</v>
      </c>
      <c r="CG35" s="28">
        <v>1.844071272933332</v>
      </c>
      <c r="CH35" s="28">
        <v>1.844071272933332</v>
      </c>
      <c r="CI35" s="28">
        <v>0.69152672734999943</v>
      </c>
      <c r="CJ35" s="28">
        <v>1.613562363816665</v>
      </c>
      <c r="CK35" s="28">
        <v>1.152544545583333</v>
      </c>
      <c r="CL35" s="28">
        <v>1.3830534546999991</v>
      </c>
      <c r="CM35" s="28">
        <v>1.3830534546999991</v>
      </c>
      <c r="CN35" s="28">
        <v>0.92203563646666598</v>
      </c>
      <c r="CO35" s="28">
        <v>1.3830534546999991</v>
      </c>
      <c r="CP35" s="28">
        <v>1.844071272933332</v>
      </c>
      <c r="CQ35" s="28">
        <v>0.92203563646666598</v>
      </c>
      <c r="CR35" s="28">
        <v>0.69152672734999943</v>
      </c>
      <c r="CS35" s="28">
        <v>1.844071272933332</v>
      </c>
      <c r="CT35" s="28">
        <v>1.613562363816665</v>
      </c>
      <c r="CU35" s="28">
        <v>1.613562363816665</v>
      </c>
      <c r="CV35" s="28">
        <v>1.613562363816665</v>
      </c>
      <c r="CW35" s="28">
        <v>0.69152672734999943</v>
      </c>
      <c r="CX35" s="28">
        <v>0.69152672734999943</v>
      </c>
      <c r="CY35" s="28">
        <v>1.844071272933332</v>
      </c>
      <c r="CZ35" s="28">
        <v>0.92203563646666598</v>
      </c>
      <c r="DA35" s="28">
        <v>1.844071272933332</v>
      </c>
      <c r="DB35" s="28">
        <v>1.152544545583333</v>
      </c>
      <c r="DC35" s="28">
        <v>0.69152672734999943</v>
      </c>
      <c r="DD35" s="28">
        <v>0.92203563646666598</v>
      </c>
      <c r="DE35" s="28">
        <v>0.92203563646666598</v>
      </c>
      <c r="DF35" s="28">
        <v>1.613562363816665</v>
      </c>
      <c r="DG35" s="28">
        <v>1.844071272933332</v>
      </c>
      <c r="DH35" s="28">
        <v>1.844071272933332</v>
      </c>
      <c r="DI35" s="28">
        <v>1.613562363816665</v>
      </c>
      <c r="DJ35" s="28">
        <v>1.844071272933332</v>
      </c>
      <c r="DK35" s="28">
        <v>1.613562363816665</v>
      </c>
      <c r="DL35" s="28">
        <v>1.3830534546999991</v>
      </c>
      <c r="DM35" s="28">
        <v>1.844071272933332</v>
      </c>
      <c r="DN35" s="28">
        <v>1.844071272933332</v>
      </c>
      <c r="DO35" s="28">
        <v>1.844071272933332</v>
      </c>
      <c r="DP35" s="28">
        <v>1.152544545583333</v>
      </c>
      <c r="DQ35" s="28">
        <v>1.152544545583333</v>
      </c>
      <c r="DR35" s="28">
        <v>1.844071272933332</v>
      </c>
      <c r="DS35" s="28">
        <v>0.92203563646666598</v>
      </c>
      <c r="DT35" s="28">
        <v>0.92203563646666598</v>
      </c>
      <c r="DU35" s="28">
        <v>0.92203563646666598</v>
      </c>
      <c r="DV35" s="28">
        <v>0.46101781823333299</v>
      </c>
      <c r="DW35" s="28">
        <v>1.4183733681936821</v>
      </c>
      <c r="DX35" s="34">
        <v>175.87829765601651</v>
      </c>
    </row>
    <row r="36" spans="1:128" x14ac:dyDescent="0.25">
      <c r="A36" s="24">
        <v>35</v>
      </c>
      <c r="B36" s="26">
        <v>17</v>
      </c>
      <c r="C36" s="28">
        <v>0.76960586366666595</v>
      </c>
      <c r="D36" s="28">
        <v>0.96200732958333246</v>
      </c>
      <c r="E36" s="28">
        <v>0.96200732958333246</v>
      </c>
      <c r="F36" s="28">
        <v>0.76960586366666595</v>
      </c>
      <c r="G36" s="28">
        <v>1.5392117273333319</v>
      </c>
      <c r="H36" s="28">
        <v>1.5392117273333319</v>
      </c>
      <c r="I36" s="28">
        <v>1.5392117273333319</v>
      </c>
      <c r="J36" s="28">
        <v>1.1544087954999991</v>
      </c>
      <c r="K36" s="28">
        <v>0.76960586366666595</v>
      </c>
      <c r="L36" s="28">
        <v>1.1544087954999991</v>
      </c>
      <c r="M36" s="28">
        <v>1.5392117273333319</v>
      </c>
      <c r="N36" s="28">
        <v>1.5392117273333319</v>
      </c>
      <c r="O36" s="28">
        <v>1.5392117273333319</v>
      </c>
      <c r="P36" s="28">
        <v>1.346810261416665</v>
      </c>
      <c r="Q36" s="28">
        <v>0.76960586366666595</v>
      </c>
      <c r="R36" s="28">
        <v>0.57720439774999943</v>
      </c>
      <c r="S36" s="28">
        <v>0.76960586366666595</v>
      </c>
      <c r="T36" s="28">
        <v>0.38480293183333297</v>
      </c>
      <c r="U36" s="28">
        <v>1.5392117273333319</v>
      </c>
      <c r="V36" s="28">
        <v>1.5392117273333319</v>
      </c>
      <c r="W36" s="28">
        <v>0.76960586366666595</v>
      </c>
      <c r="X36" s="28">
        <v>0.96200732958333246</v>
      </c>
      <c r="Y36" s="28">
        <v>1.1544087954999991</v>
      </c>
      <c r="Z36" s="28">
        <v>1.5392117273333319</v>
      </c>
      <c r="AA36" s="28">
        <v>1.346810261416665</v>
      </c>
      <c r="AB36" s="28">
        <v>0.96200732958333246</v>
      </c>
      <c r="AC36" s="28">
        <v>1.5392117273333319</v>
      </c>
      <c r="AD36" s="28">
        <v>1.5392117273333319</v>
      </c>
      <c r="AE36" s="28">
        <v>1.5392117273333319</v>
      </c>
      <c r="AF36" s="28">
        <v>1.1544087954999991</v>
      </c>
      <c r="AG36" s="28">
        <v>0.96200732958333246</v>
      </c>
      <c r="AH36" s="28">
        <v>1.5392117273333319</v>
      </c>
      <c r="AI36" s="28">
        <v>1.346810261416665</v>
      </c>
      <c r="AJ36" s="28">
        <v>1.346810261416665</v>
      </c>
      <c r="AK36" s="28">
        <v>1.1544087954999991</v>
      </c>
      <c r="AL36" s="28">
        <v>0.96200732958333246</v>
      </c>
      <c r="AM36" s="28">
        <v>0.76960586366666595</v>
      </c>
      <c r="AN36" s="28">
        <v>1.5392117273333319</v>
      </c>
      <c r="AO36" s="28">
        <v>1.5392117273333319</v>
      </c>
      <c r="AP36" s="28">
        <v>1.346810261416665</v>
      </c>
      <c r="AQ36" s="28">
        <v>1.346810261416665</v>
      </c>
      <c r="AR36" s="28">
        <v>1.5392117273333319</v>
      </c>
      <c r="AS36" s="28">
        <v>1.5392117273333319</v>
      </c>
      <c r="AT36" s="28">
        <v>0.76960586366666595</v>
      </c>
      <c r="AU36" s="28">
        <v>1.5392117273333319</v>
      </c>
      <c r="AV36" s="28">
        <v>1.346810261416665</v>
      </c>
      <c r="AW36" s="28">
        <v>1.5392117273333319</v>
      </c>
      <c r="AX36" s="28">
        <v>0.96200732958333246</v>
      </c>
      <c r="AY36" s="28">
        <v>1.5392117273333319</v>
      </c>
      <c r="AZ36" s="28">
        <v>1.1544087954999991</v>
      </c>
      <c r="BA36" s="28">
        <v>1.1544087954999991</v>
      </c>
      <c r="BB36" s="28">
        <v>1.5392117273333319</v>
      </c>
      <c r="BC36" s="28">
        <v>1.5392117273333319</v>
      </c>
      <c r="BD36" s="28">
        <v>0.57720439774999943</v>
      </c>
      <c r="BE36" s="28">
        <v>1.5392117273333319</v>
      </c>
      <c r="BF36" s="28">
        <v>0.96200732958333246</v>
      </c>
      <c r="BG36" s="28">
        <v>0.57720439774999943</v>
      </c>
      <c r="BH36" s="28">
        <v>0.76960586366666595</v>
      </c>
      <c r="BI36" s="28">
        <v>1.5392117273333319</v>
      </c>
      <c r="BJ36" s="28">
        <v>0.76960586366666595</v>
      </c>
      <c r="BK36" s="28">
        <v>1.346810261416665</v>
      </c>
      <c r="BL36" s="28">
        <v>1.346810261416665</v>
      </c>
      <c r="BM36" s="28">
        <v>0.76960586366666595</v>
      </c>
      <c r="BN36" s="28">
        <v>0.57720439774999943</v>
      </c>
      <c r="BO36" s="28">
        <v>1.346810261416665</v>
      </c>
      <c r="BP36" s="28">
        <v>1.1544087954999991</v>
      </c>
      <c r="BQ36" s="28">
        <v>1.5392117273333319</v>
      </c>
      <c r="BR36" s="28">
        <v>1.346810261416665</v>
      </c>
      <c r="BS36" s="28">
        <v>0.76960586366666595</v>
      </c>
      <c r="BT36" s="28">
        <v>1.1544087954999991</v>
      </c>
      <c r="BU36" s="28">
        <v>1.5392117273333319</v>
      </c>
      <c r="BV36" s="28">
        <v>1.1544087954999991</v>
      </c>
      <c r="BW36" s="28">
        <v>1.5392117273333319</v>
      </c>
      <c r="BX36" s="28">
        <v>1.346810261416665</v>
      </c>
      <c r="BY36" s="28">
        <v>1.5392117273333319</v>
      </c>
      <c r="BZ36" s="28">
        <v>1.1544087954999991</v>
      </c>
      <c r="CA36" s="28">
        <v>1.5392117273333319</v>
      </c>
      <c r="CB36" s="28">
        <v>1.1544087954999991</v>
      </c>
      <c r="CC36" s="28">
        <v>1.5392117273333319</v>
      </c>
      <c r="CD36" s="28">
        <v>1.1544087954999991</v>
      </c>
      <c r="CE36" s="28">
        <v>0.96200732958333246</v>
      </c>
      <c r="CF36" s="28">
        <v>1.5392117273333319</v>
      </c>
      <c r="CG36" s="28">
        <v>1.5392117273333319</v>
      </c>
      <c r="CH36" s="28">
        <v>1.5392117273333319</v>
      </c>
      <c r="CI36" s="28">
        <v>0.57720439774999943</v>
      </c>
      <c r="CJ36" s="28">
        <v>1.346810261416665</v>
      </c>
      <c r="CK36" s="28">
        <v>0.96200732958333246</v>
      </c>
      <c r="CL36" s="28">
        <v>1.1544087954999991</v>
      </c>
      <c r="CM36" s="28">
        <v>1.1544087954999991</v>
      </c>
      <c r="CN36" s="28">
        <v>0.76960586366666595</v>
      </c>
      <c r="CO36" s="28">
        <v>1.1544087954999991</v>
      </c>
      <c r="CP36" s="28">
        <v>1.5392117273333319</v>
      </c>
      <c r="CQ36" s="28">
        <v>0.76960586366666595</v>
      </c>
      <c r="CR36" s="28">
        <v>0.57720439774999943</v>
      </c>
      <c r="CS36" s="28">
        <v>1.5392117273333319</v>
      </c>
      <c r="CT36" s="28">
        <v>1.346810261416665</v>
      </c>
      <c r="CU36" s="28">
        <v>1.346810261416665</v>
      </c>
      <c r="CV36" s="28">
        <v>1.346810261416665</v>
      </c>
      <c r="CW36" s="28">
        <v>0.57720439774999943</v>
      </c>
      <c r="CX36" s="28">
        <v>0.57720439774999943</v>
      </c>
      <c r="CY36" s="28">
        <v>1.5392117273333319</v>
      </c>
      <c r="CZ36" s="28">
        <v>0.76960586366666595</v>
      </c>
      <c r="DA36" s="28">
        <v>1.5392117273333319</v>
      </c>
      <c r="DB36" s="28">
        <v>0.96200732958333246</v>
      </c>
      <c r="DC36" s="28">
        <v>0.57720439774999943</v>
      </c>
      <c r="DD36" s="28">
        <v>0.76960586366666595</v>
      </c>
      <c r="DE36" s="28">
        <v>0.76960586366666595</v>
      </c>
      <c r="DF36" s="28">
        <v>1.346810261416665</v>
      </c>
      <c r="DG36" s="28">
        <v>1.5392117273333319</v>
      </c>
      <c r="DH36" s="28">
        <v>1.5392117273333319</v>
      </c>
      <c r="DI36" s="28">
        <v>1.346810261416665</v>
      </c>
      <c r="DJ36" s="28">
        <v>1.5392117273333319</v>
      </c>
      <c r="DK36" s="28">
        <v>1.346810261416665</v>
      </c>
      <c r="DL36" s="28">
        <v>1.1544087954999991</v>
      </c>
      <c r="DM36" s="28">
        <v>1.5392117273333319</v>
      </c>
      <c r="DN36" s="28">
        <v>1.5392117273333319</v>
      </c>
      <c r="DO36" s="28">
        <v>1.5392117273333319</v>
      </c>
      <c r="DP36" s="28">
        <v>0.96200732958333246</v>
      </c>
      <c r="DQ36" s="28">
        <v>0.96200732958333246</v>
      </c>
      <c r="DR36" s="28">
        <v>1.5392117273333319</v>
      </c>
      <c r="DS36" s="28">
        <v>0.76960586366666595</v>
      </c>
      <c r="DT36" s="28">
        <v>0.76960586366666595</v>
      </c>
      <c r="DU36" s="28">
        <v>0.76960586366666595</v>
      </c>
      <c r="DV36" s="28">
        <v>0.38480293183333297</v>
      </c>
      <c r="DW36" s="28">
        <v>1.1838896652775539</v>
      </c>
      <c r="DX36" s="34">
        <v>146.80231849441671</v>
      </c>
    </row>
    <row r="37" spans="1:128" x14ac:dyDescent="0.25">
      <c r="A37" s="24">
        <v>36</v>
      </c>
      <c r="B37" s="26">
        <v>17.5</v>
      </c>
      <c r="C37" s="28">
        <v>0.61297481060000003</v>
      </c>
      <c r="D37" s="28">
        <v>0.76621851325000001</v>
      </c>
      <c r="E37" s="28">
        <v>0.76621851325000001</v>
      </c>
      <c r="F37" s="28">
        <v>0.61297481060000003</v>
      </c>
      <c r="G37" s="28">
        <v>1.2259496212000001</v>
      </c>
      <c r="H37" s="28">
        <v>1.2259496212000001</v>
      </c>
      <c r="I37" s="28">
        <v>1.2259496212000001</v>
      </c>
      <c r="J37" s="28">
        <v>0.9194622159000001</v>
      </c>
      <c r="K37" s="28">
        <v>0.61297481060000003</v>
      </c>
      <c r="L37" s="28">
        <v>0.9194622159000001</v>
      </c>
      <c r="M37" s="28">
        <v>1.2259496212000001</v>
      </c>
      <c r="N37" s="28">
        <v>1.2259496212000001</v>
      </c>
      <c r="O37" s="28">
        <v>1.2259496212000001</v>
      </c>
      <c r="P37" s="28">
        <v>1.0727059185500001</v>
      </c>
      <c r="Q37" s="28">
        <v>0.61297481060000003</v>
      </c>
      <c r="R37" s="28">
        <v>0.45973110795000011</v>
      </c>
      <c r="S37" s="28">
        <v>0.61297481060000003</v>
      </c>
      <c r="T37" s="28">
        <v>0.30648740530000002</v>
      </c>
      <c r="U37" s="28">
        <v>1.2259496212000001</v>
      </c>
      <c r="V37" s="28">
        <v>1.2259496212000001</v>
      </c>
      <c r="W37" s="28">
        <v>0.61297481060000003</v>
      </c>
      <c r="X37" s="28">
        <v>0.76621851325000001</v>
      </c>
      <c r="Y37" s="28">
        <v>0.9194622159000001</v>
      </c>
      <c r="Z37" s="28">
        <v>1.2259496212000001</v>
      </c>
      <c r="AA37" s="28">
        <v>1.0727059185500001</v>
      </c>
      <c r="AB37" s="28">
        <v>0.76621851325000001</v>
      </c>
      <c r="AC37" s="28">
        <v>1.2259496212000001</v>
      </c>
      <c r="AD37" s="28">
        <v>1.2259496212000001</v>
      </c>
      <c r="AE37" s="28">
        <v>1.2259496212000001</v>
      </c>
      <c r="AF37" s="28">
        <v>0.9194622159000001</v>
      </c>
      <c r="AG37" s="28">
        <v>0.76621851325000001</v>
      </c>
      <c r="AH37" s="28">
        <v>1.2259496212000001</v>
      </c>
      <c r="AI37" s="28">
        <v>1.0727059185500001</v>
      </c>
      <c r="AJ37" s="28">
        <v>1.0727059185500001</v>
      </c>
      <c r="AK37" s="28">
        <v>0.9194622159000001</v>
      </c>
      <c r="AL37" s="28">
        <v>0.76621851325000001</v>
      </c>
      <c r="AM37" s="28">
        <v>0.61297481060000003</v>
      </c>
      <c r="AN37" s="28">
        <v>1.2259496212000001</v>
      </c>
      <c r="AO37" s="28">
        <v>1.2259496212000001</v>
      </c>
      <c r="AP37" s="28">
        <v>1.0727059185500001</v>
      </c>
      <c r="AQ37" s="28">
        <v>1.0727059185500001</v>
      </c>
      <c r="AR37" s="28">
        <v>1.2259496212000001</v>
      </c>
      <c r="AS37" s="28">
        <v>1.2259496212000001</v>
      </c>
      <c r="AT37" s="28">
        <v>0.61297481060000003</v>
      </c>
      <c r="AU37" s="28">
        <v>1.2259496212000001</v>
      </c>
      <c r="AV37" s="28">
        <v>1.0727059185500001</v>
      </c>
      <c r="AW37" s="28">
        <v>1.2259496212000001</v>
      </c>
      <c r="AX37" s="28">
        <v>0.76621851325000001</v>
      </c>
      <c r="AY37" s="28">
        <v>1.2259496212000001</v>
      </c>
      <c r="AZ37" s="28">
        <v>0.9194622159000001</v>
      </c>
      <c r="BA37" s="28">
        <v>0.9194622159000001</v>
      </c>
      <c r="BB37" s="28">
        <v>1.2259496212000001</v>
      </c>
      <c r="BC37" s="28">
        <v>1.2259496212000001</v>
      </c>
      <c r="BD37" s="28">
        <v>0.45973110795000011</v>
      </c>
      <c r="BE37" s="28">
        <v>1.2259496212000001</v>
      </c>
      <c r="BF37" s="28">
        <v>0.76621851325000001</v>
      </c>
      <c r="BG37" s="28">
        <v>0.45973110795000011</v>
      </c>
      <c r="BH37" s="28">
        <v>0.61297481060000003</v>
      </c>
      <c r="BI37" s="28">
        <v>1.2259496212000001</v>
      </c>
      <c r="BJ37" s="28">
        <v>0.61297481060000003</v>
      </c>
      <c r="BK37" s="28">
        <v>1.0727059185500001</v>
      </c>
      <c r="BL37" s="28">
        <v>1.0727059185500001</v>
      </c>
      <c r="BM37" s="28">
        <v>0.61297481060000003</v>
      </c>
      <c r="BN37" s="28">
        <v>0.45973110795000011</v>
      </c>
      <c r="BO37" s="28">
        <v>1.0727059185500001</v>
      </c>
      <c r="BP37" s="28">
        <v>0.9194622159000001</v>
      </c>
      <c r="BQ37" s="28">
        <v>1.2259496212000001</v>
      </c>
      <c r="BR37" s="28">
        <v>1.0727059185500001</v>
      </c>
      <c r="BS37" s="28">
        <v>0.61297481060000003</v>
      </c>
      <c r="BT37" s="28">
        <v>0.9194622159000001</v>
      </c>
      <c r="BU37" s="28">
        <v>1.2259496212000001</v>
      </c>
      <c r="BV37" s="28">
        <v>0.9194622159000001</v>
      </c>
      <c r="BW37" s="28">
        <v>1.2259496212000001</v>
      </c>
      <c r="BX37" s="28">
        <v>1.0727059185500001</v>
      </c>
      <c r="BY37" s="28">
        <v>1.2259496212000001</v>
      </c>
      <c r="BZ37" s="28">
        <v>0.9194622159000001</v>
      </c>
      <c r="CA37" s="28">
        <v>1.2259496212000001</v>
      </c>
      <c r="CB37" s="28">
        <v>0.9194622159000001</v>
      </c>
      <c r="CC37" s="28">
        <v>1.2259496212000001</v>
      </c>
      <c r="CD37" s="28">
        <v>0.9194622159000001</v>
      </c>
      <c r="CE37" s="28">
        <v>0.76621851325000001</v>
      </c>
      <c r="CF37" s="28">
        <v>1.2259496212000001</v>
      </c>
      <c r="CG37" s="28">
        <v>1.2259496212000001</v>
      </c>
      <c r="CH37" s="28">
        <v>1.2259496212000001</v>
      </c>
      <c r="CI37" s="28">
        <v>0.45973110795000011</v>
      </c>
      <c r="CJ37" s="28">
        <v>1.0727059185500001</v>
      </c>
      <c r="CK37" s="28">
        <v>0.76621851325000001</v>
      </c>
      <c r="CL37" s="28">
        <v>0.9194622159000001</v>
      </c>
      <c r="CM37" s="28">
        <v>0.9194622159000001</v>
      </c>
      <c r="CN37" s="28">
        <v>0.61297481060000003</v>
      </c>
      <c r="CO37" s="28">
        <v>0.9194622159000001</v>
      </c>
      <c r="CP37" s="28">
        <v>1.2259496212000001</v>
      </c>
      <c r="CQ37" s="28">
        <v>0.61297481060000003</v>
      </c>
      <c r="CR37" s="28">
        <v>0.45973110795000011</v>
      </c>
      <c r="CS37" s="28">
        <v>1.2259496212000001</v>
      </c>
      <c r="CT37" s="28">
        <v>1.0727059185500001</v>
      </c>
      <c r="CU37" s="28">
        <v>1.0727059185500001</v>
      </c>
      <c r="CV37" s="28">
        <v>1.0727059185500001</v>
      </c>
      <c r="CW37" s="28">
        <v>0.45973110795000011</v>
      </c>
      <c r="CX37" s="28">
        <v>0.45973110795000011</v>
      </c>
      <c r="CY37" s="28">
        <v>1.2259496212000001</v>
      </c>
      <c r="CZ37" s="28">
        <v>0.61297481060000003</v>
      </c>
      <c r="DA37" s="28">
        <v>1.2259496212000001</v>
      </c>
      <c r="DB37" s="28">
        <v>0.76621851325000001</v>
      </c>
      <c r="DC37" s="28">
        <v>0.45973110795000011</v>
      </c>
      <c r="DD37" s="28">
        <v>0.61297481060000003</v>
      </c>
      <c r="DE37" s="28">
        <v>0.61297481060000003</v>
      </c>
      <c r="DF37" s="28">
        <v>1.0727059185500001</v>
      </c>
      <c r="DG37" s="28">
        <v>1.2259496212000001</v>
      </c>
      <c r="DH37" s="28">
        <v>1.2259496212000001</v>
      </c>
      <c r="DI37" s="28">
        <v>1.0727059185500001</v>
      </c>
      <c r="DJ37" s="28">
        <v>1.2259496212000001</v>
      </c>
      <c r="DK37" s="28">
        <v>1.0727059185500001</v>
      </c>
      <c r="DL37" s="28">
        <v>0.9194622159000001</v>
      </c>
      <c r="DM37" s="28">
        <v>1.2259496212000001</v>
      </c>
      <c r="DN37" s="28">
        <v>1.2259496212000001</v>
      </c>
      <c r="DO37" s="28">
        <v>1.2259496212000001</v>
      </c>
      <c r="DP37" s="28">
        <v>0.76621851325000001</v>
      </c>
      <c r="DQ37" s="28">
        <v>0.76621851325000001</v>
      </c>
      <c r="DR37" s="28">
        <v>1.2259496212000001</v>
      </c>
      <c r="DS37" s="28">
        <v>0.61297481060000003</v>
      </c>
      <c r="DT37" s="28">
        <v>0.61297481060000003</v>
      </c>
      <c r="DU37" s="28">
        <v>0.61297481060000003</v>
      </c>
      <c r="DV37" s="28">
        <v>0.30648740530000002</v>
      </c>
      <c r="DW37" s="28">
        <v>0.94294310582217733</v>
      </c>
      <c r="DX37" s="34">
        <v>116.92494512195</v>
      </c>
    </row>
    <row r="38" spans="1:128" x14ac:dyDescent="0.25">
      <c r="A38" s="24">
        <v>37</v>
      </c>
      <c r="B38" s="26">
        <v>18</v>
      </c>
      <c r="C38" s="28">
        <v>0.46145846733333401</v>
      </c>
      <c r="D38" s="28">
        <v>0.5768230841666675</v>
      </c>
      <c r="E38" s="28">
        <v>0.5768230841666675</v>
      </c>
      <c r="F38" s="28">
        <v>0.46145846733333401</v>
      </c>
      <c r="G38" s="28">
        <v>0.92291693466666802</v>
      </c>
      <c r="H38" s="28">
        <v>0.92291693466666802</v>
      </c>
      <c r="I38" s="28">
        <v>0.92291693466666802</v>
      </c>
      <c r="J38" s="28">
        <v>0.69218770100000104</v>
      </c>
      <c r="K38" s="28">
        <v>0.46145846733333401</v>
      </c>
      <c r="L38" s="28">
        <v>0.69218770100000104</v>
      </c>
      <c r="M38" s="28">
        <v>0.92291693466666802</v>
      </c>
      <c r="N38" s="28">
        <v>0.92291693466666802</v>
      </c>
      <c r="O38" s="28">
        <v>0.92291693466666802</v>
      </c>
      <c r="P38" s="28">
        <v>0.80755231783333448</v>
      </c>
      <c r="Q38" s="28">
        <v>0.46145846733333401</v>
      </c>
      <c r="R38" s="28">
        <v>0.34609385050000052</v>
      </c>
      <c r="S38" s="28">
        <v>0.46145846733333401</v>
      </c>
      <c r="T38" s="28">
        <v>0.23072923366666701</v>
      </c>
      <c r="U38" s="28">
        <v>0.92291693466666802</v>
      </c>
      <c r="V38" s="28">
        <v>0.92291693466666802</v>
      </c>
      <c r="W38" s="28">
        <v>0.46145846733333401</v>
      </c>
      <c r="X38" s="28">
        <v>0.5768230841666675</v>
      </c>
      <c r="Y38" s="28">
        <v>0.69218770100000104</v>
      </c>
      <c r="Z38" s="28">
        <v>0.92291693466666802</v>
      </c>
      <c r="AA38" s="28">
        <v>0.80755231783333448</v>
      </c>
      <c r="AB38" s="28">
        <v>0.5768230841666675</v>
      </c>
      <c r="AC38" s="28">
        <v>0.92291693466666802</v>
      </c>
      <c r="AD38" s="28">
        <v>0.92291693466666802</v>
      </c>
      <c r="AE38" s="28">
        <v>0.92291693466666802</v>
      </c>
      <c r="AF38" s="28">
        <v>0.69218770100000104</v>
      </c>
      <c r="AG38" s="28">
        <v>0.5768230841666675</v>
      </c>
      <c r="AH38" s="28">
        <v>0.92291693466666802</v>
      </c>
      <c r="AI38" s="28">
        <v>0.80755231783333448</v>
      </c>
      <c r="AJ38" s="28">
        <v>0.80755231783333448</v>
      </c>
      <c r="AK38" s="28">
        <v>0.69218770100000104</v>
      </c>
      <c r="AL38" s="28">
        <v>0.5768230841666675</v>
      </c>
      <c r="AM38" s="28">
        <v>0.46145846733333401</v>
      </c>
      <c r="AN38" s="28">
        <v>0.92291693466666802</v>
      </c>
      <c r="AO38" s="28">
        <v>0.92291693466666802</v>
      </c>
      <c r="AP38" s="28">
        <v>0.80755231783333448</v>
      </c>
      <c r="AQ38" s="28">
        <v>0.80755231783333448</v>
      </c>
      <c r="AR38" s="28">
        <v>0.92291693466666802</v>
      </c>
      <c r="AS38" s="28">
        <v>0.92291693466666802</v>
      </c>
      <c r="AT38" s="28">
        <v>0.46145846733333401</v>
      </c>
      <c r="AU38" s="28">
        <v>0.92291693466666802</v>
      </c>
      <c r="AV38" s="28">
        <v>0.80755231783333448</v>
      </c>
      <c r="AW38" s="28">
        <v>0.92291693466666802</v>
      </c>
      <c r="AX38" s="28">
        <v>0.5768230841666675</v>
      </c>
      <c r="AY38" s="28">
        <v>0.92291693466666802</v>
      </c>
      <c r="AZ38" s="28">
        <v>0.69218770100000104</v>
      </c>
      <c r="BA38" s="28">
        <v>0.69218770100000104</v>
      </c>
      <c r="BB38" s="28">
        <v>0.92291693466666802</v>
      </c>
      <c r="BC38" s="28">
        <v>0.92291693466666802</v>
      </c>
      <c r="BD38" s="28">
        <v>0.34609385050000052</v>
      </c>
      <c r="BE38" s="28">
        <v>0.92291693466666802</v>
      </c>
      <c r="BF38" s="28">
        <v>0.5768230841666675</v>
      </c>
      <c r="BG38" s="28">
        <v>0.34609385050000052</v>
      </c>
      <c r="BH38" s="28">
        <v>0.46145846733333401</v>
      </c>
      <c r="BI38" s="28">
        <v>0.92291693466666802</v>
      </c>
      <c r="BJ38" s="28">
        <v>0.46145846733333401</v>
      </c>
      <c r="BK38" s="28">
        <v>0.80755231783333448</v>
      </c>
      <c r="BL38" s="28">
        <v>0.80755231783333448</v>
      </c>
      <c r="BM38" s="28">
        <v>0.46145846733333401</v>
      </c>
      <c r="BN38" s="28">
        <v>0.34609385050000052</v>
      </c>
      <c r="BO38" s="28">
        <v>0.80755231783333448</v>
      </c>
      <c r="BP38" s="28">
        <v>0.69218770100000104</v>
      </c>
      <c r="BQ38" s="28">
        <v>0.92291693466666802</v>
      </c>
      <c r="BR38" s="28">
        <v>0.80755231783333448</v>
      </c>
      <c r="BS38" s="28">
        <v>0.46145846733333401</v>
      </c>
      <c r="BT38" s="28">
        <v>0.69218770100000104</v>
      </c>
      <c r="BU38" s="28">
        <v>0.92291693466666802</v>
      </c>
      <c r="BV38" s="28">
        <v>0.69218770100000104</v>
      </c>
      <c r="BW38" s="28">
        <v>0.92291693466666802</v>
      </c>
      <c r="BX38" s="28">
        <v>0.80755231783333448</v>
      </c>
      <c r="BY38" s="28">
        <v>0.92291693466666802</v>
      </c>
      <c r="BZ38" s="28">
        <v>0.69218770100000104</v>
      </c>
      <c r="CA38" s="28">
        <v>0.92291693466666802</v>
      </c>
      <c r="CB38" s="28">
        <v>0.69218770100000104</v>
      </c>
      <c r="CC38" s="28">
        <v>0.92291693466666802</v>
      </c>
      <c r="CD38" s="28">
        <v>0.69218770100000104</v>
      </c>
      <c r="CE38" s="28">
        <v>0.5768230841666675</v>
      </c>
      <c r="CF38" s="28">
        <v>0.92291693466666802</v>
      </c>
      <c r="CG38" s="28">
        <v>0.92291693466666802</v>
      </c>
      <c r="CH38" s="28">
        <v>0.92291693466666802</v>
      </c>
      <c r="CI38" s="28">
        <v>0.34609385050000052</v>
      </c>
      <c r="CJ38" s="28">
        <v>0.80755231783333448</v>
      </c>
      <c r="CK38" s="28">
        <v>0.5768230841666675</v>
      </c>
      <c r="CL38" s="28">
        <v>0.69218770100000104</v>
      </c>
      <c r="CM38" s="28">
        <v>0.69218770100000104</v>
      </c>
      <c r="CN38" s="28">
        <v>0.46145846733333401</v>
      </c>
      <c r="CO38" s="28">
        <v>0.69218770100000104</v>
      </c>
      <c r="CP38" s="28">
        <v>0.92291693466666802</v>
      </c>
      <c r="CQ38" s="28">
        <v>0.46145846733333401</v>
      </c>
      <c r="CR38" s="28">
        <v>0.34609385050000052</v>
      </c>
      <c r="CS38" s="28">
        <v>0.92291693466666802</v>
      </c>
      <c r="CT38" s="28">
        <v>0.80755231783333448</v>
      </c>
      <c r="CU38" s="28">
        <v>0.80755231783333448</v>
      </c>
      <c r="CV38" s="28">
        <v>0.80755231783333448</v>
      </c>
      <c r="CW38" s="28">
        <v>0.34609385050000052</v>
      </c>
      <c r="CX38" s="28">
        <v>0.34609385050000052</v>
      </c>
      <c r="CY38" s="28">
        <v>0.92291693466666802</v>
      </c>
      <c r="CZ38" s="28">
        <v>0.46145846733333401</v>
      </c>
      <c r="DA38" s="28">
        <v>0.92291693466666802</v>
      </c>
      <c r="DB38" s="28">
        <v>0.5768230841666675</v>
      </c>
      <c r="DC38" s="28">
        <v>0.34609385050000052</v>
      </c>
      <c r="DD38" s="28">
        <v>0.46145846733333401</v>
      </c>
      <c r="DE38" s="28">
        <v>0.46145846733333401</v>
      </c>
      <c r="DF38" s="28">
        <v>0.80755231783333448</v>
      </c>
      <c r="DG38" s="28">
        <v>0.92291693466666802</v>
      </c>
      <c r="DH38" s="28">
        <v>0.92291693466666802</v>
      </c>
      <c r="DI38" s="28">
        <v>0.80755231783333448</v>
      </c>
      <c r="DJ38" s="28">
        <v>0.92291693466666802</v>
      </c>
      <c r="DK38" s="28">
        <v>0.80755231783333448</v>
      </c>
      <c r="DL38" s="28">
        <v>0.69218770100000104</v>
      </c>
      <c r="DM38" s="28">
        <v>0.92291693466666802</v>
      </c>
      <c r="DN38" s="28">
        <v>0.92291693466666802</v>
      </c>
      <c r="DO38" s="28">
        <v>0.92291693466666802</v>
      </c>
      <c r="DP38" s="28">
        <v>0.5768230841666675</v>
      </c>
      <c r="DQ38" s="28">
        <v>0.5768230841666675</v>
      </c>
      <c r="DR38" s="28">
        <v>0.92291693466666802</v>
      </c>
      <c r="DS38" s="28">
        <v>0.46145846733333401</v>
      </c>
      <c r="DT38" s="28">
        <v>0.46145846733333401</v>
      </c>
      <c r="DU38" s="28">
        <v>0.46145846733333401</v>
      </c>
      <c r="DV38" s="28">
        <v>0.23072923366666701</v>
      </c>
      <c r="DW38" s="28">
        <v>0.70986453745026978</v>
      </c>
      <c r="DX38" s="34">
        <v>88.023202643833457</v>
      </c>
    </row>
    <row r="39" spans="1:128" x14ac:dyDescent="0.25">
      <c r="A39" s="24">
        <v>38</v>
      </c>
      <c r="B39" s="26">
        <v>18.5</v>
      </c>
      <c r="C39" s="28">
        <v>0.31537536300000002</v>
      </c>
      <c r="D39" s="28">
        <v>0.39421920375000002</v>
      </c>
      <c r="E39" s="28">
        <v>0.39421920375000002</v>
      </c>
      <c r="F39" s="28">
        <v>0.31537536300000002</v>
      </c>
      <c r="G39" s="28">
        <v>0.63075072600000004</v>
      </c>
      <c r="H39" s="28">
        <v>0.63075072600000004</v>
      </c>
      <c r="I39" s="28">
        <v>0.63075072600000004</v>
      </c>
      <c r="J39" s="28">
        <v>0.47306304449999997</v>
      </c>
      <c r="K39" s="28">
        <v>0.31537536300000002</v>
      </c>
      <c r="L39" s="28">
        <v>0.47306304449999997</v>
      </c>
      <c r="M39" s="28">
        <v>0.63075072600000004</v>
      </c>
      <c r="N39" s="28">
        <v>0.63075072600000004</v>
      </c>
      <c r="O39" s="28">
        <v>0.63075072600000004</v>
      </c>
      <c r="P39" s="28">
        <v>0.55190688524999998</v>
      </c>
      <c r="Q39" s="28">
        <v>0.31537536300000002</v>
      </c>
      <c r="R39" s="28">
        <v>0.23653152224999999</v>
      </c>
      <c r="S39" s="28">
        <v>0.31537536300000002</v>
      </c>
      <c r="T39" s="28">
        <v>0.15768768150000001</v>
      </c>
      <c r="U39" s="28">
        <v>0.63075072600000004</v>
      </c>
      <c r="V39" s="28">
        <v>0.63075072600000004</v>
      </c>
      <c r="W39" s="28">
        <v>0.31537536300000002</v>
      </c>
      <c r="X39" s="28">
        <v>0.39421920375000002</v>
      </c>
      <c r="Y39" s="28">
        <v>0.47306304449999997</v>
      </c>
      <c r="Z39" s="28">
        <v>0.63075072600000004</v>
      </c>
      <c r="AA39" s="28">
        <v>0.55190688524999998</v>
      </c>
      <c r="AB39" s="28">
        <v>0.39421920375000002</v>
      </c>
      <c r="AC39" s="28">
        <v>0.63075072600000004</v>
      </c>
      <c r="AD39" s="28">
        <v>0.63075072600000004</v>
      </c>
      <c r="AE39" s="28">
        <v>0.63075072600000004</v>
      </c>
      <c r="AF39" s="28">
        <v>0.47306304449999997</v>
      </c>
      <c r="AG39" s="28">
        <v>0.39421920375000002</v>
      </c>
      <c r="AH39" s="28">
        <v>0.63075072600000004</v>
      </c>
      <c r="AI39" s="28">
        <v>0.55190688524999998</v>
      </c>
      <c r="AJ39" s="28">
        <v>0.55190688524999998</v>
      </c>
      <c r="AK39" s="28">
        <v>0.47306304449999997</v>
      </c>
      <c r="AL39" s="28">
        <v>0.39421920375000002</v>
      </c>
      <c r="AM39" s="28">
        <v>0.31537536300000002</v>
      </c>
      <c r="AN39" s="28">
        <v>0.63075072600000004</v>
      </c>
      <c r="AO39" s="28">
        <v>0.63075072600000004</v>
      </c>
      <c r="AP39" s="28">
        <v>0.55190688524999998</v>
      </c>
      <c r="AQ39" s="28">
        <v>0.55190688524999998</v>
      </c>
      <c r="AR39" s="28">
        <v>0.63075072600000004</v>
      </c>
      <c r="AS39" s="28">
        <v>0.63075072600000004</v>
      </c>
      <c r="AT39" s="28">
        <v>0.31537536300000002</v>
      </c>
      <c r="AU39" s="28">
        <v>0.63075072600000004</v>
      </c>
      <c r="AV39" s="28">
        <v>0.55190688524999998</v>
      </c>
      <c r="AW39" s="28">
        <v>0.63075072600000004</v>
      </c>
      <c r="AX39" s="28">
        <v>0.39421920375000002</v>
      </c>
      <c r="AY39" s="28">
        <v>0.63075072600000004</v>
      </c>
      <c r="AZ39" s="28">
        <v>0.47306304449999997</v>
      </c>
      <c r="BA39" s="28">
        <v>0.47306304449999997</v>
      </c>
      <c r="BB39" s="28">
        <v>0.63075072600000004</v>
      </c>
      <c r="BC39" s="28">
        <v>0.63075072600000004</v>
      </c>
      <c r="BD39" s="28">
        <v>0.23653152224999999</v>
      </c>
      <c r="BE39" s="28">
        <v>0.63075072600000004</v>
      </c>
      <c r="BF39" s="28">
        <v>0.39421920375000002</v>
      </c>
      <c r="BG39" s="28">
        <v>0.23653152224999999</v>
      </c>
      <c r="BH39" s="28">
        <v>0.31537536300000002</v>
      </c>
      <c r="BI39" s="28">
        <v>0.63075072600000004</v>
      </c>
      <c r="BJ39" s="28">
        <v>0.31537536300000002</v>
      </c>
      <c r="BK39" s="28">
        <v>0.55190688524999998</v>
      </c>
      <c r="BL39" s="28">
        <v>0.55190688524999998</v>
      </c>
      <c r="BM39" s="28">
        <v>0.31537536300000002</v>
      </c>
      <c r="BN39" s="28">
        <v>0.23653152224999999</v>
      </c>
      <c r="BO39" s="28">
        <v>0.55190688524999998</v>
      </c>
      <c r="BP39" s="28">
        <v>0.47306304449999997</v>
      </c>
      <c r="BQ39" s="28">
        <v>0.63075072600000004</v>
      </c>
      <c r="BR39" s="28">
        <v>0.55190688524999998</v>
      </c>
      <c r="BS39" s="28">
        <v>0.31537536300000002</v>
      </c>
      <c r="BT39" s="28">
        <v>0.47306304449999997</v>
      </c>
      <c r="BU39" s="28">
        <v>0.63075072600000004</v>
      </c>
      <c r="BV39" s="28">
        <v>0.47306304449999997</v>
      </c>
      <c r="BW39" s="28">
        <v>0.63075072600000004</v>
      </c>
      <c r="BX39" s="28">
        <v>0.55190688524999998</v>
      </c>
      <c r="BY39" s="28">
        <v>0.63075072600000004</v>
      </c>
      <c r="BZ39" s="28">
        <v>0.47306304449999997</v>
      </c>
      <c r="CA39" s="28">
        <v>0.63075072600000004</v>
      </c>
      <c r="CB39" s="28">
        <v>0.47306304449999997</v>
      </c>
      <c r="CC39" s="28">
        <v>0.63075072600000004</v>
      </c>
      <c r="CD39" s="28">
        <v>0.47306304449999997</v>
      </c>
      <c r="CE39" s="28">
        <v>0.39421920375000002</v>
      </c>
      <c r="CF39" s="28">
        <v>0.63075072600000004</v>
      </c>
      <c r="CG39" s="28">
        <v>0.63075072600000004</v>
      </c>
      <c r="CH39" s="28">
        <v>0.63075072600000004</v>
      </c>
      <c r="CI39" s="28">
        <v>0.23653152224999999</v>
      </c>
      <c r="CJ39" s="28">
        <v>0.55190688524999998</v>
      </c>
      <c r="CK39" s="28">
        <v>0.39421920375000002</v>
      </c>
      <c r="CL39" s="28">
        <v>0.47306304449999997</v>
      </c>
      <c r="CM39" s="28">
        <v>0.47306304449999997</v>
      </c>
      <c r="CN39" s="28">
        <v>0.31537536300000002</v>
      </c>
      <c r="CO39" s="28">
        <v>0.47306304449999997</v>
      </c>
      <c r="CP39" s="28">
        <v>0.63075072600000004</v>
      </c>
      <c r="CQ39" s="28">
        <v>0.31537536300000002</v>
      </c>
      <c r="CR39" s="28">
        <v>0.23653152224999999</v>
      </c>
      <c r="CS39" s="28">
        <v>0.63075072600000004</v>
      </c>
      <c r="CT39" s="28">
        <v>0.55190688524999998</v>
      </c>
      <c r="CU39" s="28">
        <v>0.55190688524999998</v>
      </c>
      <c r="CV39" s="28">
        <v>0.55190688524999998</v>
      </c>
      <c r="CW39" s="28">
        <v>0.23653152224999999</v>
      </c>
      <c r="CX39" s="28">
        <v>0.23653152224999999</v>
      </c>
      <c r="CY39" s="28">
        <v>0.63075072600000004</v>
      </c>
      <c r="CZ39" s="28">
        <v>0.31537536300000002</v>
      </c>
      <c r="DA39" s="28">
        <v>0.63075072600000004</v>
      </c>
      <c r="DB39" s="28">
        <v>0.39421920375000002</v>
      </c>
      <c r="DC39" s="28">
        <v>0.23653152224999999</v>
      </c>
      <c r="DD39" s="28">
        <v>0.31537536300000002</v>
      </c>
      <c r="DE39" s="28">
        <v>0.31537536300000002</v>
      </c>
      <c r="DF39" s="28">
        <v>0.55190688524999998</v>
      </c>
      <c r="DG39" s="28">
        <v>0.63075072600000004</v>
      </c>
      <c r="DH39" s="28">
        <v>0.63075072600000004</v>
      </c>
      <c r="DI39" s="28">
        <v>0.55190688524999998</v>
      </c>
      <c r="DJ39" s="28">
        <v>0.63075072600000004</v>
      </c>
      <c r="DK39" s="28">
        <v>0.55190688524999998</v>
      </c>
      <c r="DL39" s="28">
        <v>0.47306304449999997</v>
      </c>
      <c r="DM39" s="28">
        <v>0.63075072600000004</v>
      </c>
      <c r="DN39" s="28">
        <v>0.63075072600000004</v>
      </c>
      <c r="DO39" s="28">
        <v>0.63075072600000004</v>
      </c>
      <c r="DP39" s="28">
        <v>0.39421920375000002</v>
      </c>
      <c r="DQ39" s="28">
        <v>0.39421920375000002</v>
      </c>
      <c r="DR39" s="28">
        <v>0.63075072600000004</v>
      </c>
      <c r="DS39" s="28">
        <v>0.31537536300000002</v>
      </c>
      <c r="DT39" s="28">
        <v>0.31537536300000002</v>
      </c>
      <c r="DU39" s="28">
        <v>0.31537536300000002</v>
      </c>
      <c r="DV39" s="28">
        <v>0.15768768150000001</v>
      </c>
      <c r="DW39" s="28">
        <v>0.48514395558266149</v>
      </c>
      <c r="DX39" s="34">
        <v>60.157850492250027</v>
      </c>
    </row>
    <row r="40" spans="1:128" x14ac:dyDescent="0.25">
      <c r="A40" s="24">
        <v>39</v>
      </c>
      <c r="B40" s="26">
        <v>19</v>
      </c>
      <c r="C40" s="28">
        <v>0.18416037386666659</v>
      </c>
      <c r="D40" s="28">
        <v>0.23020046733333319</v>
      </c>
      <c r="E40" s="28">
        <v>0.23020046733333319</v>
      </c>
      <c r="F40" s="28">
        <v>0.18416037386666659</v>
      </c>
      <c r="G40" s="28">
        <v>0.36832074773333318</v>
      </c>
      <c r="H40" s="28">
        <v>0.36832074773333318</v>
      </c>
      <c r="I40" s="28">
        <v>0.36832074773333318</v>
      </c>
      <c r="J40" s="28">
        <v>0.27624056079999992</v>
      </c>
      <c r="K40" s="28">
        <v>0.18416037386666659</v>
      </c>
      <c r="L40" s="28">
        <v>0.27624056079999992</v>
      </c>
      <c r="M40" s="28">
        <v>0.36832074773333318</v>
      </c>
      <c r="N40" s="28">
        <v>0.36832074773333318</v>
      </c>
      <c r="O40" s="28">
        <v>0.36832074773333318</v>
      </c>
      <c r="P40" s="28">
        <v>0.32228065426666652</v>
      </c>
      <c r="Q40" s="28">
        <v>0.18416037386666659</v>
      </c>
      <c r="R40" s="28">
        <v>0.13812028039999991</v>
      </c>
      <c r="S40" s="28">
        <v>0.18416037386666659</v>
      </c>
      <c r="T40" s="28">
        <v>9.2080186933333294E-2</v>
      </c>
      <c r="U40" s="28">
        <v>0.36832074773333318</v>
      </c>
      <c r="V40" s="28">
        <v>0.36832074773333318</v>
      </c>
      <c r="W40" s="28">
        <v>0.18416037386666659</v>
      </c>
      <c r="X40" s="28">
        <v>0.23020046733333319</v>
      </c>
      <c r="Y40" s="28">
        <v>0.27624056079999992</v>
      </c>
      <c r="Z40" s="28">
        <v>0.36832074773333318</v>
      </c>
      <c r="AA40" s="28">
        <v>0.32228065426666652</v>
      </c>
      <c r="AB40" s="28">
        <v>0.23020046733333319</v>
      </c>
      <c r="AC40" s="28">
        <v>0.36832074773333318</v>
      </c>
      <c r="AD40" s="28">
        <v>0.36832074773333318</v>
      </c>
      <c r="AE40" s="28">
        <v>0.36832074773333318</v>
      </c>
      <c r="AF40" s="28">
        <v>0.27624056079999992</v>
      </c>
      <c r="AG40" s="28">
        <v>0.23020046733333319</v>
      </c>
      <c r="AH40" s="28">
        <v>0.36832074773333318</v>
      </c>
      <c r="AI40" s="28">
        <v>0.32228065426666652</v>
      </c>
      <c r="AJ40" s="28">
        <v>0.32228065426666652</v>
      </c>
      <c r="AK40" s="28">
        <v>0.27624056079999992</v>
      </c>
      <c r="AL40" s="28">
        <v>0.23020046733333319</v>
      </c>
      <c r="AM40" s="28">
        <v>0.18416037386666659</v>
      </c>
      <c r="AN40" s="28">
        <v>0.36832074773333318</v>
      </c>
      <c r="AO40" s="28">
        <v>0.36832074773333318</v>
      </c>
      <c r="AP40" s="28">
        <v>0.32228065426666652</v>
      </c>
      <c r="AQ40" s="28">
        <v>0.32228065426666652</v>
      </c>
      <c r="AR40" s="28">
        <v>0.36832074773333318</v>
      </c>
      <c r="AS40" s="28">
        <v>0.36832074773333318</v>
      </c>
      <c r="AT40" s="28">
        <v>0.18416037386666659</v>
      </c>
      <c r="AU40" s="28">
        <v>0.36832074773333318</v>
      </c>
      <c r="AV40" s="28">
        <v>0.32228065426666652</v>
      </c>
      <c r="AW40" s="28">
        <v>0.36832074773333318</v>
      </c>
      <c r="AX40" s="28">
        <v>0.23020046733333319</v>
      </c>
      <c r="AY40" s="28">
        <v>0.36832074773333318</v>
      </c>
      <c r="AZ40" s="28">
        <v>0.27624056079999992</v>
      </c>
      <c r="BA40" s="28">
        <v>0.27624056079999992</v>
      </c>
      <c r="BB40" s="28">
        <v>0.36832074773333318</v>
      </c>
      <c r="BC40" s="28">
        <v>0.36832074773333318</v>
      </c>
      <c r="BD40" s="28">
        <v>0.13812028039999991</v>
      </c>
      <c r="BE40" s="28">
        <v>0.36832074773333318</v>
      </c>
      <c r="BF40" s="28">
        <v>0.23020046733333319</v>
      </c>
      <c r="BG40" s="28">
        <v>0.13812028039999991</v>
      </c>
      <c r="BH40" s="28">
        <v>0.18416037386666659</v>
      </c>
      <c r="BI40" s="28">
        <v>0.36832074773333318</v>
      </c>
      <c r="BJ40" s="28">
        <v>0.18416037386666659</v>
      </c>
      <c r="BK40" s="28">
        <v>0.32228065426666652</v>
      </c>
      <c r="BL40" s="28">
        <v>0.32228065426666652</v>
      </c>
      <c r="BM40" s="28">
        <v>0.18416037386666659</v>
      </c>
      <c r="BN40" s="28">
        <v>0.13812028039999991</v>
      </c>
      <c r="BO40" s="28">
        <v>0.32228065426666652</v>
      </c>
      <c r="BP40" s="28">
        <v>0.27624056079999992</v>
      </c>
      <c r="BQ40" s="28">
        <v>0.36832074773333318</v>
      </c>
      <c r="BR40" s="28">
        <v>0.32228065426666652</v>
      </c>
      <c r="BS40" s="28">
        <v>0.18416037386666659</v>
      </c>
      <c r="BT40" s="28">
        <v>0.27624056079999992</v>
      </c>
      <c r="BU40" s="28">
        <v>0.36832074773333318</v>
      </c>
      <c r="BV40" s="28">
        <v>0.27624056079999992</v>
      </c>
      <c r="BW40" s="28">
        <v>0.36832074773333318</v>
      </c>
      <c r="BX40" s="28">
        <v>0.32228065426666652</v>
      </c>
      <c r="BY40" s="28">
        <v>0.36832074773333318</v>
      </c>
      <c r="BZ40" s="28">
        <v>0.27624056079999992</v>
      </c>
      <c r="CA40" s="28">
        <v>0.36832074773333318</v>
      </c>
      <c r="CB40" s="28">
        <v>0.27624056079999992</v>
      </c>
      <c r="CC40" s="28">
        <v>0.36832074773333318</v>
      </c>
      <c r="CD40" s="28">
        <v>0.27624056079999992</v>
      </c>
      <c r="CE40" s="28">
        <v>0.23020046733333319</v>
      </c>
      <c r="CF40" s="28">
        <v>0.36832074773333318</v>
      </c>
      <c r="CG40" s="28">
        <v>0.36832074773333318</v>
      </c>
      <c r="CH40" s="28">
        <v>0.36832074773333318</v>
      </c>
      <c r="CI40" s="28">
        <v>0.13812028039999991</v>
      </c>
      <c r="CJ40" s="28">
        <v>0.32228065426666652</v>
      </c>
      <c r="CK40" s="28">
        <v>0.23020046733333319</v>
      </c>
      <c r="CL40" s="28">
        <v>0.27624056079999992</v>
      </c>
      <c r="CM40" s="28">
        <v>0.27624056079999992</v>
      </c>
      <c r="CN40" s="28">
        <v>0.18416037386666659</v>
      </c>
      <c r="CO40" s="28">
        <v>0.27624056079999992</v>
      </c>
      <c r="CP40" s="28">
        <v>0.36832074773333318</v>
      </c>
      <c r="CQ40" s="28">
        <v>0.18416037386666659</v>
      </c>
      <c r="CR40" s="28">
        <v>0.13812028039999991</v>
      </c>
      <c r="CS40" s="28">
        <v>0.36832074773333318</v>
      </c>
      <c r="CT40" s="28">
        <v>0.32228065426666652</v>
      </c>
      <c r="CU40" s="28">
        <v>0.32228065426666652</v>
      </c>
      <c r="CV40" s="28">
        <v>0.32228065426666652</v>
      </c>
      <c r="CW40" s="28">
        <v>0.13812028039999991</v>
      </c>
      <c r="CX40" s="28">
        <v>0.13812028039999991</v>
      </c>
      <c r="CY40" s="28">
        <v>0.36832074773333318</v>
      </c>
      <c r="CZ40" s="28">
        <v>0.18416037386666659</v>
      </c>
      <c r="DA40" s="28">
        <v>0.36832074773333318</v>
      </c>
      <c r="DB40" s="28">
        <v>0.23020046733333319</v>
      </c>
      <c r="DC40" s="28">
        <v>0.13812028039999991</v>
      </c>
      <c r="DD40" s="28">
        <v>0.18416037386666659</v>
      </c>
      <c r="DE40" s="28">
        <v>0.18416037386666659</v>
      </c>
      <c r="DF40" s="28">
        <v>0.32228065426666652</v>
      </c>
      <c r="DG40" s="28">
        <v>0.36832074773333318</v>
      </c>
      <c r="DH40" s="28">
        <v>0.36832074773333318</v>
      </c>
      <c r="DI40" s="28">
        <v>0.32228065426666652</v>
      </c>
      <c r="DJ40" s="28">
        <v>0.36832074773333318</v>
      </c>
      <c r="DK40" s="28">
        <v>0.32228065426666652</v>
      </c>
      <c r="DL40" s="28">
        <v>0.27624056079999992</v>
      </c>
      <c r="DM40" s="28">
        <v>0.36832074773333318</v>
      </c>
      <c r="DN40" s="28">
        <v>0.36832074773333318</v>
      </c>
      <c r="DO40" s="28">
        <v>0.36832074773333318</v>
      </c>
      <c r="DP40" s="28">
        <v>0.23020046733333319</v>
      </c>
      <c r="DQ40" s="28">
        <v>0.23020046733333319</v>
      </c>
      <c r="DR40" s="28">
        <v>0.36832074773333318</v>
      </c>
      <c r="DS40" s="28">
        <v>0.18416037386666659</v>
      </c>
      <c r="DT40" s="28">
        <v>0.18416037386666659</v>
      </c>
      <c r="DU40" s="28">
        <v>0.18416037386666659</v>
      </c>
      <c r="DV40" s="28">
        <v>9.2080186933333294E-2</v>
      </c>
      <c r="DW40" s="28">
        <v>0.28329509125053748</v>
      </c>
      <c r="DX40" s="34">
        <v>35.128591315066657</v>
      </c>
    </row>
    <row r="41" spans="1:128" x14ac:dyDescent="0.25">
      <c r="A41" s="24">
        <v>40</v>
      </c>
      <c r="B41" s="26">
        <v>19.5</v>
      </c>
      <c r="C41" s="28">
        <v>5.3579974199999998E-2</v>
      </c>
      <c r="D41" s="28">
        <v>6.6974967750000003E-2</v>
      </c>
      <c r="E41" s="28">
        <v>6.6974967750000003E-2</v>
      </c>
      <c r="F41" s="28">
        <v>5.3579974199999998E-2</v>
      </c>
      <c r="G41" s="28">
        <v>0.1071599484</v>
      </c>
      <c r="H41" s="28">
        <v>0.1071599484</v>
      </c>
      <c r="I41" s="28">
        <v>0.1071599484</v>
      </c>
      <c r="J41" s="28">
        <v>8.0369961300000001E-2</v>
      </c>
      <c r="K41" s="28">
        <v>5.3579974199999998E-2</v>
      </c>
      <c r="L41" s="28">
        <v>8.0369961300000001E-2</v>
      </c>
      <c r="M41" s="28">
        <v>0.1071599484</v>
      </c>
      <c r="N41" s="28">
        <v>0.1071599484</v>
      </c>
      <c r="O41" s="28">
        <v>0.1071599484</v>
      </c>
      <c r="P41" s="28">
        <v>9.3764954849999999E-2</v>
      </c>
      <c r="Q41" s="28">
        <v>5.3579974199999998E-2</v>
      </c>
      <c r="R41" s="28">
        <v>4.018498065E-2</v>
      </c>
      <c r="S41" s="28">
        <v>5.3579974199999998E-2</v>
      </c>
      <c r="T41" s="28">
        <v>2.6789987099999999E-2</v>
      </c>
      <c r="U41" s="28">
        <v>0.1071599484</v>
      </c>
      <c r="V41" s="28">
        <v>0.1071599484</v>
      </c>
      <c r="W41" s="28">
        <v>5.3579974199999998E-2</v>
      </c>
      <c r="X41" s="28">
        <v>6.6974967750000003E-2</v>
      </c>
      <c r="Y41" s="28">
        <v>8.0369961300000001E-2</v>
      </c>
      <c r="Z41" s="28">
        <v>0.1071599484</v>
      </c>
      <c r="AA41" s="28">
        <v>9.3764954849999999E-2</v>
      </c>
      <c r="AB41" s="28">
        <v>6.6974967750000003E-2</v>
      </c>
      <c r="AC41" s="28">
        <v>0.1071599484</v>
      </c>
      <c r="AD41" s="28">
        <v>0.1071599484</v>
      </c>
      <c r="AE41" s="28">
        <v>0.1071599484</v>
      </c>
      <c r="AF41" s="28">
        <v>8.0369961300000001E-2</v>
      </c>
      <c r="AG41" s="28">
        <v>6.6974967750000003E-2</v>
      </c>
      <c r="AH41" s="28">
        <v>0.1071599484</v>
      </c>
      <c r="AI41" s="28">
        <v>9.3764954849999999E-2</v>
      </c>
      <c r="AJ41" s="28">
        <v>9.3764954849999999E-2</v>
      </c>
      <c r="AK41" s="28">
        <v>8.0369961300000001E-2</v>
      </c>
      <c r="AL41" s="28">
        <v>6.6974967750000003E-2</v>
      </c>
      <c r="AM41" s="28">
        <v>5.3579974199999998E-2</v>
      </c>
      <c r="AN41" s="28">
        <v>0.1071599484</v>
      </c>
      <c r="AO41" s="28">
        <v>0.1071599484</v>
      </c>
      <c r="AP41" s="28">
        <v>9.3764954849999999E-2</v>
      </c>
      <c r="AQ41" s="28">
        <v>9.3764954849999999E-2</v>
      </c>
      <c r="AR41" s="28">
        <v>0.1071599484</v>
      </c>
      <c r="AS41" s="28">
        <v>0.1071599484</v>
      </c>
      <c r="AT41" s="28">
        <v>5.3579974199999998E-2</v>
      </c>
      <c r="AU41" s="28">
        <v>0.1071599484</v>
      </c>
      <c r="AV41" s="28">
        <v>9.3764954849999999E-2</v>
      </c>
      <c r="AW41" s="28">
        <v>0.1071599484</v>
      </c>
      <c r="AX41" s="28">
        <v>6.6974967750000003E-2</v>
      </c>
      <c r="AY41" s="28">
        <v>0.1071599484</v>
      </c>
      <c r="AZ41" s="28">
        <v>8.0369961300000001E-2</v>
      </c>
      <c r="BA41" s="28">
        <v>8.0369961300000001E-2</v>
      </c>
      <c r="BB41" s="28">
        <v>0.1071599484</v>
      </c>
      <c r="BC41" s="28">
        <v>0.1071599484</v>
      </c>
      <c r="BD41" s="28">
        <v>4.018498065E-2</v>
      </c>
      <c r="BE41" s="28">
        <v>0.1071599484</v>
      </c>
      <c r="BF41" s="28">
        <v>6.6974967750000003E-2</v>
      </c>
      <c r="BG41" s="28">
        <v>4.018498065E-2</v>
      </c>
      <c r="BH41" s="28">
        <v>5.3579974199999998E-2</v>
      </c>
      <c r="BI41" s="28">
        <v>0.1071599484</v>
      </c>
      <c r="BJ41" s="28">
        <v>5.3579974199999998E-2</v>
      </c>
      <c r="BK41" s="28">
        <v>9.3764954849999999E-2</v>
      </c>
      <c r="BL41" s="28">
        <v>9.3764954849999999E-2</v>
      </c>
      <c r="BM41" s="28">
        <v>5.3579974199999998E-2</v>
      </c>
      <c r="BN41" s="28">
        <v>4.018498065E-2</v>
      </c>
      <c r="BO41" s="28">
        <v>9.3764954849999999E-2</v>
      </c>
      <c r="BP41" s="28">
        <v>8.0369961300000001E-2</v>
      </c>
      <c r="BQ41" s="28">
        <v>0.1071599484</v>
      </c>
      <c r="BR41" s="28">
        <v>9.3764954849999999E-2</v>
      </c>
      <c r="BS41" s="28">
        <v>5.3579974199999998E-2</v>
      </c>
      <c r="BT41" s="28">
        <v>8.0369961300000001E-2</v>
      </c>
      <c r="BU41" s="28">
        <v>0.1071599484</v>
      </c>
      <c r="BV41" s="28">
        <v>8.0369961300000001E-2</v>
      </c>
      <c r="BW41" s="28">
        <v>0.1071599484</v>
      </c>
      <c r="BX41" s="28">
        <v>9.3764954849999999E-2</v>
      </c>
      <c r="BY41" s="28">
        <v>0.1071599484</v>
      </c>
      <c r="BZ41" s="28">
        <v>8.0369961300000001E-2</v>
      </c>
      <c r="CA41" s="28">
        <v>0.1071599484</v>
      </c>
      <c r="CB41" s="28">
        <v>8.0369961300000001E-2</v>
      </c>
      <c r="CC41" s="28">
        <v>0.1071599484</v>
      </c>
      <c r="CD41" s="28">
        <v>8.0369961300000001E-2</v>
      </c>
      <c r="CE41" s="28">
        <v>6.6974967750000003E-2</v>
      </c>
      <c r="CF41" s="28">
        <v>0.1071599484</v>
      </c>
      <c r="CG41" s="28">
        <v>0.1071599484</v>
      </c>
      <c r="CH41" s="28">
        <v>0.1071599484</v>
      </c>
      <c r="CI41" s="28">
        <v>4.018498065E-2</v>
      </c>
      <c r="CJ41" s="28">
        <v>9.3764954849999999E-2</v>
      </c>
      <c r="CK41" s="28">
        <v>6.6974967750000003E-2</v>
      </c>
      <c r="CL41" s="28">
        <v>8.0369961300000001E-2</v>
      </c>
      <c r="CM41" s="28">
        <v>8.0369961300000001E-2</v>
      </c>
      <c r="CN41" s="28">
        <v>5.3579974199999998E-2</v>
      </c>
      <c r="CO41" s="28">
        <v>8.0369961300000001E-2</v>
      </c>
      <c r="CP41" s="28">
        <v>0.1071599484</v>
      </c>
      <c r="CQ41" s="28">
        <v>5.3579974199999998E-2</v>
      </c>
      <c r="CR41" s="28">
        <v>4.018498065E-2</v>
      </c>
      <c r="CS41" s="28">
        <v>0.1071599484</v>
      </c>
      <c r="CT41" s="28">
        <v>9.3764954849999999E-2</v>
      </c>
      <c r="CU41" s="28">
        <v>9.3764954849999999E-2</v>
      </c>
      <c r="CV41" s="28">
        <v>9.3764954849999999E-2</v>
      </c>
      <c r="CW41" s="28">
        <v>4.018498065E-2</v>
      </c>
      <c r="CX41" s="28">
        <v>4.018498065E-2</v>
      </c>
      <c r="CY41" s="28">
        <v>0.1071599484</v>
      </c>
      <c r="CZ41" s="28">
        <v>5.3579974199999998E-2</v>
      </c>
      <c r="DA41" s="28">
        <v>0.1071599484</v>
      </c>
      <c r="DB41" s="28">
        <v>6.6974967750000003E-2</v>
      </c>
      <c r="DC41" s="28">
        <v>4.018498065E-2</v>
      </c>
      <c r="DD41" s="28">
        <v>5.3579974199999998E-2</v>
      </c>
      <c r="DE41" s="28">
        <v>5.3579974199999998E-2</v>
      </c>
      <c r="DF41" s="28">
        <v>9.3764954849999999E-2</v>
      </c>
      <c r="DG41" s="28">
        <v>0.1071599484</v>
      </c>
      <c r="DH41" s="28">
        <v>0.1071599484</v>
      </c>
      <c r="DI41" s="28">
        <v>9.3764954849999999E-2</v>
      </c>
      <c r="DJ41" s="28">
        <v>0.1071599484</v>
      </c>
      <c r="DK41" s="28">
        <v>9.3764954849999999E-2</v>
      </c>
      <c r="DL41" s="28">
        <v>8.0369961300000001E-2</v>
      </c>
      <c r="DM41" s="28">
        <v>0.1071599484</v>
      </c>
      <c r="DN41" s="28">
        <v>0.1071599484</v>
      </c>
      <c r="DO41" s="28">
        <v>0.1071599484</v>
      </c>
      <c r="DP41" s="28">
        <v>6.6974967750000003E-2</v>
      </c>
      <c r="DQ41" s="28">
        <v>6.6974967750000003E-2</v>
      </c>
      <c r="DR41" s="28">
        <v>0.1071599484</v>
      </c>
      <c r="DS41" s="28">
        <v>5.3579974199999998E-2</v>
      </c>
      <c r="DT41" s="28">
        <v>5.3579974199999998E-2</v>
      </c>
      <c r="DU41" s="28">
        <v>5.3579974199999998E-2</v>
      </c>
      <c r="DV41" s="28">
        <v>2.6789987099999999E-2</v>
      </c>
      <c r="DW41" s="28">
        <v>8.2422419989112844E-2</v>
      </c>
      <c r="DX41" s="34">
        <v>10.22038007864999</v>
      </c>
    </row>
    <row r="42" spans="1:128" x14ac:dyDescent="0.25">
      <c r="A42" s="24">
        <v>41</v>
      </c>
      <c r="B42" s="26">
        <v>20</v>
      </c>
      <c r="C42" s="28">
        <v>9.8818881333333393E-3</v>
      </c>
      <c r="D42" s="28">
        <v>1.235236016666667E-2</v>
      </c>
      <c r="E42" s="28">
        <v>1.235236016666667E-2</v>
      </c>
      <c r="F42" s="28">
        <v>9.8818881333333393E-3</v>
      </c>
      <c r="G42" s="28">
        <v>1.9763776266666679E-2</v>
      </c>
      <c r="H42" s="28">
        <v>1.9763776266666679E-2</v>
      </c>
      <c r="I42" s="28">
        <v>1.9763776266666679E-2</v>
      </c>
      <c r="J42" s="28">
        <v>1.4822832200000011E-2</v>
      </c>
      <c r="K42" s="28">
        <v>9.8818881333333393E-3</v>
      </c>
      <c r="L42" s="28">
        <v>1.4822832200000011E-2</v>
      </c>
      <c r="M42" s="28">
        <v>1.9763776266666679E-2</v>
      </c>
      <c r="N42" s="28">
        <v>1.9763776266666679E-2</v>
      </c>
      <c r="O42" s="28">
        <v>1.9763776266666679E-2</v>
      </c>
      <c r="P42" s="28">
        <v>1.7293304233333341E-2</v>
      </c>
      <c r="Q42" s="28">
        <v>9.8818881333333393E-3</v>
      </c>
      <c r="R42" s="28">
        <v>7.4114161000000036E-3</v>
      </c>
      <c r="S42" s="28">
        <v>9.8818881333333393E-3</v>
      </c>
      <c r="T42" s="28">
        <v>4.9409440666666696E-3</v>
      </c>
      <c r="U42" s="28">
        <v>1.9763776266666679E-2</v>
      </c>
      <c r="V42" s="28">
        <v>1.9763776266666679E-2</v>
      </c>
      <c r="W42" s="28">
        <v>9.8818881333333393E-3</v>
      </c>
      <c r="X42" s="28">
        <v>1.235236016666667E-2</v>
      </c>
      <c r="Y42" s="28">
        <v>1.4822832200000011E-2</v>
      </c>
      <c r="Z42" s="28">
        <v>1.9763776266666679E-2</v>
      </c>
      <c r="AA42" s="28">
        <v>1.7293304233333341E-2</v>
      </c>
      <c r="AB42" s="28">
        <v>1.235236016666667E-2</v>
      </c>
      <c r="AC42" s="28">
        <v>1.9763776266666679E-2</v>
      </c>
      <c r="AD42" s="28">
        <v>1.9763776266666679E-2</v>
      </c>
      <c r="AE42" s="28">
        <v>1.9763776266666679E-2</v>
      </c>
      <c r="AF42" s="28">
        <v>1.4822832200000011E-2</v>
      </c>
      <c r="AG42" s="28">
        <v>1.235236016666667E-2</v>
      </c>
      <c r="AH42" s="28">
        <v>1.9763776266666679E-2</v>
      </c>
      <c r="AI42" s="28">
        <v>1.7293304233333341E-2</v>
      </c>
      <c r="AJ42" s="28">
        <v>1.7293304233333341E-2</v>
      </c>
      <c r="AK42" s="28">
        <v>1.4822832200000011E-2</v>
      </c>
      <c r="AL42" s="28">
        <v>1.235236016666667E-2</v>
      </c>
      <c r="AM42" s="28">
        <v>9.8818881333333393E-3</v>
      </c>
      <c r="AN42" s="28">
        <v>1.9763776266666679E-2</v>
      </c>
      <c r="AO42" s="28">
        <v>1.9763776266666679E-2</v>
      </c>
      <c r="AP42" s="28">
        <v>1.7293304233333341E-2</v>
      </c>
      <c r="AQ42" s="28">
        <v>1.7293304233333341E-2</v>
      </c>
      <c r="AR42" s="28">
        <v>1.9763776266666679E-2</v>
      </c>
      <c r="AS42" s="28">
        <v>1.9763776266666679E-2</v>
      </c>
      <c r="AT42" s="28">
        <v>9.8818881333333393E-3</v>
      </c>
      <c r="AU42" s="28">
        <v>1.9763776266666679E-2</v>
      </c>
      <c r="AV42" s="28">
        <v>1.7293304233333341E-2</v>
      </c>
      <c r="AW42" s="28">
        <v>1.9763776266666679E-2</v>
      </c>
      <c r="AX42" s="28">
        <v>1.235236016666667E-2</v>
      </c>
      <c r="AY42" s="28">
        <v>1.9763776266666679E-2</v>
      </c>
      <c r="AZ42" s="28">
        <v>1.4822832200000011E-2</v>
      </c>
      <c r="BA42" s="28">
        <v>1.4822832200000011E-2</v>
      </c>
      <c r="BB42" s="28">
        <v>1.9763776266666679E-2</v>
      </c>
      <c r="BC42" s="28">
        <v>1.9763776266666679E-2</v>
      </c>
      <c r="BD42" s="28">
        <v>7.4114161000000036E-3</v>
      </c>
      <c r="BE42" s="28">
        <v>1.9763776266666679E-2</v>
      </c>
      <c r="BF42" s="28">
        <v>1.235236016666667E-2</v>
      </c>
      <c r="BG42" s="28">
        <v>7.4114161000000036E-3</v>
      </c>
      <c r="BH42" s="28">
        <v>9.8818881333333393E-3</v>
      </c>
      <c r="BI42" s="28">
        <v>1.9763776266666679E-2</v>
      </c>
      <c r="BJ42" s="28">
        <v>9.8818881333333393E-3</v>
      </c>
      <c r="BK42" s="28">
        <v>1.7293304233333341E-2</v>
      </c>
      <c r="BL42" s="28">
        <v>1.7293304233333341E-2</v>
      </c>
      <c r="BM42" s="28">
        <v>9.8818881333333393E-3</v>
      </c>
      <c r="BN42" s="28">
        <v>7.4114161000000036E-3</v>
      </c>
      <c r="BO42" s="28">
        <v>1.7293304233333341E-2</v>
      </c>
      <c r="BP42" s="28">
        <v>1.4822832200000011E-2</v>
      </c>
      <c r="BQ42" s="28">
        <v>1.9763776266666679E-2</v>
      </c>
      <c r="BR42" s="28">
        <v>1.7293304233333341E-2</v>
      </c>
      <c r="BS42" s="28">
        <v>9.8818881333333393E-3</v>
      </c>
      <c r="BT42" s="28">
        <v>1.4822832200000011E-2</v>
      </c>
      <c r="BU42" s="28">
        <v>1.9763776266666679E-2</v>
      </c>
      <c r="BV42" s="28">
        <v>1.4822832200000011E-2</v>
      </c>
      <c r="BW42" s="28">
        <v>1.9763776266666679E-2</v>
      </c>
      <c r="BX42" s="28">
        <v>1.7293304233333341E-2</v>
      </c>
      <c r="BY42" s="28">
        <v>1.9763776266666679E-2</v>
      </c>
      <c r="BZ42" s="28">
        <v>1.4822832200000011E-2</v>
      </c>
      <c r="CA42" s="28">
        <v>1.9763776266666679E-2</v>
      </c>
      <c r="CB42" s="28">
        <v>1.4822832200000011E-2</v>
      </c>
      <c r="CC42" s="28">
        <v>1.9763776266666679E-2</v>
      </c>
      <c r="CD42" s="28">
        <v>1.4822832200000011E-2</v>
      </c>
      <c r="CE42" s="28">
        <v>1.235236016666667E-2</v>
      </c>
      <c r="CF42" s="28">
        <v>1.9763776266666679E-2</v>
      </c>
      <c r="CG42" s="28">
        <v>1.9763776266666679E-2</v>
      </c>
      <c r="CH42" s="28">
        <v>1.9763776266666679E-2</v>
      </c>
      <c r="CI42" s="28">
        <v>7.4114161000000036E-3</v>
      </c>
      <c r="CJ42" s="28">
        <v>1.7293304233333341E-2</v>
      </c>
      <c r="CK42" s="28">
        <v>1.235236016666667E-2</v>
      </c>
      <c r="CL42" s="28">
        <v>1.4822832200000011E-2</v>
      </c>
      <c r="CM42" s="28">
        <v>1.4822832200000011E-2</v>
      </c>
      <c r="CN42" s="28">
        <v>9.8818881333333393E-3</v>
      </c>
      <c r="CO42" s="28">
        <v>1.4822832200000011E-2</v>
      </c>
      <c r="CP42" s="28">
        <v>1.9763776266666679E-2</v>
      </c>
      <c r="CQ42" s="28">
        <v>9.8818881333333393E-3</v>
      </c>
      <c r="CR42" s="28">
        <v>7.4114161000000036E-3</v>
      </c>
      <c r="CS42" s="28">
        <v>1.9763776266666679E-2</v>
      </c>
      <c r="CT42" s="28">
        <v>1.7293304233333341E-2</v>
      </c>
      <c r="CU42" s="28">
        <v>1.7293304233333341E-2</v>
      </c>
      <c r="CV42" s="28">
        <v>1.7293304233333341E-2</v>
      </c>
      <c r="CW42" s="28">
        <v>7.4114161000000036E-3</v>
      </c>
      <c r="CX42" s="28">
        <v>7.4114161000000036E-3</v>
      </c>
      <c r="CY42" s="28">
        <v>1.9763776266666679E-2</v>
      </c>
      <c r="CZ42" s="28">
        <v>9.8818881333333393E-3</v>
      </c>
      <c r="DA42" s="28">
        <v>1.9763776266666679E-2</v>
      </c>
      <c r="DB42" s="28">
        <v>1.235236016666667E-2</v>
      </c>
      <c r="DC42" s="28">
        <v>7.4114161000000036E-3</v>
      </c>
      <c r="DD42" s="28">
        <v>9.8818881333333393E-3</v>
      </c>
      <c r="DE42" s="28">
        <v>9.8818881333333393E-3</v>
      </c>
      <c r="DF42" s="28">
        <v>1.7293304233333341E-2</v>
      </c>
      <c r="DG42" s="28">
        <v>1.9763776266666679E-2</v>
      </c>
      <c r="DH42" s="28">
        <v>1.9763776266666679E-2</v>
      </c>
      <c r="DI42" s="28">
        <v>1.7293304233333341E-2</v>
      </c>
      <c r="DJ42" s="28">
        <v>1.9763776266666679E-2</v>
      </c>
      <c r="DK42" s="28">
        <v>1.7293304233333341E-2</v>
      </c>
      <c r="DL42" s="28">
        <v>1.4822832200000011E-2</v>
      </c>
      <c r="DM42" s="28">
        <v>1.9763776266666679E-2</v>
      </c>
      <c r="DN42" s="28">
        <v>1.9763776266666679E-2</v>
      </c>
      <c r="DO42" s="28">
        <v>1.9763776266666679E-2</v>
      </c>
      <c r="DP42" s="28">
        <v>1.235236016666667E-2</v>
      </c>
      <c r="DQ42" s="28">
        <v>1.235236016666667E-2</v>
      </c>
      <c r="DR42" s="28">
        <v>1.9763776266666679E-2</v>
      </c>
      <c r="DS42" s="28">
        <v>9.8818881333333393E-3</v>
      </c>
      <c r="DT42" s="28">
        <v>9.8818881333333393E-3</v>
      </c>
      <c r="DU42" s="28">
        <v>9.8818881333333393E-3</v>
      </c>
      <c r="DV42" s="28">
        <v>4.9409440666666696E-3</v>
      </c>
      <c r="DW42" s="28">
        <v>1.520137226962367E-2</v>
      </c>
      <c r="DX42" s="34">
        <v>1.884970161433335</v>
      </c>
    </row>
    <row r="43" spans="1:128" x14ac:dyDescent="0.25">
      <c r="A43" s="24">
        <v>42</v>
      </c>
      <c r="B43" s="26">
        <v>20.5</v>
      </c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28">
        <v>0</v>
      </c>
      <c r="AF43" s="28">
        <v>0</v>
      </c>
      <c r="AG43" s="28">
        <v>0</v>
      </c>
      <c r="AH43" s="28">
        <v>0</v>
      </c>
      <c r="AI43" s="28">
        <v>0</v>
      </c>
      <c r="AJ43" s="28">
        <v>0</v>
      </c>
      <c r="AK43" s="28">
        <v>0</v>
      </c>
      <c r="AL43" s="28">
        <v>0</v>
      </c>
      <c r="AM43" s="28">
        <v>0</v>
      </c>
      <c r="AN43" s="28">
        <v>0</v>
      </c>
      <c r="AO43" s="28">
        <v>0</v>
      </c>
      <c r="AP43" s="28">
        <v>0</v>
      </c>
      <c r="AQ43" s="28">
        <v>0</v>
      </c>
      <c r="AR43" s="28">
        <v>0</v>
      </c>
      <c r="AS43" s="28">
        <v>0</v>
      </c>
      <c r="AT43" s="28">
        <v>0</v>
      </c>
      <c r="AU43" s="28">
        <v>0</v>
      </c>
      <c r="AV43" s="28">
        <v>0</v>
      </c>
      <c r="AW43" s="28">
        <v>0</v>
      </c>
      <c r="AX43" s="28">
        <v>0</v>
      </c>
      <c r="AY43" s="28">
        <v>0</v>
      </c>
      <c r="AZ43" s="28">
        <v>0</v>
      </c>
      <c r="BA43" s="28">
        <v>0</v>
      </c>
      <c r="BB43" s="28">
        <v>0</v>
      </c>
      <c r="BC43" s="28">
        <v>0</v>
      </c>
      <c r="BD43" s="28">
        <v>0</v>
      </c>
      <c r="BE43" s="28">
        <v>0</v>
      </c>
      <c r="BF43" s="28">
        <v>0</v>
      </c>
      <c r="BG43" s="28">
        <v>0</v>
      </c>
      <c r="BH43" s="28">
        <v>0</v>
      </c>
      <c r="BI43" s="28">
        <v>0</v>
      </c>
      <c r="BJ43" s="28">
        <v>0</v>
      </c>
      <c r="BK43" s="28">
        <v>0</v>
      </c>
      <c r="BL43" s="28">
        <v>0</v>
      </c>
      <c r="BM43" s="28">
        <v>0</v>
      </c>
      <c r="BN43" s="28">
        <v>0</v>
      </c>
      <c r="BO43" s="28">
        <v>0</v>
      </c>
      <c r="BP43" s="28">
        <v>0</v>
      </c>
      <c r="BQ43" s="28">
        <v>0</v>
      </c>
      <c r="BR43" s="28">
        <v>0</v>
      </c>
      <c r="BS43" s="28">
        <v>0</v>
      </c>
      <c r="BT43" s="28">
        <v>0</v>
      </c>
      <c r="BU43" s="28">
        <v>0</v>
      </c>
      <c r="BV43" s="28">
        <v>0</v>
      </c>
      <c r="BW43" s="28">
        <v>0</v>
      </c>
      <c r="BX43" s="28">
        <v>0</v>
      </c>
      <c r="BY43" s="28">
        <v>0</v>
      </c>
      <c r="BZ43" s="28">
        <v>0</v>
      </c>
      <c r="CA43" s="28">
        <v>0</v>
      </c>
      <c r="CB43" s="28">
        <v>0</v>
      </c>
      <c r="CC43" s="28">
        <v>0</v>
      </c>
      <c r="CD43" s="28">
        <v>0</v>
      </c>
      <c r="CE43" s="28">
        <v>0</v>
      </c>
      <c r="CF43" s="28">
        <v>0</v>
      </c>
      <c r="CG43" s="28">
        <v>0</v>
      </c>
      <c r="CH43" s="28">
        <v>0</v>
      </c>
      <c r="CI43" s="28">
        <v>0</v>
      </c>
      <c r="CJ43" s="28">
        <v>0</v>
      </c>
      <c r="CK43" s="28">
        <v>0</v>
      </c>
      <c r="CL43" s="28">
        <v>0</v>
      </c>
      <c r="CM43" s="28">
        <v>0</v>
      </c>
      <c r="CN43" s="28">
        <v>0</v>
      </c>
      <c r="CO43" s="28">
        <v>0</v>
      </c>
      <c r="CP43" s="28">
        <v>0</v>
      </c>
      <c r="CQ43" s="28">
        <v>0</v>
      </c>
      <c r="CR43" s="28">
        <v>0</v>
      </c>
      <c r="CS43" s="28">
        <v>0</v>
      </c>
      <c r="CT43" s="28">
        <v>0</v>
      </c>
      <c r="CU43" s="28">
        <v>0</v>
      </c>
      <c r="CV43" s="28">
        <v>0</v>
      </c>
      <c r="CW43" s="28">
        <v>0</v>
      </c>
      <c r="CX43" s="28">
        <v>0</v>
      </c>
      <c r="CY43" s="28">
        <v>0</v>
      </c>
      <c r="CZ43" s="28">
        <v>0</v>
      </c>
      <c r="DA43" s="28">
        <v>0</v>
      </c>
      <c r="DB43" s="28">
        <v>0</v>
      </c>
      <c r="DC43" s="28">
        <v>0</v>
      </c>
      <c r="DD43" s="28">
        <v>0</v>
      </c>
      <c r="DE43" s="28">
        <v>0</v>
      </c>
      <c r="DF43" s="28">
        <v>0</v>
      </c>
      <c r="DG43" s="28">
        <v>0</v>
      </c>
      <c r="DH43" s="28">
        <v>0</v>
      </c>
      <c r="DI43" s="28">
        <v>0</v>
      </c>
      <c r="DJ43" s="28">
        <v>0</v>
      </c>
      <c r="DK43" s="28">
        <v>0</v>
      </c>
      <c r="DL43" s="28">
        <v>0</v>
      </c>
      <c r="DM43" s="28">
        <v>0</v>
      </c>
      <c r="DN43" s="28">
        <v>0</v>
      </c>
      <c r="DO43" s="28">
        <v>0</v>
      </c>
      <c r="DP43" s="28">
        <v>0</v>
      </c>
      <c r="DQ43" s="28">
        <v>0</v>
      </c>
      <c r="DR43" s="28">
        <v>0</v>
      </c>
      <c r="DS43" s="28">
        <v>0</v>
      </c>
      <c r="DT43" s="28">
        <v>0</v>
      </c>
      <c r="DU43" s="28">
        <v>0</v>
      </c>
      <c r="DV43" s="28">
        <v>0</v>
      </c>
      <c r="DW43" s="28">
        <v>0</v>
      </c>
      <c r="DX43" s="34">
        <v>0</v>
      </c>
    </row>
    <row r="44" spans="1:128" x14ac:dyDescent="0.25">
      <c r="A44" s="24">
        <v>43</v>
      </c>
      <c r="B44" s="26">
        <v>21</v>
      </c>
      <c r="C44" s="28">
        <v>0</v>
      </c>
      <c r="D44" s="28">
        <v>0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  <c r="AC44" s="28">
        <v>0</v>
      </c>
      <c r="AD44" s="28">
        <v>0</v>
      </c>
      <c r="AE44" s="28">
        <v>0</v>
      </c>
      <c r="AF44" s="28">
        <v>0</v>
      </c>
      <c r="AG44" s="28">
        <v>0</v>
      </c>
      <c r="AH44" s="28">
        <v>0</v>
      </c>
      <c r="AI44" s="28">
        <v>0</v>
      </c>
      <c r="AJ44" s="28">
        <v>0</v>
      </c>
      <c r="AK44" s="28">
        <v>0</v>
      </c>
      <c r="AL44" s="28">
        <v>0</v>
      </c>
      <c r="AM44" s="28">
        <v>0</v>
      </c>
      <c r="AN44" s="28">
        <v>0</v>
      </c>
      <c r="AO44" s="28">
        <v>0</v>
      </c>
      <c r="AP44" s="28">
        <v>0</v>
      </c>
      <c r="AQ44" s="28">
        <v>0</v>
      </c>
      <c r="AR44" s="28">
        <v>0</v>
      </c>
      <c r="AS44" s="28">
        <v>0</v>
      </c>
      <c r="AT44" s="28">
        <v>0</v>
      </c>
      <c r="AU44" s="28">
        <v>0</v>
      </c>
      <c r="AV44" s="28">
        <v>0</v>
      </c>
      <c r="AW44" s="28">
        <v>0</v>
      </c>
      <c r="AX44" s="28">
        <v>0</v>
      </c>
      <c r="AY44" s="28">
        <v>0</v>
      </c>
      <c r="AZ44" s="28">
        <v>0</v>
      </c>
      <c r="BA44" s="28">
        <v>0</v>
      </c>
      <c r="BB44" s="28">
        <v>0</v>
      </c>
      <c r="BC44" s="28">
        <v>0</v>
      </c>
      <c r="BD44" s="28">
        <v>0</v>
      </c>
      <c r="BE44" s="28">
        <v>0</v>
      </c>
      <c r="BF44" s="28">
        <v>0</v>
      </c>
      <c r="BG44" s="28">
        <v>0</v>
      </c>
      <c r="BH44" s="28">
        <v>0</v>
      </c>
      <c r="BI44" s="28">
        <v>0</v>
      </c>
      <c r="BJ44" s="28">
        <v>0</v>
      </c>
      <c r="BK44" s="28">
        <v>0</v>
      </c>
      <c r="BL44" s="28">
        <v>0</v>
      </c>
      <c r="BM44" s="28">
        <v>0</v>
      </c>
      <c r="BN44" s="28">
        <v>0</v>
      </c>
      <c r="BO44" s="28">
        <v>0</v>
      </c>
      <c r="BP44" s="28">
        <v>0</v>
      </c>
      <c r="BQ44" s="28">
        <v>0</v>
      </c>
      <c r="BR44" s="28">
        <v>0</v>
      </c>
      <c r="BS44" s="28">
        <v>0</v>
      </c>
      <c r="BT44" s="28">
        <v>0</v>
      </c>
      <c r="BU44" s="28">
        <v>0</v>
      </c>
      <c r="BV44" s="28">
        <v>0</v>
      </c>
      <c r="BW44" s="28">
        <v>0</v>
      </c>
      <c r="BX44" s="28">
        <v>0</v>
      </c>
      <c r="BY44" s="28">
        <v>0</v>
      </c>
      <c r="BZ44" s="28">
        <v>0</v>
      </c>
      <c r="CA44" s="28">
        <v>0</v>
      </c>
      <c r="CB44" s="28">
        <v>0</v>
      </c>
      <c r="CC44" s="28">
        <v>0</v>
      </c>
      <c r="CD44" s="28">
        <v>0</v>
      </c>
      <c r="CE44" s="28">
        <v>0</v>
      </c>
      <c r="CF44" s="28">
        <v>0</v>
      </c>
      <c r="CG44" s="28">
        <v>0</v>
      </c>
      <c r="CH44" s="28">
        <v>0</v>
      </c>
      <c r="CI44" s="28">
        <v>0</v>
      </c>
      <c r="CJ44" s="28">
        <v>0</v>
      </c>
      <c r="CK44" s="28">
        <v>0</v>
      </c>
      <c r="CL44" s="28">
        <v>0</v>
      </c>
      <c r="CM44" s="28">
        <v>0</v>
      </c>
      <c r="CN44" s="28">
        <v>0</v>
      </c>
      <c r="CO44" s="28">
        <v>0</v>
      </c>
      <c r="CP44" s="28">
        <v>0</v>
      </c>
      <c r="CQ44" s="28">
        <v>0</v>
      </c>
      <c r="CR44" s="28">
        <v>0</v>
      </c>
      <c r="CS44" s="28">
        <v>0</v>
      </c>
      <c r="CT44" s="28">
        <v>0</v>
      </c>
      <c r="CU44" s="28">
        <v>0</v>
      </c>
      <c r="CV44" s="28">
        <v>0</v>
      </c>
      <c r="CW44" s="28">
        <v>0</v>
      </c>
      <c r="CX44" s="28">
        <v>0</v>
      </c>
      <c r="CY44" s="28">
        <v>0</v>
      </c>
      <c r="CZ44" s="28">
        <v>0</v>
      </c>
      <c r="DA44" s="28">
        <v>0</v>
      </c>
      <c r="DB44" s="28">
        <v>0</v>
      </c>
      <c r="DC44" s="28">
        <v>0</v>
      </c>
      <c r="DD44" s="28">
        <v>0</v>
      </c>
      <c r="DE44" s="28">
        <v>0</v>
      </c>
      <c r="DF44" s="28">
        <v>0</v>
      </c>
      <c r="DG44" s="28">
        <v>0</v>
      </c>
      <c r="DH44" s="28">
        <v>0</v>
      </c>
      <c r="DI44" s="28">
        <v>0</v>
      </c>
      <c r="DJ44" s="28">
        <v>0</v>
      </c>
      <c r="DK44" s="28">
        <v>0</v>
      </c>
      <c r="DL44" s="28">
        <v>0</v>
      </c>
      <c r="DM44" s="28">
        <v>0</v>
      </c>
      <c r="DN44" s="28">
        <v>0</v>
      </c>
      <c r="DO44" s="28">
        <v>0</v>
      </c>
      <c r="DP44" s="28">
        <v>0</v>
      </c>
      <c r="DQ44" s="28">
        <v>0</v>
      </c>
      <c r="DR44" s="28">
        <v>0</v>
      </c>
      <c r="DS44" s="28">
        <v>0</v>
      </c>
      <c r="DT44" s="28">
        <v>0</v>
      </c>
      <c r="DU44" s="28">
        <v>0</v>
      </c>
      <c r="DV44" s="28">
        <v>0</v>
      </c>
      <c r="DW44" s="28">
        <v>0</v>
      </c>
      <c r="DX44" s="34">
        <v>0</v>
      </c>
    </row>
    <row r="45" spans="1:128" x14ac:dyDescent="0.25">
      <c r="A45" s="24">
        <v>44</v>
      </c>
      <c r="B45" s="26">
        <v>21.5</v>
      </c>
      <c r="C45" s="28">
        <v>0</v>
      </c>
      <c r="D45" s="28">
        <v>0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0</v>
      </c>
      <c r="AC45" s="28">
        <v>0</v>
      </c>
      <c r="AD45" s="28">
        <v>0</v>
      </c>
      <c r="AE45" s="28">
        <v>0</v>
      </c>
      <c r="AF45" s="28">
        <v>0</v>
      </c>
      <c r="AG45" s="28">
        <v>0</v>
      </c>
      <c r="AH45" s="28">
        <v>0</v>
      </c>
      <c r="AI45" s="28">
        <v>0</v>
      </c>
      <c r="AJ45" s="28">
        <v>0</v>
      </c>
      <c r="AK45" s="28">
        <v>0</v>
      </c>
      <c r="AL45" s="28">
        <v>0</v>
      </c>
      <c r="AM45" s="28">
        <v>0</v>
      </c>
      <c r="AN45" s="28">
        <v>0</v>
      </c>
      <c r="AO45" s="28">
        <v>0</v>
      </c>
      <c r="AP45" s="28">
        <v>0</v>
      </c>
      <c r="AQ45" s="28">
        <v>0</v>
      </c>
      <c r="AR45" s="28">
        <v>0</v>
      </c>
      <c r="AS45" s="28">
        <v>0</v>
      </c>
      <c r="AT45" s="28">
        <v>0</v>
      </c>
      <c r="AU45" s="28">
        <v>0</v>
      </c>
      <c r="AV45" s="28">
        <v>0</v>
      </c>
      <c r="AW45" s="28">
        <v>0</v>
      </c>
      <c r="AX45" s="28">
        <v>0</v>
      </c>
      <c r="AY45" s="28">
        <v>0</v>
      </c>
      <c r="AZ45" s="28">
        <v>0</v>
      </c>
      <c r="BA45" s="28">
        <v>0</v>
      </c>
      <c r="BB45" s="28">
        <v>0</v>
      </c>
      <c r="BC45" s="28">
        <v>0</v>
      </c>
      <c r="BD45" s="28">
        <v>0</v>
      </c>
      <c r="BE45" s="28">
        <v>0</v>
      </c>
      <c r="BF45" s="28">
        <v>0</v>
      </c>
      <c r="BG45" s="28">
        <v>0</v>
      </c>
      <c r="BH45" s="28">
        <v>0</v>
      </c>
      <c r="BI45" s="28">
        <v>0</v>
      </c>
      <c r="BJ45" s="28">
        <v>0</v>
      </c>
      <c r="BK45" s="28">
        <v>0</v>
      </c>
      <c r="BL45" s="28">
        <v>0</v>
      </c>
      <c r="BM45" s="28">
        <v>0</v>
      </c>
      <c r="BN45" s="28">
        <v>0</v>
      </c>
      <c r="BO45" s="28">
        <v>0</v>
      </c>
      <c r="BP45" s="28">
        <v>0</v>
      </c>
      <c r="BQ45" s="28">
        <v>0</v>
      </c>
      <c r="BR45" s="28">
        <v>0</v>
      </c>
      <c r="BS45" s="28">
        <v>0</v>
      </c>
      <c r="BT45" s="28">
        <v>0</v>
      </c>
      <c r="BU45" s="28">
        <v>0</v>
      </c>
      <c r="BV45" s="28">
        <v>0</v>
      </c>
      <c r="BW45" s="28">
        <v>0</v>
      </c>
      <c r="BX45" s="28">
        <v>0</v>
      </c>
      <c r="BY45" s="28">
        <v>0</v>
      </c>
      <c r="BZ45" s="28">
        <v>0</v>
      </c>
      <c r="CA45" s="28">
        <v>0</v>
      </c>
      <c r="CB45" s="28">
        <v>0</v>
      </c>
      <c r="CC45" s="28">
        <v>0</v>
      </c>
      <c r="CD45" s="28">
        <v>0</v>
      </c>
      <c r="CE45" s="28">
        <v>0</v>
      </c>
      <c r="CF45" s="28">
        <v>0</v>
      </c>
      <c r="CG45" s="28">
        <v>0</v>
      </c>
      <c r="CH45" s="28">
        <v>0</v>
      </c>
      <c r="CI45" s="28">
        <v>0</v>
      </c>
      <c r="CJ45" s="28">
        <v>0</v>
      </c>
      <c r="CK45" s="28">
        <v>0</v>
      </c>
      <c r="CL45" s="28">
        <v>0</v>
      </c>
      <c r="CM45" s="28">
        <v>0</v>
      </c>
      <c r="CN45" s="28">
        <v>0</v>
      </c>
      <c r="CO45" s="28">
        <v>0</v>
      </c>
      <c r="CP45" s="28">
        <v>0</v>
      </c>
      <c r="CQ45" s="28">
        <v>0</v>
      </c>
      <c r="CR45" s="28">
        <v>0</v>
      </c>
      <c r="CS45" s="28">
        <v>0</v>
      </c>
      <c r="CT45" s="28">
        <v>0</v>
      </c>
      <c r="CU45" s="28">
        <v>0</v>
      </c>
      <c r="CV45" s="28">
        <v>0</v>
      </c>
      <c r="CW45" s="28">
        <v>0</v>
      </c>
      <c r="CX45" s="28">
        <v>0</v>
      </c>
      <c r="CY45" s="28">
        <v>0</v>
      </c>
      <c r="CZ45" s="28">
        <v>0</v>
      </c>
      <c r="DA45" s="28">
        <v>0</v>
      </c>
      <c r="DB45" s="28">
        <v>0</v>
      </c>
      <c r="DC45" s="28">
        <v>0</v>
      </c>
      <c r="DD45" s="28">
        <v>0</v>
      </c>
      <c r="DE45" s="28">
        <v>0</v>
      </c>
      <c r="DF45" s="28">
        <v>0</v>
      </c>
      <c r="DG45" s="28">
        <v>0</v>
      </c>
      <c r="DH45" s="28">
        <v>0</v>
      </c>
      <c r="DI45" s="28">
        <v>0</v>
      </c>
      <c r="DJ45" s="28">
        <v>0</v>
      </c>
      <c r="DK45" s="28">
        <v>0</v>
      </c>
      <c r="DL45" s="28">
        <v>0</v>
      </c>
      <c r="DM45" s="28">
        <v>0</v>
      </c>
      <c r="DN45" s="28">
        <v>0</v>
      </c>
      <c r="DO45" s="28">
        <v>0</v>
      </c>
      <c r="DP45" s="28">
        <v>0</v>
      </c>
      <c r="DQ45" s="28">
        <v>0</v>
      </c>
      <c r="DR45" s="28">
        <v>0</v>
      </c>
      <c r="DS45" s="28">
        <v>0</v>
      </c>
      <c r="DT45" s="28">
        <v>0</v>
      </c>
      <c r="DU45" s="28">
        <v>0</v>
      </c>
      <c r="DV45" s="28">
        <v>0</v>
      </c>
      <c r="DW45" s="28">
        <v>0</v>
      </c>
      <c r="DX45" s="34">
        <v>0</v>
      </c>
    </row>
    <row r="46" spans="1:128" x14ac:dyDescent="0.25">
      <c r="A46" s="24">
        <v>45</v>
      </c>
      <c r="B46" s="26">
        <v>22</v>
      </c>
      <c r="C46" s="28">
        <v>0</v>
      </c>
      <c r="D46" s="28">
        <v>0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0</v>
      </c>
      <c r="BV46" s="28">
        <v>0</v>
      </c>
      <c r="BW46" s="28">
        <v>0</v>
      </c>
      <c r="BX46" s="28">
        <v>0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28">
        <v>0</v>
      </c>
      <c r="CG46" s="28">
        <v>0</v>
      </c>
      <c r="CH46" s="28">
        <v>0</v>
      </c>
      <c r="CI46" s="28">
        <v>0</v>
      </c>
      <c r="CJ46" s="28">
        <v>0</v>
      </c>
      <c r="CK46" s="28">
        <v>0</v>
      </c>
      <c r="CL46" s="28">
        <v>0</v>
      </c>
      <c r="CM46" s="28">
        <v>0</v>
      </c>
      <c r="CN46" s="28">
        <v>0</v>
      </c>
      <c r="CO46" s="28">
        <v>0</v>
      </c>
      <c r="CP46" s="28">
        <v>0</v>
      </c>
      <c r="CQ46" s="28">
        <v>0</v>
      </c>
      <c r="CR46" s="28">
        <v>0</v>
      </c>
      <c r="CS46" s="28">
        <v>0</v>
      </c>
      <c r="CT46" s="28">
        <v>0</v>
      </c>
      <c r="CU46" s="28">
        <v>0</v>
      </c>
      <c r="CV46" s="28">
        <v>0</v>
      </c>
      <c r="CW46" s="28">
        <v>0</v>
      </c>
      <c r="CX46" s="28">
        <v>0</v>
      </c>
      <c r="CY46" s="28">
        <v>0</v>
      </c>
      <c r="CZ46" s="28">
        <v>0</v>
      </c>
      <c r="DA46" s="28">
        <v>0</v>
      </c>
      <c r="DB46" s="28">
        <v>0</v>
      </c>
      <c r="DC46" s="28">
        <v>0</v>
      </c>
      <c r="DD46" s="28">
        <v>0</v>
      </c>
      <c r="DE46" s="28">
        <v>0</v>
      </c>
      <c r="DF46" s="28">
        <v>0</v>
      </c>
      <c r="DG46" s="28">
        <v>0</v>
      </c>
      <c r="DH46" s="28">
        <v>0</v>
      </c>
      <c r="DI46" s="28">
        <v>0</v>
      </c>
      <c r="DJ46" s="28">
        <v>0</v>
      </c>
      <c r="DK46" s="28">
        <v>0</v>
      </c>
      <c r="DL46" s="28">
        <v>0</v>
      </c>
      <c r="DM46" s="28">
        <v>0</v>
      </c>
      <c r="DN46" s="28">
        <v>0</v>
      </c>
      <c r="DO46" s="28">
        <v>0</v>
      </c>
      <c r="DP46" s="28">
        <v>0</v>
      </c>
      <c r="DQ46" s="28">
        <v>0</v>
      </c>
      <c r="DR46" s="28">
        <v>0</v>
      </c>
      <c r="DS46" s="28">
        <v>0</v>
      </c>
      <c r="DT46" s="28">
        <v>0</v>
      </c>
      <c r="DU46" s="28">
        <v>0</v>
      </c>
      <c r="DV46" s="28">
        <v>0</v>
      </c>
      <c r="DW46" s="28">
        <v>0</v>
      </c>
      <c r="DX46" s="34">
        <v>0</v>
      </c>
    </row>
    <row r="47" spans="1:128" x14ac:dyDescent="0.25">
      <c r="A47" s="24">
        <v>46</v>
      </c>
      <c r="B47" s="26">
        <v>22.5</v>
      </c>
      <c r="C47" s="28">
        <v>0</v>
      </c>
      <c r="D47" s="28">
        <v>0</v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>
        <v>0</v>
      </c>
      <c r="AE47" s="28">
        <v>0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0</v>
      </c>
      <c r="AS47" s="28">
        <v>0</v>
      </c>
      <c r="AT47" s="28">
        <v>0</v>
      </c>
      <c r="AU47" s="28">
        <v>0</v>
      </c>
      <c r="AV47" s="28">
        <v>0</v>
      </c>
      <c r="AW47" s="28">
        <v>0</v>
      </c>
      <c r="AX47" s="28">
        <v>0</v>
      </c>
      <c r="AY47" s="28">
        <v>0</v>
      </c>
      <c r="AZ47" s="28">
        <v>0</v>
      </c>
      <c r="BA47" s="28">
        <v>0</v>
      </c>
      <c r="BB47" s="28">
        <v>0</v>
      </c>
      <c r="BC47" s="28">
        <v>0</v>
      </c>
      <c r="BD47" s="28">
        <v>0</v>
      </c>
      <c r="BE47" s="28">
        <v>0</v>
      </c>
      <c r="BF47" s="28">
        <v>0</v>
      </c>
      <c r="BG47" s="28">
        <v>0</v>
      </c>
      <c r="BH47" s="28">
        <v>0</v>
      </c>
      <c r="BI47" s="28">
        <v>0</v>
      </c>
      <c r="BJ47" s="28">
        <v>0</v>
      </c>
      <c r="BK47" s="28">
        <v>0</v>
      </c>
      <c r="BL47" s="28">
        <v>0</v>
      </c>
      <c r="BM47" s="28">
        <v>0</v>
      </c>
      <c r="BN47" s="28">
        <v>0</v>
      </c>
      <c r="BO47" s="28">
        <v>0</v>
      </c>
      <c r="BP47" s="28">
        <v>0</v>
      </c>
      <c r="BQ47" s="28">
        <v>0</v>
      </c>
      <c r="BR47" s="28">
        <v>0</v>
      </c>
      <c r="BS47" s="28">
        <v>0</v>
      </c>
      <c r="BT47" s="28">
        <v>0</v>
      </c>
      <c r="BU47" s="28">
        <v>0</v>
      </c>
      <c r="BV47" s="28">
        <v>0</v>
      </c>
      <c r="BW47" s="28">
        <v>0</v>
      </c>
      <c r="BX47" s="28">
        <v>0</v>
      </c>
      <c r="BY47" s="28">
        <v>0</v>
      </c>
      <c r="BZ47" s="28">
        <v>0</v>
      </c>
      <c r="CA47" s="28">
        <v>0</v>
      </c>
      <c r="CB47" s="28">
        <v>0</v>
      </c>
      <c r="CC47" s="28">
        <v>0</v>
      </c>
      <c r="CD47" s="28">
        <v>0</v>
      </c>
      <c r="CE47" s="28">
        <v>0</v>
      </c>
      <c r="CF47" s="28">
        <v>0</v>
      </c>
      <c r="CG47" s="28">
        <v>0</v>
      </c>
      <c r="CH47" s="28">
        <v>0</v>
      </c>
      <c r="CI47" s="28">
        <v>0</v>
      </c>
      <c r="CJ47" s="28">
        <v>0</v>
      </c>
      <c r="CK47" s="28">
        <v>0</v>
      </c>
      <c r="CL47" s="28">
        <v>0</v>
      </c>
      <c r="CM47" s="28">
        <v>0</v>
      </c>
      <c r="CN47" s="28">
        <v>0</v>
      </c>
      <c r="CO47" s="28">
        <v>0</v>
      </c>
      <c r="CP47" s="28">
        <v>0</v>
      </c>
      <c r="CQ47" s="28">
        <v>0</v>
      </c>
      <c r="CR47" s="28">
        <v>0</v>
      </c>
      <c r="CS47" s="28">
        <v>0</v>
      </c>
      <c r="CT47" s="28">
        <v>0</v>
      </c>
      <c r="CU47" s="28">
        <v>0</v>
      </c>
      <c r="CV47" s="28">
        <v>0</v>
      </c>
      <c r="CW47" s="28">
        <v>0</v>
      </c>
      <c r="CX47" s="28">
        <v>0</v>
      </c>
      <c r="CY47" s="28">
        <v>0</v>
      </c>
      <c r="CZ47" s="28">
        <v>0</v>
      </c>
      <c r="DA47" s="28">
        <v>0</v>
      </c>
      <c r="DB47" s="28">
        <v>0</v>
      </c>
      <c r="DC47" s="28">
        <v>0</v>
      </c>
      <c r="DD47" s="28">
        <v>0</v>
      </c>
      <c r="DE47" s="28">
        <v>0</v>
      </c>
      <c r="DF47" s="28">
        <v>0</v>
      </c>
      <c r="DG47" s="28">
        <v>0</v>
      </c>
      <c r="DH47" s="28">
        <v>0</v>
      </c>
      <c r="DI47" s="28">
        <v>0</v>
      </c>
      <c r="DJ47" s="28">
        <v>0</v>
      </c>
      <c r="DK47" s="28">
        <v>0</v>
      </c>
      <c r="DL47" s="28">
        <v>0</v>
      </c>
      <c r="DM47" s="28">
        <v>0</v>
      </c>
      <c r="DN47" s="28">
        <v>0</v>
      </c>
      <c r="DO47" s="28">
        <v>0</v>
      </c>
      <c r="DP47" s="28">
        <v>0</v>
      </c>
      <c r="DQ47" s="28">
        <v>0</v>
      </c>
      <c r="DR47" s="28">
        <v>0</v>
      </c>
      <c r="DS47" s="28">
        <v>0</v>
      </c>
      <c r="DT47" s="28">
        <v>0</v>
      </c>
      <c r="DU47" s="28">
        <v>0</v>
      </c>
      <c r="DV47" s="28">
        <v>0</v>
      </c>
      <c r="DW47" s="28">
        <v>0</v>
      </c>
      <c r="DX47" s="34">
        <v>0</v>
      </c>
    </row>
    <row r="48" spans="1:128" x14ac:dyDescent="0.25">
      <c r="A48" s="24">
        <v>47</v>
      </c>
      <c r="B48" s="26">
        <v>23</v>
      </c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0</v>
      </c>
      <c r="BD48" s="28">
        <v>0</v>
      </c>
      <c r="BE48" s="28">
        <v>0</v>
      </c>
      <c r="BF48" s="28">
        <v>0</v>
      </c>
      <c r="BG48" s="28">
        <v>0</v>
      </c>
      <c r="BH48" s="28">
        <v>0</v>
      </c>
      <c r="BI48" s="28">
        <v>0</v>
      </c>
      <c r="BJ48" s="28">
        <v>0</v>
      </c>
      <c r="BK48" s="28">
        <v>0</v>
      </c>
      <c r="BL48" s="28">
        <v>0</v>
      </c>
      <c r="BM48" s="28">
        <v>0</v>
      </c>
      <c r="BN48" s="28">
        <v>0</v>
      </c>
      <c r="BO48" s="28">
        <v>0</v>
      </c>
      <c r="BP48" s="28">
        <v>0</v>
      </c>
      <c r="BQ48" s="28">
        <v>0</v>
      </c>
      <c r="BR48" s="28">
        <v>0</v>
      </c>
      <c r="BS48" s="28">
        <v>0</v>
      </c>
      <c r="BT48" s="28">
        <v>0</v>
      </c>
      <c r="BU48" s="28">
        <v>0</v>
      </c>
      <c r="BV48" s="28">
        <v>0</v>
      </c>
      <c r="BW48" s="28">
        <v>0</v>
      </c>
      <c r="BX48" s="28">
        <v>0</v>
      </c>
      <c r="BY48" s="28">
        <v>0</v>
      </c>
      <c r="BZ48" s="28">
        <v>0</v>
      </c>
      <c r="CA48" s="28">
        <v>0</v>
      </c>
      <c r="CB48" s="28">
        <v>0</v>
      </c>
      <c r="CC48" s="28">
        <v>0</v>
      </c>
      <c r="CD48" s="28">
        <v>0</v>
      </c>
      <c r="CE48" s="28">
        <v>0</v>
      </c>
      <c r="CF48" s="28">
        <v>0</v>
      </c>
      <c r="CG48" s="28">
        <v>0</v>
      </c>
      <c r="CH48" s="28">
        <v>0</v>
      </c>
      <c r="CI48" s="28">
        <v>0</v>
      </c>
      <c r="CJ48" s="28">
        <v>0</v>
      </c>
      <c r="CK48" s="28">
        <v>0</v>
      </c>
      <c r="CL48" s="28">
        <v>0</v>
      </c>
      <c r="CM48" s="28">
        <v>0</v>
      </c>
      <c r="CN48" s="28">
        <v>0</v>
      </c>
      <c r="CO48" s="28">
        <v>0</v>
      </c>
      <c r="CP48" s="28">
        <v>0</v>
      </c>
      <c r="CQ48" s="28">
        <v>0</v>
      </c>
      <c r="CR48" s="28">
        <v>0</v>
      </c>
      <c r="CS48" s="28">
        <v>0</v>
      </c>
      <c r="CT48" s="28">
        <v>0</v>
      </c>
      <c r="CU48" s="28">
        <v>0</v>
      </c>
      <c r="CV48" s="28">
        <v>0</v>
      </c>
      <c r="CW48" s="28">
        <v>0</v>
      </c>
      <c r="CX48" s="28">
        <v>0</v>
      </c>
      <c r="CY48" s="28">
        <v>0</v>
      </c>
      <c r="CZ48" s="28">
        <v>0</v>
      </c>
      <c r="DA48" s="28">
        <v>0</v>
      </c>
      <c r="DB48" s="28">
        <v>0</v>
      </c>
      <c r="DC48" s="28">
        <v>0</v>
      </c>
      <c r="DD48" s="28">
        <v>0</v>
      </c>
      <c r="DE48" s="28">
        <v>0</v>
      </c>
      <c r="DF48" s="28">
        <v>0</v>
      </c>
      <c r="DG48" s="28">
        <v>0</v>
      </c>
      <c r="DH48" s="28">
        <v>0</v>
      </c>
      <c r="DI48" s="28">
        <v>0</v>
      </c>
      <c r="DJ48" s="28">
        <v>0</v>
      </c>
      <c r="DK48" s="28">
        <v>0</v>
      </c>
      <c r="DL48" s="28">
        <v>0</v>
      </c>
      <c r="DM48" s="28">
        <v>0</v>
      </c>
      <c r="DN48" s="28">
        <v>0</v>
      </c>
      <c r="DO48" s="28">
        <v>0</v>
      </c>
      <c r="DP48" s="28">
        <v>0</v>
      </c>
      <c r="DQ48" s="28">
        <v>0</v>
      </c>
      <c r="DR48" s="28">
        <v>0</v>
      </c>
      <c r="DS48" s="28">
        <v>0</v>
      </c>
      <c r="DT48" s="28">
        <v>0</v>
      </c>
      <c r="DU48" s="28">
        <v>0</v>
      </c>
      <c r="DV48" s="28">
        <v>0</v>
      </c>
      <c r="DW48" s="28">
        <v>0</v>
      </c>
      <c r="DX48" s="34">
        <v>0</v>
      </c>
    </row>
    <row r="49" spans="1:128" x14ac:dyDescent="0.25">
      <c r="A49" s="25">
        <v>48</v>
      </c>
      <c r="B49" s="27">
        <v>23.5</v>
      </c>
      <c r="C49" s="29">
        <v>0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  <c r="I49" s="29">
        <v>0</v>
      </c>
      <c r="J49" s="29">
        <v>0</v>
      </c>
      <c r="K49" s="29">
        <v>0</v>
      </c>
      <c r="L49" s="29">
        <v>0</v>
      </c>
      <c r="M49" s="29">
        <v>0</v>
      </c>
      <c r="N49" s="29">
        <v>0</v>
      </c>
      <c r="O49" s="29">
        <v>0</v>
      </c>
      <c r="P49" s="29">
        <v>0</v>
      </c>
      <c r="Q49" s="29">
        <v>0</v>
      </c>
      <c r="R49" s="29">
        <v>0</v>
      </c>
      <c r="S49" s="29">
        <v>0</v>
      </c>
      <c r="T49" s="29">
        <v>0</v>
      </c>
      <c r="U49" s="29">
        <v>0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>
        <v>0</v>
      </c>
      <c r="AC49" s="29">
        <v>0</v>
      </c>
      <c r="AD49" s="29">
        <v>0</v>
      </c>
      <c r="AE49" s="29">
        <v>0</v>
      </c>
      <c r="AF49" s="29">
        <v>0</v>
      </c>
      <c r="AG49" s="29">
        <v>0</v>
      </c>
      <c r="AH49" s="29">
        <v>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R49" s="29">
        <v>0</v>
      </c>
      <c r="AS49" s="29">
        <v>0</v>
      </c>
      <c r="AT49" s="29">
        <v>0</v>
      </c>
      <c r="AU49" s="29">
        <v>0</v>
      </c>
      <c r="AV49" s="29">
        <v>0</v>
      </c>
      <c r="AW49" s="29">
        <v>0</v>
      </c>
      <c r="AX49" s="29">
        <v>0</v>
      </c>
      <c r="AY49" s="29">
        <v>0</v>
      </c>
      <c r="AZ49" s="29">
        <v>0</v>
      </c>
      <c r="BA49" s="29">
        <v>0</v>
      </c>
      <c r="BB49" s="29">
        <v>0</v>
      </c>
      <c r="BC49" s="29">
        <v>0</v>
      </c>
      <c r="BD49" s="29">
        <v>0</v>
      </c>
      <c r="BE49" s="29">
        <v>0</v>
      </c>
      <c r="BF49" s="29">
        <v>0</v>
      </c>
      <c r="BG49" s="29">
        <v>0</v>
      </c>
      <c r="BH49" s="29">
        <v>0</v>
      </c>
      <c r="BI49" s="29">
        <v>0</v>
      </c>
      <c r="BJ49" s="29">
        <v>0</v>
      </c>
      <c r="BK49" s="29">
        <v>0</v>
      </c>
      <c r="BL49" s="29">
        <v>0</v>
      </c>
      <c r="BM49" s="29">
        <v>0</v>
      </c>
      <c r="BN49" s="29">
        <v>0</v>
      </c>
      <c r="BO49" s="29">
        <v>0</v>
      </c>
      <c r="BP49" s="29">
        <v>0</v>
      </c>
      <c r="BQ49" s="29">
        <v>0</v>
      </c>
      <c r="BR49" s="29">
        <v>0</v>
      </c>
      <c r="BS49" s="29">
        <v>0</v>
      </c>
      <c r="BT49" s="29">
        <v>0</v>
      </c>
      <c r="BU49" s="29">
        <v>0</v>
      </c>
      <c r="BV49" s="29">
        <v>0</v>
      </c>
      <c r="BW49" s="29">
        <v>0</v>
      </c>
      <c r="BX49" s="29">
        <v>0</v>
      </c>
      <c r="BY49" s="29">
        <v>0</v>
      </c>
      <c r="BZ49" s="29">
        <v>0</v>
      </c>
      <c r="CA49" s="29">
        <v>0</v>
      </c>
      <c r="CB49" s="29">
        <v>0</v>
      </c>
      <c r="CC49" s="29">
        <v>0</v>
      </c>
      <c r="CD49" s="29">
        <v>0</v>
      </c>
      <c r="CE49" s="29">
        <v>0</v>
      </c>
      <c r="CF49" s="29">
        <v>0</v>
      </c>
      <c r="CG49" s="29">
        <v>0</v>
      </c>
      <c r="CH49" s="29">
        <v>0</v>
      </c>
      <c r="CI49" s="29">
        <v>0</v>
      </c>
      <c r="CJ49" s="29">
        <v>0</v>
      </c>
      <c r="CK49" s="29">
        <v>0</v>
      </c>
      <c r="CL49" s="29">
        <v>0</v>
      </c>
      <c r="CM49" s="29">
        <v>0</v>
      </c>
      <c r="CN49" s="29">
        <v>0</v>
      </c>
      <c r="CO49" s="29">
        <v>0</v>
      </c>
      <c r="CP49" s="29">
        <v>0</v>
      </c>
      <c r="CQ49" s="29">
        <v>0</v>
      </c>
      <c r="CR49" s="29">
        <v>0</v>
      </c>
      <c r="CS49" s="29">
        <v>0</v>
      </c>
      <c r="CT49" s="29">
        <v>0</v>
      </c>
      <c r="CU49" s="29">
        <v>0</v>
      </c>
      <c r="CV49" s="29">
        <v>0</v>
      </c>
      <c r="CW49" s="29">
        <v>0</v>
      </c>
      <c r="CX49" s="29">
        <v>0</v>
      </c>
      <c r="CY49" s="29">
        <v>0</v>
      </c>
      <c r="CZ49" s="29">
        <v>0</v>
      </c>
      <c r="DA49" s="29">
        <v>0</v>
      </c>
      <c r="DB49" s="29">
        <v>0</v>
      </c>
      <c r="DC49" s="29">
        <v>0</v>
      </c>
      <c r="DD49" s="29">
        <v>0</v>
      </c>
      <c r="DE49" s="29">
        <v>0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0</v>
      </c>
      <c r="DV49" s="29">
        <v>0</v>
      </c>
      <c r="DW49" s="29">
        <v>0</v>
      </c>
      <c r="DX49" s="3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X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128" width="15" customWidth="1"/>
  </cols>
  <sheetData>
    <row r="1" spans="1:128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21" t="s">
        <v>84</v>
      </c>
      <c r="AY1" s="21" t="s">
        <v>85</v>
      </c>
      <c r="AZ1" s="21" t="s">
        <v>86</v>
      </c>
      <c r="BA1" s="21" t="s">
        <v>87</v>
      </c>
      <c r="BB1" s="21" t="s">
        <v>88</v>
      </c>
      <c r="BC1" s="21" t="s">
        <v>89</v>
      </c>
      <c r="BD1" s="21" t="s">
        <v>90</v>
      </c>
      <c r="BE1" s="21" t="s">
        <v>91</v>
      </c>
      <c r="BF1" s="21" t="s">
        <v>92</v>
      </c>
      <c r="BG1" s="21" t="s">
        <v>93</v>
      </c>
      <c r="BH1" s="21" t="s">
        <v>94</v>
      </c>
      <c r="BI1" s="21" t="s">
        <v>95</v>
      </c>
      <c r="BJ1" s="21" t="s">
        <v>96</v>
      </c>
      <c r="BK1" s="21" t="s">
        <v>97</v>
      </c>
      <c r="BL1" s="21" t="s">
        <v>98</v>
      </c>
      <c r="BM1" s="21" t="s">
        <v>99</v>
      </c>
      <c r="BN1" s="21" t="s">
        <v>100</v>
      </c>
      <c r="BO1" s="21" t="s">
        <v>101</v>
      </c>
      <c r="BP1" s="21" t="s">
        <v>102</v>
      </c>
      <c r="BQ1" s="21" t="s">
        <v>103</v>
      </c>
      <c r="BR1" s="21" t="s">
        <v>104</v>
      </c>
      <c r="BS1" s="21" t="s">
        <v>105</v>
      </c>
      <c r="BT1" s="21" t="s">
        <v>106</v>
      </c>
      <c r="BU1" s="21" t="s">
        <v>107</v>
      </c>
      <c r="BV1" s="21" t="s">
        <v>108</v>
      </c>
      <c r="BW1" s="21" t="s">
        <v>109</v>
      </c>
      <c r="BX1" s="21" t="s">
        <v>110</v>
      </c>
      <c r="BY1" s="21" t="s">
        <v>111</v>
      </c>
      <c r="BZ1" s="21" t="s">
        <v>112</v>
      </c>
      <c r="CA1" s="21" t="s">
        <v>113</v>
      </c>
      <c r="CB1" s="21" t="s">
        <v>114</v>
      </c>
      <c r="CC1" s="21" t="s">
        <v>115</v>
      </c>
      <c r="CD1" s="21" t="s">
        <v>116</v>
      </c>
      <c r="CE1" s="21" t="s">
        <v>117</v>
      </c>
      <c r="CF1" s="21" t="s">
        <v>118</v>
      </c>
      <c r="CG1" s="21" t="s">
        <v>119</v>
      </c>
      <c r="CH1" s="21" t="s">
        <v>120</v>
      </c>
      <c r="CI1" s="21" t="s">
        <v>121</v>
      </c>
      <c r="CJ1" s="21" t="s">
        <v>122</v>
      </c>
      <c r="CK1" s="21" t="s">
        <v>123</v>
      </c>
      <c r="CL1" s="21" t="s">
        <v>124</v>
      </c>
      <c r="CM1" s="21" t="s">
        <v>125</v>
      </c>
      <c r="CN1" s="21" t="s">
        <v>126</v>
      </c>
      <c r="CO1" s="21" t="s">
        <v>127</v>
      </c>
      <c r="CP1" s="21" t="s">
        <v>128</v>
      </c>
      <c r="CQ1" s="21" t="s">
        <v>129</v>
      </c>
      <c r="CR1" s="21" t="s">
        <v>130</v>
      </c>
      <c r="CS1" s="21" t="s">
        <v>131</v>
      </c>
      <c r="CT1" s="21" t="s">
        <v>132</v>
      </c>
      <c r="CU1" s="21" t="s">
        <v>133</v>
      </c>
      <c r="CV1" s="21" t="s">
        <v>134</v>
      </c>
      <c r="CW1" s="21" t="s">
        <v>135</v>
      </c>
      <c r="CX1" s="21" t="s">
        <v>136</v>
      </c>
      <c r="CY1" s="21" t="s">
        <v>137</v>
      </c>
      <c r="CZ1" s="21" t="s">
        <v>138</v>
      </c>
      <c r="DA1" s="21" t="s">
        <v>139</v>
      </c>
      <c r="DB1" s="21" t="s">
        <v>140</v>
      </c>
      <c r="DC1" s="21" t="s">
        <v>141</v>
      </c>
      <c r="DD1" s="21" t="s">
        <v>142</v>
      </c>
      <c r="DE1" s="21" t="s">
        <v>143</v>
      </c>
      <c r="DF1" s="21" t="s">
        <v>144</v>
      </c>
      <c r="DG1" s="21" t="s">
        <v>145</v>
      </c>
      <c r="DH1" s="21" t="s">
        <v>146</v>
      </c>
      <c r="DI1" s="21" t="s">
        <v>147</v>
      </c>
      <c r="DJ1" s="21" t="s">
        <v>148</v>
      </c>
      <c r="DK1" s="21" t="s">
        <v>149</v>
      </c>
      <c r="DL1" s="21" t="s">
        <v>150</v>
      </c>
      <c r="DM1" s="21" t="s">
        <v>151</v>
      </c>
      <c r="DN1" s="21" t="s">
        <v>152</v>
      </c>
      <c r="DO1" s="21" t="s">
        <v>153</v>
      </c>
      <c r="DP1" s="21" t="s">
        <v>154</v>
      </c>
      <c r="DQ1" s="21" t="s">
        <v>155</v>
      </c>
      <c r="DR1" s="21" t="s">
        <v>156</v>
      </c>
      <c r="DS1" s="21" t="s">
        <v>157</v>
      </c>
      <c r="DT1" s="21" t="s">
        <v>158</v>
      </c>
      <c r="DU1" s="21" t="s">
        <v>159</v>
      </c>
      <c r="DV1" s="21" t="s">
        <v>160</v>
      </c>
      <c r="DW1" s="21" t="s">
        <v>161</v>
      </c>
      <c r="DX1" s="9" t="s">
        <v>162</v>
      </c>
    </row>
    <row r="2" spans="1:128" x14ac:dyDescent="0.25">
      <c r="A2" s="24">
        <v>1</v>
      </c>
      <c r="B2" s="26">
        <v>0</v>
      </c>
      <c r="C2" s="28">
        <v>0</v>
      </c>
      <c r="D2" s="28">
        <v>0</v>
      </c>
      <c r="E2" s="28">
        <v>0</v>
      </c>
      <c r="F2" s="28">
        <v>0</v>
      </c>
      <c r="G2" s="28">
        <v>0</v>
      </c>
      <c r="H2" s="28">
        <v>0</v>
      </c>
      <c r="I2" s="28">
        <v>0</v>
      </c>
      <c r="J2" s="28">
        <v>0</v>
      </c>
      <c r="K2" s="28">
        <v>0</v>
      </c>
      <c r="L2" s="28">
        <v>0</v>
      </c>
      <c r="M2" s="28">
        <v>0</v>
      </c>
      <c r="N2" s="28">
        <v>0</v>
      </c>
      <c r="O2" s="28">
        <v>0</v>
      </c>
      <c r="P2" s="28">
        <v>0</v>
      </c>
      <c r="Q2" s="28">
        <v>0</v>
      </c>
      <c r="R2" s="28">
        <v>0</v>
      </c>
      <c r="S2" s="28">
        <v>0</v>
      </c>
      <c r="T2" s="28">
        <v>0</v>
      </c>
      <c r="U2" s="28">
        <v>0</v>
      </c>
      <c r="V2" s="28">
        <v>0</v>
      </c>
      <c r="W2" s="28">
        <v>0</v>
      </c>
      <c r="X2" s="28">
        <v>0</v>
      </c>
      <c r="Y2" s="28">
        <v>0</v>
      </c>
      <c r="Z2" s="28">
        <v>0</v>
      </c>
      <c r="AA2" s="28">
        <v>0</v>
      </c>
      <c r="AB2" s="28">
        <v>0</v>
      </c>
      <c r="AC2" s="28">
        <v>0</v>
      </c>
      <c r="AD2" s="28">
        <v>0</v>
      </c>
      <c r="AE2" s="28">
        <v>0</v>
      </c>
      <c r="AF2" s="28">
        <v>0</v>
      </c>
      <c r="AG2" s="28">
        <v>0</v>
      </c>
      <c r="AH2" s="28">
        <v>0</v>
      </c>
      <c r="AI2" s="28">
        <v>0</v>
      </c>
      <c r="AJ2" s="28">
        <v>0</v>
      </c>
      <c r="AK2" s="28">
        <v>0</v>
      </c>
      <c r="AL2" s="28">
        <v>0</v>
      </c>
      <c r="AM2" s="28">
        <v>0</v>
      </c>
      <c r="AN2" s="28">
        <v>0</v>
      </c>
      <c r="AO2" s="28">
        <v>0</v>
      </c>
      <c r="AP2" s="28">
        <v>0</v>
      </c>
      <c r="AQ2" s="28">
        <v>0</v>
      </c>
      <c r="AR2" s="28">
        <v>0</v>
      </c>
      <c r="AS2" s="28">
        <v>0</v>
      </c>
      <c r="AT2" s="28">
        <v>0</v>
      </c>
      <c r="AU2" s="28">
        <v>0</v>
      </c>
      <c r="AV2" s="28">
        <v>0</v>
      </c>
      <c r="AW2" s="28">
        <v>0</v>
      </c>
      <c r="AX2" s="28">
        <v>0</v>
      </c>
      <c r="AY2" s="28">
        <v>0</v>
      </c>
      <c r="AZ2" s="28">
        <v>0</v>
      </c>
      <c r="BA2" s="28">
        <v>0</v>
      </c>
      <c r="BB2" s="28">
        <v>0</v>
      </c>
      <c r="BC2" s="28">
        <v>0</v>
      </c>
      <c r="BD2" s="28">
        <v>0</v>
      </c>
      <c r="BE2" s="28">
        <v>0</v>
      </c>
      <c r="BF2" s="28">
        <v>0</v>
      </c>
      <c r="BG2" s="28">
        <v>0</v>
      </c>
      <c r="BH2" s="28">
        <v>0</v>
      </c>
      <c r="BI2" s="28">
        <v>0</v>
      </c>
      <c r="BJ2" s="28">
        <v>0</v>
      </c>
      <c r="BK2" s="28">
        <v>0</v>
      </c>
      <c r="BL2" s="28">
        <v>0</v>
      </c>
      <c r="BM2" s="28">
        <v>0</v>
      </c>
      <c r="BN2" s="28">
        <v>0</v>
      </c>
      <c r="BO2" s="28">
        <v>0</v>
      </c>
      <c r="BP2" s="28">
        <v>0</v>
      </c>
      <c r="BQ2" s="28">
        <v>0</v>
      </c>
      <c r="BR2" s="28">
        <v>0</v>
      </c>
      <c r="BS2" s="28">
        <v>0</v>
      </c>
      <c r="BT2" s="28">
        <v>0</v>
      </c>
      <c r="BU2" s="28">
        <v>0</v>
      </c>
      <c r="BV2" s="28">
        <v>0</v>
      </c>
      <c r="BW2" s="28">
        <v>0</v>
      </c>
      <c r="BX2" s="28">
        <v>0</v>
      </c>
      <c r="BY2" s="28">
        <v>0</v>
      </c>
      <c r="BZ2" s="28">
        <v>0</v>
      </c>
      <c r="CA2" s="28">
        <v>0</v>
      </c>
      <c r="CB2" s="28">
        <v>0</v>
      </c>
      <c r="CC2" s="28">
        <v>0</v>
      </c>
      <c r="CD2" s="28">
        <v>0</v>
      </c>
      <c r="CE2" s="28">
        <v>0</v>
      </c>
      <c r="CF2" s="28">
        <v>0</v>
      </c>
      <c r="CG2" s="28">
        <v>0</v>
      </c>
      <c r="CH2" s="28">
        <v>0</v>
      </c>
      <c r="CI2" s="28">
        <v>0</v>
      </c>
      <c r="CJ2" s="28">
        <v>0</v>
      </c>
      <c r="CK2" s="28">
        <v>0</v>
      </c>
      <c r="CL2" s="28">
        <v>0</v>
      </c>
      <c r="CM2" s="28">
        <v>0</v>
      </c>
      <c r="CN2" s="28">
        <v>0</v>
      </c>
      <c r="CO2" s="28">
        <v>0</v>
      </c>
      <c r="CP2" s="28">
        <v>0</v>
      </c>
      <c r="CQ2" s="28">
        <v>0</v>
      </c>
      <c r="CR2" s="28">
        <v>0</v>
      </c>
      <c r="CS2" s="28">
        <v>0</v>
      </c>
      <c r="CT2" s="28">
        <v>0</v>
      </c>
      <c r="CU2" s="28">
        <v>0</v>
      </c>
      <c r="CV2" s="28">
        <v>0</v>
      </c>
      <c r="CW2" s="28">
        <v>0</v>
      </c>
      <c r="CX2" s="28">
        <v>0</v>
      </c>
      <c r="CY2" s="28">
        <v>0</v>
      </c>
      <c r="CZ2" s="28">
        <v>0</v>
      </c>
      <c r="DA2" s="28">
        <v>0</v>
      </c>
      <c r="DB2" s="28">
        <v>0</v>
      </c>
      <c r="DC2" s="28">
        <v>0</v>
      </c>
      <c r="DD2" s="28">
        <v>0</v>
      </c>
      <c r="DE2" s="28">
        <v>0</v>
      </c>
      <c r="DF2" s="28">
        <v>0</v>
      </c>
      <c r="DG2" s="28">
        <v>0</v>
      </c>
      <c r="DH2" s="28">
        <v>0</v>
      </c>
      <c r="DI2" s="28">
        <v>0</v>
      </c>
      <c r="DJ2" s="28">
        <v>0</v>
      </c>
      <c r="DK2" s="28">
        <v>0</v>
      </c>
      <c r="DL2" s="28">
        <v>0</v>
      </c>
      <c r="DM2" s="28">
        <v>0</v>
      </c>
      <c r="DN2" s="28">
        <v>0</v>
      </c>
      <c r="DO2" s="28">
        <v>0</v>
      </c>
      <c r="DP2" s="28">
        <v>0</v>
      </c>
      <c r="DQ2" s="28">
        <v>0</v>
      </c>
      <c r="DR2" s="28">
        <v>0</v>
      </c>
      <c r="DS2" s="28">
        <v>0</v>
      </c>
      <c r="DT2" s="28">
        <v>0</v>
      </c>
      <c r="DU2" s="28">
        <v>0</v>
      </c>
      <c r="DV2" s="28">
        <v>0</v>
      </c>
      <c r="DW2" s="28">
        <v>0</v>
      </c>
      <c r="DX2" s="34">
        <v>0</v>
      </c>
    </row>
    <row r="3" spans="1:128" x14ac:dyDescent="0.25">
      <c r="A3" s="24">
        <v>2</v>
      </c>
      <c r="B3" s="26">
        <v>0.5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0</v>
      </c>
      <c r="I3" s="28">
        <v>0</v>
      </c>
      <c r="J3" s="28">
        <v>0</v>
      </c>
      <c r="K3" s="28">
        <v>0</v>
      </c>
      <c r="L3" s="28">
        <v>0</v>
      </c>
      <c r="M3" s="28">
        <v>0</v>
      </c>
      <c r="N3" s="28">
        <v>0</v>
      </c>
      <c r="O3" s="28">
        <v>0</v>
      </c>
      <c r="P3" s="28">
        <v>0</v>
      </c>
      <c r="Q3" s="28">
        <v>0</v>
      </c>
      <c r="R3" s="28">
        <v>0</v>
      </c>
      <c r="S3" s="28">
        <v>0</v>
      </c>
      <c r="T3" s="28">
        <v>0</v>
      </c>
      <c r="U3" s="28">
        <v>0</v>
      </c>
      <c r="V3" s="28">
        <v>0</v>
      </c>
      <c r="W3" s="28">
        <v>0</v>
      </c>
      <c r="X3" s="28">
        <v>0</v>
      </c>
      <c r="Y3" s="28">
        <v>0</v>
      </c>
      <c r="Z3" s="28">
        <v>0</v>
      </c>
      <c r="AA3" s="28">
        <v>0</v>
      </c>
      <c r="AB3" s="28">
        <v>0</v>
      </c>
      <c r="AC3" s="28">
        <v>0</v>
      </c>
      <c r="AD3" s="28">
        <v>0</v>
      </c>
      <c r="AE3" s="28">
        <v>0</v>
      </c>
      <c r="AF3" s="28">
        <v>0</v>
      </c>
      <c r="AG3" s="28">
        <v>0</v>
      </c>
      <c r="AH3" s="28">
        <v>0</v>
      </c>
      <c r="AI3" s="28">
        <v>0</v>
      </c>
      <c r="AJ3" s="28">
        <v>0</v>
      </c>
      <c r="AK3" s="28">
        <v>0</v>
      </c>
      <c r="AL3" s="28">
        <v>0</v>
      </c>
      <c r="AM3" s="28">
        <v>0</v>
      </c>
      <c r="AN3" s="28">
        <v>0</v>
      </c>
      <c r="AO3" s="28">
        <v>0</v>
      </c>
      <c r="AP3" s="28">
        <v>0</v>
      </c>
      <c r="AQ3" s="28">
        <v>0</v>
      </c>
      <c r="AR3" s="28">
        <v>0</v>
      </c>
      <c r="AS3" s="28">
        <v>0</v>
      </c>
      <c r="AT3" s="28">
        <v>0</v>
      </c>
      <c r="AU3" s="28">
        <v>0</v>
      </c>
      <c r="AV3" s="28">
        <v>0</v>
      </c>
      <c r="AW3" s="28">
        <v>0</v>
      </c>
      <c r="AX3" s="28">
        <v>0</v>
      </c>
      <c r="AY3" s="28">
        <v>0</v>
      </c>
      <c r="AZ3" s="28">
        <v>0</v>
      </c>
      <c r="BA3" s="28">
        <v>0</v>
      </c>
      <c r="BB3" s="28">
        <v>0</v>
      </c>
      <c r="BC3" s="28">
        <v>0</v>
      </c>
      <c r="BD3" s="28">
        <v>0</v>
      </c>
      <c r="BE3" s="28">
        <v>0</v>
      </c>
      <c r="BF3" s="28">
        <v>0</v>
      </c>
      <c r="BG3" s="28">
        <v>0</v>
      </c>
      <c r="BH3" s="28">
        <v>0</v>
      </c>
      <c r="BI3" s="28">
        <v>0</v>
      </c>
      <c r="BJ3" s="28">
        <v>0</v>
      </c>
      <c r="BK3" s="28">
        <v>0</v>
      </c>
      <c r="BL3" s="28">
        <v>0</v>
      </c>
      <c r="BM3" s="28">
        <v>0</v>
      </c>
      <c r="BN3" s="28">
        <v>0</v>
      </c>
      <c r="BO3" s="28">
        <v>0</v>
      </c>
      <c r="BP3" s="28">
        <v>0</v>
      </c>
      <c r="BQ3" s="28">
        <v>0</v>
      </c>
      <c r="BR3" s="28">
        <v>0</v>
      </c>
      <c r="BS3" s="28">
        <v>0</v>
      </c>
      <c r="BT3" s="28">
        <v>0</v>
      </c>
      <c r="BU3" s="28">
        <v>0</v>
      </c>
      <c r="BV3" s="28">
        <v>0</v>
      </c>
      <c r="BW3" s="28">
        <v>0</v>
      </c>
      <c r="BX3" s="28">
        <v>0</v>
      </c>
      <c r="BY3" s="28">
        <v>0</v>
      </c>
      <c r="BZ3" s="28">
        <v>0</v>
      </c>
      <c r="CA3" s="28">
        <v>0</v>
      </c>
      <c r="CB3" s="28">
        <v>0</v>
      </c>
      <c r="CC3" s="28">
        <v>0</v>
      </c>
      <c r="CD3" s="28">
        <v>0</v>
      </c>
      <c r="CE3" s="28">
        <v>0</v>
      </c>
      <c r="CF3" s="28">
        <v>0</v>
      </c>
      <c r="CG3" s="28">
        <v>0</v>
      </c>
      <c r="CH3" s="28">
        <v>0</v>
      </c>
      <c r="CI3" s="28">
        <v>0</v>
      </c>
      <c r="CJ3" s="28">
        <v>0</v>
      </c>
      <c r="CK3" s="28">
        <v>0</v>
      </c>
      <c r="CL3" s="28">
        <v>0</v>
      </c>
      <c r="CM3" s="28">
        <v>0</v>
      </c>
      <c r="CN3" s="28">
        <v>0</v>
      </c>
      <c r="CO3" s="28">
        <v>0</v>
      </c>
      <c r="CP3" s="28">
        <v>0</v>
      </c>
      <c r="CQ3" s="28">
        <v>0</v>
      </c>
      <c r="CR3" s="28">
        <v>0</v>
      </c>
      <c r="CS3" s="28">
        <v>0</v>
      </c>
      <c r="CT3" s="28">
        <v>0</v>
      </c>
      <c r="CU3" s="28">
        <v>0</v>
      </c>
      <c r="CV3" s="28">
        <v>0</v>
      </c>
      <c r="CW3" s="28">
        <v>0</v>
      </c>
      <c r="CX3" s="28">
        <v>0</v>
      </c>
      <c r="CY3" s="28">
        <v>0</v>
      </c>
      <c r="CZ3" s="28">
        <v>0</v>
      </c>
      <c r="DA3" s="28">
        <v>0</v>
      </c>
      <c r="DB3" s="28">
        <v>0</v>
      </c>
      <c r="DC3" s="28">
        <v>0</v>
      </c>
      <c r="DD3" s="28">
        <v>0</v>
      </c>
      <c r="DE3" s="28">
        <v>0</v>
      </c>
      <c r="DF3" s="28">
        <v>0</v>
      </c>
      <c r="DG3" s="28">
        <v>0</v>
      </c>
      <c r="DH3" s="28">
        <v>0</v>
      </c>
      <c r="DI3" s="28">
        <v>0</v>
      </c>
      <c r="DJ3" s="28">
        <v>0</v>
      </c>
      <c r="DK3" s="28">
        <v>0</v>
      </c>
      <c r="DL3" s="28">
        <v>0</v>
      </c>
      <c r="DM3" s="28">
        <v>0</v>
      </c>
      <c r="DN3" s="28">
        <v>0</v>
      </c>
      <c r="DO3" s="28">
        <v>0</v>
      </c>
      <c r="DP3" s="28">
        <v>0</v>
      </c>
      <c r="DQ3" s="28">
        <v>0</v>
      </c>
      <c r="DR3" s="28">
        <v>0</v>
      </c>
      <c r="DS3" s="28">
        <v>0</v>
      </c>
      <c r="DT3" s="28">
        <v>0</v>
      </c>
      <c r="DU3" s="28">
        <v>0</v>
      </c>
      <c r="DV3" s="28">
        <v>0</v>
      </c>
      <c r="DW3" s="28">
        <v>0</v>
      </c>
      <c r="DX3" s="34">
        <v>0</v>
      </c>
    </row>
    <row r="4" spans="1:128" x14ac:dyDescent="0.25">
      <c r="A4" s="24">
        <v>3</v>
      </c>
      <c r="B4" s="26">
        <v>1</v>
      </c>
      <c r="C4" s="28">
        <v>0</v>
      </c>
      <c r="D4" s="28">
        <v>0</v>
      </c>
      <c r="E4" s="28">
        <v>0</v>
      </c>
      <c r="F4" s="28">
        <v>0</v>
      </c>
      <c r="G4" s="28">
        <v>0</v>
      </c>
      <c r="H4" s="28">
        <v>0</v>
      </c>
      <c r="I4" s="28">
        <v>0</v>
      </c>
      <c r="J4" s="28">
        <v>0</v>
      </c>
      <c r="K4" s="28">
        <v>0</v>
      </c>
      <c r="L4" s="28">
        <v>0</v>
      </c>
      <c r="M4" s="28">
        <v>0</v>
      </c>
      <c r="N4" s="28">
        <v>0</v>
      </c>
      <c r="O4" s="28">
        <v>0</v>
      </c>
      <c r="P4" s="28">
        <v>0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8">
        <v>0</v>
      </c>
      <c r="AD4" s="28">
        <v>0</v>
      </c>
      <c r="AE4" s="28">
        <v>0</v>
      </c>
      <c r="AF4" s="28">
        <v>0</v>
      </c>
      <c r="AG4" s="28">
        <v>0</v>
      </c>
      <c r="AH4" s="28">
        <v>0</v>
      </c>
      <c r="AI4" s="28">
        <v>0</v>
      </c>
      <c r="AJ4" s="28">
        <v>0</v>
      </c>
      <c r="AK4" s="28">
        <v>0</v>
      </c>
      <c r="AL4" s="28">
        <v>0</v>
      </c>
      <c r="AM4" s="28">
        <v>0</v>
      </c>
      <c r="AN4" s="28">
        <v>0</v>
      </c>
      <c r="AO4" s="28">
        <v>0</v>
      </c>
      <c r="AP4" s="28">
        <v>0</v>
      </c>
      <c r="AQ4" s="28">
        <v>0</v>
      </c>
      <c r="AR4" s="28">
        <v>0</v>
      </c>
      <c r="AS4" s="28">
        <v>0</v>
      </c>
      <c r="AT4" s="28">
        <v>0</v>
      </c>
      <c r="AU4" s="28">
        <v>0</v>
      </c>
      <c r="AV4" s="28">
        <v>0</v>
      </c>
      <c r="AW4" s="28">
        <v>0</v>
      </c>
      <c r="AX4" s="28">
        <v>0</v>
      </c>
      <c r="AY4" s="28">
        <v>0</v>
      </c>
      <c r="AZ4" s="28">
        <v>0</v>
      </c>
      <c r="BA4" s="28">
        <v>0</v>
      </c>
      <c r="BB4" s="28">
        <v>0</v>
      </c>
      <c r="BC4" s="28">
        <v>0</v>
      </c>
      <c r="BD4" s="28">
        <v>0</v>
      </c>
      <c r="BE4" s="28">
        <v>0</v>
      </c>
      <c r="BF4" s="28">
        <v>0</v>
      </c>
      <c r="BG4" s="28">
        <v>0</v>
      </c>
      <c r="BH4" s="28">
        <v>0</v>
      </c>
      <c r="BI4" s="28">
        <v>0</v>
      </c>
      <c r="BJ4" s="28">
        <v>0</v>
      </c>
      <c r="BK4" s="28">
        <v>0</v>
      </c>
      <c r="BL4" s="28">
        <v>0</v>
      </c>
      <c r="BM4" s="28">
        <v>0</v>
      </c>
      <c r="BN4" s="28">
        <v>0</v>
      </c>
      <c r="BO4" s="28">
        <v>0</v>
      </c>
      <c r="BP4" s="28">
        <v>0</v>
      </c>
      <c r="BQ4" s="28">
        <v>0</v>
      </c>
      <c r="BR4" s="28">
        <v>0</v>
      </c>
      <c r="BS4" s="28">
        <v>0</v>
      </c>
      <c r="BT4" s="28">
        <v>0</v>
      </c>
      <c r="BU4" s="28">
        <v>0</v>
      </c>
      <c r="BV4" s="28">
        <v>0</v>
      </c>
      <c r="BW4" s="28">
        <v>0</v>
      </c>
      <c r="BX4" s="28">
        <v>0</v>
      </c>
      <c r="BY4" s="28">
        <v>0</v>
      </c>
      <c r="BZ4" s="28">
        <v>0</v>
      </c>
      <c r="CA4" s="28">
        <v>0</v>
      </c>
      <c r="CB4" s="28">
        <v>0</v>
      </c>
      <c r="CC4" s="28">
        <v>0</v>
      </c>
      <c r="CD4" s="28">
        <v>0</v>
      </c>
      <c r="CE4" s="28">
        <v>0</v>
      </c>
      <c r="CF4" s="28">
        <v>0</v>
      </c>
      <c r="CG4" s="28">
        <v>0</v>
      </c>
      <c r="CH4" s="28">
        <v>0</v>
      </c>
      <c r="CI4" s="28">
        <v>0</v>
      </c>
      <c r="CJ4" s="28">
        <v>0</v>
      </c>
      <c r="CK4" s="28">
        <v>0</v>
      </c>
      <c r="CL4" s="28">
        <v>0</v>
      </c>
      <c r="CM4" s="28">
        <v>0</v>
      </c>
      <c r="CN4" s="28">
        <v>0</v>
      </c>
      <c r="CO4" s="28">
        <v>0</v>
      </c>
      <c r="CP4" s="28">
        <v>0</v>
      </c>
      <c r="CQ4" s="28">
        <v>0</v>
      </c>
      <c r="CR4" s="28">
        <v>0</v>
      </c>
      <c r="CS4" s="28">
        <v>0</v>
      </c>
      <c r="CT4" s="28">
        <v>0</v>
      </c>
      <c r="CU4" s="28">
        <v>0</v>
      </c>
      <c r="CV4" s="28">
        <v>0</v>
      </c>
      <c r="CW4" s="28">
        <v>0</v>
      </c>
      <c r="CX4" s="28">
        <v>0</v>
      </c>
      <c r="CY4" s="28">
        <v>0</v>
      </c>
      <c r="CZ4" s="28">
        <v>0</v>
      </c>
      <c r="DA4" s="28">
        <v>0</v>
      </c>
      <c r="DB4" s="28">
        <v>0</v>
      </c>
      <c r="DC4" s="28">
        <v>0</v>
      </c>
      <c r="DD4" s="28">
        <v>0</v>
      </c>
      <c r="DE4" s="28">
        <v>0</v>
      </c>
      <c r="DF4" s="28">
        <v>0</v>
      </c>
      <c r="DG4" s="28">
        <v>0</v>
      </c>
      <c r="DH4" s="28">
        <v>0</v>
      </c>
      <c r="DI4" s="28">
        <v>0</v>
      </c>
      <c r="DJ4" s="28">
        <v>0</v>
      </c>
      <c r="DK4" s="28">
        <v>0</v>
      </c>
      <c r="DL4" s="28">
        <v>0</v>
      </c>
      <c r="DM4" s="28">
        <v>0</v>
      </c>
      <c r="DN4" s="28">
        <v>0</v>
      </c>
      <c r="DO4" s="28">
        <v>0</v>
      </c>
      <c r="DP4" s="28">
        <v>0</v>
      </c>
      <c r="DQ4" s="28">
        <v>0</v>
      </c>
      <c r="DR4" s="28">
        <v>0</v>
      </c>
      <c r="DS4" s="28">
        <v>0</v>
      </c>
      <c r="DT4" s="28">
        <v>0</v>
      </c>
      <c r="DU4" s="28">
        <v>0</v>
      </c>
      <c r="DV4" s="28">
        <v>0</v>
      </c>
      <c r="DW4" s="28">
        <v>0</v>
      </c>
      <c r="DX4" s="34">
        <v>0</v>
      </c>
    </row>
    <row r="5" spans="1:128" x14ac:dyDescent="0.25">
      <c r="A5" s="24">
        <v>4</v>
      </c>
      <c r="B5" s="26">
        <v>1.5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0</v>
      </c>
      <c r="L5" s="28">
        <v>0</v>
      </c>
      <c r="M5" s="28">
        <v>0</v>
      </c>
      <c r="N5" s="28">
        <v>0</v>
      </c>
      <c r="O5" s="28">
        <v>0</v>
      </c>
      <c r="P5" s="28">
        <v>0</v>
      </c>
      <c r="Q5" s="28">
        <v>0</v>
      </c>
      <c r="R5" s="28">
        <v>0</v>
      </c>
      <c r="S5" s="28">
        <v>0</v>
      </c>
      <c r="T5" s="28">
        <v>0</v>
      </c>
      <c r="U5" s="28">
        <v>0</v>
      </c>
      <c r="V5" s="28">
        <v>0</v>
      </c>
      <c r="W5" s="28">
        <v>0</v>
      </c>
      <c r="X5" s="28">
        <v>0</v>
      </c>
      <c r="Y5" s="28">
        <v>0</v>
      </c>
      <c r="Z5" s="28">
        <v>0</v>
      </c>
      <c r="AA5" s="28">
        <v>0</v>
      </c>
      <c r="AB5" s="28">
        <v>0</v>
      </c>
      <c r="AC5" s="28">
        <v>0</v>
      </c>
      <c r="AD5" s="28">
        <v>0</v>
      </c>
      <c r="AE5" s="28">
        <v>0</v>
      </c>
      <c r="AF5" s="28">
        <v>0</v>
      </c>
      <c r="AG5" s="28">
        <v>0</v>
      </c>
      <c r="AH5" s="28">
        <v>0</v>
      </c>
      <c r="AI5" s="28">
        <v>0</v>
      </c>
      <c r="AJ5" s="28">
        <v>0</v>
      </c>
      <c r="AK5" s="28">
        <v>0</v>
      </c>
      <c r="AL5" s="28">
        <v>0</v>
      </c>
      <c r="AM5" s="28">
        <v>0</v>
      </c>
      <c r="AN5" s="28">
        <v>0</v>
      </c>
      <c r="AO5" s="28">
        <v>0</v>
      </c>
      <c r="AP5" s="28">
        <v>0</v>
      </c>
      <c r="AQ5" s="28">
        <v>0</v>
      </c>
      <c r="AR5" s="28">
        <v>0</v>
      </c>
      <c r="AS5" s="28">
        <v>0</v>
      </c>
      <c r="AT5" s="28">
        <v>0</v>
      </c>
      <c r="AU5" s="28">
        <v>0</v>
      </c>
      <c r="AV5" s="28">
        <v>0</v>
      </c>
      <c r="AW5" s="28">
        <v>0</v>
      </c>
      <c r="AX5" s="28">
        <v>0</v>
      </c>
      <c r="AY5" s="28">
        <v>0</v>
      </c>
      <c r="AZ5" s="28">
        <v>0</v>
      </c>
      <c r="BA5" s="28">
        <v>0</v>
      </c>
      <c r="BB5" s="28">
        <v>0</v>
      </c>
      <c r="BC5" s="28">
        <v>0</v>
      </c>
      <c r="BD5" s="28">
        <v>0</v>
      </c>
      <c r="BE5" s="28">
        <v>0</v>
      </c>
      <c r="BF5" s="28">
        <v>0</v>
      </c>
      <c r="BG5" s="28">
        <v>0</v>
      </c>
      <c r="BH5" s="28">
        <v>0</v>
      </c>
      <c r="BI5" s="28">
        <v>0</v>
      </c>
      <c r="BJ5" s="28">
        <v>0</v>
      </c>
      <c r="BK5" s="28">
        <v>0</v>
      </c>
      <c r="BL5" s="28">
        <v>0</v>
      </c>
      <c r="BM5" s="28">
        <v>0</v>
      </c>
      <c r="BN5" s="28">
        <v>0</v>
      </c>
      <c r="BO5" s="28">
        <v>0</v>
      </c>
      <c r="BP5" s="28">
        <v>0</v>
      </c>
      <c r="BQ5" s="28">
        <v>0</v>
      </c>
      <c r="BR5" s="28">
        <v>0</v>
      </c>
      <c r="BS5" s="28">
        <v>0</v>
      </c>
      <c r="BT5" s="28">
        <v>0</v>
      </c>
      <c r="BU5" s="28">
        <v>0</v>
      </c>
      <c r="BV5" s="28">
        <v>0</v>
      </c>
      <c r="BW5" s="28">
        <v>0</v>
      </c>
      <c r="BX5" s="28">
        <v>0</v>
      </c>
      <c r="BY5" s="28">
        <v>0</v>
      </c>
      <c r="BZ5" s="28">
        <v>0</v>
      </c>
      <c r="CA5" s="28">
        <v>0</v>
      </c>
      <c r="CB5" s="28">
        <v>0</v>
      </c>
      <c r="CC5" s="28">
        <v>0</v>
      </c>
      <c r="CD5" s="28">
        <v>0</v>
      </c>
      <c r="CE5" s="28">
        <v>0</v>
      </c>
      <c r="CF5" s="28">
        <v>0</v>
      </c>
      <c r="CG5" s="28">
        <v>0</v>
      </c>
      <c r="CH5" s="28">
        <v>0</v>
      </c>
      <c r="CI5" s="28">
        <v>0</v>
      </c>
      <c r="CJ5" s="28">
        <v>0</v>
      </c>
      <c r="CK5" s="28">
        <v>0</v>
      </c>
      <c r="CL5" s="28">
        <v>0</v>
      </c>
      <c r="CM5" s="28">
        <v>0</v>
      </c>
      <c r="CN5" s="28">
        <v>0</v>
      </c>
      <c r="CO5" s="28">
        <v>0</v>
      </c>
      <c r="CP5" s="28">
        <v>0</v>
      </c>
      <c r="CQ5" s="28">
        <v>0</v>
      </c>
      <c r="CR5" s="28">
        <v>0</v>
      </c>
      <c r="CS5" s="28">
        <v>0</v>
      </c>
      <c r="CT5" s="28">
        <v>0</v>
      </c>
      <c r="CU5" s="28">
        <v>0</v>
      </c>
      <c r="CV5" s="28">
        <v>0</v>
      </c>
      <c r="CW5" s="28">
        <v>0</v>
      </c>
      <c r="CX5" s="28">
        <v>0</v>
      </c>
      <c r="CY5" s="28">
        <v>0</v>
      </c>
      <c r="CZ5" s="28">
        <v>0</v>
      </c>
      <c r="DA5" s="28">
        <v>0</v>
      </c>
      <c r="DB5" s="28">
        <v>0</v>
      </c>
      <c r="DC5" s="28">
        <v>0</v>
      </c>
      <c r="DD5" s="28">
        <v>0</v>
      </c>
      <c r="DE5" s="28">
        <v>0</v>
      </c>
      <c r="DF5" s="28">
        <v>0</v>
      </c>
      <c r="DG5" s="28">
        <v>0</v>
      </c>
      <c r="DH5" s="28">
        <v>0</v>
      </c>
      <c r="DI5" s="28">
        <v>0</v>
      </c>
      <c r="DJ5" s="28">
        <v>0</v>
      </c>
      <c r="DK5" s="28">
        <v>0</v>
      </c>
      <c r="DL5" s="28">
        <v>0</v>
      </c>
      <c r="DM5" s="28">
        <v>0</v>
      </c>
      <c r="DN5" s="28">
        <v>0</v>
      </c>
      <c r="DO5" s="28">
        <v>0</v>
      </c>
      <c r="DP5" s="28">
        <v>0</v>
      </c>
      <c r="DQ5" s="28">
        <v>0</v>
      </c>
      <c r="DR5" s="28">
        <v>0</v>
      </c>
      <c r="DS5" s="28">
        <v>0</v>
      </c>
      <c r="DT5" s="28">
        <v>0</v>
      </c>
      <c r="DU5" s="28">
        <v>0</v>
      </c>
      <c r="DV5" s="28">
        <v>0</v>
      </c>
      <c r="DW5" s="28">
        <v>0</v>
      </c>
      <c r="DX5" s="34">
        <v>0</v>
      </c>
    </row>
    <row r="6" spans="1:128" x14ac:dyDescent="0.25">
      <c r="A6" s="24">
        <v>5</v>
      </c>
      <c r="B6" s="26">
        <v>2</v>
      </c>
      <c r="C6" s="28">
        <v>0</v>
      </c>
      <c r="D6" s="28">
        <v>0</v>
      </c>
      <c r="E6" s="28">
        <v>0</v>
      </c>
      <c r="F6" s="28">
        <v>0</v>
      </c>
      <c r="G6" s="28">
        <v>0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0</v>
      </c>
      <c r="O6" s="28">
        <v>0</v>
      </c>
      <c r="P6" s="28">
        <v>0</v>
      </c>
      <c r="Q6" s="28">
        <v>0</v>
      </c>
      <c r="R6" s="28">
        <v>0</v>
      </c>
      <c r="S6" s="28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8">
        <v>0</v>
      </c>
      <c r="Z6" s="28">
        <v>0</v>
      </c>
      <c r="AA6" s="28">
        <v>0</v>
      </c>
      <c r="AB6" s="28">
        <v>0</v>
      </c>
      <c r="AC6" s="28">
        <v>0</v>
      </c>
      <c r="AD6" s="28">
        <v>0</v>
      </c>
      <c r="AE6" s="28">
        <v>0</v>
      </c>
      <c r="AF6" s="28">
        <v>0</v>
      </c>
      <c r="AG6" s="28">
        <v>0</v>
      </c>
      <c r="AH6" s="28">
        <v>0</v>
      </c>
      <c r="AI6" s="28">
        <v>0</v>
      </c>
      <c r="AJ6" s="28">
        <v>0</v>
      </c>
      <c r="AK6" s="28">
        <v>0</v>
      </c>
      <c r="AL6" s="28">
        <v>0</v>
      </c>
      <c r="AM6" s="28">
        <v>0</v>
      </c>
      <c r="AN6" s="28">
        <v>0</v>
      </c>
      <c r="AO6" s="28">
        <v>0</v>
      </c>
      <c r="AP6" s="28">
        <v>0</v>
      </c>
      <c r="AQ6" s="28">
        <v>0</v>
      </c>
      <c r="AR6" s="28">
        <v>0</v>
      </c>
      <c r="AS6" s="28">
        <v>0</v>
      </c>
      <c r="AT6" s="28">
        <v>0</v>
      </c>
      <c r="AU6" s="28">
        <v>0</v>
      </c>
      <c r="AV6" s="28">
        <v>0</v>
      </c>
      <c r="AW6" s="28">
        <v>0</v>
      </c>
      <c r="AX6" s="28">
        <v>0</v>
      </c>
      <c r="AY6" s="28">
        <v>0</v>
      </c>
      <c r="AZ6" s="28">
        <v>0</v>
      </c>
      <c r="BA6" s="28">
        <v>0</v>
      </c>
      <c r="BB6" s="28">
        <v>0</v>
      </c>
      <c r="BC6" s="28">
        <v>0</v>
      </c>
      <c r="BD6" s="28">
        <v>0</v>
      </c>
      <c r="BE6" s="28">
        <v>0</v>
      </c>
      <c r="BF6" s="28">
        <v>0</v>
      </c>
      <c r="BG6" s="28">
        <v>0</v>
      </c>
      <c r="BH6" s="28">
        <v>0</v>
      </c>
      <c r="BI6" s="28">
        <v>0</v>
      </c>
      <c r="BJ6" s="28">
        <v>0</v>
      </c>
      <c r="BK6" s="28">
        <v>0</v>
      </c>
      <c r="BL6" s="28">
        <v>0</v>
      </c>
      <c r="BM6" s="28">
        <v>0</v>
      </c>
      <c r="BN6" s="28">
        <v>0</v>
      </c>
      <c r="BO6" s="28">
        <v>0</v>
      </c>
      <c r="BP6" s="28">
        <v>0</v>
      </c>
      <c r="BQ6" s="28">
        <v>0</v>
      </c>
      <c r="BR6" s="28">
        <v>0</v>
      </c>
      <c r="BS6" s="28">
        <v>0</v>
      </c>
      <c r="BT6" s="28">
        <v>0</v>
      </c>
      <c r="BU6" s="28">
        <v>0</v>
      </c>
      <c r="BV6" s="28">
        <v>0</v>
      </c>
      <c r="BW6" s="28">
        <v>0</v>
      </c>
      <c r="BX6" s="28">
        <v>0</v>
      </c>
      <c r="BY6" s="28">
        <v>0</v>
      </c>
      <c r="BZ6" s="28">
        <v>0</v>
      </c>
      <c r="CA6" s="28">
        <v>0</v>
      </c>
      <c r="CB6" s="28">
        <v>0</v>
      </c>
      <c r="CC6" s="28">
        <v>0</v>
      </c>
      <c r="CD6" s="28">
        <v>0</v>
      </c>
      <c r="CE6" s="28">
        <v>0</v>
      </c>
      <c r="CF6" s="28">
        <v>0</v>
      </c>
      <c r="CG6" s="28">
        <v>0</v>
      </c>
      <c r="CH6" s="28">
        <v>0</v>
      </c>
      <c r="CI6" s="28">
        <v>0</v>
      </c>
      <c r="CJ6" s="28">
        <v>0</v>
      </c>
      <c r="CK6" s="28">
        <v>0</v>
      </c>
      <c r="CL6" s="28">
        <v>0</v>
      </c>
      <c r="CM6" s="28">
        <v>0</v>
      </c>
      <c r="CN6" s="28">
        <v>0</v>
      </c>
      <c r="CO6" s="28">
        <v>0</v>
      </c>
      <c r="CP6" s="28">
        <v>0</v>
      </c>
      <c r="CQ6" s="28">
        <v>0</v>
      </c>
      <c r="CR6" s="28">
        <v>0</v>
      </c>
      <c r="CS6" s="28">
        <v>0</v>
      </c>
      <c r="CT6" s="28">
        <v>0</v>
      </c>
      <c r="CU6" s="28">
        <v>0</v>
      </c>
      <c r="CV6" s="28">
        <v>0</v>
      </c>
      <c r="CW6" s="28">
        <v>0</v>
      </c>
      <c r="CX6" s="28">
        <v>0</v>
      </c>
      <c r="CY6" s="28">
        <v>0</v>
      </c>
      <c r="CZ6" s="28">
        <v>0</v>
      </c>
      <c r="DA6" s="28">
        <v>0</v>
      </c>
      <c r="DB6" s="28">
        <v>0</v>
      </c>
      <c r="DC6" s="28">
        <v>0</v>
      </c>
      <c r="DD6" s="28">
        <v>0</v>
      </c>
      <c r="DE6" s="28">
        <v>0</v>
      </c>
      <c r="DF6" s="28">
        <v>0</v>
      </c>
      <c r="DG6" s="28">
        <v>0</v>
      </c>
      <c r="DH6" s="28">
        <v>0</v>
      </c>
      <c r="DI6" s="28">
        <v>0</v>
      </c>
      <c r="DJ6" s="28">
        <v>0</v>
      </c>
      <c r="DK6" s="28">
        <v>0</v>
      </c>
      <c r="DL6" s="28">
        <v>0</v>
      </c>
      <c r="DM6" s="28">
        <v>0</v>
      </c>
      <c r="DN6" s="28">
        <v>0</v>
      </c>
      <c r="DO6" s="28">
        <v>0</v>
      </c>
      <c r="DP6" s="28">
        <v>0</v>
      </c>
      <c r="DQ6" s="28">
        <v>0</v>
      </c>
      <c r="DR6" s="28">
        <v>0</v>
      </c>
      <c r="DS6" s="28">
        <v>0</v>
      </c>
      <c r="DT6" s="28">
        <v>0</v>
      </c>
      <c r="DU6" s="28">
        <v>0</v>
      </c>
      <c r="DV6" s="28">
        <v>0</v>
      </c>
      <c r="DW6" s="28">
        <v>0</v>
      </c>
      <c r="DX6" s="34">
        <v>0</v>
      </c>
    </row>
    <row r="7" spans="1:128" x14ac:dyDescent="0.25">
      <c r="A7" s="24">
        <v>6</v>
      </c>
      <c r="B7" s="26">
        <v>2.5</v>
      </c>
      <c r="C7" s="28">
        <v>0</v>
      </c>
      <c r="D7" s="28">
        <v>0</v>
      </c>
      <c r="E7" s="28">
        <v>0</v>
      </c>
      <c r="F7" s="28">
        <v>0</v>
      </c>
      <c r="G7" s="28">
        <v>0</v>
      </c>
      <c r="H7" s="28">
        <v>0</v>
      </c>
      <c r="I7" s="28">
        <v>0</v>
      </c>
      <c r="J7" s="28">
        <v>0</v>
      </c>
      <c r="K7" s="28">
        <v>0</v>
      </c>
      <c r="L7" s="28">
        <v>0</v>
      </c>
      <c r="M7" s="28">
        <v>0</v>
      </c>
      <c r="N7" s="28">
        <v>0</v>
      </c>
      <c r="O7" s="28">
        <v>0</v>
      </c>
      <c r="P7" s="28">
        <v>0</v>
      </c>
      <c r="Q7" s="28">
        <v>0</v>
      </c>
      <c r="R7" s="28">
        <v>0</v>
      </c>
      <c r="S7" s="28">
        <v>0</v>
      </c>
      <c r="T7" s="28">
        <v>0</v>
      </c>
      <c r="U7" s="28">
        <v>0</v>
      </c>
      <c r="V7" s="28">
        <v>0</v>
      </c>
      <c r="W7" s="28">
        <v>0</v>
      </c>
      <c r="X7" s="28">
        <v>0</v>
      </c>
      <c r="Y7" s="28">
        <v>0</v>
      </c>
      <c r="Z7" s="28">
        <v>0</v>
      </c>
      <c r="AA7" s="28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8">
        <v>0</v>
      </c>
      <c r="AH7" s="28">
        <v>0</v>
      </c>
      <c r="AI7" s="28">
        <v>0</v>
      </c>
      <c r="AJ7" s="28">
        <v>0</v>
      </c>
      <c r="AK7" s="28">
        <v>0</v>
      </c>
      <c r="AL7" s="28">
        <v>0</v>
      </c>
      <c r="AM7" s="28">
        <v>0</v>
      </c>
      <c r="AN7" s="28">
        <v>0</v>
      </c>
      <c r="AO7" s="28">
        <v>0</v>
      </c>
      <c r="AP7" s="28">
        <v>0</v>
      </c>
      <c r="AQ7" s="28">
        <v>0</v>
      </c>
      <c r="AR7" s="28">
        <v>0</v>
      </c>
      <c r="AS7" s="28">
        <v>0</v>
      </c>
      <c r="AT7" s="28">
        <v>0</v>
      </c>
      <c r="AU7" s="28">
        <v>0</v>
      </c>
      <c r="AV7" s="28">
        <v>0</v>
      </c>
      <c r="AW7" s="28">
        <v>0</v>
      </c>
      <c r="AX7" s="28">
        <v>0</v>
      </c>
      <c r="AY7" s="28">
        <v>0</v>
      </c>
      <c r="AZ7" s="28">
        <v>0</v>
      </c>
      <c r="BA7" s="28">
        <v>0</v>
      </c>
      <c r="BB7" s="28">
        <v>0</v>
      </c>
      <c r="BC7" s="28">
        <v>0</v>
      </c>
      <c r="BD7" s="28">
        <v>0</v>
      </c>
      <c r="BE7" s="28">
        <v>0</v>
      </c>
      <c r="BF7" s="28">
        <v>0</v>
      </c>
      <c r="BG7" s="28">
        <v>0</v>
      </c>
      <c r="BH7" s="28">
        <v>0</v>
      </c>
      <c r="BI7" s="28">
        <v>0</v>
      </c>
      <c r="BJ7" s="28">
        <v>0</v>
      </c>
      <c r="BK7" s="28">
        <v>0</v>
      </c>
      <c r="BL7" s="28">
        <v>0</v>
      </c>
      <c r="BM7" s="28">
        <v>0</v>
      </c>
      <c r="BN7" s="28">
        <v>0</v>
      </c>
      <c r="BO7" s="28">
        <v>0</v>
      </c>
      <c r="BP7" s="28">
        <v>0</v>
      </c>
      <c r="BQ7" s="28">
        <v>0</v>
      </c>
      <c r="BR7" s="28">
        <v>0</v>
      </c>
      <c r="BS7" s="28">
        <v>0</v>
      </c>
      <c r="BT7" s="28">
        <v>0</v>
      </c>
      <c r="BU7" s="28">
        <v>0</v>
      </c>
      <c r="BV7" s="28">
        <v>0</v>
      </c>
      <c r="BW7" s="28">
        <v>0</v>
      </c>
      <c r="BX7" s="28">
        <v>0</v>
      </c>
      <c r="BY7" s="28">
        <v>0</v>
      </c>
      <c r="BZ7" s="28">
        <v>0</v>
      </c>
      <c r="CA7" s="28">
        <v>0</v>
      </c>
      <c r="CB7" s="28">
        <v>0</v>
      </c>
      <c r="CC7" s="28">
        <v>0</v>
      </c>
      <c r="CD7" s="28">
        <v>0</v>
      </c>
      <c r="CE7" s="28">
        <v>0</v>
      </c>
      <c r="CF7" s="28">
        <v>0</v>
      </c>
      <c r="CG7" s="28">
        <v>0</v>
      </c>
      <c r="CH7" s="28">
        <v>0</v>
      </c>
      <c r="CI7" s="28">
        <v>0</v>
      </c>
      <c r="CJ7" s="28">
        <v>0</v>
      </c>
      <c r="CK7" s="28">
        <v>0</v>
      </c>
      <c r="CL7" s="28">
        <v>0</v>
      </c>
      <c r="CM7" s="28">
        <v>0</v>
      </c>
      <c r="CN7" s="28">
        <v>0</v>
      </c>
      <c r="CO7" s="28">
        <v>0</v>
      </c>
      <c r="CP7" s="28">
        <v>0</v>
      </c>
      <c r="CQ7" s="28">
        <v>0</v>
      </c>
      <c r="CR7" s="28">
        <v>0</v>
      </c>
      <c r="CS7" s="28">
        <v>0</v>
      </c>
      <c r="CT7" s="28">
        <v>0</v>
      </c>
      <c r="CU7" s="28">
        <v>0</v>
      </c>
      <c r="CV7" s="28">
        <v>0</v>
      </c>
      <c r="CW7" s="28">
        <v>0</v>
      </c>
      <c r="CX7" s="28">
        <v>0</v>
      </c>
      <c r="CY7" s="28">
        <v>0</v>
      </c>
      <c r="CZ7" s="28">
        <v>0</v>
      </c>
      <c r="DA7" s="28">
        <v>0</v>
      </c>
      <c r="DB7" s="28">
        <v>0</v>
      </c>
      <c r="DC7" s="28">
        <v>0</v>
      </c>
      <c r="DD7" s="28">
        <v>0</v>
      </c>
      <c r="DE7" s="28">
        <v>0</v>
      </c>
      <c r="DF7" s="28">
        <v>0</v>
      </c>
      <c r="DG7" s="28">
        <v>0</v>
      </c>
      <c r="DH7" s="28">
        <v>0</v>
      </c>
      <c r="DI7" s="28">
        <v>0</v>
      </c>
      <c r="DJ7" s="28">
        <v>0</v>
      </c>
      <c r="DK7" s="28">
        <v>0</v>
      </c>
      <c r="DL7" s="28">
        <v>0</v>
      </c>
      <c r="DM7" s="28">
        <v>0</v>
      </c>
      <c r="DN7" s="28">
        <v>0</v>
      </c>
      <c r="DO7" s="28">
        <v>0</v>
      </c>
      <c r="DP7" s="28">
        <v>0</v>
      </c>
      <c r="DQ7" s="28">
        <v>0</v>
      </c>
      <c r="DR7" s="28">
        <v>0</v>
      </c>
      <c r="DS7" s="28">
        <v>0</v>
      </c>
      <c r="DT7" s="28">
        <v>0</v>
      </c>
      <c r="DU7" s="28">
        <v>0</v>
      </c>
      <c r="DV7" s="28">
        <v>0</v>
      </c>
      <c r="DW7" s="28">
        <v>0</v>
      </c>
      <c r="DX7" s="34">
        <v>0</v>
      </c>
    </row>
    <row r="8" spans="1:128" x14ac:dyDescent="0.25">
      <c r="A8" s="24">
        <v>7</v>
      </c>
      <c r="B8" s="26">
        <v>3</v>
      </c>
      <c r="C8" s="28">
        <v>0</v>
      </c>
      <c r="D8" s="28">
        <v>0</v>
      </c>
      <c r="E8" s="28">
        <v>0</v>
      </c>
      <c r="F8" s="28">
        <v>0</v>
      </c>
      <c r="G8" s="28">
        <v>0</v>
      </c>
      <c r="H8" s="28">
        <v>0</v>
      </c>
      <c r="I8" s="28">
        <v>0</v>
      </c>
      <c r="J8" s="28">
        <v>0</v>
      </c>
      <c r="K8" s="28">
        <v>0</v>
      </c>
      <c r="L8" s="28">
        <v>0</v>
      </c>
      <c r="M8" s="28">
        <v>0</v>
      </c>
      <c r="N8" s="28">
        <v>0</v>
      </c>
      <c r="O8" s="28">
        <v>0</v>
      </c>
      <c r="P8" s="28">
        <v>0</v>
      </c>
      <c r="Q8" s="28">
        <v>0</v>
      </c>
      <c r="R8" s="28">
        <v>0</v>
      </c>
      <c r="S8" s="28">
        <v>0</v>
      </c>
      <c r="T8" s="28">
        <v>0</v>
      </c>
      <c r="U8" s="28">
        <v>0</v>
      </c>
      <c r="V8" s="28">
        <v>0</v>
      </c>
      <c r="W8" s="28">
        <v>0</v>
      </c>
      <c r="X8" s="28">
        <v>0</v>
      </c>
      <c r="Y8" s="28">
        <v>0</v>
      </c>
      <c r="Z8" s="28">
        <v>0</v>
      </c>
      <c r="AA8" s="28">
        <v>0</v>
      </c>
      <c r="AB8" s="28">
        <v>0</v>
      </c>
      <c r="AC8" s="28">
        <v>0</v>
      </c>
      <c r="AD8" s="28">
        <v>0</v>
      </c>
      <c r="AE8" s="28">
        <v>0</v>
      </c>
      <c r="AF8" s="28">
        <v>0</v>
      </c>
      <c r="AG8" s="28">
        <v>0</v>
      </c>
      <c r="AH8" s="28">
        <v>0</v>
      </c>
      <c r="AI8" s="28">
        <v>0</v>
      </c>
      <c r="AJ8" s="28">
        <v>0</v>
      </c>
      <c r="AK8" s="28">
        <v>0</v>
      </c>
      <c r="AL8" s="28">
        <v>0</v>
      </c>
      <c r="AM8" s="28">
        <v>0</v>
      </c>
      <c r="AN8" s="28">
        <v>0</v>
      </c>
      <c r="AO8" s="28">
        <v>0</v>
      </c>
      <c r="AP8" s="28">
        <v>0</v>
      </c>
      <c r="AQ8" s="28">
        <v>0</v>
      </c>
      <c r="AR8" s="28">
        <v>0</v>
      </c>
      <c r="AS8" s="28">
        <v>0</v>
      </c>
      <c r="AT8" s="28">
        <v>0</v>
      </c>
      <c r="AU8" s="28">
        <v>0</v>
      </c>
      <c r="AV8" s="28">
        <v>0</v>
      </c>
      <c r="AW8" s="28">
        <v>0</v>
      </c>
      <c r="AX8" s="28">
        <v>0</v>
      </c>
      <c r="AY8" s="28">
        <v>0</v>
      </c>
      <c r="AZ8" s="28">
        <v>0</v>
      </c>
      <c r="BA8" s="28">
        <v>0</v>
      </c>
      <c r="BB8" s="28">
        <v>0</v>
      </c>
      <c r="BC8" s="28">
        <v>0</v>
      </c>
      <c r="BD8" s="28">
        <v>0</v>
      </c>
      <c r="BE8" s="28">
        <v>0</v>
      </c>
      <c r="BF8" s="28">
        <v>0</v>
      </c>
      <c r="BG8" s="28">
        <v>0</v>
      </c>
      <c r="BH8" s="28">
        <v>0</v>
      </c>
      <c r="BI8" s="28">
        <v>0</v>
      </c>
      <c r="BJ8" s="28">
        <v>0</v>
      </c>
      <c r="BK8" s="28">
        <v>0</v>
      </c>
      <c r="BL8" s="28">
        <v>0</v>
      </c>
      <c r="BM8" s="28">
        <v>0</v>
      </c>
      <c r="BN8" s="28">
        <v>0</v>
      </c>
      <c r="BO8" s="28">
        <v>0</v>
      </c>
      <c r="BP8" s="28">
        <v>0</v>
      </c>
      <c r="BQ8" s="28">
        <v>0</v>
      </c>
      <c r="BR8" s="28">
        <v>0</v>
      </c>
      <c r="BS8" s="28">
        <v>0</v>
      </c>
      <c r="BT8" s="28">
        <v>0</v>
      </c>
      <c r="BU8" s="28">
        <v>0</v>
      </c>
      <c r="BV8" s="28">
        <v>0</v>
      </c>
      <c r="BW8" s="28">
        <v>0</v>
      </c>
      <c r="BX8" s="28">
        <v>0</v>
      </c>
      <c r="BY8" s="28">
        <v>0</v>
      </c>
      <c r="BZ8" s="28">
        <v>0</v>
      </c>
      <c r="CA8" s="28">
        <v>0</v>
      </c>
      <c r="CB8" s="28">
        <v>0</v>
      </c>
      <c r="CC8" s="28">
        <v>0</v>
      </c>
      <c r="CD8" s="28">
        <v>0</v>
      </c>
      <c r="CE8" s="28">
        <v>0</v>
      </c>
      <c r="CF8" s="28">
        <v>0</v>
      </c>
      <c r="CG8" s="28">
        <v>0</v>
      </c>
      <c r="CH8" s="28">
        <v>0</v>
      </c>
      <c r="CI8" s="28">
        <v>0</v>
      </c>
      <c r="CJ8" s="28">
        <v>0</v>
      </c>
      <c r="CK8" s="28">
        <v>0</v>
      </c>
      <c r="CL8" s="28">
        <v>0</v>
      </c>
      <c r="CM8" s="28">
        <v>0</v>
      </c>
      <c r="CN8" s="28">
        <v>0</v>
      </c>
      <c r="CO8" s="28">
        <v>0</v>
      </c>
      <c r="CP8" s="28">
        <v>0</v>
      </c>
      <c r="CQ8" s="28">
        <v>0</v>
      </c>
      <c r="CR8" s="28">
        <v>0</v>
      </c>
      <c r="CS8" s="28">
        <v>0</v>
      </c>
      <c r="CT8" s="28">
        <v>0</v>
      </c>
      <c r="CU8" s="28">
        <v>0</v>
      </c>
      <c r="CV8" s="28">
        <v>0</v>
      </c>
      <c r="CW8" s="28">
        <v>0</v>
      </c>
      <c r="CX8" s="28">
        <v>0</v>
      </c>
      <c r="CY8" s="28">
        <v>0</v>
      </c>
      <c r="CZ8" s="28">
        <v>0</v>
      </c>
      <c r="DA8" s="28">
        <v>0</v>
      </c>
      <c r="DB8" s="28">
        <v>0</v>
      </c>
      <c r="DC8" s="28">
        <v>0</v>
      </c>
      <c r="DD8" s="28">
        <v>0</v>
      </c>
      <c r="DE8" s="28">
        <v>0</v>
      </c>
      <c r="DF8" s="28">
        <v>0</v>
      </c>
      <c r="DG8" s="28">
        <v>0</v>
      </c>
      <c r="DH8" s="28">
        <v>0</v>
      </c>
      <c r="DI8" s="28">
        <v>0</v>
      </c>
      <c r="DJ8" s="28">
        <v>0</v>
      </c>
      <c r="DK8" s="28">
        <v>0</v>
      </c>
      <c r="DL8" s="28">
        <v>0</v>
      </c>
      <c r="DM8" s="28">
        <v>0</v>
      </c>
      <c r="DN8" s="28">
        <v>0</v>
      </c>
      <c r="DO8" s="28">
        <v>0</v>
      </c>
      <c r="DP8" s="28">
        <v>0</v>
      </c>
      <c r="DQ8" s="28">
        <v>0</v>
      </c>
      <c r="DR8" s="28">
        <v>0</v>
      </c>
      <c r="DS8" s="28">
        <v>0</v>
      </c>
      <c r="DT8" s="28">
        <v>0</v>
      </c>
      <c r="DU8" s="28">
        <v>0</v>
      </c>
      <c r="DV8" s="28">
        <v>0</v>
      </c>
      <c r="DW8" s="28">
        <v>0</v>
      </c>
      <c r="DX8" s="34">
        <v>0</v>
      </c>
    </row>
    <row r="9" spans="1:128" x14ac:dyDescent="0.25">
      <c r="A9" s="24">
        <v>8</v>
      </c>
      <c r="B9" s="26">
        <v>3.5</v>
      </c>
      <c r="C9" s="28">
        <v>0</v>
      </c>
      <c r="D9" s="28">
        <v>0</v>
      </c>
      <c r="E9" s="28">
        <v>0</v>
      </c>
      <c r="F9" s="28">
        <v>0</v>
      </c>
      <c r="G9" s="28">
        <v>0</v>
      </c>
      <c r="H9" s="28">
        <v>0</v>
      </c>
      <c r="I9" s="28">
        <v>0</v>
      </c>
      <c r="J9" s="28">
        <v>0</v>
      </c>
      <c r="K9" s="28">
        <v>0</v>
      </c>
      <c r="L9" s="28">
        <v>0</v>
      </c>
      <c r="M9" s="28">
        <v>0</v>
      </c>
      <c r="N9" s="28">
        <v>0</v>
      </c>
      <c r="O9" s="28">
        <v>0</v>
      </c>
      <c r="P9" s="28">
        <v>0</v>
      </c>
      <c r="Q9" s="28">
        <v>0</v>
      </c>
      <c r="R9" s="28">
        <v>0</v>
      </c>
      <c r="S9" s="28">
        <v>0</v>
      </c>
      <c r="T9" s="28">
        <v>0</v>
      </c>
      <c r="U9" s="28">
        <v>0</v>
      </c>
      <c r="V9" s="28">
        <v>0</v>
      </c>
      <c r="W9" s="28">
        <v>0</v>
      </c>
      <c r="X9" s="28">
        <v>0</v>
      </c>
      <c r="Y9" s="28">
        <v>0</v>
      </c>
      <c r="Z9" s="28">
        <v>0</v>
      </c>
      <c r="AA9" s="28">
        <v>0</v>
      </c>
      <c r="AB9" s="28">
        <v>0</v>
      </c>
      <c r="AC9" s="28">
        <v>0</v>
      </c>
      <c r="AD9" s="28">
        <v>0</v>
      </c>
      <c r="AE9" s="28">
        <v>0</v>
      </c>
      <c r="AF9" s="28">
        <v>0</v>
      </c>
      <c r="AG9" s="28">
        <v>0</v>
      </c>
      <c r="AH9" s="28">
        <v>0</v>
      </c>
      <c r="AI9" s="28">
        <v>0</v>
      </c>
      <c r="AJ9" s="28">
        <v>0</v>
      </c>
      <c r="AK9" s="28">
        <v>0</v>
      </c>
      <c r="AL9" s="28">
        <v>0</v>
      </c>
      <c r="AM9" s="28">
        <v>0</v>
      </c>
      <c r="AN9" s="28">
        <v>0</v>
      </c>
      <c r="AO9" s="28">
        <v>0</v>
      </c>
      <c r="AP9" s="28">
        <v>0</v>
      </c>
      <c r="AQ9" s="28">
        <v>0</v>
      </c>
      <c r="AR9" s="28">
        <v>0</v>
      </c>
      <c r="AS9" s="28">
        <v>0</v>
      </c>
      <c r="AT9" s="28">
        <v>0</v>
      </c>
      <c r="AU9" s="28">
        <v>0</v>
      </c>
      <c r="AV9" s="28">
        <v>0</v>
      </c>
      <c r="AW9" s="28">
        <v>0</v>
      </c>
      <c r="AX9" s="28">
        <v>0</v>
      </c>
      <c r="AY9" s="28">
        <v>0</v>
      </c>
      <c r="AZ9" s="28">
        <v>0</v>
      </c>
      <c r="BA9" s="28">
        <v>0</v>
      </c>
      <c r="BB9" s="28">
        <v>0</v>
      </c>
      <c r="BC9" s="28">
        <v>0</v>
      </c>
      <c r="BD9" s="28">
        <v>0</v>
      </c>
      <c r="BE9" s="28">
        <v>0</v>
      </c>
      <c r="BF9" s="28">
        <v>0</v>
      </c>
      <c r="BG9" s="28">
        <v>0</v>
      </c>
      <c r="BH9" s="28">
        <v>0</v>
      </c>
      <c r="BI9" s="28">
        <v>0</v>
      </c>
      <c r="BJ9" s="28">
        <v>0</v>
      </c>
      <c r="BK9" s="28">
        <v>0</v>
      </c>
      <c r="BL9" s="28">
        <v>0</v>
      </c>
      <c r="BM9" s="28">
        <v>0</v>
      </c>
      <c r="BN9" s="28">
        <v>0</v>
      </c>
      <c r="BO9" s="28">
        <v>0</v>
      </c>
      <c r="BP9" s="28">
        <v>0</v>
      </c>
      <c r="BQ9" s="28">
        <v>0</v>
      </c>
      <c r="BR9" s="28">
        <v>0</v>
      </c>
      <c r="BS9" s="28">
        <v>0</v>
      </c>
      <c r="BT9" s="28">
        <v>0</v>
      </c>
      <c r="BU9" s="28">
        <v>0</v>
      </c>
      <c r="BV9" s="28">
        <v>0</v>
      </c>
      <c r="BW9" s="28">
        <v>0</v>
      </c>
      <c r="BX9" s="28">
        <v>0</v>
      </c>
      <c r="BY9" s="28">
        <v>0</v>
      </c>
      <c r="BZ9" s="28">
        <v>0</v>
      </c>
      <c r="CA9" s="28">
        <v>0</v>
      </c>
      <c r="CB9" s="28">
        <v>0</v>
      </c>
      <c r="CC9" s="28">
        <v>0</v>
      </c>
      <c r="CD9" s="28">
        <v>0</v>
      </c>
      <c r="CE9" s="28">
        <v>0</v>
      </c>
      <c r="CF9" s="28">
        <v>0</v>
      </c>
      <c r="CG9" s="28">
        <v>0</v>
      </c>
      <c r="CH9" s="28">
        <v>0</v>
      </c>
      <c r="CI9" s="28">
        <v>0</v>
      </c>
      <c r="CJ9" s="28">
        <v>0</v>
      </c>
      <c r="CK9" s="28">
        <v>0</v>
      </c>
      <c r="CL9" s="28">
        <v>0</v>
      </c>
      <c r="CM9" s="28">
        <v>0</v>
      </c>
      <c r="CN9" s="28">
        <v>0</v>
      </c>
      <c r="CO9" s="28">
        <v>0</v>
      </c>
      <c r="CP9" s="28">
        <v>0</v>
      </c>
      <c r="CQ9" s="28">
        <v>0</v>
      </c>
      <c r="CR9" s="28">
        <v>0</v>
      </c>
      <c r="CS9" s="28">
        <v>0</v>
      </c>
      <c r="CT9" s="28">
        <v>0</v>
      </c>
      <c r="CU9" s="28">
        <v>0</v>
      </c>
      <c r="CV9" s="28">
        <v>0</v>
      </c>
      <c r="CW9" s="28">
        <v>0</v>
      </c>
      <c r="CX9" s="28">
        <v>0</v>
      </c>
      <c r="CY9" s="28">
        <v>0</v>
      </c>
      <c r="CZ9" s="28">
        <v>0</v>
      </c>
      <c r="DA9" s="28">
        <v>0</v>
      </c>
      <c r="DB9" s="28">
        <v>0</v>
      </c>
      <c r="DC9" s="28">
        <v>0</v>
      </c>
      <c r="DD9" s="28">
        <v>0</v>
      </c>
      <c r="DE9" s="28">
        <v>0</v>
      </c>
      <c r="DF9" s="28">
        <v>0</v>
      </c>
      <c r="DG9" s="28">
        <v>0</v>
      </c>
      <c r="DH9" s="28">
        <v>0</v>
      </c>
      <c r="DI9" s="28">
        <v>0</v>
      </c>
      <c r="DJ9" s="28">
        <v>0</v>
      </c>
      <c r="DK9" s="28">
        <v>0</v>
      </c>
      <c r="DL9" s="28">
        <v>0</v>
      </c>
      <c r="DM9" s="28">
        <v>0</v>
      </c>
      <c r="DN9" s="28">
        <v>0</v>
      </c>
      <c r="DO9" s="28">
        <v>0</v>
      </c>
      <c r="DP9" s="28">
        <v>0</v>
      </c>
      <c r="DQ9" s="28">
        <v>0</v>
      </c>
      <c r="DR9" s="28">
        <v>0</v>
      </c>
      <c r="DS9" s="28">
        <v>0</v>
      </c>
      <c r="DT9" s="28">
        <v>0</v>
      </c>
      <c r="DU9" s="28">
        <v>0</v>
      </c>
      <c r="DV9" s="28">
        <v>0</v>
      </c>
      <c r="DW9" s="28">
        <v>0</v>
      </c>
      <c r="DX9" s="34">
        <v>0</v>
      </c>
    </row>
    <row r="10" spans="1:128" x14ac:dyDescent="0.25">
      <c r="A10" s="24">
        <v>9</v>
      </c>
      <c r="B10" s="26">
        <v>4</v>
      </c>
      <c r="C10" s="28">
        <v>0</v>
      </c>
      <c r="D10" s="28">
        <v>0</v>
      </c>
      <c r="E10" s="28">
        <v>0</v>
      </c>
      <c r="F10" s="28">
        <v>0</v>
      </c>
      <c r="G10" s="28">
        <v>3.0000000000000001E-3</v>
      </c>
      <c r="H10" s="28">
        <v>0</v>
      </c>
      <c r="I10" s="28">
        <v>0</v>
      </c>
      <c r="J10" s="28">
        <v>0</v>
      </c>
      <c r="K10" s="28">
        <v>0</v>
      </c>
      <c r="L10" s="28">
        <v>0</v>
      </c>
      <c r="M10" s="28">
        <v>2E-3</v>
      </c>
      <c r="N10" s="28">
        <v>0</v>
      </c>
      <c r="O10" s="28">
        <v>0</v>
      </c>
      <c r="P10" s="28">
        <v>0</v>
      </c>
      <c r="Q10" s="28">
        <v>0</v>
      </c>
      <c r="R10" s="28">
        <v>0</v>
      </c>
      <c r="S10" s="28">
        <v>0</v>
      </c>
      <c r="T10" s="28">
        <v>0</v>
      </c>
      <c r="U10" s="28">
        <v>0</v>
      </c>
      <c r="V10" s="28">
        <v>0</v>
      </c>
      <c r="W10" s="28">
        <v>0</v>
      </c>
      <c r="X10" s="28">
        <v>0</v>
      </c>
      <c r="Y10" s="28">
        <v>0</v>
      </c>
      <c r="Z10" s="28">
        <v>0</v>
      </c>
      <c r="AA10" s="28">
        <v>0</v>
      </c>
      <c r="AB10" s="28">
        <v>0</v>
      </c>
      <c r="AC10" s="28">
        <v>0</v>
      </c>
      <c r="AD10" s="28">
        <v>0</v>
      </c>
      <c r="AE10" s="28">
        <v>0</v>
      </c>
      <c r="AF10" s="28">
        <v>0</v>
      </c>
      <c r="AG10" s="28">
        <v>0</v>
      </c>
      <c r="AH10" s="28">
        <v>4.0000000000000001E-3</v>
      </c>
      <c r="AI10" s="28">
        <v>0</v>
      </c>
      <c r="AJ10" s="28">
        <v>0</v>
      </c>
      <c r="AK10" s="28">
        <v>0</v>
      </c>
      <c r="AL10" s="28">
        <v>0</v>
      </c>
      <c r="AM10" s="28">
        <v>0</v>
      </c>
      <c r="AN10" s="28">
        <v>0</v>
      </c>
      <c r="AO10" s="28">
        <v>0</v>
      </c>
      <c r="AP10" s="28">
        <v>0</v>
      </c>
      <c r="AQ10" s="28">
        <v>0</v>
      </c>
      <c r="AR10" s="28">
        <v>0</v>
      </c>
      <c r="AS10" s="28">
        <v>0</v>
      </c>
      <c r="AT10" s="28">
        <v>0</v>
      </c>
      <c r="AU10" s="28">
        <v>0</v>
      </c>
      <c r="AV10" s="28">
        <v>0</v>
      </c>
      <c r="AW10" s="28">
        <v>0</v>
      </c>
      <c r="AX10" s="28">
        <v>0</v>
      </c>
      <c r="AY10" s="28">
        <v>0</v>
      </c>
      <c r="AZ10" s="28">
        <v>0</v>
      </c>
      <c r="BA10" s="28">
        <v>0</v>
      </c>
      <c r="BB10" s="28">
        <v>0</v>
      </c>
      <c r="BC10" s="28">
        <v>0</v>
      </c>
      <c r="BD10" s="28">
        <v>0</v>
      </c>
      <c r="BE10" s="28">
        <v>0</v>
      </c>
      <c r="BF10" s="28">
        <v>0</v>
      </c>
      <c r="BG10" s="28">
        <v>0</v>
      </c>
      <c r="BH10" s="28">
        <v>0</v>
      </c>
      <c r="BI10" s="28">
        <v>0</v>
      </c>
      <c r="BJ10" s="28">
        <v>0</v>
      </c>
      <c r="BK10" s="28">
        <v>0</v>
      </c>
      <c r="BL10" s="28">
        <v>0</v>
      </c>
      <c r="BM10" s="28">
        <v>0</v>
      </c>
      <c r="BN10" s="28">
        <v>0</v>
      </c>
      <c r="BO10" s="28">
        <v>0</v>
      </c>
      <c r="BP10" s="28">
        <v>0</v>
      </c>
      <c r="BQ10" s="28">
        <v>0</v>
      </c>
      <c r="BR10" s="28">
        <v>0</v>
      </c>
      <c r="BS10" s="28">
        <v>0</v>
      </c>
      <c r="BT10" s="28">
        <v>0</v>
      </c>
      <c r="BU10" s="28">
        <v>0</v>
      </c>
      <c r="BV10" s="28">
        <v>0</v>
      </c>
      <c r="BW10" s="28">
        <v>0</v>
      </c>
      <c r="BX10" s="28">
        <v>0</v>
      </c>
      <c r="BY10" s="28">
        <v>0</v>
      </c>
      <c r="BZ10" s="28">
        <v>0</v>
      </c>
      <c r="CA10" s="28">
        <v>0</v>
      </c>
      <c r="CB10" s="28">
        <v>0</v>
      </c>
      <c r="CC10" s="28">
        <v>0</v>
      </c>
      <c r="CD10" s="28">
        <v>0</v>
      </c>
      <c r="CE10" s="28">
        <v>0</v>
      </c>
      <c r="CF10" s="28">
        <v>0</v>
      </c>
      <c r="CG10" s="28">
        <v>0</v>
      </c>
      <c r="CH10" s="28">
        <v>3.0000000000000001E-3</v>
      </c>
      <c r="CI10" s="28">
        <v>0</v>
      </c>
      <c r="CJ10" s="28">
        <v>0</v>
      </c>
      <c r="CK10" s="28">
        <v>0</v>
      </c>
      <c r="CL10" s="28">
        <v>0</v>
      </c>
      <c r="CM10" s="28">
        <v>0</v>
      </c>
      <c r="CN10" s="28">
        <v>0</v>
      </c>
      <c r="CO10" s="28">
        <v>0</v>
      </c>
      <c r="CP10" s="28">
        <v>1E-3</v>
      </c>
      <c r="CQ10" s="28">
        <v>0</v>
      </c>
      <c r="CR10" s="28">
        <v>0</v>
      </c>
      <c r="CS10" s="28">
        <v>0</v>
      </c>
      <c r="CT10" s="28">
        <v>0</v>
      </c>
      <c r="CU10" s="28">
        <v>0</v>
      </c>
      <c r="CV10" s="28">
        <v>0</v>
      </c>
      <c r="CW10" s="28">
        <v>0</v>
      </c>
      <c r="CX10" s="28">
        <v>0</v>
      </c>
      <c r="CY10" s="28">
        <v>1.6E-2</v>
      </c>
      <c r="CZ10" s="28">
        <v>0</v>
      </c>
      <c r="DA10" s="28">
        <v>0</v>
      </c>
      <c r="DB10" s="28">
        <v>0</v>
      </c>
      <c r="DC10" s="28">
        <v>0</v>
      </c>
      <c r="DD10" s="28">
        <v>0</v>
      </c>
      <c r="DE10" s="28">
        <v>0</v>
      </c>
      <c r="DF10" s="28">
        <v>0</v>
      </c>
      <c r="DG10" s="28">
        <v>0</v>
      </c>
      <c r="DH10" s="28">
        <v>0</v>
      </c>
      <c r="DI10" s="28">
        <v>0</v>
      </c>
      <c r="DJ10" s="28">
        <v>0</v>
      </c>
      <c r="DK10" s="28">
        <v>0</v>
      </c>
      <c r="DL10" s="28">
        <v>0</v>
      </c>
      <c r="DM10" s="28">
        <v>8.0000000000000002E-3</v>
      </c>
      <c r="DN10" s="28">
        <v>0</v>
      </c>
      <c r="DO10" s="28">
        <v>0</v>
      </c>
      <c r="DP10" s="28">
        <v>0</v>
      </c>
      <c r="DQ10" s="28">
        <v>0</v>
      </c>
      <c r="DR10" s="28">
        <v>2E-3</v>
      </c>
      <c r="DS10" s="28">
        <v>0</v>
      </c>
      <c r="DT10" s="28">
        <v>0</v>
      </c>
      <c r="DU10" s="28">
        <v>0</v>
      </c>
      <c r="DV10" s="28">
        <v>0</v>
      </c>
      <c r="DW10" s="28">
        <v>3.1451612903225811E-4</v>
      </c>
      <c r="DX10" s="34">
        <v>3.9000000000000007E-2</v>
      </c>
    </row>
    <row r="11" spans="1:128" x14ac:dyDescent="0.25">
      <c r="A11" s="24">
        <v>10</v>
      </c>
      <c r="B11" s="26">
        <v>4.5</v>
      </c>
      <c r="C11" s="28">
        <v>7.2999999999999995E-2</v>
      </c>
      <c r="D11" s="28">
        <v>0</v>
      </c>
      <c r="E11" s="28">
        <v>9.4E-2</v>
      </c>
      <c r="F11" s="28">
        <v>5.7000000000000002E-2</v>
      </c>
      <c r="G11" s="28">
        <v>0.186</v>
      </c>
      <c r="H11" s="28">
        <v>7.8E-2</v>
      </c>
      <c r="I11" s="28">
        <v>3.2000000000000001E-2</v>
      </c>
      <c r="J11" s="28">
        <v>0</v>
      </c>
      <c r="K11" s="28">
        <v>6.2E-2</v>
      </c>
      <c r="L11" s="28">
        <v>0</v>
      </c>
      <c r="M11" s="28">
        <v>0.185</v>
      </c>
      <c r="N11" s="28">
        <v>0.186</v>
      </c>
      <c r="O11" s="28">
        <v>0.129</v>
      </c>
      <c r="P11" s="28">
        <v>9.5000000000000001E-2</v>
      </c>
      <c r="Q11" s="28">
        <v>6.8000000000000005E-2</v>
      </c>
      <c r="R11" s="28">
        <v>0</v>
      </c>
      <c r="S11" s="28">
        <v>6.2E-2</v>
      </c>
      <c r="T11" s="28">
        <v>0</v>
      </c>
      <c r="U11" s="28">
        <v>0.111</v>
      </c>
      <c r="V11" s="28">
        <v>0.17399999999999999</v>
      </c>
      <c r="W11" s="28">
        <v>3.0000000000000001E-3</v>
      </c>
      <c r="X11" s="28">
        <v>0</v>
      </c>
      <c r="Y11" s="28">
        <v>0.14299999999999999</v>
      </c>
      <c r="Z11" s="28">
        <v>0.17799999999999999</v>
      </c>
      <c r="AA11" s="28">
        <v>3.6999999999999998E-2</v>
      </c>
      <c r="AB11" s="28">
        <v>0</v>
      </c>
      <c r="AC11" s="28">
        <v>0.105</v>
      </c>
      <c r="AD11" s="28">
        <v>0.112</v>
      </c>
      <c r="AE11" s="28">
        <v>0.17799999999999999</v>
      </c>
      <c r="AF11" s="28">
        <v>0</v>
      </c>
      <c r="AG11" s="28">
        <v>0</v>
      </c>
      <c r="AH11" s="28">
        <v>0.187</v>
      </c>
      <c r="AI11" s="28">
        <v>0</v>
      </c>
      <c r="AJ11" s="28">
        <v>0.153</v>
      </c>
      <c r="AK11" s="28">
        <v>0</v>
      </c>
      <c r="AL11" s="28">
        <v>0.1</v>
      </c>
      <c r="AM11" s="28">
        <v>0</v>
      </c>
      <c r="AN11" s="28">
        <v>0.186</v>
      </c>
      <c r="AO11" s="28">
        <v>3.4000000000000002E-2</v>
      </c>
      <c r="AP11" s="28">
        <v>0.158</v>
      </c>
      <c r="AQ11" s="28">
        <v>0.151</v>
      </c>
      <c r="AR11" s="28">
        <v>0.17799999999999999</v>
      </c>
      <c r="AS11" s="28">
        <v>0.17499999999999999</v>
      </c>
      <c r="AT11" s="28">
        <v>0</v>
      </c>
      <c r="AU11" s="28">
        <v>0.183</v>
      </c>
      <c r="AV11" s="28">
        <v>0.13700000000000001</v>
      </c>
      <c r="AW11" s="28">
        <v>0.17299999999999999</v>
      </c>
      <c r="AX11" s="28">
        <v>8.6000000000000007E-2</v>
      </c>
      <c r="AY11" s="28">
        <v>0.185</v>
      </c>
      <c r="AZ11" s="28">
        <v>0.122</v>
      </c>
      <c r="BA11" s="28">
        <v>0.13500000000000001</v>
      </c>
      <c r="BB11" s="28">
        <v>8.3999999999999991E-2</v>
      </c>
      <c r="BC11" s="28">
        <v>0</v>
      </c>
      <c r="BD11" s="28">
        <v>2.5999999999999999E-2</v>
      </c>
      <c r="BE11" s="28">
        <v>3.1E-2</v>
      </c>
      <c r="BF11" s="28">
        <v>1.0999999999999999E-2</v>
      </c>
      <c r="BG11" s="28">
        <v>0</v>
      </c>
      <c r="BH11" s="28">
        <v>6.6000000000000003E-2</v>
      </c>
      <c r="BI11" s="28">
        <v>0.155</v>
      </c>
      <c r="BJ11" s="28">
        <v>7.2999999999999995E-2</v>
      </c>
      <c r="BK11" s="28">
        <v>0.14399999999999999</v>
      </c>
      <c r="BL11" s="28">
        <v>0</v>
      </c>
      <c r="BM11" s="28">
        <v>0.06</v>
      </c>
      <c r="BN11" s="28">
        <v>0</v>
      </c>
      <c r="BO11" s="28">
        <v>5.6000000000000001E-2</v>
      </c>
      <c r="BP11" s="28">
        <v>0.124</v>
      </c>
      <c r="BQ11" s="28">
        <v>0.19600000000000001</v>
      </c>
      <c r="BR11" s="28">
        <v>6.4000000000000001E-2</v>
      </c>
      <c r="BS11" s="28">
        <v>0</v>
      </c>
      <c r="BT11" s="28">
        <v>0</v>
      </c>
      <c r="BU11" s="28">
        <v>6.4999999999999988E-2</v>
      </c>
      <c r="BV11" s="28">
        <v>0.126</v>
      </c>
      <c r="BW11" s="28">
        <v>0</v>
      </c>
      <c r="BX11" s="28">
        <v>0.128</v>
      </c>
      <c r="BY11" s="28">
        <v>0.17799999999999999</v>
      </c>
      <c r="BZ11" s="28">
        <v>0.13100000000000001</v>
      </c>
      <c r="CA11" s="28">
        <v>0.17599999999999999</v>
      </c>
      <c r="CB11" s="28">
        <v>0</v>
      </c>
      <c r="CC11" s="28">
        <v>7.3999999999999996E-2</v>
      </c>
      <c r="CD11" s="28">
        <v>3.6999999999999998E-2</v>
      </c>
      <c r="CE11" s="28">
        <v>9.8999999999999991E-2</v>
      </c>
      <c r="CF11" s="28">
        <v>0.16800000000000001</v>
      </c>
      <c r="CG11" s="28">
        <v>0.192</v>
      </c>
      <c r="CH11" s="28">
        <v>0.16</v>
      </c>
      <c r="CI11" s="28">
        <v>3.5999999999999997E-2</v>
      </c>
      <c r="CJ11" s="28">
        <v>0.155</v>
      </c>
      <c r="CK11" s="28">
        <v>9.6000000000000002E-2</v>
      </c>
      <c r="CL11" s="28">
        <v>0.124</v>
      </c>
      <c r="CM11" s="28">
        <v>7.3999999999999996E-2</v>
      </c>
      <c r="CN11" s="28">
        <v>5.5E-2</v>
      </c>
      <c r="CO11" s="28">
        <v>6.8999999999999992E-2</v>
      </c>
      <c r="CP11" s="28">
        <v>0.123</v>
      </c>
      <c r="CQ11" s="28">
        <v>5.8000000000000003E-2</v>
      </c>
      <c r="CR11" s="28">
        <v>0</v>
      </c>
      <c r="CS11" s="28">
        <v>0.105</v>
      </c>
      <c r="CT11" s="28">
        <v>6.8000000000000005E-2</v>
      </c>
      <c r="CU11" s="28">
        <v>0.04</v>
      </c>
      <c r="CV11" s="28">
        <v>0.15</v>
      </c>
      <c r="CW11" s="28">
        <v>4.7E-2</v>
      </c>
      <c r="CX11" s="28">
        <v>0</v>
      </c>
      <c r="CY11" s="28">
        <v>0.151</v>
      </c>
      <c r="CZ11" s="28">
        <v>6.4000000000000001E-2</v>
      </c>
      <c r="DA11" s="28">
        <v>0.17599999999999999</v>
      </c>
      <c r="DB11" s="28">
        <v>0</v>
      </c>
      <c r="DC11" s="28">
        <v>0</v>
      </c>
      <c r="DD11" s="28">
        <v>7.3999999999999996E-2</v>
      </c>
      <c r="DE11" s="28">
        <v>0.06</v>
      </c>
      <c r="DF11" s="28">
        <v>4.5000000000000012E-2</v>
      </c>
      <c r="DG11" s="28">
        <v>8.6000000000000007E-2</v>
      </c>
      <c r="DH11" s="28">
        <v>0.16700000000000001</v>
      </c>
      <c r="DI11" s="28">
        <v>0</v>
      </c>
      <c r="DJ11" s="28">
        <v>0</v>
      </c>
      <c r="DK11" s="28">
        <v>9.4E-2</v>
      </c>
      <c r="DL11" s="28">
        <v>0.114</v>
      </c>
      <c r="DM11" s="28">
        <v>2.1999999999999999E-2</v>
      </c>
      <c r="DN11" s="28">
        <v>0.152</v>
      </c>
      <c r="DO11" s="28">
        <v>0.17299999999999999</v>
      </c>
      <c r="DP11" s="28">
        <v>3.1E-2</v>
      </c>
      <c r="DQ11" s="28">
        <v>9.8000000000000004E-2</v>
      </c>
      <c r="DR11" s="28">
        <v>0.185</v>
      </c>
      <c r="DS11" s="28">
        <v>0.08</v>
      </c>
      <c r="DT11" s="28">
        <v>0</v>
      </c>
      <c r="DU11" s="28">
        <v>6.0999999999999999E-2</v>
      </c>
      <c r="DV11" s="28">
        <v>0</v>
      </c>
      <c r="DW11" s="28">
        <v>8.3451612903225794E-2</v>
      </c>
      <c r="DX11" s="34">
        <v>10.348000000000001</v>
      </c>
    </row>
    <row r="12" spans="1:128" x14ac:dyDescent="0.25">
      <c r="A12" s="24">
        <v>11</v>
      </c>
      <c r="B12" s="26">
        <v>5</v>
      </c>
      <c r="C12" s="28">
        <v>0.188</v>
      </c>
      <c r="D12" s="28">
        <v>0.23899999999999999</v>
      </c>
      <c r="E12" s="28">
        <v>0.23699999999999999</v>
      </c>
      <c r="F12" s="28">
        <v>0.17199999999999999</v>
      </c>
      <c r="G12" s="28">
        <v>0.41399999999999998</v>
      </c>
      <c r="H12" s="28">
        <v>0.40300000000000002</v>
      </c>
      <c r="I12" s="28">
        <v>0.28699999999999998</v>
      </c>
      <c r="J12" s="28">
        <v>0.315</v>
      </c>
      <c r="K12" s="28">
        <v>0</v>
      </c>
      <c r="L12" s="28">
        <v>0.29499999999999998</v>
      </c>
      <c r="M12" s="28">
        <v>0.33100000000000002</v>
      </c>
      <c r="N12" s="28">
        <v>0.246</v>
      </c>
      <c r="O12" s="28">
        <v>0.24099999999999999</v>
      </c>
      <c r="P12" s="28">
        <v>0.34599999999999997</v>
      </c>
      <c r="Q12" s="28">
        <v>0</v>
      </c>
      <c r="R12" s="28">
        <v>2.3E-2</v>
      </c>
      <c r="S12" s="28">
        <v>0.115</v>
      </c>
      <c r="T12" s="28">
        <v>4.5999999999999999E-2</v>
      </c>
      <c r="U12" s="28">
        <v>0.35499999999999998</v>
      </c>
      <c r="V12" s="28">
        <v>0.27400000000000002</v>
      </c>
      <c r="W12" s="28">
        <v>0</v>
      </c>
      <c r="X12" s="28">
        <v>0.219</v>
      </c>
      <c r="Y12" s="28">
        <v>0.20200000000000001</v>
      </c>
      <c r="Z12" s="28">
        <v>0.40600000000000003</v>
      </c>
      <c r="AA12" s="28">
        <v>0.35099999999999998</v>
      </c>
      <c r="AB12" s="28">
        <v>0.23400000000000001</v>
      </c>
      <c r="AC12" s="28">
        <v>0.41099999999999998</v>
      </c>
      <c r="AD12" s="28">
        <v>0.312</v>
      </c>
      <c r="AE12" s="28">
        <v>0.40600000000000003</v>
      </c>
      <c r="AF12" s="28">
        <v>0.25700000000000001</v>
      </c>
      <c r="AG12" s="28">
        <v>0.22700000000000001</v>
      </c>
      <c r="AH12" s="28">
        <v>0.41499999999999998</v>
      </c>
      <c r="AI12" s="28">
        <v>0.21199999999999999</v>
      </c>
      <c r="AJ12" s="28">
        <v>0.22800000000000001</v>
      </c>
      <c r="AK12" s="28">
        <v>0.28299999999999997</v>
      </c>
      <c r="AL12" s="28">
        <v>0.24299999999999999</v>
      </c>
      <c r="AM12" s="28">
        <v>2.1999999999999999E-2</v>
      </c>
      <c r="AN12" s="28">
        <v>0.36900000000000011</v>
      </c>
      <c r="AO12" s="28">
        <v>0.30099999999999999</v>
      </c>
      <c r="AP12" s="28">
        <v>0.11</v>
      </c>
      <c r="AQ12" s="28">
        <v>0.27500000000000002</v>
      </c>
      <c r="AR12" s="28">
        <v>0.40600000000000003</v>
      </c>
      <c r="AS12" s="28">
        <v>0.40300000000000002</v>
      </c>
      <c r="AT12" s="28">
        <v>0.191</v>
      </c>
      <c r="AU12" s="28">
        <v>0.39600000000000002</v>
      </c>
      <c r="AV12" s="28">
        <v>0.28100000000000003</v>
      </c>
      <c r="AW12" s="28">
        <v>0.40100000000000002</v>
      </c>
      <c r="AX12" s="28">
        <v>0.122</v>
      </c>
      <c r="AY12" s="28">
        <v>0.316</v>
      </c>
      <c r="AZ12" s="28">
        <v>0.29399999999999998</v>
      </c>
      <c r="BA12" s="28">
        <v>0.307</v>
      </c>
      <c r="BB12" s="28">
        <v>0.32400000000000001</v>
      </c>
      <c r="BC12" s="28">
        <v>0.218</v>
      </c>
      <c r="BD12" s="28">
        <v>4.5000000000000012E-2</v>
      </c>
      <c r="BE12" s="28">
        <v>0.34300000000000003</v>
      </c>
      <c r="BF12" s="28">
        <v>0.23100000000000001</v>
      </c>
      <c r="BG12" s="28">
        <v>2.9000000000000001E-2</v>
      </c>
      <c r="BH12" s="28">
        <v>0.18099999999999999</v>
      </c>
      <c r="BI12" s="28">
        <v>0.28899999999999998</v>
      </c>
      <c r="BJ12" s="28">
        <v>0.113</v>
      </c>
      <c r="BK12" s="28">
        <v>0.31</v>
      </c>
      <c r="BL12" s="28">
        <v>0.35299999999999998</v>
      </c>
      <c r="BM12" s="28">
        <v>0</v>
      </c>
      <c r="BN12" s="28">
        <v>0</v>
      </c>
      <c r="BO12" s="28">
        <v>0.34200000000000003</v>
      </c>
      <c r="BP12" s="28">
        <v>0.29599999999999999</v>
      </c>
      <c r="BQ12" s="28">
        <v>0.41699999999999998</v>
      </c>
      <c r="BR12" s="28">
        <v>0.35099999999999998</v>
      </c>
      <c r="BS12" s="28">
        <v>0</v>
      </c>
      <c r="BT12" s="28">
        <v>0.29299999999999998</v>
      </c>
      <c r="BU12" s="28">
        <v>0.40500000000000003</v>
      </c>
      <c r="BV12" s="28">
        <v>0.29799999999999999</v>
      </c>
      <c r="BW12" s="28">
        <v>0.33</v>
      </c>
      <c r="BX12" s="28">
        <v>0.30299999999999999</v>
      </c>
      <c r="BY12" s="28">
        <v>0.28499999999999998</v>
      </c>
      <c r="BZ12" s="28">
        <v>0.21099999999999999</v>
      </c>
      <c r="CA12" s="28">
        <v>0.40400000000000003</v>
      </c>
      <c r="CB12" s="28">
        <v>0.30299999999999999</v>
      </c>
      <c r="CC12" s="28">
        <v>0.36499999999999999</v>
      </c>
      <c r="CD12" s="28">
        <v>0.124</v>
      </c>
      <c r="CE12" s="28">
        <v>0.24199999999999999</v>
      </c>
      <c r="CF12" s="28">
        <v>0.29099999999999998</v>
      </c>
      <c r="CG12" s="28">
        <v>0.42</v>
      </c>
      <c r="CH12" s="28">
        <v>0.29699999999999999</v>
      </c>
      <c r="CI12" s="28">
        <v>0</v>
      </c>
      <c r="CJ12" s="28">
        <v>0.25800000000000001</v>
      </c>
      <c r="CK12" s="28">
        <v>0.114</v>
      </c>
      <c r="CL12" s="28">
        <v>0.29599999999999999</v>
      </c>
      <c r="CM12" s="28">
        <v>6.8000000000000005E-2</v>
      </c>
      <c r="CN12" s="28">
        <v>0.19</v>
      </c>
      <c r="CO12" s="28">
        <v>0.14199999999999999</v>
      </c>
      <c r="CP12" s="28">
        <v>0.41199999999999998</v>
      </c>
      <c r="CQ12" s="28">
        <v>1.4E-2</v>
      </c>
      <c r="CR12" s="28">
        <v>7.4999999999999997E-2</v>
      </c>
      <c r="CS12" s="28">
        <v>0.40400000000000003</v>
      </c>
      <c r="CT12" s="28">
        <v>0.35699999999999998</v>
      </c>
      <c r="CU12" s="28">
        <v>0.183</v>
      </c>
      <c r="CV12" s="28">
        <v>0.35</v>
      </c>
      <c r="CW12" s="28">
        <v>0.13300000000000001</v>
      </c>
      <c r="CX12" s="28">
        <v>0.115</v>
      </c>
      <c r="CY12" s="28">
        <v>0.39700000000000002</v>
      </c>
      <c r="CZ12" s="28">
        <v>0.17899999999999999</v>
      </c>
      <c r="DA12" s="28">
        <v>0.40400000000000003</v>
      </c>
      <c r="DB12" s="28">
        <v>0.249</v>
      </c>
      <c r="DC12" s="28">
        <v>0</v>
      </c>
      <c r="DD12" s="28">
        <v>0.12</v>
      </c>
      <c r="DE12" s="28">
        <v>0.17499999999999999</v>
      </c>
      <c r="DF12" s="28">
        <v>0.255</v>
      </c>
      <c r="DG12" s="28">
        <v>0.34200000000000003</v>
      </c>
      <c r="DH12" s="28">
        <v>0.35599999999999998</v>
      </c>
      <c r="DI12" s="28">
        <v>0.249</v>
      </c>
      <c r="DJ12" s="28">
        <v>0.34100000000000003</v>
      </c>
      <c r="DK12" s="28">
        <v>0.35</v>
      </c>
      <c r="DL12" s="28">
        <v>0.28599999999999998</v>
      </c>
      <c r="DM12" s="28">
        <v>0.34899999999999998</v>
      </c>
      <c r="DN12" s="28">
        <v>0.30299999999999999</v>
      </c>
      <c r="DO12" s="28">
        <v>0.30099999999999999</v>
      </c>
      <c r="DP12" s="28">
        <v>0.21299999999999999</v>
      </c>
      <c r="DQ12" s="28">
        <v>0.24099999999999999</v>
      </c>
      <c r="DR12" s="28">
        <v>0.26100000000000001</v>
      </c>
      <c r="DS12" s="28">
        <v>0.14599999999999999</v>
      </c>
      <c r="DT12" s="28">
        <v>0.17899999999999999</v>
      </c>
      <c r="DU12" s="28">
        <v>0.113</v>
      </c>
      <c r="DV12" s="28">
        <v>0</v>
      </c>
      <c r="DW12" s="28">
        <v>0.2456451612903226</v>
      </c>
      <c r="DX12" s="34">
        <v>30.46</v>
      </c>
    </row>
    <row r="13" spans="1:128" x14ac:dyDescent="0.25">
      <c r="A13" s="24">
        <v>12</v>
      </c>
      <c r="B13" s="26">
        <v>5.5</v>
      </c>
      <c r="C13" s="28">
        <v>0.191</v>
      </c>
      <c r="D13" s="28">
        <v>0.33700000000000002</v>
      </c>
      <c r="E13" s="28">
        <v>0.41299999999999998</v>
      </c>
      <c r="F13" s="28">
        <v>0.312</v>
      </c>
      <c r="G13" s="28">
        <v>0.65</v>
      </c>
      <c r="H13" s="28">
        <v>0.54199999999999993</v>
      </c>
      <c r="I13" s="28">
        <v>0.68900000000000006</v>
      </c>
      <c r="J13" s="28">
        <v>0.38900000000000001</v>
      </c>
      <c r="K13" s="28">
        <v>0.317</v>
      </c>
      <c r="L13" s="28">
        <v>0.505</v>
      </c>
      <c r="M13" s="28">
        <v>0.65899999999999992</v>
      </c>
      <c r="N13" s="28">
        <v>0.69499999999999995</v>
      </c>
      <c r="O13" s="28">
        <v>0.69</v>
      </c>
      <c r="P13" s="28">
        <v>0.60400000000000009</v>
      </c>
      <c r="Q13" s="28">
        <v>0.309</v>
      </c>
      <c r="R13" s="28">
        <v>0.159</v>
      </c>
      <c r="S13" s="28">
        <v>0.30499999999999999</v>
      </c>
      <c r="T13" s="28">
        <v>0</v>
      </c>
      <c r="U13" s="28">
        <v>0.57499999999999996</v>
      </c>
      <c r="V13" s="28">
        <v>0.67</v>
      </c>
      <c r="W13" s="28">
        <v>0.32300000000000001</v>
      </c>
      <c r="X13" s="28">
        <v>0.40699999999999997</v>
      </c>
      <c r="Y13" s="28">
        <v>0.52500000000000002</v>
      </c>
      <c r="Z13" s="28">
        <v>0.6</v>
      </c>
      <c r="AA13" s="28">
        <v>0.505</v>
      </c>
      <c r="AB13" s="28">
        <v>0.20300000000000001</v>
      </c>
      <c r="AC13" s="28">
        <v>0.503</v>
      </c>
      <c r="AD13" s="28">
        <v>0.58499999999999996</v>
      </c>
      <c r="AE13" s="28">
        <v>0.68700000000000006</v>
      </c>
      <c r="AF13" s="28">
        <v>0.42899999999999999</v>
      </c>
      <c r="AG13" s="28">
        <v>0.40300000000000002</v>
      </c>
      <c r="AH13" s="28">
        <v>0.69599999999999995</v>
      </c>
      <c r="AI13" s="28">
        <v>0.501</v>
      </c>
      <c r="AJ13" s="28">
        <v>0.55099999999999993</v>
      </c>
      <c r="AK13" s="28">
        <v>0.50800000000000001</v>
      </c>
      <c r="AL13" s="28">
        <v>0.252</v>
      </c>
      <c r="AM13" s="28">
        <v>0.27500000000000002</v>
      </c>
      <c r="AN13" s="28">
        <v>0.57499999999999996</v>
      </c>
      <c r="AO13" s="28">
        <v>0.61799999999999999</v>
      </c>
      <c r="AP13" s="28">
        <v>0.60299999999999998</v>
      </c>
      <c r="AQ13" s="28">
        <v>0.59599999999999997</v>
      </c>
      <c r="AR13" s="28">
        <v>0.64499999999999991</v>
      </c>
      <c r="AS13" s="28">
        <v>0.68400000000000005</v>
      </c>
      <c r="AT13" s="28">
        <v>0.13700000000000001</v>
      </c>
      <c r="AU13" s="28">
        <v>0.60400000000000009</v>
      </c>
      <c r="AV13" s="28">
        <v>0.43</v>
      </c>
      <c r="AW13" s="28">
        <v>0.68199999999999994</v>
      </c>
      <c r="AX13" s="28">
        <v>0.40500000000000003</v>
      </c>
      <c r="AY13" s="28">
        <v>0.69399999999999995</v>
      </c>
      <c r="AZ13" s="28">
        <v>0.504</v>
      </c>
      <c r="BA13" s="28">
        <v>0.51700000000000002</v>
      </c>
      <c r="BB13" s="28">
        <v>0.67800000000000005</v>
      </c>
      <c r="BC13" s="28">
        <v>0.71199999999999997</v>
      </c>
      <c r="BD13" s="28">
        <v>0</v>
      </c>
      <c r="BE13" s="28">
        <v>0.60199999999999998</v>
      </c>
      <c r="BF13" s="28">
        <v>0.29099999999999998</v>
      </c>
      <c r="BG13" s="28">
        <v>0.22600000000000001</v>
      </c>
      <c r="BH13" s="28">
        <v>0.16300000000000001</v>
      </c>
      <c r="BI13" s="28">
        <v>0.61699999999999999</v>
      </c>
      <c r="BJ13" s="28">
        <v>0.32800000000000001</v>
      </c>
      <c r="BK13" s="28">
        <v>0.38</v>
      </c>
      <c r="BL13" s="28">
        <v>0.53700000000000003</v>
      </c>
      <c r="BM13" s="28">
        <v>0.315</v>
      </c>
      <c r="BN13" s="28">
        <v>0.223</v>
      </c>
      <c r="BO13" s="28">
        <v>0.41399999999999998</v>
      </c>
      <c r="BP13" s="28">
        <v>0.50600000000000001</v>
      </c>
      <c r="BQ13" s="28">
        <v>0.54199999999999993</v>
      </c>
      <c r="BR13" s="28">
        <v>0.46400000000000002</v>
      </c>
      <c r="BS13" s="28">
        <v>0.312</v>
      </c>
      <c r="BT13" s="28">
        <v>0.33100000000000002</v>
      </c>
      <c r="BU13" s="28">
        <v>0.68599999999999994</v>
      </c>
      <c r="BV13" s="28">
        <v>0.50800000000000001</v>
      </c>
      <c r="BW13" s="28">
        <v>0.69200000000000006</v>
      </c>
      <c r="BX13" s="28">
        <v>0.59799999999999998</v>
      </c>
      <c r="BY13" s="28">
        <v>0.65100000000000002</v>
      </c>
      <c r="BZ13" s="28">
        <v>0.437</v>
      </c>
      <c r="CA13" s="28">
        <v>0.68499999999999994</v>
      </c>
      <c r="CB13" s="28">
        <v>0.312</v>
      </c>
      <c r="CC13" s="28">
        <v>0.51900000000000002</v>
      </c>
      <c r="CD13" s="28">
        <v>0.503</v>
      </c>
      <c r="CE13" s="28">
        <v>0.41799999999999998</v>
      </c>
      <c r="CF13" s="28">
        <v>0.59599999999999997</v>
      </c>
      <c r="CG13" s="28">
        <v>0.68700000000000006</v>
      </c>
      <c r="CH13" s="28">
        <v>0.69499999999999995</v>
      </c>
      <c r="CI13" s="28">
        <v>0.22700000000000001</v>
      </c>
      <c r="CJ13" s="28">
        <v>0.56400000000000006</v>
      </c>
      <c r="CK13" s="28">
        <v>0.32600000000000001</v>
      </c>
      <c r="CL13" s="28">
        <v>0.50600000000000001</v>
      </c>
      <c r="CM13" s="28">
        <v>0.499</v>
      </c>
      <c r="CN13" s="28">
        <v>0.33</v>
      </c>
      <c r="CO13" s="28">
        <v>0.41</v>
      </c>
      <c r="CP13" s="28">
        <v>0.69300000000000006</v>
      </c>
      <c r="CQ13" s="28">
        <v>0.313</v>
      </c>
      <c r="CR13" s="28">
        <v>0.185</v>
      </c>
      <c r="CS13" s="28">
        <v>0.68499999999999994</v>
      </c>
      <c r="CT13" s="28">
        <v>0.60199999999999998</v>
      </c>
      <c r="CU13" s="28">
        <v>0.46</v>
      </c>
      <c r="CV13" s="28">
        <v>0.59500000000000008</v>
      </c>
      <c r="CW13" s="28">
        <v>0.23799999999999999</v>
      </c>
      <c r="CX13" s="28">
        <v>1E-3</v>
      </c>
      <c r="CY13" s="28">
        <v>0.70799999999999996</v>
      </c>
      <c r="CZ13" s="28">
        <v>0.31900000000000001</v>
      </c>
      <c r="DA13" s="28">
        <v>0.68499999999999994</v>
      </c>
      <c r="DB13" s="28">
        <v>0.34599999999999997</v>
      </c>
      <c r="DC13" s="28">
        <v>0.155</v>
      </c>
      <c r="DD13" s="28">
        <v>0.32500000000000001</v>
      </c>
      <c r="DE13" s="28">
        <v>0.10299999999999999</v>
      </c>
      <c r="DF13" s="28">
        <v>0.41299999999999998</v>
      </c>
      <c r="DG13" s="28">
        <v>0.68400000000000005</v>
      </c>
      <c r="DH13" s="28">
        <v>0.69200000000000006</v>
      </c>
      <c r="DI13" s="28">
        <v>0.43099999999999999</v>
      </c>
      <c r="DJ13" s="28">
        <v>0.68499999999999994</v>
      </c>
      <c r="DK13" s="28">
        <v>0.48499999999999999</v>
      </c>
      <c r="DL13" s="28">
        <v>0.496</v>
      </c>
      <c r="DM13" s="28">
        <v>0.60799999999999998</v>
      </c>
      <c r="DN13" s="28">
        <v>0.70799999999999996</v>
      </c>
      <c r="DO13" s="28">
        <v>0.55699999999999994</v>
      </c>
      <c r="DP13" s="28">
        <v>0.217</v>
      </c>
      <c r="DQ13" s="28">
        <v>0.32700000000000001</v>
      </c>
      <c r="DR13" s="28">
        <v>0.69399999999999995</v>
      </c>
      <c r="DS13" s="28">
        <v>0.24399999999999999</v>
      </c>
      <c r="DT13" s="28">
        <v>0.31900000000000001</v>
      </c>
      <c r="DU13" s="28">
        <v>0.253</v>
      </c>
      <c r="DV13" s="28">
        <v>1.0999999999999999E-2</v>
      </c>
      <c r="DW13" s="28">
        <v>0.46278225806451612</v>
      </c>
      <c r="DX13" s="34">
        <v>57.384999999999991</v>
      </c>
    </row>
    <row r="14" spans="1:128" x14ac:dyDescent="0.25">
      <c r="A14" s="24">
        <v>13</v>
      </c>
      <c r="B14" s="26">
        <v>6</v>
      </c>
      <c r="C14" s="28">
        <v>0.48099999999999998</v>
      </c>
      <c r="D14" s="28">
        <v>0.49399999999999999</v>
      </c>
      <c r="E14" s="28">
        <v>0.60400000000000009</v>
      </c>
      <c r="F14" s="28">
        <v>0.46500000000000002</v>
      </c>
      <c r="G14" s="28">
        <v>0.97799999999999987</v>
      </c>
      <c r="H14" s="28">
        <v>0.96100000000000008</v>
      </c>
      <c r="I14" s="28">
        <v>0.995</v>
      </c>
      <c r="J14" s="28">
        <v>0.73099999999999998</v>
      </c>
      <c r="K14" s="28">
        <v>0.42599999999999999</v>
      </c>
      <c r="L14" s="28">
        <v>0.60799999999999998</v>
      </c>
      <c r="M14" s="28">
        <v>1</v>
      </c>
      <c r="N14" s="28">
        <v>1.0009999999999999</v>
      </c>
      <c r="O14" s="28">
        <v>0.77600000000000002</v>
      </c>
      <c r="P14" s="28">
        <v>0.52100000000000002</v>
      </c>
      <c r="Q14" s="28">
        <v>0.45800000000000002</v>
      </c>
      <c r="R14" s="28">
        <v>0</v>
      </c>
      <c r="S14" s="28">
        <v>0.45400000000000001</v>
      </c>
      <c r="T14" s="28">
        <v>0.14000000000000001</v>
      </c>
      <c r="U14" s="28">
        <v>0.99400000000000011</v>
      </c>
      <c r="V14" s="28">
        <v>0.9890000000000001</v>
      </c>
      <c r="W14" s="28">
        <v>0.46</v>
      </c>
      <c r="X14" s="28">
        <v>0.55599999999999994</v>
      </c>
      <c r="Y14" s="28">
        <v>0.64200000000000002</v>
      </c>
      <c r="Z14" s="28">
        <v>0.92100000000000004</v>
      </c>
      <c r="AA14" s="28">
        <v>0.84099999999999997</v>
      </c>
      <c r="AB14" s="28">
        <v>0.45200000000000001</v>
      </c>
      <c r="AC14" s="28">
        <v>0.97299999999999998</v>
      </c>
      <c r="AD14" s="28">
        <v>0.71399999999999997</v>
      </c>
      <c r="AE14" s="28">
        <v>0.91299999999999992</v>
      </c>
      <c r="AF14" s="28">
        <v>0.64300000000000002</v>
      </c>
      <c r="AG14" s="28">
        <v>0.43</v>
      </c>
      <c r="AH14" s="28">
        <v>1.002</v>
      </c>
      <c r="AI14" s="28">
        <v>0.64</v>
      </c>
      <c r="AJ14" s="28">
        <v>0.86599999999999999</v>
      </c>
      <c r="AK14" s="28">
        <v>0.73</v>
      </c>
      <c r="AL14" s="28">
        <v>0.61</v>
      </c>
      <c r="AM14" s="28">
        <v>0.28999999999999998</v>
      </c>
      <c r="AN14" s="28">
        <v>1.0009999999999999</v>
      </c>
      <c r="AO14" s="28">
        <v>0.82499999999999996</v>
      </c>
      <c r="AP14" s="28">
        <v>0.871</v>
      </c>
      <c r="AQ14" s="28">
        <v>0.78799999999999992</v>
      </c>
      <c r="AR14" s="28">
        <v>0.85299999999999998</v>
      </c>
      <c r="AS14" s="28">
        <v>0.90600000000000003</v>
      </c>
      <c r="AT14" s="28">
        <v>0.48399999999999999</v>
      </c>
      <c r="AU14" s="28">
        <v>0.998</v>
      </c>
      <c r="AV14" s="28">
        <v>0.79500000000000004</v>
      </c>
      <c r="AW14" s="28">
        <v>0.98799999999999999</v>
      </c>
      <c r="AX14" s="28">
        <v>0.48899999999999988</v>
      </c>
      <c r="AY14" s="28">
        <v>1</v>
      </c>
      <c r="AZ14" s="28">
        <v>0.73399999999999999</v>
      </c>
      <c r="BA14" s="28">
        <v>0.747</v>
      </c>
      <c r="BB14" s="28">
        <v>0.83199999999999996</v>
      </c>
      <c r="BC14" s="28">
        <v>1.018</v>
      </c>
      <c r="BD14" s="28">
        <v>0.35199999999999998</v>
      </c>
      <c r="BE14" s="28">
        <v>0.99199999999999999</v>
      </c>
      <c r="BF14" s="28">
        <v>0.505</v>
      </c>
      <c r="BG14" s="28">
        <v>0.192</v>
      </c>
      <c r="BH14" s="28">
        <v>0.47399999999999998</v>
      </c>
      <c r="BI14" s="28">
        <v>0.98599999999999988</v>
      </c>
      <c r="BJ14" s="28">
        <v>0.43099999999999999</v>
      </c>
      <c r="BK14" s="28">
        <v>0.86899999999999999</v>
      </c>
      <c r="BL14" s="28">
        <v>0.71</v>
      </c>
      <c r="BM14" s="28">
        <v>0.23</v>
      </c>
      <c r="BN14" s="28">
        <v>0.14899999999999999</v>
      </c>
      <c r="BO14" s="28">
        <v>0.85199999999999998</v>
      </c>
      <c r="BP14" s="28">
        <v>0.73599999999999999</v>
      </c>
      <c r="BQ14" s="28">
        <v>1.0109999999999999</v>
      </c>
      <c r="BR14" s="28">
        <v>0.74299999999999999</v>
      </c>
      <c r="BS14" s="28">
        <v>4.8000000000000001E-2</v>
      </c>
      <c r="BT14" s="28">
        <v>0.68199999999999994</v>
      </c>
      <c r="BU14" s="28">
        <v>0.88</v>
      </c>
      <c r="BV14" s="28">
        <v>0.7380000000000001</v>
      </c>
      <c r="BW14" s="28">
        <v>0.90799999999999992</v>
      </c>
      <c r="BX14" s="28">
        <v>0.86599999999999999</v>
      </c>
      <c r="BY14" s="28">
        <v>0.99299999999999999</v>
      </c>
      <c r="BZ14" s="28">
        <v>0.73499999999999999</v>
      </c>
      <c r="CA14" s="28">
        <v>0.99099999999999988</v>
      </c>
      <c r="CB14" s="28">
        <v>0.68099999999999994</v>
      </c>
      <c r="CC14" s="28">
        <v>0.97099999999999997</v>
      </c>
      <c r="CD14" s="28">
        <v>0.73299999999999998</v>
      </c>
      <c r="CE14" s="28">
        <v>0.60899999999999999</v>
      </c>
      <c r="CF14" s="28">
        <v>0.85699999999999998</v>
      </c>
      <c r="CG14" s="28">
        <v>0.92699999999999994</v>
      </c>
      <c r="CH14" s="28">
        <v>0.86399999999999999</v>
      </c>
      <c r="CI14" s="28">
        <v>0.222</v>
      </c>
      <c r="CJ14" s="28">
        <v>0.86799999999999999</v>
      </c>
      <c r="CK14" s="28">
        <v>0.53200000000000003</v>
      </c>
      <c r="CL14" s="28">
        <v>0.73599999999999999</v>
      </c>
      <c r="CM14" s="28">
        <v>0.58499999999999996</v>
      </c>
      <c r="CN14" s="28">
        <v>0.374</v>
      </c>
      <c r="CO14" s="28">
        <v>0.73399999999999999</v>
      </c>
      <c r="CP14" s="28">
        <v>0.9890000000000001</v>
      </c>
      <c r="CQ14" s="28">
        <v>0.32900000000000001</v>
      </c>
      <c r="CR14" s="28">
        <v>0.22600000000000001</v>
      </c>
      <c r="CS14" s="28">
        <v>0.94700000000000006</v>
      </c>
      <c r="CT14" s="28">
        <v>0.74299999999999999</v>
      </c>
      <c r="CU14" s="28">
        <v>0.80099999999999993</v>
      </c>
      <c r="CV14" s="28">
        <v>0.72900000000000009</v>
      </c>
      <c r="CW14" s="28">
        <v>0.22600000000000001</v>
      </c>
      <c r="CX14" s="28">
        <v>0.32800000000000001</v>
      </c>
      <c r="CY14" s="28">
        <v>1.014</v>
      </c>
      <c r="CZ14" s="28">
        <v>0.46</v>
      </c>
      <c r="DA14" s="28">
        <v>0.99099999999999988</v>
      </c>
      <c r="DB14" s="28">
        <v>0.57200000000000006</v>
      </c>
      <c r="DC14" s="28">
        <v>0.24</v>
      </c>
      <c r="DD14" s="28">
        <v>0.48199999999999998</v>
      </c>
      <c r="DE14" s="28">
        <v>0.45400000000000001</v>
      </c>
      <c r="DF14" s="28">
        <v>0.85899999999999999</v>
      </c>
      <c r="DG14" s="28">
        <v>0.91500000000000004</v>
      </c>
      <c r="DH14" s="28">
        <v>0.92699999999999994</v>
      </c>
      <c r="DI14" s="28">
        <v>0.80599999999999994</v>
      </c>
      <c r="DJ14" s="28">
        <v>0.83399999999999996</v>
      </c>
      <c r="DK14" s="28">
        <v>0.8630000000000001</v>
      </c>
      <c r="DL14" s="28">
        <v>0.72599999999999998</v>
      </c>
      <c r="DM14" s="28">
        <v>0.89300000000000002</v>
      </c>
      <c r="DN14" s="28">
        <v>1.014</v>
      </c>
      <c r="DO14" s="28">
        <v>1.01</v>
      </c>
      <c r="DP14" s="28">
        <v>0.56899999999999995</v>
      </c>
      <c r="DQ14" s="28">
        <v>0.49399999999999999</v>
      </c>
      <c r="DR14" s="28">
        <v>0.88300000000000001</v>
      </c>
      <c r="DS14" s="28">
        <v>0.495</v>
      </c>
      <c r="DT14" s="28">
        <v>0.318</v>
      </c>
      <c r="DU14" s="28">
        <v>0.46899999999999997</v>
      </c>
      <c r="DV14" s="28">
        <v>0.151</v>
      </c>
      <c r="DW14" s="28">
        <v>0.69041129032258031</v>
      </c>
      <c r="DX14" s="34">
        <v>85.610999999999962</v>
      </c>
    </row>
    <row r="15" spans="1:128" x14ac:dyDescent="0.25">
      <c r="A15" s="24">
        <v>14</v>
      </c>
      <c r="B15" s="26">
        <v>6.5</v>
      </c>
      <c r="C15" s="28">
        <v>0.63600000000000001</v>
      </c>
      <c r="D15" s="28">
        <v>0.8</v>
      </c>
      <c r="E15" s="28">
        <v>0.79800000000000004</v>
      </c>
      <c r="F15" s="28">
        <v>0.62</v>
      </c>
      <c r="G15" s="28">
        <v>1.3109999999999999</v>
      </c>
      <c r="H15" s="28">
        <v>1.1040000000000001</v>
      </c>
      <c r="I15" s="28">
        <v>1.145</v>
      </c>
      <c r="J15" s="28">
        <v>0.55000000000000004</v>
      </c>
      <c r="K15" s="28">
        <v>0.39400000000000002</v>
      </c>
      <c r="L15" s="28">
        <v>0.96699999999999997</v>
      </c>
      <c r="M15" s="28">
        <v>1.1919999999999999</v>
      </c>
      <c r="N15" s="28">
        <v>1.2949999999999999</v>
      </c>
      <c r="O15" s="28">
        <v>1.28</v>
      </c>
      <c r="P15" s="28">
        <v>0.9840000000000001</v>
      </c>
      <c r="Q15" s="28">
        <v>0.46200000000000002</v>
      </c>
      <c r="R15" s="28">
        <v>8.6000000000000007E-2</v>
      </c>
      <c r="S15" s="28">
        <v>0.47499999999999998</v>
      </c>
      <c r="T15" s="28">
        <v>0.187</v>
      </c>
      <c r="U15" s="28">
        <v>1.1459999999999999</v>
      </c>
      <c r="V15" s="28">
        <v>1.2989999999999999</v>
      </c>
      <c r="W15" s="28">
        <v>0.36399999999999999</v>
      </c>
      <c r="X15" s="28">
        <v>0.71500000000000008</v>
      </c>
      <c r="Y15" s="28">
        <v>0.98699999999999999</v>
      </c>
      <c r="Z15" s="28">
        <v>1.288</v>
      </c>
      <c r="AA15" s="28">
        <v>1.032</v>
      </c>
      <c r="AB15" s="28">
        <v>0.67199999999999993</v>
      </c>
      <c r="AC15" s="28">
        <v>1.2410000000000001</v>
      </c>
      <c r="AD15" s="28">
        <v>1.1950000000000001</v>
      </c>
      <c r="AE15" s="28">
        <v>0.16600000000000001</v>
      </c>
      <c r="AF15" s="28">
        <v>0.96799999999999997</v>
      </c>
      <c r="AG15" s="28">
        <v>0.78799999999999992</v>
      </c>
      <c r="AH15" s="28">
        <v>1.3120000000000001</v>
      </c>
      <c r="AI15" s="28">
        <v>1.1419999999999999</v>
      </c>
      <c r="AJ15" s="28">
        <v>1.044</v>
      </c>
      <c r="AK15" s="28">
        <v>0.80699999999999994</v>
      </c>
      <c r="AL15" s="28">
        <v>0.80400000000000005</v>
      </c>
      <c r="AM15" s="28">
        <v>0.59299999999999997</v>
      </c>
      <c r="AN15" s="28">
        <v>1.1459999999999999</v>
      </c>
      <c r="AO15" s="28">
        <v>1.2310000000000001</v>
      </c>
      <c r="AP15" s="28">
        <v>1.1419999999999999</v>
      </c>
      <c r="AQ15" s="28">
        <v>1.135</v>
      </c>
      <c r="AR15" s="28">
        <v>1.254</v>
      </c>
      <c r="AS15" s="28">
        <v>1.3</v>
      </c>
      <c r="AT15" s="28">
        <v>0.39800000000000002</v>
      </c>
      <c r="AU15" s="28">
        <v>1.3080000000000001</v>
      </c>
      <c r="AV15" s="28">
        <v>1.0289999999999999</v>
      </c>
      <c r="AW15" s="28">
        <v>1.298</v>
      </c>
      <c r="AX15" s="28">
        <v>0.67599999999999993</v>
      </c>
      <c r="AY15" s="28">
        <v>1.141</v>
      </c>
      <c r="AZ15" s="28">
        <v>0.91799999999999993</v>
      </c>
      <c r="BA15" s="28">
        <v>0.97900000000000009</v>
      </c>
      <c r="BB15" s="28">
        <v>1.2949999999999999</v>
      </c>
      <c r="BC15" s="28">
        <v>1.2290000000000001</v>
      </c>
      <c r="BD15" s="28">
        <v>0.17799999999999999</v>
      </c>
      <c r="BE15" s="28">
        <v>1.0940000000000001</v>
      </c>
      <c r="BF15" s="28">
        <v>0.753</v>
      </c>
      <c r="BG15" s="28">
        <v>0.372</v>
      </c>
      <c r="BH15" s="28">
        <v>0.51400000000000001</v>
      </c>
      <c r="BI15" s="28">
        <v>1.123</v>
      </c>
      <c r="BJ15" s="28">
        <v>0.61099999999999999</v>
      </c>
      <c r="BK15" s="28">
        <v>1.014</v>
      </c>
      <c r="BL15" s="28">
        <v>1.07</v>
      </c>
      <c r="BM15" s="28">
        <v>0.58399999999999996</v>
      </c>
      <c r="BN15" s="28">
        <v>0.441</v>
      </c>
      <c r="BO15" s="28">
        <v>1.083</v>
      </c>
      <c r="BP15" s="28">
        <v>0.96799999999999997</v>
      </c>
      <c r="BQ15" s="28">
        <v>1.1499999999999999</v>
      </c>
      <c r="BR15" s="28">
        <v>1.0720000000000001</v>
      </c>
      <c r="BS15" s="28">
        <v>0.62</v>
      </c>
      <c r="BT15" s="28">
        <v>0.79199999999999993</v>
      </c>
      <c r="BU15" s="28">
        <v>1.302</v>
      </c>
      <c r="BV15" s="28">
        <v>0.97000000000000008</v>
      </c>
      <c r="BW15" s="28">
        <v>1.1859999999999999</v>
      </c>
      <c r="BX15" s="28">
        <v>1.137</v>
      </c>
      <c r="BY15" s="28">
        <v>1.1950000000000001</v>
      </c>
      <c r="BZ15" s="28">
        <v>0.81499999999999995</v>
      </c>
      <c r="CA15" s="28">
        <v>1.288</v>
      </c>
      <c r="CB15" s="28">
        <v>0.97499999999999998</v>
      </c>
      <c r="CC15" s="28">
        <v>1.2569999999999999</v>
      </c>
      <c r="CD15" s="28">
        <v>0.85699999999999998</v>
      </c>
      <c r="CE15" s="28">
        <v>0.80300000000000005</v>
      </c>
      <c r="CF15" s="28">
        <v>1.212</v>
      </c>
      <c r="CG15" s="28">
        <v>1.3169999999999999</v>
      </c>
      <c r="CH15" s="28">
        <v>1.073</v>
      </c>
      <c r="CI15" s="28">
        <v>0.40200000000000002</v>
      </c>
      <c r="CJ15" s="28">
        <v>1.018</v>
      </c>
      <c r="CK15" s="28">
        <v>0.76100000000000001</v>
      </c>
      <c r="CL15" s="28">
        <v>0.96799999999999997</v>
      </c>
      <c r="CM15" s="28">
        <v>0.96799999999999997</v>
      </c>
      <c r="CN15" s="28">
        <v>0.59699999999999998</v>
      </c>
      <c r="CO15" s="28">
        <v>0.81400000000000006</v>
      </c>
      <c r="CP15" s="28">
        <v>1.3089999999999999</v>
      </c>
      <c r="CQ15" s="28">
        <v>0.59899999999999998</v>
      </c>
      <c r="CR15" s="28">
        <v>0.46800000000000003</v>
      </c>
      <c r="CS15" s="28">
        <v>1.2649999999999999</v>
      </c>
      <c r="CT15" s="28">
        <v>1.141</v>
      </c>
      <c r="CU15" s="28">
        <v>0.91</v>
      </c>
      <c r="CV15" s="28">
        <v>1.1339999999999999</v>
      </c>
      <c r="CW15" s="28">
        <v>0.42099999999999999</v>
      </c>
      <c r="CX15" s="28">
        <v>0.20699999999999999</v>
      </c>
      <c r="CY15" s="28">
        <v>1.2470000000000001</v>
      </c>
      <c r="CZ15" s="28">
        <v>0.56599999999999995</v>
      </c>
      <c r="DA15" s="28">
        <v>1.262</v>
      </c>
      <c r="DB15" s="28">
        <v>0.80999999999999994</v>
      </c>
      <c r="DC15" s="28">
        <v>0.35399999999999998</v>
      </c>
      <c r="DD15" s="28">
        <v>0.63700000000000001</v>
      </c>
      <c r="DE15" s="28">
        <v>0.51800000000000002</v>
      </c>
      <c r="DF15" s="28">
        <v>1.1160000000000001</v>
      </c>
      <c r="DG15" s="28">
        <v>1.224</v>
      </c>
      <c r="DH15" s="28">
        <v>1.3080000000000001</v>
      </c>
      <c r="DI15" s="28">
        <v>1.036</v>
      </c>
      <c r="DJ15" s="28">
        <v>1.131</v>
      </c>
      <c r="DK15" s="28">
        <v>1.1339999999999999</v>
      </c>
      <c r="DL15" s="28">
        <v>0.95799999999999996</v>
      </c>
      <c r="DM15" s="28">
        <v>1.2210000000000001</v>
      </c>
      <c r="DN15" s="28">
        <v>1.1519999999999999</v>
      </c>
      <c r="DO15" s="28">
        <v>1.2190000000000001</v>
      </c>
      <c r="DP15" s="28">
        <v>0.76300000000000001</v>
      </c>
      <c r="DQ15" s="28">
        <v>0.80199999999999994</v>
      </c>
      <c r="DR15" s="28">
        <v>1.2749999999999999</v>
      </c>
      <c r="DS15" s="28">
        <v>0.496</v>
      </c>
      <c r="DT15" s="28">
        <v>0</v>
      </c>
      <c r="DU15" s="28">
        <v>0.624</v>
      </c>
      <c r="DV15" s="28">
        <v>0.1</v>
      </c>
      <c r="DW15" s="28">
        <v>0.90394354838709678</v>
      </c>
      <c r="DX15" s="34">
        <v>112.089</v>
      </c>
    </row>
    <row r="16" spans="1:128" x14ac:dyDescent="0.25">
      <c r="A16" s="24">
        <v>15</v>
      </c>
      <c r="B16" s="26">
        <v>7</v>
      </c>
      <c r="C16" s="28">
        <v>0.79</v>
      </c>
      <c r="D16" s="28">
        <v>0.85400000000000009</v>
      </c>
      <c r="E16" s="28">
        <v>0.99</v>
      </c>
      <c r="F16" s="28">
        <v>0.77399999999999991</v>
      </c>
      <c r="G16" s="28">
        <v>1.619</v>
      </c>
      <c r="H16" s="28">
        <v>1.5569999999999999</v>
      </c>
      <c r="I16" s="28">
        <v>1.5029999999999999</v>
      </c>
      <c r="J16" s="28">
        <v>1.163</v>
      </c>
      <c r="K16" s="28">
        <v>0.76700000000000002</v>
      </c>
      <c r="L16" s="28">
        <v>1.071</v>
      </c>
      <c r="M16" s="28">
        <v>1.605</v>
      </c>
      <c r="N16" s="28">
        <v>1.446</v>
      </c>
      <c r="O16" s="28">
        <v>1.5369999999999999</v>
      </c>
      <c r="P16" s="28">
        <v>1.1599999999999999</v>
      </c>
      <c r="Q16" s="28">
        <v>0.69</v>
      </c>
      <c r="R16" s="28">
        <v>0.33400000000000002</v>
      </c>
      <c r="S16" s="28">
        <v>0.75800000000000001</v>
      </c>
      <c r="T16" s="28">
        <v>0.14899999999999999</v>
      </c>
      <c r="U16" s="28">
        <v>1.6040000000000001</v>
      </c>
      <c r="V16" s="28">
        <v>1.4219999999999999</v>
      </c>
      <c r="W16" s="28">
        <v>0.76700000000000002</v>
      </c>
      <c r="X16" s="28">
        <v>0.9840000000000001</v>
      </c>
      <c r="Y16" s="28">
        <v>1.151</v>
      </c>
      <c r="Z16" s="28">
        <v>1.466</v>
      </c>
      <c r="AA16" s="28">
        <v>0.5109999999999999</v>
      </c>
      <c r="AB16" s="28">
        <v>0.90300000000000002</v>
      </c>
      <c r="AC16" s="28">
        <v>1.4690000000000001</v>
      </c>
      <c r="AD16" s="28">
        <v>1.615</v>
      </c>
      <c r="AE16" s="28">
        <v>1.611</v>
      </c>
      <c r="AF16" s="28">
        <v>1.0289999999999999</v>
      </c>
      <c r="AG16" s="28">
        <v>0.86799999999999999</v>
      </c>
      <c r="AH16" s="28">
        <v>1.62</v>
      </c>
      <c r="AI16" s="28">
        <v>1.179</v>
      </c>
      <c r="AJ16" s="28">
        <v>1.329</v>
      </c>
      <c r="AK16" s="28">
        <v>1.2010000000000001</v>
      </c>
      <c r="AL16" s="28">
        <v>0.9890000000000001</v>
      </c>
      <c r="AM16" s="28">
        <v>0.63200000000000001</v>
      </c>
      <c r="AN16" s="28">
        <v>1.619</v>
      </c>
      <c r="AO16" s="28">
        <v>1.5189999999999999</v>
      </c>
      <c r="AP16" s="28">
        <v>1.4119999999999999</v>
      </c>
      <c r="AQ16" s="28">
        <v>1.405</v>
      </c>
      <c r="AR16" s="28">
        <v>1.611</v>
      </c>
      <c r="AS16" s="28">
        <v>1.54</v>
      </c>
      <c r="AT16" s="28">
        <v>0.57899999999999996</v>
      </c>
      <c r="AU16" s="28">
        <v>1.57</v>
      </c>
      <c r="AV16" s="28">
        <v>1.2869999999999999</v>
      </c>
      <c r="AW16" s="28">
        <v>1.6060000000000001</v>
      </c>
      <c r="AX16" s="28">
        <v>0.98199999999999998</v>
      </c>
      <c r="AY16" s="28">
        <v>1.6180000000000001</v>
      </c>
      <c r="AZ16" s="28">
        <v>1.1970000000000001</v>
      </c>
      <c r="BA16" s="28">
        <v>0.97799999999999987</v>
      </c>
      <c r="BB16" s="28">
        <v>1.617</v>
      </c>
      <c r="BC16" s="28">
        <v>1.603</v>
      </c>
      <c r="BD16" s="28">
        <v>0.44600000000000001</v>
      </c>
      <c r="BE16" s="28">
        <v>1.61</v>
      </c>
      <c r="BF16" s="28">
        <v>0.81499999999999995</v>
      </c>
      <c r="BG16" s="28">
        <v>0</v>
      </c>
      <c r="BH16" s="28">
        <v>0.57799999999999996</v>
      </c>
      <c r="BI16" s="28">
        <v>1.6020000000000001</v>
      </c>
      <c r="BJ16" s="28">
        <v>0.79</v>
      </c>
      <c r="BK16" s="28">
        <v>1.3029999999999999</v>
      </c>
      <c r="BL16" s="28">
        <v>1.381</v>
      </c>
      <c r="BM16" s="28">
        <v>0.77700000000000002</v>
      </c>
      <c r="BN16" s="28">
        <v>0.54299999999999993</v>
      </c>
      <c r="BO16" s="28">
        <v>1.3009999999999999</v>
      </c>
      <c r="BP16" s="28">
        <v>1.1990000000000001</v>
      </c>
      <c r="BQ16" s="28">
        <v>1.629</v>
      </c>
      <c r="BR16" s="28">
        <v>1.214</v>
      </c>
      <c r="BS16" s="28">
        <v>0.53399999999999992</v>
      </c>
      <c r="BT16" s="28">
        <v>1.165</v>
      </c>
      <c r="BU16" s="28">
        <v>1.538</v>
      </c>
      <c r="BV16" s="28">
        <v>1.2010000000000001</v>
      </c>
      <c r="BW16" s="28">
        <v>1.5209999999999999</v>
      </c>
      <c r="BX16" s="28">
        <v>1.407</v>
      </c>
      <c r="BY16" s="28">
        <v>1.5609999999999999</v>
      </c>
      <c r="BZ16" s="28">
        <v>1.196</v>
      </c>
      <c r="CA16" s="28">
        <v>1.5029999999999999</v>
      </c>
      <c r="CB16" s="28">
        <v>1.0369999999999999</v>
      </c>
      <c r="CC16" s="28">
        <v>1.45</v>
      </c>
      <c r="CD16" s="28">
        <v>1.0760000000000001</v>
      </c>
      <c r="CE16" s="28">
        <v>0.85</v>
      </c>
      <c r="CF16" s="28">
        <v>1.3759999999999999</v>
      </c>
      <c r="CG16" s="28">
        <v>1.625</v>
      </c>
      <c r="CH16" s="28">
        <v>1.619</v>
      </c>
      <c r="CI16" s="28">
        <v>0.52600000000000002</v>
      </c>
      <c r="CJ16" s="28">
        <v>1.397</v>
      </c>
      <c r="CK16" s="28">
        <v>0.81599999999999995</v>
      </c>
      <c r="CL16" s="28">
        <v>1.1990000000000001</v>
      </c>
      <c r="CM16" s="28">
        <v>0.92100000000000004</v>
      </c>
      <c r="CN16" s="28">
        <v>0.78200000000000003</v>
      </c>
      <c r="CO16" s="28">
        <v>1.0820000000000001</v>
      </c>
      <c r="CP16" s="28">
        <v>1.556</v>
      </c>
      <c r="CQ16" s="28">
        <v>0.77500000000000002</v>
      </c>
      <c r="CR16" s="28">
        <v>0.44400000000000001</v>
      </c>
      <c r="CS16" s="28">
        <v>1.609</v>
      </c>
      <c r="CT16" s="28">
        <v>1.411</v>
      </c>
      <c r="CU16" s="28">
        <v>1.1279999999999999</v>
      </c>
      <c r="CV16" s="28">
        <v>1.37</v>
      </c>
      <c r="CW16" s="28">
        <v>0.53700000000000003</v>
      </c>
      <c r="CX16" s="28">
        <v>0.56700000000000006</v>
      </c>
      <c r="CY16" s="28">
        <v>1.3740000000000001</v>
      </c>
      <c r="CZ16" s="28">
        <v>0.78100000000000003</v>
      </c>
      <c r="DA16" s="28">
        <v>1.464</v>
      </c>
      <c r="DB16" s="28">
        <v>0.92400000000000004</v>
      </c>
      <c r="DC16" s="28">
        <v>0.439</v>
      </c>
      <c r="DD16" s="28">
        <v>0.7380000000000001</v>
      </c>
      <c r="DE16" s="28">
        <v>0.65600000000000003</v>
      </c>
      <c r="DF16" s="28">
        <v>1.097</v>
      </c>
      <c r="DG16" s="28">
        <v>1.6080000000000001</v>
      </c>
      <c r="DH16" s="28">
        <v>1.5449999999999999</v>
      </c>
      <c r="DI16" s="28">
        <v>1.1719999999999999</v>
      </c>
      <c r="DJ16" s="28">
        <v>1.4770000000000001</v>
      </c>
      <c r="DK16" s="28">
        <v>1.0580000000000001</v>
      </c>
      <c r="DL16" s="28">
        <v>1.1890000000000001</v>
      </c>
      <c r="DM16" s="28">
        <v>1.5149999999999999</v>
      </c>
      <c r="DN16" s="28">
        <v>1.6319999999999999</v>
      </c>
      <c r="DO16" s="28">
        <v>1.4590000000000001</v>
      </c>
      <c r="DP16" s="28">
        <v>0.77500000000000002</v>
      </c>
      <c r="DQ16" s="28">
        <v>0.92199999999999993</v>
      </c>
      <c r="DR16" s="28">
        <v>1.542</v>
      </c>
      <c r="DS16" s="28">
        <v>0.80400000000000005</v>
      </c>
      <c r="DT16" s="28">
        <v>7.1000000000000008E-2</v>
      </c>
      <c r="DU16" s="28">
        <v>0.68400000000000005</v>
      </c>
      <c r="DV16" s="28">
        <v>0.34200000000000003</v>
      </c>
      <c r="DW16" s="28">
        <v>1.1330241935483869</v>
      </c>
      <c r="DX16" s="34">
        <v>140.495</v>
      </c>
    </row>
    <row r="17" spans="1:128" x14ac:dyDescent="0.25">
      <c r="A17" s="24">
        <v>16</v>
      </c>
      <c r="B17" s="26">
        <v>7.5</v>
      </c>
      <c r="C17" s="28">
        <v>0.94399999999999995</v>
      </c>
      <c r="D17" s="28">
        <v>1.133</v>
      </c>
      <c r="E17" s="28">
        <v>1.1830000000000001</v>
      </c>
      <c r="F17" s="28">
        <v>0.92800000000000005</v>
      </c>
      <c r="G17" s="28">
        <v>1.9279999999999999</v>
      </c>
      <c r="H17" s="28">
        <v>1.821</v>
      </c>
      <c r="I17" s="28">
        <v>1.9219999999999999</v>
      </c>
      <c r="J17" s="28">
        <v>0.7649999999999999</v>
      </c>
      <c r="K17" s="28">
        <v>0.82099999999999995</v>
      </c>
      <c r="L17" s="28">
        <v>1.43</v>
      </c>
      <c r="M17" s="28">
        <v>1.155</v>
      </c>
      <c r="N17" s="28">
        <v>1.59</v>
      </c>
      <c r="O17" s="28">
        <v>1.831</v>
      </c>
      <c r="P17" s="28">
        <v>1.639</v>
      </c>
      <c r="Q17" s="28">
        <v>0.91600000000000004</v>
      </c>
      <c r="R17" s="28">
        <v>0.55900000000000005</v>
      </c>
      <c r="S17" s="28">
        <v>0.88</v>
      </c>
      <c r="T17" s="28">
        <v>0.14599999999999999</v>
      </c>
      <c r="U17" s="28">
        <v>1.857</v>
      </c>
      <c r="V17" s="28">
        <v>1.675</v>
      </c>
      <c r="W17" s="28">
        <v>0.79699999999999993</v>
      </c>
      <c r="X17" s="28">
        <v>1.1479999999999999</v>
      </c>
      <c r="Y17" s="28">
        <v>1.405</v>
      </c>
      <c r="Z17" s="28">
        <v>1.4750000000000001</v>
      </c>
      <c r="AA17" s="28">
        <v>1.59</v>
      </c>
      <c r="AB17" s="28">
        <v>0.96699999999999997</v>
      </c>
      <c r="AC17" s="28">
        <v>1.8819999999999999</v>
      </c>
      <c r="AD17" s="28">
        <v>1.8340000000000001</v>
      </c>
      <c r="AE17" s="28">
        <v>1.873</v>
      </c>
      <c r="AF17" s="28">
        <v>1.431</v>
      </c>
      <c r="AG17" s="28">
        <v>1.0900000000000001</v>
      </c>
      <c r="AH17" s="28">
        <v>1.929</v>
      </c>
      <c r="AI17" s="28">
        <v>1.589</v>
      </c>
      <c r="AJ17" s="28">
        <v>1.6579999999999999</v>
      </c>
      <c r="AK17" s="28">
        <v>1.4330000000000001</v>
      </c>
      <c r="AL17" s="28">
        <v>0.79500000000000004</v>
      </c>
      <c r="AM17" s="28">
        <v>0.82200000000000006</v>
      </c>
      <c r="AN17" s="28">
        <v>1.556</v>
      </c>
      <c r="AO17" s="28">
        <v>1.6559999999999999</v>
      </c>
      <c r="AP17" s="28">
        <v>1.4259999999999999</v>
      </c>
      <c r="AQ17" s="28">
        <v>1.599</v>
      </c>
      <c r="AR17" s="28">
        <v>1.92</v>
      </c>
      <c r="AS17" s="28">
        <v>0</v>
      </c>
      <c r="AT17" s="28">
        <v>0.84299999999999997</v>
      </c>
      <c r="AU17" s="28">
        <v>1.0189999999999999</v>
      </c>
      <c r="AV17" s="28">
        <v>1.6619999999999999</v>
      </c>
      <c r="AW17" s="28">
        <v>0.70600000000000007</v>
      </c>
      <c r="AX17" s="28">
        <v>0.879</v>
      </c>
      <c r="AY17" s="28">
        <v>1.3440000000000001</v>
      </c>
      <c r="AZ17" s="28">
        <v>1.429</v>
      </c>
      <c r="BA17" s="28">
        <v>0.56400000000000006</v>
      </c>
      <c r="BB17" s="28">
        <v>1.6859999999999999</v>
      </c>
      <c r="BC17" s="28">
        <v>1.905</v>
      </c>
      <c r="BD17" s="28">
        <v>0.59699999999999998</v>
      </c>
      <c r="BE17" s="28">
        <v>1.76</v>
      </c>
      <c r="BF17" s="28">
        <v>1.099</v>
      </c>
      <c r="BG17" s="28">
        <v>0.34200000000000003</v>
      </c>
      <c r="BH17" s="28">
        <v>0.78500000000000003</v>
      </c>
      <c r="BI17" s="28">
        <v>1.7589999999999999</v>
      </c>
      <c r="BJ17" s="28">
        <v>0.94399999999999995</v>
      </c>
      <c r="BK17" s="28">
        <v>1.6040000000000001</v>
      </c>
      <c r="BL17" s="28">
        <v>1.5509999999999999</v>
      </c>
      <c r="BM17" s="28">
        <v>0.84500000000000008</v>
      </c>
      <c r="BN17" s="28">
        <v>0.56599999999999995</v>
      </c>
      <c r="BO17" s="28">
        <v>1.341</v>
      </c>
      <c r="BP17" s="28">
        <v>1.2789999999999999</v>
      </c>
      <c r="BQ17" s="28">
        <v>1.6080000000000001</v>
      </c>
      <c r="BR17" s="28">
        <v>1.5880000000000001</v>
      </c>
      <c r="BS17" s="28">
        <v>0.751</v>
      </c>
      <c r="BT17" s="28">
        <v>1.35</v>
      </c>
      <c r="BU17" s="28">
        <v>1.31</v>
      </c>
      <c r="BV17" s="28">
        <v>1.4330000000000001</v>
      </c>
      <c r="BW17" s="28">
        <v>1.72</v>
      </c>
      <c r="BX17" s="28">
        <v>1.581</v>
      </c>
      <c r="BY17" s="28">
        <v>1.706</v>
      </c>
      <c r="BZ17" s="28">
        <v>1.3280000000000001</v>
      </c>
      <c r="CA17" s="28">
        <v>0.77800000000000002</v>
      </c>
      <c r="CB17" s="28">
        <v>1.3440000000000001</v>
      </c>
      <c r="CC17" s="28">
        <v>1.8979999999999999</v>
      </c>
      <c r="CD17" s="28">
        <v>1.3560000000000001</v>
      </c>
      <c r="CE17" s="28">
        <v>1.1850000000000001</v>
      </c>
      <c r="CF17" s="28">
        <v>1.651</v>
      </c>
      <c r="CG17" s="28">
        <v>1.4079999999999999</v>
      </c>
      <c r="CH17" s="28">
        <v>1.653</v>
      </c>
      <c r="CI17" s="28">
        <v>0.56099999999999994</v>
      </c>
      <c r="CJ17" s="28">
        <v>1.661</v>
      </c>
      <c r="CK17" s="28">
        <v>1.1850000000000001</v>
      </c>
      <c r="CL17" s="28">
        <v>1.431</v>
      </c>
      <c r="CM17" s="28">
        <v>1.3819999999999999</v>
      </c>
      <c r="CN17" s="28">
        <v>0</v>
      </c>
      <c r="CO17" s="28">
        <v>1.214</v>
      </c>
      <c r="CP17" s="28">
        <v>0.86499999999999999</v>
      </c>
      <c r="CQ17" s="28">
        <v>0.92900000000000005</v>
      </c>
      <c r="CR17" s="28">
        <v>0.62</v>
      </c>
      <c r="CS17" s="28">
        <v>1.869</v>
      </c>
      <c r="CT17" s="28">
        <v>1.681</v>
      </c>
      <c r="CU17" s="28">
        <v>0.46</v>
      </c>
      <c r="CV17" s="28">
        <v>1.504</v>
      </c>
      <c r="CW17" s="28">
        <v>0.57300000000000006</v>
      </c>
      <c r="CX17" s="28">
        <v>0.48899999999999988</v>
      </c>
      <c r="CY17" s="28">
        <v>0.99</v>
      </c>
      <c r="CZ17" s="28">
        <v>0.86199999999999999</v>
      </c>
      <c r="DA17" s="28">
        <v>0.38900000000000001</v>
      </c>
      <c r="DB17" s="28">
        <v>1.1519999999999999</v>
      </c>
      <c r="DC17" s="28">
        <v>0.61</v>
      </c>
      <c r="DD17" s="28">
        <v>0.88500000000000001</v>
      </c>
      <c r="DE17" s="28">
        <v>0.86799999999999999</v>
      </c>
      <c r="DF17" s="28">
        <v>1.67</v>
      </c>
      <c r="DG17" s="28">
        <v>1.478</v>
      </c>
      <c r="DH17" s="28">
        <v>1.1359999999999999</v>
      </c>
      <c r="DI17" s="28">
        <v>1.611</v>
      </c>
      <c r="DJ17" s="28">
        <v>1.8620000000000001</v>
      </c>
      <c r="DK17" s="28">
        <v>1.462</v>
      </c>
      <c r="DL17" s="28">
        <v>1.421</v>
      </c>
      <c r="DM17" s="28">
        <v>1.7050000000000001</v>
      </c>
      <c r="DN17" s="28">
        <v>1.014</v>
      </c>
      <c r="DO17" s="28">
        <v>1.899</v>
      </c>
      <c r="DP17" s="28">
        <v>1.179</v>
      </c>
      <c r="DQ17" s="28">
        <v>1.0660000000000001</v>
      </c>
      <c r="DR17" s="28">
        <v>1.851</v>
      </c>
      <c r="DS17" s="28">
        <v>0.93</v>
      </c>
      <c r="DT17" s="28">
        <v>0.34599999999999997</v>
      </c>
      <c r="DU17" s="28">
        <v>0.90100000000000002</v>
      </c>
      <c r="DV17" s="28">
        <v>0.20899999999999999</v>
      </c>
      <c r="DW17" s="28">
        <v>1.234475806451613</v>
      </c>
      <c r="DX17" s="34">
        <v>153.07499999999999</v>
      </c>
    </row>
    <row r="18" spans="1:128" x14ac:dyDescent="0.25">
      <c r="A18" s="24">
        <v>17</v>
      </c>
      <c r="B18" s="26">
        <v>8</v>
      </c>
      <c r="C18" s="28">
        <v>1.089</v>
      </c>
      <c r="D18" s="28">
        <v>1.2969999999999999</v>
      </c>
      <c r="E18" s="28">
        <v>1.3640000000000001</v>
      </c>
      <c r="F18" s="28">
        <v>0.57600000000000007</v>
      </c>
      <c r="G18" s="28">
        <v>6.8000000000000005E-2</v>
      </c>
      <c r="H18" s="28">
        <v>0.16300000000000001</v>
      </c>
      <c r="I18" s="28">
        <v>0.109</v>
      </c>
      <c r="J18" s="28">
        <v>0</v>
      </c>
      <c r="K18" s="28">
        <v>0.90700000000000003</v>
      </c>
      <c r="L18" s="28">
        <v>1.448</v>
      </c>
      <c r="M18" s="28">
        <v>0</v>
      </c>
      <c r="N18" s="28">
        <v>0</v>
      </c>
      <c r="O18" s="28">
        <v>1.4850000000000001</v>
      </c>
      <c r="P18" s="28">
        <v>1.262</v>
      </c>
      <c r="Q18" s="28">
        <v>0</v>
      </c>
      <c r="R18" s="28">
        <v>0</v>
      </c>
      <c r="S18" s="28">
        <v>1.0409999999999999</v>
      </c>
      <c r="T18" s="28">
        <v>0.121</v>
      </c>
      <c r="U18" s="28">
        <v>0</v>
      </c>
      <c r="V18" s="28">
        <v>9.2999999999999999E-2</v>
      </c>
      <c r="W18" s="28">
        <v>0.92500000000000004</v>
      </c>
      <c r="X18" s="28">
        <v>1.103</v>
      </c>
      <c r="Y18" s="28">
        <v>0.89600000000000002</v>
      </c>
      <c r="Z18" s="28">
        <v>0</v>
      </c>
      <c r="AA18" s="28">
        <v>1.3009999999999999</v>
      </c>
      <c r="AB18" s="28">
        <v>1.2509999999999999</v>
      </c>
      <c r="AC18" s="28">
        <v>3.1E-2</v>
      </c>
      <c r="AD18" s="28">
        <v>0.47399999999999998</v>
      </c>
      <c r="AE18" s="28">
        <v>1.0620000000000001</v>
      </c>
      <c r="AF18" s="28">
        <v>1.5549999999999999</v>
      </c>
      <c r="AG18" s="28">
        <v>1.3540000000000001</v>
      </c>
      <c r="AH18" s="28">
        <v>6.2E-2</v>
      </c>
      <c r="AI18" s="28">
        <v>1.577</v>
      </c>
      <c r="AJ18" s="28">
        <v>0.66</v>
      </c>
      <c r="AK18" s="28">
        <v>1.427</v>
      </c>
      <c r="AL18" s="28">
        <v>1.3340000000000001</v>
      </c>
      <c r="AM18" s="28">
        <v>0.98299999999999998</v>
      </c>
      <c r="AN18" s="28">
        <v>0</v>
      </c>
      <c r="AO18" s="28">
        <v>0.94200000000000006</v>
      </c>
      <c r="AP18" s="28">
        <v>0</v>
      </c>
      <c r="AQ18" s="28">
        <v>0.17899999999999999</v>
      </c>
      <c r="AR18" s="28">
        <v>1.103</v>
      </c>
      <c r="AS18" s="28">
        <v>0.52200000000000002</v>
      </c>
      <c r="AT18" s="28">
        <v>0.94</v>
      </c>
      <c r="AU18" s="28">
        <v>0</v>
      </c>
      <c r="AV18" s="28">
        <v>1.3089999999999999</v>
      </c>
      <c r="AW18" s="28">
        <v>0</v>
      </c>
      <c r="AX18" s="28">
        <v>1.1399999999999999</v>
      </c>
      <c r="AY18" s="28">
        <v>0</v>
      </c>
      <c r="AZ18" s="28">
        <v>1.5549999999999999</v>
      </c>
      <c r="BA18" s="28">
        <v>1.635</v>
      </c>
      <c r="BB18" s="28">
        <v>0</v>
      </c>
      <c r="BC18" s="28">
        <v>0.29199999999999998</v>
      </c>
      <c r="BD18" s="28">
        <v>0.64</v>
      </c>
      <c r="BE18" s="28">
        <v>0.15</v>
      </c>
      <c r="BF18" s="28">
        <v>1.304</v>
      </c>
      <c r="BG18" s="28">
        <v>0.76999999999999991</v>
      </c>
      <c r="BH18" s="28">
        <v>0.60699999999999998</v>
      </c>
      <c r="BI18" s="28">
        <v>9.1999999999999998E-2</v>
      </c>
      <c r="BJ18" s="28">
        <v>0.89100000000000001</v>
      </c>
      <c r="BK18" s="28">
        <v>0.98699999999999999</v>
      </c>
      <c r="BL18" s="28">
        <v>0.83600000000000008</v>
      </c>
      <c r="BM18" s="28">
        <v>1.0760000000000001</v>
      </c>
      <c r="BN18" s="28">
        <v>0.753</v>
      </c>
      <c r="BO18" s="28">
        <v>1.774</v>
      </c>
      <c r="BP18" s="28">
        <v>0.65899999999999992</v>
      </c>
      <c r="BQ18" s="28">
        <v>0</v>
      </c>
      <c r="BR18" s="28">
        <v>1.1399999999999999</v>
      </c>
      <c r="BS18" s="28">
        <v>0.96000000000000008</v>
      </c>
      <c r="BT18" s="28">
        <v>1.5509999999999999</v>
      </c>
      <c r="BU18" s="28">
        <v>0</v>
      </c>
      <c r="BV18" s="28">
        <v>0.47299999999999998</v>
      </c>
      <c r="BW18" s="28">
        <v>0.53600000000000003</v>
      </c>
      <c r="BX18" s="28">
        <v>0</v>
      </c>
      <c r="BY18" s="28">
        <v>0</v>
      </c>
      <c r="BZ18" s="28">
        <v>1.536</v>
      </c>
      <c r="CA18" s="28">
        <v>0</v>
      </c>
      <c r="CB18" s="28">
        <v>1.655</v>
      </c>
      <c r="CC18" s="28">
        <v>0.01</v>
      </c>
      <c r="CD18" s="28">
        <v>1.573</v>
      </c>
      <c r="CE18" s="28">
        <v>1.369</v>
      </c>
      <c r="CF18" s="28">
        <v>1.1839999999999999</v>
      </c>
      <c r="CG18" s="28">
        <v>0</v>
      </c>
      <c r="CH18" s="28">
        <v>0</v>
      </c>
      <c r="CI18" s="28">
        <v>0.79800000000000004</v>
      </c>
      <c r="CJ18" s="28">
        <v>0.55900000000000005</v>
      </c>
      <c r="CK18" s="28">
        <v>0.85400000000000009</v>
      </c>
      <c r="CL18" s="28">
        <v>0.50700000000000001</v>
      </c>
      <c r="CM18" s="28">
        <v>1.1990000000000001</v>
      </c>
      <c r="CN18" s="28">
        <v>0.92800000000000005</v>
      </c>
      <c r="CO18" s="28">
        <v>1.4950000000000001</v>
      </c>
      <c r="CP18" s="28">
        <v>0</v>
      </c>
      <c r="CQ18" s="28">
        <v>0.95200000000000007</v>
      </c>
      <c r="CR18" s="28">
        <v>0.66799999999999993</v>
      </c>
      <c r="CS18" s="28">
        <v>9.8999999999999991E-2</v>
      </c>
      <c r="CT18" s="28">
        <v>0.17199999999999999</v>
      </c>
      <c r="CU18" s="28">
        <v>1.75</v>
      </c>
      <c r="CV18" s="28">
        <v>0.56700000000000006</v>
      </c>
      <c r="CW18" s="28">
        <v>0.80900000000000005</v>
      </c>
      <c r="CX18" s="28">
        <v>0.64200000000000002</v>
      </c>
      <c r="CY18" s="28">
        <v>0</v>
      </c>
      <c r="CZ18" s="28">
        <v>1.08</v>
      </c>
      <c r="DA18" s="28">
        <v>0.45300000000000001</v>
      </c>
      <c r="DB18" s="28">
        <v>1.3759999999999999</v>
      </c>
      <c r="DC18" s="28">
        <v>0.64800000000000002</v>
      </c>
      <c r="DD18" s="28">
        <v>1.0900000000000001</v>
      </c>
      <c r="DE18" s="28">
        <v>0.72599999999999998</v>
      </c>
      <c r="DF18" s="28">
        <v>1.786</v>
      </c>
      <c r="DG18" s="28">
        <v>0</v>
      </c>
      <c r="DH18" s="28">
        <v>0</v>
      </c>
      <c r="DI18" s="28">
        <v>1.0489999999999999</v>
      </c>
      <c r="DJ18" s="28">
        <v>1.044</v>
      </c>
      <c r="DK18" s="28">
        <v>0.77399999999999991</v>
      </c>
      <c r="DL18" s="28">
        <v>1.359</v>
      </c>
      <c r="DM18" s="28">
        <v>3.2000000000000001E-2</v>
      </c>
      <c r="DN18" s="28">
        <v>0</v>
      </c>
      <c r="DO18" s="28">
        <v>0</v>
      </c>
      <c r="DP18" s="28">
        <v>1.1879999999999999</v>
      </c>
      <c r="DQ18" s="28">
        <v>1.3380000000000001</v>
      </c>
      <c r="DR18" s="28">
        <v>1.2769999999999999</v>
      </c>
      <c r="DS18" s="28">
        <v>0.97699999999999998</v>
      </c>
      <c r="DT18" s="28">
        <v>0.69599999999999995</v>
      </c>
      <c r="DU18" s="28">
        <v>0.89899999999999991</v>
      </c>
      <c r="DV18" s="28">
        <v>0.317</v>
      </c>
      <c r="DW18" s="28">
        <v>0.71991129032258061</v>
      </c>
      <c r="DX18" s="34">
        <v>89.268999999999991</v>
      </c>
    </row>
    <row r="19" spans="1:128" x14ac:dyDescent="0.25">
      <c r="A19" s="24">
        <v>18</v>
      </c>
      <c r="B19" s="26">
        <v>8.5</v>
      </c>
      <c r="C19" s="28">
        <v>1.109</v>
      </c>
      <c r="D19" s="28">
        <v>1.3460000000000001</v>
      </c>
      <c r="E19" s="28">
        <v>0.20300000000000001</v>
      </c>
      <c r="F19" s="28">
        <v>0.70600000000000007</v>
      </c>
      <c r="G19" s="28">
        <v>0</v>
      </c>
      <c r="H19" s="28">
        <v>0</v>
      </c>
      <c r="I19" s="28">
        <v>0</v>
      </c>
      <c r="J19" s="28">
        <v>1.8460000000000001</v>
      </c>
      <c r="K19" s="28">
        <v>0.64100000000000001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1.101</v>
      </c>
      <c r="R19" s="28">
        <v>0.7</v>
      </c>
      <c r="S19" s="28">
        <v>1.177</v>
      </c>
      <c r="T19" s="28">
        <v>0</v>
      </c>
      <c r="U19" s="28">
        <v>0</v>
      </c>
      <c r="V19" s="28">
        <v>0</v>
      </c>
      <c r="W19" s="28">
        <v>1.165</v>
      </c>
      <c r="X19" s="28">
        <v>0.85899999999999999</v>
      </c>
      <c r="Y19" s="28">
        <v>0</v>
      </c>
      <c r="Z19" s="28">
        <v>0</v>
      </c>
      <c r="AA19" s="28">
        <v>0</v>
      </c>
      <c r="AB19" s="28">
        <v>1.379</v>
      </c>
      <c r="AC19" s="28">
        <v>0</v>
      </c>
      <c r="AD19" s="28">
        <v>0</v>
      </c>
      <c r="AE19" s="28">
        <v>0</v>
      </c>
      <c r="AF19" s="28">
        <v>0.54699999999999993</v>
      </c>
      <c r="AG19" s="28">
        <v>1.288</v>
      </c>
      <c r="AH19" s="28">
        <v>0</v>
      </c>
      <c r="AI19" s="28">
        <v>0</v>
      </c>
      <c r="AJ19" s="28">
        <v>0</v>
      </c>
      <c r="AK19" s="28">
        <v>0</v>
      </c>
      <c r="AL19" s="28">
        <v>5.7000000000000002E-2</v>
      </c>
      <c r="AM19" s="28">
        <v>0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1.024</v>
      </c>
      <c r="AU19" s="28">
        <v>0</v>
      </c>
      <c r="AV19" s="28">
        <v>0</v>
      </c>
      <c r="AW19" s="28">
        <v>0</v>
      </c>
      <c r="AX19" s="28">
        <v>1.385</v>
      </c>
      <c r="AY19" s="28">
        <v>0</v>
      </c>
      <c r="AZ19" s="28">
        <v>0</v>
      </c>
      <c r="BA19" s="28">
        <v>0.158</v>
      </c>
      <c r="BB19" s="28">
        <v>0</v>
      </c>
      <c r="BC19" s="28">
        <v>0</v>
      </c>
      <c r="BD19" s="28">
        <v>0.83299999999999996</v>
      </c>
      <c r="BE19" s="28">
        <v>0</v>
      </c>
      <c r="BF19" s="28">
        <v>1.401</v>
      </c>
      <c r="BG19" s="28">
        <v>0.86399999999999999</v>
      </c>
      <c r="BH19" s="28">
        <v>1.218</v>
      </c>
      <c r="BI19" s="28">
        <v>0</v>
      </c>
      <c r="BJ19" s="28">
        <v>1.0640000000000001</v>
      </c>
      <c r="BK19" s="28">
        <v>0</v>
      </c>
      <c r="BL19" s="28">
        <v>0</v>
      </c>
      <c r="BM19" s="28">
        <v>0.93499999999999994</v>
      </c>
      <c r="BN19" s="28">
        <v>0.88099999999999989</v>
      </c>
      <c r="BO19" s="28">
        <v>0.80599999999999994</v>
      </c>
      <c r="BP19" s="28">
        <v>0</v>
      </c>
      <c r="BQ19" s="28">
        <v>0</v>
      </c>
      <c r="BR19" s="28">
        <v>0</v>
      </c>
      <c r="BS19" s="28">
        <v>0.41199999999999998</v>
      </c>
      <c r="BT19" s="28">
        <v>0.64</v>
      </c>
      <c r="BU19" s="28">
        <v>0</v>
      </c>
      <c r="BV19" s="28">
        <v>0</v>
      </c>
      <c r="BW19" s="28">
        <v>0</v>
      </c>
      <c r="BX19" s="28">
        <v>0</v>
      </c>
      <c r="BY19" s="28">
        <v>0</v>
      </c>
      <c r="BZ19" s="28">
        <v>5.7000000000000002E-2</v>
      </c>
      <c r="CA19" s="28">
        <v>0</v>
      </c>
      <c r="CB19" s="28">
        <v>0.52600000000000002</v>
      </c>
      <c r="CC19" s="28">
        <v>0</v>
      </c>
      <c r="CD19" s="28">
        <v>0.45600000000000002</v>
      </c>
      <c r="CE19" s="28">
        <v>0.16</v>
      </c>
      <c r="CF19" s="28">
        <v>0</v>
      </c>
      <c r="CG19" s="28">
        <v>0</v>
      </c>
      <c r="CH19" s="28">
        <v>0</v>
      </c>
      <c r="CI19" s="28">
        <v>0.48599999999999999</v>
      </c>
      <c r="CJ19" s="28">
        <v>0</v>
      </c>
      <c r="CK19" s="28">
        <v>1.466</v>
      </c>
      <c r="CL19" s="28">
        <v>0</v>
      </c>
      <c r="CM19" s="28">
        <v>0.53900000000000003</v>
      </c>
      <c r="CN19" s="28">
        <v>1.2190000000000001</v>
      </c>
      <c r="CO19" s="28">
        <v>0.86399999999999999</v>
      </c>
      <c r="CP19" s="28">
        <v>0</v>
      </c>
      <c r="CQ19" s="28">
        <v>1.1739999999999999</v>
      </c>
      <c r="CR19" s="28">
        <v>0.91</v>
      </c>
      <c r="CS19" s="28">
        <v>0</v>
      </c>
      <c r="CT19" s="28">
        <v>0</v>
      </c>
      <c r="CU19" s="28">
        <v>2.0310000000000001</v>
      </c>
      <c r="CV19" s="28">
        <v>0</v>
      </c>
      <c r="CW19" s="28">
        <v>0.73599999999999999</v>
      </c>
      <c r="CX19" s="28">
        <v>0.67199999999999993</v>
      </c>
      <c r="CY19" s="28">
        <v>0</v>
      </c>
      <c r="CZ19" s="28">
        <v>1.052</v>
      </c>
      <c r="DA19" s="28">
        <v>0</v>
      </c>
      <c r="DB19" s="28">
        <v>0.59299999999999997</v>
      </c>
      <c r="DC19" s="28">
        <v>0.55000000000000004</v>
      </c>
      <c r="DD19" s="28">
        <v>1.226</v>
      </c>
      <c r="DE19" s="28">
        <v>0</v>
      </c>
      <c r="DF19" s="28">
        <v>0.72799999999999998</v>
      </c>
      <c r="DG19" s="28">
        <v>0</v>
      </c>
      <c r="DH19" s="28">
        <v>0</v>
      </c>
      <c r="DI19" s="28">
        <v>0.96699999999999997</v>
      </c>
      <c r="DJ19" s="28">
        <v>0</v>
      </c>
      <c r="DK19" s="28">
        <v>0</v>
      </c>
      <c r="DL19" s="28">
        <v>0</v>
      </c>
      <c r="DM19" s="28">
        <v>0</v>
      </c>
      <c r="DN19" s="28">
        <v>0</v>
      </c>
      <c r="DO19" s="28">
        <v>0</v>
      </c>
      <c r="DP19" s="28">
        <v>1.1519999999999999</v>
      </c>
      <c r="DQ19" s="28">
        <v>1.2450000000000001</v>
      </c>
      <c r="DR19" s="28">
        <v>0</v>
      </c>
      <c r="DS19" s="28">
        <v>1.2390000000000001</v>
      </c>
      <c r="DT19" s="28">
        <v>0.871</v>
      </c>
      <c r="DU19" s="28">
        <v>1.014</v>
      </c>
      <c r="DV19" s="28">
        <v>0.126</v>
      </c>
      <c r="DW19" s="28">
        <v>0.38551612903225801</v>
      </c>
      <c r="DX19" s="34">
        <v>47.803999999999988</v>
      </c>
    </row>
    <row r="20" spans="1:128" x14ac:dyDescent="0.25">
      <c r="A20" s="24">
        <v>19</v>
      </c>
      <c r="B20" s="26">
        <v>9</v>
      </c>
      <c r="C20" s="28">
        <v>0.73099999999999998</v>
      </c>
      <c r="D20" s="28">
        <v>0</v>
      </c>
      <c r="E20" s="28">
        <v>0</v>
      </c>
      <c r="F20" s="28">
        <v>0</v>
      </c>
      <c r="G20" s="28">
        <v>0</v>
      </c>
      <c r="H20" s="28">
        <v>0</v>
      </c>
      <c r="I20" s="28">
        <v>0</v>
      </c>
      <c r="J20" s="28">
        <v>0.8630000000000001</v>
      </c>
      <c r="K20" s="28">
        <v>1.1659999999999999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0</v>
      </c>
      <c r="R20" s="28">
        <v>0.88500000000000001</v>
      </c>
      <c r="S20" s="28">
        <v>1.33</v>
      </c>
      <c r="T20" s="28">
        <v>0.312</v>
      </c>
      <c r="U20" s="28">
        <v>0</v>
      </c>
      <c r="V20" s="28">
        <v>0</v>
      </c>
      <c r="W20" s="28">
        <v>1.1220000000000001</v>
      </c>
      <c r="X20" s="28">
        <v>0.27</v>
      </c>
      <c r="Y20" s="28">
        <v>0</v>
      </c>
      <c r="Z20" s="28">
        <v>0</v>
      </c>
      <c r="AA20" s="28">
        <v>0</v>
      </c>
      <c r="AB20" s="28">
        <v>1.1919999999999999</v>
      </c>
      <c r="AC20" s="28">
        <v>0</v>
      </c>
      <c r="AD20" s="28">
        <v>0</v>
      </c>
      <c r="AE20" s="28">
        <v>0</v>
      </c>
      <c r="AF20" s="28">
        <v>0</v>
      </c>
      <c r="AG20" s="28">
        <v>0.59899999999999998</v>
      </c>
      <c r="AH20" s="28">
        <v>0</v>
      </c>
      <c r="AI20" s="28">
        <v>0</v>
      </c>
      <c r="AJ20" s="28">
        <v>0</v>
      </c>
      <c r="AK20" s="28">
        <v>0</v>
      </c>
      <c r="AL20" s="28">
        <v>1.0960000000000001</v>
      </c>
      <c r="AM20" s="28">
        <v>0.83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0.67500000000000004</v>
      </c>
      <c r="AT20" s="28">
        <v>0.48099999999999998</v>
      </c>
      <c r="AU20" s="28">
        <v>0</v>
      </c>
      <c r="AV20" s="28">
        <v>0</v>
      </c>
      <c r="AW20" s="28">
        <v>0</v>
      </c>
      <c r="AX20" s="28">
        <v>0.44500000000000001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0.80300000000000005</v>
      </c>
      <c r="BE20" s="28">
        <v>0</v>
      </c>
      <c r="BF20" s="28">
        <v>0.81099999999999994</v>
      </c>
      <c r="BG20" s="28">
        <v>0.90700000000000003</v>
      </c>
      <c r="BH20" s="28">
        <v>1.1180000000000001</v>
      </c>
      <c r="BI20" s="28">
        <v>0</v>
      </c>
      <c r="BJ20" s="28">
        <v>0.76600000000000001</v>
      </c>
      <c r="BK20" s="28">
        <v>0</v>
      </c>
      <c r="BL20" s="28">
        <v>0</v>
      </c>
      <c r="BM20" s="28">
        <v>1.3</v>
      </c>
      <c r="BN20" s="28">
        <v>0.85099999999999998</v>
      </c>
      <c r="BO20" s="28">
        <v>0</v>
      </c>
      <c r="BP20" s="28">
        <v>0</v>
      </c>
      <c r="BQ20" s="28">
        <v>0</v>
      </c>
      <c r="BR20" s="28">
        <v>0</v>
      </c>
      <c r="BS20" s="28">
        <v>0.82299999999999995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0</v>
      </c>
      <c r="CD20" s="28">
        <v>0</v>
      </c>
      <c r="CE20" s="28">
        <v>0</v>
      </c>
      <c r="CF20" s="28">
        <v>0</v>
      </c>
      <c r="CG20" s="28">
        <v>0</v>
      </c>
      <c r="CH20" s="28">
        <v>0</v>
      </c>
      <c r="CI20" s="28">
        <v>0.68599999999999994</v>
      </c>
      <c r="CJ20" s="28">
        <v>0</v>
      </c>
      <c r="CK20" s="28">
        <v>0.69800000000000006</v>
      </c>
      <c r="CL20" s="28">
        <v>0</v>
      </c>
      <c r="CM20" s="28">
        <v>0.45900000000000002</v>
      </c>
      <c r="CN20" s="28">
        <v>1.125</v>
      </c>
      <c r="CO20" s="28">
        <v>0</v>
      </c>
      <c r="CP20" s="28">
        <v>0</v>
      </c>
      <c r="CQ20" s="28">
        <v>1.2270000000000001</v>
      </c>
      <c r="CR20" s="28">
        <v>0.83100000000000007</v>
      </c>
      <c r="CS20" s="28">
        <v>0</v>
      </c>
      <c r="CT20" s="28">
        <v>0</v>
      </c>
      <c r="CU20" s="28">
        <v>0.20399999999999999</v>
      </c>
      <c r="CV20" s="28">
        <v>0</v>
      </c>
      <c r="CW20" s="28">
        <v>0.998</v>
      </c>
      <c r="CX20" s="28">
        <v>0.87</v>
      </c>
      <c r="CY20" s="28">
        <v>0</v>
      </c>
      <c r="CZ20" s="28">
        <v>0.76700000000000002</v>
      </c>
      <c r="DA20" s="28">
        <v>0</v>
      </c>
      <c r="DB20" s="28">
        <v>0</v>
      </c>
      <c r="DC20" s="28">
        <v>0.70799999999999996</v>
      </c>
      <c r="DD20" s="28">
        <v>0.28699999999999998</v>
      </c>
      <c r="DE20" s="28">
        <v>0</v>
      </c>
      <c r="DF20" s="28">
        <v>0</v>
      </c>
      <c r="DG20" s="28">
        <v>0</v>
      </c>
      <c r="DH20" s="28">
        <v>0</v>
      </c>
      <c r="DI20" s="28">
        <v>0</v>
      </c>
      <c r="DJ20" s="28">
        <v>0</v>
      </c>
      <c r="DK20" s="28">
        <v>0</v>
      </c>
      <c r="DL20" s="28">
        <v>0</v>
      </c>
      <c r="DM20" s="28">
        <v>0</v>
      </c>
      <c r="DN20" s="28">
        <v>0</v>
      </c>
      <c r="DO20" s="28">
        <v>0</v>
      </c>
      <c r="DP20" s="28">
        <v>0.75</v>
      </c>
      <c r="DQ20" s="28">
        <v>0</v>
      </c>
      <c r="DR20" s="28">
        <v>0</v>
      </c>
      <c r="DS20" s="28">
        <v>1.355</v>
      </c>
      <c r="DT20" s="28">
        <v>1.1319999999999999</v>
      </c>
      <c r="DU20" s="28">
        <v>0.72099999999999997</v>
      </c>
      <c r="DV20" s="28">
        <v>0</v>
      </c>
      <c r="DW20" s="28">
        <v>0.25962903225806461</v>
      </c>
      <c r="DX20" s="34">
        <v>32.194000000000003</v>
      </c>
    </row>
    <row r="21" spans="1:128" x14ac:dyDescent="0.25">
      <c r="A21" s="24">
        <v>20</v>
      </c>
      <c r="B21" s="26">
        <v>9.5</v>
      </c>
      <c r="C21" s="28">
        <v>0</v>
      </c>
      <c r="D21" s="28">
        <v>0</v>
      </c>
      <c r="E21" s="28">
        <v>0</v>
      </c>
      <c r="F21" s="28">
        <v>1.0309999999999999</v>
      </c>
      <c r="G21" s="28">
        <v>0</v>
      </c>
      <c r="H21" s="28">
        <v>0</v>
      </c>
      <c r="I21" s="28">
        <v>0</v>
      </c>
      <c r="J21" s="28">
        <v>0</v>
      </c>
      <c r="K21" s="28">
        <v>1.2849999999999999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1.093</v>
      </c>
      <c r="R21" s="28">
        <v>0.75</v>
      </c>
      <c r="S21" s="28">
        <v>1.371</v>
      </c>
      <c r="T21" s="28">
        <v>0.43</v>
      </c>
      <c r="U21" s="28">
        <v>0</v>
      </c>
      <c r="V21" s="28">
        <v>0</v>
      </c>
      <c r="W21" s="28">
        <v>1.1020000000000001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1.296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</v>
      </c>
      <c r="AT21" s="28">
        <v>1.046</v>
      </c>
      <c r="AU21" s="28">
        <v>0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0</v>
      </c>
      <c r="BC21" s="28">
        <v>0</v>
      </c>
      <c r="BD21" s="28">
        <v>0.995</v>
      </c>
      <c r="BE21" s="28">
        <v>0</v>
      </c>
      <c r="BF21" s="28">
        <v>0</v>
      </c>
      <c r="BG21" s="28">
        <v>1.0840000000000001</v>
      </c>
      <c r="BH21" s="28">
        <v>0.78</v>
      </c>
      <c r="BI21" s="28">
        <v>0</v>
      </c>
      <c r="BJ21" s="28">
        <v>0</v>
      </c>
      <c r="BK21" s="28">
        <v>0</v>
      </c>
      <c r="BL21" s="28">
        <v>0</v>
      </c>
      <c r="BM21" s="28">
        <v>0.77800000000000002</v>
      </c>
      <c r="BN21" s="28">
        <v>0.98799999999999999</v>
      </c>
      <c r="BO21" s="28">
        <v>0</v>
      </c>
      <c r="BP21" s="28">
        <v>0</v>
      </c>
      <c r="BQ21" s="28">
        <v>0</v>
      </c>
      <c r="BR21" s="28">
        <v>0</v>
      </c>
      <c r="BS21" s="28">
        <v>1.2809999999999999</v>
      </c>
      <c r="BT21" s="28">
        <v>0</v>
      </c>
      <c r="BU21" s="28">
        <v>0</v>
      </c>
      <c r="BV21" s="28">
        <v>0</v>
      </c>
      <c r="BW21" s="28">
        <v>0</v>
      </c>
      <c r="BX21" s="28">
        <v>0</v>
      </c>
      <c r="BY21" s="28">
        <v>0</v>
      </c>
      <c r="BZ21" s="28">
        <v>0</v>
      </c>
      <c r="CA21" s="28">
        <v>0</v>
      </c>
      <c r="CB21" s="28">
        <v>0</v>
      </c>
      <c r="CC21" s="28">
        <v>0</v>
      </c>
      <c r="CD21" s="28">
        <v>0</v>
      </c>
      <c r="CE21" s="28">
        <v>0</v>
      </c>
      <c r="CF21" s="28">
        <v>0</v>
      </c>
      <c r="CG21" s="28">
        <v>0</v>
      </c>
      <c r="CH21" s="28">
        <v>0</v>
      </c>
      <c r="CI21" s="28">
        <v>0</v>
      </c>
      <c r="CJ21" s="28">
        <v>0</v>
      </c>
      <c r="CK21" s="28">
        <v>0</v>
      </c>
      <c r="CL21" s="28">
        <v>0</v>
      </c>
      <c r="CM21" s="28">
        <v>0</v>
      </c>
      <c r="CN21" s="28">
        <v>1.044</v>
      </c>
      <c r="CO21" s="28">
        <v>0</v>
      </c>
      <c r="CP21" s="28">
        <v>0</v>
      </c>
      <c r="CQ21" s="28">
        <v>1.31</v>
      </c>
      <c r="CR21" s="28">
        <v>1.0169999999999999</v>
      </c>
      <c r="CS21" s="28">
        <v>0</v>
      </c>
      <c r="CT21" s="28">
        <v>0</v>
      </c>
      <c r="CU21" s="28">
        <v>0</v>
      </c>
      <c r="CV21" s="28">
        <v>0</v>
      </c>
      <c r="CW21" s="28">
        <v>1.0720000000000001</v>
      </c>
      <c r="CX21" s="28">
        <v>0.78100000000000003</v>
      </c>
      <c r="CY21" s="28">
        <v>0</v>
      </c>
      <c r="CZ21" s="28">
        <v>0</v>
      </c>
      <c r="DA21" s="28">
        <v>0</v>
      </c>
      <c r="DB21" s="28">
        <v>0</v>
      </c>
      <c r="DC21" s="28">
        <v>0</v>
      </c>
      <c r="DD21" s="28">
        <v>0</v>
      </c>
      <c r="DE21" s="28">
        <v>0.38900000000000001</v>
      </c>
      <c r="DF21" s="28">
        <v>0</v>
      </c>
      <c r="DG21" s="28">
        <v>0</v>
      </c>
      <c r="DH21" s="28">
        <v>0</v>
      </c>
      <c r="DI21" s="28">
        <v>0</v>
      </c>
      <c r="DJ21" s="28">
        <v>0</v>
      </c>
      <c r="DK21" s="28">
        <v>0</v>
      </c>
      <c r="DL21" s="28">
        <v>0</v>
      </c>
      <c r="DM21" s="28">
        <v>0</v>
      </c>
      <c r="DN21" s="28">
        <v>0</v>
      </c>
      <c r="DO21" s="28">
        <v>0</v>
      </c>
      <c r="DP21" s="28">
        <v>0</v>
      </c>
      <c r="DQ21" s="28">
        <v>0</v>
      </c>
      <c r="DR21" s="28">
        <v>0</v>
      </c>
      <c r="DS21" s="28">
        <v>1.2030000000000001</v>
      </c>
      <c r="DT21" s="28">
        <v>1.1140000000000001</v>
      </c>
      <c r="DU21" s="28">
        <v>0.50900000000000001</v>
      </c>
      <c r="DV21" s="28">
        <v>0.39800000000000002</v>
      </c>
      <c r="DW21" s="28">
        <v>0.19473387096774189</v>
      </c>
      <c r="DX21" s="34">
        <v>24.146999999999991</v>
      </c>
    </row>
    <row r="22" spans="1:128" x14ac:dyDescent="0.25">
      <c r="A22" s="24">
        <v>21</v>
      </c>
      <c r="B22" s="26">
        <v>10</v>
      </c>
      <c r="C22" s="28">
        <v>0</v>
      </c>
      <c r="D22" s="28">
        <v>0</v>
      </c>
      <c r="E22" s="28">
        <v>0</v>
      </c>
      <c r="F22" s="28">
        <v>0.44900000000000001</v>
      </c>
      <c r="G22" s="28">
        <v>0</v>
      </c>
      <c r="H22" s="28">
        <v>0</v>
      </c>
      <c r="I22" s="28">
        <v>0</v>
      </c>
      <c r="J22" s="28">
        <v>0</v>
      </c>
      <c r="K22" s="28">
        <v>0.19700000000000001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1.4750000000000001</v>
      </c>
      <c r="R22" s="28">
        <v>0.61199999999999999</v>
      </c>
      <c r="S22" s="28">
        <v>0</v>
      </c>
      <c r="T22" s="28">
        <v>0.35299999999999998</v>
      </c>
      <c r="U22" s="28">
        <v>0</v>
      </c>
      <c r="V22" s="28">
        <v>0</v>
      </c>
      <c r="W22" s="28">
        <v>0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1.0860000000000001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0.85400000000000009</v>
      </c>
      <c r="BE22" s="28">
        <v>0</v>
      </c>
      <c r="BF22" s="28">
        <v>0</v>
      </c>
      <c r="BG22" s="28">
        <v>0.95200000000000007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1.0469999999999999</v>
      </c>
      <c r="BO22" s="28">
        <v>0</v>
      </c>
      <c r="BP22" s="28">
        <v>0</v>
      </c>
      <c r="BQ22" s="28">
        <v>0</v>
      </c>
      <c r="BR22" s="28">
        <v>0</v>
      </c>
      <c r="BS22" s="28">
        <v>1.111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28">
        <v>0</v>
      </c>
      <c r="CG22" s="28">
        <v>0</v>
      </c>
      <c r="CH22" s="28">
        <v>0</v>
      </c>
      <c r="CI22" s="28">
        <v>0.77500000000000002</v>
      </c>
      <c r="CJ22" s="28">
        <v>0</v>
      </c>
      <c r="CK22" s="28">
        <v>0</v>
      </c>
      <c r="CL22" s="28">
        <v>0</v>
      </c>
      <c r="CM22" s="28">
        <v>0</v>
      </c>
      <c r="CN22" s="28">
        <v>0</v>
      </c>
      <c r="CO22" s="28">
        <v>0</v>
      </c>
      <c r="CP22" s="28">
        <v>0</v>
      </c>
      <c r="CQ22" s="28">
        <v>0.28899999999999998</v>
      </c>
      <c r="CR22" s="28">
        <v>1.0289999999999999</v>
      </c>
      <c r="CS22" s="28">
        <v>0</v>
      </c>
      <c r="CT22" s="28">
        <v>0</v>
      </c>
      <c r="CU22" s="28">
        <v>0</v>
      </c>
      <c r="CV22" s="28">
        <v>0</v>
      </c>
      <c r="CW22" s="28">
        <v>0.48199999999999998</v>
      </c>
      <c r="CX22" s="28">
        <v>0.97900000000000009</v>
      </c>
      <c r="CY22" s="28">
        <v>0</v>
      </c>
      <c r="CZ22" s="28">
        <v>0</v>
      </c>
      <c r="DA22" s="28">
        <v>0</v>
      </c>
      <c r="DB22" s="28">
        <v>0</v>
      </c>
      <c r="DC22" s="28">
        <v>0.80699999999999994</v>
      </c>
      <c r="DD22" s="28">
        <v>0</v>
      </c>
      <c r="DE22" s="28">
        <v>1.514</v>
      </c>
      <c r="DF22" s="28">
        <v>0</v>
      </c>
      <c r="DG22" s="28">
        <v>0</v>
      </c>
      <c r="DH22" s="28">
        <v>0</v>
      </c>
      <c r="DI22" s="28">
        <v>0</v>
      </c>
      <c r="DJ22" s="28">
        <v>0</v>
      </c>
      <c r="DK22" s="28">
        <v>0</v>
      </c>
      <c r="DL22" s="28">
        <v>0</v>
      </c>
      <c r="DM22" s="28">
        <v>0</v>
      </c>
      <c r="DN22" s="28">
        <v>0</v>
      </c>
      <c r="DO22" s="28">
        <v>0</v>
      </c>
      <c r="DP22" s="28">
        <v>0</v>
      </c>
      <c r="DQ22" s="28">
        <v>0</v>
      </c>
      <c r="DR22" s="28">
        <v>0</v>
      </c>
      <c r="DS22" s="28">
        <v>0</v>
      </c>
      <c r="DT22" s="28">
        <v>7.4999999999999997E-2</v>
      </c>
      <c r="DU22" s="28">
        <v>0</v>
      </c>
      <c r="DV22" s="28">
        <v>0.35799999999999998</v>
      </c>
      <c r="DW22" s="28">
        <v>0.1164838709677419</v>
      </c>
      <c r="DX22" s="34">
        <v>14.444000000000001</v>
      </c>
    </row>
    <row r="23" spans="1:128" x14ac:dyDescent="0.25">
      <c r="A23" s="24">
        <v>22</v>
      </c>
      <c r="B23" s="26">
        <v>10.5</v>
      </c>
      <c r="C23" s="28">
        <v>0</v>
      </c>
      <c r="D23" s="28">
        <v>0</v>
      </c>
      <c r="E23" s="28">
        <v>0</v>
      </c>
      <c r="F23" s="28">
        <v>0.16300000000000001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0.39300000000000002</v>
      </c>
      <c r="R23" s="28">
        <v>0</v>
      </c>
      <c r="S23" s="28">
        <v>0</v>
      </c>
      <c r="T23" s="28">
        <v>0</v>
      </c>
      <c r="U23" s="28">
        <v>0</v>
      </c>
      <c r="V23" s="28">
        <v>0</v>
      </c>
      <c r="W23" s="28">
        <v>0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0.3</v>
      </c>
      <c r="AT23" s="28">
        <v>0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1.0129999999999999</v>
      </c>
      <c r="BE23" s="28">
        <v>0</v>
      </c>
      <c r="BF23" s="28">
        <v>0</v>
      </c>
      <c r="BG23" s="28">
        <v>0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0.27300000000000002</v>
      </c>
      <c r="BO23" s="28">
        <v>0</v>
      </c>
      <c r="BP23" s="28">
        <v>0</v>
      </c>
      <c r="BQ23" s="28">
        <v>0</v>
      </c>
      <c r="BR23" s="28">
        <v>0</v>
      </c>
      <c r="BS23" s="28">
        <v>0.56599999999999995</v>
      </c>
      <c r="BT23" s="28">
        <v>0</v>
      </c>
      <c r="BU23" s="28">
        <v>0</v>
      </c>
      <c r="BV23" s="28">
        <v>0</v>
      </c>
      <c r="BW23" s="28">
        <v>0</v>
      </c>
      <c r="BX23" s="28">
        <v>0</v>
      </c>
      <c r="BY23" s="28">
        <v>0</v>
      </c>
      <c r="BZ23" s="28">
        <v>0</v>
      </c>
      <c r="CA23" s="28">
        <v>0</v>
      </c>
      <c r="CB23" s="28">
        <v>0</v>
      </c>
      <c r="CC23" s="28">
        <v>0</v>
      </c>
      <c r="CD23" s="28">
        <v>0</v>
      </c>
      <c r="CE23" s="28">
        <v>0</v>
      </c>
      <c r="CF23" s="28">
        <v>0</v>
      </c>
      <c r="CG23" s="28">
        <v>0</v>
      </c>
      <c r="CH23" s="28">
        <v>0</v>
      </c>
      <c r="CI23" s="28">
        <v>0.86799999999999999</v>
      </c>
      <c r="CJ23" s="28">
        <v>0</v>
      </c>
      <c r="CK23" s="28">
        <v>0</v>
      </c>
      <c r="CL23" s="28">
        <v>0</v>
      </c>
      <c r="CM23" s="28">
        <v>0</v>
      </c>
      <c r="CN23" s="28">
        <v>0</v>
      </c>
      <c r="CO23" s="28">
        <v>0</v>
      </c>
      <c r="CP23" s="28">
        <v>0</v>
      </c>
      <c r="CQ23" s="28">
        <v>0</v>
      </c>
      <c r="CR23" s="28">
        <v>0</v>
      </c>
      <c r="CS23" s="28">
        <v>0</v>
      </c>
      <c r="CT23" s="28">
        <v>0</v>
      </c>
      <c r="CU23" s="28">
        <v>0</v>
      </c>
      <c r="CV23" s="28">
        <v>0</v>
      </c>
      <c r="CW23" s="28">
        <v>0</v>
      </c>
      <c r="CX23" s="28">
        <v>0.94099999999999995</v>
      </c>
      <c r="CY23" s="28">
        <v>0</v>
      </c>
      <c r="CZ23" s="28">
        <v>0</v>
      </c>
      <c r="DA23" s="28">
        <v>0</v>
      </c>
      <c r="DB23" s="28">
        <v>0</v>
      </c>
      <c r="DC23" s="28">
        <v>0.94499999999999995</v>
      </c>
      <c r="DD23" s="28">
        <v>0</v>
      </c>
      <c r="DE23" s="28">
        <v>1.421</v>
      </c>
      <c r="DF23" s="28">
        <v>0</v>
      </c>
      <c r="DG23" s="28">
        <v>0</v>
      </c>
      <c r="DH23" s="28">
        <v>0</v>
      </c>
      <c r="DI23" s="28">
        <v>0</v>
      </c>
      <c r="DJ23" s="28">
        <v>0</v>
      </c>
      <c r="DK23" s="28">
        <v>0</v>
      </c>
      <c r="DL23" s="28">
        <v>0</v>
      </c>
      <c r="DM23" s="28">
        <v>0</v>
      </c>
      <c r="DN23" s="28">
        <v>0</v>
      </c>
      <c r="DO23" s="28">
        <v>0</v>
      </c>
      <c r="DP23" s="28">
        <v>0</v>
      </c>
      <c r="DQ23" s="28">
        <v>0</v>
      </c>
      <c r="DR23" s="28">
        <v>0</v>
      </c>
      <c r="DS23" s="28">
        <v>0</v>
      </c>
      <c r="DT23" s="28">
        <v>1.423</v>
      </c>
      <c r="DU23" s="28">
        <v>0</v>
      </c>
      <c r="DV23" s="28">
        <v>0.28299999999999997</v>
      </c>
      <c r="DW23" s="28">
        <v>6.9266129032258067E-2</v>
      </c>
      <c r="DX23" s="34">
        <v>8.5890000000000004</v>
      </c>
    </row>
    <row r="24" spans="1:128" x14ac:dyDescent="0.25">
      <c r="A24" s="24">
        <v>23</v>
      </c>
      <c r="B24" s="26">
        <v>11</v>
      </c>
      <c r="C24" s="28">
        <v>0</v>
      </c>
      <c r="D24" s="28">
        <v>0</v>
      </c>
      <c r="E24" s="28">
        <v>0</v>
      </c>
      <c r="F24" s="28">
        <v>0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1.0049999999999999</v>
      </c>
      <c r="S24" s="28">
        <v>0</v>
      </c>
      <c r="T24" s="28">
        <v>0.39800000000000002</v>
      </c>
      <c r="U24" s="28">
        <v>0</v>
      </c>
      <c r="V24" s="28">
        <v>0</v>
      </c>
      <c r="W24" s="28">
        <v>1.22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</v>
      </c>
      <c r="AT24" s="28">
        <v>0.83299999999999996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0.223</v>
      </c>
      <c r="BE24" s="28">
        <v>0</v>
      </c>
      <c r="BF24" s="28">
        <v>0</v>
      </c>
      <c r="BG24" s="28">
        <v>0.75600000000000001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0</v>
      </c>
      <c r="BQ24" s="28">
        <v>0</v>
      </c>
      <c r="BR24" s="28">
        <v>0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8">
        <v>0</v>
      </c>
      <c r="BY24" s="28">
        <v>0</v>
      </c>
      <c r="BZ24" s="28">
        <v>0</v>
      </c>
      <c r="CA24" s="28">
        <v>0</v>
      </c>
      <c r="CB24" s="28">
        <v>0</v>
      </c>
      <c r="CC24" s="28">
        <v>0</v>
      </c>
      <c r="CD24" s="28">
        <v>0</v>
      </c>
      <c r="CE24" s="28">
        <v>0</v>
      </c>
      <c r="CF24" s="28">
        <v>0</v>
      </c>
      <c r="CG24" s="28">
        <v>0</v>
      </c>
      <c r="CH24" s="28">
        <v>0</v>
      </c>
      <c r="CI24" s="28">
        <v>1.014</v>
      </c>
      <c r="CJ24" s="28">
        <v>0</v>
      </c>
      <c r="CK24" s="28">
        <v>0</v>
      </c>
      <c r="CL24" s="28">
        <v>0</v>
      </c>
      <c r="CM24" s="28">
        <v>0</v>
      </c>
      <c r="CN24" s="28">
        <v>0</v>
      </c>
      <c r="CO24" s="28">
        <v>0</v>
      </c>
      <c r="CP24" s="28">
        <v>0</v>
      </c>
      <c r="CQ24" s="28">
        <v>0</v>
      </c>
      <c r="CR24" s="28">
        <v>0</v>
      </c>
      <c r="CS24" s="28">
        <v>0</v>
      </c>
      <c r="CT24" s="28">
        <v>0</v>
      </c>
      <c r="CU24" s="28">
        <v>0</v>
      </c>
      <c r="CV24" s="28">
        <v>0</v>
      </c>
      <c r="CW24" s="28">
        <v>0</v>
      </c>
      <c r="CX24" s="28">
        <v>0.72499999999999998</v>
      </c>
      <c r="CY24" s="28">
        <v>0</v>
      </c>
      <c r="CZ24" s="28">
        <v>0</v>
      </c>
      <c r="DA24" s="28">
        <v>0</v>
      </c>
      <c r="DB24" s="28">
        <v>0</v>
      </c>
      <c r="DC24" s="28">
        <v>0.93700000000000006</v>
      </c>
      <c r="DD24" s="28">
        <v>0</v>
      </c>
      <c r="DE24" s="28">
        <v>1.575</v>
      </c>
      <c r="DF24" s="28">
        <v>0</v>
      </c>
      <c r="DG24" s="28">
        <v>0</v>
      </c>
      <c r="DH24" s="28">
        <v>0</v>
      </c>
      <c r="DI24" s="28">
        <v>0</v>
      </c>
      <c r="DJ24" s="28">
        <v>0</v>
      </c>
      <c r="DK24" s="28">
        <v>0</v>
      </c>
      <c r="DL24" s="28">
        <v>0</v>
      </c>
      <c r="DM24" s="28">
        <v>0</v>
      </c>
      <c r="DN24" s="28">
        <v>0</v>
      </c>
      <c r="DO24" s="28">
        <v>0</v>
      </c>
      <c r="DP24" s="28">
        <v>0</v>
      </c>
      <c r="DQ24" s="28">
        <v>0</v>
      </c>
      <c r="DR24" s="28">
        <v>0</v>
      </c>
      <c r="DS24" s="28">
        <v>0</v>
      </c>
      <c r="DT24" s="28">
        <v>0.67500000000000004</v>
      </c>
      <c r="DU24" s="28">
        <v>0</v>
      </c>
      <c r="DV24" s="28">
        <v>0.37</v>
      </c>
      <c r="DW24" s="28">
        <v>7.8475806451612909E-2</v>
      </c>
      <c r="DX24" s="34">
        <v>9.7309999999999999</v>
      </c>
    </row>
    <row r="25" spans="1:128" x14ac:dyDescent="0.25">
      <c r="A25" s="24">
        <v>24</v>
      </c>
      <c r="B25" s="26">
        <v>11.5</v>
      </c>
      <c r="C25" s="28">
        <v>0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28">
        <v>0.78</v>
      </c>
      <c r="U25" s="28">
        <v>0</v>
      </c>
      <c r="V25" s="28">
        <v>0</v>
      </c>
      <c r="W25" s="28">
        <v>1.3959999999999999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9.6000000000000002E-2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0</v>
      </c>
      <c r="BA25" s="28">
        <v>0</v>
      </c>
      <c r="BB25" s="28">
        <v>0</v>
      </c>
      <c r="BC25" s="28">
        <v>0</v>
      </c>
      <c r="BD25" s="28">
        <v>0</v>
      </c>
      <c r="BE25" s="28">
        <v>0</v>
      </c>
      <c r="BF25" s="28">
        <v>0</v>
      </c>
      <c r="BG25" s="28">
        <v>0.63400000000000001</v>
      </c>
      <c r="BH25" s="28">
        <v>0</v>
      </c>
      <c r="BI25" s="28">
        <v>0</v>
      </c>
      <c r="BJ25" s="28">
        <v>0</v>
      </c>
      <c r="BK25" s="28">
        <v>0</v>
      </c>
      <c r="BL25" s="28">
        <v>0</v>
      </c>
      <c r="BM25" s="28">
        <v>0</v>
      </c>
      <c r="BN25" s="28">
        <v>0</v>
      </c>
      <c r="BO25" s="28">
        <v>0</v>
      </c>
      <c r="BP25" s="28">
        <v>4.9000000000000002E-2</v>
      </c>
      <c r="BQ25" s="28">
        <v>0</v>
      </c>
      <c r="BR25" s="28">
        <v>0</v>
      </c>
      <c r="BS25" s="28">
        <v>0</v>
      </c>
      <c r="BT25" s="28">
        <v>0</v>
      </c>
      <c r="BU25" s="28">
        <v>0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28">
        <v>0</v>
      </c>
      <c r="CB25" s="28">
        <v>0</v>
      </c>
      <c r="CC25" s="28">
        <v>0</v>
      </c>
      <c r="CD25" s="28">
        <v>0</v>
      </c>
      <c r="CE25" s="28">
        <v>0</v>
      </c>
      <c r="CF25" s="28">
        <v>0</v>
      </c>
      <c r="CG25" s="28">
        <v>0</v>
      </c>
      <c r="CH25" s="28">
        <v>0</v>
      </c>
      <c r="CI25" s="28">
        <v>0.97099999999999997</v>
      </c>
      <c r="CJ25" s="28">
        <v>0</v>
      </c>
      <c r="CK25" s="28">
        <v>0</v>
      </c>
      <c r="CL25" s="28">
        <v>0</v>
      </c>
      <c r="CM25" s="28">
        <v>0</v>
      </c>
      <c r="CN25" s="28">
        <v>0.245</v>
      </c>
      <c r="CO25" s="28">
        <v>0</v>
      </c>
      <c r="CP25" s="28">
        <v>0</v>
      </c>
      <c r="CQ25" s="28">
        <v>0</v>
      </c>
      <c r="CR25" s="28">
        <v>0</v>
      </c>
      <c r="CS25" s="28">
        <v>0</v>
      </c>
      <c r="CT25" s="28">
        <v>0</v>
      </c>
      <c r="CU25" s="28">
        <v>0</v>
      </c>
      <c r="CV25" s="28">
        <v>0</v>
      </c>
      <c r="CW25" s="28">
        <v>0</v>
      </c>
      <c r="CX25" s="28">
        <v>0</v>
      </c>
      <c r="CY25" s="28">
        <v>0</v>
      </c>
      <c r="CZ25" s="28">
        <v>0</v>
      </c>
      <c r="DA25" s="28">
        <v>0</v>
      </c>
      <c r="DB25" s="28">
        <v>0</v>
      </c>
      <c r="DC25" s="28">
        <v>1.0660000000000001</v>
      </c>
      <c r="DD25" s="28">
        <v>0</v>
      </c>
      <c r="DE25" s="28">
        <v>8.6999999999999994E-2</v>
      </c>
      <c r="DF25" s="28">
        <v>0</v>
      </c>
      <c r="DG25" s="28">
        <v>0</v>
      </c>
      <c r="DH25" s="28">
        <v>0</v>
      </c>
      <c r="DI25" s="28">
        <v>0</v>
      </c>
      <c r="DJ25" s="28">
        <v>0</v>
      </c>
      <c r="DK25" s="28">
        <v>0</v>
      </c>
      <c r="DL25" s="28">
        <v>0</v>
      </c>
      <c r="DM25" s="28">
        <v>0</v>
      </c>
      <c r="DN25" s="28">
        <v>0</v>
      </c>
      <c r="DO25" s="28">
        <v>0</v>
      </c>
      <c r="DP25" s="28">
        <v>0</v>
      </c>
      <c r="DQ25" s="28">
        <v>0</v>
      </c>
      <c r="DR25" s="28">
        <v>0</v>
      </c>
      <c r="DS25" s="28">
        <v>0</v>
      </c>
      <c r="DT25" s="28">
        <v>0</v>
      </c>
      <c r="DU25" s="28">
        <v>0</v>
      </c>
      <c r="DV25" s="28">
        <v>0.218</v>
      </c>
      <c r="DW25" s="28">
        <v>4.4693548387096771E-2</v>
      </c>
      <c r="DX25" s="34">
        <v>5.5419999999999998</v>
      </c>
    </row>
    <row r="26" spans="1:128" x14ac:dyDescent="0.25">
      <c r="A26" s="24">
        <v>25</v>
      </c>
      <c r="B26" s="26">
        <v>12</v>
      </c>
      <c r="C26" s="28">
        <v>0</v>
      </c>
      <c r="D26" s="28">
        <v>0</v>
      </c>
      <c r="E26" s="28">
        <v>0</v>
      </c>
      <c r="F26" s="28">
        <v>1.165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0.92500000000000004</v>
      </c>
      <c r="S26" s="28">
        <v>0</v>
      </c>
      <c r="T26" s="28">
        <v>0.56200000000000006</v>
      </c>
      <c r="U26" s="28">
        <v>0</v>
      </c>
      <c r="V26" s="28">
        <v>0</v>
      </c>
      <c r="W26" s="28">
        <v>0.32600000000000001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0</v>
      </c>
      <c r="BE26" s="28">
        <v>0</v>
      </c>
      <c r="BF26" s="28">
        <v>0</v>
      </c>
      <c r="BG26" s="28">
        <v>1.075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28">
        <v>0</v>
      </c>
      <c r="CG26" s="28">
        <v>0</v>
      </c>
      <c r="CH26" s="28">
        <v>0</v>
      </c>
      <c r="CI26" s="28">
        <v>1.173</v>
      </c>
      <c r="CJ26" s="28">
        <v>0</v>
      </c>
      <c r="CK26" s="28">
        <v>0</v>
      </c>
      <c r="CL26" s="28">
        <v>0</v>
      </c>
      <c r="CM26" s="28">
        <v>0</v>
      </c>
      <c r="CN26" s="28">
        <v>0</v>
      </c>
      <c r="CO26" s="28">
        <v>0</v>
      </c>
      <c r="CP26" s="28">
        <v>0</v>
      </c>
      <c r="CQ26" s="28">
        <v>0</v>
      </c>
      <c r="CR26" s="28">
        <v>0</v>
      </c>
      <c r="CS26" s="28">
        <v>0</v>
      </c>
      <c r="CT26" s="28">
        <v>0</v>
      </c>
      <c r="CU26" s="28">
        <v>0</v>
      </c>
      <c r="CV26" s="28">
        <v>0</v>
      </c>
      <c r="CW26" s="28">
        <v>0</v>
      </c>
      <c r="CX26" s="28">
        <v>0</v>
      </c>
      <c r="CY26" s="28">
        <v>0</v>
      </c>
      <c r="CZ26" s="28">
        <v>0</v>
      </c>
      <c r="DA26" s="28">
        <v>0</v>
      </c>
      <c r="DB26" s="28">
        <v>0</v>
      </c>
      <c r="DC26" s="28">
        <v>0.99</v>
      </c>
      <c r="DD26" s="28">
        <v>0</v>
      </c>
      <c r="DE26" s="28">
        <v>0</v>
      </c>
      <c r="DF26" s="28">
        <v>0</v>
      </c>
      <c r="DG26" s="28">
        <v>0.219</v>
      </c>
      <c r="DH26" s="28">
        <v>0</v>
      </c>
      <c r="DI26" s="28">
        <v>0</v>
      </c>
      <c r="DJ26" s="28">
        <v>0</v>
      </c>
      <c r="DK26" s="28">
        <v>0</v>
      </c>
      <c r="DL26" s="28">
        <v>0</v>
      </c>
      <c r="DM26" s="28">
        <v>0</v>
      </c>
      <c r="DN26" s="28">
        <v>0</v>
      </c>
      <c r="DO26" s="28">
        <v>0</v>
      </c>
      <c r="DP26" s="28">
        <v>0</v>
      </c>
      <c r="DQ26" s="28">
        <v>0</v>
      </c>
      <c r="DR26" s="28">
        <v>0</v>
      </c>
      <c r="DS26" s="28">
        <v>0</v>
      </c>
      <c r="DT26" s="28">
        <v>0.185</v>
      </c>
      <c r="DU26" s="28">
        <v>0</v>
      </c>
      <c r="DV26" s="28">
        <v>0</v>
      </c>
      <c r="DW26" s="28">
        <v>5.3387096774193551E-2</v>
      </c>
      <c r="DX26" s="34">
        <v>6.62</v>
      </c>
    </row>
    <row r="27" spans="1:128" x14ac:dyDescent="0.25">
      <c r="A27" s="24">
        <v>26</v>
      </c>
      <c r="B27" s="26">
        <v>12.5</v>
      </c>
      <c r="C27" s="28">
        <v>0</v>
      </c>
      <c r="D27" s="28">
        <v>0</v>
      </c>
      <c r="E27" s="28">
        <v>0</v>
      </c>
      <c r="F27" s="28">
        <v>1.65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</v>
      </c>
      <c r="S27" s="28">
        <v>0</v>
      </c>
      <c r="T27" s="28">
        <v>0.75700000000000001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8">
        <v>4.2000000000000003E-2</v>
      </c>
      <c r="BE27" s="28">
        <v>0</v>
      </c>
      <c r="BF27" s="28">
        <v>0</v>
      </c>
      <c r="BG27" s="28">
        <v>6.0999999999999999E-2</v>
      </c>
      <c r="BH27" s="28">
        <v>0</v>
      </c>
      <c r="BI27" s="28">
        <v>0</v>
      </c>
      <c r="BJ27" s="28">
        <v>0</v>
      </c>
      <c r="BK27" s="28">
        <v>0</v>
      </c>
      <c r="BL27" s="28">
        <v>0</v>
      </c>
      <c r="BM27" s="28">
        <v>1.0549999999999999</v>
      </c>
      <c r="BN27" s="28">
        <v>0</v>
      </c>
      <c r="BO27" s="28">
        <v>0</v>
      </c>
      <c r="BP27" s="28">
        <v>0</v>
      </c>
      <c r="BQ27" s="28">
        <v>0</v>
      </c>
      <c r="BR27" s="28">
        <v>0</v>
      </c>
      <c r="BS27" s="28">
        <v>0</v>
      </c>
      <c r="BT27" s="28">
        <v>0</v>
      </c>
      <c r="BU27" s="28">
        <v>0</v>
      </c>
      <c r="BV27" s="28">
        <v>0</v>
      </c>
      <c r="BW27" s="28">
        <v>0</v>
      </c>
      <c r="BX27" s="28">
        <v>0</v>
      </c>
      <c r="BY27" s="28">
        <v>0</v>
      </c>
      <c r="BZ27" s="28">
        <v>0</v>
      </c>
      <c r="CA27" s="28">
        <v>0</v>
      </c>
      <c r="CB27" s="28">
        <v>0</v>
      </c>
      <c r="CC27" s="28">
        <v>0</v>
      </c>
      <c r="CD27" s="28">
        <v>0</v>
      </c>
      <c r="CE27" s="28">
        <v>0</v>
      </c>
      <c r="CF27" s="28">
        <v>0</v>
      </c>
      <c r="CG27" s="28">
        <v>0</v>
      </c>
      <c r="CH27" s="28">
        <v>0</v>
      </c>
      <c r="CI27" s="28">
        <v>2.3E-2</v>
      </c>
      <c r="CJ27" s="28">
        <v>0</v>
      </c>
      <c r="CK27" s="28">
        <v>0</v>
      </c>
      <c r="CL27" s="28">
        <v>0</v>
      </c>
      <c r="CM27" s="28">
        <v>0</v>
      </c>
      <c r="CN27" s="28">
        <v>0</v>
      </c>
      <c r="CO27" s="28">
        <v>0</v>
      </c>
      <c r="CP27" s="28">
        <v>0</v>
      </c>
      <c r="CQ27" s="28">
        <v>0</v>
      </c>
      <c r="CR27" s="28">
        <v>0</v>
      </c>
      <c r="CS27" s="28">
        <v>0</v>
      </c>
      <c r="CT27" s="28">
        <v>0</v>
      </c>
      <c r="CU27" s="28">
        <v>0</v>
      </c>
      <c r="CV27" s="28">
        <v>0</v>
      </c>
      <c r="CW27" s="28">
        <v>0</v>
      </c>
      <c r="CX27" s="28">
        <v>0</v>
      </c>
      <c r="CY27" s="28">
        <v>0</v>
      </c>
      <c r="CZ27" s="28">
        <v>0</v>
      </c>
      <c r="DA27" s="28">
        <v>0</v>
      </c>
      <c r="DB27" s="28">
        <v>0</v>
      </c>
      <c r="DC27" s="28">
        <v>0</v>
      </c>
      <c r="DD27" s="28">
        <v>0</v>
      </c>
      <c r="DE27" s="28">
        <v>0</v>
      </c>
      <c r="DF27" s="28">
        <v>0</v>
      </c>
      <c r="DG27" s="28">
        <v>0.67100000000000004</v>
      </c>
      <c r="DH27" s="28">
        <v>0</v>
      </c>
      <c r="DI27" s="28">
        <v>0</v>
      </c>
      <c r="DJ27" s="28">
        <v>0</v>
      </c>
      <c r="DK27" s="28">
        <v>0</v>
      </c>
      <c r="DL27" s="28">
        <v>0</v>
      </c>
      <c r="DM27" s="28">
        <v>0</v>
      </c>
      <c r="DN27" s="28">
        <v>0</v>
      </c>
      <c r="DO27" s="28">
        <v>0</v>
      </c>
      <c r="DP27" s="28">
        <v>1.7999999999999999E-2</v>
      </c>
      <c r="DQ27" s="28">
        <v>0</v>
      </c>
      <c r="DR27" s="28">
        <v>0</v>
      </c>
      <c r="DS27" s="28">
        <v>0</v>
      </c>
      <c r="DT27" s="28">
        <v>0</v>
      </c>
      <c r="DU27" s="28">
        <v>0</v>
      </c>
      <c r="DV27" s="28">
        <v>0.43099999999999999</v>
      </c>
      <c r="DW27" s="28">
        <v>3.7967741935483863E-2</v>
      </c>
      <c r="DX27" s="34">
        <v>4.7079999999999993</v>
      </c>
    </row>
    <row r="28" spans="1:128" x14ac:dyDescent="0.25">
      <c r="A28" s="24">
        <v>27</v>
      </c>
      <c r="B28" s="26">
        <v>13</v>
      </c>
      <c r="C28" s="28">
        <v>0</v>
      </c>
      <c r="D28" s="28">
        <v>0</v>
      </c>
      <c r="E28" s="28">
        <v>0</v>
      </c>
      <c r="F28" s="28">
        <v>0.85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0.77600000000000002</v>
      </c>
      <c r="S28" s="28">
        <v>0</v>
      </c>
      <c r="T28" s="28">
        <v>0.78100000000000003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0.28899999999999998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28">
        <v>0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1.1419999999999999</v>
      </c>
      <c r="BN28" s="28">
        <v>0</v>
      </c>
      <c r="BO28" s="28">
        <v>0</v>
      </c>
      <c r="BP28" s="28">
        <v>0</v>
      </c>
      <c r="BQ28" s="28">
        <v>0</v>
      </c>
      <c r="BR28" s="28">
        <v>0</v>
      </c>
      <c r="BS28" s="28">
        <v>0</v>
      </c>
      <c r="BT28" s="28">
        <v>0</v>
      </c>
      <c r="BU28" s="28">
        <v>0</v>
      </c>
      <c r="BV28" s="28">
        <v>0</v>
      </c>
      <c r="BW28" s="28">
        <v>0</v>
      </c>
      <c r="BX28" s="28">
        <v>0</v>
      </c>
      <c r="BY28" s="28">
        <v>0</v>
      </c>
      <c r="BZ28" s="28">
        <v>0</v>
      </c>
      <c r="CA28" s="28">
        <v>0</v>
      </c>
      <c r="CB28" s="28">
        <v>0</v>
      </c>
      <c r="CC28" s="28">
        <v>0</v>
      </c>
      <c r="CD28" s="28">
        <v>0</v>
      </c>
      <c r="CE28" s="28">
        <v>0</v>
      </c>
      <c r="CF28" s="28">
        <v>0</v>
      </c>
      <c r="CG28" s="28">
        <v>0</v>
      </c>
      <c r="CH28" s="28">
        <v>0</v>
      </c>
      <c r="CI28" s="28">
        <v>0</v>
      </c>
      <c r="CJ28" s="28">
        <v>0</v>
      </c>
      <c r="CK28" s="28">
        <v>0</v>
      </c>
      <c r="CL28" s="28">
        <v>0</v>
      </c>
      <c r="CM28" s="28">
        <v>0</v>
      </c>
      <c r="CN28" s="28">
        <v>0</v>
      </c>
      <c r="CO28" s="28">
        <v>0</v>
      </c>
      <c r="CP28" s="28">
        <v>0</v>
      </c>
      <c r="CQ28" s="28">
        <v>0</v>
      </c>
      <c r="CR28" s="28">
        <v>0</v>
      </c>
      <c r="CS28" s="28">
        <v>0</v>
      </c>
      <c r="CT28" s="28">
        <v>0</v>
      </c>
      <c r="CU28" s="28">
        <v>0</v>
      </c>
      <c r="CV28" s="28">
        <v>0</v>
      </c>
      <c r="CW28" s="28">
        <v>0</v>
      </c>
      <c r="CX28" s="28">
        <v>0</v>
      </c>
      <c r="CY28" s="28">
        <v>0</v>
      </c>
      <c r="CZ28" s="28">
        <v>0</v>
      </c>
      <c r="DA28" s="28">
        <v>0</v>
      </c>
      <c r="DB28" s="28">
        <v>0</v>
      </c>
      <c r="DC28" s="28">
        <v>0</v>
      </c>
      <c r="DD28" s="28">
        <v>0</v>
      </c>
      <c r="DE28" s="28">
        <v>0</v>
      </c>
      <c r="DF28" s="28">
        <v>0</v>
      </c>
      <c r="DG28" s="28">
        <v>0</v>
      </c>
      <c r="DH28" s="28">
        <v>0</v>
      </c>
      <c r="DI28" s="28">
        <v>0</v>
      </c>
      <c r="DJ28" s="28">
        <v>0</v>
      </c>
      <c r="DK28" s="28">
        <v>0</v>
      </c>
      <c r="DL28" s="28">
        <v>0</v>
      </c>
      <c r="DM28" s="28">
        <v>0</v>
      </c>
      <c r="DN28" s="28">
        <v>0</v>
      </c>
      <c r="DO28" s="28">
        <v>0</v>
      </c>
      <c r="DP28" s="28">
        <v>0</v>
      </c>
      <c r="DQ28" s="28">
        <v>0</v>
      </c>
      <c r="DR28" s="28">
        <v>0</v>
      </c>
      <c r="DS28" s="28">
        <v>0</v>
      </c>
      <c r="DT28" s="28">
        <v>0</v>
      </c>
      <c r="DU28" s="28">
        <v>0</v>
      </c>
      <c r="DV28" s="28">
        <v>0.72299999999999998</v>
      </c>
      <c r="DW28" s="28">
        <v>3.6782258064516127E-2</v>
      </c>
      <c r="DX28" s="34">
        <v>4.5609999999999999</v>
      </c>
    </row>
    <row r="29" spans="1:128" x14ac:dyDescent="0.25">
      <c r="A29" s="24">
        <v>28</v>
      </c>
      <c r="B29" s="26">
        <v>13.5</v>
      </c>
      <c r="C29" s="28">
        <v>0</v>
      </c>
      <c r="D29" s="28">
        <v>0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0.71599999999999997</v>
      </c>
      <c r="S29" s="28">
        <v>0</v>
      </c>
      <c r="T29" s="28">
        <v>0.48799999999999999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0</v>
      </c>
      <c r="AZ29" s="28">
        <v>0</v>
      </c>
      <c r="BA29" s="28">
        <v>0</v>
      </c>
      <c r="BB29" s="28">
        <v>0</v>
      </c>
      <c r="BC29" s="28">
        <v>0</v>
      </c>
      <c r="BD29" s="28">
        <v>0.36299999999999999</v>
      </c>
      <c r="BE29" s="28">
        <v>0</v>
      </c>
      <c r="BF29" s="28">
        <v>0</v>
      </c>
      <c r="BG29" s="28">
        <v>0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28">
        <v>0</v>
      </c>
      <c r="BN29" s="28">
        <v>0</v>
      </c>
      <c r="BO29" s="28">
        <v>0</v>
      </c>
      <c r="BP29" s="28">
        <v>0</v>
      </c>
      <c r="BQ29" s="28">
        <v>0</v>
      </c>
      <c r="BR29" s="28">
        <v>0</v>
      </c>
      <c r="BS29" s="28">
        <v>0</v>
      </c>
      <c r="BT29" s="28">
        <v>0</v>
      </c>
      <c r="BU29" s="28">
        <v>0</v>
      </c>
      <c r="BV29" s="28">
        <v>0</v>
      </c>
      <c r="BW29" s="28">
        <v>0</v>
      </c>
      <c r="BX29" s="28">
        <v>0</v>
      </c>
      <c r="BY29" s="28">
        <v>0</v>
      </c>
      <c r="BZ29" s="28">
        <v>0</v>
      </c>
      <c r="CA29" s="28">
        <v>0</v>
      </c>
      <c r="CB29" s="28">
        <v>0</v>
      </c>
      <c r="CC29" s="28">
        <v>0</v>
      </c>
      <c r="CD29" s="28">
        <v>0</v>
      </c>
      <c r="CE29" s="28">
        <v>0</v>
      </c>
      <c r="CF29" s="28">
        <v>0</v>
      </c>
      <c r="CG29" s="28">
        <v>0</v>
      </c>
      <c r="CH29" s="28">
        <v>0</v>
      </c>
      <c r="CI29" s="28">
        <v>0</v>
      </c>
      <c r="CJ29" s="28">
        <v>0</v>
      </c>
      <c r="CK29" s="28">
        <v>0</v>
      </c>
      <c r="CL29" s="28">
        <v>0</v>
      </c>
      <c r="CM29" s="28">
        <v>0</v>
      </c>
      <c r="CN29" s="28">
        <v>0</v>
      </c>
      <c r="CO29" s="28">
        <v>0</v>
      </c>
      <c r="CP29" s="28">
        <v>0</v>
      </c>
      <c r="CQ29" s="28">
        <v>0</v>
      </c>
      <c r="CR29" s="28">
        <v>0</v>
      </c>
      <c r="CS29" s="28">
        <v>0</v>
      </c>
      <c r="CT29" s="28">
        <v>0</v>
      </c>
      <c r="CU29" s="28">
        <v>0</v>
      </c>
      <c r="CV29" s="28">
        <v>0</v>
      </c>
      <c r="CW29" s="28">
        <v>0</v>
      </c>
      <c r="CX29" s="28">
        <v>0</v>
      </c>
      <c r="CY29" s="28">
        <v>0</v>
      </c>
      <c r="CZ29" s="28">
        <v>0</v>
      </c>
      <c r="DA29" s="28">
        <v>0</v>
      </c>
      <c r="DB29" s="28">
        <v>0</v>
      </c>
      <c r="DC29" s="28">
        <v>0</v>
      </c>
      <c r="DD29" s="28">
        <v>0</v>
      </c>
      <c r="DE29" s="28">
        <v>0</v>
      </c>
      <c r="DF29" s="28">
        <v>0</v>
      </c>
      <c r="DG29" s="28">
        <v>0</v>
      </c>
      <c r="DH29" s="28">
        <v>0</v>
      </c>
      <c r="DI29" s="28">
        <v>0</v>
      </c>
      <c r="DJ29" s="28">
        <v>0</v>
      </c>
      <c r="DK29" s="28">
        <v>0</v>
      </c>
      <c r="DL29" s="28">
        <v>0</v>
      </c>
      <c r="DM29" s="28">
        <v>0</v>
      </c>
      <c r="DN29" s="28">
        <v>0</v>
      </c>
      <c r="DO29" s="28">
        <v>0</v>
      </c>
      <c r="DP29" s="28">
        <v>0</v>
      </c>
      <c r="DQ29" s="28">
        <v>0</v>
      </c>
      <c r="DR29" s="28">
        <v>0</v>
      </c>
      <c r="DS29" s="28">
        <v>0</v>
      </c>
      <c r="DT29" s="28">
        <v>0</v>
      </c>
      <c r="DU29" s="28">
        <v>0</v>
      </c>
      <c r="DV29" s="28">
        <v>0.27700000000000002</v>
      </c>
      <c r="DW29" s="28">
        <v>1.4870967741935481E-2</v>
      </c>
      <c r="DX29" s="34">
        <v>1.8440000000000001</v>
      </c>
    </row>
    <row r="30" spans="1:128" x14ac:dyDescent="0.25">
      <c r="A30" s="24">
        <v>29</v>
      </c>
      <c r="B30" s="26">
        <v>14</v>
      </c>
      <c r="C30" s="28">
        <v>0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0.60799999999999998</v>
      </c>
      <c r="S30" s="28">
        <v>0</v>
      </c>
      <c r="T30" s="28">
        <v>0.66200000000000003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0</v>
      </c>
      <c r="AP30" s="28">
        <v>0</v>
      </c>
      <c r="AQ30" s="28">
        <v>0</v>
      </c>
      <c r="AR30" s="28">
        <v>0</v>
      </c>
      <c r="AS30" s="28">
        <v>0</v>
      </c>
      <c r="AT30" s="28">
        <v>0</v>
      </c>
      <c r="AU30" s="28">
        <v>0</v>
      </c>
      <c r="AV30" s="28">
        <v>0</v>
      </c>
      <c r="AW30" s="28">
        <v>0</v>
      </c>
      <c r="AX30" s="28">
        <v>0</v>
      </c>
      <c r="AY30" s="28">
        <v>0</v>
      </c>
      <c r="AZ30" s="28">
        <v>0</v>
      </c>
      <c r="BA30" s="28">
        <v>0</v>
      </c>
      <c r="BB30" s="28">
        <v>0</v>
      </c>
      <c r="BC30" s="28">
        <v>0</v>
      </c>
      <c r="BD30" s="28">
        <v>0</v>
      </c>
      <c r="BE30" s="28">
        <v>0</v>
      </c>
      <c r="BF30" s="28">
        <v>0</v>
      </c>
      <c r="BG30" s="28">
        <v>0</v>
      </c>
      <c r="BH30" s="28">
        <v>0</v>
      </c>
      <c r="BI30" s="28">
        <v>0</v>
      </c>
      <c r="BJ30" s="28">
        <v>0</v>
      </c>
      <c r="BK30" s="28">
        <v>0</v>
      </c>
      <c r="BL30" s="28">
        <v>0</v>
      </c>
      <c r="BM30" s="28">
        <v>0</v>
      </c>
      <c r="BN30" s="28">
        <v>0</v>
      </c>
      <c r="BO30" s="28">
        <v>0</v>
      </c>
      <c r="BP30" s="28">
        <v>0</v>
      </c>
      <c r="BQ30" s="28">
        <v>0</v>
      </c>
      <c r="BR30" s="28">
        <v>0</v>
      </c>
      <c r="BS30" s="28">
        <v>0</v>
      </c>
      <c r="BT30" s="28">
        <v>0</v>
      </c>
      <c r="BU30" s="28">
        <v>0</v>
      </c>
      <c r="BV30" s="28">
        <v>0</v>
      </c>
      <c r="BW30" s="28">
        <v>0</v>
      </c>
      <c r="BX30" s="28">
        <v>0</v>
      </c>
      <c r="BY30" s="28">
        <v>0</v>
      </c>
      <c r="BZ30" s="28">
        <v>0</v>
      </c>
      <c r="CA30" s="28">
        <v>0</v>
      </c>
      <c r="CB30" s="28">
        <v>0</v>
      </c>
      <c r="CC30" s="28">
        <v>0</v>
      </c>
      <c r="CD30" s="28">
        <v>0</v>
      </c>
      <c r="CE30" s="28">
        <v>0</v>
      </c>
      <c r="CF30" s="28">
        <v>0</v>
      </c>
      <c r="CG30" s="28">
        <v>0</v>
      </c>
      <c r="CH30" s="28">
        <v>0</v>
      </c>
      <c r="CI30" s="28">
        <v>0</v>
      </c>
      <c r="CJ30" s="28">
        <v>0</v>
      </c>
      <c r="CK30" s="28">
        <v>0</v>
      </c>
      <c r="CL30" s="28">
        <v>0</v>
      </c>
      <c r="CM30" s="28">
        <v>0</v>
      </c>
      <c r="CN30" s="28">
        <v>0</v>
      </c>
      <c r="CO30" s="28">
        <v>0</v>
      </c>
      <c r="CP30" s="28">
        <v>0</v>
      </c>
      <c r="CQ30" s="28">
        <v>0</v>
      </c>
      <c r="CR30" s="28">
        <v>0</v>
      </c>
      <c r="CS30" s="28">
        <v>0</v>
      </c>
      <c r="CT30" s="28">
        <v>0</v>
      </c>
      <c r="CU30" s="28">
        <v>0</v>
      </c>
      <c r="CV30" s="28">
        <v>0</v>
      </c>
      <c r="CW30" s="28">
        <v>0</v>
      </c>
      <c r="CX30" s="28">
        <v>0</v>
      </c>
      <c r="CY30" s="28">
        <v>0</v>
      </c>
      <c r="CZ30" s="28">
        <v>0</v>
      </c>
      <c r="DA30" s="28">
        <v>0</v>
      </c>
      <c r="DB30" s="28">
        <v>0</v>
      </c>
      <c r="DC30" s="28">
        <v>0</v>
      </c>
      <c r="DD30" s="28">
        <v>0</v>
      </c>
      <c r="DE30" s="28">
        <v>0</v>
      </c>
      <c r="DF30" s="28">
        <v>0</v>
      </c>
      <c r="DG30" s="28">
        <v>0</v>
      </c>
      <c r="DH30" s="28">
        <v>0</v>
      </c>
      <c r="DI30" s="28">
        <v>0</v>
      </c>
      <c r="DJ30" s="28">
        <v>0</v>
      </c>
      <c r="DK30" s="28">
        <v>0</v>
      </c>
      <c r="DL30" s="28">
        <v>0</v>
      </c>
      <c r="DM30" s="28">
        <v>0</v>
      </c>
      <c r="DN30" s="28">
        <v>0</v>
      </c>
      <c r="DO30" s="28">
        <v>0</v>
      </c>
      <c r="DP30" s="28">
        <v>0</v>
      </c>
      <c r="DQ30" s="28">
        <v>0</v>
      </c>
      <c r="DR30" s="28">
        <v>0</v>
      </c>
      <c r="DS30" s="28">
        <v>0</v>
      </c>
      <c r="DT30" s="28">
        <v>0</v>
      </c>
      <c r="DU30" s="28">
        <v>0</v>
      </c>
      <c r="DV30" s="28">
        <v>0.65799999999999992</v>
      </c>
      <c r="DW30" s="28">
        <v>1.554838709677419E-2</v>
      </c>
      <c r="DX30" s="34">
        <v>1.9279999999999999</v>
      </c>
    </row>
    <row r="31" spans="1:128" x14ac:dyDescent="0.25">
      <c r="A31" s="24">
        <v>30</v>
      </c>
      <c r="B31" s="26">
        <v>14.5</v>
      </c>
      <c r="C31" s="28">
        <v>0</v>
      </c>
      <c r="D31" s="28">
        <v>0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</v>
      </c>
      <c r="R31" s="28">
        <v>0.85400000000000009</v>
      </c>
      <c r="S31" s="28">
        <v>0</v>
      </c>
      <c r="T31" s="28">
        <v>0.58799999999999997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0.83</v>
      </c>
      <c r="AR31" s="28">
        <v>0</v>
      </c>
      <c r="AS31" s="28">
        <v>0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1.2410000000000001</v>
      </c>
      <c r="BA31" s="28">
        <v>0</v>
      </c>
      <c r="BB31" s="28">
        <v>0</v>
      </c>
      <c r="BC31" s="28">
        <v>0</v>
      </c>
      <c r="BD31" s="28">
        <v>0</v>
      </c>
      <c r="BE31" s="28">
        <v>0</v>
      </c>
      <c r="BF31" s="28">
        <v>0</v>
      </c>
      <c r="BG31" s="28">
        <v>0</v>
      </c>
      <c r="BH31" s="28">
        <v>0</v>
      </c>
      <c r="BI31" s="28">
        <v>0</v>
      </c>
      <c r="BJ31" s="28">
        <v>0</v>
      </c>
      <c r="BK31" s="28">
        <v>0</v>
      </c>
      <c r="BL31" s="28">
        <v>0</v>
      </c>
      <c r="BM31" s="28">
        <v>0</v>
      </c>
      <c r="BN31" s="28">
        <v>0</v>
      </c>
      <c r="BO31" s="28">
        <v>0</v>
      </c>
      <c r="BP31" s="28">
        <v>0</v>
      </c>
      <c r="BQ31" s="28">
        <v>0</v>
      </c>
      <c r="BR31" s="28">
        <v>0</v>
      </c>
      <c r="BS31" s="28">
        <v>0</v>
      </c>
      <c r="BT31" s="28">
        <v>0</v>
      </c>
      <c r="BU31" s="28">
        <v>0</v>
      </c>
      <c r="BV31" s="28">
        <v>0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28">
        <v>0</v>
      </c>
      <c r="CC31" s="28">
        <v>0</v>
      </c>
      <c r="CD31" s="28">
        <v>0</v>
      </c>
      <c r="CE31" s="28">
        <v>0</v>
      </c>
      <c r="CF31" s="28">
        <v>0</v>
      </c>
      <c r="CG31" s="28">
        <v>0</v>
      </c>
      <c r="CH31" s="28">
        <v>0</v>
      </c>
      <c r="CI31" s="28">
        <v>0</v>
      </c>
      <c r="CJ31" s="28">
        <v>0</v>
      </c>
      <c r="CK31" s="28">
        <v>0</v>
      </c>
      <c r="CL31" s="28">
        <v>0</v>
      </c>
      <c r="CM31" s="28">
        <v>0</v>
      </c>
      <c r="CN31" s="28">
        <v>0</v>
      </c>
      <c r="CO31" s="28">
        <v>0</v>
      </c>
      <c r="CP31" s="28">
        <v>0</v>
      </c>
      <c r="CQ31" s="28">
        <v>0</v>
      </c>
      <c r="CR31" s="28">
        <v>0</v>
      </c>
      <c r="CS31" s="28">
        <v>0</v>
      </c>
      <c r="CT31" s="28">
        <v>0</v>
      </c>
      <c r="CU31" s="28">
        <v>0</v>
      </c>
      <c r="CV31" s="28">
        <v>0</v>
      </c>
      <c r="CW31" s="28">
        <v>0</v>
      </c>
      <c r="CX31" s="28">
        <v>0</v>
      </c>
      <c r="CY31" s="28">
        <v>0</v>
      </c>
      <c r="CZ31" s="28">
        <v>0</v>
      </c>
      <c r="DA31" s="28">
        <v>0</v>
      </c>
      <c r="DB31" s="28">
        <v>0</v>
      </c>
      <c r="DC31" s="28">
        <v>0</v>
      </c>
      <c r="DD31" s="28">
        <v>0</v>
      </c>
      <c r="DE31" s="28">
        <v>0</v>
      </c>
      <c r="DF31" s="28">
        <v>0</v>
      </c>
      <c r="DG31" s="28">
        <v>0</v>
      </c>
      <c r="DH31" s="28">
        <v>0</v>
      </c>
      <c r="DI31" s="28">
        <v>0</v>
      </c>
      <c r="DJ31" s="28">
        <v>0</v>
      </c>
      <c r="DK31" s="28">
        <v>0</v>
      </c>
      <c r="DL31" s="28">
        <v>0</v>
      </c>
      <c r="DM31" s="28">
        <v>0</v>
      </c>
      <c r="DN31" s="28">
        <v>0</v>
      </c>
      <c r="DO31" s="28">
        <v>0</v>
      </c>
      <c r="DP31" s="28">
        <v>0</v>
      </c>
      <c r="DQ31" s="28">
        <v>0</v>
      </c>
      <c r="DR31" s="28">
        <v>0</v>
      </c>
      <c r="DS31" s="28">
        <v>0</v>
      </c>
      <c r="DT31" s="28">
        <v>0</v>
      </c>
      <c r="DU31" s="28">
        <v>0</v>
      </c>
      <c r="DV31" s="28">
        <v>0.36299999999999999</v>
      </c>
      <c r="DW31" s="28">
        <v>3.125806451612903E-2</v>
      </c>
      <c r="DX31" s="34">
        <v>3.8759999999999999</v>
      </c>
    </row>
    <row r="32" spans="1:128" x14ac:dyDescent="0.25">
      <c r="A32" s="24">
        <v>31</v>
      </c>
      <c r="B32" s="26">
        <v>15</v>
      </c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0.39700000000000002</v>
      </c>
      <c r="R32" s="28">
        <v>0.60599999999999998</v>
      </c>
      <c r="S32" s="28">
        <v>0</v>
      </c>
      <c r="T32" s="28">
        <v>0.374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  <c r="BP32" s="28">
        <v>0</v>
      </c>
      <c r="BQ32" s="28">
        <v>0</v>
      </c>
      <c r="BR32" s="28">
        <v>0</v>
      </c>
      <c r="BS32" s="28">
        <v>0</v>
      </c>
      <c r="BT32" s="28">
        <v>0</v>
      </c>
      <c r="BU32" s="28">
        <v>0</v>
      </c>
      <c r="BV32" s="28">
        <v>0</v>
      </c>
      <c r="BW32" s="28">
        <v>0</v>
      </c>
      <c r="BX32" s="28">
        <v>0</v>
      </c>
      <c r="BY32" s="28">
        <v>0</v>
      </c>
      <c r="BZ32" s="28">
        <v>0</v>
      </c>
      <c r="CA32" s="28">
        <v>0</v>
      </c>
      <c r="CB32" s="28">
        <v>0</v>
      </c>
      <c r="CC32" s="28">
        <v>0</v>
      </c>
      <c r="CD32" s="28">
        <v>0</v>
      </c>
      <c r="CE32" s="28">
        <v>0</v>
      </c>
      <c r="CF32" s="28">
        <v>0</v>
      </c>
      <c r="CG32" s="28">
        <v>0</v>
      </c>
      <c r="CH32" s="28">
        <v>0</v>
      </c>
      <c r="CI32" s="28">
        <v>0.437</v>
      </c>
      <c r="CJ32" s="28">
        <v>0</v>
      </c>
      <c r="CK32" s="28">
        <v>0</v>
      </c>
      <c r="CL32" s="28">
        <v>0</v>
      </c>
      <c r="CM32" s="28">
        <v>0</v>
      </c>
      <c r="CN32" s="28">
        <v>0</v>
      </c>
      <c r="CO32" s="28">
        <v>0</v>
      </c>
      <c r="CP32" s="28">
        <v>0</v>
      </c>
      <c r="CQ32" s="28">
        <v>0</v>
      </c>
      <c r="CR32" s="28">
        <v>0</v>
      </c>
      <c r="CS32" s="28">
        <v>0</v>
      </c>
      <c r="CT32" s="28">
        <v>0</v>
      </c>
      <c r="CU32" s="28">
        <v>0</v>
      </c>
      <c r="CV32" s="28">
        <v>0</v>
      </c>
      <c r="CW32" s="28">
        <v>0</v>
      </c>
      <c r="CX32" s="28">
        <v>0</v>
      </c>
      <c r="CY32" s="28">
        <v>0</v>
      </c>
      <c r="CZ32" s="28">
        <v>0</v>
      </c>
      <c r="DA32" s="28">
        <v>0</v>
      </c>
      <c r="DB32" s="28">
        <v>0</v>
      </c>
      <c r="DC32" s="28">
        <v>0</v>
      </c>
      <c r="DD32" s="28">
        <v>0</v>
      </c>
      <c r="DE32" s="28">
        <v>0</v>
      </c>
      <c r="DF32" s="28">
        <v>0</v>
      </c>
      <c r="DG32" s="28">
        <v>0</v>
      </c>
      <c r="DH32" s="28">
        <v>0</v>
      </c>
      <c r="DI32" s="28">
        <v>0</v>
      </c>
      <c r="DJ32" s="28">
        <v>0</v>
      </c>
      <c r="DK32" s="28">
        <v>0</v>
      </c>
      <c r="DL32" s="28">
        <v>0</v>
      </c>
      <c r="DM32" s="28">
        <v>0</v>
      </c>
      <c r="DN32" s="28">
        <v>0</v>
      </c>
      <c r="DO32" s="28">
        <v>0</v>
      </c>
      <c r="DP32" s="28">
        <v>0</v>
      </c>
      <c r="DQ32" s="28">
        <v>0</v>
      </c>
      <c r="DR32" s="28">
        <v>0</v>
      </c>
      <c r="DS32" s="28">
        <v>0</v>
      </c>
      <c r="DT32" s="28">
        <v>0</v>
      </c>
      <c r="DU32" s="28">
        <v>0</v>
      </c>
      <c r="DV32" s="28">
        <v>0.32100000000000001</v>
      </c>
      <c r="DW32" s="28">
        <v>1.7217741935483869E-2</v>
      </c>
      <c r="DX32" s="34">
        <v>2.1349999999999998</v>
      </c>
    </row>
    <row r="33" spans="1:128" x14ac:dyDescent="0.25">
      <c r="A33" s="24">
        <v>32</v>
      </c>
      <c r="B33" s="26">
        <v>15.5</v>
      </c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0.56999999999999995</v>
      </c>
      <c r="S33" s="28">
        <v>0</v>
      </c>
      <c r="T33" s="28">
        <v>0.56400000000000006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0.9840000000000001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0.10299999999999999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  <c r="BQ33" s="28">
        <v>0</v>
      </c>
      <c r="BR33" s="28">
        <v>0</v>
      </c>
      <c r="BS33" s="28">
        <v>6.4000000000000001E-2</v>
      </c>
      <c r="BT33" s="28">
        <v>0</v>
      </c>
      <c r="BU33" s="28">
        <v>0</v>
      </c>
      <c r="BV33" s="28">
        <v>0</v>
      </c>
      <c r="BW33" s="28">
        <v>0</v>
      </c>
      <c r="BX33" s="28">
        <v>0</v>
      </c>
      <c r="BY33" s="28">
        <v>0</v>
      </c>
      <c r="BZ33" s="28">
        <v>0</v>
      </c>
      <c r="CA33" s="28">
        <v>0</v>
      </c>
      <c r="CB33" s="28">
        <v>0</v>
      </c>
      <c r="CC33" s="28">
        <v>0</v>
      </c>
      <c r="CD33" s="28">
        <v>0</v>
      </c>
      <c r="CE33" s="28">
        <v>0</v>
      </c>
      <c r="CF33" s="28">
        <v>0</v>
      </c>
      <c r="CG33" s="28">
        <v>0</v>
      </c>
      <c r="CH33" s="28">
        <v>0</v>
      </c>
      <c r="CI33" s="28">
        <v>0</v>
      </c>
      <c r="CJ33" s="28">
        <v>0</v>
      </c>
      <c r="CK33" s="28">
        <v>0</v>
      </c>
      <c r="CL33" s="28">
        <v>0</v>
      </c>
      <c r="CM33" s="28">
        <v>0</v>
      </c>
      <c r="CN33" s="28">
        <v>0</v>
      </c>
      <c r="CO33" s="28">
        <v>0</v>
      </c>
      <c r="CP33" s="28">
        <v>0</v>
      </c>
      <c r="CQ33" s="28">
        <v>0</v>
      </c>
      <c r="CR33" s="28">
        <v>0</v>
      </c>
      <c r="CS33" s="28">
        <v>0</v>
      </c>
      <c r="CT33" s="28">
        <v>0</v>
      </c>
      <c r="CU33" s="28">
        <v>0</v>
      </c>
      <c r="CV33" s="28">
        <v>0</v>
      </c>
      <c r="CW33" s="28">
        <v>0</v>
      </c>
      <c r="CX33" s="28">
        <v>0</v>
      </c>
      <c r="CY33" s="28">
        <v>0</v>
      </c>
      <c r="CZ33" s="28">
        <v>0</v>
      </c>
      <c r="DA33" s="28">
        <v>0</v>
      </c>
      <c r="DB33" s="28">
        <v>0</v>
      </c>
      <c r="DC33" s="28">
        <v>0</v>
      </c>
      <c r="DD33" s="28">
        <v>0</v>
      </c>
      <c r="DE33" s="28">
        <v>0</v>
      </c>
      <c r="DF33" s="28">
        <v>1.234</v>
      </c>
      <c r="DG33" s="28">
        <v>0</v>
      </c>
      <c r="DH33" s="28">
        <v>0</v>
      </c>
      <c r="DI33" s="28">
        <v>0</v>
      </c>
      <c r="DJ33" s="28">
        <v>0</v>
      </c>
      <c r="DK33" s="28">
        <v>0</v>
      </c>
      <c r="DL33" s="28">
        <v>0</v>
      </c>
      <c r="DM33" s="28">
        <v>0</v>
      </c>
      <c r="DN33" s="28">
        <v>0</v>
      </c>
      <c r="DO33" s="28">
        <v>0</v>
      </c>
      <c r="DP33" s="28">
        <v>0.79600000000000004</v>
      </c>
      <c r="DQ33" s="28">
        <v>0</v>
      </c>
      <c r="DR33" s="28">
        <v>0</v>
      </c>
      <c r="DS33" s="28">
        <v>0</v>
      </c>
      <c r="DT33" s="28">
        <v>6.7000000000000004E-2</v>
      </c>
      <c r="DU33" s="28">
        <v>0</v>
      </c>
      <c r="DV33" s="28">
        <v>3.1E-2</v>
      </c>
      <c r="DW33" s="28">
        <v>3.558870967741936E-2</v>
      </c>
      <c r="DX33" s="34">
        <v>4.4130000000000003</v>
      </c>
    </row>
    <row r="34" spans="1:128" x14ac:dyDescent="0.25">
      <c r="A34" s="24">
        <v>33</v>
      </c>
      <c r="B34" s="26">
        <v>16</v>
      </c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0.49700000000000011</v>
      </c>
      <c r="S34" s="28">
        <v>0</v>
      </c>
      <c r="T34" s="28">
        <v>7.2000000000000008E-2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8">
        <v>0</v>
      </c>
      <c r="AG34" s="28">
        <v>0</v>
      </c>
      <c r="AH34" s="28">
        <v>0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</v>
      </c>
      <c r="AR34" s="28">
        <v>0</v>
      </c>
      <c r="AS34" s="28">
        <v>0.49099999999999999</v>
      </c>
      <c r="AT34" s="28">
        <v>0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0</v>
      </c>
      <c r="BA34" s="28">
        <v>0</v>
      </c>
      <c r="BB34" s="28">
        <v>0</v>
      </c>
      <c r="BC34" s="28">
        <v>0</v>
      </c>
      <c r="BD34" s="28">
        <v>0</v>
      </c>
      <c r="BE34" s="28">
        <v>0</v>
      </c>
      <c r="BF34" s="28">
        <v>0</v>
      </c>
      <c r="BG34" s="28">
        <v>0.215</v>
      </c>
      <c r="BH34" s="28">
        <v>0</v>
      </c>
      <c r="BI34" s="28">
        <v>0</v>
      </c>
      <c r="BJ34" s="28">
        <v>0</v>
      </c>
      <c r="BK34" s="28">
        <v>0</v>
      </c>
      <c r="BL34" s="28">
        <v>0</v>
      </c>
      <c r="BM34" s="28">
        <v>0</v>
      </c>
      <c r="BN34" s="28">
        <v>0</v>
      </c>
      <c r="BO34" s="28">
        <v>0</v>
      </c>
      <c r="BP34" s="28">
        <v>0</v>
      </c>
      <c r="BQ34" s="28">
        <v>0</v>
      </c>
      <c r="BR34" s="28">
        <v>0</v>
      </c>
      <c r="BS34" s="28">
        <v>0</v>
      </c>
      <c r="BT34" s="28">
        <v>0</v>
      </c>
      <c r="BU34" s="28">
        <v>0</v>
      </c>
      <c r="BV34" s="28">
        <v>0</v>
      </c>
      <c r="BW34" s="28">
        <v>0</v>
      </c>
      <c r="BX34" s="28">
        <v>0</v>
      </c>
      <c r="BY34" s="28">
        <v>0</v>
      </c>
      <c r="BZ34" s="28">
        <v>0</v>
      </c>
      <c r="CA34" s="28">
        <v>0</v>
      </c>
      <c r="CB34" s="28">
        <v>0</v>
      </c>
      <c r="CC34" s="28">
        <v>0</v>
      </c>
      <c r="CD34" s="28">
        <v>0</v>
      </c>
      <c r="CE34" s="28">
        <v>0</v>
      </c>
      <c r="CF34" s="28">
        <v>0</v>
      </c>
      <c r="CG34" s="28">
        <v>0</v>
      </c>
      <c r="CH34" s="28">
        <v>0</v>
      </c>
      <c r="CI34" s="28">
        <v>0</v>
      </c>
      <c r="CJ34" s="28">
        <v>0</v>
      </c>
      <c r="CK34" s="28">
        <v>0</v>
      </c>
      <c r="CL34" s="28">
        <v>0</v>
      </c>
      <c r="CM34" s="28">
        <v>0</v>
      </c>
      <c r="CN34" s="28">
        <v>0</v>
      </c>
      <c r="CO34" s="28">
        <v>0</v>
      </c>
      <c r="CP34" s="28">
        <v>0</v>
      </c>
      <c r="CQ34" s="28">
        <v>0</v>
      </c>
      <c r="CR34" s="28">
        <v>0</v>
      </c>
      <c r="CS34" s="28">
        <v>0</v>
      </c>
      <c r="CT34" s="28">
        <v>0</v>
      </c>
      <c r="CU34" s="28">
        <v>0</v>
      </c>
      <c r="CV34" s="28">
        <v>0</v>
      </c>
      <c r="CW34" s="28">
        <v>0</v>
      </c>
      <c r="CX34" s="28">
        <v>0</v>
      </c>
      <c r="CY34" s="28">
        <v>0</v>
      </c>
      <c r="CZ34" s="28">
        <v>0</v>
      </c>
      <c r="DA34" s="28">
        <v>0</v>
      </c>
      <c r="DB34" s="28">
        <v>0</v>
      </c>
      <c r="DC34" s="28">
        <v>0</v>
      </c>
      <c r="DD34" s="28">
        <v>0</v>
      </c>
      <c r="DE34" s="28">
        <v>0</v>
      </c>
      <c r="DF34" s="28">
        <v>0</v>
      </c>
      <c r="DG34" s="28">
        <v>0</v>
      </c>
      <c r="DH34" s="28">
        <v>0</v>
      </c>
      <c r="DI34" s="28">
        <v>0</v>
      </c>
      <c r="DJ34" s="28">
        <v>0</v>
      </c>
      <c r="DK34" s="28">
        <v>0</v>
      </c>
      <c r="DL34" s="28">
        <v>0</v>
      </c>
      <c r="DM34" s="28">
        <v>0</v>
      </c>
      <c r="DN34" s="28">
        <v>0</v>
      </c>
      <c r="DO34" s="28">
        <v>0</v>
      </c>
      <c r="DP34" s="28">
        <v>2.1999999999999999E-2</v>
      </c>
      <c r="DQ34" s="28">
        <v>0</v>
      </c>
      <c r="DR34" s="28">
        <v>0</v>
      </c>
      <c r="DS34" s="28">
        <v>0</v>
      </c>
      <c r="DT34" s="28">
        <v>0</v>
      </c>
      <c r="DU34" s="28">
        <v>0</v>
      </c>
      <c r="DV34" s="28">
        <v>6.0999999999999999E-2</v>
      </c>
      <c r="DW34" s="28">
        <v>1.095161290322581E-2</v>
      </c>
      <c r="DX34" s="34">
        <v>1.3580000000000001</v>
      </c>
    </row>
    <row r="35" spans="1:128" x14ac:dyDescent="0.25">
      <c r="A35" s="24">
        <v>34</v>
      </c>
      <c r="B35" s="26">
        <v>16.5</v>
      </c>
      <c r="C35" s="28">
        <v>0</v>
      </c>
      <c r="D35" s="28">
        <v>0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0.28899999999999998</v>
      </c>
      <c r="S35" s="28">
        <v>0</v>
      </c>
      <c r="T35" s="28">
        <v>0.28199999999999997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8">
        <v>0</v>
      </c>
      <c r="AG35" s="28">
        <v>0</v>
      </c>
      <c r="AH35" s="28">
        <v>0</v>
      </c>
      <c r="AI35" s="28">
        <v>0</v>
      </c>
      <c r="AJ35" s="28">
        <v>0</v>
      </c>
      <c r="AK35" s="28">
        <v>0</v>
      </c>
      <c r="AL35" s="28">
        <v>0</v>
      </c>
      <c r="AM35" s="28">
        <v>0</v>
      </c>
      <c r="AN35" s="28">
        <v>0</v>
      </c>
      <c r="AO35" s="28">
        <v>0</v>
      </c>
      <c r="AP35" s="28">
        <v>0</v>
      </c>
      <c r="AQ35" s="28">
        <v>0</v>
      </c>
      <c r="AR35" s="28">
        <v>0</v>
      </c>
      <c r="AS35" s="28">
        <v>0</v>
      </c>
      <c r="AT35" s="28">
        <v>0.38300000000000001</v>
      </c>
      <c r="AU35" s="28">
        <v>0</v>
      </c>
      <c r="AV35" s="28">
        <v>0</v>
      </c>
      <c r="AW35" s="28">
        <v>0</v>
      </c>
      <c r="AX35" s="28">
        <v>0</v>
      </c>
      <c r="AY35" s="28">
        <v>0</v>
      </c>
      <c r="AZ35" s="28">
        <v>0</v>
      </c>
      <c r="BA35" s="28">
        <v>0</v>
      </c>
      <c r="BB35" s="28">
        <v>0</v>
      </c>
      <c r="BC35" s="28">
        <v>0</v>
      </c>
      <c r="BD35" s="28">
        <v>0.45800000000000002</v>
      </c>
      <c r="BE35" s="28">
        <v>0</v>
      </c>
      <c r="BF35" s="28">
        <v>0</v>
      </c>
      <c r="BG35" s="28">
        <v>0</v>
      </c>
      <c r="BH35" s="28">
        <v>0</v>
      </c>
      <c r="BI35" s="28">
        <v>0</v>
      </c>
      <c r="BJ35" s="28">
        <v>0</v>
      </c>
      <c r="BK35" s="28">
        <v>0</v>
      </c>
      <c r="BL35" s="28">
        <v>0</v>
      </c>
      <c r="BM35" s="28">
        <v>0</v>
      </c>
      <c r="BN35" s="28">
        <v>0</v>
      </c>
      <c r="BO35" s="28">
        <v>0</v>
      </c>
      <c r="BP35" s="28">
        <v>0</v>
      </c>
      <c r="BQ35" s="28">
        <v>0</v>
      </c>
      <c r="BR35" s="28">
        <v>0</v>
      </c>
      <c r="BS35" s="28">
        <v>0</v>
      </c>
      <c r="BT35" s="28">
        <v>0</v>
      </c>
      <c r="BU35" s="28">
        <v>0</v>
      </c>
      <c r="BV35" s="28">
        <v>0</v>
      </c>
      <c r="BW35" s="28">
        <v>0</v>
      </c>
      <c r="BX35" s="28">
        <v>0</v>
      </c>
      <c r="BY35" s="28">
        <v>0</v>
      </c>
      <c r="BZ35" s="28">
        <v>0</v>
      </c>
      <c r="CA35" s="28">
        <v>0</v>
      </c>
      <c r="CB35" s="28">
        <v>0</v>
      </c>
      <c r="CC35" s="28">
        <v>0</v>
      </c>
      <c r="CD35" s="28">
        <v>0</v>
      </c>
      <c r="CE35" s="28">
        <v>0</v>
      </c>
      <c r="CF35" s="28">
        <v>0</v>
      </c>
      <c r="CG35" s="28">
        <v>0</v>
      </c>
      <c r="CH35" s="28">
        <v>0</v>
      </c>
      <c r="CI35" s="28">
        <v>0</v>
      </c>
      <c r="CJ35" s="28">
        <v>0</v>
      </c>
      <c r="CK35" s="28">
        <v>0</v>
      </c>
      <c r="CL35" s="28">
        <v>0</v>
      </c>
      <c r="CM35" s="28">
        <v>0</v>
      </c>
      <c r="CN35" s="28">
        <v>0</v>
      </c>
      <c r="CO35" s="28">
        <v>0</v>
      </c>
      <c r="CP35" s="28">
        <v>0</v>
      </c>
      <c r="CQ35" s="28">
        <v>0</v>
      </c>
      <c r="CR35" s="28">
        <v>0</v>
      </c>
      <c r="CS35" s="28">
        <v>0</v>
      </c>
      <c r="CT35" s="28">
        <v>0</v>
      </c>
      <c r="CU35" s="28">
        <v>0</v>
      </c>
      <c r="CV35" s="28">
        <v>0</v>
      </c>
      <c r="CW35" s="28">
        <v>0</v>
      </c>
      <c r="CX35" s="28">
        <v>0</v>
      </c>
      <c r="CY35" s="28">
        <v>0</v>
      </c>
      <c r="CZ35" s="28">
        <v>0</v>
      </c>
      <c r="DA35" s="28">
        <v>0</v>
      </c>
      <c r="DB35" s="28">
        <v>0</v>
      </c>
      <c r="DC35" s="28">
        <v>0</v>
      </c>
      <c r="DD35" s="28">
        <v>0</v>
      </c>
      <c r="DE35" s="28">
        <v>0.25900000000000001</v>
      </c>
      <c r="DF35" s="28">
        <v>0</v>
      </c>
      <c r="DG35" s="28">
        <v>0</v>
      </c>
      <c r="DH35" s="28">
        <v>0</v>
      </c>
      <c r="DI35" s="28">
        <v>0</v>
      </c>
      <c r="DJ35" s="28">
        <v>0</v>
      </c>
      <c r="DK35" s="28">
        <v>0</v>
      </c>
      <c r="DL35" s="28">
        <v>0</v>
      </c>
      <c r="DM35" s="28">
        <v>0</v>
      </c>
      <c r="DN35" s="28">
        <v>0</v>
      </c>
      <c r="DO35" s="28">
        <v>0</v>
      </c>
      <c r="DP35" s="28">
        <v>0</v>
      </c>
      <c r="DQ35" s="28">
        <v>0</v>
      </c>
      <c r="DR35" s="28">
        <v>0</v>
      </c>
      <c r="DS35" s="28">
        <v>0</v>
      </c>
      <c r="DT35" s="28">
        <v>0</v>
      </c>
      <c r="DU35" s="28">
        <v>0.753</v>
      </c>
      <c r="DV35" s="28">
        <v>0</v>
      </c>
      <c r="DW35" s="28">
        <v>1.954838709677419E-2</v>
      </c>
      <c r="DX35" s="34">
        <v>2.4239999999999999</v>
      </c>
    </row>
    <row r="36" spans="1:128" x14ac:dyDescent="0.25">
      <c r="A36" s="24">
        <v>35</v>
      </c>
      <c r="B36" s="26">
        <v>17</v>
      </c>
      <c r="C36" s="28">
        <v>0</v>
      </c>
      <c r="D36" s="28">
        <v>0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1.4999999999999999E-2</v>
      </c>
      <c r="S36" s="28">
        <v>0</v>
      </c>
      <c r="T36" s="28">
        <v>1.2E-2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0</v>
      </c>
      <c r="AJ36" s="28">
        <v>0</v>
      </c>
      <c r="AK36" s="28">
        <v>0</v>
      </c>
      <c r="AL36" s="28">
        <v>0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</v>
      </c>
      <c r="AS36" s="28">
        <v>0</v>
      </c>
      <c r="AT36" s="28">
        <v>0</v>
      </c>
      <c r="AU36" s="28">
        <v>0</v>
      </c>
      <c r="AV36" s="28">
        <v>0</v>
      </c>
      <c r="AW36" s="28">
        <v>0</v>
      </c>
      <c r="AX36" s="28">
        <v>0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8">
        <v>0</v>
      </c>
      <c r="BE36" s="28">
        <v>0</v>
      </c>
      <c r="BF36" s="28">
        <v>0</v>
      </c>
      <c r="BG36" s="28">
        <v>0</v>
      </c>
      <c r="BH36" s="28">
        <v>0</v>
      </c>
      <c r="BI36" s="28">
        <v>0</v>
      </c>
      <c r="BJ36" s="28">
        <v>0</v>
      </c>
      <c r="BK36" s="28">
        <v>0</v>
      </c>
      <c r="BL36" s="28">
        <v>0</v>
      </c>
      <c r="BM36" s="28">
        <v>0</v>
      </c>
      <c r="BN36" s="28">
        <v>0</v>
      </c>
      <c r="BO36" s="28">
        <v>0</v>
      </c>
      <c r="BP36" s="28">
        <v>0.84099999999999997</v>
      </c>
      <c r="BQ36" s="28">
        <v>0</v>
      </c>
      <c r="BR36" s="28">
        <v>0</v>
      </c>
      <c r="BS36" s="28">
        <v>0</v>
      </c>
      <c r="BT36" s="28">
        <v>0</v>
      </c>
      <c r="BU36" s="28">
        <v>0</v>
      </c>
      <c r="BV36" s="28">
        <v>0</v>
      </c>
      <c r="BW36" s="28">
        <v>0</v>
      </c>
      <c r="BX36" s="28">
        <v>0</v>
      </c>
      <c r="BY36" s="28">
        <v>0</v>
      </c>
      <c r="BZ36" s="28">
        <v>0</v>
      </c>
      <c r="CA36" s="28">
        <v>0</v>
      </c>
      <c r="CB36" s="28">
        <v>0</v>
      </c>
      <c r="CC36" s="28">
        <v>0</v>
      </c>
      <c r="CD36" s="28">
        <v>0</v>
      </c>
      <c r="CE36" s="28">
        <v>0</v>
      </c>
      <c r="CF36" s="28">
        <v>0</v>
      </c>
      <c r="CG36" s="28">
        <v>0</v>
      </c>
      <c r="CH36" s="28">
        <v>0</v>
      </c>
      <c r="CI36" s="28">
        <v>0</v>
      </c>
      <c r="CJ36" s="28">
        <v>0</v>
      </c>
      <c r="CK36" s="28">
        <v>0</v>
      </c>
      <c r="CL36" s="28">
        <v>0</v>
      </c>
      <c r="CM36" s="28">
        <v>0</v>
      </c>
      <c r="CN36" s="28">
        <v>0</v>
      </c>
      <c r="CO36" s="28">
        <v>0</v>
      </c>
      <c r="CP36" s="28">
        <v>0</v>
      </c>
      <c r="CQ36" s="28">
        <v>0</v>
      </c>
      <c r="CR36" s="28">
        <v>0</v>
      </c>
      <c r="CS36" s="28">
        <v>0</v>
      </c>
      <c r="CT36" s="28">
        <v>0</v>
      </c>
      <c r="CU36" s="28">
        <v>0</v>
      </c>
      <c r="CV36" s="28">
        <v>9.0999999999999998E-2</v>
      </c>
      <c r="CW36" s="28">
        <v>0</v>
      </c>
      <c r="CX36" s="28">
        <v>0</v>
      </c>
      <c r="CY36" s="28">
        <v>0</v>
      </c>
      <c r="CZ36" s="28">
        <v>0</v>
      </c>
      <c r="DA36" s="28">
        <v>0</v>
      </c>
      <c r="DB36" s="28">
        <v>0</v>
      </c>
      <c r="DC36" s="28">
        <v>0</v>
      </c>
      <c r="DD36" s="28">
        <v>0</v>
      </c>
      <c r="DE36" s="28">
        <v>0.36699999999999999</v>
      </c>
      <c r="DF36" s="28">
        <v>0</v>
      </c>
      <c r="DG36" s="28">
        <v>0</v>
      </c>
      <c r="DH36" s="28">
        <v>0</v>
      </c>
      <c r="DI36" s="28">
        <v>0</v>
      </c>
      <c r="DJ36" s="28">
        <v>0</v>
      </c>
      <c r="DK36" s="28">
        <v>0</v>
      </c>
      <c r="DL36" s="28">
        <v>0</v>
      </c>
      <c r="DM36" s="28">
        <v>0</v>
      </c>
      <c r="DN36" s="28">
        <v>0</v>
      </c>
      <c r="DO36" s="28">
        <v>0</v>
      </c>
      <c r="DP36" s="28">
        <v>0</v>
      </c>
      <c r="DQ36" s="28">
        <v>0</v>
      </c>
      <c r="DR36" s="28">
        <v>0</v>
      </c>
      <c r="DS36" s="28">
        <v>0</v>
      </c>
      <c r="DT36" s="28">
        <v>0</v>
      </c>
      <c r="DU36" s="28">
        <v>0.71500000000000008</v>
      </c>
      <c r="DV36" s="28">
        <v>0</v>
      </c>
      <c r="DW36" s="28">
        <v>1.6459677419354841E-2</v>
      </c>
      <c r="DX36" s="34">
        <v>2.0409999999999999</v>
      </c>
    </row>
    <row r="37" spans="1:128" x14ac:dyDescent="0.25">
      <c r="A37" s="24">
        <v>36</v>
      </c>
      <c r="B37" s="26">
        <v>17.5</v>
      </c>
      <c r="C37" s="28">
        <v>0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0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0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</v>
      </c>
      <c r="BN37" s="28">
        <v>0</v>
      </c>
      <c r="BO37" s="28">
        <v>0</v>
      </c>
      <c r="BP37" s="28">
        <v>0</v>
      </c>
      <c r="BQ37" s="28">
        <v>0</v>
      </c>
      <c r="BR37" s="28">
        <v>0</v>
      </c>
      <c r="BS37" s="28">
        <v>3.6999999999999998E-2</v>
      </c>
      <c r="BT37" s="28">
        <v>0</v>
      </c>
      <c r="BU37" s="28">
        <v>0</v>
      </c>
      <c r="BV37" s="28">
        <v>0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8">
        <v>0</v>
      </c>
      <c r="CG37" s="28">
        <v>0</v>
      </c>
      <c r="CH37" s="28">
        <v>0</v>
      </c>
      <c r="CI37" s="28">
        <v>0</v>
      </c>
      <c r="CJ37" s="28">
        <v>0</v>
      </c>
      <c r="CK37" s="28">
        <v>0</v>
      </c>
      <c r="CL37" s="28">
        <v>0</v>
      </c>
      <c r="CM37" s="28">
        <v>0</v>
      </c>
      <c r="CN37" s="28">
        <v>0</v>
      </c>
      <c r="CO37" s="28">
        <v>0</v>
      </c>
      <c r="CP37" s="28">
        <v>0</v>
      </c>
      <c r="CQ37" s="28">
        <v>0</v>
      </c>
      <c r="CR37" s="28">
        <v>0</v>
      </c>
      <c r="CS37" s="28">
        <v>0</v>
      </c>
      <c r="CT37" s="28">
        <v>0</v>
      </c>
      <c r="CU37" s="28">
        <v>0</v>
      </c>
      <c r="CV37" s="28">
        <v>0</v>
      </c>
      <c r="CW37" s="28">
        <v>0</v>
      </c>
      <c r="CX37" s="28">
        <v>0</v>
      </c>
      <c r="CY37" s="28">
        <v>0</v>
      </c>
      <c r="CZ37" s="28">
        <v>0</v>
      </c>
      <c r="DA37" s="28">
        <v>0</v>
      </c>
      <c r="DB37" s="28">
        <v>0</v>
      </c>
      <c r="DC37" s="28">
        <v>0</v>
      </c>
      <c r="DD37" s="28">
        <v>0</v>
      </c>
      <c r="DE37" s="28">
        <v>0.222</v>
      </c>
      <c r="DF37" s="28">
        <v>0</v>
      </c>
      <c r="DG37" s="28">
        <v>0</v>
      </c>
      <c r="DH37" s="28">
        <v>0</v>
      </c>
      <c r="DI37" s="28">
        <v>0</v>
      </c>
      <c r="DJ37" s="28">
        <v>0</v>
      </c>
      <c r="DK37" s="28">
        <v>0</v>
      </c>
      <c r="DL37" s="28">
        <v>0</v>
      </c>
      <c r="DM37" s="28">
        <v>0</v>
      </c>
      <c r="DN37" s="28">
        <v>0</v>
      </c>
      <c r="DO37" s="28">
        <v>0</v>
      </c>
      <c r="DP37" s="28">
        <v>0</v>
      </c>
      <c r="DQ37" s="28">
        <v>0</v>
      </c>
      <c r="DR37" s="28">
        <v>0</v>
      </c>
      <c r="DS37" s="28">
        <v>0</v>
      </c>
      <c r="DT37" s="28">
        <v>0</v>
      </c>
      <c r="DU37" s="28">
        <v>0.55800000000000005</v>
      </c>
      <c r="DV37" s="28">
        <v>0</v>
      </c>
      <c r="DW37" s="28">
        <v>6.5887096774193557E-3</v>
      </c>
      <c r="DX37" s="34">
        <v>0.81700000000000006</v>
      </c>
    </row>
    <row r="38" spans="1:128" x14ac:dyDescent="0.25">
      <c r="A38" s="24">
        <v>37</v>
      </c>
      <c r="B38" s="26">
        <v>18</v>
      </c>
      <c r="C38" s="28">
        <v>0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0.54199999999999993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0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0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1.4E-2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</v>
      </c>
      <c r="BE38" s="28">
        <v>0</v>
      </c>
      <c r="BF38" s="28">
        <v>0</v>
      </c>
      <c r="BG38" s="28">
        <v>0</v>
      </c>
      <c r="BH38" s="28">
        <v>0</v>
      </c>
      <c r="BI38" s="28">
        <v>0</v>
      </c>
      <c r="BJ38" s="28">
        <v>0</v>
      </c>
      <c r="BK38" s="28">
        <v>0</v>
      </c>
      <c r="BL38" s="28">
        <v>0</v>
      </c>
      <c r="BM38" s="28">
        <v>0</v>
      </c>
      <c r="BN38" s="28">
        <v>0</v>
      </c>
      <c r="BO38" s="28">
        <v>0</v>
      </c>
      <c r="BP38" s="28">
        <v>0</v>
      </c>
      <c r="BQ38" s="28">
        <v>0</v>
      </c>
      <c r="BR38" s="28">
        <v>0</v>
      </c>
      <c r="BS38" s="28">
        <v>0</v>
      </c>
      <c r="BT38" s="28">
        <v>0</v>
      </c>
      <c r="BU38" s="28">
        <v>0</v>
      </c>
      <c r="BV38" s="28">
        <v>0</v>
      </c>
      <c r="BW38" s="28">
        <v>0</v>
      </c>
      <c r="BX38" s="28">
        <v>0</v>
      </c>
      <c r="BY38" s="28">
        <v>0</v>
      </c>
      <c r="BZ38" s="28">
        <v>0</v>
      </c>
      <c r="CA38" s="28">
        <v>0</v>
      </c>
      <c r="CB38" s="28">
        <v>0</v>
      </c>
      <c r="CC38" s="28">
        <v>0</v>
      </c>
      <c r="CD38" s="28">
        <v>0</v>
      </c>
      <c r="CE38" s="28">
        <v>0</v>
      </c>
      <c r="CF38" s="28">
        <v>0.311</v>
      </c>
      <c r="CG38" s="28">
        <v>0</v>
      </c>
      <c r="CH38" s="28">
        <v>0</v>
      </c>
      <c r="CI38" s="28">
        <v>0</v>
      </c>
      <c r="CJ38" s="28">
        <v>0</v>
      </c>
      <c r="CK38" s="28">
        <v>0</v>
      </c>
      <c r="CL38" s="28">
        <v>0</v>
      </c>
      <c r="CM38" s="28">
        <v>0</v>
      </c>
      <c r="CN38" s="28">
        <v>0</v>
      </c>
      <c r="CO38" s="28">
        <v>0</v>
      </c>
      <c r="CP38" s="28">
        <v>0</v>
      </c>
      <c r="CQ38" s="28">
        <v>0</v>
      </c>
      <c r="CR38" s="28">
        <v>0.114</v>
      </c>
      <c r="CS38" s="28">
        <v>0</v>
      </c>
      <c r="CT38" s="28">
        <v>0</v>
      </c>
      <c r="CU38" s="28">
        <v>0</v>
      </c>
      <c r="CV38" s="28">
        <v>0</v>
      </c>
      <c r="CW38" s="28">
        <v>0</v>
      </c>
      <c r="CX38" s="28">
        <v>0</v>
      </c>
      <c r="CY38" s="28">
        <v>0</v>
      </c>
      <c r="CZ38" s="28">
        <v>0</v>
      </c>
      <c r="DA38" s="28">
        <v>0</v>
      </c>
      <c r="DB38" s="28">
        <v>0</v>
      </c>
      <c r="DC38" s="28">
        <v>0</v>
      </c>
      <c r="DD38" s="28">
        <v>0</v>
      </c>
      <c r="DE38" s="28">
        <v>0.03</v>
      </c>
      <c r="DF38" s="28">
        <v>0</v>
      </c>
      <c r="DG38" s="28">
        <v>0</v>
      </c>
      <c r="DH38" s="28">
        <v>0</v>
      </c>
      <c r="DI38" s="28">
        <v>0</v>
      </c>
      <c r="DJ38" s="28">
        <v>0</v>
      </c>
      <c r="DK38" s="28">
        <v>0</v>
      </c>
      <c r="DL38" s="28">
        <v>0</v>
      </c>
      <c r="DM38" s="28">
        <v>0</v>
      </c>
      <c r="DN38" s="28">
        <v>0</v>
      </c>
      <c r="DO38" s="28">
        <v>0</v>
      </c>
      <c r="DP38" s="28">
        <v>0</v>
      </c>
      <c r="DQ38" s="28">
        <v>0</v>
      </c>
      <c r="DR38" s="28">
        <v>0</v>
      </c>
      <c r="DS38" s="28">
        <v>0</v>
      </c>
      <c r="DT38" s="28">
        <v>0</v>
      </c>
      <c r="DU38" s="28">
        <v>0.32500000000000001</v>
      </c>
      <c r="DV38" s="28">
        <v>0.157</v>
      </c>
      <c r="DW38" s="28">
        <v>1.204032258064516E-2</v>
      </c>
      <c r="DX38" s="34">
        <v>1.4930000000000001</v>
      </c>
    </row>
    <row r="39" spans="1:128" x14ac:dyDescent="0.25">
      <c r="A39" s="24">
        <v>38</v>
      </c>
      <c r="B39" s="26">
        <v>18.5</v>
      </c>
      <c r="C39" s="28">
        <v>0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0</v>
      </c>
      <c r="M39" s="28">
        <v>0</v>
      </c>
      <c r="N39" s="28">
        <v>0</v>
      </c>
      <c r="O39" s="28">
        <v>0</v>
      </c>
      <c r="P39" s="28">
        <v>0</v>
      </c>
      <c r="Q39" s="28">
        <v>0</v>
      </c>
      <c r="R39" s="28">
        <v>0</v>
      </c>
      <c r="S39" s="28">
        <v>0</v>
      </c>
      <c r="T39" s="28">
        <v>0</v>
      </c>
      <c r="U39" s="28">
        <v>0</v>
      </c>
      <c r="V39" s="28">
        <v>0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0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0</v>
      </c>
      <c r="AU39" s="28">
        <v>0</v>
      </c>
      <c r="AV39" s="28">
        <v>0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0</v>
      </c>
      <c r="BE39" s="28">
        <v>0</v>
      </c>
      <c r="BF39" s="28">
        <v>0</v>
      </c>
      <c r="BG39" s="28">
        <v>0</v>
      </c>
      <c r="BH39" s="28">
        <v>0</v>
      </c>
      <c r="BI39" s="28">
        <v>0</v>
      </c>
      <c r="BJ39" s="28">
        <v>0</v>
      </c>
      <c r="BK39" s="28">
        <v>0</v>
      </c>
      <c r="BL39" s="28">
        <v>0</v>
      </c>
      <c r="BM39" s="28">
        <v>1.7000000000000001E-2</v>
      </c>
      <c r="BN39" s="28">
        <v>0</v>
      </c>
      <c r="BO39" s="28">
        <v>0</v>
      </c>
      <c r="BP39" s="28">
        <v>0</v>
      </c>
      <c r="BQ39" s="28">
        <v>0</v>
      </c>
      <c r="BR39" s="28">
        <v>0</v>
      </c>
      <c r="BS39" s="28">
        <v>0</v>
      </c>
      <c r="BT39" s="28">
        <v>0</v>
      </c>
      <c r="BU39" s="28">
        <v>0</v>
      </c>
      <c r="BV39" s="28">
        <v>0</v>
      </c>
      <c r="BW39" s="28">
        <v>0</v>
      </c>
      <c r="BX39" s="28">
        <v>0</v>
      </c>
      <c r="BY39" s="28">
        <v>0.14499999999999999</v>
      </c>
      <c r="BZ39" s="28">
        <v>0</v>
      </c>
      <c r="CA39" s="28">
        <v>0</v>
      </c>
      <c r="CB39" s="28">
        <v>0</v>
      </c>
      <c r="CC39" s="28">
        <v>0</v>
      </c>
      <c r="CD39" s="28">
        <v>0.17599999999999999</v>
      </c>
      <c r="CE39" s="28">
        <v>0</v>
      </c>
      <c r="CF39" s="28">
        <v>0</v>
      </c>
      <c r="CG39" s="28">
        <v>0</v>
      </c>
      <c r="CH39" s="28">
        <v>0</v>
      </c>
      <c r="CI39" s="28">
        <v>0</v>
      </c>
      <c r="CJ39" s="28">
        <v>0</v>
      </c>
      <c r="CK39" s="28">
        <v>0</v>
      </c>
      <c r="CL39" s="28">
        <v>0</v>
      </c>
      <c r="CM39" s="28">
        <v>0</v>
      </c>
      <c r="CN39" s="28">
        <v>0</v>
      </c>
      <c r="CO39" s="28">
        <v>0</v>
      </c>
      <c r="CP39" s="28">
        <v>0</v>
      </c>
      <c r="CQ39" s="28">
        <v>0</v>
      </c>
      <c r="CR39" s="28">
        <v>6.8000000000000005E-2</v>
      </c>
      <c r="CS39" s="28">
        <v>0</v>
      </c>
      <c r="CT39" s="28">
        <v>3.4000000000000002E-2</v>
      </c>
      <c r="CU39" s="28">
        <v>0</v>
      </c>
      <c r="CV39" s="28">
        <v>0</v>
      </c>
      <c r="CW39" s="28">
        <v>0</v>
      </c>
      <c r="CX39" s="28">
        <v>0</v>
      </c>
      <c r="CY39" s="28">
        <v>0.43600000000000011</v>
      </c>
      <c r="CZ39" s="28">
        <v>0.21</v>
      </c>
      <c r="DA39" s="28">
        <v>0</v>
      </c>
      <c r="DB39" s="28">
        <v>0</v>
      </c>
      <c r="DC39" s="28">
        <v>0</v>
      </c>
      <c r="DD39" s="28">
        <v>0</v>
      </c>
      <c r="DE39" s="28">
        <v>0</v>
      </c>
      <c r="DF39" s="28">
        <v>0</v>
      </c>
      <c r="DG39" s="28">
        <v>0</v>
      </c>
      <c r="DH39" s="28">
        <v>0</v>
      </c>
      <c r="DI39" s="28">
        <v>0</v>
      </c>
      <c r="DJ39" s="28">
        <v>0</v>
      </c>
      <c r="DK39" s="28">
        <v>0</v>
      </c>
      <c r="DL39" s="28">
        <v>0</v>
      </c>
      <c r="DM39" s="28">
        <v>0</v>
      </c>
      <c r="DN39" s="28">
        <v>0</v>
      </c>
      <c r="DO39" s="28">
        <v>0</v>
      </c>
      <c r="DP39" s="28">
        <v>0</v>
      </c>
      <c r="DQ39" s="28">
        <v>0</v>
      </c>
      <c r="DR39" s="28">
        <v>0</v>
      </c>
      <c r="DS39" s="28">
        <v>0</v>
      </c>
      <c r="DT39" s="28">
        <v>0</v>
      </c>
      <c r="DU39" s="28">
        <v>0.217</v>
      </c>
      <c r="DV39" s="28">
        <v>0</v>
      </c>
      <c r="DW39" s="28">
        <v>1.0508064516129029E-2</v>
      </c>
      <c r="DX39" s="34">
        <v>1.3029999999999999</v>
      </c>
    </row>
    <row r="40" spans="1:128" x14ac:dyDescent="0.25">
      <c r="A40" s="24">
        <v>39</v>
      </c>
      <c r="B40" s="26">
        <v>19</v>
      </c>
      <c r="C40" s="28">
        <v>0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</v>
      </c>
      <c r="M40" s="28">
        <v>0</v>
      </c>
      <c r="N40" s="28">
        <v>0</v>
      </c>
      <c r="O40" s="28">
        <v>0</v>
      </c>
      <c r="P40" s="28">
        <v>0</v>
      </c>
      <c r="Q40" s="28">
        <v>0</v>
      </c>
      <c r="R40" s="28">
        <v>0</v>
      </c>
      <c r="S40" s="28">
        <v>0</v>
      </c>
      <c r="T40" s="28">
        <v>0</v>
      </c>
      <c r="U40" s="28">
        <v>0</v>
      </c>
      <c r="V40" s="28">
        <v>0</v>
      </c>
      <c r="W40" s="28">
        <v>0</v>
      </c>
      <c r="X40" s="28">
        <v>0</v>
      </c>
      <c r="Y40" s="28">
        <v>0</v>
      </c>
      <c r="Z40" s="28">
        <v>0</v>
      </c>
      <c r="AA40" s="28">
        <v>0</v>
      </c>
      <c r="AB40" s="28">
        <v>0</v>
      </c>
      <c r="AC40" s="28">
        <v>0</v>
      </c>
      <c r="AD40" s="28">
        <v>0</v>
      </c>
      <c r="AE40" s="28">
        <v>0</v>
      </c>
      <c r="AF40" s="28">
        <v>0</v>
      </c>
      <c r="AG40" s="28">
        <v>0</v>
      </c>
      <c r="AH40" s="28">
        <v>0</v>
      </c>
      <c r="AI40" s="28">
        <v>0</v>
      </c>
      <c r="AJ40" s="28">
        <v>0</v>
      </c>
      <c r="AK40" s="28">
        <v>0</v>
      </c>
      <c r="AL40" s="28">
        <v>0</v>
      </c>
      <c r="AM40" s="28">
        <v>1.6E-2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8.3000000000000004E-2</v>
      </c>
      <c r="AU40" s="28">
        <v>0</v>
      </c>
      <c r="AV40" s="28">
        <v>0</v>
      </c>
      <c r="AW40" s="28">
        <v>0</v>
      </c>
      <c r="AX40" s="28">
        <v>0</v>
      </c>
      <c r="AY40" s="28">
        <v>0</v>
      </c>
      <c r="AZ40" s="28">
        <v>0</v>
      </c>
      <c r="BA40" s="28">
        <v>0</v>
      </c>
      <c r="BB40" s="28">
        <v>0</v>
      </c>
      <c r="BC40" s="28">
        <v>0</v>
      </c>
      <c r="BD40" s="28">
        <v>0</v>
      </c>
      <c r="BE40" s="28">
        <v>0</v>
      </c>
      <c r="BF40" s="28">
        <v>0</v>
      </c>
      <c r="BG40" s="28">
        <v>0</v>
      </c>
      <c r="BH40" s="28">
        <v>0</v>
      </c>
      <c r="BI40" s="28">
        <v>0</v>
      </c>
      <c r="BJ40" s="28">
        <v>0</v>
      </c>
      <c r="BK40" s="28">
        <v>0</v>
      </c>
      <c r="BL40" s="28">
        <v>0</v>
      </c>
      <c r="BM40" s="28">
        <v>0</v>
      </c>
      <c r="BN40" s="28">
        <v>0</v>
      </c>
      <c r="BO40" s="28">
        <v>0</v>
      </c>
      <c r="BP40" s="28">
        <v>0</v>
      </c>
      <c r="BQ40" s="28">
        <v>0</v>
      </c>
      <c r="BR40" s="28">
        <v>0</v>
      </c>
      <c r="BS40" s="28">
        <v>0</v>
      </c>
      <c r="BT40" s="28">
        <v>0</v>
      </c>
      <c r="BU40" s="28">
        <v>0</v>
      </c>
      <c r="BV40" s="28">
        <v>0</v>
      </c>
      <c r="BW40" s="28">
        <v>0</v>
      </c>
      <c r="BX40" s="28">
        <v>0</v>
      </c>
      <c r="BY40" s="28">
        <v>0</v>
      </c>
      <c r="BZ40" s="28">
        <v>0</v>
      </c>
      <c r="CA40" s="28">
        <v>0</v>
      </c>
      <c r="CB40" s="28">
        <v>0</v>
      </c>
      <c r="CC40" s="28">
        <v>0</v>
      </c>
      <c r="CD40" s="28">
        <v>0</v>
      </c>
      <c r="CE40" s="28">
        <v>0</v>
      </c>
      <c r="CF40" s="28">
        <v>0</v>
      </c>
      <c r="CG40" s="28">
        <v>0</v>
      </c>
      <c r="CH40" s="28">
        <v>0</v>
      </c>
      <c r="CI40" s="28">
        <v>0</v>
      </c>
      <c r="CJ40" s="28">
        <v>0</v>
      </c>
      <c r="CK40" s="28">
        <v>0.13900000000000001</v>
      </c>
      <c r="CL40" s="28">
        <v>0</v>
      </c>
      <c r="CM40" s="28">
        <v>0</v>
      </c>
      <c r="CN40" s="28">
        <v>2.8000000000000001E-2</v>
      </c>
      <c r="CO40" s="28">
        <v>0</v>
      </c>
      <c r="CP40" s="28">
        <v>0</v>
      </c>
      <c r="CQ40" s="28">
        <v>0</v>
      </c>
      <c r="CR40" s="28">
        <v>0</v>
      </c>
      <c r="CS40" s="28">
        <v>0</v>
      </c>
      <c r="CT40" s="28">
        <v>0</v>
      </c>
      <c r="CU40" s="28">
        <v>0</v>
      </c>
      <c r="CV40" s="28">
        <v>0</v>
      </c>
      <c r="CW40" s="28">
        <v>2.5000000000000001E-2</v>
      </c>
      <c r="CX40" s="28">
        <v>0</v>
      </c>
      <c r="CY40" s="28">
        <v>0</v>
      </c>
      <c r="CZ40" s="28">
        <v>8.1000000000000003E-2</v>
      </c>
      <c r="DA40" s="28">
        <v>0</v>
      </c>
      <c r="DB40" s="28">
        <v>0</v>
      </c>
      <c r="DC40" s="28">
        <v>0</v>
      </c>
      <c r="DD40" s="28">
        <v>0.14199999999999999</v>
      </c>
      <c r="DE40" s="28">
        <v>0</v>
      </c>
      <c r="DF40" s="28">
        <v>0</v>
      </c>
      <c r="DG40" s="28">
        <v>0</v>
      </c>
      <c r="DH40" s="28">
        <v>0</v>
      </c>
      <c r="DI40" s="28">
        <v>0</v>
      </c>
      <c r="DJ40" s="28">
        <v>0</v>
      </c>
      <c r="DK40" s="28">
        <v>0</v>
      </c>
      <c r="DL40" s="28">
        <v>0</v>
      </c>
      <c r="DM40" s="28">
        <v>0</v>
      </c>
      <c r="DN40" s="28">
        <v>0</v>
      </c>
      <c r="DO40" s="28">
        <v>0</v>
      </c>
      <c r="DP40" s="28">
        <v>0</v>
      </c>
      <c r="DQ40" s="28">
        <v>0</v>
      </c>
      <c r="DR40" s="28">
        <v>0</v>
      </c>
      <c r="DS40" s="28">
        <v>0</v>
      </c>
      <c r="DT40" s="28">
        <v>0</v>
      </c>
      <c r="DU40" s="28">
        <v>0.129</v>
      </c>
      <c r="DV40" s="28">
        <v>0</v>
      </c>
      <c r="DW40" s="28">
        <v>5.1854838709677418E-3</v>
      </c>
      <c r="DX40" s="34">
        <v>0.64300000000000002</v>
      </c>
    </row>
    <row r="41" spans="1:128" x14ac:dyDescent="0.25">
      <c r="A41" s="24">
        <v>40</v>
      </c>
      <c r="B41" s="26">
        <v>19.5</v>
      </c>
      <c r="C41" s="28">
        <v>0</v>
      </c>
      <c r="D41" s="28">
        <v>0</v>
      </c>
      <c r="E41" s="28">
        <v>0</v>
      </c>
      <c r="F41" s="28">
        <v>0</v>
      </c>
      <c r="G41" s="28">
        <v>0</v>
      </c>
      <c r="H41" s="28">
        <v>0</v>
      </c>
      <c r="I41" s="28">
        <v>0</v>
      </c>
      <c r="J41" s="28">
        <v>0</v>
      </c>
      <c r="K41" s="28">
        <v>0</v>
      </c>
      <c r="L41" s="28">
        <v>0</v>
      </c>
      <c r="M41" s="28">
        <v>0</v>
      </c>
      <c r="N41" s="28">
        <v>0</v>
      </c>
      <c r="O41" s="28">
        <v>0</v>
      </c>
      <c r="P41" s="28">
        <v>0</v>
      </c>
      <c r="Q41" s="28">
        <v>0</v>
      </c>
      <c r="R41" s="28">
        <v>0</v>
      </c>
      <c r="S41" s="28">
        <v>0</v>
      </c>
      <c r="T41" s="28">
        <v>0</v>
      </c>
      <c r="U41" s="28">
        <v>0</v>
      </c>
      <c r="V41" s="28">
        <v>0</v>
      </c>
      <c r="W41" s="28">
        <v>0</v>
      </c>
      <c r="X41" s="28">
        <v>0</v>
      </c>
      <c r="Y41" s="28">
        <v>0</v>
      </c>
      <c r="Z41" s="28">
        <v>0</v>
      </c>
      <c r="AA41" s="28">
        <v>0</v>
      </c>
      <c r="AB41" s="28">
        <v>0</v>
      </c>
      <c r="AC41" s="28">
        <v>0</v>
      </c>
      <c r="AD41" s="28">
        <v>0</v>
      </c>
      <c r="AE41" s="28">
        <v>0</v>
      </c>
      <c r="AF41" s="28">
        <v>0</v>
      </c>
      <c r="AG41" s="28">
        <v>0</v>
      </c>
      <c r="AH41" s="28">
        <v>0</v>
      </c>
      <c r="AI41" s="28">
        <v>0</v>
      </c>
      <c r="AJ41" s="28">
        <v>0</v>
      </c>
      <c r="AK41" s="28">
        <v>0</v>
      </c>
      <c r="AL41" s="28">
        <v>0</v>
      </c>
      <c r="AM41" s="28">
        <v>0</v>
      </c>
      <c r="AN41" s="28">
        <v>0</v>
      </c>
      <c r="AO41" s="28">
        <v>0</v>
      </c>
      <c r="AP41" s="28">
        <v>0</v>
      </c>
      <c r="AQ41" s="28">
        <v>0</v>
      </c>
      <c r="AR41" s="28">
        <v>0</v>
      </c>
      <c r="AS41" s="28">
        <v>0</v>
      </c>
      <c r="AT41" s="28">
        <v>0</v>
      </c>
      <c r="AU41" s="28">
        <v>0</v>
      </c>
      <c r="AV41" s="28">
        <v>0</v>
      </c>
      <c r="AW41" s="28">
        <v>0</v>
      </c>
      <c r="AX41" s="28">
        <v>0</v>
      </c>
      <c r="AY41" s="28">
        <v>0</v>
      </c>
      <c r="AZ41" s="28">
        <v>0</v>
      </c>
      <c r="BA41" s="28">
        <v>0</v>
      </c>
      <c r="BB41" s="28">
        <v>0</v>
      </c>
      <c r="BC41" s="28">
        <v>0</v>
      </c>
      <c r="BD41" s="28">
        <v>0</v>
      </c>
      <c r="BE41" s="28">
        <v>0</v>
      </c>
      <c r="BF41" s="28">
        <v>0</v>
      </c>
      <c r="BG41" s="28">
        <v>0</v>
      </c>
      <c r="BH41" s="28">
        <v>0</v>
      </c>
      <c r="BI41" s="28">
        <v>0</v>
      </c>
      <c r="BJ41" s="28">
        <v>0</v>
      </c>
      <c r="BK41" s="28">
        <v>0</v>
      </c>
      <c r="BL41" s="28">
        <v>0</v>
      </c>
      <c r="BM41" s="28">
        <v>0</v>
      </c>
      <c r="BN41" s="28">
        <v>0</v>
      </c>
      <c r="BO41" s="28">
        <v>0</v>
      </c>
      <c r="BP41" s="28">
        <v>0</v>
      </c>
      <c r="BQ41" s="28">
        <v>0</v>
      </c>
      <c r="BR41" s="28">
        <v>0</v>
      </c>
      <c r="BS41" s="28">
        <v>0</v>
      </c>
      <c r="BT41" s="28">
        <v>0</v>
      </c>
      <c r="BU41" s="28">
        <v>0</v>
      </c>
      <c r="BV41" s="28">
        <v>0</v>
      </c>
      <c r="BW41" s="28">
        <v>0</v>
      </c>
      <c r="BX41" s="28">
        <v>0</v>
      </c>
      <c r="BY41" s="28">
        <v>0</v>
      </c>
      <c r="BZ41" s="28">
        <v>0</v>
      </c>
      <c r="CA41" s="28">
        <v>0</v>
      </c>
      <c r="CB41" s="28">
        <v>0</v>
      </c>
      <c r="CC41" s="28">
        <v>0</v>
      </c>
      <c r="CD41" s="28">
        <v>0</v>
      </c>
      <c r="CE41" s="28">
        <v>0</v>
      </c>
      <c r="CF41" s="28">
        <v>0</v>
      </c>
      <c r="CG41" s="28">
        <v>0</v>
      </c>
      <c r="CH41" s="28">
        <v>0</v>
      </c>
      <c r="CI41" s="28">
        <v>0</v>
      </c>
      <c r="CJ41" s="28">
        <v>0</v>
      </c>
      <c r="CK41" s="28">
        <v>0</v>
      </c>
      <c r="CL41" s="28">
        <v>0</v>
      </c>
      <c r="CM41" s="28">
        <v>0</v>
      </c>
      <c r="CN41" s="28">
        <v>0</v>
      </c>
      <c r="CO41" s="28">
        <v>2.8000000000000001E-2</v>
      </c>
      <c r="CP41" s="28">
        <v>0</v>
      </c>
      <c r="CQ41" s="28">
        <v>0</v>
      </c>
      <c r="CR41" s="28">
        <v>0</v>
      </c>
      <c r="CS41" s="28">
        <v>0</v>
      </c>
      <c r="CT41" s="28">
        <v>0</v>
      </c>
      <c r="CU41" s="28">
        <v>0</v>
      </c>
      <c r="CV41" s="28">
        <v>0</v>
      </c>
      <c r="CW41" s="28">
        <v>0</v>
      </c>
      <c r="CX41" s="28">
        <v>0</v>
      </c>
      <c r="CY41" s="28">
        <v>0</v>
      </c>
      <c r="CZ41" s="28">
        <v>0</v>
      </c>
      <c r="DA41" s="28">
        <v>0</v>
      </c>
      <c r="DB41" s="28">
        <v>0</v>
      </c>
      <c r="DC41" s="28">
        <v>0</v>
      </c>
      <c r="DD41" s="28">
        <v>1.2E-2</v>
      </c>
      <c r="DE41" s="28">
        <v>0</v>
      </c>
      <c r="DF41" s="28">
        <v>0</v>
      </c>
      <c r="DG41" s="28">
        <v>0</v>
      </c>
      <c r="DH41" s="28">
        <v>0</v>
      </c>
      <c r="DI41" s="28">
        <v>0</v>
      </c>
      <c r="DJ41" s="28">
        <v>0</v>
      </c>
      <c r="DK41" s="28">
        <v>0</v>
      </c>
      <c r="DL41" s="28">
        <v>0</v>
      </c>
      <c r="DM41" s="28">
        <v>0</v>
      </c>
      <c r="DN41" s="28">
        <v>0</v>
      </c>
      <c r="DO41" s="28">
        <v>0</v>
      </c>
      <c r="DP41" s="28">
        <v>1.2E-2</v>
      </c>
      <c r="DQ41" s="28">
        <v>0</v>
      </c>
      <c r="DR41" s="28">
        <v>0</v>
      </c>
      <c r="DS41" s="28">
        <v>0</v>
      </c>
      <c r="DT41" s="28">
        <v>0</v>
      </c>
      <c r="DU41" s="28">
        <v>0</v>
      </c>
      <c r="DV41" s="28">
        <v>0</v>
      </c>
      <c r="DW41" s="28">
        <v>4.1935483870967738E-4</v>
      </c>
      <c r="DX41" s="34">
        <v>5.1999999999999998E-2</v>
      </c>
    </row>
    <row r="42" spans="1:128" x14ac:dyDescent="0.25">
      <c r="A42" s="24">
        <v>41</v>
      </c>
      <c r="B42" s="26">
        <v>20</v>
      </c>
      <c r="C42" s="28">
        <v>0</v>
      </c>
      <c r="D42" s="28">
        <v>0</v>
      </c>
      <c r="E42" s="28">
        <v>0</v>
      </c>
      <c r="F42" s="28">
        <v>0</v>
      </c>
      <c r="G42" s="28">
        <v>0</v>
      </c>
      <c r="H42" s="28">
        <v>0</v>
      </c>
      <c r="I42" s="28">
        <v>0</v>
      </c>
      <c r="J42" s="28">
        <v>0</v>
      </c>
      <c r="K42" s="28">
        <v>0</v>
      </c>
      <c r="L42" s="28">
        <v>0</v>
      </c>
      <c r="M42" s="28">
        <v>0</v>
      </c>
      <c r="N42" s="28">
        <v>0</v>
      </c>
      <c r="O42" s="28">
        <v>0</v>
      </c>
      <c r="P42" s="28">
        <v>0</v>
      </c>
      <c r="Q42" s="28">
        <v>0</v>
      </c>
      <c r="R42" s="28">
        <v>0</v>
      </c>
      <c r="S42" s="28">
        <v>0</v>
      </c>
      <c r="T42" s="28">
        <v>0</v>
      </c>
      <c r="U42" s="28">
        <v>0</v>
      </c>
      <c r="V42" s="28">
        <v>0</v>
      </c>
      <c r="W42" s="28">
        <v>0</v>
      </c>
      <c r="X42" s="28">
        <v>0</v>
      </c>
      <c r="Y42" s="28">
        <v>0</v>
      </c>
      <c r="Z42" s="28">
        <v>0</v>
      </c>
      <c r="AA42" s="28">
        <v>0</v>
      </c>
      <c r="AB42" s="28">
        <v>0</v>
      </c>
      <c r="AC42" s="28">
        <v>0</v>
      </c>
      <c r="AD42" s="28">
        <v>0</v>
      </c>
      <c r="AE42" s="28">
        <v>0</v>
      </c>
      <c r="AF42" s="28">
        <v>0</v>
      </c>
      <c r="AG42" s="28">
        <v>0</v>
      </c>
      <c r="AH42" s="28">
        <v>0</v>
      </c>
      <c r="AI42" s="28">
        <v>0</v>
      </c>
      <c r="AJ42" s="28">
        <v>0</v>
      </c>
      <c r="AK42" s="28">
        <v>0</v>
      </c>
      <c r="AL42" s="28">
        <v>0</v>
      </c>
      <c r="AM42" s="28">
        <v>0</v>
      </c>
      <c r="AN42" s="28">
        <v>0</v>
      </c>
      <c r="AO42" s="28">
        <v>0</v>
      </c>
      <c r="AP42" s="28">
        <v>0</v>
      </c>
      <c r="AQ42" s="28">
        <v>0</v>
      </c>
      <c r="AR42" s="28">
        <v>0</v>
      </c>
      <c r="AS42" s="28">
        <v>0</v>
      </c>
      <c r="AT42" s="28">
        <v>0</v>
      </c>
      <c r="AU42" s="28">
        <v>0</v>
      </c>
      <c r="AV42" s="28">
        <v>0</v>
      </c>
      <c r="AW42" s="28">
        <v>0</v>
      </c>
      <c r="AX42" s="28">
        <v>0</v>
      </c>
      <c r="AY42" s="28">
        <v>0</v>
      </c>
      <c r="AZ42" s="28">
        <v>0</v>
      </c>
      <c r="BA42" s="28">
        <v>0</v>
      </c>
      <c r="BB42" s="28">
        <v>0</v>
      </c>
      <c r="BC42" s="28">
        <v>0</v>
      </c>
      <c r="BD42" s="28">
        <v>0</v>
      </c>
      <c r="BE42" s="28">
        <v>0</v>
      </c>
      <c r="BF42" s="28">
        <v>0</v>
      </c>
      <c r="BG42" s="28">
        <v>0</v>
      </c>
      <c r="BH42" s="28">
        <v>0</v>
      </c>
      <c r="BI42" s="28">
        <v>0</v>
      </c>
      <c r="BJ42" s="28">
        <v>0</v>
      </c>
      <c r="BK42" s="28">
        <v>0</v>
      </c>
      <c r="BL42" s="28">
        <v>0</v>
      </c>
      <c r="BM42" s="28">
        <v>0</v>
      </c>
      <c r="BN42" s="28">
        <v>0</v>
      </c>
      <c r="BO42" s="28">
        <v>0</v>
      </c>
      <c r="BP42" s="28">
        <v>0</v>
      </c>
      <c r="BQ42" s="28">
        <v>0</v>
      </c>
      <c r="BR42" s="28">
        <v>0</v>
      </c>
      <c r="BS42" s="28">
        <v>0</v>
      </c>
      <c r="BT42" s="28">
        <v>0</v>
      </c>
      <c r="BU42" s="28">
        <v>0</v>
      </c>
      <c r="BV42" s="28">
        <v>0</v>
      </c>
      <c r="BW42" s="28">
        <v>0</v>
      </c>
      <c r="BX42" s="28">
        <v>0</v>
      </c>
      <c r="BY42" s="28">
        <v>0</v>
      </c>
      <c r="BZ42" s="28">
        <v>0</v>
      </c>
      <c r="CA42" s="28">
        <v>0</v>
      </c>
      <c r="CB42" s="28">
        <v>0</v>
      </c>
      <c r="CC42" s="28">
        <v>0</v>
      </c>
      <c r="CD42" s="28">
        <v>0</v>
      </c>
      <c r="CE42" s="28">
        <v>0</v>
      </c>
      <c r="CF42" s="28">
        <v>0</v>
      </c>
      <c r="CG42" s="28">
        <v>0</v>
      </c>
      <c r="CH42" s="28">
        <v>0</v>
      </c>
      <c r="CI42" s="28">
        <v>0</v>
      </c>
      <c r="CJ42" s="28">
        <v>0</v>
      </c>
      <c r="CK42" s="28">
        <v>0</v>
      </c>
      <c r="CL42" s="28">
        <v>0</v>
      </c>
      <c r="CM42" s="28">
        <v>0</v>
      </c>
      <c r="CN42" s="28">
        <v>0</v>
      </c>
      <c r="CO42" s="28">
        <v>0</v>
      </c>
      <c r="CP42" s="28">
        <v>0</v>
      </c>
      <c r="CQ42" s="28">
        <v>0</v>
      </c>
      <c r="CR42" s="28">
        <v>0</v>
      </c>
      <c r="CS42" s="28">
        <v>0</v>
      </c>
      <c r="CT42" s="28">
        <v>0</v>
      </c>
      <c r="CU42" s="28">
        <v>0</v>
      </c>
      <c r="CV42" s="28">
        <v>0</v>
      </c>
      <c r="CW42" s="28">
        <v>0</v>
      </c>
      <c r="CX42" s="28">
        <v>0</v>
      </c>
      <c r="CY42" s="28">
        <v>0</v>
      </c>
      <c r="CZ42" s="28">
        <v>0</v>
      </c>
      <c r="DA42" s="28">
        <v>0</v>
      </c>
      <c r="DB42" s="28">
        <v>0</v>
      </c>
      <c r="DC42" s="28">
        <v>0</v>
      </c>
      <c r="DD42" s="28">
        <v>0</v>
      </c>
      <c r="DE42" s="28">
        <v>0</v>
      </c>
      <c r="DF42" s="28">
        <v>0</v>
      </c>
      <c r="DG42" s="28">
        <v>0</v>
      </c>
      <c r="DH42" s="28">
        <v>0</v>
      </c>
      <c r="DI42" s="28">
        <v>0</v>
      </c>
      <c r="DJ42" s="28">
        <v>0</v>
      </c>
      <c r="DK42" s="28">
        <v>0</v>
      </c>
      <c r="DL42" s="28">
        <v>0</v>
      </c>
      <c r="DM42" s="28">
        <v>0</v>
      </c>
      <c r="DN42" s="28">
        <v>0</v>
      </c>
      <c r="DO42" s="28">
        <v>0</v>
      </c>
      <c r="DP42" s="28">
        <v>0</v>
      </c>
      <c r="DQ42" s="28">
        <v>0</v>
      </c>
      <c r="DR42" s="28">
        <v>0</v>
      </c>
      <c r="DS42" s="28">
        <v>0</v>
      </c>
      <c r="DT42" s="28">
        <v>0</v>
      </c>
      <c r="DU42" s="28">
        <v>0</v>
      </c>
      <c r="DV42" s="28">
        <v>0</v>
      </c>
      <c r="DW42" s="28">
        <v>0</v>
      </c>
      <c r="DX42" s="34">
        <v>0</v>
      </c>
    </row>
    <row r="43" spans="1:128" x14ac:dyDescent="0.25">
      <c r="A43" s="24">
        <v>42</v>
      </c>
      <c r="B43" s="26">
        <v>20.5</v>
      </c>
      <c r="C43" s="28">
        <v>0</v>
      </c>
      <c r="D43" s="28">
        <v>0</v>
      </c>
      <c r="E43" s="28">
        <v>0</v>
      </c>
      <c r="F43" s="28">
        <v>0</v>
      </c>
      <c r="G43" s="28">
        <v>0</v>
      </c>
      <c r="H43" s="28">
        <v>0</v>
      </c>
      <c r="I43" s="28">
        <v>0</v>
      </c>
      <c r="J43" s="28">
        <v>0</v>
      </c>
      <c r="K43" s="28">
        <v>0</v>
      </c>
      <c r="L43" s="28">
        <v>0</v>
      </c>
      <c r="M43" s="28">
        <v>0</v>
      </c>
      <c r="N43" s="28">
        <v>0</v>
      </c>
      <c r="O43" s="28">
        <v>0</v>
      </c>
      <c r="P43" s="28">
        <v>0</v>
      </c>
      <c r="Q43" s="28">
        <v>0</v>
      </c>
      <c r="R43" s="28">
        <v>0</v>
      </c>
      <c r="S43" s="28">
        <v>0</v>
      </c>
      <c r="T43" s="28">
        <v>0</v>
      </c>
      <c r="U43" s="28">
        <v>0</v>
      </c>
      <c r="V43" s="28">
        <v>0</v>
      </c>
      <c r="W43" s="28">
        <v>0</v>
      </c>
      <c r="X43" s="28">
        <v>0</v>
      </c>
      <c r="Y43" s="28">
        <v>0</v>
      </c>
      <c r="Z43" s="28">
        <v>0</v>
      </c>
      <c r="AA43" s="28">
        <v>0</v>
      </c>
      <c r="AB43" s="28">
        <v>0</v>
      </c>
      <c r="AC43" s="28">
        <v>0</v>
      </c>
      <c r="AD43" s="28">
        <v>0</v>
      </c>
      <c r="AE43" s="28">
        <v>0</v>
      </c>
      <c r="AF43" s="28">
        <v>0</v>
      </c>
      <c r="AG43" s="28">
        <v>0</v>
      </c>
      <c r="AH43" s="28">
        <v>0</v>
      </c>
      <c r="AI43" s="28">
        <v>0</v>
      </c>
      <c r="AJ43" s="28">
        <v>0</v>
      </c>
      <c r="AK43" s="28">
        <v>0</v>
      </c>
      <c r="AL43" s="28">
        <v>0</v>
      </c>
      <c r="AM43" s="28">
        <v>0</v>
      </c>
      <c r="AN43" s="28">
        <v>0</v>
      </c>
      <c r="AO43" s="28">
        <v>0</v>
      </c>
      <c r="AP43" s="28">
        <v>0</v>
      </c>
      <c r="AQ43" s="28">
        <v>0</v>
      </c>
      <c r="AR43" s="28">
        <v>0</v>
      </c>
      <c r="AS43" s="28">
        <v>0</v>
      </c>
      <c r="AT43" s="28">
        <v>0</v>
      </c>
      <c r="AU43" s="28">
        <v>0</v>
      </c>
      <c r="AV43" s="28">
        <v>0</v>
      </c>
      <c r="AW43" s="28">
        <v>0</v>
      </c>
      <c r="AX43" s="28">
        <v>0</v>
      </c>
      <c r="AY43" s="28">
        <v>0</v>
      </c>
      <c r="AZ43" s="28">
        <v>0</v>
      </c>
      <c r="BA43" s="28">
        <v>0</v>
      </c>
      <c r="BB43" s="28">
        <v>0</v>
      </c>
      <c r="BC43" s="28">
        <v>0</v>
      </c>
      <c r="BD43" s="28">
        <v>0</v>
      </c>
      <c r="BE43" s="28">
        <v>0</v>
      </c>
      <c r="BF43" s="28">
        <v>0</v>
      </c>
      <c r="BG43" s="28">
        <v>0</v>
      </c>
      <c r="BH43" s="28">
        <v>0</v>
      </c>
      <c r="BI43" s="28">
        <v>0</v>
      </c>
      <c r="BJ43" s="28">
        <v>0</v>
      </c>
      <c r="BK43" s="28">
        <v>0</v>
      </c>
      <c r="BL43" s="28">
        <v>0</v>
      </c>
      <c r="BM43" s="28">
        <v>0</v>
      </c>
      <c r="BN43" s="28">
        <v>0</v>
      </c>
      <c r="BO43" s="28">
        <v>0</v>
      </c>
      <c r="BP43" s="28">
        <v>0</v>
      </c>
      <c r="BQ43" s="28">
        <v>0</v>
      </c>
      <c r="BR43" s="28">
        <v>0</v>
      </c>
      <c r="BS43" s="28">
        <v>0</v>
      </c>
      <c r="BT43" s="28">
        <v>0</v>
      </c>
      <c r="BU43" s="28">
        <v>0</v>
      </c>
      <c r="BV43" s="28">
        <v>0</v>
      </c>
      <c r="BW43" s="28">
        <v>0</v>
      </c>
      <c r="BX43" s="28">
        <v>0</v>
      </c>
      <c r="BY43" s="28">
        <v>0</v>
      </c>
      <c r="BZ43" s="28">
        <v>0</v>
      </c>
      <c r="CA43" s="28">
        <v>0</v>
      </c>
      <c r="CB43" s="28">
        <v>0</v>
      </c>
      <c r="CC43" s="28">
        <v>0</v>
      </c>
      <c r="CD43" s="28">
        <v>0</v>
      </c>
      <c r="CE43" s="28">
        <v>0</v>
      </c>
      <c r="CF43" s="28">
        <v>0</v>
      </c>
      <c r="CG43" s="28">
        <v>0</v>
      </c>
      <c r="CH43" s="28">
        <v>0</v>
      </c>
      <c r="CI43" s="28">
        <v>0</v>
      </c>
      <c r="CJ43" s="28">
        <v>0</v>
      </c>
      <c r="CK43" s="28">
        <v>0</v>
      </c>
      <c r="CL43" s="28">
        <v>0</v>
      </c>
      <c r="CM43" s="28">
        <v>0</v>
      </c>
      <c r="CN43" s="28">
        <v>0</v>
      </c>
      <c r="CO43" s="28">
        <v>0</v>
      </c>
      <c r="CP43" s="28">
        <v>0</v>
      </c>
      <c r="CQ43" s="28">
        <v>0</v>
      </c>
      <c r="CR43" s="28">
        <v>0</v>
      </c>
      <c r="CS43" s="28">
        <v>0</v>
      </c>
      <c r="CT43" s="28">
        <v>0</v>
      </c>
      <c r="CU43" s="28">
        <v>0</v>
      </c>
      <c r="CV43" s="28">
        <v>0</v>
      </c>
      <c r="CW43" s="28">
        <v>0</v>
      </c>
      <c r="CX43" s="28">
        <v>0</v>
      </c>
      <c r="CY43" s="28">
        <v>0</v>
      </c>
      <c r="CZ43" s="28">
        <v>0</v>
      </c>
      <c r="DA43" s="28">
        <v>0</v>
      </c>
      <c r="DB43" s="28">
        <v>0</v>
      </c>
      <c r="DC43" s="28">
        <v>0</v>
      </c>
      <c r="DD43" s="28">
        <v>0</v>
      </c>
      <c r="DE43" s="28">
        <v>0</v>
      </c>
      <c r="DF43" s="28">
        <v>0</v>
      </c>
      <c r="DG43" s="28">
        <v>0</v>
      </c>
      <c r="DH43" s="28">
        <v>0</v>
      </c>
      <c r="DI43" s="28">
        <v>0</v>
      </c>
      <c r="DJ43" s="28">
        <v>0</v>
      </c>
      <c r="DK43" s="28">
        <v>0</v>
      </c>
      <c r="DL43" s="28">
        <v>0</v>
      </c>
      <c r="DM43" s="28">
        <v>0</v>
      </c>
      <c r="DN43" s="28">
        <v>0</v>
      </c>
      <c r="DO43" s="28">
        <v>0</v>
      </c>
      <c r="DP43" s="28">
        <v>0</v>
      </c>
      <c r="DQ43" s="28">
        <v>0</v>
      </c>
      <c r="DR43" s="28">
        <v>0</v>
      </c>
      <c r="DS43" s="28">
        <v>0</v>
      </c>
      <c r="DT43" s="28">
        <v>0</v>
      </c>
      <c r="DU43" s="28">
        <v>0</v>
      </c>
      <c r="DV43" s="28">
        <v>0</v>
      </c>
      <c r="DW43" s="28">
        <v>0</v>
      </c>
      <c r="DX43" s="34">
        <v>0</v>
      </c>
    </row>
    <row r="44" spans="1:128" x14ac:dyDescent="0.25">
      <c r="A44" s="24">
        <v>43</v>
      </c>
      <c r="B44" s="26">
        <v>21</v>
      </c>
      <c r="C44" s="28">
        <v>0</v>
      </c>
      <c r="D44" s="28">
        <v>0</v>
      </c>
      <c r="E44" s="28">
        <v>0</v>
      </c>
      <c r="F44" s="28">
        <v>0</v>
      </c>
      <c r="G44" s="28">
        <v>0</v>
      </c>
      <c r="H44" s="28">
        <v>0</v>
      </c>
      <c r="I44" s="28">
        <v>0</v>
      </c>
      <c r="J44" s="28">
        <v>0</v>
      </c>
      <c r="K44" s="28">
        <v>0</v>
      </c>
      <c r="L44" s="28">
        <v>0</v>
      </c>
      <c r="M44" s="28">
        <v>0</v>
      </c>
      <c r="N44" s="28">
        <v>0</v>
      </c>
      <c r="O44" s="28">
        <v>0</v>
      </c>
      <c r="P44" s="28">
        <v>0</v>
      </c>
      <c r="Q44" s="28">
        <v>0</v>
      </c>
      <c r="R44" s="28">
        <v>0</v>
      </c>
      <c r="S44" s="28">
        <v>0</v>
      </c>
      <c r="T44" s="28">
        <v>0</v>
      </c>
      <c r="U44" s="28">
        <v>0</v>
      </c>
      <c r="V44" s="28">
        <v>0</v>
      </c>
      <c r="W44" s="28">
        <v>0</v>
      </c>
      <c r="X44" s="28">
        <v>0</v>
      </c>
      <c r="Y44" s="28">
        <v>0</v>
      </c>
      <c r="Z44" s="28">
        <v>0</v>
      </c>
      <c r="AA44" s="28">
        <v>0</v>
      </c>
      <c r="AB44" s="28">
        <v>0</v>
      </c>
      <c r="AC44" s="28">
        <v>0</v>
      </c>
      <c r="AD44" s="28">
        <v>0</v>
      </c>
      <c r="AE44" s="28">
        <v>0</v>
      </c>
      <c r="AF44" s="28">
        <v>0</v>
      </c>
      <c r="AG44" s="28">
        <v>0</v>
      </c>
      <c r="AH44" s="28">
        <v>0</v>
      </c>
      <c r="AI44" s="28">
        <v>0</v>
      </c>
      <c r="AJ44" s="28">
        <v>0</v>
      </c>
      <c r="AK44" s="28">
        <v>0</v>
      </c>
      <c r="AL44" s="28">
        <v>0</v>
      </c>
      <c r="AM44" s="28">
        <v>0</v>
      </c>
      <c r="AN44" s="28">
        <v>0</v>
      </c>
      <c r="AO44" s="28">
        <v>0</v>
      </c>
      <c r="AP44" s="28">
        <v>0</v>
      </c>
      <c r="AQ44" s="28">
        <v>0</v>
      </c>
      <c r="AR44" s="28">
        <v>0</v>
      </c>
      <c r="AS44" s="28">
        <v>0</v>
      </c>
      <c r="AT44" s="28">
        <v>0</v>
      </c>
      <c r="AU44" s="28">
        <v>0</v>
      </c>
      <c r="AV44" s="28">
        <v>0</v>
      </c>
      <c r="AW44" s="28">
        <v>0</v>
      </c>
      <c r="AX44" s="28">
        <v>0</v>
      </c>
      <c r="AY44" s="28">
        <v>0</v>
      </c>
      <c r="AZ44" s="28">
        <v>0</v>
      </c>
      <c r="BA44" s="28">
        <v>0</v>
      </c>
      <c r="BB44" s="28">
        <v>0</v>
      </c>
      <c r="BC44" s="28">
        <v>0</v>
      </c>
      <c r="BD44" s="28">
        <v>0</v>
      </c>
      <c r="BE44" s="28">
        <v>0</v>
      </c>
      <c r="BF44" s="28">
        <v>0</v>
      </c>
      <c r="BG44" s="28">
        <v>0</v>
      </c>
      <c r="BH44" s="28">
        <v>0</v>
      </c>
      <c r="BI44" s="28">
        <v>0</v>
      </c>
      <c r="BJ44" s="28">
        <v>0</v>
      </c>
      <c r="BK44" s="28">
        <v>0</v>
      </c>
      <c r="BL44" s="28">
        <v>0</v>
      </c>
      <c r="BM44" s="28">
        <v>0</v>
      </c>
      <c r="BN44" s="28">
        <v>0</v>
      </c>
      <c r="BO44" s="28">
        <v>0</v>
      </c>
      <c r="BP44" s="28">
        <v>0</v>
      </c>
      <c r="BQ44" s="28">
        <v>0</v>
      </c>
      <c r="BR44" s="28">
        <v>0</v>
      </c>
      <c r="BS44" s="28">
        <v>0</v>
      </c>
      <c r="BT44" s="28">
        <v>0</v>
      </c>
      <c r="BU44" s="28">
        <v>0</v>
      </c>
      <c r="BV44" s="28">
        <v>0</v>
      </c>
      <c r="BW44" s="28">
        <v>0</v>
      </c>
      <c r="BX44" s="28">
        <v>0</v>
      </c>
      <c r="BY44" s="28">
        <v>0</v>
      </c>
      <c r="BZ44" s="28">
        <v>0</v>
      </c>
      <c r="CA44" s="28">
        <v>0</v>
      </c>
      <c r="CB44" s="28">
        <v>0</v>
      </c>
      <c r="CC44" s="28">
        <v>0</v>
      </c>
      <c r="CD44" s="28">
        <v>0</v>
      </c>
      <c r="CE44" s="28">
        <v>0</v>
      </c>
      <c r="CF44" s="28">
        <v>0</v>
      </c>
      <c r="CG44" s="28">
        <v>0</v>
      </c>
      <c r="CH44" s="28">
        <v>0</v>
      </c>
      <c r="CI44" s="28">
        <v>0</v>
      </c>
      <c r="CJ44" s="28">
        <v>0</v>
      </c>
      <c r="CK44" s="28">
        <v>0</v>
      </c>
      <c r="CL44" s="28">
        <v>0</v>
      </c>
      <c r="CM44" s="28">
        <v>0</v>
      </c>
      <c r="CN44" s="28">
        <v>0</v>
      </c>
      <c r="CO44" s="28">
        <v>0</v>
      </c>
      <c r="CP44" s="28">
        <v>0</v>
      </c>
      <c r="CQ44" s="28">
        <v>0</v>
      </c>
      <c r="CR44" s="28">
        <v>0</v>
      </c>
      <c r="CS44" s="28">
        <v>0</v>
      </c>
      <c r="CT44" s="28">
        <v>0</v>
      </c>
      <c r="CU44" s="28">
        <v>0</v>
      </c>
      <c r="CV44" s="28">
        <v>0</v>
      </c>
      <c r="CW44" s="28">
        <v>0</v>
      </c>
      <c r="CX44" s="28">
        <v>0</v>
      </c>
      <c r="CY44" s="28">
        <v>0</v>
      </c>
      <c r="CZ44" s="28">
        <v>0</v>
      </c>
      <c r="DA44" s="28">
        <v>0</v>
      </c>
      <c r="DB44" s="28">
        <v>0</v>
      </c>
      <c r="DC44" s="28">
        <v>0</v>
      </c>
      <c r="DD44" s="28">
        <v>0</v>
      </c>
      <c r="DE44" s="28">
        <v>0</v>
      </c>
      <c r="DF44" s="28">
        <v>0</v>
      </c>
      <c r="DG44" s="28">
        <v>0</v>
      </c>
      <c r="DH44" s="28">
        <v>0</v>
      </c>
      <c r="DI44" s="28">
        <v>0</v>
      </c>
      <c r="DJ44" s="28">
        <v>0</v>
      </c>
      <c r="DK44" s="28">
        <v>0</v>
      </c>
      <c r="DL44" s="28">
        <v>0</v>
      </c>
      <c r="DM44" s="28">
        <v>0</v>
      </c>
      <c r="DN44" s="28">
        <v>0</v>
      </c>
      <c r="DO44" s="28">
        <v>0</v>
      </c>
      <c r="DP44" s="28">
        <v>0</v>
      </c>
      <c r="DQ44" s="28">
        <v>0</v>
      </c>
      <c r="DR44" s="28">
        <v>0</v>
      </c>
      <c r="DS44" s="28">
        <v>0</v>
      </c>
      <c r="DT44" s="28">
        <v>0</v>
      </c>
      <c r="DU44" s="28">
        <v>0</v>
      </c>
      <c r="DV44" s="28">
        <v>0</v>
      </c>
      <c r="DW44" s="28">
        <v>0</v>
      </c>
      <c r="DX44" s="34">
        <v>0</v>
      </c>
    </row>
    <row r="45" spans="1:128" x14ac:dyDescent="0.25">
      <c r="A45" s="24">
        <v>44</v>
      </c>
      <c r="B45" s="26">
        <v>21.5</v>
      </c>
      <c r="C45" s="28">
        <v>0</v>
      </c>
      <c r="D45" s="28">
        <v>0</v>
      </c>
      <c r="E45" s="28">
        <v>0</v>
      </c>
      <c r="F45" s="28">
        <v>0</v>
      </c>
      <c r="G45" s="28">
        <v>0</v>
      </c>
      <c r="H45" s="28">
        <v>0</v>
      </c>
      <c r="I45" s="28">
        <v>0</v>
      </c>
      <c r="J45" s="28">
        <v>0</v>
      </c>
      <c r="K45" s="28">
        <v>0</v>
      </c>
      <c r="L45" s="28">
        <v>0</v>
      </c>
      <c r="M45" s="28">
        <v>0</v>
      </c>
      <c r="N45" s="28">
        <v>0</v>
      </c>
      <c r="O45" s="28">
        <v>0</v>
      </c>
      <c r="P45" s="28">
        <v>0</v>
      </c>
      <c r="Q45" s="28">
        <v>0</v>
      </c>
      <c r="R45" s="28">
        <v>0</v>
      </c>
      <c r="S45" s="28">
        <v>0</v>
      </c>
      <c r="T45" s="28">
        <v>0</v>
      </c>
      <c r="U45" s="28">
        <v>0</v>
      </c>
      <c r="V45" s="28">
        <v>0</v>
      </c>
      <c r="W45" s="28">
        <v>0</v>
      </c>
      <c r="X45" s="28">
        <v>0</v>
      </c>
      <c r="Y45" s="28">
        <v>0</v>
      </c>
      <c r="Z45" s="28">
        <v>0</v>
      </c>
      <c r="AA45" s="28">
        <v>0</v>
      </c>
      <c r="AB45" s="28">
        <v>0</v>
      </c>
      <c r="AC45" s="28">
        <v>0</v>
      </c>
      <c r="AD45" s="28">
        <v>0</v>
      </c>
      <c r="AE45" s="28">
        <v>0</v>
      </c>
      <c r="AF45" s="28">
        <v>0</v>
      </c>
      <c r="AG45" s="28">
        <v>0</v>
      </c>
      <c r="AH45" s="28">
        <v>0</v>
      </c>
      <c r="AI45" s="28">
        <v>0</v>
      </c>
      <c r="AJ45" s="28">
        <v>0</v>
      </c>
      <c r="AK45" s="28">
        <v>0</v>
      </c>
      <c r="AL45" s="28">
        <v>0</v>
      </c>
      <c r="AM45" s="28">
        <v>0</v>
      </c>
      <c r="AN45" s="28">
        <v>0</v>
      </c>
      <c r="AO45" s="28">
        <v>0</v>
      </c>
      <c r="AP45" s="28">
        <v>0</v>
      </c>
      <c r="AQ45" s="28">
        <v>0</v>
      </c>
      <c r="AR45" s="28">
        <v>0</v>
      </c>
      <c r="AS45" s="28">
        <v>0</v>
      </c>
      <c r="AT45" s="28">
        <v>0</v>
      </c>
      <c r="AU45" s="28">
        <v>0</v>
      </c>
      <c r="AV45" s="28">
        <v>0</v>
      </c>
      <c r="AW45" s="28">
        <v>0</v>
      </c>
      <c r="AX45" s="28">
        <v>0</v>
      </c>
      <c r="AY45" s="28">
        <v>0</v>
      </c>
      <c r="AZ45" s="28">
        <v>0</v>
      </c>
      <c r="BA45" s="28">
        <v>0</v>
      </c>
      <c r="BB45" s="28">
        <v>0</v>
      </c>
      <c r="BC45" s="28">
        <v>0</v>
      </c>
      <c r="BD45" s="28">
        <v>0</v>
      </c>
      <c r="BE45" s="28">
        <v>0</v>
      </c>
      <c r="BF45" s="28">
        <v>0</v>
      </c>
      <c r="BG45" s="28">
        <v>0</v>
      </c>
      <c r="BH45" s="28">
        <v>0</v>
      </c>
      <c r="BI45" s="28">
        <v>0</v>
      </c>
      <c r="BJ45" s="28">
        <v>0</v>
      </c>
      <c r="BK45" s="28">
        <v>0</v>
      </c>
      <c r="BL45" s="28">
        <v>0</v>
      </c>
      <c r="BM45" s="28">
        <v>0</v>
      </c>
      <c r="BN45" s="28">
        <v>0</v>
      </c>
      <c r="BO45" s="28">
        <v>0</v>
      </c>
      <c r="BP45" s="28">
        <v>0</v>
      </c>
      <c r="BQ45" s="28">
        <v>0</v>
      </c>
      <c r="BR45" s="28">
        <v>0</v>
      </c>
      <c r="BS45" s="28">
        <v>0</v>
      </c>
      <c r="BT45" s="28">
        <v>0</v>
      </c>
      <c r="BU45" s="28">
        <v>0</v>
      </c>
      <c r="BV45" s="28">
        <v>0</v>
      </c>
      <c r="BW45" s="28">
        <v>0</v>
      </c>
      <c r="BX45" s="28">
        <v>0</v>
      </c>
      <c r="BY45" s="28">
        <v>0</v>
      </c>
      <c r="BZ45" s="28">
        <v>0</v>
      </c>
      <c r="CA45" s="28">
        <v>0</v>
      </c>
      <c r="CB45" s="28">
        <v>0</v>
      </c>
      <c r="CC45" s="28">
        <v>0</v>
      </c>
      <c r="CD45" s="28">
        <v>0</v>
      </c>
      <c r="CE45" s="28">
        <v>0</v>
      </c>
      <c r="CF45" s="28">
        <v>0</v>
      </c>
      <c r="CG45" s="28">
        <v>0</v>
      </c>
      <c r="CH45" s="28">
        <v>0</v>
      </c>
      <c r="CI45" s="28">
        <v>0</v>
      </c>
      <c r="CJ45" s="28">
        <v>0</v>
      </c>
      <c r="CK45" s="28">
        <v>0</v>
      </c>
      <c r="CL45" s="28">
        <v>0</v>
      </c>
      <c r="CM45" s="28">
        <v>0</v>
      </c>
      <c r="CN45" s="28">
        <v>0</v>
      </c>
      <c r="CO45" s="28">
        <v>0</v>
      </c>
      <c r="CP45" s="28">
        <v>0</v>
      </c>
      <c r="CQ45" s="28">
        <v>0</v>
      </c>
      <c r="CR45" s="28">
        <v>0</v>
      </c>
      <c r="CS45" s="28">
        <v>0</v>
      </c>
      <c r="CT45" s="28">
        <v>0</v>
      </c>
      <c r="CU45" s="28">
        <v>0</v>
      </c>
      <c r="CV45" s="28">
        <v>0</v>
      </c>
      <c r="CW45" s="28">
        <v>0</v>
      </c>
      <c r="CX45" s="28">
        <v>0</v>
      </c>
      <c r="CY45" s="28">
        <v>0</v>
      </c>
      <c r="CZ45" s="28">
        <v>0</v>
      </c>
      <c r="DA45" s="28">
        <v>0</v>
      </c>
      <c r="DB45" s="28">
        <v>0</v>
      </c>
      <c r="DC45" s="28">
        <v>0</v>
      </c>
      <c r="DD45" s="28">
        <v>0</v>
      </c>
      <c r="DE45" s="28">
        <v>0</v>
      </c>
      <c r="DF45" s="28">
        <v>0</v>
      </c>
      <c r="DG45" s="28">
        <v>0</v>
      </c>
      <c r="DH45" s="28">
        <v>0</v>
      </c>
      <c r="DI45" s="28">
        <v>0</v>
      </c>
      <c r="DJ45" s="28">
        <v>0</v>
      </c>
      <c r="DK45" s="28">
        <v>0</v>
      </c>
      <c r="DL45" s="28">
        <v>0</v>
      </c>
      <c r="DM45" s="28">
        <v>0</v>
      </c>
      <c r="DN45" s="28">
        <v>0</v>
      </c>
      <c r="DO45" s="28">
        <v>0</v>
      </c>
      <c r="DP45" s="28">
        <v>0</v>
      </c>
      <c r="DQ45" s="28">
        <v>0</v>
      </c>
      <c r="DR45" s="28">
        <v>0</v>
      </c>
      <c r="DS45" s="28">
        <v>0</v>
      </c>
      <c r="DT45" s="28">
        <v>0</v>
      </c>
      <c r="DU45" s="28">
        <v>0</v>
      </c>
      <c r="DV45" s="28">
        <v>0</v>
      </c>
      <c r="DW45" s="28">
        <v>0</v>
      </c>
      <c r="DX45" s="34">
        <v>0</v>
      </c>
    </row>
    <row r="46" spans="1:128" x14ac:dyDescent="0.25">
      <c r="A46" s="24">
        <v>45</v>
      </c>
      <c r="B46" s="26">
        <v>22</v>
      </c>
      <c r="C46" s="28">
        <v>0</v>
      </c>
      <c r="D46" s="28">
        <v>0</v>
      </c>
      <c r="E46" s="28">
        <v>0</v>
      </c>
      <c r="F46" s="28">
        <v>0</v>
      </c>
      <c r="G46" s="28">
        <v>0</v>
      </c>
      <c r="H46" s="28">
        <v>0</v>
      </c>
      <c r="I46" s="28">
        <v>0</v>
      </c>
      <c r="J46" s="28">
        <v>0</v>
      </c>
      <c r="K46" s="28">
        <v>0</v>
      </c>
      <c r="L46" s="28">
        <v>0</v>
      </c>
      <c r="M46" s="28">
        <v>0</v>
      </c>
      <c r="N46" s="28">
        <v>0</v>
      </c>
      <c r="O46" s="28">
        <v>0</v>
      </c>
      <c r="P46" s="28">
        <v>0</v>
      </c>
      <c r="Q46" s="28">
        <v>0</v>
      </c>
      <c r="R46" s="28">
        <v>0</v>
      </c>
      <c r="S46" s="28">
        <v>0</v>
      </c>
      <c r="T46" s="28">
        <v>0</v>
      </c>
      <c r="U46" s="28">
        <v>0</v>
      </c>
      <c r="V46" s="28">
        <v>0</v>
      </c>
      <c r="W46" s="28">
        <v>0</v>
      </c>
      <c r="X46" s="28">
        <v>0</v>
      </c>
      <c r="Y46" s="28">
        <v>0</v>
      </c>
      <c r="Z46" s="28">
        <v>0</v>
      </c>
      <c r="AA46" s="28">
        <v>0</v>
      </c>
      <c r="AB46" s="28">
        <v>0</v>
      </c>
      <c r="AC46" s="28">
        <v>0</v>
      </c>
      <c r="AD46" s="28">
        <v>0</v>
      </c>
      <c r="AE46" s="28">
        <v>0</v>
      </c>
      <c r="AF46" s="28">
        <v>0</v>
      </c>
      <c r="AG46" s="28">
        <v>0</v>
      </c>
      <c r="AH46" s="28">
        <v>0</v>
      </c>
      <c r="AI46" s="28">
        <v>0</v>
      </c>
      <c r="AJ46" s="28">
        <v>0</v>
      </c>
      <c r="AK46" s="28">
        <v>0</v>
      </c>
      <c r="AL46" s="28">
        <v>0</v>
      </c>
      <c r="AM46" s="28">
        <v>0</v>
      </c>
      <c r="AN46" s="28">
        <v>0</v>
      </c>
      <c r="AO46" s="28">
        <v>0</v>
      </c>
      <c r="AP46" s="28">
        <v>0</v>
      </c>
      <c r="AQ46" s="28">
        <v>0</v>
      </c>
      <c r="AR46" s="28">
        <v>0</v>
      </c>
      <c r="AS46" s="28">
        <v>0</v>
      </c>
      <c r="AT46" s="28">
        <v>0</v>
      </c>
      <c r="AU46" s="28">
        <v>0</v>
      </c>
      <c r="AV46" s="28">
        <v>0</v>
      </c>
      <c r="AW46" s="28">
        <v>0</v>
      </c>
      <c r="AX46" s="28">
        <v>0</v>
      </c>
      <c r="AY46" s="28">
        <v>0</v>
      </c>
      <c r="AZ46" s="28">
        <v>0</v>
      </c>
      <c r="BA46" s="28">
        <v>0</v>
      </c>
      <c r="BB46" s="28">
        <v>0</v>
      </c>
      <c r="BC46" s="28">
        <v>0</v>
      </c>
      <c r="BD46" s="28">
        <v>0</v>
      </c>
      <c r="BE46" s="28">
        <v>0</v>
      </c>
      <c r="BF46" s="28">
        <v>0</v>
      </c>
      <c r="BG46" s="28">
        <v>0</v>
      </c>
      <c r="BH46" s="28">
        <v>0</v>
      </c>
      <c r="BI46" s="28">
        <v>0</v>
      </c>
      <c r="BJ46" s="28">
        <v>0</v>
      </c>
      <c r="BK46" s="28">
        <v>0</v>
      </c>
      <c r="BL46" s="28">
        <v>0</v>
      </c>
      <c r="BM46" s="28">
        <v>0</v>
      </c>
      <c r="BN46" s="28">
        <v>0</v>
      </c>
      <c r="BO46" s="28">
        <v>0</v>
      </c>
      <c r="BP46" s="28">
        <v>0</v>
      </c>
      <c r="BQ46" s="28">
        <v>0</v>
      </c>
      <c r="BR46" s="28">
        <v>0</v>
      </c>
      <c r="BS46" s="28">
        <v>0</v>
      </c>
      <c r="BT46" s="28">
        <v>0</v>
      </c>
      <c r="BU46" s="28">
        <v>0</v>
      </c>
      <c r="BV46" s="28">
        <v>0</v>
      </c>
      <c r="BW46" s="28">
        <v>0</v>
      </c>
      <c r="BX46" s="28">
        <v>0</v>
      </c>
      <c r="BY46" s="28">
        <v>0</v>
      </c>
      <c r="BZ46" s="28">
        <v>0</v>
      </c>
      <c r="CA46" s="28">
        <v>0</v>
      </c>
      <c r="CB46" s="28">
        <v>0</v>
      </c>
      <c r="CC46" s="28">
        <v>0</v>
      </c>
      <c r="CD46" s="28">
        <v>0</v>
      </c>
      <c r="CE46" s="28">
        <v>0</v>
      </c>
      <c r="CF46" s="28">
        <v>0</v>
      </c>
      <c r="CG46" s="28">
        <v>0</v>
      </c>
      <c r="CH46" s="28">
        <v>0</v>
      </c>
      <c r="CI46" s="28">
        <v>0</v>
      </c>
      <c r="CJ46" s="28">
        <v>0</v>
      </c>
      <c r="CK46" s="28">
        <v>0</v>
      </c>
      <c r="CL46" s="28">
        <v>0</v>
      </c>
      <c r="CM46" s="28">
        <v>0</v>
      </c>
      <c r="CN46" s="28">
        <v>0</v>
      </c>
      <c r="CO46" s="28">
        <v>0</v>
      </c>
      <c r="CP46" s="28">
        <v>0</v>
      </c>
      <c r="CQ46" s="28">
        <v>0</v>
      </c>
      <c r="CR46" s="28">
        <v>0</v>
      </c>
      <c r="CS46" s="28">
        <v>0</v>
      </c>
      <c r="CT46" s="28">
        <v>0</v>
      </c>
      <c r="CU46" s="28">
        <v>0</v>
      </c>
      <c r="CV46" s="28">
        <v>0</v>
      </c>
      <c r="CW46" s="28">
        <v>0</v>
      </c>
      <c r="CX46" s="28">
        <v>0</v>
      </c>
      <c r="CY46" s="28">
        <v>0</v>
      </c>
      <c r="CZ46" s="28">
        <v>0</v>
      </c>
      <c r="DA46" s="28">
        <v>0</v>
      </c>
      <c r="DB46" s="28">
        <v>0</v>
      </c>
      <c r="DC46" s="28">
        <v>0</v>
      </c>
      <c r="DD46" s="28">
        <v>0</v>
      </c>
      <c r="DE46" s="28">
        <v>0</v>
      </c>
      <c r="DF46" s="28">
        <v>0</v>
      </c>
      <c r="DG46" s="28">
        <v>0</v>
      </c>
      <c r="DH46" s="28">
        <v>0</v>
      </c>
      <c r="DI46" s="28">
        <v>0</v>
      </c>
      <c r="DJ46" s="28">
        <v>0</v>
      </c>
      <c r="DK46" s="28">
        <v>0</v>
      </c>
      <c r="DL46" s="28">
        <v>0</v>
      </c>
      <c r="DM46" s="28">
        <v>0</v>
      </c>
      <c r="DN46" s="28">
        <v>0</v>
      </c>
      <c r="DO46" s="28">
        <v>0</v>
      </c>
      <c r="DP46" s="28">
        <v>0</v>
      </c>
      <c r="DQ46" s="28">
        <v>0</v>
      </c>
      <c r="DR46" s="28">
        <v>0</v>
      </c>
      <c r="DS46" s="28">
        <v>0</v>
      </c>
      <c r="DT46" s="28">
        <v>0</v>
      </c>
      <c r="DU46" s="28">
        <v>0</v>
      </c>
      <c r="DV46" s="28">
        <v>0</v>
      </c>
      <c r="DW46" s="28">
        <v>0</v>
      </c>
      <c r="DX46" s="34">
        <v>0</v>
      </c>
    </row>
    <row r="47" spans="1:128" x14ac:dyDescent="0.25">
      <c r="A47" s="24">
        <v>46</v>
      </c>
      <c r="B47" s="26">
        <v>22.5</v>
      </c>
      <c r="C47" s="28">
        <v>0</v>
      </c>
      <c r="D47" s="28">
        <v>0</v>
      </c>
      <c r="E47" s="28">
        <v>0</v>
      </c>
      <c r="F47" s="28">
        <v>0</v>
      </c>
      <c r="G47" s="28">
        <v>0</v>
      </c>
      <c r="H47" s="28">
        <v>0</v>
      </c>
      <c r="I47" s="28">
        <v>0</v>
      </c>
      <c r="J47" s="28">
        <v>0</v>
      </c>
      <c r="K47" s="28">
        <v>0</v>
      </c>
      <c r="L47" s="28">
        <v>0</v>
      </c>
      <c r="M47" s="28">
        <v>0</v>
      </c>
      <c r="N47" s="28">
        <v>0</v>
      </c>
      <c r="O47" s="28">
        <v>0</v>
      </c>
      <c r="P47" s="28">
        <v>0</v>
      </c>
      <c r="Q47" s="28">
        <v>0</v>
      </c>
      <c r="R47" s="28">
        <v>0</v>
      </c>
      <c r="S47" s="28">
        <v>0</v>
      </c>
      <c r="T47" s="28">
        <v>0</v>
      </c>
      <c r="U47" s="28">
        <v>0</v>
      </c>
      <c r="V47" s="28">
        <v>0</v>
      </c>
      <c r="W47" s="28">
        <v>0</v>
      </c>
      <c r="X47" s="28">
        <v>0</v>
      </c>
      <c r="Y47" s="28">
        <v>0</v>
      </c>
      <c r="Z47" s="28">
        <v>0</v>
      </c>
      <c r="AA47" s="28">
        <v>0</v>
      </c>
      <c r="AB47" s="28">
        <v>0</v>
      </c>
      <c r="AC47" s="28">
        <v>0</v>
      </c>
      <c r="AD47" s="28">
        <v>0</v>
      </c>
      <c r="AE47" s="28">
        <v>0</v>
      </c>
      <c r="AF47" s="28">
        <v>0</v>
      </c>
      <c r="AG47" s="28">
        <v>0</v>
      </c>
      <c r="AH47" s="28">
        <v>0</v>
      </c>
      <c r="AI47" s="28">
        <v>0</v>
      </c>
      <c r="AJ47" s="28">
        <v>0</v>
      </c>
      <c r="AK47" s="28">
        <v>0</v>
      </c>
      <c r="AL47" s="28">
        <v>0</v>
      </c>
      <c r="AM47" s="28">
        <v>0</v>
      </c>
      <c r="AN47" s="28">
        <v>0</v>
      </c>
      <c r="AO47" s="28">
        <v>0</v>
      </c>
      <c r="AP47" s="28">
        <v>0</v>
      </c>
      <c r="AQ47" s="28">
        <v>0</v>
      </c>
      <c r="AR47" s="28">
        <v>0</v>
      </c>
      <c r="AS47" s="28">
        <v>0</v>
      </c>
      <c r="AT47" s="28">
        <v>0</v>
      </c>
      <c r="AU47" s="28">
        <v>0</v>
      </c>
      <c r="AV47" s="28">
        <v>0</v>
      </c>
      <c r="AW47" s="28">
        <v>0</v>
      </c>
      <c r="AX47" s="28">
        <v>0</v>
      </c>
      <c r="AY47" s="28">
        <v>0</v>
      </c>
      <c r="AZ47" s="28">
        <v>0</v>
      </c>
      <c r="BA47" s="28">
        <v>0</v>
      </c>
      <c r="BB47" s="28">
        <v>0</v>
      </c>
      <c r="BC47" s="28">
        <v>0</v>
      </c>
      <c r="BD47" s="28">
        <v>0</v>
      </c>
      <c r="BE47" s="28">
        <v>0</v>
      </c>
      <c r="BF47" s="28">
        <v>0</v>
      </c>
      <c r="BG47" s="28">
        <v>0</v>
      </c>
      <c r="BH47" s="28">
        <v>0</v>
      </c>
      <c r="BI47" s="28">
        <v>0</v>
      </c>
      <c r="BJ47" s="28">
        <v>0</v>
      </c>
      <c r="BK47" s="28">
        <v>0</v>
      </c>
      <c r="BL47" s="28">
        <v>0</v>
      </c>
      <c r="BM47" s="28">
        <v>0</v>
      </c>
      <c r="BN47" s="28">
        <v>0</v>
      </c>
      <c r="BO47" s="28">
        <v>0</v>
      </c>
      <c r="BP47" s="28">
        <v>0</v>
      </c>
      <c r="BQ47" s="28">
        <v>0</v>
      </c>
      <c r="BR47" s="28">
        <v>0</v>
      </c>
      <c r="BS47" s="28">
        <v>0</v>
      </c>
      <c r="BT47" s="28">
        <v>0</v>
      </c>
      <c r="BU47" s="28">
        <v>0</v>
      </c>
      <c r="BV47" s="28">
        <v>0</v>
      </c>
      <c r="BW47" s="28">
        <v>0</v>
      </c>
      <c r="BX47" s="28">
        <v>0</v>
      </c>
      <c r="BY47" s="28">
        <v>0</v>
      </c>
      <c r="BZ47" s="28">
        <v>0</v>
      </c>
      <c r="CA47" s="28">
        <v>0</v>
      </c>
      <c r="CB47" s="28">
        <v>0</v>
      </c>
      <c r="CC47" s="28">
        <v>0</v>
      </c>
      <c r="CD47" s="28">
        <v>0</v>
      </c>
      <c r="CE47" s="28">
        <v>0</v>
      </c>
      <c r="CF47" s="28">
        <v>0</v>
      </c>
      <c r="CG47" s="28">
        <v>0</v>
      </c>
      <c r="CH47" s="28">
        <v>0</v>
      </c>
      <c r="CI47" s="28">
        <v>0</v>
      </c>
      <c r="CJ47" s="28">
        <v>0</v>
      </c>
      <c r="CK47" s="28">
        <v>0</v>
      </c>
      <c r="CL47" s="28">
        <v>0</v>
      </c>
      <c r="CM47" s="28">
        <v>0</v>
      </c>
      <c r="CN47" s="28">
        <v>0</v>
      </c>
      <c r="CO47" s="28">
        <v>0</v>
      </c>
      <c r="CP47" s="28">
        <v>0</v>
      </c>
      <c r="CQ47" s="28">
        <v>0</v>
      </c>
      <c r="CR47" s="28">
        <v>0</v>
      </c>
      <c r="CS47" s="28">
        <v>0</v>
      </c>
      <c r="CT47" s="28">
        <v>0</v>
      </c>
      <c r="CU47" s="28">
        <v>0</v>
      </c>
      <c r="CV47" s="28">
        <v>0</v>
      </c>
      <c r="CW47" s="28">
        <v>0</v>
      </c>
      <c r="CX47" s="28">
        <v>0</v>
      </c>
      <c r="CY47" s="28">
        <v>0</v>
      </c>
      <c r="CZ47" s="28">
        <v>0</v>
      </c>
      <c r="DA47" s="28">
        <v>0</v>
      </c>
      <c r="DB47" s="28">
        <v>0</v>
      </c>
      <c r="DC47" s="28">
        <v>0</v>
      </c>
      <c r="DD47" s="28">
        <v>0</v>
      </c>
      <c r="DE47" s="28">
        <v>0</v>
      </c>
      <c r="DF47" s="28">
        <v>0</v>
      </c>
      <c r="DG47" s="28">
        <v>0</v>
      </c>
      <c r="DH47" s="28">
        <v>0</v>
      </c>
      <c r="DI47" s="28">
        <v>0</v>
      </c>
      <c r="DJ47" s="28">
        <v>0</v>
      </c>
      <c r="DK47" s="28">
        <v>0</v>
      </c>
      <c r="DL47" s="28">
        <v>0</v>
      </c>
      <c r="DM47" s="28">
        <v>0</v>
      </c>
      <c r="DN47" s="28">
        <v>0</v>
      </c>
      <c r="DO47" s="28">
        <v>0</v>
      </c>
      <c r="DP47" s="28">
        <v>0</v>
      </c>
      <c r="DQ47" s="28">
        <v>0</v>
      </c>
      <c r="DR47" s="28">
        <v>0</v>
      </c>
      <c r="DS47" s="28">
        <v>0</v>
      </c>
      <c r="DT47" s="28">
        <v>0</v>
      </c>
      <c r="DU47" s="28">
        <v>0</v>
      </c>
      <c r="DV47" s="28">
        <v>0</v>
      </c>
      <c r="DW47" s="28">
        <v>0</v>
      </c>
      <c r="DX47" s="34">
        <v>0</v>
      </c>
    </row>
    <row r="48" spans="1:128" x14ac:dyDescent="0.25">
      <c r="A48" s="24">
        <v>47</v>
      </c>
      <c r="B48" s="26">
        <v>23</v>
      </c>
      <c r="C48" s="28">
        <v>0</v>
      </c>
      <c r="D48" s="28">
        <v>0</v>
      </c>
      <c r="E48" s="28">
        <v>0</v>
      </c>
      <c r="F48" s="28">
        <v>0</v>
      </c>
      <c r="G48" s="28">
        <v>0</v>
      </c>
      <c r="H48" s="28">
        <v>0</v>
      </c>
      <c r="I48" s="28">
        <v>0</v>
      </c>
      <c r="J48" s="28">
        <v>0</v>
      </c>
      <c r="K48" s="28">
        <v>0</v>
      </c>
      <c r="L48" s="28">
        <v>0</v>
      </c>
      <c r="M48" s="28">
        <v>0</v>
      </c>
      <c r="N48" s="28">
        <v>0</v>
      </c>
      <c r="O48" s="28">
        <v>0</v>
      </c>
      <c r="P48" s="28">
        <v>0</v>
      </c>
      <c r="Q48" s="28">
        <v>0</v>
      </c>
      <c r="R48" s="28">
        <v>0</v>
      </c>
      <c r="S48" s="28">
        <v>0</v>
      </c>
      <c r="T48" s="28">
        <v>0</v>
      </c>
      <c r="U48" s="28">
        <v>0</v>
      </c>
      <c r="V48" s="28">
        <v>0</v>
      </c>
      <c r="W48" s="28">
        <v>0</v>
      </c>
      <c r="X48" s="28">
        <v>0</v>
      </c>
      <c r="Y48" s="28">
        <v>0</v>
      </c>
      <c r="Z48" s="28">
        <v>0</v>
      </c>
      <c r="AA48" s="28">
        <v>0</v>
      </c>
      <c r="AB48" s="28">
        <v>0</v>
      </c>
      <c r="AC48" s="28">
        <v>0</v>
      </c>
      <c r="AD48" s="28">
        <v>0</v>
      </c>
      <c r="AE48" s="28">
        <v>0</v>
      </c>
      <c r="AF48" s="28">
        <v>0</v>
      </c>
      <c r="AG48" s="28">
        <v>0</v>
      </c>
      <c r="AH48" s="28">
        <v>0</v>
      </c>
      <c r="AI48" s="28">
        <v>0</v>
      </c>
      <c r="AJ48" s="28">
        <v>0</v>
      </c>
      <c r="AK48" s="28">
        <v>0</v>
      </c>
      <c r="AL48" s="28">
        <v>0</v>
      </c>
      <c r="AM48" s="28">
        <v>0</v>
      </c>
      <c r="AN48" s="28">
        <v>0</v>
      </c>
      <c r="AO48" s="28">
        <v>0</v>
      </c>
      <c r="AP48" s="28">
        <v>0</v>
      </c>
      <c r="AQ48" s="28">
        <v>0</v>
      </c>
      <c r="AR48" s="28">
        <v>0</v>
      </c>
      <c r="AS48" s="28">
        <v>0</v>
      </c>
      <c r="AT48" s="28">
        <v>0</v>
      </c>
      <c r="AU48" s="28">
        <v>0</v>
      </c>
      <c r="AV48" s="28">
        <v>0</v>
      </c>
      <c r="AW48" s="28">
        <v>0</v>
      </c>
      <c r="AX48" s="28">
        <v>0</v>
      </c>
      <c r="AY48" s="28">
        <v>0</v>
      </c>
      <c r="AZ48" s="28">
        <v>0</v>
      </c>
      <c r="BA48" s="28">
        <v>0</v>
      </c>
      <c r="BB48" s="28">
        <v>0</v>
      </c>
      <c r="BC48" s="28">
        <v>0</v>
      </c>
      <c r="BD48" s="28">
        <v>0</v>
      </c>
      <c r="BE48" s="28">
        <v>0</v>
      </c>
      <c r="BF48" s="28">
        <v>0</v>
      </c>
      <c r="BG48" s="28">
        <v>0</v>
      </c>
      <c r="BH48" s="28">
        <v>0</v>
      </c>
      <c r="BI48" s="28">
        <v>0</v>
      </c>
      <c r="BJ48" s="28">
        <v>0</v>
      </c>
      <c r="BK48" s="28">
        <v>0</v>
      </c>
      <c r="BL48" s="28">
        <v>0</v>
      </c>
      <c r="BM48" s="28">
        <v>0</v>
      </c>
      <c r="BN48" s="28">
        <v>0</v>
      </c>
      <c r="BO48" s="28">
        <v>0</v>
      </c>
      <c r="BP48" s="28">
        <v>0</v>
      </c>
      <c r="BQ48" s="28">
        <v>0</v>
      </c>
      <c r="BR48" s="28">
        <v>0</v>
      </c>
      <c r="BS48" s="28">
        <v>0</v>
      </c>
      <c r="BT48" s="28">
        <v>0</v>
      </c>
      <c r="BU48" s="28">
        <v>0</v>
      </c>
      <c r="BV48" s="28">
        <v>0</v>
      </c>
      <c r="BW48" s="28">
        <v>0</v>
      </c>
      <c r="BX48" s="28">
        <v>0</v>
      </c>
      <c r="BY48" s="28">
        <v>0</v>
      </c>
      <c r="BZ48" s="28">
        <v>0</v>
      </c>
      <c r="CA48" s="28">
        <v>0</v>
      </c>
      <c r="CB48" s="28">
        <v>0</v>
      </c>
      <c r="CC48" s="28">
        <v>0</v>
      </c>
      <c r="CD48" s="28">
        <v>0</v>
      </c>
      <c r="CE48" s="28">
        <v>0</v>
      </c>
      <c r="CF48" s="28">
        <v>0</v>
      </c>
      <c r="CG48" s="28">
        <v>0</v>
      </c>
      <c r="CH48" s="28">
        <v>0</v>
      </c>
      <c r="CI48" s="28">
        <v>0</v>
      </c>
      <c r="CJ48" s="28">
        <v>0</v>
      </c>
      <c r="CK48" s="28">
        <v>0</v>
      </c>
      <c r="CL48" s="28">
        <v>0</v>
      </c>
      <c r="CM48" s="28">
        <v>0</v>
      </c>
      <c r="CN48" s="28">
        <v>0</v>
      </c>
      <c r="CO48" s="28">
        <v>0</v>
      </c>
      <c r="CP48" s="28">
        <v>0</v>
      </c>
      <c r="CQ48" s="28">
        <v>0</v>
      </c>
      <c r="CR48" s="28">
        <v>0</v>
      </c>
      <c r="CS48" s="28">
        <v>0</v>
      </c>
      <c r="CT48" s="28">
        <v>0</v>
      </c>
      <c r="CU48" s="28">
        <v>0</v>
      </c>
      <c r="CV48" s="28">
        <v>0</v>
      </c>
      <c r="CW48" s="28">
        <v>0</v>
      </c>
      <c r="CX48" s="28">
        <v>0</v>
      </c>
      <c r="CY48" s="28">
        <v>0</v>
      </c>
      <c r="CZ48" s="28">
        <v>0</v>
      </c>
      <c r="DA48" s="28">
        <v>0</v>
      </c>
      <c r="DB48" s="28">
        <v>0</v>
      </c>
      <c r="DC48" s="28">
        <v>0</v>
      </c>
      <c r="DD48" s="28">
        <v>0</v>
      </c>
      <c r="DE48" s="28">
        <v>0</v>
      </c>
      <c r="DF48" s="28">
        <v>0</v>
      </c>
      <c r="DG48" s="28">
        <v>0</v>
      </c>
      <c r="DH48" s="28">
        <v>0</v>
      </c>
      <c r="DI48" s="28">
        <v>0</v>
      </c>
      <c r="DJ48" s="28">
        <v>0</v>
      </c>
      <c r="DK48" s="28">
        <v>0</v>
      </c>
      <c r="DL48" s="28">
        <v>0</v>
      </c>
      <c r="DM48" s="28">
        <v>0</v>
      </c>
      <c r="DN48" s="28">
        <v>0</v>
      </c>
      <c r="DO48" s="28">
        <v>0</v>
      </c>
      <c r="DP48" s="28">
        <v>0</v>
      </c>
      <c r="DQ48" s="28">
        <v>0</v>
      </c>
      <c r="DR48" s="28">
        <v>0</v>
      </c>
      <c r="DS48" s="28">
        <v>0</v>
      </c>
      <c r="DT48" s="28">
        <v>0</v>
      </c>
      <c r="DU48" s="28">
        <v>0</v>
      </c>
      <c r="DV48" s="28">
        <v>0</v>
      </c>
      <c r="DW48" s="28">
        <v>0</v>
      </c>
      <c r="DX48" s="34">
        <v>0</v>
      </c>
    </row>
    <row r="49" spans="1:128" x14ac:dyDescent="0.25">
      <c r="A49" s="25">
        <v>48</v>
      </c>
      <c r="B49" s="27">
        <v>23.5</v>
      </c>
      <c r="C49" s="29">
        <v>0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  <c r="I49" s="29">
        <v>0</v>
      </c>
      <c r="J49" s="29">
        <v>0</v>
      </c>
      <c r="K49" s="29">
        <v>0</v>
      </c>
      <c r="L49" s="29">
        <v>0</v>
      </c>
      <c r="M49" s="29">
        <v>0</v>
      </c>
      <c r="N49" s="29">
        <v>0</v>
      </c>
      <c r="O49" s="29">
        <v>0</v>
      </c>
      <c r="P49" s="29">
        <v>0</v>
      </c>
      <c r="Q49" s="29">
        <v>0</v>
      </c>
      <c r="R49" s="29">
        <v>0</v>
      </c>
      <c r="S49" s="29">
        <v>0</v>
      </c>
      <c r="T49" s="29">
        <v>0</v>
      </c>
      <c r="U49" s="29">
        <v>0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>
        <v>0</v>
      </c>
      <c r="AC49" s="29">
        <v>0</v>
      </c>
      <c r="AD49" s="29">
        <v>0</v>
      </c>
      <c r="AE49" s="29">
        <v>0</v>
      </c>
      <c r="AF49" s="29">
        <v>0</v>
      </c>
      <c r="AG49" s="29">
        <v>0</v>
      </c>
      <c r="AH49" s="29">
        <v>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R49" s="29">
        <v>0</v>
      </c>
      <c r="AS49" s="29">
        <v>0</v>
      </c>
      <c r="AT49" s="29">
        <v>0</v>
      </c>
      <c r="AU49" s="29">
        <v>0</v>
      </c>
      <c r="AV49" s="29">
        <v>0</v>
      </c>
      <c r="AW49" s="29">
        <v>0</v>
      </c>
      <c r="AX49" s="29">
        <v>0</v>
      </c>
      <c r="AY49" s="29">
        <v>0</v>
      </c>
      <c r="AZ49" s="29">
        <v>0</v>
      </c>
      <c r="BA49" s="29">
        <v>0</v>
      </c>
      <c r="BB49" s="29">
        <v>0</v>
      </c>
      <c r="BC49" s="29">
        <v>0</v>
      </c>
      <c r="BD49" s="29">
        <v>0</v>
      </c>
      <c r="BE49" s="29">
        <v>0</v>
      </c>
      <c r="BF49" s="29">
        <v>0</v>
      </c>
      <c r="BG49" s="29">
        <v>0</v>
      </c>
      <c r="BH49" s="29">
        <v>0</v>
      </c>
      <c r="BI49" s="29">
        <v>0</v>
      </c>
      <c r="BJ49" s="29">
        <v>0</v>
      </c>
      <c r="BK49" s="29">
        <v>0</v>
      </c>
      <c r="BL49" s="29">
        <v>0</v>
      </c>
      <c r="BM49" s="29">
        <v>0</v>
      </c>
      <c r="BN49" s="29">
        <v>0</v>
      </c>
      <c r="BO49" s="29">
        <v>0</v>
      </c>
      <c r="BP49" s="29">
        <v>0</v>
      </c>
      <c r="BQ49" s="29">
        <v>0</v>
      </c>
      <c r="BR49" s="29">
        <v>0</v>
      </c>
      <c r="BS49" s="29">
        <v>0</v>
      </c>
      <c r="BT49" s="29">
        <v>0</v>
      </c>
      <c r="BU49" s="29">
        <v>0</v>
      </c>
      <c r="BV49" s="29">
        <v>0</v>
      </c>
      <c r="BW49" s="29">
        <v>0</v>
      </c>
      <c r="BX49" s="29">
        <v>0</v>
      </c>
      <c r="BY49" s="29">
        <v>0</v>
      </c>
      <c r="BZ49" s="29">
        <v>0</v>
      </c>
      <c r="CA49" s="29">
        <v>0</v>
      </c>
      <c r="CB49" s="29">
        <v>0</v>
      </c>
      <c r="CC49" s="29">
        <v>0</v>
      </c>
      <c r="CD49" s="29">
        <v>0</v>
      </c>
      <c r="CE49" s="29">
        <v>0</v>
      </c>
      <c r="CF49" s="29">
        <v>0</v>
      </c>
      <c r="CG49" s="29">
        <v>0</v>
      </c>
      <c r="CH49" s="29">
        <v>0</v>
      </c>
      <c r="CI49" s="29">
        <v>0</v>
      </c>
      <c r="CJ49" s="29">
        <v>0</v>
      </c>
      <c r="CK49" s="29">
        <v>0</v>
      </c>
      <c r="CL49" s="29">
        <v>0</v>
      </c>
      <c r="CM49" s="29">
        <v>0</v>
      </c>
      <c r="CN49" s="29">
        <v>0</v>
      </c>
      <c r="CO49" s="29">
        <v>0</v>
      </c>
      <c r="CP49" s="29">
        <v>0</v>
      </c>
      <c r="CQ49" s="29">
        <v>0</v>
      </c>
      <c r="CR49" s="29">
        <v>0</v>
      </c>
      <c r="CS49" s="29">
        <v>0</v>
      </c>
      <c r="CT49" s="29">
        <v>0</v>
      </c>
      <c r="CU49" s="29">
        <v>0</v>
      </c>
      <c r="CV49" s="29">
        <v>0</v>
      </c>
      <c r="CW49" s="29">
        <v>0</v>
      </c>
      <c r="CX49" s="29">
        <v>0</v>
      </c>
      <c r="CY49" s="29">
        <v>0</v>
      </c>
      <c r="CZ49" s="29">
        <v>0</v>
      </c>
      <c r="DA49" s="29">
        <v>0</v>
      </c>
      <c r="DB49" s="29">
        <v>0</v>
      </c>
      <c r="DC49" s="29">
        <v>0</v>
      </c>
      <c r="DD49" s="29">
        <v>0</v>
      </c>
      <c r="DE49" s="29">
        <v>0</v>
      </c>
      <c r="DF49" s="29">
        <v>0</v>
      </c>
      <c r="DG49" s="29">
        <v>0</v>
      </c>
      <c r="DH49" s="29">
        <v>0</v>
      </c>
      <c r="DI49" s="29">
        <v>0</v>
      </c>
      <c r="DJ49" s="29">
        <v>0</v>
      </c>
      <c r="DK49" s="29">
        <v>0</v>
      </c>
      <c r="DL49" s="29">
        <v>0</v>
      </c>
      <c r="DM49" s="29">
        <v>0</v>
      </c>
      <c r="DN49" s="29">
        <v>0</v>
      </c>
      <c r="DO49" s="29">
        <v>0</v>
      </c>
      <c r="DP49" s="29">
        <v>0</v>
      </c>
      <c r="DQ49" s="29">
        <v>0</v>
      </c>
      <c r="DR49" s="29">
        <v>0</v>
      </c>
      <c r="DS49" s="29">
        <v>0</v>
      </c>
      <c r="DT49" s="29">
        <v>0</v>
      </c>
      <c r="DU49" s="29">
        <v>0</v>
      </c>
      <c r="DV49" s="29">
        <v>0</v>
      </c>
      <c r="DW49" s="29">
        <v>0</v>
      </c>
      <c r="DX49" s="3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X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128" width="15" customWidth="1"/>
  </cols>
  <sheetData>
    <row r="1" spans="1:128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21" t="s">
        <v>84</v>
      </c>
      <c r="AY1" s="21" t="s">
        <v>85</v>
      </c>
      <c r="AZ1" s="21" t="s">
        <v>86</v>
      </c>
      <c r="BA1" s="21" t="s">
        <v>87</v>
      </c>
      <c r="BB1" s="21" t="s">
        <v>88</v>
      </c>
      <c r="BC1" s="21" t="s">
        <v>89</v>
      </c>
      <c r="BD1" s="21" t="s">
        <v>90</v>
      </c>
      <c r="BE1" s="21" t="s">
        <v>91</v>
      </c>
      <c r="BF1" s="21" t="s">
        <v>92</v>
      </c>
      <c r="BG1" s="21" t="s">
        <v>93</v>
      </c>
      <c r="BH1" s="21" t="s">
        <v>94</v>
      </c>
      <c r="BI1" s="21" t="s">
        <v>95</v>
      </c>
      <c r="BJ1" s="21" t="s">
        <v>96</v>
      </c>
      <c r="BK1" s="21" t="s">
        <v>97</v>
      </c>
      <c r="BL1" s="21" t="s">
        <v>98</v>
      </c>
      <c r="BM1" s="21" t="s">
        <v>99</v>
      </c>
      <c r="BN1" s="21" t="s">
        <v>100</v>
      </c>
      <c r="BO1" s="21" t="s">
        <v>101</v>
      </c>
      <c r="BP1" s="21" t="s">
        <v>102</v>
      </c>
      <c r="BQ1" s="21" t="s">
        <v>103</v>
      </c>
      <c r="BR1" s="21" t="s">
        <v>104</v>
      </c>
      <c r="BS1" s="21" t="s">
        <v>105</v>
      </c>
      <c r="BT1" s="21" t="s">
        <v>106</v>
      </c>
      <c r="BU1" s="21" t="s">
        <v>107</v>
      </c>
      <c r="BV1" s="21" t="s">
        <v>108</v>
      </c>
      <c r="BW1" s="21" t="s">
        <v>109</v>
      </c>
      <c r="BX1" s="21" t="s">
        <v>110</v>
      </c>
      <c r="BY1" s="21" t="s">
        <v>111</v>
      </c>
      <c r="BZ1" s="21" t="s">
        <v>112</v>
      </c>
      <c r="CA1" s="21" t="s">
        <v>113</v>
      </c>
      <c r="CB1" s="21" t="s">
        <v>114</v>
      </c>
      <c r="CC1" s="21" t="s">
        <v>115</v>
      </c>
      <c r="CD1" s="21" t="s">
        <v>116</v>
      </c>
      <c r="CE1" s="21" t="s">
        <v>117</v>
      </c>
      <c r="CF1" s="21" t="s">
        <v>118</v>
      </c>
      <c r="CG1" s="21" t="s">
        <v>119</v>
      </c>
      <c r="CH1" s="21" t="s">
        <v>120</v>
      </c>
      <c r="CI1" s="21" t="s">
        <v>121</v>
      </c>
      <c r="CJ1" s="21" t="s">
        <v>122</v>
      </c>
      <c r="CK1" s="21" t="s">
        <v>123</v>
      </c>
      <c r="CL1" s="21" t="s">
        <v>124</v>
      </c>
      <c r="CM1" s="21" t="s">
        <v>125</v>
      </c>
      <c r="CN1" s="21" t="s">
        <v>126</v>
      </c>
      <c r="CO1" s="21" t="s">
        <v>127</v>
      </c>
      <c r="CP1" s="21" t="s">
        <v>128</v>
      </c>
      <c r="CQ1" s="21" t="s">
        <v>129</v>
      </c>
      <c r="CR1" s="21" t="s">
        <v>130</v>
      </c>
      <c r="CS1" s="21" t="s">
        <v>131</v>
      </c>
      <c r="CT1" s="21" t="s">
        <v>132</v>
      </c>
      <c r="CU1" s="21" t="s">
        <v>133</v>
      </c>
      <c r="CV1" s="21" t="s">
        <v>134</v>
      </c>
      <c r="CW1" s="21" t="s">
        <v>135</v>
      </c>
      <c r="CX1" s="21" t="s">
        <v>136</v>
      </c>
      <c r="CY1" s="21" t="s">
        <v>137</v>
      </c>
      <c r="CZ1" s="21" t="s">
        <v>138</v>
      </c>
      <c r="DA1" s="21" t="s">
        <v>139</v>
      </c>
      <c r="DB1" s="21" t="s">
        <v>140</v>
      </c>
      <c r="DC1" s="21" t="s">
        <v>141</v>
      </c>
      <c r="DD1" s="21" t="s">
        <v>142</v>
      </c>
      <c r="DE1" s="21" t="s">
        <v>143</v>
      </c>
      <c r="DF1" s="21" t="s">
        <v>144</v>
      </c>
      <c r="DG1" s="21" t="s">
        <v>145</v>
      </c>
      <c r="DH1" s="21" t="s">
        <v>146</v>
      </c>
      <c r="DI1" s="21" t="s">
        <v>147</v>
      </c>
      <c r="DJ1" s="21" t="s">
        <v>148</v>
      </c>
      <c r="DK1" s="21" t="s">
        <v>149</v>
      </c>
      <c r="DL1" s="21" t="s">
        <v>150</v>
      </c>
      <c r="DM1" s="21" t="s">
        <v>151</v>
      </c>
      <c r="DN1" s="21" t="s">
        <v>152</v>
      </c>
      <c r="DO1" s="21" t="s">
        <v>153</v>
      </c>
      <c r="DP1" s="21" t="s">
        <v>154</v>
      </c>
      <c r="DQ1" s="21" t="s">
        <v>155</v>
      </c>
      <c r="DR1" s="21" t="s">
        <v>156</v>
      </c>
      <c r="DS1" s="21" t="s">
        <v>157</v>
      </c>
      <c r="DT1" s="21" t="s">
        <v>158</v>
      </c>
      <c r="DU1" s="21" t="s">
        <v>159</v>
      </c>
      <c r="DV1" s="21" t="s">
        <v>160</v>
      </c>
      <c r="DW1" s="21" t="s">
        <v>161</v>
      </c>
      <c r="DX1" s="9" t="s">
        <v>162</v>
      </c>
    </row>
    <row r="2" spans="1:128" x14ac:dyDescent="0.25">
      <c r="A2" s="24">
        <v>1</v>
      </c>
      <c r="B2" s="26">
        <v>0</v>
      </c>
      <c r="C2" s="28">
        <v>9.8000000000000004E-2</v>
      </c>
      <c r="D2" s="28">
        <v>4.9000000000000002E-2</v>
      </c>
      <c r="E2" s="28">
        <v>5.5E-2</v>
      </c>
      <c r="F2" s="28">
        <v>5.8999999999999997E-2</v>
      </c>
      <c r="G2" s="28">
        <v>4.7E-2</v>
      </c>
      <c r="H2" s="28">
        <v>0.15</v>
      </c>
      <c r="I2" s="28">
        <v>0.13200000000000001</v>
      </c>
      <c r="J2" s="28">
        <v>0.255</v>
      </c>
      <c r="K2" s="28">
        <v>0.17799999999999999</v>
      </c>
      <c r="L2" s="28">
        <v>0.159</v>
      </c>
      <c r="M2" s="28">
        <v>0.16600000000000001</v>
      </c>
      <c r="N2" s="28">
        <v>0.223</v>
      </c>
      <c r="O2" s="28">
        <v>0.53</v>
      </c>
      <c r="P2" s="28">
        <v>0.18</v>
      </c>
      <c r="Q2" s="28">
        <v>7.4999999999999997E-2</v>
      </c>
      <c r="R2" s="28">
        <v>0.59299999999999997</v>
      </c>
      <c r="S2" s="28">
        <v>0.96100000000000008</v>
      </c>
      <c r="T2" s="28">
        <v>0.183</v>
      </c>
      <c r="U2" s="28">
        <v>7.2999999999999995E-2</v>
      </c>
      <c r="V2" s="28">
        <v>0.23400000000000001</v>
      </c>
      <c r="W2" s="28">
        <v>0.22800000000000001</v>
      </c>
      <c r="X2" s="28">
        <v>5.7000000000000002E-2</v>
      </c>
      <c r="Y2" s="28">
        <v>3.1E-2</v>
      </c>
      <c r="Z2" s="28">
        <v>5.5E-2</v>
      </c>
      <c r="AA2" s="28">
        <v>6.4000000000000001E-2</v>
      </c>
      <c r="AB2" s="28">
        <v>0.192</v>
      </c>
      <c r="AC2" s="28">
        <v>0.186</v>
      </c>
      <c r="AD2" s="28">
        <v>0.25600000000000001</v>
      </c>
      <c r="AE2" s="28">
        <v>0.55999999999999994</v>
      </c>
      <c r="AF2" s="28">
        <v>0.221</v>
      </c>
      <c r="AG2" s="28">
        <v>0.378</v>
      </c>
      <c r="AH2" s="28">
        <v>0.48399999999999999</v>
      </c>
      <c r="AI2" s="28">
        <v>0.06</v>
      </c>
      <c r="AJ2" s="28">
        <v>0.183</v>
      </c>
      <c r="AK2" s="28">
        <v>0.13</v>
      </c>
      <c r="AL2" s="28">
        <v>4.5000000000000012E-2</v>
      </c>
      <c r="AM2" s="28">
        <v>7.9000000000000001E-2</v>
      </c>
      <c r="AN2" s="28">
        <v>0.107</v>
      </c>
      <c r="AO2" s="28">
        <v>0.1</v>
      </c>
      <c r="AP2" s="28">
        <v>4.5999999999999999E-2</v>
      </c>
      <c r="AQ2" s="28">
        <v>0.129</v>
      </c>
      <c r="AR2" s="28">
        <v>2.391</v>
      </c>
      <c r="AS2" s="28">
        <v>9.5000000000000001E-2</v>
      </c>
      <c r="AT2" s="28">
        <v>0.04</v>
      </c>
      <c r="AU2" s="28">
        <v>0.13300000000000001</v>
      </c>
      <c r="AV2" s="28">
        <v>0.19700000000000001</v>
      </c>
      <c r="AW2" s="28">
        <v>0.06</v>
      </c>
      <c r="AX2" s="28">
        <v>5.8999999999999997E-2</v>
      </c>
      <c r="AY2" s="28">
        <v>0.112</v>
      </c>
      <c r="AZ2" s="28">
        <v>0.52600000000000002</v>
      </c>
      <c r="BA2" s="28">
        <v>0.36499999999999999</v>
      </c>
      <c r="BB2" s="28">
        <v>0.218</v>
      </c>
      <c r="BC2" s="28">
        <v>0.03</v>
      </c>
      <c r="BD2" s="28">
        <v>0.29299999999999998</v>
      </c>
      <c r="BE2" s="28">
        <v>0.124</v>
      </c>
      <c r="BF2" s="28">
        <v>0.55300000000000005</v>
      </c>
      <c r="BG2" s="28">
        <v>0.26300000000000001</v>
      </c>
      <c r="BH2" s="28">
        <v>0.17899999999999999</v>
      </c>
      <c r="BI2" s="28">
        <v>0.22700000000000001</v>
      </c>
      <c r="BJ2" s="28">
        <v>8.8999999999999996E-2</v>
      </c>
      <c r="BK2" s="28">
        <v>0.123</v>
      </c>
      <c r="BL2" s="28">
        <v>7.8E-2</v>
      </c>
      <c r="BM2" s="28">
        <v>0.153</v>
      </c>
      <c r="BN2" s="28">
        <v>0.184</v>
      </c>
      <c r="BO2" s="28">
        <v>1.946</v>
      </c>
      <c r="BP2" s="28">
        <v>0.05</v>
      </c>
      <c r="BQ2" s="28">
        <v>0.36299999999999999</v>
      </c>
      <c r="BR2" s="28">
        <v>6.7000000000000004E-2</v>
      </c>
      <c r="BS2" s="28">
        <v>0.42599999999999999</v>
      </c>
      <c r="BT2" s="28">
        <v>0.22600000000000001</v>
      </c>
      <c r="BU2" s="28">
        <v>0.16800000000000001</v>
      </c>
      <c r="BV2" s="28">
        <v>4.8000000000000001E-2</v>
      </c>
      <c r="BW2" s="28">
        <v>0.115</v>
      </c>
      <c r="BX2" s="28">
        <v>0.126</v>
      </c>
      <c r="BY2" s="28">
        <v>0.27100000000000002</v>
      </c>
      <c r="BZ2" s="28">
        <v>4.2999999999999997E-2</v>
      </c>
      <c r="CA2" s="28">
        <v>5.7000000000000002E-2</v>
      </c>
      <c r="CB2" s="28">
        <v>0.16200000000000001</v>
      </c>
      <c r="CC2" s="28">
        <v>0.20499999999999999</v>
      </c>
      <c r="CD2" s="28">
        <v>0.11899999999999999</v>
      </c>
      <c r="CE2" s="28">
        <v>4.5999999999999999E-2</v>
      </c>
      <c r="CF2" s="28">
        <v>0.67800000000000005</v>
      </c>
      <c r="CG2" s="28">
        <v>0.21299999999999999</v>
      </c>
      <c r="CH2" s="28">
        <v>0.19</v>
      </c>
      <c r="CI2" s="28">
        <v>0.11799999999999999</v>
      </c>
      <c r="CJ2" s="28">
        <v>0.307</v>
      </c>
      <c r="CK2" s="28">
        <v>0.217</v>
      </c>
      <c r="CL2" s="28">
        <v>0.05</v>
      </c>
      <c r="CM2" s="28">
        <v>0.05</v>
      </c>
      <c r="CN2" s="28">
        <v>0.14899999999999999</v>
      </c>
      <c r="CO2" s="28">
        <v>0.19500000000000001</v>
      </c>
      <c r="CP2" s="28">
        <v>4.9000000000000002E-2</v>
      </c>
      <c r="CQ2" s="28">
        <v>1.5649999999999999</v>
      </c>
      <c r="CR2" s="28">
        <v>4.1000000000000002E-2</v>
      </c>
      <c r="CS2" s="28">
        <v>0.45100000000000001</v>
      </c>
      <c r="CT2" s="28">
        <v>0.155</v>
      </c>
      <c r="CU2" s="28">
        <v>1.492</v>
      </c>
      <c r="CV2" s="28">
        <v>5.3999999999999999E-2</v>
      </c>
      <c r="CW2" s="28">
        <v>0.04</v>
      </c>
      <c r="CX2" s="28">
        <v>5.8000000000000003E-2</v>
      </c>
      <c r="CY2" s="28">
        <v>9.0000000000000011E-2</v>
      </c>
      <c r="CZ2" s="28">
        <v>0.125</v>
      </c>
      <c r="DA2" s="28">
        <v>5.7000000000000002E-2</v>
      </c>
      <c r="DB2" s="28">
        <v>0.1</v>
      </c>
      <c r="DC2" s="28">
        <v>0.315</v>
      </c>
      <c r="DD2" s="28">
        <v>4.2000000000000003E-2</v>
      </c>
      <c r="DE2" s="28">
        <v>0.155</v>
      </c>
      <c r="DF2" s="28">
        <v>0.71899999999999997</v>
      </c>
      <c r="DG2" s="28">
        <v>5.8000000000000003E-2</v>
      </c>
      <c r="DH2" s="28">
        <v>0.05</v>
      </c>
      <c r="DI2" s="28">
        <v>0.23499999999999999</v>
      </c>
      <c r="DJ2" s="28">
        <v>0.27300000000000002</v>
      </c>
      <c r="DK2" s="28">
        <v>0.156</v>
      </c>
      <c r="DL2" s="28">
        <v>0.16700000000000001</v>
      </c>
      <c r="DM2" s="28">
        <v>0.16700000000000001</v>
      </c>
      <c r="DN2" s="28">
        <v>3.4000000000000002E-2</v>
      </c>
      <c r="DO2" s="28">
        <v>3.7999999999999999E-2</v>
      </c>
      <c r="DP2" s="28">
        <v>0.17799999999999999</v>
      </c>
      <c r="DQ2" s="28">
        <v>0.14499999999999999</v>
      </c>
      <c r="DR2" s="28">
        <v>0.36699999999999999</v>
      </c>
      <c r="DS2" s="28">
        <v>0.75700000000000001</v>
      </c>
      <c r="DT2" s="28">
        <v>0.17799999999999999</v>
      </c>
      <c r="DU2" s="28">
        <v>0.16700000000000001</v>
      </c>
      <c r="DV2" s="28">
        <v>9.0000000000000011E-2</v>
      </c>
      <c r="DW2" s="28">
        <v>0.23916129032258071</v>
      </c>
      <c r="DX2" s="34">
        <v>29.655999999999999</v>
      </c>
    </row>
    <row r="3" spans="1:128" x14ac:dyDescent="0.25">
      <c r="A3" s="24">
        <v>2</v>
      </c>
      <c r="B3" s="26">
        <v>0.5</v>
      </c>
      <c r="C3" s="28">
        <v>4.2999999999999997E-2</v>
      </c>
      <c r="D3" s="28">
        <v>0.23899999999999999</v>
      </c>
      <c r="E3" s="28">
        <v>0.126</v>
      </c>
      <c r="F3" s="28">
        <v>5.8999999999999997E-2</v>
      </c>
      <c r="G3" s="28">
        <v>4.7E-2</v>
      </c>
      <c r="H3" s="28">
        <v>0.108</v>
      </c>
      <c r="I3" s="28">
        <v>0.24399999999999999</v>
      </c>
      <c r="J3" s="28">
        <v>3.1E-2</v>
      </c>
      <c r="K3" s="28">
        <v>0.17699999999999999</v>
      </c>
      <c r="L3" s="28">
        <v>5.0999999999999997E-2</v>
      </c>
      <c r="M3" s="28">
        <v>4.8000000000000001E-2</v>
      </c>
      <c r="N3" s="28">
        <v>0.185</v>
      </c>
      <c r="O3" s="28">
        <v>0.72699999999999998</v>
      </c>
      <c r="P3" s="28">
        <v>4.5000000000000012E-2</v>
      </c>
      <c r="Q3" s="28">
        <v>0.13100000000000001</v>
      </c>
      <c r="R3" s="28">
        <v>0.38300000000000001</v>
      </c>
      <c r="S3" s="28">
        <v>0.81899999999999995</v>
      </c>
      <c r="T3" s="28">
        <v>0.24</v>
      </c>
      <c r="U3" s="28">
        <v>0.12</v>
      </c>
      <c r="V3" s="28">
        <v>0.13600000000000001</v>
      </c>
      <c r="W3" s="28">
        <v>4.8000000000000001E-2</v>
      </c>
      <c r="X3" s="28">
        <v>5.7000000000000002E-2</v>
      </c>
      <c r="Y3" s="28">
        <v>0.127</v>
      </c>
      <c r="Z3" s="28">
        <v>5.5E-2</v>
      </c>
      <c r="AA3" s="28">
        <v>0.155</v>
      </c>
      <c r="AB3" s="28">
        <v>0.218</v>
      </c>
      <c r="AC3" s="28">
        <v>0.127</v>
      </c>
      <c r="AD3" s="28">
        <v>9.5000000000000001E-2</v>
      </c>
      <c r="AE3" s="28">
        <v>0.53399999999999992</v>
      </c>
      <c r="AF3" s="28">
        <v>0.05</v>
      </c>
      <c r="AG3" s="28">
        <v>0.38200000000000001</v>
      </c>
      <c r="AH3" s="28">
        <v>0.50600000000000001</v>
      </c>
      <c r="AI3" s="28">
        <v>0.30299999999999999</v>
      </c>
      <c r="AJ3" s="28">
        <v>5.0999999999999997E-2</v>
      </c>
      <c r="AK3" s="28">
        <v>0.13</v>
      </c>
      <c r="AL3" s="28">
        <v>4.5000000000000012E-2</v>
      </c>
      <c r="AM3" s="28">
        <v>0.28799999999999998</v>
      </c>
      <c r="AN3" s="28">
        <v>4.7E-2</v>
      </c>
      <c r="AO3" s="28">
        <v>0.33100000000000002</v>
      </c>
      <c r="AP3" s="28">
        <v>4.5999999999999999E-2</v>
      </c>
      <c r="AQ3" s="28">
        <v>5.2999999999999999E-2</v>
      </c>
      <c r="AR3" s="28">
        <v>0</v>
      </c>
      <c r="AS3" s="28">
        <v>0.104</v>
      </c>
      <c r="AT3" s="28">
        <v>0.109</v>
      </c>
      <c r="AU3" s="28">
        <v>0.05</v>
      </c>
      <c r="AV3" s="28">
        <v>5.5E-2</v>
      </c>
      <c r="AW3" s="28">
        <v>0.06</v>
      </c>
      <c r="AX3" s="28">
        <v>0.17299999999999999</v>
      </c>
      <c r="AY3" s="28">
        <v>8.2000000000000003E-2</v>
      </c>
      <c r="AZ3" s="28">
        <v>0.44700000000000001</v>
      </c>
      <c r="BA3" s="28">
        <v>3.9E-2</v>
      </c>
      <c r="BB3" s="28">
        <v>8.1000000000000003E-2</v>
      </c>
      <c r="BC3" s="28">
        <v>0.161</v>
      </c>
      <c r="BD3" s="28">
        <v>8.7999999999999995E-2</v>
      </c>
      <c r="BE3" s="28">
        <v>0.14000000000000001</v>
      </c>
      <c r="BF3" s="28">
        <v>0.13500000000000001</v>
      </c>
      <c r="BG3" s="28">
        <v>5.5E-2</v>
      </c>
      <c r="BH3" s="28">
        <v>7.9000000000000001E-2</v>
      </c>
      <c r="BI3" s="28">
        <v>6.9999999999999993E-2</v>
      </c>
      <c r="BJ3" s="28">
        <v>0.08</v>
      </c>
      <c r="BK3" s="28">
        <v>0.23200000000000001</v>
      </c>
      <c r="BL3" s="28">
        <v>0.123</v>
      </c>
      <c r="BM3" s="28">
        <v>0.16800000000000001</v>
      </c>
      <c r="BN3" s="28">
        <v>6.8000000000000005E-2</v>
      </c>
      <c r="BO3" s="28">
        <v>0.44500000000000001</v>
      </c>
      <c r="BP3" s="28">
        <v>0.05</v>
      </c>
      <c r="BQ3" s="28">
        <v>3.6999999999999998E-2</v>
      </c>
      <c r="BR3" s="28">
        <v>0.29199999999999998</v>
      </c>
      <c r="BS3" s="28">
        <v>5.8999999999999997E-2</v>
      </c>
      <c r="BT3" s="28">
        <v>5.2999999999999999E-2</v>
      </c>
      <c r="BU3" s="28">
        <v>5.6000000000000001E-2</v>
      </c>
      <c r="BV3" s="28">
        <v>4.8000000000000001E-2</v>
      </c>
      <c r="BW3" s="28">
        <v>0.05</v>
      </c>
      <c r="BX3" s="28">
        <v>5.0999999999999997E-2</v>
      </c>
      <c r="BY3" s="28">
        <v>8.3999999999999991E-2</v>
      </c>
      <c r="BZ3" s="28">
        <v>0.21099999999999999</v>
      </c>
      <c r="CA3" s="28">
        <v>5.7000000000000002E-2</v>
      </c>
      <c r="CB3" s="28">
        <v>0.14000000000000001</v>
      </c>
      <c r="CC3" s="28">
        <v>5.1999999999999998E-2</v>
      </c>
      <c r="CD3" s="28">
        <v>5.2999999999999999E-2</v>
      </c>
      <c r="CE3" s="28">
        <v>4.5999999999999999E-2</v>
      </c>
      <c r="CF3" s="28">
        <v>0.29699999999999999</v>
      </c>
      <c r="CG3" s="28">
        <v>0.28399999999999997</v>
      </c>
      <c r="CH3" s="28">
        <v>4.7E-2</v>
      </c>
      <c r="CI3" s="28">
        <v>0.22700000000000001</v>
      </c>
      <c r="CJ3" s="28">
        <v>4.9000000000000002E-2</v>
      </c>
      <c r="CK3" s="28">
        <v>0.189</v>
      </c>
      <c r="CL3" s="28">
        <v>0.05</v>
      </c>
      <c r="CM3" s="28">
        <v>0.129</v>
      </c>
      <c r="CN3" s="28">
        <v>0.14299999999999999</v>
      </c>
      <c r="CO3" s="28">
        <v>0.155</v>
      </c>
      <c r="CP3" s="28">
        <v>0.11</v>
      </c>
      <c r="CQ3" s="28">
        <v>5.8000000000000003E-2</v>
      </c>
      <c r="CR3" s="28">
        <v>0.22900000000000001</v>
      </c>
      <c r="CS3" s="28">
        <v>0.32300000000000001</v>
      </c>
      <c r="CT3" s="28">
        <v>4.7E-2</v>
      </c>
      <c r="CU3" s="28">
        <v>0.19800000000000001</v>
      </c>
      <c r="CV3" s="28">
        <v>0.188</v>
      </c>
      <c r="CW3" s="28">
        <v>9.6000000000000002E-2</v>
      </c>
      <c r="CX3" s="28">
        <v>0.30299999999999999</v>
      </c>
      <c r="CY3" s="28">
        <v>3.4000000000000002E-2</v>
      </c>
      <c r="CZ3" s="28">
        <v>5.1999999999999998E-2</v>
      </c>
      <c r="DA3" s="28">
        <v>5.7000000000000002E-2</v>
      </c>
      <c r="DB3" s="28">
        <v>3.9E-2</v>
      </c>
      <c r="DC3" s="28">
        <v>9.2999999999999999E-2</v>
      </c>
      <c r="DD3" s="28">
        <v>0.115</v>
      </c>
      <c r="DE3" s="28">
        <v>0.183</v>
      </c>
      <c r="DF3" s="28">
        <v>0.50800000000000001</v>
      </c>
      <c r="DG3" s="28">
        <v>5.8000000000000003E-2</v>
      </c>
      <c r="DH3" s="28">
        <v>0.121</v>
      </c>
      <c r="DI3" s="28">
        <v>0.20300000000000001</v>
      </c>
      <c r="DJ3" s="28">
        <v>0.25</v>
      </c>
      <c r="DK3" s="28">
        <v>5.3999999999999999E-2</v>
      </c>
      <c r="DL3" s="28">
        <v>0.26200000000000001</v>
      </c>
      <c r="DM3" s="28">
        <v>0.129</v>
      </c>
      <c r="DN3" s="28">
        <v>3.4000000000000002E-2</v>
      </c>
      <c r="DO3" s="28">
        <v>0.13800000000000001</v>
      </c>
      <c r="DP3" s="28">
        <v>0.10100000000000001</v>
      </c>
      <c r="DQ3" s="28">
        <v>4.7E-2</v>
      </c>
      <c r="DR3" s="28">
        <v>0.44700000000000001</v>
      </c>
      <c r="DS3" s="28">
        <v>1.6339999999999999</v>
      </c>
      <c r="DT3" s="28">
        <v>5.1999999999999998E-2</v>
      </c>
      <c r="DU3" s="28">
        <v>6.7000000000000004E-2</v>
      </c>
      <c r="DV3" s="28">
        <v>4.9000000000000002E-2</v>
      </c>
      <c r="DW3" s="28">
        <v>0.15999193548387089</v>
      </c>
      <c r="DX3" s="34">
        <v>19.838999999999999</v>
      </c>
    </row>
    <row r="4" spans="1:128" x14ac:dyDescent="0.25">
      <c r="A4" s="24">
        <v>3</v>
      </c>
      <c r="B4" s="26">
        <v>1</v>
      </c>
      <c r="C4" s="28">
        <v>0.18</v>
      </c>
      <c r="D4" s="28">
        <v>4.9000000000000002E-2</v>
      </c>
      <c r="E4" s="28">
        <v>6.3E-2</v>
      </c>
      <c r="F4" s="28">
        <v>5.8999999999999997E-2</v>
      </c>
      <c r="G4" s="28">
        <v>4.7E-2</v>
      </c>
      <c r="H4" s="28">
        <v>9.8000000000000004E-2</v>
      </c>
      <c r="I4" s="28">
        <v>5.2999999999999999E-2</v>
      </c>
      <c r="J4" s="28">
        <v>3.1E-2</v>
      </c>
      <c r="K4" s="28">
        <v>8.1000000000000003E-2</v>
      </c>
      <c r="L4" s="28">
        <v>0.17799999999999999</v>
      </c>
      <c r="M4" s="28">
        <v>0.16600000000000001</v>
      </c>
      <c r="N4" s="28">
        <v>4.7E-2</v>
      </c>
      <c r="O4" s="28">
        <v>0.129</v>
      </c>
      <c r="P4" s="28">
        <v>0.22</v>
      </c>
      <c r="Q4" s="28">
        <v>0.17399999999999999</v>
      </c>
      <c r="R4" s="28">
        <v>0.55900000000000005</v>
      </c>
      <c r="S4" s="28">
        <v>0.61099999999999999</v>
      </c>
      <c r="T4" s="28">
        <v>0.152</v>
      </c>
      <c r="U4" s="28">
        <v>9.0999999999999998E-2</v>
      </c>
      <c r="V4" s="28">
        <v>5.8999999999999997E-2</v>
      </c>
      <c r="W4" s="28">
        <v>0.22700000000000001</v>
      </c>
      <c r="X4" s="28">
        <v>5.7000000000000002E-2</v>
      </c>
      <c r="Y4" s="28">
        <v>4.8000000000000001E-2</v>
      </c>
      <c r="Z4" s="28">
        <v>0.214</v>
      </c>
      <c r="AA4" s="28">
        <v>5.2999999999999999E-2</v>
      </c>
      <c r="AB4" s="28">
        <v>0.08</v>
      </c>
      <c r="AC4" s="28">
        <v>0.05</v>
      </c>
      <c r="AD4" s="28">
        <v>5.0999999999999997E-2</v>
      </c>
      <c r="AE4" s="28">
        <v>5.5E-2</v>
      </c>
      <c r="AF4" s="28">
        <v>0.21299999999999999</v>
      </c>
      <c r="AG4" s="28">
        <v>6.0999999999999999E-2</v>
      </c>
      <c r="AH4" s="28">
        <v>0.38400000000000001</v>
      </c>
      <c r="AI4" s="28">
        <v>0.10100000000000001</v>
      </c>
      <c r="AJ4" s="28">
        <v>6.7000000000000004E-2</v>
      </c>
      <c r="AK4" s="28">
        <v>0.112</v>
      </c>
      <c r="AL4" s="28">
        <v>0.06</v>
      </c>
      <c r="AM4" s="28">
        <v>0.05</v>
      </c>
      <c r="AN4" s="28">
        <v>0.16</v>
      </c>
      <c r="AO4" s="28">
        <v>5.8000000000000003E-2</v>
      </c>
      <c r="AP4" s="28">
        <v>4.5999999999999999E-2</v>
      </c>
      <c r="AQ4" s="28">
        <v>0.12</v>
      </c>
      <c r="AR4" s="28">
        <v>0</v>
      </c>
      <c r="AS4" s="28">
        <v>5.8000000000000003E-2</v>
      </c>
      <c r="AT4" s="28">
        <v>0.16500000000000001</v>
      </c>
      <c r="AU4" s="28">
        <v>8.6000000000000007E-2</v>
      </c>
      <c r="AV4" s="28">
        <v>0.38800000000000001</v>
      </c>
      <c r="AW4" s="28">
        <v>0.06</v>
      </c>
      <c r="AX4" s="28">
        <v>0.16600000000000001</v>
      </c>
      <c r="AY4" s="28">
        <v>4.8000000000000001E-2</v>
      </c>
      <c r="AZ4" s="28">
        <v>5.1999999999999998E-2</v>
      </c>
      <c r="BA4" s="28">
        <v>3.9E-2</v>
      </c>
      <c r="BB4" s="28">
        <v>0.128</v>
      </c>
      <c r="BC4" s="28">
        <v>0.03</v>
      </c>
      <c r="BD4" s="28">
        <v>0.19800000000000001</v>
      </c>
      <c r="BE4" s="28">
        <v>0.18</v>
      </c>
      <c r="BF4" s="28">
        <v>0.18</v>
      </c>
      <c r="BG4" s="28">
        <v>0.245</v>
      </c>
      <c r="BH4" s="28">
        <v>5.7000000000000002E-2</v>
      </c>
      <c r="BI4" s="28">
        <v>0.14799999999999999</v>
      </c>
      <c r="BJ4" s="28">
        <v>0.08</v>
      </c>
      <c r="BK4" s="28">
        <v>5.6000000000000001E-2</v>
      </c>
      <c r="BL4" s="28">
        <v>5.0999999999999997E-2</v>
      </c>
      <c r="BM4" s="28">
        <v>8.5000000000000006E-2</v>
      </c>
      <c r="BN4" s="28">
        <v>0.24399999999999999</v>
      </c>
      <c r="BO4" s="28">
        <v>0</v>
      </c>
      <c r="BP4" s="28">
        <v>0.05</v>
      </c>
      <c r="BQ4" s="28">
        <v>3.6999999999999998E-2</v>
      </c>
      <c r="BR4" s="28">
        <v>5.2999999999999999E-2</v>
      </c>
      <c r="BS4" s="28">
        <v>0.219</v>
      </c>
      <c r="BT4" s="28">
        <v>0.123</v>
      </c>
      <c r="BU4" s="28">
        <v>5.6000000000000001E-2</v>
      </c>
      <c r="BV4" s="28">
        <v>4.8000000000000001E-2</v>
      </c>
      <c r="BW4" s="28">
        <v>0.33200000000000002</v>
      </c>
      <c r="BX4" s="28">
        <v>5.5E-2</v>
      </c>
      <c r="BY4" s="28">
        <v>0.184</v>
      </c>
      <c r="BZ4" s="28">
        <v>4.2999999999999997E-2</v>
      </c>
      <c r="CA4" s="28">
        <v>5.7000000000000002E-2</v>
      </c>
      <c r="CB4" s="28">
        <v>0.193</v>
      </c>
      <c r="CC4" s="28">
        <v>0.19800000000000001</v>
      </c>
      <c r="CD4" s="28">
        <v>0.30599999999999999</v>
      </c>
      <c r="CE4" s="28">
        <v>4.5999999999999999E-2</v>
      </c>
      <c r="CF4" s="28">
        <v>0.13300000000000001</v>
      </c>
      <c r="CG4" s="28">
        <v>0.13500000000000001</v>
      </c>
      <c r="CH4" s="28">
        <v>0.17699999999999999</v>
      </c>
      <c r="CI4" s="28">
        <v>5.0999999999999997E-2</v>
      </c>
      <c r="CJ4" s="28">
        <v>0.182</v>
      </c>
      <c r="CK4" s="28">
        <v>4.9000000000000002E-2</v>
      </c>
      <c r="CL4" s="28">
        <v>0.05</v>
      </c>
      <c r="CM4" s="28">
        <v>0.19500000000000001</v>
      </c>
      <c r="CN4" s="28">
        <v>4.1000000000000002E-2</v>
      </c>
      <c r="CO4" s="28">
        <v>5.1999999999999998E-2</v>
      </c>
      <c r="CP4" s="28">
        <v>4.9000000000000002E-2</v>
      </c>
      <c r="CQ4" s="28">
        <v>0.10100000000000001</v>
      </c>
      <c r="CR4" s="28">
        <v>7.2999999999999995E-2</v>
      </c>
      <c r="CS4" s="28">
        <v>0.27300000000000002</v>
      </c>
      <c r="CT4" s="28">
        <v>4.7E-2</v>
      </c>
      <c r="CU4" s="28">
        <v>5.3999999999999999E-2</v>
      </c>
      <c r="CV4" s="28">
        <v>5.3999999999999999E-2</v>
      </c>
      <c r="CW4" s="28">
        <v>0.159</v>
      </c>
      <c r="CX4" s="28">
        <v>0.1</v>
      </c>
      <c r="CY4" s="28">
        <v>3.4000000000000002E-2</v>
      </c>
      <c r="CZ4" s="28">
        <v>0.125</v>
      </c>
      <c r="DA4" s="28">
        <v>5.7000000000000002E-2</v>
      </c>
      <c r="DB4" s="28">
        <v>0.161</v>
      </c>
      <c r="DC4" s="28">
        <v>9.2999999999999999E-2</v>
      </c>
      <c r="DD4" s="28">
        <v>4.2000000000000003E-2</v>
      </c>
      <c r="DE4" s="28">
        <v>5.6000000000000001E-2</v>
      </c>
      <c r="DF4" s="28">
        <v>0.50600000000000001</v>
      </c>
      <c r="DG4" s="28">
        <v>0.161</v>
      </c>
      <c r="DH4" s="28">
        <v>0.10299999999999999</v>
      </c>
      <c r="DI4" s="28">
        <v>0.1</v>
      </c>
      <c r="DJ4" s="28">
        <v>0.16700000000000001</v>
      </c>
      <c r="DK4" s="28">
        <v>5.3999999999999999E-2</v>
      </c>
      <c r="DL4" s="28">
        <v>0.188</v>
      </c>
      <c r="DM4" s="28">
        <v>0.05</v>
      </c>
      <c r="DN4" s="28">
        <v>0.151</v>
      </c>
      <c r="DO4" s="28">
        <v>8.3999999999999991E-2</v>
      </c>
      <c r="DP4" s="28">
        <v>0.128</v>
      </c>
      <c r="DQ4" s="28">
        <v>0.114</v>
      </c>
      <c r="DR4" s="28">
        <v>0.17199999999999999</v>
      </c>
      <c r="DS4" s="28">
        <v>0</v>
      </c>
      <c r="DT4" s="28">
        <v>0.20599999999999999</v>
      </c>
      <c r="DU4" s="28">
        <v>5.5E-2</v>
      </c>
      <c r="DV4" s="28">
        <v>0.221</v>
      </c>
      <c r="DW4" s="28">
        <v>0.1214596774193549</v>
      </c>
      <c r="DX4" s="34">
        <v>15.061</v>
      </c>
    </row>
    <row r="5" spans="1:128" x14ac:dyDescent="0.25">
      <c r="A5" s="24">
        <v>4</v>
      </c>
      <c r="B5" s="26">
        <v>1.5</v>
      </c>
      <c r="C5" s="28">
        <v>4.2999999999999997E-2</v>
      </c>
      <c r="D5" s="28">
        <v>0.20399999999999999</v>
      </c>
      <c r="E5" s="28">
        <v>5.0999999999999997E-2</v>
      </c>
      <c r="F5" s="28">
        <v>5.8999999999999997E-2</v>
      </c>
      <c r="G5" s="28">
        <v>4.7E-2</v>
      </c>
      <c r="H5" s="28">
        <v>0.108</v>
      </c>
      <c r="I5" s="28">
        <v>0.18099999999999999</v>
      </c>
      <c r="J5" s="28">
        <v>0.16800000000000001</v>
      </c>
      <c r="K5" s="28">
        <v>0.17799999999999999</v>
      </c>
      <c r="L5" s="28">
        <v>5.0999999999999997E-2</v>
      </c>
      <c r="M5" s="28">
        <v>4.8000000000000001E-2</v>
      </c>
      <c r="N5" s="28">
        <v>9.2999999999999999E-2</v>
      </c>
      <c r="O5" s="28">
        <v>0.152</v>
      </c>
      <c r="P5" s="28">
        <v>0.121</v>
      </c>
      <c r="Q5" s="28">
        <v>0.13</v>
      </c>
      <c r="R5" s="28">
        <v>0.26200000000000001</v>
      </c>
      <c r="S5" s="28">
        <v>0</v>
      </c>
      <c r="T5" s="28">
        <v>0.223</v>
      </c>
      <c r="U5" s="28">
        <v>0.16800000000000001</v>
      </c>
      <c r="V5" s="28">
        <v>0.2</v>
      </c>
      <c r="W5" s="28">
        <v>0.17</v>
      </c>
      <c r="X5" s="28">
        <v>0.17499999999999999</v>
      </c>
      <c r="Y5" s="28">
        <v>8.2000000000000003E-2</v>
      </c>
      <c r="Z5" s="28">
        <v>5.5E-2</v>
      </c>
      <c r="AA5" s="28">
        <v>5.2999999999999999E-2</v>
      </c>
      <c r="AB5" s="28">
        <v>0.30599999999999999</v>
      </c>
      <c r="AC5" s="28">
        <v>0.14899999999999999</v>
      </c>
      <c r="AD5" s="28">
        <v>0.3</v>
      </c>
      <c r="AE5" s="28">
        <v>5.5E-2</v>
      </c>
      <c r="AF5" s="28">
        <v>5.8000000000000003E-2</v>
      </c>
      <c r="AG5" s="28">
        <v>0.22500000000000001</v>
      </c>
      <c r="AH5" s="28">
        <v>0.16700000000000001</v>
      </c>
      <c r="AI5" s="28">
        <v>0.126</v>
      </c>
      <c r="AJ5" s="28">
        <v>0.20699999999999999</v>
      </c>
      <c r="AK5" s="28">
        <v>0.107</v>
      </c>
      <c r="AL5" s="28">
        <v>0.19600000000000001</v>
      </c>
      <c r="AM5" s="28">
        <v>0.05</v>
      </c>
      <c r="AN5" s="28">
        <v>0.1</v>
      </c>
      <c r="AO5" s="28">
        <v>0.22600000000000001</v>
      </c>
      <c r="AP5" s="28">
        <v>4.5999999999999999E-2</v>
      </c>
      <c r="AQ5" s="28">
        <v>6.0999999999999999E-2</v>
      </c>
      <c r="AR5" s="28">
        <v>0</v>
      </c>
      <c r="AS5" s="28">
        <v>0.13200000000000001</v>
      </c>
      <c r="AT5" s="28">
        <v>6.3E-2</v>
      </c>
      <c r="AU5" s="28">
        <v>0.11700000000000001</v>
      </c>
      <c r="AV5" s="28">
        <v>6.9999999999999993E-2</v>
      </c>
      <c r="AW5" s="28">
        <v>0.06</v>
      </c>
      <c r="AX5" s="28">
        <v>0.17299999999999999</v>
      </c>
      <c r="AY5" s="28">
        <v>0.11899999999999999</v>
      </c>
      <c r="AZ5" s="28">
        <v>5.1999999999999998E-2</v>
      </c>
      <c r="BA5" s="28">
        <v>3.9E-2</v>
      </c>
      <c r="BB5" s="28">
        <v>0.17399999999999999</v>
      </c>
      <c r="BC5" s="28">
        <v>0.161</v>
      </c>
      <c r="BD5" s="28">
        <v>5.8000000000000003E-2</v>
      </c>
      <c r="BE5" s="28">
        <v>0.14000000000000001</v>
      </c>
      <c r="BF5" s="28">
        <v>0.18099999999999999</v>
      </c>
      <c r="BG5" s="28">
        <v>6.4999999999999988E-2</v>
      </c>
      <c r="BH5" s="28">
        <v>0.20100000000000001</v>
      </c>
      <c r="BI5" s="28">
        <v>0.14799999999999999</v>
      </c>
      <c r="BJ5" s="28">
        <v>0.10100000000000001</v>
      </c>
      <c r="BK5" s="28">
        <v>0.113</v>
      </c>
      <c r="BL5" s="28">
        <v>0.23100000000000001</v>
      </c>
      <c r="BM5" s="28">
        <v>0.29499999999999998</v>
      </c>
      <c r="BN5" s="28">
        <v>5.5E-2</v>
      </c>
      <c r="BO5" s="28">
        <v>0</v>
      </c>
      <c r="BP5" s="28">
        <v>0.05</v>
      </c>
      <c r="BQ5" s="28">
        <v>0.20699999999999999</v>
      </c>
      <c r="BR5" s="28">
        <v>5.2999999999999999E-2</v>
      </c>
      <c r="BS5" s="28">
        <v>0.316</v>
      </c>
      <c r="BT5" s="28">
        <v>0.153</v>
      </c>
      <c r="BU5" s="28">
        <v>0.16800000000000001</v>
      </c>
      <c r="BV5" s="28">
        <v>4.8000000000000001E-2</v>
      </c>
      <c r="BW5" s="28">
        <v>7.4999999999999997E-2</v>
      </c>
      <c r="BX5" s="28">
        <v>0.121</v>
      </c>
      <c r="BY5" s="28">
        <v>5.5E-2</v>
      </c>
      <c r="BZ5" s="28">
        <v>0.16600000000000001</v>
      </c>
      <c r="CA5" s="28">
        <v>5.7000000000000002E-2</v>
      </c>
      <c r="CB5" s="28">
        <v>0.156</v>
      </c>
      <c r="CC5" s="28">
        <v>0.121</v>
      </c>
      <c r="CD5" s="28">
        <v>5.2999999999999999E-2</v>
      </c>
      <c r="CE5" s="28">
        <v>4.5999999999999999E-2</v>
      </c>
      <c r="CF5" s="28">
        <v>0.20300000000000001</v>
      </c>
      <c r="CG5" s="28">
        <v>4.1000000000000002E-2</v>
      </c>
      <c r="CH5" s="28">
        <v>0.06</v>
      </c>
      <c r="CI5" s="28">
        <v>0.11799999999999999</v>
      </c>
      <c r="CJ5" s="28">
        <v>4.9000000000000002E-2</v>
      </c>
      <c r="CK5" s="28">
        <v>8.7999999999999995E-2</v>
      </c>
      <c r="CL5" s="28">
        <v>0.05</v>
      </c>
      <c r="CM5" s="28">
        <v>0.104</v>
      </c>
      <c r="CN5" s="28">
        <v>8.2000000000000003E-2</v>
      </c>
      <c r="CO5" s="28">
        <v>0.29799999999999999</v>
      </c>
      <c r="CP5" s="28">
        <v>0.11</v>
      </c>
      <c r="CQ5" s="28">
        <v>0.17299999999999999</v>
      </c>
      <c r="CR5" s="28">
        <v>0.104</v>
      </c>
      <c r="CS5" s="28">
        <v>0.13600000000000001</v>
      </c>
      <c r="CT5" s="28">
        <v>0.155</v>
      </c>
      <c r="CU5" s="28">
        <v>0.26900000000000002</v>
      </c>
      <c r="CV5" s="28">
        <v>0.188</v>
      </c>
      <c r="CW5" s="28">
        <v>0.04</v>
      </c>
      <c r="CX5" s="28">
        <v>0.219</v>
      </c>
      <c r="CY5" s="28">
        <v>9.8000000000000004E-2</v>
      </c>
      <c r="CZ5" s="28">
        <v>5.1999999999999998E-2</v>
      </c>
      <c r="DA5" s="28">
        <v>5.7000000000000002E-2</v>
      </c>
      <c r="DB5" s="28">
        <v>3.9E-2</v>
      </c>
      <c r="DC5" s="28">
        <v>0.24299999999999999</v>
      </c>
      <c r="DD5" s="28">
        <v>4.2000000000000003E-2</v>
      </c>
      <c r="DE5" s="28">
        <v>5.6000000000000001E-2</v>
      </c>
      <c r="DF5" s="28">
        <v>0.48299999999999998</v>
      </c>
      <c r="DG5" s="28">
        <v>0.106</v>
      </c>
      <c r="DH5" s="28">
        <v>8.6000000000000007E-2</v>
      </c>
      <c r="DI5" s="28">
        <v>0.20300000000000001</v>
      </c>
      <c r="DJ5" s="28">
        <v>7.5999999999999998E-2</v>
      </c>
      <c r="DK5" s="28">
        <v>0.16400000000000001</v>
      </c>
      <c r="DL5" s="28">
        <v>0.23699999999999999</v>
      </c>
      <c r="DM5" s="28">
        <v>0.109</v>
      </c>
      <c r="DN5" s="28">
        <v>8.8999999999999996E-2</v>
      </c>
      <c r="DO5" s="28">
        <v>0.26100000000000001</v>
      </c>
      <c r="DP5" s="28">
        <v>0.22500000000000001</v>
      </c>
      <c r="DQ5" s="28">
        <v>0.183</v>
      </c>
      <c r="DR5" s="28">
        <v>0.54400000000000004</v>
      </c>
      <c r="DS5" s="28">
        <v>0</v>
      </c>
      <c r="DT5" s="28">
        <v>5.1999999999999998E-2</v>
      </c>
      <c r="DU5" s="28">
        <v>5.5E-2</v>
      </c>
      <c r="DV5" s="28">
        <v>0.154</v>
      </c>
      <c r="DW5" s="28">
        <v>0.12979838709677419</v>
      </c>
      <c r="DX5" s="34">
        <v>16.094999999999999</v>
      </c>
    </row>
    <row r="6" spans="1:128" x14ac:dyDescent="0.25">
      <c r="A6" s="24">
        <v>5</v>
      </c>
      <c r="B6" s="26">
        <v>2</v>
      </c>
      <c r="C6" s="28">
        <v>0.05</v>
      </c>
      <c r="D6" s="28">
        <v>8.3000000000000004E-2</v>
      </c>
      <c r="E6" s="28">
        <v>5.0999999999999997E-2</v>
      </c>
      <c r="F6" s="28">
        <v>5.8999999999999997E-2</v>
      </c>
      <c r="G6" s="28">
        <v>4.7E-2</v>
      </c>
      <c r="H6" s="28">
        <v>0.156</v>
      </c>
      <c r="I6" s="28">
        <v>0.19400000000000001</v>
      </c>
      <c r="J6" s="28">
        <v>0.14199999999999999</v>
      </c>
      <c r="K6" s="28">
        <v>5.3999999999999999E-2</v>
      </c>
      <c r="L6" s="28">
        <v>7.5999999999999998E-2</v>
      </c>
      <c r="M6" s="28">
        <v>4.8000000000000001E-2</v>
      </c>
      <c r="N6" s="28">
        <v>0.16900000000000001</v>
      </c>
      <c r="O6" s="28">
        <v>0.19800000000000001</v>
      </c>
      <c r="P6" s="28">
        <v>4.5000000000000012E-2</v>
      </c>
      <c r="Q6" s="28">
        <v>0.16700000000000001</v>
      </c>
      <c r="R6" s="28">
        <v>9.4E-2</v>
      </c>
      <c r="S6" s="28">
        <v>0</v>
      </c>
      <c r="T6" s="28">
        <v>0.14099999999999999</v>
      </c>
      <c r="U6" s="28">
        <v>0.152</v>
      </c>
      <c r="V6" s="28">
        <v>5.8999999999999997E-2</v>
      </c>
      <c r="W6" s="28">
        <v>0.17</v>
      </c>
      <c r="X6" s="28">
        <v>5.7000000000000002E-2</v>
      </c>
      <c r="Y6" s="28">
        <v>9.2999999999999999E-2</v>
      </c>
      <c r="Z6" s="28">
        <v>0.16400000000000001</v>
      </c>
      <c r="AA6" s="28">
        <v>0.16600000000000001</v>
      </c>
      <c r="AB6" s="28">
        <v>0.151</v>
      </c>
      <c r="AC6" s="28">
        <v>0.104</v>
      </c>
      <c r="AD6" s="28">
        <v>5.0999999999999997E-2</v>
      </c>
      <c r="AE6" s="28">
        <v>5.5E-2</v>
      </c>
      <c r="AF6" s="28">
        <v>8.8999999999999996E-2</v>
      </c>
      <c r="AG6" s="28">
        <v>6.0999999999999999E-2</v>
      </c>
      <c r="AH6" s="28">
        <v>4.5999999999999999E-2</v>
      </c>
      <c r="AI6" s="28">
        <v>0.3</v>
      </c>
      <c r="AJ6" s="28">
        <v>5.0999999999999997E-2</v>
      </c>
      <c r="AK6" s="28">
        <v>0.152</v>
      </c>
      <c r="AL6" s="28">
        <v>4.5000000000000012E-2</v>
      </c>
      <c r="AM6" s="28">
        <v>0.29499999999999998</v>
      </c>
      <c r="AN6" s="28">
        <v>5.0999999999999997E-2</v>
      </c>
      <c r="AO6" s="28">
        <v>0.155</v>
      </c>
      <c r="AP6" s="28">
        <v>4.5999999999999999E-2</v>
      </c>
      <c r="AQ6" s="28">
        <v>9.5000000000000001E-2</v>
      </c>
      <c r="AR6" s="28">
        <v>0</v>
      </c>
      <c r="AS6" s="28">
        <v>6.7000000000000004E-2</v>
      </c>
      <c r="AT6" s="28">
        <v>0.11700000000000001</v>
      </c>
      <c r="AU6" s="28">
        <v>0.05</v>
      </c>
      <c r="AV6" s="28">
        <v>0.107</v>
      </c>
      <c r="AW6" s="28">
        <v>0.06</v>
      </c>
      <c r="AX6" s="28">
        <v>5.8999999999999997E-2</v>
      </c>
      <c r="AY6" s="28">
        <v>4.8000000000000001E-2</v>
      </c>
      <c r="AZ6" s="28">
        <v>5.1999999999999998E-2</v>
      </c>
      <c r="BA6" s="28">
        <v>3.9E-2</v>
      </c>
      <c r="BB6" s="28">
        <v>6.8000000000000005E-2</v>
      </c>
      <c r="BC6" s="28">
        <v>0.03</v>
      </c>
      <c r="BD6" s="28">
        <v>9.0999999999999998E-2</v>
      </c>
      <c r="BE6" s="28">
        <v>0.18</v>
      </c>
      <c r="BF6" s="28">
        <v>5.7000000000000002E-2</v>
      </c>
      <c r="BG6" s="28">
        <v>0.16900000000000001</v>
      </c>
      <c r="BH6" s="28">
        <v>0.05</v>
      </c>
      <c r="BI6" s="28">
        <v>6.2E-2</v>
      </c>
      <c r="BJ6" s="28">
        <v>0.06</v>
      </c>
      <c r="BK6" s="28">
        <v>4.8000000000000001E-2</v>
      </c>
      <c r="BL6" s="28">
        <v>8.8999999999999996E-2</v>
      </c>
      <c r="BM6" s="28">
        <v>6.4999999999999988E-2</v>
      </c>
      <c r="BN6" s="28">
        <v>0.17100000000000001</v>
      </c>
      <c r="BO6" s="28">
        <v>0</v>
      </c>
      <c r="BP6" s="28">
        <v>0.05</v>
      </c>
      <c r="BQ6" s="28">
        <v>3.6999999999999998E-2</v>
      </c>
      <c r="BR6" s="28">
        <v>0.246</v>
      </c>
      <c r="BS6" s="28">
        <v>5.8999999999999997E-2</v>
      </c>
      <c r="BT6" s="28">
        <v>0.214</v>
      </c>
      <c r="BU6" s="28">
        <v>5.6000000000000001E-2</v>
      </c>
      <c r="BV6" s="28">
        <v>4.8000000000000001E-2</v>
      </c>
      <c r="BW6" s="28">
        <v>0.20899999999999999</v>
      </c>
      <c r="BX6" s="28">
        <v>5.0999999999999997E-2</v>
      </c>
      <c r="BY6" s="28">
        <v>0.14099999999999999</v>
      </c>
      <c r="BZ6" s="28">
        <v>8.8999999999999996E-2</v>
      </c>
      <c r="CA6" s="28">
        <v>5.7000000000000002E-2</v>
      </c>
      <c r="CB6" s="28">
        <v>0.125</v>
      </c>
      <c r="CC6" s="28">
        <v>0.13300000000000001</v>
      </c>
      <c r="CD6" s="28">
        <v>5.2999999999999999E-2</v>
      </c>
      <c r="CE6" s="28">
        <v>4.5999999999999999E-2</v>
      </c>
      <c r="CF6" s="28">
        <v>3.9E-2</v>
      </c>
      <c r="CG6" s="28">
        <v>0.25900000000000001</v>
      </c>
      <c r="CH6" s="28">
        <v>0.13800000000000001</v>
      </c>
      <c r="CI6" s="28">
        <v>7.4999999999999997E-2</v>
      </c>
      <c r="CJ6" s="28">
        <v>0.13300000000000001</v>
      </c>
      <c r="CK6" s="28">
        <v>0.17199999999999999</v>
      </c>
      <c r="CL6" s="28">
        <v>0.05</v>
      </c>
      <c r="CM6" s="28">
        <v>9.8000000000000004E-2</v>
      </c>
      <c r="CN6" s="28">
        <v>0.15</v>
      </c>
      <c r="CO6" s="28">
        <v>5.1999999999999998E-2</v>
      </c>
      <c r="CP6" s="28">
        <v>4.9000000000000002E-2</v>
      </c>
      <c r="CQ6" s="28">
        <v>5.8000000000000003E-2</v>
      </c>
      <c r="CR6" s="28">
        <v>0.19800000000000001</v>
      </c>
      <c r="CS6" s="28">
        <v>5.7000000000000002E-2</v>
      </c>
      <c r="CT6" s="28">
        <v>6.6000000000000003E-2</v>
      </c>
      <c r="CU6" s="28">
        <v>0.187</v>
      </c>
      <c r="CV6" s="28">
        <v>5.3999999999999999E-2</v>
      </c>
      <c r="CW6" s="28">
        <v>0.17499999999999999</v>
      </c>
      <c r="CX6" s="28">
        <v>0.19900000000000001</v>
      </c>
      <c r="CY6" s="28">
        <v>4.7E-2</v>
      </c>
      <c r="CZ6" s="28">
        <v>0.125</v>
      </c>
      <c r="DA6" s="28">
        <v>5.7000000000000002E-2</v>
      </c>
      <c r="DB6" s="28">
        <v>3.9E-2</v>
      </c>
      <c r="DC6" s="28">
        <v>0.14399999999999999</v>
      </c>
      <c r="DD6" s="28">
        <v>4.2000000000000003E-2</v>
      </c>
      <c r="DE6" s="28">
        <v>0.25900000000000001</v>
      </c>
      <c r="DF6" s="28">
        <v>0.14299999999999999</v>
      </c>
      <c r="DG6" s="28">
        <v>9.1999999999999998E-2</v>
      </c>
      <c r="DH6" s="28">
        <v>8.6000000000000007E-2</v>
      </c>
      <c r="DI6" s="28">
        <v>0.27100000000000002</v>
      </c>
      <c r="DJ6" s="28">
        <v>0.39200000000000002</v>
      </c>
      <c r="DK6" s="28">
        <v>5.3999999999999999E-2</v>
      </c>
      <c r="DL6" s="28">
        <v>0.06</v>
      </c>
      <c r="DM6" s="28">
        <v>0.188</v>
      </c>
      <c r="DN6" s="28">
        <v>3.4000000000000002E-2</v>
      </c>
      <c r="DO6" s="28">
        <v>3.7999999999999999E-2</v>
      </c>
      <c r="DP6" s="28">
        <v>6.3E-2</v>
      </c>
      <c r="DQ6" s="28">
        <v>8.3000000000000004E-2</v>
      </c>
      <c r="DR6" s="28">
        <v>0.23100000000000001</v>
      </c>
      <c r="DS6" s="28">
        <v>0</v>
      </c>
      <c r="DT6" s="28">
        <v>0.108</v>
      </c>
      <c r="DU6" s="28">
        <v>0.18</v>
      </c>
      <c r="DV6" s="28">
        <v>9.4E-2</v>
      </c>
      <c r="DW6" s="28">
        <v>0.1030161290322581</v>
      </c>
      <c r="DX6" s="34">
        <v>12.77400000000001</v>
      </c>
    </row>
    <row r="7" spans="1:128" x14ac:dyDescent="0.25">
      <c r="A7" s="24">
        <v>6</v>
      </c>
      <c r="B7" s="26">
        <v>2.5</v>
      </c>
      <c r="C7" s="28">
        <v>0.17299999999999999</v>
      </c>
      <c r="D7" s="28">
        <v>4.9000000000000002E-2</v>
      </c>
      <c r="E7" s="28">
        <v>5.0999999999999997E-2</v>
      </c>
      <c r="F7" s="28">
        <v>5.8999999999999997E-2</v>
      </c>
      <c r="G7" s="28">
        <v>4.7E-2</v>
      </c>
      <c r="H7" s="28">
        <v>0.20599999999999999</v>
      </c>
      <c r="I7" s="28">
        <v>5.7000000000000002E-2</v>
      </c>
      <c r="J7" s="28">
        <v>0.106</v>
      </c>
      <c r="K7" s="28">
        <v>0.29099999999999998</v>
      </c>
      <c r="L7" s="28">
        <v>0.153</v>
      </c>
      <c r="M7" s="28">
        <v>4.8000000000000001E-2</v>
      </c>
      <c r="N7" s="28">
        <v>4.7E-2</v>
      </c>
      <c r="O7" s="28">
        <v>0.129</v>
      </c>
      <c r="P7" s="28">
        <v>0.14799999999999999</v>
      </c>
      <c r="Q7" s="28">
        <v>0.13300000000000001</v>
      </c>
      <c r="R7" s="28">
        <v>0.24399999999999999</v>
      </c>
      <c r="S7" s="28">
        <v>0</v>
      </c>
      <c r="T7" s="28">
        <v>0.14799999999999999</v>
      </c>
      <c r="U7" s="28">
        <v>0.13800000000000001</v>
      </c>
      <c r="V7" s="28">
        <v>0.11</v>
      </c>
      <c r="W7" s="28">
        <v>0.22800000000000001</v>
      </c>
      <c r="X7" s="28">
        <v>0.17499999999999999</v>
      </c>
      <c r="Y7" s="28">
        <v>3.1E-2</v>
      </c>
      <c r="Z7" s="28">
        <v>0.106</v>
      </c>
      <c r="AA7" s="28">
        <v>5.2999999999999999E-2</v>
      </c>
      <c r="AB7" s="28">
        <v>0.14899999999999999</v>
      </c>
      <c r="AC7" s="28">
        <v>0.17199999999999999</v>
      </c>
      <c r="AD7" s="28">
        <v>0.10199999999999999</v>
      </c>
      <c r="AE7" s="28">
        <v>5.5E-2</v>
      </c>
      <c r="AF7" s="28">
        <v>0.182</v>
      </c>
      <c r="AG7" s="28">
        <v>6.0999999999999999E-2</v>
      </c>
      <c r="AH7" s="28">
        <v>4.5999999999999999E-2</v>
      </c>
      <c r="AI7" s="28">
        <v>3.7999999999999999E-2</v>
      </c>
      <c r="AJ7" s="28">
        <v>0.20699999999999999</v>
      </c>
      <c r="AK7" s="28">
        <v>4.8000000000000001E-2</v>
      </c>
      <c r="AL7" s="28">
        <v>7.4999999999999997E-2</v>
      </c>
      <c r="AM7" s="28">
        <v>7.2000000000000008E-2</v>
      </c>
      <c r="AN7" s="28">
        <v>0.19400000000000001</v>
      </c>
      <c r="AO7" s="28">
        <v>0.17399999999999999</v>
      </c>
      <c r="AP7" s="28">
        <v>4.5999999999999999E-2</v>
      </c>
      <c r="AQ7" s="28">
        <v>8.6999999999999994E-2</v>
      </c>
      <c r="AR7" s="28">
        <v>0</v>
      </c>
      <c r="AS7" s="28">
        <v>0.1</v>
      </c>
      <c r="AT7" s="28">
        <v>0.14099999999999999</v>
      </c>
      <c r="AU7" s="28">
        <v>0.154</v>
      </c>
      <c r="AV7" s="28">
        <v>0.23400000000000001</v>
      </c>
      <c r="AW7" s="28">
        <v>0.06</v>
      </c>
      <c r="AX7" s="28">
        <v>0.26800000000000002</v>
      </c>
      <c r="AY7" s="28">
        <v>0.11899999999999999</v>
      </c>
      <c r="AZ7" s="28">
        <v>5.1999999999999998E-2</v>
      </c>
      <c r="BA7" s="28">
        <v>3.9E-2</v>
      </c>
      <c r="BB7" s="28">
        <v>0.11799999999999999</v>
      </c>
      <c r="BC7" s="28">
        <v>0.115</v>
      </c>
      <c r="BD7" s="28">
        <v>0.33900000000000002</v>
      </c>
      <c r="BE7" s="28">
        <v>0.112</v>
      </c>
      <c r="BF7" s="28">
        <v>0.26600000000000001</v>
      </c>
      <c r="BG7" s="28">
        <v>0.157</v>
      </c>
      <c r="BH7" s="28">
        <v>0.13600000000000001</v>
      </c>
      <c r="BI7" s="28">
        <v>0.11700000000000001</v>
      </c>
      <c r="BJ7" s="28">
        <v>4.2999999999999997E-2</v>
      </c>
      <c r="BK7" s="28">
        <v>0.25900000000000001</v>
      </c>
      <c r="BL7" s="28">
        <v>5.0999999999999997E-2</v>
      </c>
      <c r="BM7" s="28">
        <v>0.17699999999999999</v>
      </c>
      <c r="BN7" s="28">
        <v>0.14099999999999999</v>
      </c>
      <c r="BO7" s="28">
        <v>0</v>
      </c>
      <c r="BP7" s="28">
        <v>0.05</v>
      </c>
      <c r="BQ7" s="28">
        <v>0.13</v>
      </c>
      <c r="BR7" s="28">
        <v>0.114</v>
      </c>
      <c r="BS7" s="28">
        <v>5.8999999999999997E-2</v>
      </c>
      <c r="BT7" s="28">
        <v>6.2E-2</v>
      </c>
      <c r="BU7" s="28">
        <v>0.16800000000000001</v>
      </c>
      <c r="BV7" s="28">
        <v>4.8000000000000001E-2</v>
      </c>
      <c r="BW7" s="28">
        <v>0.19700000000000001</v>
      </c>
      <c r="BX7" s="28">
        <v>5.0999999999999997E-2</v>
      </c>
      <c r="BY7" s="28">
        <v>0.127</v>
      </c>
      <c r="BZ7" s="28">
        <v>5.8000000000000003E-2</v>
      </c>
      <c r="CA7" s="28">
        <v>5.7000000000000002E-2</v>
      </c>
      <c r="CB7" s="28">
        <v>0.17599999999999999</v>
      </c>
      <c r="CC7" s="28">
        <v>0.187</v>
      </c>
      <c r="CD7" s="28">
        <v>0.30599999999999999</v>
      </c>
      <c r="CE7" s="28">
        <v>4.5999999999999999E-2</v>
      </c>
      <c r="CF7" s="28">
        <v>0.152</v>
      </c>
      <c r="CG7" s="28">
        <v>4.1000000000000002E-2</v>
      </c>
      <c r="CH7" s="28">
        <v>9.8999999999999991E-2</v>
      </c>
      <c r="CI7" s="28">
        <v>0.27</v>
      </c>
      <c r="CJ7" s="28">
        <v>9.7000000000000003E-2</v>
      </c>
      <c r="CK7" s="28">
        <v>0.26500000000000001</v>
      </c>
      <c r="CL7" s="28">
        <v>0.05</v>
      </c>
      <c r="CM7" s="28">
        <v>0.28000000000000003</v>
      </c>
      <c r="CN7" s="28">
        <v>4.1000000000000002E-2</v>
      </c>
      <c r="CO7" s="28">
        <v>0.24399999999999999</v>
      </c>
      <c r="CP7" s="28">
        <v>8.6000000000000007E-2</v>
      </c>
      <c r="CQ7" s="28">
        <v>0.217</v>
      </c>
      <c r="CR7" s="28">
        <v>4.1000000000000002E-2</v>
      </c>
      <c r="CS7" s="28">
        <v>0.13600000000000001</v>
      </c>
      <c r="CT7" s="28">
        <v>7.9000000000000001E-2</v>
      </c>
      <c r="CU7" s="28">
        <v>5.3999999999999999E-2</v>
      </c>
      <c r="CV7" s="28">
        <v>0.155</v>
      </c>
      <c r="CW7" s="28">
        <v>0.08</v>
      </c>
      <c r="CX7" s="28">
        <v>0.14099999999999999</v>
      </c>
      <c r="CY7" s="28">
        <v>8.2000000000000003E-2</v>
      </c>
      <c r="CZ7" s="28">
        <v>5.1999999999999998E-2</v>
      </c>
      <c r="DA7" s="28">
        <v>5.7000000000000002E-2</v>
      </c>
      <c r="DB7" s="28">
        <v>3.9E-2</v>
      </c>
      <c r="DC7" s="28">
        <v>0.27800000000000002</v>
      </c>
      <c r="DD7" s="28">
        <v>0.111</v>
      </c>
      <c r="DE7" s="28">
        <v>7.9000000000000001E-2</v>
      </c>
      <c r="DF7" s="28">
        <v>3.1E-2</v>
      </c>
      <c r="DG7" s="28">
        <v>0.17399999999999999</v>
      </c>
      <c r="DH7" s="28">
        <v>0.05</v>
      </c>
      <c r="DI7" s="28">
        <v>0.248</v>
      </c>
      <c r="DJ7" s="28">
        <v>0.13</v>
      </c>
      <c r="DK7" s="28">
        <v>0.16400000000000001</v>
      </c>
      <c r="DL7" s="28">
        <v>0.06</v>
      </c>
      <c r="DM7" s="28">
        <v>6.4999999999999988E-2</v>
      </c>
      <c r="DN7" s="28">
        <v>3.4000000000000002E-2</v>
      </c>
      <c r="DO7" s="28">
        <v>0.20699999999999999</v>
      </c>
      <c r="DP7" s="28">
        <v>0.12</v>
      </c>
      <c r="DQ7" s="28">
        <v>0.214</v>
      </c>
      <c r="DR7" s="28">
        <v>0.33300000000000002</v>
      </c>
      <c r="DS7" s="28">
        <v>0</v>
      </c>
      <c r="DT7" s="28">
        <v>0.15</v>
      </c>
      <c r="DU7" s="28">
        <v>5.5E-2</v>
      </c>
      <c r="DV7" s="28">
        <v>0.28100000000000003</v>
      </c>
      <c r="DW7" s="28">
        <v>0.1226935483870968</v>
      </c>
      <c r="DX7" s="34">
        <v>15.214</v>
      </c>
    </row>
    <row r="8" spans="1:128" x14ac:dyDescent="0.25">
      <c r="A8" s="24">
        <v>7</v>
      </c>
      <c r="B8" s="26">
        <v>3</v>
      </c>
      <c r="C8" s="28">
        <v>4.2999999999999997E-2</v>
      </c>
      <c r="D8" s="28">
        <v>0.13500000000000001</v>
      </c>
      <c r="E8" s="28">
        <v>5.0999999999999997E-2</v>
      </c>
      <c r="F8" s="28">
        <v>5.8999999999999997E-2</v>
      </c>
      <c r="G8" s="28">
        <v>4.7E-2</v>
      </c>
      <c r="H8" s="28">
        <v>5.0999999999999997E-2</v>
      </c>
      <c r="I8" s="28">
        <v>0.11899999999999999</v>
      </c>
      <c r="J8" s="28">
        <v>0.125</v>
      </c>
      <c r="K8" s="28">
        <v>9.1999999999999998E-2</v>
      </c>
      <c r="L8" s="28">
        <v>5.7000000000000002E-2</v>
      </c>
      <c r="M8" s="28">
        <v>0.16600000000000001</v>
      </c>
      <c r="N8" s="28">
        <v>4.7E-2</v>
      </c>
      <c r="O8" s="28">
        <v>0.373</v>
      </c>
      <c r="P8" s="28">
        <v>0.11600000000000001</v>
      </c>
      <c r="Q8" s="28">
        <v>0.08</v>
      </c>
      <c r="R8" s="28">
        <v>4.5999999999999999E-2</v>
      </c>
      <c r="S8" s="28">
        <v>0</v>
      </c>
      <c r="T8" s="28">
        <v>0.27900000000000003</v>
      </c>
      <c r="U8" s="28">
        <v>0.20399999999999999</v>
      </c>
      <c r="V8" s="28">
        <v>0.14899999999999999</v>
      </c>
      <c r="W8" s="28">
        <v>4.8000000000000001E-2</v>
      </c>
      <c r="X8" s="28">
        <v>5.7000000000000002E-2</v>
      </c>
      <c r="Y8" s="28">
        <v>3.1E-2</v>
      </c>
      <c r="Z8" s="28">
        <v>7.6999999999999999E-2</v>
      </c>
      <c r="AA8" s="28">
        <v>0.104</v>
      </c>
      <c r="AB8" s="28">
        <v>0.315</v>
      </c>
      <c r="AC8" s="28">
        <v>0.14099999999999999</v>
      </c>
      <c r="AD8" s="28">
        <v>0.249</v>
      </c>
      <c r="AE8" s="28">
        <v>5.5E-2</v>
      </c>
      <c r="AF8" s="28">
        <v>0.05</v>
      </c>
      <c r="AG8" s="28">
        <v>0.21</v>
      </c>
      <c r="AH8" s="28">
        <v>4.5999999999999999E-2</v>
      </c>
      <c r="AI8" s="28">
        <v>0.30099999999999999</v>
      </c>
      <c r="AJ8" s="28">
        <v>6.7000000000000004E-2</v>
      </c>
      <c r="AK8" s="28">
        <v>6.3E-2</v>
      </c>
      <c r="AL8" s="28">
        <v>0.18099999999999999</v>
      </c>
      <c r="AM8" s="28">
        <v>0.127</v>
      </c>
      <c r="AN8" s="28">
        <v>0.16</v>
      </c>
      <c r="AO8" s="28">
        <v>0.20899999999999999</v>
      </c>
      <c r="AP8" s="28">
        <v>4.5999999999999999E-2</v>
      </c>
      <c r="AQ8" s="28">
        <v>5.2999999999999999E-2</v>
      </c>
      <c r="AR8" s="28">
        <v>0</v>
      </c>
      <c r="AS8" s="28">
        <v>0.1</v>
      </c>
      <c r="AT8" s="28">
        <v>0.12</v>
      </c>
      <c r="AU8" s="28">
        <v>0.05</v>
      </c>
      <c r="AV8" s="28">
        <v>0.1</v>
      </c>
      <c r="AW8" s="28">
        <v>0.06</v>
      </c>
      <c r="AX8" s="28">
        <v>6.9999999999999993E-2</v>
      </c>
      <c r="AY8" s="28">
        <v>0.14599999999999999</v>
      </c>
      <c r="AZ8" s="28">
        <v>5.1999999999999998E-2</v>
      </c>
      <c r="BA8" s="28">
        <v>3.9E-2</v>
      </c>
      <c r="BB8" s="28">
        <v>0.156</v>
      </c>
      <c r="BC8" s="28">
        <v>7.5999999999999998E-2</v>
      </c>
      <c r="BD8" s="28">
        <v>4.1000000000000002E-2</v>
      </c>
      <c r="BE8" s="28">
        <v>8.3999999999999991E-2</v>
      </c>
      <c r="BF8" s="28">
        <v>0.108</v>
      </c>
      <c r="BG8" s="28">
        <v>0.182</v>
      </c>
      <c r="BH8" s="28">
        <v>0.122</v>
      </c>
      <c r="BI8" s="28">
        <v>0.18</v>
      </c>
      <c r="BJ8" s="28">
        <v>4.2999999999999997E-2</v>
      </c>
      <c r="BK8" s="28">
        <v>0.105</v>
      </c>
      <c r="BL8" s="28">
        <v>0.19</v>
      </c>
      <c r="BM8" s="28">
        <v>0.21199999999999999</v>
      </c>
      <c r="BN8" s="28">
        <v>0.112</v>
      </c>
      <c r="BO8" s="28">
        <v>0</v>
      </c>
      <c r="BP8" s="28">
        <v>0.05</v>
      </c>
      <c r="BQ8" s="28">
        <v>0.114</v>
      </c>
      <c r="BR8" s="28">
        <v>5.2999999999999999E-2</v>
      </c>
      <c r="BS8" s="28">
        <v>0.23400000000000001</v>
      </c>
      <c r="BT8" s="28">
        <v>0.186</v>
      </c>
      <c r="BU8" s="28">
        <v>5.6000000000000001E-2</v>
      </c>
      <c r="BV8" s="28">
        <v>4.8000000000000001E-2</v>
      </c>
      <c r="BW8" s="28">
        <v>0.05</v>
      </c>
      <c r="BX8" s="28">
        <v>9.7000000000000003E-2</v>
      </c>
      <c r="BY8" s="28">
        <v>5.5E-2</v>
      </c>
      <c r="BZ8" s="28">
        <v>0.19600000000000001</v>
      </c>
      <c r="CA8" s="28">
        <v>5.7000000000000002E-2</v>
      </c>
      <c r="CB8" s="28">
        <v>0.105</v>
      </c>
      <c r="CC8" s="28">
        <v>5.1999999999999998E-2</v>
      </c>
      <c r="CD8" s="28">
        <v>5.2999999999999999E-2</v>
      </c>
      <c r="CE8" s="28">
        <v>4.5999999999999999E-2</v>
      </c>
      <c r="CF8" s="28">
        <v>3.9E-2</v>
      </c>
      <c r="CG8" s="28">
        <v>4.1000000000000002E-2</v>
      </c>
      <c r="CH8" s="28">
        <v>4.7E-2</v>
      </c>
      <c r="CI8" s="28">
        <v>5.0999999999999997E-2</v>
      </c>
      <c r="CJ8" s="28">
        <v>8.5000000000000006E-2</v>
      </c>
      <c r="CK8" s="28">
        <v>0.123</v>
      </c>
      <c r="CL8" s="28">
        <v>0.05</v>
      </c>
      <c r="CM8" s="28">
        <v>0.05</v>
      </c>
      <c r="CN8" s="28">
        <v>0.191</v>
      </c>
      <c r="CO8" s="28">
        <v>0.106</v>
      </c>
      <c r="CP8" s="28">
        <v>7.2999999999999995E-2</v>
      </c>
      <c r="CQ8" s="28">
        <v>5.8000000000000003E-2</v>
      </c>
      <c r="CR8" s="28">
        <v>5.3999999999999999E-2</v>
      </c>
      <c r="CS8" s="28">
        <v>5.7000000000000002E-2</v>
      </c>
      <c r="CT8" s="28">
        <v>0.14199999999999999</v>
      </c>
      <c r="CU8" s="28">
        <v>0.13700000000000001</v>
      </c>
      <c r="CV8" s="28">
        <v>8.7999999999999995E-2</v>
      </c>
      <c r="CW8" s="28">
        <v>0.04</v>
      </c>
      <c r="CX8" s="28">
        <v>0.24399999999999999</v>
      </c>
      <c r="CY8" s="28">
        <v>6.8000000000000005E-2</v>
      </c>
      <c r="CZ8" s="28">
        <v>7.2000000000000008E-2</v>
      </c>
      <c r="DA8" s="28">
        <v>5.7000000000000002E-2</v>
      </c>
      <c r="DB8" s="28">
        <v>0.161</v>
      </c>
      <c r="DC8" s="28">
        <v>0.11899999999999999</v>
      </c>
      <c r="DD8" s="28">
        <v>4.5999999999999999E-2</v>
      </c>
      <c r="DE8" s="28">
        <v>6.9999999999999993E-2</v>
      </c>
      <c r="DF8" s="28">
        <v>0</v>
      </c>
      <c r="DG8" s="28">
        <v>5.8000000000000003E-2</v>
      </c>
      <c r="DH8" s="28">
        <v>0.121</v>
      </c>
      <c r="DI8" s="28">
        <v>6.2E-2</v>
      </c>
      <c r="DJ8" s="28">
        <v>0.123</v>
      </c>
      <c r="DK8" s="28">
        <v>5.3999999999999999E-2</v>
      </c>
      <c r="DL8" s="28">
        <v>0.06</v>
      </c>
      <c r="DM8" s="28">
        <v>0.11899999999999999</v>
      </c>
      <c r="DN8" s="28">
        <v>3.4000000000000002E-2</v>
      </c>
      <c r="DO8" s="28">
        <v>0.13800000000000001</v>
      </c>
      <c r="DP8" s="28">
        <v>0.245</v>
      </c>
      <c r="DQ8" s="28">
        <v>4.7E-2</v>
      </c>
      <c r="DR8" s="28">
        <v>0.29499999999999998</v>
      </c>
      <c r="DS8" s="28">
        <v>0</v>
      </c>
      <c r="DT8" s="28">
        <v>5.1999999999999998E-2</v>
      </c>
      <c r="DU8" s="28">
        <v>0.17399999999999999</v>
      </c>
      <c r="DV8" s="28">
        <v>4.9000000000000002E-2</v>
      </c>
      <c r="DW8" s="28">
        <v>0.1010403225806451</v>
      </c>
      <c r="DX8" s="34">
        <v>12.529</v>
      </c>
    </row>
    <row r="9" spans="1:128" x14ac:dyDescent="0.25">
      <c r="A9" s="24">
        <v>8</v>
      </c>
      <c r="B9" s="26">
        <v>3.5</v>
      </c>
      <c r="C9" s="28">
        <v>0.11700000000000001</v>
      </c>
      <c r="D9" s="28">
        <v>0.15</v>
      </c>
      <c r="E9" s="28">
        <v>4.9000000000000002E-2</v>
      </c>
      <c r="F9" s="28">
        <v>5.7000000000000002E-2</v>
      </c>
      <c r="G9" s="28">
        <v>1.33</v>
      </c>
      <c r="H9" s="28">
        <v>0.307</v>
      </c>
      <c r="I9" s="28">
        <v>0.249</v>
      </c>
      <c r="J9" s="28">
        <v>0.108</v>
      </c>
      <c r="K9" s="28">
        <v>0.19800000000000001</v>
      </c>
      <c r="L9" s="28">
        <v>0.16900000000000001</v>
      </c>
      <c r="M9" s="28">
        <v>4.5000000000000012E-2</v>
      </c>
      <c r="N9" s="28">
        <v>9.2999999999999999E-2</v>
      </c>
      <c r="O9" s="28">
        <v>0.154</v>
      </c>
      <c r="P9" s="28">
        <v>0.14899999999999999</v>
      </c>
      <c r="Q9" s="28">
        <v>0.187</v>
      </c>
      <c r="R9" s="28">
        <v>0.21</v>
      </c>
      <c r="S9" s="28">
        <v>0</v>
      </c>
      <c r="T9" s="28">
        <v>4.5000000000000012E-2</v>
      </c>
      <c r="U9" s="28">
        <v>0.13100000000000001</v>
      </c>
      <c r="V9" s="28">
        <v>5.6000000000000001E-2</v>
      </c>
      <c r="W9" s="28">
        <v>0.307</v>
      </c>
      <c r="X9" s="28">
        <v>0.161</v>
      </c>
      <c r="Y9" s="28">
        <v>7.9000000000000001E-2</v>
      </c>
      <c r="Z9" s="28">
        <v>0.189</v>
      </c>
      <c r="AA9" s="28">
        <v>0.112</v>
      </c>
      <c r="AB9" s="28">
        <v>9.1999999999999998E-2</v>
      </c>
      <c r="AC9" s="28">
        <v>0.107</v>
      </c>
      <c r="AD9" s="28">
        <v>9.1999999999999998E-2</v>
      </c>
      <c r="AE9" s="28">
        <v>5.1999999999999998E-2</v>
      </c>
      <c r="AF9" s="28">
        <v>0.218</v>
      </c>
      <c r="AG9" s="28">
        <v>7.3999999999999996E-2</v>
      </c>
      <c r="AH9" s="28">
        <v>4.2999999999999997E-2</v>
      </c>
      <c r="AI9" s="28">
        <v>8.6000000000000007E-2</v>
      </c>
      <c r="AJ9" s="28">
        <v>4.8000000000000001E-2</v>
      </c>
      <c r="AK9" s="28">
        <v>0.19400000000000001</v>
      </c>
      <c r="AL9" s="28">
        <v>4.2999999999999997E-2</v>
      </c>
      <c r="AM9" s="28">
        <v>0.223</v>
      </c>
      <c r="AN9" s="28">
        <v>4.3999999999999997E-2</v>
      </c>
      <c r="AO9" s="28">
        <v>0.24399999999999999</v>
      </c>
      <c r="AP9" s="28">
        <v>4.2999999999999997E-2</v>
      </c>
      <c r="AQ9" s="28">
        <v>0.126</v>
      </c>
      <c r="AR9" s="28">
        <v>0</v>
      </c>
      <c r="AS9" s="28">
        <v>5.5E-2</v>
      </c>
      <c r="AT9" s="28">
        <v>0.14399999999999999</v>
      </c>
      <c r="AU9" s="28">
        <v>4.7E-2</v>
      </c>
      <c r="AV9" s="28">
        <v>0.16400000000000001</v>
      </c>
      <c r="AW9" s="28">
        <v>5.7000000000000002E-2</v>
      </c>
      <c r="AX9" s="28">
        <v>0.08</v>
      </c>
      <c r="AY9" s="28">
        <v>4.9000000000000002E-2</v>
      </c>
      <c r="AZ9" s="28">
        <v>4.9000000000000002E-2</v>
      </c>
      <c r="BA9" s="28">
        <v>3.5999999999999997E-2</v>
      </c>
      <c r="BB9" s="28">
        <v>9.4E-2</v>
      </c>
      <c r="BC9" s="28">
        <v>7.9000000000000001E-2</v>
      </c>
      <c r="BD9" s="28">
        <v>0.22</v>
      </c>
      <c r="BE9" s="28">
        <v>0.13300000000000001</v>
      </c>
      <c r="BF9" s="28">
        <v>0.12</v>
      </c>
      <c r="BG9" s="28">
        <v>7.6999999999999999E-2</v>
      </c>
      <c r="BH9" s="28">
        <v>7.6999999999999999E-2</v>
      </c>
      <c r="BI9" s="28">
        <v>5.8999999999999997E-2</v>
      </c>
      <c r="BJ9" s="28">
        <v>0.11600000000000001</v>
      </c>
      <c r="BK9" s="28">
        <v>6.6000000000000003E-2</v>
      </c>
      <c r="BL9" s="28">
        <v>0.127</v>
      </c>
      <c r="BM9" s="28">
        <v>7.8E-2</v>
      </c>
      <c r="BN9" s="28">
        <v>0.153</v>
      </c>
      <c r="BO9" s="28">
        <v>0</v>
      </c>
      <c r="BP9" s="28">
        <v>4.7E-2</v>
      </c>
      <c r="BQ9" s="28">
        <v>3.4000000000000002E-2</v>
      </c>
      <c r="BR9" s="28">
        <v>0.30299999999999999</v>
      </c>
      <c r="BS9" s="28">
        <v>0.3</v>
      </c>
      <c r="BT9" s="28">
        <v>0.17399999999999999</v>
      </c>
      <c r="BU9" s="28">
        <v>5.2999999999999999E-2</v>
      </c>
      <c r="BV9" s="28">
        <v>4.5000000000000012E-2</v>
      </c>
      <c r="BW9" s="28">
        <v>0.35299999999999998</v>
      </c>
      <c r="BX9" s="28">
        <v>7.6999999999999999E-2</v>
      </c>
      <c r="BY9" s="28">
        <v>0.13</v>
      </c>
      <c r="BZ9" s="28">
        <v>0.04</v>
      </c>
      <c r="CA9" s="28">
        <v>5.3999999999999999E-2</v>
      </c>
      <c r="CB9" s="28">
        <v>0.17699999999999999</v>
      </c>
      <c r="CC9" s="28">
        <v>4.9000000000000002E-2</v>
      </c>
      <c r="CD9" s="28">
        <v>0.20699999999999999</v>
      </c>
      <c r="CE9" s="28">
        <v>4.3999999999999997E-2</v>
      </c>
      <c r="CF9" s="28">
        <v>0.17499999999999999</v>
      </c>
      <c r="CG9" s="28">
        <v>3.7999999999999999E-2</v>
      </c>
      <c r="CH9" s="28">
        <v>0.187</v>
      </c>
      <c r="CI9" s="28">
        <v>0.24199999999999999</v>
      </c>
      <c r="CJ9" s="28">
        <v>0.14299999999999999</v>
      </c>
      <c r="CK9" s="28">
        <v>4.7E-2</v>
      </c>
      <c r="CL9" s="28">
        <v>4.7E-2</v>
      </c>
      <c r="CM9" s="28">
        <v>0.192</v>
      </c>
      <c r="CN9" s="28">
        <v>3.9E-2</v>
      </c>
      <c r="CO9" s="28">
        <v>0.105</v>
      </c>
      <c r="CP9" s="28">
        <v>4.5999999999999999E-2</v>
      </c>
      <c r="CQ9" s="28">
        <v>0.16</v>
      </c>
      <c r="CR9" s="28">
        <v>0.18</v>
      </c>
      <c r="CS9" s="28">
        <v>5.3999999999999999E-2</v>
      </c>
      <c r="CT9" s="28">
        <v>4.3999999999999997E-2</v>
      </c>
      <c r="CU9" s="28">
        <v>0</v>
      </c>
      <c r="CV9" s="28">
        <v>0.105</v>
      </c>
      <c r="CW9" s="28">
        <v>0.10199999999999999</v>
      </c>
      <c r="CX9" s="28">
        <v>0.20699999999999999</v>
      </c>
      <c r="CY9" s="28">
        <v>7.2999999999999995E-2</v>
      </c>
      <c r="CZ9" s="28">
        <v>0.10299999999999999</v>
      </c>
      <c r="DA9" s="28">
        <v>5.3999999999999999E-2</v>
      </c>
      <c r="DB9" s="28">
        <v>3.6999999999999998E-2</v>
      </c>
      <c r="DC9" s="28">
        <v>0.14699999999999999</v>
      </c>
      <c r="DD9" s="28">
        <v>0.04</v>
      </c>
      <c r="DE9" s="28">
        <v>0.26600000000000001</v>
      </c>
      <c r="DF9" s="28">
        <v>0</v>
      </c>
      <c r="DG9" s="28">
        <v>0.19800000000000001</v>
      </c>
      <c r="DH9" s="28">
        <v>5.3999999999999999E-2</v>
      </c>
      <c r="DI9" s="28">
        <v>0.32400000000000001</v>
      </c>
      <c r="DJ9" s="28">
        <v>0.26700000000000002</v>
      </c>
      <c r="DK9" s="28">
        <v>5.0999999999999997E-2</v>
      </c>
      <c r="DL9" s="28">
        <v>5.7000000000000002E-2</v>
      </c>
      <c r="DM9" s="28">
        <v>0.109</v>
      </c>
      <c r="DN9" s="28">
        <v>0.17899999999999999</v>
      </c>
      <c r="DO9" s="28">
        <v>0.17299999999999999</v>
      </c>
      <c r="DP9" s="28">
        <v>0.105</v>
      </c>
      <c r="DQ9" s="28">
        <v>0.1</v>
      </c>
      <c r="DR9" s="28">
        <v>0</v>
      </c>
      <c r="DS9" s="28">
        <v>0</v>
      </c>
      <c r="DT9" s="28">
        <v>0.05</v>
      </c>
      <c r="DU9" s="28">
        <v>0.06</v>
      </c>
      <c r="DV9" s="28">
        <v>0.29099999999999998</v>
      </c>
      <c r="DW9" s="28">
        <v>0.1241854838709678</v>
      </c>
      <c r="DX9" s="34">
        <v>15.39900000000001</v>
      </c>
    </row>
    <row r="10" spans="1:128" x14ac:dyDescent="0.25">
      <c r="A10" s="24">
        <v>9</v>
      </c>
      <c r="B10" s="26">
        <v>4</v>
      </c>
      <c r="C10" s="28">
        <v>0.08</v>
      </c>
      <c r="D10" s="28">
        <v>1.7999999999999999E-2</v>
      </c>
      <c r="E10" s="28">
        <v>0.02</v>
      </c>
      <c r="F10" s="28">
        <v>3.4000000000000002E-2</v>
      </c>
      <c r="G10" s="28">
        <v>0</v>
      </c>
      <c r="H10" s="28">
        <v>1E-3</v>
      </c>
      <c r="I10" s="28">
        <v>3.0000000000000001E-3</v>
      </c>
      <c r="J10" s="28">
        <v>6.8000000000000005E-2</v>
      </c>
      <c r="K10" s="28">
        <v>0.158</v>
      </c>
      <c r="L10" s="28">
        <v>1.4E-2</v>
      </c>
      <c r="M10" s="28">
        <v>0</v>
      </c>
      <c r="N10" s="28">
        <v>0.127</v>
      </c>
      <c r="O10" s="28">
        <v>0</v>
      </c>
      <c r="P10" s="28">
        <v>0.14499999999999999</v>
      </c>
      <c r="Q10" s="28">
        <v>0.11899999999999999</v>
      </c>
      <c r="R10" s="28">
        <v>0</v>
      </c>
      <c r="S10" s="28">
        <v>0</v>
      </c>
      <c r="T10" s="28">
        <v>0.13200000000000001</v>
      </c>
      <c r="U10" s="28">
        <v>0.121</v>
      </c>
      <c r="V10" s="28">
        <v>0.151</v>
      </c>
      <c r="W10" s="28">
        <v>6.4000000000000001E-2</v>
      </c>
      <c r="X10" s="28">
        <v>3.7999999999999999E-2</v>
      </c>
      <c r="Y10" s="28">
        <v>5.6000000000000001E-2</v>
      </c>
      <c r="Z10" s="28">
        <v>5.0000000000000001E-3</v>
      </c>
      <c r="AA10" s="28">
        <v>9.0000000000000011E-3</v>
      </c>
      <c r="AB10" s="28">
        <v>0.17599999999999999</v>
      </c>
      <c r="AC10" s="28">
        <v>0.13600000000000001</v>
      </c>
      <c r="AD10" s="28">
        <v>0.18</v>
      </c>
      <c r="AE10" s="28">
        <v>5.0000000000000001E-3</v>
      </c>
      <c r="AF10" s="28">
        <v>0.30199999999999999</v>
      </c>
      <c r="AG10" s="28">
        <v>0.03</v>
      </c>
      <c r="AH10" s="28">
        <v>0</v>
      </c>
      <c r="AI10" s="28">
        <v>2.9000000000000001E-2</v>
      </c>
      <c r="AJ10" s="28">
        <v>0.17899999999999999</v>
      </c>
      <c r="AK10" s="28">
        <v>1.0999999999999999E-2</v>
      </c>
      <c r="AL10" s="28">
        <v>0.18</v>
      </c>
      <c r="AM10" s="28">
        <v>0.04</v>
      </c>
      <c r="AN10" s="28">
        <v>0.16200000000000001</v>
      </c>
      <c r="AO10" s="28">
        <v>0.13400000000000001</v>
      </c>
      <c r="AP10" s="28">
        <v>2E-3</v>
      </c>
      <c r="AQ10" s="28">
        <v>9.0000000000000011E-3</v>
      </c>
      <c r="AR10" s="28">
        <v>0</v>
      </c>
      <c r="AS10" s="28">
        <v>9.1999999999999998E-2</v>
      </c>
      <c r="AT10" s="28">
        <v>8.3000000000000004E-2</v>
      </c>
      <c r="AU10" s="28">
        <v>2.6551299999999999E-4</v>
      </c>
      <c r="AV10" s="28">
        <v>0.14199999999999999</v>
      </c>
      <c r="AW10" s="28">
        <v>0.01</v>
      </c>
      <c r="AX10" s="28">
        <v>0.11899999999999999</v>
      </c>
      <c r="AY10" s="28">
        <v>0.16300000000000001</v>
      </c>
      <c r="AZ10" s="28">
        <v>1.4999999999999999E-2</v>
      </c>
      <c r="BA10" s="28">
        <v>2E-3</v>
      </c>
      <c r="BB10" s="28">
        <v>4.5999999999999999E-2</v>
      </c>
      <c r="BC10" s="28">
        <v>5.8999999999999997E-2</v>
      </c>
      <c r="BD10" s="28">
        <v>0.16900000000000001</v>
      </c>
      <c r="BE10" s="28">
        <v>0.05</v>
      </c>
      <c r="BF10" s="28">
        <v>0.11799999999999999</v>
      </c>
      <c r="BG10" s="28">
        <v>9.8999999999999991E-2</v>
      </c>
      <c r="BH10" s="28">
        <v>0.154</v>
      </c>
      <c r="BI10" s="28">
        <v>0.16900000000000001</v>
      </c>
      <c r="BJ10" s="28">
        <v>1.7999999999999999E-2</v>
      </c>
      <c r="BK10" s="28">
        <v>0.16600000000000001</v>
      </c>
      <c r="BL10" s="28">
        <v>4.2000000000000003E-2</v>
      </c>
      <c r="BM10" s="28">
        <v>9.4E-2</v>
      </c>
      <c r="BN10" s="28">
        <v>8.3000000000000004E-2</v>
      </c>
      <c r="BO10" s="28">
        <v>0</v>
      </c>
      <c r="BP10" s="28">
        <v>1.2999999999999999E-2</v>
      </c>
      <c r="BQ10" s="28">
        <v>0.158</v>
      </c>
      <c r="BR10" s="28">
        <v>9.0000000000000011E-3</v>
      </c>
      <c r="BS10" s="28">
        <v>3.4000000000000002E-2</v>
      </c>
      <c r="BT10" s="28">
        <v>5.6000000000000001E-2</v>
      </c>
      <c r="BU10" s="28">
        <v>6.0000000000000001E-3</v>
      </c>
      <c r="BV10" s="28">
        <v>1.0999999999999999E-2</v>
      </c>
      <c r="BW10" s="28">
        <v>2.6551299999999999E-4</v>
      </c>
      <c r="BX10" s="28">
        <v>7.0000000000000001E-3</v>
      </c>
      <c r="BY10" s="28">
        <v>8.3999999999999991E-2</v>
      </c>
      <c r="BZ10" s="28">
        <v>0.17399999999999999</v>
      </c>
      <c r="CA10" s="28">
        <v>7.0000000000000001E-3</v>
      </c>
      <c r="CB10" s="28">
        <v>0.03</v>
      </c>
      <c r="CC10" s="28">
        <v>0.111</v>
      </c>
      <c r="CD10" s="28">
        <v>0.112</v>
      </c>
      <c r="CE10" s="28">
        <v>1.4999999999999999E-2</v>
      </c>
      <c r="CF10" s="28">
        <v>0.10299999999999999</v>
      </c>
      <c r="CG10" s="28">
        <v>8.5000000000000006E-2</v>
      </c>
      <c r="CH10" s="28">
        <v>0</v>
      </c>
      <c r="CI10" s="28">
        <v>8.3000000000000004E-2</v>
      </c>
      <c r="CJ10" s="28">
        <v>5.0000000000000001E-3</v>
      </c>
      <c r="CK10" s="28">
        <v>0.23200000000000001</v>
      </c>
      <c r="CL10" s="28">
        <v>1.2999999999999999E-2</v>
      </c>
      <c r="CM10" s="28">
        <v>0.14599999999999999</v>
      </c>
      <c r="CN10" s="28">
        <v>0.14499999999999999</v>
      </c>
      <c r="CO10" s="28">
        <v>0.152</v>
      </c>
      <c r="CP10" s="28">
        <v>0</v>
      </c>
      <c r="CQ10" s="28">
        <v>0</v>
      </c>
      <c r="CR10" s="28">
        <v>8.8999999999999996E-2</v>
      </c>
      <c r="CS10" s="28">
        <v>1.6E-2</v>
      </c>
      <c r="CT10" s="28">
        <v>4.1000000000000002E-2</v>
      </c>
      <c r="CU10" s="28">
        <v>0</v>
      </c>
      <c r="CV10" s="28">
        <v>9.0999999999999998E-2</v>
      </c>
      <c r="CW10" s="28">
        <v>0.13300000000000001</v>
      </c>
      <c r="CX10" s="28">
        <v>0.113</v>
      </c>
      <c r="CY10" s="28">
        <v>0</v>
      </c>
      <c r="CZ10" s="28">
        <v>2.7E-2</v>
      </c>
      <c r="DA10" s="28">
        <v>7.0000000000000001E-3</v>
      </c>
      <c r="DB10" s="28">
        <v>8.0000000000000002E-3</v>
      </c>
      <c r="DC10" s="28">
        <v>0.125</v>
      </c>
      <c r="DD10" s="28">
        <v>1.7000000000000001E-2</v>
      </c>
      <c r="DE10" s="28">
        <v>3.1E-2</v>
      </c>
      <c r="DF10" s="28">
        <v>0</v>
      </c>
      <c r="DG10" s="28">
        <v>1.4999999999999999E-2</v>
      </c>
      <c r="DH10" s="28">
        <v>6.4000000000000001E-2</v>
      </c>
      <c r="DI10" s="28">
        <v>0.122</v>
      </c>
      <c r="DJ10" s="28">
        <v>0.13700000000000001</v>
      </c>
      <c r="DK10" s="28">
        <v>6.4999999999999988E-2</v>
      </c>
      <c r="DL10" s="28">
        <v>2.3E-2</v>
      </c>
      <c r="DM10" s="28">
        <v>0</v>
      </c>
      <c r="DN10" s="28">
        <v>8.0000000000000002E-3</v>
      </c>
      <c r="DO10" s="28">
        <v>9.8000000000000004E-2</v>
      </c>
      <c r="DP10" s="28">
        <v>0.20699999999999999</v>
      </c>
      <c r="DQ10" s="28">
        <v>0.16400000000000001</v>
      </c>
      <c r="DR10" s="28">
        <v>0</v>
      </c>
      <c r="DS10" s="28">
        <v>0</v>
      </c>
      <c r="DT10" s="28">
        <v>9.7000000000000003E-2</v>
      </c>
      <c r="DU10" s="28">
        <v>0.03</v>
      </c>
      <c r="DV10" s="28">
        <v>7.1000000000000008E-2</v>
      </c>
      <c r="DW10" s="28">
        <v>6.7915572790322551E-2</v>
      </c>
      <c r="DX10" s="34">
        <v>8.4215310259999967</v>
      </c>
    </row>
    <row r="11" spans="1:128" x14ac:dyDescent="0.25">
      <c r="A11" s="24">
        <v>10</v>
      </c>
      <c r="B11" s="26">
        <v>4.5</v>
      </c>
      <c r="C11" s="28">
        <v>0</v>
      </c>
      <c r="D11" s="28">
        <v>9.2999999999999999E-2</v>
      </c>
      <c r="E11" s="28">
        <v>0</v>
      </c>
      <c r="F11" s="28">
        <v>0</v>
      </c>
      <c r="G11" s="28">
        <v>0</v>
      </c>
      <c r="H11" s="28">
        <v>0</v>
      </c>
      <c r="I11" s="28">
        <v>0</v>
      </c>
      <c r="J11" s="28">
        <v>0.03</v>
      </c>
      <c r="K11" s="28">
        <v>0</v>
      </c>
      <c r="L11" s="28">
        <v>4.0000000000000001E-3</v>
      </c>
      <c r="M11" s="28">
        <v>0</v>
      </c>
      <c r="N11" s="28">
        <v>0</v>
      </c>
      <c r="O11" s="28">
        <v>0</v>
      </c>
      <c r="P11" s="28">
        <v>0</v>
      </c>
      <c r="Q11" s="28">
        <v>0</v>
      </c>
      <c r="R11" s="28">
        <v>0</v>
      </c>
      <c r="S11" s="28">
        <v>0</v>
      </c>
      <c r="T11" s="28">
        <v>0.155</v>
      </c>
      <c r="U11" s="28">
        <v>0</v>
      </c>
      <c r="V11" s="28">
        <v>0</v>
      </c>
      <c r="W11" s="28">
        <v>0</v>
      </c>
      <c r="X11" s="28">
        <v>1.7999999999999999E-2</v>
      </c>
      <c r="Y11" s="28">
        <v>0</v>
      </c>
      <c r="Z11" s="28">
        <v>0</v>
      </c>
      <c r="AA11" s="28">
        <v>0</v>
      </c>
      <c r="AB11" s="28">
        <v>6.9999999999999993E-2</v>
      </c>
      <c r="AC11" s="28">
        <v>0</v>
      </c>
      <c r="AD11" s="28">
        <v>0</v>
      </c>
      <c r="AE11" s="28">
        <v>0</v>
      </c>
      <c r="AF11" s="28">
        <v>8.0000000000000002E-3</v>
      </c>
      <c r="AG11" s="28">
        <v>0.08</v>
      </c>
      <c r="AH11" s="28">
        <v>0</v>
      </c>
      <c r="AI11" s="28">
        <v>3.1E-2</v>
      </c>
      <c r="AJ11" s="28">
        <v>0</v>
      </c>
      <c r="AK11" s="28">
        <v>2.1999999999999999E-2</v>
      </c>
      <c r="AL11" s="28">
        <v>0</v>
      </c>
      <c r="AM11" s="28">
        <v>4.2000000000000003E-2</v>
      </c>
      <c r="AN11" s="28">
        <v>0</v>
      </c>
      <c r="AO11" s="28">
        <v>0</v>
      </c>
      <c r="AP11" s="28">
        <v>0</v>
      </c>
      <c r="AQ11" s="28">
        <v>0</v>
      </c>
      <c r="AR11" s="28">
        <v>0</v>
      </c>
      <c r="AS11" s="28">
        <v>0</v>
      </c>
      <c r="AT11" s="28">
        <v>4.9000000000000002E-2</v>
      </c>
      <c r="AU11" s="28">
        <v>0</v>
      </c>
      <c r="AV11" s="28">
        <v>0</v>
      </c>
      <c r="AW11" s="28">
        <v>0</v>
      </c>
      <c r="AX11" s="28">
        <v>0</v>
      </c>
      <c r="AY11" s="28">
        <v>0</v>
      </c>
      <c r="AZ11" s="28">
        <v>0</v>
      </c>
      <c r="BA11" s="28">
        <v>0</v>
      </c>
      <c r="BB11" s="28">
        <v>0</v>
      </c>
      <c r="BC11" s="28">
        <v>0.755</v>
      </c>
      <c r="BD11" s="28">
        <v>0</v>
      </c>
      <c r="BE11" s="28">
        <v>0</v>
      </c>
      <c r="BF11" s="28">
        <v>0</v>
      </c>
      <c r="BG11" s="28">
        <v>8.1000000000000003E-2</v>
      </c>
      <c r="BH11" s="28">
        <v>0</v>
      </c>
      <c r="BI11" s="28">
        <v>0</v>
      </c>
      <c r="BJ11" s="28">
        <v>0</v>
      </c>
      <c r="BK11" s="28">
        <v>0</v>
      </c>
      <c r="BL11" s="28">
        <v>3.1E-2</v>
      </c>
      <c r="BM11" s="28">
        <v>0</v>
      </c>
      <c r="BN11" s="28">
        <v>2.7E-2</v>
      </c>
      <c r="BO11" s="28">
        <v>0</v>
      </c>
      <c r="BP11" s="28">
        <v>0</v>
      </c>
      <c r="BQ11" s="28">
        <v>0</v>
      </c>
      <c r="BR11" s="28">
        <v>0</v>
      </c>
      <c r="BS11" s="28">
        <v>0.17</v>
      </c>
      <c r="BT11" s="28">
        <v>9.4E-2</v>
      </c>
      <c r="BU11" s="28">
        <v>0</v>
      </c>
      <c r="BV11" s="28">
        <v>0</v>
      </c>
      <c r="BW11" s="28">
        <v>4.2000000000000003E-2</v>
      </c>
      <c r="BX11" s="28">
        <v>0</v>
      </c>
      <c r="BY11" s="28">
        <v>0</v>
      </c>
      <c r="BZ11" s="28">
        <v>0</v>
      </c>
      <c r="CA11" s="28">
        <v>0</v>
      </c>
      <c r="CB11" s="28">
        <v>0.107</v>
      </c>
      <c r="CC11" s="28">
        <v>0</v>
      </c>
      <c r="CD11" s="28">
        <v>0</v>
      </c>
      <c r="CE11" s="28">
        <v>0</v>
      </c>
      <c r="CF11" s="28">
        <v>0</v>
      </c>
      <c r="CG11" s="28">
        <v>0</v>
      </c>
      <c r="CH11" s="28">
        <v>0</v>
      </c>
      <c r="CI11" s="28">
        <v>0</v>
      </c>
      <c r="CJ11" s="28">
        <v>0</v>
      </c>
      <c r="CK11" s="28">
        <v>0</v>
      </c>
      <c r="CL11" s="28">
        <v>0</v>
      </c>
      <c r="CM11" s="28">
        <v>0</v>
      </c>
      <c r="CN11" s="28">
        <v>0</v>
      </c>
      <c r="CO11" s="28">
        <v>0</v>
      </c>
      <c r="CP11" s="28">
        <v>0</v>
      </c>
      <c r="CQ11" s="28">
        <v>0</v>
      </c>
      <c r="CR11" s="28">
        <v>3.6999999999999998E-2</v>
      </c>
      <c r="CS11" s="28">
        <v>0</v>
      </c>
      <c r="CT11" s="28">
        <v>0</v>
      </c>
      <c r="CU11" s="28">
        <v>0</v>
      </c>
      <c r="CV11" s="28">
        <v>0</v>
      </c>
      <c r="CW11" s="28">
        <v>0</v>
      </c>
      <c r="CX11" s="28">
        <v>0.22</v>
      </c>
      <c r="CY11" s="28">
        <v>0</v>
      </c>
      <c r="CZ11" s="28">
        <v>0</v>
      </c>
      <c r="DA11" s="28">
        <v>0</v>
      </c>
      <c r="DB11" s="28">
        <v>1.6E-2</v>
      </c>
      <c r="DC11" s="28">
        <v>0.115</v>
      </c>
      <c r="DD11" s="28">
        <v>0</v>
      </c>
      <c r="DE11" s="28">
        <v>0</v>
      </c>
      <c r="DF11" s="28">
        <v>0</v>
      </c>
      <c r="DG11" s="28">
        <v>0</v>
      </c>
      <c r="DH11" s="28">
        <v>0</v>
      </c>
      <c r="DI11" s="28">
        <v>4.1000000000000002E-2</v>
      </c>
      <c r="DJ11" s="28">
        <v>4.1000000000000002E-2</v>
      </c>
      <c r="DK11" s="28">
        <v>0</v>
      </c>
      <c r="DL11" s="28">
        <v>0</v>
      </c>
      <c r="DM11" s="28">
        <v>0</v>
      </c>
      <c r="DN11" s="28">
        <v>0</v>
      </c>
      <c r="DO11" s="28">
        <v>0</v>
      </c>
      <c r="DP11" s="28">
        <v>0</v>
      </c>
      <c r="DQ11" s="28">
        <v>0</v>
      </c>
      <c r="DR11" s="28">
        <v>0</v>
      </c>
      <c r="DS11" s="28">
        <v>0</v>
      </c>
      <c r="DT11" s="28">
        <v>0.02</v>
      </c>
      <c r="DU11" s="28">
        <v>0</v>
      </c>
      <c r="DV11" s="28">
        <v>0.17100000000000001</v>
      </c>
      <c r="DW11" s="28">
        <v>2.0725806451612899E-2</v>
      </c>
      <c r="DX11" s="34">
        <v>2.57</v>
      </c>
    </row>
    <row r="12" spans="1:128" x14ac:dyDescent="0.25">
      <c r="A12" s="24">
        <v>11</v>
      </c>
      <c r="B12" s="26">
        <v>5</v>
      </c>
      <c r="C12" s="28">
        <v>0</v>
      </c>
      <c r="D12" s="28">
        <v>0</v>
      </c>
      <c r="E12" s="28">
        <v>0</v>
      </c>
      <c r="F12" s="28">
        <v>0</v>
      </c>
      <c r="G12" s="28">
        <v>0</v>
      </c>
      <c r="H12" s="28">
        <v>0</v>
      </c>
      <c r="I12" s="28">
        <v>0</v>
      </c>
      <c r="J12" s="28">
        <v>0</v>
      </c>
      <c r="K12" s="28">
        <v>9.8000000000000004E-2</v>
      </c>
      <c r="L12" s="28">
        <v>0</v>
      </c>
      <c r="M12" s="28">
        <v>0</v>
      </c>
      <c r="N12" s="28">
        <v>0</v>
      </c>
      <c r="O12" s="28">
        <v>0</v>
      </c>
      <c r="P12" s="28">
        <v>0</v>
      </c>
      <c r="Q12" s="28">
        <v>0.04</v>
      </c>
      <c r="R12" s="28">
        <v>0</v>
      </c>
      <c r="S12" s="28">
        <v>0</v>
      </c>
      <c r="T12" s="28">
        <v>0</v>
      </c>
      <c r="U12" s="28">
        <v>0</v>
      </c>
      <c r="V12" s="28">
        <v>0</v>
      </c>
      <c r="W12" s="28">
        <v>5.3999999999999999E-2</v>
      </c>
      <c r="X12" s="28">
        <v>0</v>
      </c>
      <c r="Y12" s="28">
        <v>0</v>
      </c>
      <c r="Z12" s="28">
        <v>0</v>
      </c>
      <c r="AA12" s="28">
        <v>0</v>
      </c>
      <c r="AB12" s="28">
        <v>0</v>
      </c>
      <c r="AC12" s="28">
        <v>0</v>
      </c>
      <c r="AD12" s="28">
        <v>0</v>
      </c>
      <c r="AE12" s="28">
        <v>0</v>
      </c>
      <c r="AF12" s="28">
        <v>0</v>
      </c>
      <c r="AG12" s="28">
        <v>0</v>
      </c>
      <c r="AH12" s="28">
        <v>0</v>
      </c>
      <c r="AI12" s="28">
        <v>0</v>
      </c>
      <c r="AJ12" s="28">
        <v>0</v>
      </c>
      <c r="AK12" s="28">
        <v>0</v>
      </c>
      <c r="AL12" s="28">
        <v>0</v>
      </c>
      <c r="AM12" s="28">
        <v>0</v>
      </c>
      <c r="AN12" s="28">
        <v>0</v>
      </c>
      <c r="AO12" s="28">
        <v>0</v>
      </c>
      <c r="AP12" s="28">
        <v>0</v>
      </c>
      <c r="AQ12" s="28">
        <v>0</v>
      </c>
      <c r="AR12" s="28">
        <v>0</v>
      </c>
      <c r="AS12" s="28">
        <v>0</v>
      </c>
      <c r="AT12" s="28">
        <v>0</v>
      </c>
      <c r="AU12" s="28">
        <v>0</v>
      </c>
      <c r="AV12" s="28">
        <v>0</v>
      </c>
      <c r="AW12" s="28">
        <v>0</v>
      </c>
      <c r="AX12" s="28">
        <v>0</v>
      </c>
      <c r="AY12" s="28">
        <v>0</v>
      </c>
      <c r="AZ12" s="28">
        <v>0</v>
      </c>
      <c r="BA12" s="28">
        <v>0</v>
      </c>
      <c r="BB12" s="28">
        <v>0</v>
      </c>
      <c r="BC12" s="28">
        <v>0</v>
      </c>
      <c r="BD12" s="28">
        <v>0</v>
      </c>
      <c r="BE12" s="28">
        <v>0</v>
      </c>
      <c r="BF12" s="28">
        <v>0</v>
      </c>
      <c r="BG12" s="28">
        <v>0</v>
      </c>
      <c r="BH12" s="28">
        <v>0</v>
      </c>
      <c r="BI12" s="28">
        <v>0</v>
      </c>
      <c r="BJ12" s="28">
        <v>0</v>
      </c>
      <c r="BK12" s="28">
        <v>0</v>
      </c>
      <c r="BL12" s="28">
        <v>0</v>
      </c>
      <c r="BM12" s="28">
        <v>0.10199999999999999</v>
      </c>
      <c r="BN12" s="28">
        <v>2.5000000000000001E-2</v>
      </c>
      <c r="BO12" s="28">
        <v>0</v>
      </c>
      <c r="BP12" s="28">
        <v>0</v>
      </c>
      <c r="BQ12" s="28">
        <v>0</v>
      </c>
      <c r="BR12" s="28">
        <v>0</v>
      </c>
      <c r="BS12" s="28">
        <v>1.7999999999999999E-2</v>
      </c>
      <c r="BT12" s="28">
        <v>0</v>
      </c>
      <c r="BU12" s="28">
        <v>0</v>
      </c>
      <c r="BV12" s="28">
        <v>0</v>
      </c>
      <c r="BW12" s="28">
        <v>0</v>
      </c>
      <c r="BX12" s="28">
        <v>0</v>
      </c>
      <c r="BY12" s="28">
        <v>0</v>
      </c>
      <c r="BZ12" s="28">
        <v>0</v>
      </c>
      <c r="CA12" s="28">
        <v>0</v>
      </c>
      <c r="CB12" s="28">
        <v>0</v>
      </c>
      <c r="CC12" s="28">
        <v>0</v>
      </c>
      <c r="CD12" s="28">
        <v>0</v>
      </c>
      <c r="CE12" s="28">
        <v>0</v>
      </c>
      <c r="CF12" s="28">
        <v>0</v>
      </c>
      <c r="CG12" s="28">
        <v>0</v>
      </c>
      <c r="CH12" s="28">
        <v>0</v>
      </c>
      <c r="CI12" s="28">
        <v>0.121</v>
      </c>
      <c r="CJ12" s="28">
        <v>0</v>
      </c>
      <c r="CK12" s="28">
        <v>0</v>
      </c>
      <c r="CL12" s="28">
        <v>0</v>
      </c>
      <c r="CM12" s="28">
        <v>0</v>
      </c>
      <c r="CN12" s="28">
        <v>0</v>
      </c>
      <c r="CO12" s="28">
        <v>0</v>
      </c>
      <c r="CP12" s="28">
        <v>0</v>
      </c>
      <c r="CQ12" s="28">
        <v>0</v>
      </c>
      <c r="CR12" s="28">
        <v>0</v>
      </c>
      <c r="CS12" s="28">
        <v>0</v>
      </c>
      <c r="CT12" s="28">
        <v>0</v>
      </c>
      <c r="CU12" s="28">
        <v>0</v>
      </c>
      <c r="CV12" s="28">
        <v>0</v>
      </c>
      <c r="CW12" s="28">
        <v>0</v>
      </c>
      <c r="CX12" s="28">
        <v>0</v>
      </c>
      <c r="CY12" s="28">
        <v>0</v>
      </c>
      <c r="CZ12" s="28">
        <v>0</v>
      </c>
      <c r="DA12" s="28">
        <v>0</v>
      </c>
      <c r="DB12" s="28">
        <v>0</v>
      </c>
      <c r="DC12" s="28">
        <v>0.06</v>
      </c>
      <c r="DD12" s="28">
        <v>0</v>
      </c>
      <c r="DE12" s="28">
        <v>0</v>
      </c>
      <c r="DF12" s="28">
        <v>0</v>
      </c>
      <c r="DG12" s="28">
        <v>0</v>
      </c>
      <c r="DH12" s="28">
        <v>0</v>
      </c>
      <c r="DI12" s="28">
        <v>0</v>
      </c>
      <c r="DJ12" s="28">
        <v>0</v>
      </c>
      <c r="DK12" s="28">
        <v>0</v>
      </c>
      <c r="DL12" s="28">
        <v>0</v>
      </c>
      <c r="DM12" s="28">
        <v>0</v>
      </c>
      <c r="DN12" s="28">
        <v>0</v>
      </c>
      <c r="DO12" s="28">
        <v>0</v>
      </c>
      <c r="DP12" s="28">
        <v>0</v>
      </c>
      <c r="DQ12" s="28">
        <v>0</v>
      </c>
      <c r="DR12" s="28">
        <v>0</v>
      </c>
      <c r="DS12" s="28">
        <v>0</v>
      </c>
      <c r="DT12" s="28">
        <v>0</v>
      </c>
      <c r="DU12" s="28">
        <v>0</v>
      </c>
      <c r="DV12" s="28">
        <v>0.03</v>
      </c>
      <c r="DW12" s="28">
        <v>4.4193548387096776E-3</v>
      </c>
      <c r="DX12" s="34">
        <v>0.54800000000000004</v>
      </c>
    </row>
    <row r="13" spans="1:128" x14ac:dyDescent="0.25">
      <c r="A13" s="24">
        <v>12</v>
      </c>
      <c r="B13" s="26">
        <v>5.5</v>
      </c>
      <c r="C13" s="28">
        <v>0</v>
      </c>
      <c r="D13" s="28">
        <v>0</v>
      </c>
      <c r="E13" s="28">
        <v>0</v>
      </c>
      <c r="F13" s="28">
        <v>0</v>
      </c>
      <c r="G13" s="28">
        <v>0</v>
      </c>
      <c r="H13" s="28">
        <v>0</v>
      </c>
      <c r="I13" s="28">
        <v>0</v>
      </c>
      <c r="J13" s="28">
        <v>0</v>
      </c>
      <c r="K13" s="28">
        <v>0</v>
      </c>
      <c r="L13" s="28">
        <v>0</v>
      </c>
      <c r="M13" s="28">
        <v>0</v>
      </c>
      <c r="N13" s="28">
        <v>0</v>
      </c>
      <c r="O13" s="28">
        <v>0</v>
      </c>
      <c r="P13" s="28">
        <v>0</v>
      </c>
      <c r="Q13" s="28">
        <v>0</v>
      </c>
      <c r="R13" s="28">
        <v>0</v>
      </c>
      <c r="S13" s="28">
        <v>0</v>
      </c>
      <c r="T13" s="28">
        <v>9.7000000000000003E-2</v>
      </c>
      <c r="U13" s="28">
        <v>0</v>
      </c>
      <c r="V13" s="28">
        <v>0</v>
      </c>
      <c r="W13" s="28">
        <v>0</v>
      </c>
      <c r="X13" s="28">
        <v>0</v>
      </c>
      <c r="Y13" s="28">
        <v>0</v>
      </c>
      <c r="Z13" s="28">
        <v>0</v>
      </c>
      <c r="AA13" s="28">
        <v>0</v>
      </c>
      <c r="AB13" s="28">
        <v>0</v>
      </c>
      <c r="AC13" s="28">
        <v>0</v>
      </c>
      <c r="AD13" s="28">
        <v>0</v>
      </c>
      <c r="AE13" s="28">
        <v>0</v>
      </c>
      <c r="AF13" s="28">
        <v>0</v>
      </c>
      <c r="AG13" s="28">
        <v>0</v>
      </c>
      <c r="AH13" s="28">
        <v>0</v>
      </c>
      <c r="AI13" s="28">
        <v>0</v>
      </c>
      <c r="AJ13" s="28">
        <v>0</v>
      </c>
      <c r="AK13" s="28">
        <v>0</v>
      </c>
      <c r="AL13" s="28">
        <v>0</v>
      </c>
      <c r="AM13" s="28">
        <v>0</v>
      </c>
      <c r="AN13" s="28">
        <v>0</v>
      </c>
      <c r="AO13" s="28">
        <v>0</v>
      </c>
      <c r="AP13" s="28">
        <v>0</v>
      </c>
      <c r="AQ13" s="28">
        <v>0</v>
      </c>
      <c r="AR13" s="28">
        <v>0</v>
      </c>
      <c r="AS13" s="28">
        <v>0</v>
      </c>
      <c r="AT13" s="28">
        <v>0</v>
      </c>
      <c r="AU13" s="28">
        <v>0</v>
      </c>
      <c r="AV13" s="28">
        <v>0</v>
      </c>
      <c r="AW13" s="28">
        <v>0</v>
      </c>
      <c r="AX13" s="28">
        <v>0</v>
      </c>
      <c r="AY13" s="28">
        <v>0</v>
      </c>
      <c r="AZ13" s="28">
        <v>0</v>
      </c>
      <c r="BA13" s="28">
        <v>0</v>
      </c>
      <c r="BB13" s="28">
        <v>0</v>
      </c>
      <c r="BC13" s="28">
        <v>0</v>
      </c>
      <c r="BD13" s="28">
        <v>2.4E-2</v>
      </c>
      <c r="BE13" s="28">
        <v>0</v>
      </c>
      <c r="BF13" s="28">
        <v>0</v>
      </c>
      <c r="BG13" s="28">
        <v>0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0</v>
      </c>
      <c r="BN13" s="28">
        <v>0</v>
      </c>
      <c r="BO13" s="28">
        <v>0</v>
      </c>
      <c r="BP13" s="28">
        <v>0</v>
      </c>
      <c r="BQ13" s="28">
        <v>0</v>
      </c>
      <c r="BR13" s="28">
        <v>0</v>
      </c>
      <c r="BS13" s="28">
        <v>0</v>
      </c>
      <c r="BT13" s="28">
        <v>0</v>
      </c>
      <c r="BU13" s="28">
        <v>0</v>
      </c>
      <c r="BV13" s="28">
        <v>0</v>
      </c>
      <c r="BW13" s="28">
        <v>0</v>
      </c>
      <c r="BX13" s="28">
        <v>0</v>
      </c>
      <c r="BY13" s="28">
        <v>0</v>
      </c>
      <c r="BZ13" s="28">
        <v>0</v>
      </c>
      <c r="CA13" s="28">
        <v>0</v>
      </c>
      <c r="CB13" s="28">
        <v>0</v>
      </c>
      <c r="CC13" s="28">
        <v>0</v>
      </c>
      <c r="CD13" s="28">
        <v>0</v>
      </c>
      <c r="CE13" s="28">
        <v>0</v>
      </c>
      <c r="CF13" s="28">
        <v>0</v>
      </c>
      <c r="CG13" s="28">
        <v>0</v>
      </c>
      <c r="CH13" s="28">
        <v>0</v>
      </c>
      <c r="CI13" s="28">
        <v>0</v>
      </c>
      <c r="CJ13" s="28">
        <v>0</v>
      </c>
      <c r="CK13" s="28">
        <v>0</v>
      </c>
      <c r="CL13" s="28">
        <v>0</v>
      </c>
      <c r="CM13" s="28">
        <v>0</v>
      </c>
      <c r="CN13" s="28">
        <v>0</v>
      </c>
      <c r="CO13" s="28">
        <v>0</v>
      </c>
      <c r="CP13" s="28">
        <v>0</v>
      </c>
      <c r="CQ13" s="28">
        <v>0</v>
      </c>
      <c r="CR13" s="28">
        <v>0</v>
      </c>
      <c r="CS13" s="28">
        <v>0</v>
      </c>
      <c r="CT13" s="28">
        <v>0</v>
      </c>
      <c r="CU13" s="28">
        <v>0</v>
      </c>
      <c r="CV13" s="28">
        <v>0</v>
      </c>
      <c r="CW13" s="28">
        <v>0</v>
      </c>
      <c r="CX13" s="28">
        <v>0</v>
      </c>
      <c r="CY13" s="28">
        <v>0</v>
      </c>
      <c r="CZ13" s="28">
        <v>0</v>
      </c>
      <c r="DA13" s="28">
        <v>0</v>
      </c>
      <c r="DB13" s="28">
        <v>0</v>
      </c>
      <c r="DC13" s="28">
        <v>0</v>
      </c>
      <c r="DD13" s="28">
        <v>0</v>
      </c>
      <c r="DE13" s="28">
        <v>0</v>
      </c>
      <c r="DF13" s="28">
        <v>0</v>
      </c>
      <c r="DG13" s="28">
        <v>0</v>
      </c>
      <c r="DH13" s="28">
        <v>0</v>
      </c>
      <c r="DI13" s="28">
        <v>0</v>
      </c>
      <c r="DJ13" s="28">
        <v>0</v>
      </c>
      <c r="DK13" s="28">
        <v>0</v>
      </c>
      <c r="DL13" s="28">
        <v>0</v>
      </c>
      <c r="DM13" s="28">
        <v>0</v>
      </c>
      <c r="DN13" s="28">
        <v>0</v>
      </c>
      <c r="DO13" s="28">
        <v>0</v>
      </c>
      <c r="DP13" s="28">
        <v>0</v>
      </c>
      <c r="DQ13" s="28">
        <v>0</v>
      </c>
      <c r="DR13" s="28">
        <v>0</v>
      </c>
      <c r="DS13" s="28">
        <v>0</v>
      </c>
      <c r="DT13" s="28">
        <v>0</v>
      </c>
      <c r="DU13" s="28">
        <v>0</v>
      </c>
      <c r="DV13" s="28">
        <v>0</v>
      </c>
      <c r="DW13" s="28">
        <v>9.7580645161290318E-4</v>
      </c>
      <c r="DX13" s="34">
        <v>0.121</v>
      </c>
    </row>
    <row r="14" spans="1:128" x14ac:dyDescent="0.25">
      <c r="A14" s="24">
        <v>13</v>
      </c>
      <c r="B14" s="26">
        <v>6</v>
      </c>
      <c r="C14" s="28">
        <v>0</v>
      </c>
      <c r="D14" s="28">
        <v>0</v>
      </c>
      <c r="E14" s="28">
        <v>0</v>
      </c>
      <c r="F14" s="28">
        <v>0</v>
      </c>
      <c r="G14" s="28">
        <v>0</v>
      </c>
      <c r="H14" s="28">
        <v>0</v>
      </c>
      <c r="I14" s="28">
        <v>0</v>
      </c>
      <c r="J14" s="28">
        <v>0</v>
      </c>
      <c r="K14" s="28">
        <v>0</v>
      </c>
      <c r="L14" s="28">
        <v>0</v>
      </c>
      <c r="M14" s="28">
        <v>0</v>
      </c>
      <c r="N14" s="28">
        <v>0</v>
      </c>
      <c r="O14" s="28">
        <v>0</v>
      </c>
      <c r="P14" s="28">
        <v>0</v>
      </c>
      <c r="Q14" s="28">
        <v>0</v>
      </c>
      <c r="R14" s="28">
        <v>0.16300000000000001</v>
      </c>
      <c r="S14" s="28">
        <v>0</v>
      </c>
      <c r="T14" s="28">
        <v>0</v>
      </c>
      <c r="U14" s="28">
        <v>0</v>
      </c>
      <c r="V14" s="28">
        <v>0</v>
      </c>
      <c r="W14" s="28">
        <v>0</v>
      </c>
      <c r="X14" s="28">
        <v>0</v>
      </c>
      <c r="Y14" s="28">
        <v>0</v>
      </c>
      <c r="Z14" s="28">
        <v>0</v>
      </c>
      <c r="AA14" s="28">
        <v>0</v>
      </c>
      <c r="AB14" s="28">
        <v>0</v>
      </c>
      <c r="AC14" s="28">
        <v>0</v>
      </c>
      <c r="AD14" s="28">
        <v>0</v>
      </c>
      <c r="AE14" s="28">
        <v>0</v>
      </c>
      <c r="AF14" s="28">
        <v>0</v>
      </c>
      <c r="AG14" s="28">
        <v>0</v>
      </c>
      <c r="AH14" s="28">
        <v>0</v>
      </c>
      <c r="AI14" s="28">
        <v>0</v>
      </c>
      <c r="AJ14" s="28">
        <v>0</v>
      </c>
      <c r="AK14" s="28">
        <v>0</v>
      </c>
      <c r="AL14" s="28">
        <v>0</v>
      </c>
      <c r="AM14" s="28">
        <v>0</v>
      </c>
      <c r="AN14" s="28">
        <v>0</v>
      </c>
      <c r="AO14" s="28">
        <v>0</v>
      </c>
      <c r="AP14" s="28">
        <v>0</v>
      </c>
      <c r="AQ14" s="28">
        <v>0</v>
      </c>
      <c r="AR14" s="28">
        <v>0</v>
      </c>
      <c r="AS14" s="28">
        <v>0</v>
      </c>
      <c r="AT14" s="28">
        <v>0</v>
      </c>
      <c r="AU14" s="28">
        <v>0</v>
      </c>
      <c r="AV14" s="28">
        <v>0</v>
      </c>
      <c r="AW14" s="28">
        <v>0</v>
      </c>
      <c r="AX14" s="28">
        <v>0</v>
      </c>
      <c r="AY14" s="28">
        <v>0</v>
      </c>
      <c r="AZ14" s="28">
        <v>0</v>
      </c>
      <c r="BA14" s="28">
        <v>0</v>
      </c>
      <c r="BB14" s="28">
        <v>0</v>
      </c>
      <c r="BC14" s="28">
        <v>0</v>
      </c>
      <c r="BD14" s="28">
        <v>0</v>
      </c>
      <c r="BE14" s="28">
        <v>0</v>
      </c>
      <c r="BF14" s="28">
        <v>0</v>
      </c>
      <c r="BG14" s="28">
        <v>0</v>
      </c>
      <c r="BH14" s="28">
        <v>0</v>
      </c>
      <c r="BI14" s="28">
        <v>0</v>
      </c>
      <c r="BJ14" s="28">
        <v>0</v>
      </c>
      <c r="BK14" s="28">
        <v>0</v>
      </c>
      <c r="BL14" s="28">
        <v>0</v>
      </c>
      <c r="BM14" s="28">
        <v>0</v>
      </c>
      <c r="BN14" s="28">
        <v>0</v>
      </c>
      <c r="BO14" s="28">
        <v>0</v>
      </c>
      <c r="BP14" s="28">
        <v>0</v>
      </c>
      <c r="BQ14" s="28">
        <v>0</v>
      </c>
      <c r="BR14" s="28">
        <v>0</v>
      </c>
      <c r="BS14" s="28">
        <v>0</v>
      </c>
      <c r="BT14" s="28">
        <v>0</v>
      </c>
      <c r="BU14" s="28">
        <v>0</v>
      </c>
      <c r="BV14" s="28">
        <v>0</v>
      </c>
      <c r="BW14" s="28">
        <v>0</v>
      </c>
      <c r="BX14" s="28">
        <v>0</v>
      </c>
      <c r="BY14" s="28">
        <v>0</v>
      </c>
      <c r="BZ14" s="28">
        <v>0</v>
      </c>
      <c r="CA14" s="28">
        <v>0</v>
      </c>
      <c r="CB14" s="28">
        <v>0</v>
      </c>
      <c r="CC14" s="28">
        <v>0</v>
      </c>
      <c r="CD14" s="28">
        <v>0</v>
      </c>
      <c r="CE14" s="28">
        <v>0</v>
      </c>
      <c r="CF14" s="28">
        <v>0</v>
      </c>
      <c r="CG14" s="28">
        <v>0</v>
      </c>
      <c r="CH14" s="28">
        <v>0</v>
      </c>
      <c r="CI14" s="28">
        <v>0</v>
      </c>
      <c r="CJ14" s="28">
        <v>0</v>
      </c>
      <c r="CK14" s="28">
        <v>0</v>
      </c>
      <c r="CL14" s="28">
        <v>0</v>
      </c>
      <c r="CM14" s="28">
        <v>0</v>
      </c>
      <c r="CN14" s="28">
        <v>0</v>
      </c>
      <c r="CO14" s="28">
        <v>0</v>
      </c>
      <c r="CP14" s="28">
        <v>0</v>
      </c>
      <c r="CQ14" s="28">
        <v>0</v>
      </c>
      <c r="CR14" s="28">
        <v>0</v>
      </c>
      <c r="CS14" s="28">
        <v>0</v>
      </c>
      <c r="CT14" s="28">
        <v>0</v>
      </c>
      <c r="CU14" s="28">
        <v>0</v>
      </c>
      <c r="CV14" s="28">
        <v>0</v>
      </c>
      <c r="CW14" s="28">
        <v>0</v>
      </c>
      <c r="CX14" s="28">
        <v>0</v>
      </c>
      <c r="CY14" s="28">
        <v>0</v>
      </c>
      <c r="CZ14" s="28">
        <v>0</v>
      </c>
      <c r="DA14" s="28">
        <v>0</v>
      </c>
      <c r="DB14" s="28">
        <v>0</v>
      </c>
      <c r="DC14" s="28">
        <v>0</v>
      </c>
      <c r="DD14" s="28">
        <v>0</v>
      </c>
      <c r="DE14" s="28">
        <v>0</v>
      </c>
      <c r="DF14" s="28">
        <v>0</v>
      </c>
      <c r="DG14" s="28">
        <v>0</v>
      </c>
      <c r="DH14" s="28">
        <v>0</v>
      </c>
      <c r="DI14" s="28">
        <v>0</v>
      </c>
      <c r="DJ14" s="28">
        <v>0</v>
      </c>
      <c r="DK14" s="28">
        <v>0</v>
      </c>
      <c r="DL14" s="28">
        <v>0</v>
      </c>
      <c r="DM14" s="28">
        <v>0</v>
      </c>
      <c r="DN14" s="28">
        <v>0</v>
      </c>
      <c r="DO14" s="28">
        <v>0</v>
      </c>
      <c r="DP14" s="28">
        <v>0</v>
      </c>
      <c r="DQ14" s="28">
        <v>0</v>
      </c>
      <c r="DR14" s="28">
        <v>0</v>
      </c>
      <c r="DS14" s="28">
        <v>0</v>
      </c>
      <c r="DT14" s="28">
        <v>0</v>
      </c>
      <c r="DU14" s="28">
        <v>0</v>
      </c>
      <c r="DV14" s="28">
        <v>0</v>
      </c>
      <c r="DW14" s="28">
        <v>1.3145161290322579E-3</v>
      </c>
      <c r="DX14" s="34">
        <v>0.16300000000000001</v>
      </c>
    </row>
    <row r="15" spans="1:128" x14ac:dyDescent="0.25">
      <c r="A15" s="24">
        <v>14</v>
      </c>
      <c r="B15" s="26">
        <v>6.5</v>
      </c>
      <c r="C15" s="28">
        <v>0</v>
      </c>
      <c r="D15" s="28">
        <v>0</v>
      </c>
      <c r="E15" s="28">
        <v>0</v>
      </c>
      <c r="F15" s="28">
        <v>0</v>
      </c>
      <c r="G15" s="28">
        <v>0</v>
      </c>
      <c r="H15" s="28">
        <v>0</v>
      </c>
      <c r="I15" s="28">
        <v>0</v>
      </c>
      <c r="J15" s="28">
        <v>0</v>
      </c>
      <c r="K15" s="28">
        <v>0</v>
      </c>
      <c r="L15" s="28">
        <v>0</v>
      </c>
      <c r="M15" s="28">
        <v>0</v>
      </c>
      <c r="N15" s="28">
        <v>0</v>
      </c>
      <c r="O15" s="28">
        <v>0</v>
      </c>
      <c r="P15" s="28">
        <v>0</v>
      </c>
      <c r="Q15" s="28">
        <v>0</v>
      </c>
      <c r="R15" s="28">
        <v>0</v>
      </c>
      <c r="S15" s="28">
        <v>0</v>
      </c>
      <c r="T15" s="28">
        <v>0</v>
      </c>
      <c r="U15" s="28">
        <v>0</v>
      </c>
      <c r="V15" s="28">
        <v>0</v>
      </c>
      <c r="W15" s="28">
        <v>0</v>
      </c>
      <c r="X15" s="28">
        <v>0</v>
      </c>
      <c r="Y15" s="28">
        <v>0</v>
      </c>
      <c r="Z15" s="28">
        <v>0</v>
      </c>
      <c r="AA15" s="28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8">
        <v>0</v>
      </c>
      <c r="AH15" s="28">
        <v>0</v>
      </c>
      <c r="AI15" s="28">
        <v>0</v>
      </c>
      <c r="AJ15" s="28">
        <v>0</v>
      </c>
      <c r="AK15" s="28">
        <v>0</v>
      </c>
      <c r="AL15" s="28">
        <v>0</v>
      </c>
      <c r="AM15" s="28">
        <v>0</v>
      </c>
      <c r="AN15" s="28">
        <v>0</v>
      </c>
      <c r="AO15" s="28">
        <v>0</v>
      </c>
      <c r="AP15" s="28">
        <v>0</v>
      </c>
      <c r="AQ15" s="28">
        <v>0</v>
      </c>
      <c r="AR15" s="28">
        <v>0</v>
      </c>
      <c r="AS15" s="28">
        <v>0</v>
      </c>
      <c r="AT15" s="28">
        <v>0</v>
      </c>
      <c r="AU15" s="28">
        <v>0</v>
      </c>
      <c r="AV15" s="28">
        <v>0</v>
      </c>
      <c r="AW15" s="28">
        <v>0</v>
      </c>
      <c r="AX15" s="28">
        <v>0</v>
      </c>
      <c r="AY15" s="28">
        <v>0</v>
      </c>
      <c r="AZ15" s="28">
        <v>0</v>
      </c>
      <c r="BA15" s="28">
        <v>0</v>
      </c>
      <c r="BB15" s="28">
        <v>0</v>
      </c>
      <c r="BC15" s="28">
        <v>0</v>
      </c>
      <c r="BD15" s="28">
        <v>0</v>
      </c>
      <c r="BE15" s="28">
        <v>0</v>
      </c>
      <c r="BF15" s="28">
        <v>0</v>
      </c>
      <c r="BG15" s="28">
        <v>0</v>
      </c>
      <c r="BH15" s="28">
        <v>0</v>
      </c>
      <c r="BI15" s="28">
        <v>0</v>
      </c>
      <c r="BJ15" s="28">
        <v>0</v>
      </c>
      <c r="BK15" s="28">
        <v>0</v>
      </c>
      <c r="BL15" s="28">
        <v>0</v>
      </c>
      <c r="BM15" s="28">
        <v>0</v>
      </c>
      <c r="BN15" s="28">
        <v>0</v>
      </c>
      <c r="BO15" s="28">
        <v>0</v>
      </c>
      <c r="BP15" s="28">
        <v>0</v>
      </c>
      <c r="BQ15" s="28">
        <v>0</v>
      </c>
      <c r="BR15" s="28">
        <v>0</v>
      </c>
      <c r="BS15" s="28">
        <v>0</v>
      </c>
      <c r="BT15" s="28">
        <v>0</v>
      </c>
      <c r="BU15" s="28">
        <v>0</v>
      </c>
      <c r="BV15" s="28">
        <v>0</v>
      </c>
      <c r="BW15" s="28">
        <v>0</v>
      </c>
      <c r="BX15" s="28">
        <v>0</v>
      </c>
      <c r="BY15" s="28">
        <v>0</v>
      </c>
      <c r="BZ15" s="28">
        <v>0</v>
      </c>
      <c r="CA15" s="28">
        <v>0</v>
      </c>
      <c r="CB15" s="28">
        <v>0</v>
      </c>
      <c r="CC15" s="28">
        <v>0</v>
      </c>
      <c r="CD15" s="28">
        <v>0</v>
      </c>
      <c r="CE15" s="28">
        <v>0</v>
      </c>
      <c r="CF15" s="28">
        <v>0</v>
      </c>
      <c r="CG15" s="28">
        <v>0</v>
      </c>
      <c r="CH15" s="28">
        <v>0</v>
      </c>
      <c r="CI15" s="28">
        <v>0</v>
      </c>
      <c r="CJ15" s="28">
        <v>0</v>
      </c>
      <c r="CK15" s="28">
        <v>0</v>
      </c>
      <c r="CL15" s="28">
        <v>0</v>
      </c>
      <c r="CM15" s="28">
        <v>0</v>
      </c>
      <c r="CN15" s="28">
        <v>0</v>
      </c>
      <c r="CO15" s="28">
        <v>0</v>
      </c>
      <c r="CP15" s="28">
        <v>0</v>
      </c>
      <c r="CQ15" s="28">
        <v>0</v>
      </c>
      <c r="CR15" s="28">
        <v>0</v>
      </c>
      <c r="CS15" s="28">
        <v>0</v>
      </c>
      <c r="CT15" s="28">
        <v>0</v>
      </c>
      <c r="CU15" s="28">
        <v>0</v>
      </c>
      <c r="CV15" s="28">
        <v>0</v>
      </c>
      <c r="CW15" s="28">
        <v>0</v>
      </c>
      <c r="CX15" s="28">
        <v>0</v>
      </c>
      <c r="CY15" s="28">
        <v>0</v>
      </c>
      <c r="CZ15" s="28">
        <v>0</v>
      </c>
      <c r="DA15" s="28">
        <v>0</v>
      </c>
      <c r="DB15" s="28">
        <v>0</v>
      </c>
      <c r="DC15" s="28">
        <v>0</v>
      </c>
      <c r="DD15" s="28">
        <v>0</v>
      </c>
      <c r="DE15" s="28">
        <v>0</v>
      </c>
      <c r="DF15" s="28">
        <v>0</v>
      </c>
      <c r="DG15" s="28">
        <v>0</v>
      </c>
      <c r="DH15" s="28">
        <v>0</v>
      </c>
      <c r="DI15" s="28">
        <v>0</v>
      </c>
      <c r="DJ15" s="28">
        <v>0</v>
      </c>
      <c r="DK15" s="28">
        <v>0</v>
      </c>
      <c r="DL15" s="28">
        <v>0</v>
      </c>
      <c r="DM15" s="28">
        <v>0</v>
      </c>
      <c r="DN15" s="28">
        <v>0</v>
      </c>
      <c r="DO15" s="28">
        <v>0</v>
      </c>
      <c r="DP15" s="28">
        <v>0</v>
      </c>
      <c r="DQ15" s="28">
        <v>0</v>
      </c>
      <c r="DR15" s="28">
        <v>0</v>
      </c>
      <c r="DS15" s="28">
        <v>0</v>
      </c>
      <c r="DT15" s="28">
        <v>0.751</v>
      </c>
      <c r="DU15" s="28">
        <v>0</v>
      </c>
      <c r="DV15" s="28">
        <v>0</v>
      </c>
      <c r="DW15" s="28">
        <v>6.0564516129032256E-3</v>
      </c>
      <c r="DX15" s="34">
        <v>0.751</v>
      </c>
    </row>
    <row r="16" spans="1:128" x14ac:dyDescent="0.25">
      <c r="A16" s="24">
        <v>15</v>
      </c>
      <c r="B16" s="26">
        <v>7</v>
      </c>
      <c r="C16" s="28">
        <v>0</v>
      </c>
      <c r="D16" s="28">
        <v>0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0</v>
      </c>
      <c r="L16" s="28">
        <v>0</v>
      </c>
      <c r="M16" s="28">
        <v>0</v>
      </c>
      <c r="N16" s="28">
        <v>0</v>
      </c>
      <c r="O16" s="28">
        <v>0</v>
      </c>
      <c r="P16" s="28">
        <v>0</v>
      </c>
      <c r="Q16" s="28">
        <v>0</v>
      </c>
      <c r="R16" s="28">
        <v>0</v>
      </c>
      <c r="S16" s="28">
        <v>0</v>
      </c>
      <c r="T16" s="28">
        <v>0</v>
      </c>
      <c r="U16" s="28">
        <v>0</v>
      </c>
      <c r="V16" s="28">
        <v>0</v>
      </c>
      <c r="W16" s="28">
        <v>0</v>
      </c>
      <c r="X16" s="28">
        <v>0</v>
      </c>
      <c r="Y16" s="28">
        <v>0</v>
      </c>
      <c r="Z16" s="28">
        <v>0</v>
      </c>
      <c r="AA16" s="28">
        <v>0</v>
      </c>
      <c r="AB16" s="28">
        <v>0</v>
      </c>
      <c r="AC16" s="28">
        <v>0</v>
      </c>
      <c r="AD16" s="28">
        <v>0</v>
      </c>
      <c r="AE16" s="28">
        <v>0</v>
      </c>
      <c r="AF16" s="28">
        <v>0</v>
      </c>
      <c r="AG16" s="28">
        <v>0</v>
      </c>
      <c r="AH16" s="28">
        <v>0</v>
      </c>
      <c r="AI16" s="28">
        <v>0</v>
      </c>
      <c r="AJ16" s="28">
        <v>0</v>
      </c>
      <c r="AK16" s="28">
        <v>0</v>
      </c>
      <c r="AL16" s="28">
        <v>0</v>
      </c>
      <c r="AM16" s="28">
        <v>0</v>
      </c>
      <c r="AN16" s="28">
        <v>0</v>
      </c>
      <c r="AO16" s="28">
        <v>0</v>
      </c>
      <c r="AP16" s="28">
        <v>0</v>
      </c>
      <c r="AQ16" s="28">
        <v>0</v>
      </c>
      <c r="AR16" s="28">
        <v>0</v>
      </c>
      <c r="AS16" s="28">
        <v>0</v>
      </c>
      <c r="AT16" s="28">
        <v>0</v>
      </c>
      <c r="AU16" s="28">
        <v>0</v>
      </c>
      <c r="AV16" s="28">
        <v>0</v>
      </c>
      <c r="AW16" s="28">
        <v>0</v>
      </c>
      <c r="AX16" s="28">
        <v>0</v>
      </c>
      <c r="AY16" s="28">
        <v>0</v>
      </c>
      <c r="AZ16" s="28">
        <v>0</v>
      </c>
      <c r="BA16" s="28">
        <v>0</v>
      </c>
      <c r="BB16" s="28">
        <v>0</v>
      </c>
      <c r="BC16" s="28">
        <v>0</v>
      </c>
      <c r="BD16" s="28">
        <v>0</v>
      </c>
      <c r="BE16" s="28">
        <v>0</v>
      </c>
      <c r="BF16" s="28">
        <v>0</v>
      </c>
      <c r="BG16" s="28">
        <v>0.45100000000000001</v>
      </c>
      <c r="BH16" s="28">
        <v>0</v>
      </c>
      <c r="BI16" s="28">
        <v>0</v>
      </c>
      <c r="BJ16" s="28">
        <v>0</v>
      </c>
      <c r="BK16" s="28">
        <v>0</v>
      </c>
      <c r="BL16" s="28">
        <v>0</v>
      </c>
      <c r="BM16" s="28">
        <v>0</v>
      </c>
      <c r="BN16" s="28">
        <v>0</v>
      </c>
      <c r="BO16" s="28">
        <v>0</v>
      </c>
      <c r="BP16" s="28">
        <v>0</v>
      </c>
      <c r="BQ16" s="28">
        <v>0</v>
      </c>
      <c r="BR16" s="28">
        <v>0</v>
      </c>
      <c r="BS16" s="28">
        <v>0</v>
      </c>
      <c r="BT16" s="28">
        <v>0</v>
      </c>
      <c r="BU16" s="28">
        <v>0</v>
      </c>
      <c r="BV16" s="28">
        <v>0</v>
      </c>
      <c r="BW16" s="28">
        <v>0</v>
      </c>
      <c r="BX16" s="28">
        <v>0</v>
      </c>
      <c r="BY16" s="28">
        <v>0</v>
      </c>
      <c r="BZ16" s="28">
        <v>0</v>
      </c>
      <c r="CA16" s="28">
        <v>0</v>
      </c>
      <c r="CB16" s="28">
        <v>0</v>
      </c>
      <c r="CC16" s="28">
        <v>0</v>
      </c>
      <c r="CD16" s="28">
        <v>0</v>
      </c>
      <c r="CE16" s="28">
        <v>0</v>
      </c>
      <c r="CF16" s="28">
        <v>0</v>
      </c>
      <c r="CG16" s="28">
        <v>0</v>
      </c>
      <c r="CH16" s="28">
        <v>0</v>
      </c>
      <c r="CI16" s="28">
        <v>0</v>
      </c>
      <c r="CJ16" s="28">
        <v>0</v>
      </c>
      <c r="CK16" s="28">
        <v>0</v>
      </c>
      <c r="CL16" s="28">
        <v>0</v>
      </c>
      <c r="CM16" s="28">
        <v>0</v>
      </c>
      <c r="CN16" s="28">
        <v>0</v>
      </c>
      <c r="CO16" s="28">
        <v>0</v>
      </c>
      <c r="CP16" s="28">
        <v>0</v>
      </c>
      <c r="CQ16" s="28">
        <v>0</v>
      </c>
      <c r="CR16" s="28">
        <v>0</v>
      </c>
      <c r="CS16" s="28">
        <v>0</v>
      </c>
      <c r="CT16" s="28">
        <v>0</v>
      </c>
      <c r="CU16" s="28">
        <v>0</v>
      </c>
      <c r="CV16" s="28">
        <v>0</v>
      </c>
      <c r="CW16" s="28">
        <v>0</v>
      </c>
      <c r="CX16" s="28">
        <v>0</v>
      </c>
      <c r="CY16" s="28">
        <v>0</v>
      </c>
      <c r="CZ16" s="28">
        <v>0</v>
      </c>
      <c r="DA16" s="28">
        <v>0</v>
      </c>
      <c r="DB16" s="28">
        <v>0</v>
      </c>
      <c r="DC16" s="28">
        <v>0</v>
      </c>
      <c r="DD16" s="28">
        <v>0</v>
      </c>
      <c r="DE16" s="28">
        <v>0</v>
      </c>
      <c r="DF16" s="28">
        <v>0</v>
      </c>
      <c r="DG16" s="28">
        <v>0</v>
      </c>
      <c r="DH16" s="28">
        <v>0</v>
      </c>
      <c r="DI16" s="28">
        <v>0</v>
      </c>
      <c r="DJ16" s="28">
        <v>0</v>
      </c>
      <c r="DK16" s="28">
        <v>0</v>
      </c>
      <c r="DL16" s="28">
        <v>0</v>
      </c>
      <c r="DM16" s="28">
        <v>0</v>
      </c>
      <c r="DN16" s="28">
        <v>0</v>
      </c>
      <c r="DO16" s="28">
        <v>0</v>
      </c>
      <c r="DP16" s="28">
        <v>0</v>
      </c>
      <c r="DQ16" s="28">
        <v>0</v>
      </c>
      <c r="DR16" s="28">
        <v>0</v>
      </c>
      <c r="DS16" s="28">
        <v>0</v>
      </c>
      <c r="DT16" s="28">
        <v>0</v>
      </c>
      <c r="DU16" s="28">
        <v>0</v>
      </c>
      <c r="DV16" s="28">
        <v>0</v>
      </c>
      <c r="DW16" s="28">
        <v>3.6370967741935481E-3</v>
      </c>
      <c r="DX16" s="34">
        <v>0.45100000000000001</v>
      </c>
    </row>
    <row r="17" spans="1:128" x14ac:dyDescent="0.25">
      <c r="A17" s="24">
        <v>16</v>
      </c>
      <c r="B17" s="26">
        <v>7.5</v>
      </c>
      <c r="C17" s="28">
        <v>0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8">
        <v>0</v>
      </c>
      <c r="P17" s="28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8">
        <v>0</v>
      </c>
      <c r="Z17" s="28">
        <v>0</v>
      </c>
      <c r="AA17" s="28">
        <v>0</v>
      </c>
      <c r="AB17" s="28">
        <v>0</v>
      </c>
      <c r="AC17" s="28">
        <v>0</v>
      </c>
      <c r="AD17" s="28">
        <v>0</v>
      </c>
      <c r="AE17" s="28">
        <v>0</v>
      </c>
      <c r="AF17" s="28">
        <v>0</v>
      </c>
      <c r="AG17" s="28">
        <v>0</v>
      </c>
      <c r="AH17" s="28">
        <v>0</v>
      </c>
      <c r="AI17" s="28">
        <v>0</v>
      </c>
      <c r="AJ17" s="28">
        <v>0</v>
      </c>
      <c r="AK17" s="28">
        <v>0</v>
      </c>
      <c r="AL17" s="28">
        <v>0</v>
      </c>
      <c r="AM17" s="28">
        <v>0</v>
      </c>
      <c r="AN17" s="28">
        <v>0</v>
      </c>
      <c r="AO17" s="28">
        <v>0</v>
      </c>
      <c r="AP17" s="28">
        <v>0</v>
      </c>
      <c r="AQ17" s="28">
        <v>0</v>
      </c>
      <c r="AR17" s="28">
        <v>0</v>
      </c>
      <c r="AS17" s="28">
        <v>0</v>
      </c>
      <c r="AT17" s="28">
        <v>0</v>
      </c>
      <c r="AU17" s="28">
        <v>0</v>
      </c>
      <c r="AV17" s="28">
        <v>0</v>
      </c>
      <c r="AW17" s="28">
        <v>0</v>
      </c>
      <c r="AX17" s="28">
        <v>0</v>
      </c>
      <c r="AY17" s="28">
        <v>0</v>
      </c>
      <c r="AZ17" s="28">
        <v>0</v>
      </c>
      <c r="BA17" s="28">
        <v>0</v>
      </c>
      <c r="BB17" s="28">
        <v>0</v>
      </c>
      <c r="BC17" s="28">
        <v>0</v>
      </c>
      <c r="BD17" s="28">
        <v>0</v>
      </c>
      <c r="BE17" s="28">
        <v>0</v>
      </c>
      <c r="BF17" s="28">
        <v>0</v>
      </c>
      <c r="BG17" s="28">
        <v>0</v>
      </c>
      <c r="BH17" s="28">
        <v>0</v>
      </c>
      <c r="BI17" s="28">
        <v>0</v>
      </c>
      <c r="BJ17" s="28">
        <v>0</v>
      </c>
      <c r="BK17" s="28">
        <v>0</v>
      </c>
      <c r="BL17" s="28">
        <v>0</v>
      </c>
      <c r="BM17" s="28">
        <v>0</v>
      </c>
      <c r="BN17" s="28">
        <v>0</v>
      </c>
      <c r="BO17" s="28">
        <v>0</v>
      </c>
      <c r="BP17" s="28">
        <v>0</v>
      </c>
      <c r="BQ17" s="28">
        <v>0</v>
      </c>
      <c r="BR17" s="28">
        <v>0</v>
      </c>
      <c r="BS17" s="28">
        <v>0</v>
      </c>
      <c r="BT17" s="28">
        <v>0</v>
      </c>
      <c r="BU17" s="28">
        <v>0</v>
      </c>
      <c r="BV17" s="28">
        <v>0</v>
      </c>
      <c r="BW17" s="28">
        <v>0</v>
      </c>
      <c r="BX17" s="28">
        <v>0</v>
      </c>
      <c r="BY17" s="28">
        <v>0</v>
      </c>
      <c r="BZ17" s="28">
        <v>0</v>
      </c>
      <c r="CA17" s="28">
        <v>0</v>
      </c>
      <c r="CB17" s="28">
        <v>0</v>
      </c>
      <c r="CC17" s="28">
        <v>0</v>
      </c>
      <c r="CD17" s="28">
        <v>0</v>
      </c>
      <c r="CE17" s="28">
        <v>0</v>
      </c>
      <c r="CF17" s="28">
        <v>0</v>
      </c>
      <c r="CG17" s="28">
        <v>0</v>
      </c>
      <c r="CH17" s="28">
        <v>0</v>
      </c>
      <c r="CI17" s="28">
        <v>0</v>
      </c>
      <c r="CJ17" s="28">
        <v>0</v>
      </c>
      <c r="CK17" s="28">
        <v>0</v>
      </c>
      <c r="CL17" s="28">
        <v>0</v>
      </c>
      <c r="CM17" s="28">
        <v>0</v>
      </c>
      <c r="CN17" s="28">
        <v>0.217</v>
      </c>
      <c r="CO17" s="28">
        <v>0</v>
      </c>
      <c r="CP17" s="28">
        <v>0</v>
      </c>
      <c r="CQ17" s="28">
        <v>0</v>
      </c>
      <c r="CR17" s="28">
        <v>0</v>
      </c>
      <c r="CS17" s="28">
        <v>0</v>
      </c>
      <c r="CT17" s="28">
        <v>0</v>
      </c>
      <c r="CU17" s="28">
        <v>0</v>
      </c>
      <c r="CV17" s="28">
        <v>0</v>
      </c>
      <c r="CW17" s="28">
        <v>0</v>
      </c>
      <c r="CX17" s="28">
        <v>0</v>
      </c>
      <c r="CY17" s="28">
        <v>0</v>
      </c>
      <c r="CZ17" s="28">
        <v>0</v>
      </c>
      <c r="DA17" s="28">
        <v>0</v>
      </c>
      <c r="DB17" s="28">
        <v>0</v>
      </c>
      <c r="DC17" s="28">
        <v>0</v>
      </c>
      <c r="DD17" s="28">
        <v>0</v>
      </c>
      <c r="DE17" s="28">
        <v>0</v>
      </c>
      <c r="DF17" s="28">
        <v>0</v>
      </c>
      <c r="DG17" s="28">
        <v>0</v>
      </c>
      <c r="DH17" s="28">
        <v>0</v>
      </c>
      <c r="DI17" s="28">
        <v>0</v>
      </c>
      <c r="DJ17" s="28">
        <v>0</v>
      </c>
      <c r="DK17" s="28">
        <v>0</v>
      </c>
      <c r="DL17" s="28">
        <v>0</v>
      </c>
      <c r="DM17" s="28">
        <v>0</v>
      </c>
      <c r="DN17" s="28">
        <v>0</v>
      </c>
      <c r="DO17" s="28">
        <v>0</v>
      </c>
      <c r="DP17" s="28">
        <v>0</v>
      </c>
      <c r="DQ17" s="28">
        <v>0</v>
      </c>
      <c r="DR17" s="28">
        <v>0</v>
      </c>
      <c r="DS17" s="28">
        <v>0</v>
      </c>
      <c r="DT17" s="28">
        <v>0</v>
      </c>
      <c r="DU17" s="28">
        <v>0</v>
      </c>
      <c r="DV17" s="28">
        <v>0</v>
      </c>
      <c r="DW17" s="28">
        <v>1.75E-3</v>
      </c>
      <c r="DX17" s="34">
        <v>0.217</v>
      </c>
    </row>
    <row r="18" spans="1:128" x14ac:dyDescent="0.25">
      <c r="A18" s="24">
        <v>17</v>
      </c>
      <c r="B18" s="26">
        <v>8</v>
      </c>
      <c r="C18" s="28">
        <v>0</v>
      </c>
      <c r="D18" s="28">
        <v>0</v>
      </c>
      <c r="E18" s="28">
        <v>0</v>
      </c>
      <c r="F18" s="28">
        <v>0</v>
      </c>
      <c r="G18" s="28">
        <v>0</v>
      </c>
      <c r="H18" s="28">
        <v>0</v>
      </c>
      <c r="I18" s="28">
        <v>0</v>
      </c>
      <c r="J18" s="28">
        <v>0.114</v>
      </c>
      <c r="K18" s="28">
        <v>0</v>
      </c>
      <c r="L18" s="28">
        <v>0</v>
      </c>
      <c r="M18" s="28">
        <v>0</v>
      </c>
      <c r="N18" s="28">
        <v>0</v>
      </c>
      <c r="O18" s="28">
        <v>0</v>
      </c>
      <c r="P18" s="28">
        <v>0</v>
      </c>
      <c r="Q18" s="28">
        <v>0.23</v>
      </c>
      <c r="R18" s="28">
        <v>0.73499999999999999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8">
        <v>0</v>
      </c>
      <c r="Z18" s="28">
        <v>0</v>
      </c>
      <c r="AA18" s="28">
        <v>0</v>
      </c>
      <c r="AB18" s="28">
        <v>0</v>
      </c>
      <c r="AC18" s="28">
        <v>0</v>
      </c>
      <c r="AD18" s="28">
        <v>0</v>
      </c>
      <c r="AE18" s="28">
        <v>0</v>
      </c>
      <c r="AF18" s="28">
        <v>0</v>
      </c>
      <c r="AG18" s="28">
        <v>0</v>
      </c>
      <c r="AH18" s="28">
        <v>0</v>
      </c>
      <c r="AI18" s="28">
        <v>0</v>
      </c>
      <c r="AJ18" s="28">
        <v>0</v>
      </c>
      <c r="AK18" s="28">
        <v>0</v>
      </c>
      <c r="AL18" s="28">
        <v>0</v>
      </c>
      <c r="AM18" s="28">
        <v>0</v>
      </c>
      <c r="AN18" s="28">
        <v>0</v>
      </c>
      <c r="AO18" s="28">
        <v>0</v>
      </c>
      <c r="AP18" s="28">
        <v>0</v>
      </c>
      <c r="AQ18" s="28">
        <v>0</v>
      </c>
      <c r="AR18" s="28">
        <v>0</v>
      </c>
      <c r="AS18" s="28">
        <v>0</v>
      </c>
      <c r="AT18" s="28">
        <v>0</v>
      </c>
      <c r="AU18" s="28">
        <v>0</v>
      </c>
      <c r="AV18" s="28">
        <v>0</v>
      </c>
      <c r="AW18" s="28">
        <v>0</v>
      </c>
      <c r="AX18" s="28">
        <v>0</v>
      </c>
      <c r="AY18" s="28">
        <v>0</v>
      </c>
      <c r="AZ18" s="28">
        <v>0</v>
      </c>
      <c r="BA18" s="28">
        <v>0</v>
      </c>
      <c r="BB18" s="28">
        <v>0</v>
      </c>
      <c r="BC18" s="28">
        <v>0</v>
      </c>
      <c r="BD18" s="28">
        <v>0</v>
      </c>
      <c r="BE18" s="28">
        <v>0</v>
      </c>
      <c r="BF18" s="28">
        <v>0</v>
      </c>
      <c r="BG18" s="28">
        <v>0</v>
      </c>
      <c r="BH18" s="28">
        <v>0</v>
      </c>
      <c r="BI18" s="28">
        <v>0</v>
      </c>
      <c r="BJ18" s="28">
        <v>0</v>
      </c>
      <c r="BK18" s="28">
        <v>0</v>
      </c>
      <c r="BL18" s="28">
        <v>0</v>
      </c>
      <c r="BM18" s="28">
        <v>0</v>
      </c>
      <c r="BN18" s="28">
        <v>0</v>
      </c>
      <c r="BO18" s="28">
        <v>0</v>
      </c>
      <c r="BP18" s="28">
        <v>0</v>
      </c>
      <c r="BQ18" s="28">
        <v>0</v>
      </c>
      <c r="BR18" s="28">
        <v>0</v>
      </c>
      <c r="BS18" s="28">
        <v>0</v>
      </c>
      <c r="BT18" s="28">
        <v>0</v>
      </c>
      <c r="BU18" s="28">
        <v>0</v>
      </c>
      <c r="BV18" s="28">
        <v>0</v>
      </c>
      <c r="BW18" s="28">
        <v>0</v>
      </c>
      <c r="BX18" s="28">
        <v>0</v>
      </c>
      <c r="BY18" s="28">
        <v>0</v>
      </c>
      <c r="BZ18" s="28">
        <v>0</v>
      </c>
      <c r="CA18" s="28">
        <v>0</v>
      </c>
      <c r="CB18" s="28">
        <v>0</v>
      </c>
      <c r="CC18" s="28">
        <v>0</v>
      </c>
      <c r="CD18" s="28">
        <v>0</v>
      </c>
      <c r="CE18" s="28">
        <v>0</v>
      </c>
      <c r="CF18" s="28">
        <v>0</v>
      </c>
      <c r="CG18" s="28">
        <v>0</v>
      </c>
      <c r="CH18" s="28">
        <v>0</v>
      </c>
      <c r="CI18" s="28">
        <v>0</v>
      </c>
      <c r="CJ18" s="28">
        <v>0</v>
      </c>
      <c r="CK18" s="28">
        <v>0</v>
      </c>
      <c r="CL18" s="28">
        <v>0</v>
      </c>
      <c r="CM18" s="28">
        <v>0</v>
      </c>
      <c r="CN18" s="28">
        <v>0</v>
      </c>
      <c r="CO18" s="28">
        <v>0</v>
      </c>
      <c r="CP18" s="28">
        <v>0</v>
      </c>
      <c r="CQ18" s="28">
        <v>0</v>
      </c>
      <c r="CR18" s="28">
        <v>0</v>
      </c>
      <c r="CS18" s="28">
        <v>0</v>
      </c>
      <c r="CT18" s="28">
        <v>0</v>
      </c>
      <c r="CU18" s="28">
        <v>0</v>
      </c>
      <c r="CV18" s="28">
        <v>0</v>
      </c>
      <c r="CW18" s="28">
        <v>0</v>
      </c>
      <c r="CX18" s="28">
        <v>0</v>
      </c>
      <c r="CY18" s="28">
        <v>0</v>
      </c>
      <c r="CZ18" s="28">
        <v>0</v>
      </c>
      <c r="DA18" s="28">
        <v>0</v>
      </c>
      <c r="DB18" s="28">
        <v>0</v>
      </c>
      <c r="DC18" s="28">
        <v>0</v>
      </c>
      <c r="DD18" s="28">
        <v>0</v>
      </c>
      <c r="DE18" s="28">
        <v>0</v>
      </c>
      <c r="DF18" s="28">
        <v>0</v>
      </c>
      <c r="DG18" s="28">
        <v>0</v>
      </c>
      <c r="DH18" s="28">
        <v>0</v>
      </c>
      <c r="DI18" s="28">
        <v>0</v>
      </c>
      <c r="DJ18" s="28">
        <v>0</v>
      </c>
      <c r="DK18" s="28">
        <v>0</v>
      </c>
      <c r="DL18" s="28">
        <v>0</v>
      </c>
      <c r="DM18" s="28">
        <v>0</v>
      </c>
      <c r="DN18" s="28">
        <v>0</v>
      </c>
      <c r="DO18" s="28">
        <v>0</v>
      </c>
      <c r="DP18" s="28">
        <v>0</v>
      </c>
      <c r="DQ18" s="28">
        <v>0</v>
      </c>
      <c r="DR18" s="28">
        <v>0</v>
      </c>
      <c r="DS18" s="28">
        <v>0</v>
      </c>
      <c r="DT18" s="28">
        <v>0</v>
      </c>
      <c r="DU18" s="28">
        <v>0</v>
      </c>
      <c r="DV18" s="28">
        <v>0</v>
      </c>
      <c r="DW18" s="28">
        <v>8.7016129032258058E-3</v>
      </c>
      <c r="DX18" s="34">
        <v>1.079</v>
      </c>
    </row>
    <row r="19" spans="1:128" x14ac:dyDescent="0.25">
      <c r="A19" s="24">
        <v>18</v>
      </c>
      <c r="B19" s="26">
        <v>8.5</v>
      </c>
      <c r="C19" s="28">
        <v>0</v>
      </c>
      <c r="D19" s="28">
        <v>0</v>
      </c>
      <c r="E19" s="28">
        <v>0</v>
      </c>
      <c r="F19" s="28">
        <v>0</v>
      </c>
      <c r="G19" s="28">
        <v>0</v>
      </c>
      <c r="H19" s="28">
        <v>0</v>
      </c>
      <c r="I19" s="28">
        <v>0</v>
      </c>
      <c r="J19" s="28">
        <v>0</v>
      </c>
      <c r="K19" s="28">
        <v>0</v>
      </c>
      <c r="L19" s="28">
        <v>0</v>
      </c>
      <c r="M19" s="28">
        <v>0</v>
      </c>
      <c r="N19" s="28">
        <v>0</v>
      </c>
      <c r="O19" s="28">
        <v>0</v>
      </c>
      <c r="P19" s="28">
        <v>0</v>
      </c>
      <c r="Q19" s="28">
        <v>0</v>
      </c>
      <c r="R19" s="28">
        <v>0</v>
      </c>
      <c r="S19" s="28">
        <v>0</v>
      </c>
      <c r="T19" s="28">
        <v>0.48899999999999988</v>
      </c>
      <c r="U19" s="28">
        <v>0</v>
      </c>
      <c r="V19" s="28">
        <v>0</v>
      </c>
      <c r="W19" s="28">
        <v>0</v>
      </c>
      <c r="X19" s="28">
        <v>0</v>
      </c>
      <c r="Y19" s="28">
        <v>0</v>
      </c>
      <c r="Z19" s="28">
        <v>0</v>
      </c>
      <c r="AA19" s="28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8">
        <v>0</v>
      </c>
      <c r="AH19" s="28">
        <v>0</v>
      </c>
      <c r="AI19" s="28">
        <v>0</v>
      </c>
      <c r="AJ19" s="28">
        <v>0</v>
      </c>
      <c r="AK19" s="28">
        <v>0</v>
      </c>
      <c r="AL19" s="28">
        <v>0</v>
      </c>
      <c r="AM19" s="28">
        <v>0.1</v>
      </c>
      <c r="AN19" s="28">
        <v>0</v>
      </c>
      <c r="AO19" s="28">
        <v>0</v>
      </c>
      <c r="AP19" s="28">
        <v>0</v>
      </c>
      <c r="AQ19" s="28">
        <v>0</v>
      </c>
      <c r="AR19" s="28">
        <v>0</v>
      </c>
      <c r="AS19" s="28">
        <v>0</v>
      </c>
      <c r="AT19" s="28">
        <v>0</v>
      </c>
      <c r="AU19" s="28">
        <v>0</v>
      </c>
      <c r="AV19" s="28">
        <v>0</v>
      </c>
      <c r="AW19" s="28">
        <v>0</v>
      </c>
      <c r="AX19" s="28">
        <v>0</v>
      </c>
      <c r="AY19" s="28">
        <v>0</v>
      </c>
      <c r="AZ19" s="28">
        <v>0</v>
      </c>
      <c r="BA19" s="28">
        <v>0</v>
      </c>
      <c r="BB19" s="28">
        <v>0</v>
      </c>
      <c r="BC19" s="28">
        <v>0</v>
      </c>
      <c r="BD19" s="28">
        <v>0</v>
      </c>
      <c r="BE19" s="28">
        <v>0</v>
      </c>
      <c r="BF19" s="28">
        <v>0</v>
      </c>
      <c r="BG19" s="28">
        <v>0</v>
      </c>
      <c r="BH19" s="28">
        <v>0</v>
      </c>
      <c r="BI19" s="28">
        <v>0</v>
      </c>
      <c r="BJ19" s="28">
        <v>0</v>
      </c>
      <c r="BK19" s="28">
        <v>0</v>
      </c>
      <c r="BL19" s="28">
        <v>0</v>
      </c>
      <c r="BM19" s="28">
        <v>0</v>
      </c>
      <c r="BN19" s="28">
        <v>0</v>
      </c>
      <c r="BO19" s="28">
        <v>0</v>
      </c>
      <c r="BP19" s="28">
        <v>0</v>
      </c>
      <c r="BQ19" s="28">
        <v>0</v>
      </c>
      <c r="BR19" s="28">
        <v>0</v>
      </c>
      <c r="BS19" s="28">
        <v>0</v>
      </c>
      <c r="BT19" s="28">
        <v>0</v>
      </c>
      <c r="BU19" s="28">
        <v>0</v>
      </c>
      <c r="BV19" s="28">
        <v>0</v>
      </c>
      <c r="BW19" s="28">
        <v>0</v>
      </c>
      <c r="BX19" s="28">
        <v>0</v>
      </c>
      <c r="BY19" s="28">
        <v>0</v>
      </c>
      <c r="BZ19" s="28">
        <v>0</v>
      </c>
      <c r="CA19" s="28">
        <v>0</v>
      </c>
      <c r="CB19" s="28">
        <v>0</v>
      </c>
      <c r="CC19" s="28">
        <v>0</v>
      </c>
      <c r="CD19" s="28">
        <v>0</v>
      </c>
      <c r="CE19" s="28">
        <v>0</v>
      </c>
      <c r="CF19" s="28">
        <v>0</v>
      </c>
      <c r="CG19" s="28">
        <v>0</v>
      </c>
      <c r="CH19" s="28">
        <v>0</v>
      </c>
      <c r="CI19" s="28">
        <v>0</v>
      </c>
      <c r="CJ19" s="28">
        <v>0</v>
      </c>
      <c r="CK19" s="28">
        <v>0</v>
      </c>
      <c r="CL19" s="28">
        <v>0</v>
      </c>
      <c r="CM19" s="28">
        <v>0</v>
      </c>
      <c r="CN19" s="28">
        <v>0</v>
      </c>
      <c r="CO19" s="28">
        <v>0</v>
      </c>
      <c r="CP19" s="28">
        <v>0</v>
      </c>
      <c r="CQ19" s="28">
        <v>0</v>
      </c>
      <c r="CR19" s="28">
        <v>0</v>
      </c>
      <c r="CS19" s="28">
        <v>0</v>
      </c>
      <c r="CT19" s="28">
        <v>0</v>
      </c>
      <c r="CU19" s="28">
        <v>0</v>
      </c>
      <c r="CV19" s="28">
        <v>0</v>
      </c>
      <c r="CW19" s="28">
        <v>0</v>
      </c>
      <c r="CX19" s="28">
        <v>0</v>
      </c>
      <c r="CY19" s="28">
        <v>0</v>
      </c>
      <c r="CZ19" s="28">
        <v>0</v>
      </c>
      <c r="DA19" s="28">
        <v>0</v>
      </c>
      <c r="DB19" s="28">
        <v>0</v>
      </c>
      <c r="DC19" s="28">
        <v>0</v>
      </c>
      <c r="DD19" s="28">
        <v>0</v>
      </c>
      <c r="DE19" s="28">
        <v>0.377</v>
      </c>
      <c r="DF19" s="28">
        <v>0</v>
      </c>
      <c r="DG19" s="28">
        <v>0</v>
      </c>
      <c r="DH19" s="28">
        <v>0</v>
      </c>
      <c r="DI19" s="28">
        <v>0</v>
      </c>
      <c r="DJ19" s="28">
        <v>0</v>
      </c>
      <c r="DK19" s="28">
        <v>0</v>
      </c>
      <c r="DL19" s="28">
        <v>0</v>
      </c>
      <c r="DM19" s="28">
        <v>0</v>
      </c>
      <c r="DN19" s="28">
        <v>0</v>
      </c>
      <c r="DO19" s="28">
        <v>0</v>
      </c>
      <c r="DP19" s="28">
        <v>0</v>
      </c>
      <c r="DQ19" s="28">
        <v>0</v>
      </c>
      <c r="DR19" s="28">
        <v>0</v>
      </c>
      <c r="DS19" s="28">
        <v>0</v>
      </c>
      <c r="DT19" s="28">
        <v>0</v>
      </c>
      <c r="DU19" s="28">
        <v>0</v>
      </c>
      <c r="DV19" s="28">
        <v>0</v>
      </c>
      <c r="DW19" s="28">
        <v>7.790322580645161E-3</v>
      </c>
      <c r="DX19" s="34">
        <v>0.96599999999999997</v>
      </c>
    </row>
    <row r="20" spans="1:128" x14ac:dyDescent="0.25">
      <c r="A20" s="24">
        <v>19</v>
      </c>
      <c r="B20" s="26">
        <v>9</v>
      </c>
      <c r="C20" s="28">
        <v>0</v>
      </c>
      <c r="D20" s="28">
        <v>0</v>
      </c>
      <c r="E20" s="28">
        <v>0</v>
      </c>
      <c r="F20" s="28">
        <v>0.34100000000000003</v>
      </c>
      <c r="G20" s="28">
        <v>0</v>
      </c>
      <c r="H20" s="28">
        <v>0</v>
      </c>
      <c r="I20" s="28">
        <v>0</v>
      </c>
      <c r="J20" s="28">
        <v>0</v>
      </c>
      <c r="K20" s="28">
        <v>0</v>
      </c>
      <c r="L20" s="28">
        <v>0</v>
      </c>
      <c r="M20" s="28">
        <v>0</v>
      </c>
      <c r="N20" s="28">
        <v>0</v>
      </c>
      <c r="O20" s="28">
        <v>0</v>
      </c>
      <c r="P20" s="28">
        <v>0</v>
      </c>
      <c r="Q20" s="28">
        <v>2.1000000000000001E-2</v>
      </c>
      <c r="R20" s="28">
        <v>0</v>
      </c>
      <c r="S20" s="28">
        <v>0</v>
      </c>
      <c r="T20" s="28">
        <v>0</v>
      </c>
      <c r="U20" s="28">
        <v>0</v>
      </c>
      <c r="V20" s="28">
        <v>0</v>
      </c>
      <c r="W20" s="28">
        <v>0</v>
      </c>
      <c r="X20" s="28">
        <v>0</v>
      </c>
      <c r="Y20" s="28">
        <v>0</v>
      </c>
      <c r="Z20" s="28">
        <v>0</v>
      </c>
      <c r="AA20" s="28">
        <v>0</v>
      </c>
      <c r="AB20" s="28">
        <v>0</v>
      </c>
      <c r="AC20" s="28">
        <v>0</v>
      </c>
      <c r="AD20" s="28">
        <v>0</v>
      </c>
      <c r="AE20" s="28">
        <v>0</v>
      </c>
      <c r="AF20" s="28">
        <v>0</v>
      </c>
      <c r="AG20" s="28">
        <v>0</v>
      </c>
      <c r="AH20" s="28">
        <v>0</v>
      </c>
      <c r="AI20" s="28">
        <v>0</v>
      </c>
      <c r="AJ20" s="28">
        <v>0</v>
      </c>
      <c r="AK20" s="28">
        <v>0</v>
      </c>
      <c r="AL20" s="28">
        <v>0</v>
      </c>
      <c r="AM20" s="28">
        <v>0</v>
      </c>
      <c r="AN20" s="28">
        <v>0</v>
      </c>
      <c r="AO20" s="28">
        <v>0</v>
      </c>
      <c r="AP20" s="28">
        <v>0</v>
      </c>
      <c r="AQ20" s="28">
        <v>0</v>
      </c>
      <c r="AR20" s="28">
        <v>0</v>
      </c>
      <c r="AS20" s="28">
        <v>0</v>
      </c>
      <c r="AT20" s="28">
        <v>0</v>
      </c>
      <c r="AU20" s="28">
        <v>0</v>
      </c>
      <c r="AV20" s="28">
        <v>0</v>
      </c>
      <c r="AW20" s="28">
        <v>0</v>
      </c>
      <c r="AX20" s="28">
        <v>0</v>
      </c>
      <c r="AY20" s="28">
        <v>0</v>
      </c>
      <c r="AZ20" s="28">
        <v>0</v>
      </c>
      <c r="BA20" s="28">
        <v>0</v>
      </c>
      <c r="BB20" s="28">
        <v>0</v>
      </c>
      <c r="BC20" s="28">
        <v>0</v>
      </c>
      <c r="BD20" s="28">
        <v>0</v>
      </c>
      <c r="BE20" s="28">
        <v>0</v>
      </c>
      <c r="BF20" s="28">
        <v>0</v>
      </c>
      <c r="BG20" s="28">
        <v>0</v>
      </c>
      <c r="BH20" s="28">
        <v>0</v>
      </c>
      <c r="BI20" s="28">
        <v>0</v>
      </c>
      <c r="BJ20" s="28">
        <v>0</v>
      </c>
      <c r="BK20" s="28">
        <v>0</v>
      </c>
      <c r="BL20" s="28">
        <v>0</v>
      </c>
      <c r="BM20" s="28">
        <v>0</v>
      </c>
      <c r="BN20" s="28">
        <v>0</v>
      </c>
      <c r="BO20" s="28">
        <v>0</v>
      </c>
      <c r="BP20" s="28">
        <v>0</v>
      </c>
      <c r="BQ20" s="28">
        <v>0</v>
      </c>
      <c r="BR20" s="28">
        <v>0</v>
      </c>
      <c r="BS20" s="28">
        <v>0</v>
      </c>
      <c r="BT20" s="28">
        <v>0</v>
      </c>
      <c r="BU20" s="28">
        <v>0</v>
      </c>
      <c r="BV20" s="28">
        <v>0</v>
      </c>
      <c r="BW20" s="28">
        <v>0</v>
      </c>
      <c r="BX20" s="28">
        <v>0</v>
      </c>
      <c r="BY20" s="28">
        <v>0</v>
      </c>
      <c r="BZ20" s="28">
        <v>0</v>
      </c>
      <c r="CA20" s="28">
        <v>0</v>
      </c>
      <c r="CB20" s="28">
        <v>0</v>
      </c>
      <c r="CC20" s="28">
        <v>0</v>
      </c>
      <c r="CD20" s="28">
        <v>0</v>
      </c>
      <c r="CE20" s="28">
        <v>0</v>
      </c>
      <c r="CF20" s="28">
        <v>0</v>
      </c>
      <c r="CG20" s="28">
        <v>0</v>
      </c>
      <c r="CH20" s="28">
        <v>0</v>
      </c>
      <c r="CI20" s="28">
        <v>0</v>
      </c>
      <c r="CJ20" s="28">
        <v>0</v>
      </c>
      <c r="CK20" s="28">
        <v>0</v>
      </c>
      <c r="CL20" s="28">
        <v>0</v>
      </c>
      <c r="CM20" s="28">
        <v>0</v>
      </c>
      <c r="CN20" s="28">
        <v>0</v>
      </c>
      <c r="CO20" s="28">
        <v>0</v>
      </c>
      <c r="CP20" s="28">
        <v>0</v>
      </c>
      <c r="CQ20" s="28">
        <v>0</v>
      </c>
      <c r="CR20" s="28">
        <v>0</v>
      </c>
      <c r="CS20" s="28">
        <v>0</v>
      </c>
      <c r="CT20" s="28">
        <v>0</v>
      </c>
      <c r="CU20" s="28">
        <v>0</v>
      </c>
      <c r="CV20" s="28">
        <v>0</v>
      </c>
      <c r="CW20" s="28">
        <v>0</v>
      </c>
      <c r="CX20" s="28">
        <v>0</v>
      </c>
      <c r="CY20" s="28">
        <v>0</v>
      </c>
      <c r="CZ20" s="28">
        <v>0</v>
      </c>
      <c r="DA20" s="28">
        <v>0</v>
      </c>
      <c r="DB20" s="28">
        <v>0</v>
      </c>
      <c r="DC20" s="28">
        <v>0</v>
      </c>
      <c r="DD20" s="28">
        <v>0</v>
      </c>
      <c r="DE20" s="28">
        <v>1.3779999999999999</v>
      </c>
      <c r="DF20" s="28">
        <v>0</v>
      </c>
      <c r="DG20" s="28">
        <v>0</v>
      </c>
      <c r="DH20" s="28">
        <v>0</v>
      </c>
      <c r="DI20" s="28">
        <v>0</v>
      </c>
      <c r="DJ20" s="28">
        <v>0</v>
      </c>
      <c r="DK20" s="28">
        <v>0</v>
      </c>
      <c r="DL20" s="28">
        <v>0</v>
      </c>
      <c r="DM20" s="28">
        <v>0</v>
      </c>
      <c r="DN20" s="28">
        <v>0</v>
      </c>
      <c r="DO20" s="28">
        <v>0</v>
      </c>
      <c r="DP20" s="28">
        <v>0</v>
      </c>
      <c r="DQ20" s="28">
        <v>0</v>
      </c>
      <c r="DR20" s="28">
        <v>0</v>
      </c>
      <c r="DS20" s="28">
        <v>0</v>
      </c>
      <c r="DT20" s="28">
        <v>0</v>
      </c>
      <c r="DU20" s="28">
        <v>0</v>
      </c>
      <c r="DV20" s="28">
        <v>7.9000000000000001E-2</v>
      </c>
      <c r="DW20" s="28">
        <v>1.4669354838709681E-2</v>
      </c>
      <c r="DX20" s="34">
        <v>1.819</v>
      </c>
    </row>
    <row r="21" spans="1:128" x14ac:dyDescent="0.25">
      <c r="A21" s="24">
        <v>20</v>
      </c>
      <c r="B21" s="26">
        <v>9.5</v>
      </c>
      <c r="C21" s="28">
        <v>0</v>
      </c>
      <c r="D21" s="28">
        <v>0</v>
      </c>
      <c r="E21" s="28">
        <v>0</v>
      </c>
      <c r="F21" s="28">
        <v>0</v>
      </c>
      <c r="G21" s="28">
        <v>0</v>
      </c>
      <c r="H21" s="28">
        <v>0</v>
      </c>
      <c r="I21" s="28">
        <v>0</v>
      </c>
      <c r="J21" s="28">
        <v>0</v>
      </c>
      <c r="K21" s="28">
        <v>0</v>
      </c>
      <c r="L21" s="28">
        <v>0</v>
      </c>
      <c r="M21" s="28">
        <v>0</v>
      </c>
      <c r="N21" s="28">
        <v>0</v>
      </c>
      <c r="O21" s="28">
        <v>0</v>
      </c>
      <c r="P21" s="28">
        <v>0</v>
      </c>
      <c r="Q21" s="28">
        <v>0</v>
      </c>
      <c r="R21" s="28">
        <v>0</v>
      </c>
      <c r="S21" s="28">
        <v>0</v>
      </c>
      <c r="T21" s="28">
        <v>0</v>
      </c>
      <c r="U21" s="28">
        <v>0</v>
      </c>
      <c r="V21" s="28">
        <v>0</v>
      </c>
      <c r="W21" s="28">
        <v>0</v>
      </c>
      <c r="X21" s="28">
        <v>0</v>
      </c>
      <c r="Y21" s="28">
        <v>0</v>
      </c>
      <c r="Z21" s="28">
        <v>0</v>
      </c>
      <c r="AA21" s="28">
        <v>0</v>
      </c>
      <c r="AB21" s="28">
        <v>0</v>
      </c>
      <c r="AC21" s="28">
        <v>0</v>
      </c>
      <c r="AD21" s="28">
        <v>0</v>
      </c>
      <c r="AE21" s="28">
        <v>0</v>
      </c>
      <c r="AF21" s="28">
        <v>0</v>
      </c>
      <c r="AG21" s="28">
        <v>0</v>
      </c>
      <c r="AH21" s="28">
        <v>0</v>
      </c>
      <c r="AI21" s="28">
        <v>0</v>
      </c>
      <c r="AJ21" s="28">
        <v>0</v>
      </c>
      <c r="AK21" s="28">
        <v>0</v>
      </c>
      <c r="AL21" s="28">
        <v>0</v>
      </c>
      <c r="AM21" s="28">
        <v>0</v>
      </c>
      <c r="AN21" s="28">
        <v>0</v>
      </c>
      <c r="AO21" s="28">
        <v>0</v>
      </c>
      <c r="AP21" s="28">
        <v>0</v>
      </c>
      <c r="AQ21" s="28">
        <v>0</v>
      </c>
      <c r="AR21" s="28">
        <v>0</v>
      </c>
      <c r="AS21" s="28">
        <v>0.27</v>
      </c>
      <c r="AT21" s="28">
        <v>0</v>
      </c>
      <c r="AU21" s="28">
        <v>0</v>
      </c>
      <c r="AV21" s="28">
        <v>0</v>
      </c>
      <c r="AW21" s="28">
        <v>0</v>
      </c>
      <c r="AX21" s="28">
        <v>0</v>
      </c>
      <c r="AY21" s="28">
        <v>0</v>
      </c>
      <c r="AZ21" s="28">
        <v>0</v>
      </c>
      <c r="BA21" s="28">
        <v>0</v>
      </c>
      <c r="BB21" s="28">
        <v>0</v>
      </c>
      <c r="BC21" s="28">
        <v>0</v>
      </c>
      <c r="BD21" s="28">
        <v>0</v>
      </c>
      <c r="BE21" s="28">
        <v>0</v>
      </c>
      <c r="BF21" s="28">
        <v>0</v>
      </c>
      <c r="BG21" s="28">
        <v>0</v>
      </c>
      <c r="BH21" s="28">
        <v>0</v>
      </c>
      <c r="BI21" s="28">
        <v>0</v>
      </c>
      <c r="BJ21" s="28">
        <v>0</v>
      </c>
      <c r="BK21" s="28">
        <v>0</v>
      </c>
      <c r="BL21" s="28">
        <v>0</v>
      </c>
      <c r="BM21" s="28">
        <v>0</v>
      </c>
      <c r="BN21" s="28">
        <v>0</v>
      </c>
      <c r="BO21" s="28">
        <v>0</v>
      </c>
      <c r="BP21" s="28">
        <v>0</v>
      </c>
      <c r="BQ21" s="28">
        <v>0</v>
      </c>
      <c r="BR21" s="28">
        <v>0</v>
      </c>
      <c r="BS21" s="28">
        <v>0</v>
      </c>
      <c r="BT21" s="28">
        <v>0</v>
      </c>
      <c r="BU21" s="28">
        <v>0</v>
      </c>
      <c r="BV21" s="28">
        <v>0</v>
      </c>
      <c r="BW21" s="28">
        <v>0</v>
      </c>
      <c r="BX21" s="28">
        <v>0</v>
      </c>
      <c r="BY21" s="28">
        <v>0</v>
      </c>
      <c r="BZ21" s="28">
        <v>0</v>
      </c>
      <c r="CA21" s="28">
        <v>0</v>
      </c>
      <c r="CB21" s="28">
        <v>0</v>
      </c>
      <c r="CC21" s="28">
        <v>0</v>
      </c>
      <c r="CD21" s="28">
        <v>0</v>
      </c>
      <c r="CE21" s="28">
        <v>0</v>
      </c>
      <c r="CF21" s="28">
        <v>0</v>
      </c>
      <c r="CG21" s="28">
        <v>0</v>
      </c>
      <c r="CH21" s="28">
        <v>0</v>
      </c>
      <c r="CI21" s="28">
        <v>1.756</v>
      </c>
      <c r="CJ21" s="28">
        <v>0</v>
      </c>
      <c r="CK21" s="28">
        <v>0</v>
      </c>
      <c r="CL21" s="28">
        <v>0</v>
      </c>
      <c r="CM21" s="28">
        <v>0</v>
      </c>
      <c r="CN21" s="28">
        <v>0</v>
      </c>
      <c r="CO21" s="28">
        <v>0</v>
      </c>
      <c r="CP21" s="28">
        <v>0</v>
      </c>
      <c r="CQ21" s="28">
        <v>0</v>
      </c>
      <c r="CR21" s="28">
        <v>0</v>
      </c>
      <c r="CS21" s="28">
        <v>0</v>
      </c>
      <c r="CT21" s="28">
        <v>0</v>
      </c>
      <c r="CU21" s="28">
        <v>0</v>
      </c>
      <c r="CV21" s="28">
        <v>0</v>
      </c>
      <c r="CW21" s="28">
        <v>0</v>
      </c>
      <c r="CX21" s="28">
        <v>0</v>
      </c>
      <c r="CY21" s="28">
        <v>0</v>
      </c>
      <c r="CZ21" s="28">
        <v>0</v>
      </c>
      <c r="DA21" s="28">
        <v>0</v>
      </c>
      <c r="DB21" s="28">
        <v>0</v>
      </c>
      <c r="DC21" s="28">
        <v>1.091</v>
      </c>
      <c r="DD21" s="28">
        <v>0</v>
      </c>
      <c r="DE21" s="28">
        <v>0</v>
      </c>
      <c r="DF21" s="28">
        <v>0</v>
      </c>
      <c r="DG21" s="28">
        <v>0</v>
      </c>
      <c r="DH21" s="28">
        <v>0</v>
      </c>
      <c r="DI21" s="28">
        <v>0</v>
      </c>
      <c r="DJ21" s="28">
        <v>0</v>
      </c>
      <c r="DK21" s="28">
        <v>0</v>
      </c>
      <c r="DL21" s="28">
        <v>0</v>
      </c>
      <c r="DM21" s="28">
        <v>0</v>
      </c>
      <c r="DN21" s="28">
        <v>0</v>
      </c>
      <c r="DO21" s="28">
        <v>0</v>
      </c>
      <c r="DP21" s="28">
        <v>0</v>
      </c>
      <c r="DQ21" s="28">
        <v>0</v>
      </c>
      <c r="DR21" s="28">
        <v>0</v>
      </c>
      <c r="DS21" s="28">
        <v>0</v>
      </c>
      <c r="DT21" s="28">
        <v>0</v>
      </c>
      <c r="DU21" s="28">
        <v>0</v>
      </c>
      <c r="DV21" s="28">
        <v>0</v>
      </c>
      <c r="DW21" s="28">
        <v>2.5137096774193551E-2</v>
      </c>
      <c r="DX21" s="34">
        <v>3.117</v>
      </c>
    </row>
    <row r="22" spans="1:128" x14ac:dyDescent="0.25">
      <c r="A22" s="24">
        <v>21</v>
      </c>
      <c r="B22" s="26">
        <v>10</v>
      </c>
      <c r="C22" s="28">
        <v>0</v>
      </c>
      <c r="D22" s="28">
        <v>0</v>
      </c>
      <c r="E22" s="28">
        <v>0</v>
      </c>
      <c r="F22" s="28">
        <v>0</v>
      </c>
      <c r="G22" s="28">
        <v>0</v>
      </c>
      <c r="H22" s="28">
        <v>0</v>
      </c>
      <c r="I22" s="28">
        <v>0</v>
      </c>
      <c r="J22" s="28">
        <v>0</v>
      </c>
      <c r="K22" s="28">
        <v>0</v>
      </c>
      <c r="L22" s="28">
        <v>0</v>
      </c>
      <c r="M22" s="28">
        <v>0</v>
      </c>
      <c r="N22" s="28">
        <v>0</v>
      </c>
      <c r="O22" s="28">
        <v>0</v>
      </c>
      <c r="P22" s="28">
        <v>0</v>
      </c>
      <c r="Q22" s="28">
        <v>0</v>
      </c>
      <c r="R22" s="28">
        <v>0</v>
      </c>
      <c r="S22" s="28">
        <v>0</v>
      </c>
      <c r="T22" s="28">
        <v>0</v>
      </c>
      <c r="U22" s="28">
        <v>0</v>
      </c>
      <c r="V22" s="28">
        <v>0</v>
      </c>
      <c r="W22" s="28">
        <v>1.3540000000000001</v>
      </c>
      <c r="X22" s="28">
        <v>0</v>
      </c>
      <c r="Y22" s="28">
        <v>0</v>
      </c>
      <c r="Z22" s="28">
        <v>0</v>
      </c>
      <c r="AA22" s="28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8">
        <v>0</v>
      </c>
      <c r="AH22" s="28">
        <v>0</v>
      </c>
      <c r="AI22" s="28">
        <v>0</v>
      </c>
      <c r="AJ22" s="28">
        <v>0</v>
      </c>
      <c r="AK22" s="28">
        <v>0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0</v>
      </c>
      <c r="AR22" s="28">
        <v>0</v>
      </c>
      <c r="AS22" s="28">
        <v>0</v>
      </c>
      <c r="AT22" s="28">
        <v>0.13100000000000001</v>
      </c>
      <c r="AU22" s="28">
        <v>0</v>
      </c>
      <c r="AV22" s="28">
        <v>0</v>
      </c>
      <c r="AW22" s="28">
        <v>0</v>
      </c>
      <c r="AX22" s="28">
        <v>0</v>
      </c>
      <c r="AY22" s="28">
        <v>0</v>
      </c>
      <c r="AZ22" s="28">
        <v>0</v>
      </c>
      <c r="BA22" s="28">
        <v>0</v>
      </c>
      <c r="BB22" s="28">
        <v>0</v>
      </c>
      <c r="BC22" s="28">
        <v>0</v>
      </c>
      <c r="BD22" s="28">
        <v>0</v>
      </c>
      <c r="BE22" s="28">
        <v>0</v>
      </c>
      <c r="BF22" s="28">
        <v>0</v>
      </c>
      <c r="BG22" s="28">
        <v>0</v>
      </c>
      <c r="BH22" s="28">
        <v>0</v>
      </c>
      <c r="BI22" s="28">
        <v>0</v>
      </c>
      <c r="BJ22" s="28">
        <v>0</v>
      </c>
      <c r="BK22" s="28">
        <v>0</v>
      </c>
      <c r="BL22" s="28">
        <v>0</v>
      </c>
      <c r="BM22" s="28">
        <v>0</v>
      </c>
      <c r="BN22" s="28">
        <v>0</v>
      </c>
      <c r="BO22" s="28">
        <v>0</v>
      </c>
      <c r="BP22" s="28">
        <v>0</v>
      </c>
      <c r="BQ22" s="28">
        <v>0</v>
      </c>
      <c r="BR22" s="28">
        <v>0</v>
      </c>
      <c r="BS22" s="28">
        <v>0</v>
      </c>
      <c r="BT22" s="28">
        <v>0</v>
      </c>
      <c r="BU22" s="28">
        <v>0</v>
      </c>
      <c r="BV22" s="28">
        <v>0</v>
      </c>
      <c r="BW22" s="28">
        <v>0</v>
      </c>
      <c r="BX22" s="28">
        <v>0</v>
      </c>
      <c r="BY22" s="28">
        <v>0</v>
      </c>
      <c r="BZ22" s="28">
        <v>0</v>
      </c>
      <c r="CA22" s="28">
        <v>0</v>
      </c>
      <c r="CB22" s="28">
        <v>0</v>
      </c>
      <c r="CC22" s="28">
        <v>0</v>
      </c>
      <c r="CD22" s="28">
        <v>0</v>
      </c>
      <c r="CE22" s="28">
        <v>0</v>
      </c>
      <c r="CF22" s="28">
        <v>0</v>
      </c>
      <c r="CG22" s="28">
        <v>0</v>
      </c>
      <c r="CH22" s="28">
        <v>0</v>
      </c>
      <c r="CI22" s="28">
        <v>0</v>
      </c>
      <c r="CJ22" s="28">
        <v>0</v>
      </c>
      <c r="CK22" s="28">
        <v>0</v>
      </c>
      <c r="CL22" s="28">
        <v>0</v>
      </c>
      <c r="CM22" s="28">
        <v>0</v>
      </c>
      <c r="CN22" s="28">
        <v>0</v>
      </c>
      <c r="CO22" s="28">
        <v>0</v>
      </c>
      <c r="CP22" s="28">
        <v>0</v>
      </c>
      <c r="CQ22" s="28">
        <v>0</v>
      </c>
      <c r="CR22" s="28">
        <v>0</v>
      </c>
      <c r="CS22" s="28">
        <v>0</v>
      </c>
      <c r="CT22" s="28">
        <v>0</v>
      </c>
      <c r="CU22" s="28">
        <v>0</v>
      </c>
      <c r="CV22" s="28">
        <v>0</v>
      </c>
      <c r="CW22" s="28">
        <v>0</v>
      </c>
      <c r="CX22" s="28">
        <v>0</v>
      </c>
      <c r="CY22" s="28">
        <v>0</v>
      </c>
      <c r="CZ22" s="28">
        <v>0</v>
      </c>
      <c r="DA22" s="28">
        <v>0</v>
      </c>
      <c r="DB22" s="28">
        <v>0</v>
      </c>
      <c r="DC22" s="28">
        <v>0</v>
      </c>
      <c r="DD22" s="28">
        <v>0</v>
      </c>
      <c r="DE22" s="28">
        <v>0</v>
      </c>
      <c r="DF22" s="28">
        <v>0</v>
      </c>
      <c r="DG22" s="28">
        <v>0</v>
      </c>
      <c r="DH22" s="28">
        <v>0</v>
      </c>
      <c r="DI22" s="28">
        <v>0</v>
      </c>
      <c r="DJ22" s="28">
        <v>0</v>
      </c>
      <c r="DK22" s="28">
        <v>0</v>
      </c>
      <c r="DL22" s="28">
        <v>0</v>
      </c>
      <c r="DM22" s="28">
        <v>0</v>
      </c>
      <c r="DN22" s="28">
        <v>0</v>
      </c>
      <c r="DO22" s="28">
        <v>0</v>
      </c>
      <c r="DP22" s="28">
        <v>0</v>
      </c>
      <c r="DQ22" s="28">
        <v>0</v>
      </c>
      <c r="DR22" s="28">
        <v>0</v>
      </c>
      <c r="DS22" s="28">
        <v>0</v>
      </c>
      <c r="DT22" s="28">
        <v>0</v>
      </c>
      <c r="DU22" s="28">
        <v>0</v>
      </c>
      <c r="DV22" s="28">
        <v>0</v>
      </c>
      <c r="DW22" s="28">
        <v>1.19758064516129E-2</v>
      </c>
      <c r="DX22" s="34">
        <v>1.4850000000000001</v>
      </c>
    </row>
    <row r="23" spans="1:128" x14ac:dyDescent="0.25">
      <c r="A23" s="24">
        <v>22</v>
      </c>
      <c r="B23" s="26">
        <v>10.5</v>
      </c>
      <c r="C23" s="28">
        <v>0</v>
      </c>
      <c r="D23" s="28">
        <v>0</v>
      </c>
      <c r="E23" s="28">
        <v>0</v>
      </c>
      <c r="F23" s="28">
        <v>0</v>
      </c>
      <c r="G23" s="28">
        <v>0</v>
      </c>
      <c r="H23" s="28">
        <v>0</v>
      </c>
      <c r="I23" s="28">
        <v>0</v>
      </c>
      <c r="J23" s="28">
        <v>0</v>
      </c>
      <c r="K23" s="28">
        <v>0</v>
      </c>
      <c r="L23" s="28">
        <v>0</v>
      </c>
      <c r="M23" s="28">
        <v>0</v>
      </c>
      <c r="N23" s="28">
        <v>0</v>
      </c>
      <c r="O23" s="28">
        <v>0</v>
      </c>
      <c r="P23" s="28">
        <v>0</v>
      </c>
      <c r="Q23" s="28">
        <v>0</v>
      </c>
      <c r="R23" s="28">
        <v>0.93499999999999994</v>
      </c>
      <c r="S23" s="28">
        <v>0</v>
      </c>
      <c r="T23" s="28">
        <v>0.32</v>
      </c>
      <c r="U23" s="28">
        <v>0</v>
      </c>
      <c r="V23" s="28">
        <v>0</v>
      </c>
      <c r="W23" s="28">
        <v>1.2929999999999999</v>
      </c>
      <c r="X23" s="28">
        <v>0</v>
      </c>
      <c r="Y23" s="28">
        <v>0</v>
      </c>
      <c r="Z23" s="28">
        <v>0</v>
      </c>
      <c r="AA23" s="28">
        <v>0</v>
      </c>
      <c r="AB23" s="28">
        <v>0</v>
      </c>
      <c r="AC23" s="28">
        <v>0</v>
      </c>
      <c r="AD23" s="28">
        <v>0</v>
      </c>
      <c r="AE23" s="28">
        <v>0</v>
      </c>
      <c r="AF23" s="28">
        <v>0</v>
      </c>
      <c r="AG23" s="28">
        <v>0</v>
      </c>
      <c r="AH23" s="28">
        <v>0</v>
      </c>
      <c r="AI23" s="28">
        <v>0</v>
      </c>
      <c r="AJ23" s="28">
        <v>0</v>
      </c>
      <c r="AK23" s="28">
        <v>0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0</v>
      </c>
      <c r="AR23" s="28">
        <v>0</v>
      </c>
      <c r="AS23" s="28">
        <v>0</v>
      </c>
      <c r="AT23" s="28">
        <v>0.40400000000000003</v>
      </c>
      <c r="AU23" s="28">
        <v>0</v>
      </c>
      <c r="AV23" s="28">
        <v>0</v>
      </c>
      <c r="AW23" s="28">
        <v>0</v>
      </c>
      <c r="AX23" s="28">
        <v>0</v>
      </c>
      <c r="AY23" s="28">
        <v>0</v>
      </c>
      <c r="AZ23" s="28">
        <v>0</v>
      </c>
      <c r="BA23" s="28">
        <v>0</v>
      </c>
      <c r="BB23" s="28">
        <v>0</v>
      </c>
      <c r="BC23" s="28">
        <v>0</v>
      </c>
      <c r="BD23" s="28">
        <v>0</v>
      </c>
      <c r="BE23" s="28">
        <v>0</v>
      </c>
      <c r="BF23" s="28">
        <v>0</v>
      </c>
      <c r="BG23" s="28">
        <v>0.81300000000000006</v>
      </c>
      <c r="BH23" s="28">
        <v>0</v>
      </c>
      <c r="BI23" s="28">
        <v>0</v>
      </c>
      <c r="BJ23" s="28">
        <v>0</v>
      </c>
      <c r="BK23" s="28">
        <v>0</v>
      </c>
      <c r="BL23" s="28">
        <v>0</v>
      </c>
      <c r="BM23" s="28">
        <v>0</v>
      </c>
      <c r="BN23" s="28">
        <v>0</v>
      </c>
      <c r="BO23" s="28">
        <v>0</v>
      </c>
      <c r="BP23" s="28">
        <v>0</v>
      </c>
      <c r="BQ23" s="28">
        <v>0</v>
      </c>
      <c r="BR23" s="28">
        <v>0</v>
      </c>
      <c r="BS23" s="28">
        <v>0</v>
      </c>
      <c r="BT23" s="28">
        <v>0</v>
      </c>
      <c r="BU23" s="28">
        <v>0</v>
      </c>
      <c r="BV23" s="28">
        <v>0</v>
      </c>
      <c r="BW23" s="28">
        <v>0</v>
      </c>
      <c r="BX23" s="28">
        <v>0</v>
      </c>
      <c r="BY23" s="28">
        <v>0</v>
      </c>
      <c r="BZ23" s="28">
        <v>0</v>
      </c>
      <c r="CA23" s="28">
        <v>0</v>
      </c>
      <c r="CB23" s="28">
        <v>0</v>
      </c>
      <c r="CC23" s="28">
        <v>0</v>
      </c>
      <c r="CD23" s="28">
        <v>0</v>
      </c>
      <c r="CE23" s="28">
        <v>0</v>
      </c>
      <c r="CF23" s="28">
        <v>0</v>
      </c>
      <c r="CG23" s="28">
        <v>0</v>
      </c>
      <c r="CH23" s="28">
        <v>0</v>
      </c>
      <c r="CI23" s="28">
        <v>0</v>
      </c>
      <c r="CJ23" s="28">
        <v>0</v>
      </c>
      <c r="CK23" s="28">
        <v>0</v>
      </c>
      <c r="CL23" s="28">
        <v>0</v>
      </c>
      <c r="CM23" s="28">
        <v>0</v>
      </c>
      <c r="CN23" s="28">
        <v>0</v>
      </c>
      <c r="CO23" s="28">
        <v>0</v>
      </c>
      <c r="CP23" s="28">
        <v>0</v>
      </c>
      <c r="CQ23" s="28">
        <v>0</v>
      </c>
      <c r="CR23" s="28">
        <v>0</v>
      </c>
      <c r="CS23" s="28">
        <v>0</v>
      </c>
      <c r="CT23" s="28">
        <v>0</v>
      </c>
      <c r="CU23" s="28">
        <v>0</v>
      </c>
      <c r="CV23" s="28">
        <v>0</v>
      </c>
      <c r="CW23" s="28">
        <v>0</v>
      </c>
      <c r="CX23" s="28">
        <v>0</v>
      </c>
      <c r="CY23" s="28">
        <v>0</v>
      </c>
      <c r="CZ23" s="28">
        <v>0</v>
      </c>
      <c r="DA23" s="28">
        <v>0</v>
      </c>
      <c r="DB23" s="28">
        <v>0</v>
      </c>
      <c r="DC23" s="28">
        <v>0</v>
      </c>
      <c r="DD23" s="28">
        <v>0</v>
      </c>
      <c r="DE23" s="28">
        <v>0</v>
      </c>
      <c r="DF23" s="28">
        <v>0</v>
      </c>
      <c r="DG23" s="28">
        <v>0</v>
      </c>
      <c r="DH23" s="28">
        <v>0</v>
      </c>
      <c r="DI23" s="28">
        <v>0</v>
      </c>
      <c r="DJ23" s="28">
        <v>0</v>
      </c>
      <c r="DK23" s="28">
        <v>0</v>
      </c>
      <c r="DL23" s="28">
        <v>0</v>
      </c>
      <c r="DM23" s="28">
        <v>0</v>
      </c>
      <c r="DN23" s="28">
        <v>0</v>
      </c>
      <c r="DO23" s="28">
        <v>0</v>
      </c>
      <c r="DP23" s="28">
        <v>0</v>
      </c>
      <c r="DQ23" s="28">
        <v>0</v>
      </c>
      <c r="DR23" s="28">
        <v>0</v>
      </c>
      <c r="DS23" s="28">
        <v>0</v>
      </c>
      <c r="DT23" s="28">
        <v>0</v>
      </c>
      <c r="DU23" s="28">
        <v>0</v>
      </c>
      <c r="DV23" s="28">
        <v>0</v>
      </c>
      <c r="DW23" s="28">
        <v>3.036290322580645E-2</v>
      </c>
      <c r="DX23" s="34">
        <v>3.7650000000000001</v>
      </c>
    </row>
    <row r="24" spans="1:128" x14ac:dyDescent="0.25">
      <c r="A24" s="24">
        <v>23</v>
      </c>
      <c r="B24" s="26">
        <v>11</v>
      </c>
      <c r="C24" s="28">
        <v>0</v>
      </c>
      <c r="D24" s="28">
        <v>0</v>
      </c>
      <c r="E24" s="28">
        <v>0</v>
      </c>
      <c r="F24" s="28">
        <v>0.373</v>
      </c>
      <c r="G24" s="28">
        <v>0</v>
      </c>
      <c r="H24" s="28">
        <v>0</v>
      </c>
      <c r="I24" s="28">
        <v>0</v>
      </c>
      <c r="J24" s="28">
        <v>0</v>
      </c>
      <c r="K24" s="28">
        <v>0</v>
      </c>
      <c r="L24" s="28">
        <v>0</v>
      </c>
      <c r="M24" s="28">
        <v>0</v>
      </c>
      <c r="N24" s="28">
        <v>0</v>
      </c>
      <c r="O24" s="28">
        <v>0</v>
      </c>
      <c r="P24" s="28">
        <v>0</v>
      </c>
      <c r="Q24" s="28">
        <v>0</v>
      </c>
      <c r="R24" s="28">
        <v>0</v>
      </c>
      <c r="S24" s="28">
        <v>0</v>
      </c>
      <c r="T24" s="28">
        <v>0</v>
      </c>
      <c r="U24" s="28">
        <v>0</v>
      </c>
      <c r="V24" s="28">
        <v>0</v>
      </c>
      <c r="W24" s="28">
        <v>0</v>
      </c>
      <c r="X24" s="28">
        <v>0</v>
      </c>
      <c r="Y24" s="28">
        <v>0</v>
      </c>
      <c r="Z24" s="28">
        <v>0</v>
      </c>
      <c r="AA24" s="28">
        <v>0</v>
      </c>
      <c r="AB24" s="28">
        <v>0</v>
      </c>
      <c r="AC24" s="28">
        <v>0</v>
      </c>
      <c r="AD24" s="28">
        <v>0</v>
      </c>
      <c r="AE24" s="28">
        <v>0</v>
      </c>
      <c r="AF24" s="28">
        <v>0</v>
      </c>
      <c r="AG24" s="28">
        <v>0</v>
      </c>
      <c r="AH24" s="28">
        <v>0</v>
      </c>
      <c r="AI24" s="28">
        <v>0</v>
      </c>
      <c r="AJ24" s="28">
        <v>0</v>
      </c>
      <c r="AK24" s="28">
        <v>0</v>
      </c>
      <c r="AL24" s="28">
        <v>0</v>
      </c>
      <c r="AM24" s="28">
        <v>0</v>
      </c>
      <c r="AN24" s="28">
        <v>0</v>
      </c>
      <c r="AO24" s="28">
        <v>0</v>
      </c>
      <c r="AP24" s="28">
        <v>0</v>
      </c>
      <c r="AQ24" s="28">
        <v>0</v>
      </c>
      <c r="AR24" s="28">
        <v>0</v>
      </c>
      <c r="AS24" s="28">
        <v>0.42199999999999999</v>
      </c>
      <c r="AT24" s="28">
        <v>0</v>
      </c>
      <c r="AU24" s="28">
        <v>0</v>
      </c>
      <c r="AV24" s="28">
        <v>0</v>
      </c>
      <c r="AW24" s="28">
        <v>0</v>
      </c>
      <c r="AX24" s="28">
        <v>0</v>
      </c>
      <c r="AY24" s="28">
        <v>0</v>
      </c>
      <c r="AZ24" s="28">
        <v>0</v>
      </c>
      <c r="BA24" s="28">
        <v>0</v>
      </c>
      <c r="BB24" s="28">
        <v>0</v>
      </c>
      <c r="BC24" s="28">
        <v>0</v>
      </c>
      <c r="BD24" s="28">
        <v>0</v>
      </c>
      <c r="BE24" s="28">
        <v>0</v>
      </c>
      <c r="BF24" s="28">
        <v>0</v>
      </c>
      <c r="BG24" s="28">
        <v>0</v>
      </c>
      <c r="BH24" s="28">
        <v>0</v>
      </c>
      <c r="BI24" s="28">
        <v>0</v>
      </c>
      <c r="BJ24" s="28">
        <v>0</v>
      </c>
      <c r="BK24" s="28">
        <v>0</v>
      </c>
      <c r="BL24" s="28">
        <v>0</v>
      </c>
      <c r="BM24" s="28">
        <v>0</v>
      </c>
      <c r="BN24" s="28">
        <v>0</v>
      </c>
      <c r="BO24" s="28">
        <v>0</v>
      </c>
      <c r="BP24" s="28">
        <v>4.3999999999999997E-2</v>
      </c>
      <c r="BQ24" s="28">
        <v>0</v>
      </c>
      <c r="BR24" s="28">
        <v>0</v>
      </c>
      <c r="BS24" s="28">
        <v>0</v>
      </c>
      <c r="BT24" s="28">
        <v>0</v>
      </c>
      <c r="BU24" s="28">
        <v>0</v>
      </c>
      <c r="BV24" s="28">
        <v>0</v>
      </c>
      <c r="BW24" s="28">
        <v>0</v>
      </c>
      <c r="BX24" s="28">
        <v>0</v>
      </c>
      <c r="BY24" s="28">
        <v>0</v>
      </c>
      <c r="BZ24" s="28">
        <v>0</v>
      </c>
      <c r="CA24" s="28">
        <v>0</v>
      </c>
      <c r="CB24" s="28">
        <v>0</v>
      </c>
      <c r="CC24" s="28">
        <v>0</v>
      </c>
      <c r="CD24" s="28">
        <v>0</v>
      </c>
      <c r="CE24" s="28">
        <v>0</v>
      </c>
      <c r="CF24" s="28">
        <v>0</v>
      </c>
      <c r="CG24" s="28">
        <v>0</v>
      </c>
      <c r="CH24" s="28">
        <v>0</v>
      </c>
      <c r="CI24" s="28">
        <v>0</v>
      </c>
      <c r="CJ24" s="28">
        <v>0</v>
      </c>
      <c r="CK24" s="28">
        <v>0</v>
      </c>
      <c r="CL24" s="28">
        <v>0</v>
      </c>
      <c r="CM24" s="28">
        <v>0</v>
      </c>
      <c r="CN24" s="28">
        <v>0.221</v>
      </c>
      <c r="CO24" s="28">
        <v>0</v>
      </c>
      <c r="CP24" s="28">
        <v>0</v>
      </c>
      <c r="CQ24" s="28">
        <v>0</v>
      </c>
      <c r="CR24" s="28">
        <v>0</v>
      </c>
      <c r="CS24" s="28">
        <v>0</v>
      </c>
      <c r="CT24" s="28">
        <v>0</v>
      </c>
      <c r="CU24" s="28">
        <v>0</v>
      </c>
      <c r="CV24" s="28">
        <v>0</v>
      </c>
      <c r="CW24" s="28">
        <v>0</v>
      </c>
      <c r="CX24" s="28">
        <v>0</v>
      </c>
      <c r="CY24" s="28">
        <v>0</v>
      </c>
      <c r="CZ24" s="28">
        <v>0</v>
      </c>
      <c r="DA24" s="28">
        <v>0</v>
      </c>
      <c r="DB24" s="28">
        <v>0</v>
      </c>
      <c r="DC24" s="28">
        <v>0</v>
      </c>
      <c r="DD24" s="28">
        <v>0</v>
      </c>
      <c r="DE24" s="28">
        <v>0</v>
      </c>
      <c r="DF24" s="28">
        <v>0</v>
      </c>
      <c r="DG24" s="28">
        <v>0</v>
      </c>
      <c r="DH24" s="28">
        <v>0</v>
      </c>
      <c r="DI24" s="28">
        <v>0</v>
      </c>
      <c r="DJ24" s="28">
        <v>0</v>
      </c>
      <c r="DK24" s="28">
        <v>0</v>
      </c>
      <c r="DL24" s="28">
        <v>0</v>
      </c>
      <c r="DM24" s="28">
        <v>0</v>
      </c>
      <c r="DN24" s="28">
        <v>0</v>
      </c>
      <c r="DO24" s="28">
        <v>0</v>
      </c>
      <c r="DP24" s="28">
        <v>0</v>
      </c>
      <c r="DQ24" s="28">
        <v>0</v>
      </c>
      <c r="DR24" s="28">
        <v>0</v>
      </c>
      <c r="DS24" s="28">
        <v>0</v>
      </c>
      <c r="DT24" s="28">
        <v>0</v>
      </c>
      <c r="DU24" s="28">
        <v>0</v>
      </c>
      <c r="DV24" s="28">
        <v>0</v>
      </c>
      <c r="DW24" s="28">
        <v>8.5483870967741939E-3</v>
      </c>
      <c r="DX24" s="34">
        <v>1.06</v>
      </c>
    </row>
    <row r="25" spans="1:128" x14ac:dyDescent="0.25">
      <c r="A25" s="24">
        <v>24</v>
      </c>
      <c r="B25" s="26">
        <v>11.5</v>
      </c>
      <c r="C25" s="28">
        <v>0</v>
      </c>
      <c r="D25" s="28">
        <v>0</v>
      </c>
      <c r="E25" s="28">
        <v>0</v>
      </c>
      <c r="F25" s="28">
        <v>2.9260000000000002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0.39200000000000002</v>
      </c>
      <c r="S25" s="28">
        <v>0</v>
      </c>
      <c r="T25" s="28">
        <v>0</v>
      </c>
      <c r="U25" s="28">
        <v>0</v>
      </c>
      <c r="V25" s="28">
        <v>0</v>
      </c>
      <c r="W25" s="28">
        <v>0</v>
      </c>
      <c r="X25" s="28">
        <v>0</v>
      </c>
      <c r="Y25" s="28">
        <v>0</v>
      </c>
      <c r="Z25" s="28">
        <v>0</v>
      </c>
      <c r="AA25" s="28">
        <v>0</v>
      </c>
      <c r="AB25" s="28">
        <v>0</v>
      </c>
      <c r="AC25" s="28">
        <v>0</v>
      </c>
      <c r="AD25" s="28">
        <v>0</v>
      </c>
      <c r="AE25" s="28">
        <v>0</v>
      </c>
      <c r="AF25" s="28">
        <v>0</v>
      </c>
      <c r="AG25" s="28">
        <v>0</v>
      </c>
      <c r="AH25" s="28">
        <v>0</v>
      </c>
      <c r="AI25" s="28">
        <v>0</v>
      </c>
      <c r="AJ25" s="28">
        <v>0</v>
      </c>
      <c r="AK25" s="28">
        <v>0</v>
      </c>
      <c r="AL25" s="28">
        <v>0</v>
      </c>
      <c r="AM25" s="28">
        <v>0</v>
      </c>
      <c r="AN25" s="28">
        <v>0</v>
      </c>
      <c r="AO25" s="28">
        <v>0</v>
      </c>
      <c r="AP25" s="28">
        <v>0</v>
      </c>
      <c r="AQ25" s="28">
        <v>0</v>
      </c>
      <c r="AR25" s="28">
        <v>0</v>
      </c>
      <c r="AS25" s="28">
        <v>0</v>
      </c>
      <c r="AT25" s="28">
        <v>0</v>
      </c>
      <c r="AU25" s="28">
        <v>0</v>
      </c>
      <c r="AV25" s="28">
        <v>0</v>
      </c>
      <c r="AW25" s="28">
        <v>0</v>
      </c>
      <c r="AX25" s="28">
        <v>0</v>
      </c>
      <c r="AY25" s="28">
        <v>0</v>
      </c>
      <c r="AZ25" s="28">
        <v>0</v>
      </c>
      <c r="BA25" s="28">
        <v>0</v>
      </c>
      <c r="BB25" s="28">
        <v>0</v>
      </c>
      <c r="BC25" s="28">
        <v>0</v>
      </c>
      <c r="BD25" s="28">
        <v>0</v>
      </c>
      <c r="BE25" s="28">
        <v>0</v>
      </c>
      <c r="BF25" s="28">
        <v>0</v>
      </c>
      <c r="BG25" s="28">
        <v>0</v>
      </c>
      <c r="BH25" s="28">
        <v>0</v>
      </c>
      <c r="BI25" s="28">
        <v>0</v>
      </c>
      <c r="BJ25" s="28">
        <v>0</v>
      </c>
      <c r="BK25" s="28">
        <v>0</v>
      </c>
      <c r="BL25" s="28">
        <v>0</v>
      </c>
      <c r="BM25" s="28">
        <v>1.0569999999999999</v>
      </c>
      <c r="BN25" s="28">
        <v>0</v>
      </c>
      <c r="BO25" s="28">
        <v>0</v>
      </c>
      <c r="BP25" s="28">
        <v>0</v>
      </c>
      <c r="BQ25" s="28">
        <v>0</v>
      </c>
      <c r="BR25" s="28">
        <v>0</v>
      </c>
      <c r="BS25" s="28">
        <v>0</v>
      </c>
      <c r="BT25" s="28">
        <v>0</v>
      </c>
      <c r="BU25" s="28">
        <v>0</v>
      </c>
      <c r="BV25" s="28">
        <v>0</v>
      </c>
      <c r="BW25" s="28">
        <v>0</v>
      </c>
      <c r="BX25" s="28">
        <v>0</v>
      </c>
      <c r="BY25" s="28">
        <v>0</v>
      </c>
      <c r="BZ25" s="28">
        <v>0</v>
      </c>
      <c r="CA25" s="28">
        <v>0</v>
      </c>
      <c r="CB25" s="28">
        <v>0</v>
      </c>
      <c r="CC25" s="28">
        <v>0</v>
      </c>
      <c r="CD25" s="28">
        <v>0</v>
      </c>
      <c r="CE25" s="28">
        <v>0</v>
      </c>
      <c r="CF25" s="28">
        <v>0</v>
      </c>
      <c r="CG25" s="28">
        <v>0</v>
      </c>
      <c r="CH25" s="28">
        <v>0</v>
      </c>
      <c r="CI25" s="28">
        <v>0</v>
      </c>
      <c r="CJ25" s="28">
        <v>0</v>
      </c>
      <c r="CK25" s="28">
        <v>0</v>
      </c>
      <c r="CL25" s="28">
        <v>0</v>
      </c>
      <c r="CM25" s="28">
        <v>0</v>
      </c>
      <c r="CN25" s="28">
        <v>0</v>
      </c>
      <c r="CO25" s="28">
        <v>0</v>
      </c>
      <c r="CP25" s="28">
        <v>0</v>
      </c>
      <c r="CQ25" s="28">
        <v>0</v>
      </c>
      <c r="CR25" s="28">
        <v>0</v>
      </c>
      <c r="CS25" s="28">
        <v>0</v>
      </c>
      <c r="CT25" s="28">
        <v>0</v>
      </c>
      <c r="CU25" s="28">
        <v>0</v>
      </c>
      <c r="CV25" s="28">
        <v>0</v>
      </c>
      <c r="CW25" s="28">
        <v>0</v>
      </c>
      <c r="CX25" s="28">
        <v>0</v>
      </c>
      <c r="CY25" s="28">
        <v>0</v>
      </c>
      <c r="CZ25" s="28">
        <v>0</v>
      </c>
      <c r="DA25" s="28">
        <v>0</v>
      </c>
      <c r="DB25" s="28">
        <v>0</v>
      </c>
      <c r="DC25" s="28">
        <v>0</v>
      </c>
      <c r="DD25" s="28">
        <v>0</v>
      </c>
      <c r="DE25" s="28">
        <v>0</v>
      </c>
      <c r="DF25" s="28">
        <v>0</v>
      </c>
      <c r="DG25" s="28">
        <v>0.80099999999999993</v>
      </c>
      <c r="DH25" s="28">
        <v>0</v>
      </c>
      <c r="DI25" s="28">
        <v>0</v>
      </c>
      <c r="DJ25" s="28">
        <v>0</v>
      </c>
      <c r="DK25" s="28">
        <v>0</v>
      </c>
      <c r="DL25" s="28">
        <v>0</v>
      </c>
      <c r="DM25" s="28">
        <v>0</v>
      </c>
      <c r="DN25" s="28">
        <v>0</v>
      </c>
      <c r="DO25" s="28">
        <v>0</v>
      </c>
      <c r="DP25" s="28">
        <v>0</v>
      </c>
      <c r="DQ25" s="28">
        <v>0</v>
      </c>
      <c r="DR25" s="28">
        <v>0</v>
      </c>
      <c r="DS25" s="28">
        <v>0</v>
      </c>
      <c r="DT25" s="28">
        <v>0.16600000000000001</v>
      </c>
      <c r="DU25" s="28">
        <v>0</v>
      </c>
      <c r="DV25" s="28">
        <v>0</v>
      </c>
      <c r="DW25" s="28">
        <v>4.3080645161290329E-2</v>
      </c>
      <c r="DX25" s="34">
        <v>5.3420000000000014</v>
      </c>
    </row>
    <row r="26" spans="1:128" x14ac:dyDescent="0.25">
      <c r="A26" s="24">
        <v>25</v>
      </c>
      <c r="B26" s="26">
        <v>12</v>
      </c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0</v>
      </c>
      <c r="I26" s="28">
        <v>0</v>
      </c>
      <c r="J26" s="28">
        <v>0</v>
      </c>
      <c r="K26" s="28">
        <v>0</v>
      </c>
      <c r="L26" s="28">
        <v>0</v>
      </c>
      <c r="M26" s="28">
        <v>0</v>
      </c>
      <c r="N26" s="28">
        <v>0</v>
      </c>
      <c r="O26" s="28">
        <v>0</v>
      </c>
      <c r="P26" s="28">
        <v>0</v>
      </c>
      <c r="Q26" s="28">
        <v>0</v>
      </c>
      <c r="R26" s="28">
        <v>0</v>
      </c>
      <c r="S26" s="28">
        <v>0</v>
      </c>
      <c r="T26" s="28">
        <v>0</v>
      </c>
      <c r="U26" s="28">
        <v>0</v>
      </c>
      <c r="V26" s="28">
        <v>0</v>
      </c>
      <c r="W26" s="28">
        <v>0</v>
      </c>
      <c r="X26" s="28">
        <v>0</v>
      </c>
      <c r="Y26" s="28">
        <v>0</v>
      </c>
      <c r="Z26" s="28">
        <v>0</v>
      </c>
      <c r="AA26" s="28">
        <v>0</v>
      </c>
      <c r="AB26" s="28">
        <v>0</v>
      </c>
      <c r="AC26" s="28">
        <v>0</v>
      </c>
      <c r="AD26" s="28">
        <v>0</v>
      </c>
      <c r="AE26" s="28">
        <v>0</v>
      </c>
      <c r="AF26" s="28">
        <v>0</v>
      </c>
      <c r="AG26" s="28">
        <v>0</v>
      </c>
      <c r="AH26" s="28">
        <v>0</v>
      </c>
      <c r="AI26" s="28">
        <v>0</v>
      </c>
      <c r="AJ26" s="28">
        <v>0</v>
      </c>
      <c r="AK26" s="28">
        <v>0</v>
      </c>
      <c r="AL26" s="28">
        <v>0</v>
      </c>
      <c r="AM26" s="28">
        <v>0</v>
      </c>
      <c r="AN26" s="28">
        <v>0</v>
      </c>
      <c r="AO26" s="28">
        <v>0</v>
      </c>
      <c r="AP26" s="28">
        <v>0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0</v>
      </c>
      <c r="AY26" s="28">
        <v>0</v>
      </c>
      <c r="AZ26" s="28">
        <v>0</v>
      </c>
      <c r="BA26" s="28">
        <v>0</v>
      </c>
      <c r="BB26" s="28">
        <v>0</v>
      </c>
      <c r="BC26" s="28">
        <v>0</v>
      </c>
      <c r="BD26" s="28">
        <v>3.7999999999999999E-2</v>
      </c>
      <c r="BE26" s="28">
        <v>0</v>
      </c>
      <c r="BF26" s="28">
        <v>0</v>
      </c>
      <c r="BG26" s="28">
        <v>0</v>
      </c>
      <c r="BH26" s="28">
        <v>0</v>
      </c>
      <c r="BI26" s="28">
        <v>0</v>
      </c>
      <c r="BJ26" s="28">
        <v>0</v>
      </c>
      <c r="BK26" s="28">
        <v>0</v>
      </c>
      <c r="BL26" s="28">
        <v>0</v>
      </c>
      <c r="BM26" s="28">
        <v>0.92</v>
      </c>
      <c r="BN26" s="28">
        <v>0</v>
      </c>
      <c r="BO26" s="28">
        <v>0</v>
      </c>
      <c r="BP26" s="28">
        <v>0</v>
      </c>
      <c r="BQ26" s="28">
        <v>0</v>
      </c>
      <c r="BR26" s="28">
        <v>0</v>
      </c>
      <c r="BS26" s="28">
        <v>0</v>
      </c>
      <c r="BT26" s="28">
        <v>0</v>
      </c>
      <c r="BU26" s="28">
        <v>0</v>
      </c>
      <c r="BV26" s="28">
        <v>0</v>
      </c>
      <c r="BW26" s="28">
        <v>0</v>
      </c>
      <c r="BX26" s="28">
        <v>0</v>
      </c>
      <c r="BY26" s="28">
        <v>0</v>
      </c>
      <c r="BZ26" s="28">
        <v>0</v>
      </c>
      <c r="CA26" s="28">
        <v>0</v>
      </c>
      <c r="CB26" s="28">
        <v>0</v>
      </c>
      <c r="CC26" s="28">
        <v>0</v>
      </c>
      <c r="CD26" s="28">
        <v>0</v>
      </c>
      <c r="CE26" s="28">
        <v>0</v>
      </c>
      <c r="CF26" s="28">
        <v>0</v>
      </c>
      <c r="CG26" s="28">
        <v>0</v>
      </c>
      <c r="CH26" s="28">
        <v>0</v>
      </c>
      <c r="CI26" s="28">
        <v>0</v>
      </c>
      <c r="CJ26" s="28">
        <v>0</v>
      </c>
      <c r="CK26" s="28">
        <v>0</v>
      </c>
      <c r="CL26" s="28">
        <v>0</v>
      </c>
      <c r="CM26" s="28">
        <v>0</v>
      </c>
      <c r="CN26" s="28">
        <v>0</v>
      </c>
      <c r="CO26" s="28">
        <v>0</v>
      </c>
      <c r="CP26" s="28">
        <v>0</v>
      </c>
      <c r="CQ26" s="28">
        <v>0</v>
      </c>
      <c r="CR26" s="28">
        <v>0</v>
      </c>
      <c r="CS26" s="28">
        <v>0</v>
      </c>
      <c r="CT26" s="28">
        <v>0</v>
      </c>
      <c r="CU26" s="28">
        <v>0</v>
      </c>
      <c r="CV26" s="28">
        <v>0</v>
      </c>
      <c r="CW26" s="28">
        <v>0</v>
      </c>
      <c r="CX26" s="28">
        <v>0</v>
      </c>
      <c r="CY26" s="28">
        <v>0</v>
      </c>
      <c r="CZ26" s="28">
        <v>0</v>
      </c>
      <c r="DA26" s="28">
        <v>0</v>
      </c>
      <c r="DB26" s="28">
        <v>0</v>
      </c>
      <c r="DC26" s="28">
        <v>0</v>
      </c>
      <c r="DD26" s="28">
        <v>0</v>
      </c>
      <c r="DE26" s="28">
        <v>0</v>
      </c>
      <c r="DF26" s="28">
        <v>0</v>
      </c>
      <c r="DG26" s="28">
        <v>0</v>
      </c>
      <c r="DH26" s="28">
        <v>0</v>
      </c>
      <c r="DI26" s="28">
        <v>0</v>
      </c>
      <c r="DJ26" s="28">
        <v>0</v>
      </c>
      <c r="DK26" s="28">
        <v>0</v>
      </c>
      <c r="DL26" s="28">
        <v>0</v>
      </c>
      <c r="DM26" s="28">
        <v>0</v>
      </c>
      <c r="DN26" s="28">
        <v>0</v>
      </c>
      <c r="DO26" s="28">
        <v>0</v>
      </c>
      <c r="DP26" s="28">
        <v>1.6E-2</v>
      </c>
      <c r="DQ26" s="28">
        <v>0</v>
      </c>
      <c r="DR26" s="28">
        <v>0</v>
      </c>
      <c r="DS26" s="28">
        <v>0</v>
      </c>
      <c r="DT26" s="28">
        <v>0</v>
      </c>
      <c r="DU26" s="28">
        <v>0</v>
      </c>
      <c r="DV26" s="28">
        <v>1.2869999999999999</v>
      </c>
      <c r="DW26" s="28">
        <v>1.8233870967741941E-2</v>
      </c>
      <c r="DX26" s="34">
        <v>2.2610000000000001</v>
      </c>
    </row>
    <row r="27" spans="1:128" x14ac:dyDescent="0.25">
      <c r="A27" s="24">
        <v>26</v>
      </c>
      <c r="B27" s="26">
        <v>12.5</v>
      </c>
      <c r="C27" s="28">
        <v>0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0</v>
      </c>
      <c r="L27" s="28">
        <v>0</v>
      </c>
      <c r="M27" s="28">
        <v>0</v>
      </c>
      <c r="N27" s="28">
        <v>0</v>
      </c>
      <c r="O27" s="28">
        <v>0</v>
      </c>
      <c r="P27" s="28">
        <v>0</v>
      </c>
      <c r="Q27" s="28">
        <v>0</v>
      </c>
      <c r="R27" s="28">
        <v>0.47499999999999998</v>
      </c>
      <c r="S27" s="28">
        <v>0</v>
      </c>
      <c r="T27" s="28">
        <v>0</v>
      </c>
      <c r="U27" s="28">
        <v>0</v>
      </c>
      <c r="V27" s="28">
        <v>0</v>
      </c>
      <c r="W27" s="28">
        <v>0</v>
      </c>
      <c r="X27" s="28">
        <v>0</v>
      </c>
      <c r="Y27" s="28">
        <v>0</v>
      </c>
      <c r="Z27" s="28">
        <v>0</v>
      </c>
      <c r="AA27" s="28">
        <v>0</v>
      </c>
      <c r="AB27" s="28">
        <v>0</v>
      </c>
      <c r="AC27" s="28">
        <v>0</v>
      </c>
      <c r="AD27" s="28">
        <v>0</v>
      </c>
      <c r="AE27" s="28">
        <v>0</v>
      </c>
      <c r="AF27" s="28">
        <v>0</v>
      </c>
      <c r="AG27" s="28">
        <v>0</v>
      </c>
      <c r="AH27" s="28">
        <v>0</v>
      </c>
      <c r="AI27" s="28">
        <v>0</v>
      </c>
      <c r="AJ27" s="28">
        <v>0</v>
      </c>
      <c r="AK27" s="28">
        <v>0</v>
      </c>
      <c r="AL27" s="28">
        <v>0</v>
      </c>
      <c r="AM27" s="28">
        <v>0</v>
      </c>
      <c r="AN27" s="28">
        <v>0</v>
      </c>
      <c r="AO27" s="28">
        <v>0</v>
      </c>
      <c r="AP27" s="28">
        <v>0</v>
      </c>
      <c r="AQ27" s="28">
        <v>0</v>
      </c>
      <c r="AR27" s="28">
        <v>0</v>
      </c>
      <c r="AS27" s="28">
        <v>0.13700000000000001</v>
      </c>
      <c r="AT27" s="28">
        <v>0</v>
      </c>
      <c r="AU27" s="28">
        <v>0</v>
      </c>
      <c r="AV27" s="28">
        <v>0</v>
      </c>
      <c r="AW27" s="28">
        <v>0</v>
      </c>
      <c r="AX27" s="28">
        <v>0</v>
      </c>
      <c r="AY27" s="28">
        <v>0</v>
      </c>
      <c r="AZ27" s="28">
        <v>0</v>
      </c>
      <c r="BA27" s="28">
        <v>0</v>
      </c>
      <c r="BB27" s="28">
        <v>0</v>
      </c>
      <c r="BC27" s="28">
        <v>0</v>
      </c>
      <c r="BD27" s="28">
        <v>0</v>
      </c>
      <c r="BE27" s="28">
        <v>0</v>
      </c>
      <c r="BF27" s="28">
        <v>0</v>
      </c>
      <c r="BG27" s="28">
        <v>0</v>
      </c>
      <c r="BH27" s="28">
        <v>0</v>
      </c>
      <c r="BI27" s="28">
        <v>0</v>
      </c>
      <c r="BJ27" s="28">
        <v>0</v>
      </c>
      <c r="BK27" s="28">
        <v>0</v>
      </c>
      <c r="BL27" s="28">
        <v>0</v>
      </c>
      <c r="BM27" s="28">
        <v>0</v>
      </c>
      <c r="BN27" s="28">
        <v>0</v>
      </c>
      <c r="BO27" s="28">
        <v>0</v>
      </c>
      <c r="BP27" s="28">
        <v>0</v>
      </c>
      <c r="BQ27" s="28">
        <v>0</v>
      </c>
      <c r="BR27" s="28">
        <v>0</v>
      </c>
      <c r="BS27" s="28">
        <v>0</v>
      </c>
      <c r="BT27" s="28">
        <v>0</v>
      </c>
      <c r="BU27" s="28">
        <v>0</v>
      </c>
      <c r="BV27" s="28">
        <v>0</v>
      </c>
      <c r="BW27" s="28">
        <v>0</v>
      </c>
      <c r="BX27" s="28">
        <v>0</v>
      </c>
      <c r="BY27" s="28">
        <v>0</v>
      </c>
      <c r="BZ27" s="28">
        <v>0</v>
      </c>
      <c r="CA27" s="28">
        <v>0</v>
      </c>
      <c r="CB27" s="28">
        <v>0</v>
      </c>
      <c r="CC27" s="28">
        <v>0</v>
      </c>
      <c r="CD27" s="28">
        <v>0</v>
      </c>
      <c r="CE27" s="28">
        <v>0</v>
      </c>
      <c r="CF27" s="28">
        <v>0</v>
      </c>
      <c r="CG27" s="28">
        <v>0</v>
      </c>
      <c r="CH27" s="28">
        <v>0</v>
      </c>
      <c r="CI27" s="28">
        <v>0</v>
      </c>
      <c r="CJ27" s="28">
        <v>0</v>
      </c>
      <c r="CK27" s="28">
        <v>0</v>
      </c>
      <c r="CL27" s="28">
        <v>0</v>
      </c>
      <c r="CM27" s="28">
        <v>0</v>
      </c>
      <c r="CN27" s="28">
        <v>0</v>
      </c>
      <c r="CO27" s="28">
        <v>0</v>
      </c>
      <c r="CP27" s="28">
        <v>0</v>
      </c>
      <c r="CQ27" s="28">
        <v>0</v>
      </c>
      <c r="CR27" s="28">
        <v>0</v>
      </c>
      <c r="CS27" s="28">
        <v>0</v>
      </c>
      <c r="CT27" s="28">
        <v>0</v>
      </c>
      <c r="CU27" s="28">
        <v>0</v>
      </c>
      <c r="CV27" s="28">
        <v>0</v>
      </c>
      <c r="CW27" s="28">
        <v>0</v>
      </c>
      <c r="CX27" s="28">
        <v>0</v>
      </c>
      <c r="CY27" s="28">
        <v>0</v>
      </c>
      <c r="CZ27" s="28">
        <v>0</v>
      </c>
      <c r="DA27" s="28">
        <v>0</v>
      </c>
      <c r="DB27" s="28">
        <v>0</v>
      </c>
      <c r="DC27" s="28">
        <v>0</v>
      </c>
      <c r="DD27" s="28">
        <v>0</v>
      </c>
      <c r="DE27" s="28">
        <v>0</v>
      </c>
      <c r="DF27" s="28">
        <v>0</v>
      </c>
      <c r="DG27" s="28">
        <v>0</v>
      </c>
      <c r="DH27" s="28">
        <v>0</v>
      </c>
      <c r="DI27" s="28">
        <v>0</v>
      </c>
      <c r="DJ27" s="28">
        <v>0</v>
      </c>
      <c r="DK27" s="28">
        <v>0</v>
      </c>
      <c r="DL27" s="28">
        <v>0</v>
      </c>
      <c r="DM27" s="28">
        <v>0</v>
      </c>
      <c r="DN27" s="28">
        <v>0</v>
      </c>
      <c r="DO27" s="28">
        <v>0</v>
      </c>
      <c r="DP27" s="28">
        <v>0</v>
      </c>
      <c r="DQ27" s="28">
        <v>0</v>
      </c>
      <c r="DR27" s="28">
        <v>0</v>
      </c>
      <c r="DS27" s="28">
        <v>0</v>
      </c>
      <c r="DT27" s="28">
        <v>0</v>
      </c>
      <c r="DU27" s="28">
        <v>0</v>
      </c>
      <c r="DV27" s="28">
        <v>0</v>
      </c>
      <c r="DW27" s="28">
        <v>4.9354838709677424E-3</v>
      </c>
      <c r="DX27" s="34">
        <v>0.61199999999999999</v>
      </c>
    </row>
    <row r="28" spans="1:128" x14ac:dyDescent="0.25">
      <c r="A28" s="24">
        <v>27</v>
      </c>
      <c r="B28" s="26">
        <v>13</v>
      </c>
      <c r="C28" s="28">
        <v>0</v>
      </c>
      <c r="D28" s="28">
        <v>0</v>
      </c>
      <c r="E28" s="28">
        <v>0</v>
      </c>
      <c r="F28" s="28">
        <v>0</v>
      </c>
      <c r="G28" s="28">
        <v>0</v>
      </c>
      <c r="H28" s="28">
        <v>0</v>
      </c>
      <c r="I28" s="28">
        <v>0</v>
      </c>
      <c r="J28" s="28">
        <v>0</v>
      </c>
      <c r="K28" s="28">
        <v>0</v>
      </c>
      <c r="L28" s="28">
        <v>0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0</v>
      </c>
      <c r="S28" s="28">
        <v>0</v>
      </c>
      <c r="T28" s="28">
        <v>0</v>
      </c>
      <c r="U28" s="28">
        <v>0</v>
      </c>
      <c r="V28" s="28">
        <v>0</v>
      </c>
      <c r="W28" s="28">
        <v>0</v>
      </c>
      <c r="X28" s="28">
        <v>0</v>
      </c>
      <c r="Y28" s="28">
        <v>0</v>
      </c>
      <c r="Z28" s="28">
        <v>0</v>
      </c>
      <c r="AA28" s="28">
        <v>0</v>
      </c>
      <c r="AB28" s="28">
        <v>0</v>
      </c>
      <c r="AC28" s="28">
        <v>0</v>
      </c>
      <c r="AD28" s="28">
        <v>0</v>
      </c>
      <c r="AE28" s="28">
        <v>0</v>
      </c>
      <c r="AF28" s="28">
        <v>0</v>
      </c>
      <c r="AG28" s="28">
        <v>0</v>
      </c>
      <c r="AH28" s="28">
        <v>0</v>
      </c>
      <c r="AI28" s="28">
        <v>0</v>
      </c>
      <c r="AJ28" s="28">
        <v>0</v>
      </c>
      <c r="AK28" s="28">
        <v>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0</v>
      </c>
      <c r="AR28" s="28">
        <v>0</v>
      </c>
      <c r="AS28" s="28">
        <v>0</v>
      </c>
      <c r="AT28" s="28">
        <v>0</v>
      </c>
      <c r="AU28" s="28">
        <v>0</v>
      </c>
      <c r="AV28" s="28">
        <v>0</v>
      </c>
      <c r="AW28" s="28">
        <v>0</v>
      </c>
      <c r="AX28" s="28">
        <v>0</v>
      </c>
      <c r="AY28" s="28">
        <v>0</v>
      </c>
      <c r="AZ28" s="28">
        <v>0</v>
      </c>
      <c r="BA28" s="28">
        <v>0</v>
      </c>
      <c r="BB28" s="28">
        <v>0</v>
      </c>
      <c r="BC28" s="28">
        <v>0</v>
      </c>
      <c r="BD28" s="28">
        <v>0.32600000000000001</v>
      </c>
      <c r="BE28" s="28">
        <v>0</v>
      </c>
      <c r="BF28" s="28">
        <v>0</v>
      </c>
      <c r="BG28" s="28">
        <v>0</v>
      </c>
      <c r="BH28" s="28">
        <v>0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0</v>
      </c>
      <c r="BP28" s="28">
        <v>0</v>
      </c>
      <c r="BQ28" s="28">
        <v>0</v>
      </c>
      <c r="BR28" s="28">
        <v>0</v>
      </c>
      <c r="BS28" s="28">
        <v>0</v>
      </c>
      <c r="BT28" s="28">
        <v>0</v>
      </c>
      <c r="BU28" s="28">
        <v>0</v>
      </c>
      <c r="BV28" s="28">
        <v>0</v>
      </c>
      <c r="BW28" s="28">
        <v>0</v>
      </c>
      <c r="BX28" s="28">
        <v>0</v>
      </c>
      <c r="BY28" s="28">
        <v>0</v>
      </c>
      <c r="BZ28" s="28">
        <v>0</v>
      </c>
      <c r="CA28" s="28">
        <v>0</v>
      </c>
      <c r="CB28" s="28">
        <v>0</v>
      </c>
      <c r="CC28" s="28">
        <v>0</v>
      </c>
      <c r="CD28" s="28">
        <v>0</v>
      </c>
      <c r="CE28" s="28">
        <v>0</v>
      </c>
      <c r="CF28" s="28">
        <v>0</v>
      </c>
      <c r="CG28" s="28">
        <v>0</v>
      </c>
      <c r="CH28" s="28">
        <v>0</v>
      </c>
      <c r="CI28" s="28">
        <v>0</v>
      </c>
      <c r="CJ28" s="28">
        <v>0</v>
      </c>
      <c r="CK28" s="28">
        <v>0</v>
      </c>
      <c r="CL28" s="28">
        <v>0</v>
      </c>
      <c r="CM28" s="28">
        <v>0</v>
      </c>
      <c r="CN28" s="28">
        <v>0</v>
      </c>
      <c r="CO28" s="28">
        <v>0</v>
      </c>
      <c r="CP28" s="28">
        <v>0</v>
      </c>
      <c r="CQ28" s="28">
        <v>0</v>
      </c>
      <c r="CR28" s="28">
        <v>0</v>
      </c>
      <c r="CS28" s="28">
        <v>0</v>
      </c>
      <c r="CT28" s="28">
        <v>0</v>
      </c>
      <c r="CU28" s="28">
        <v>0</v>
      </c>
      <c r="CV28" s="28">
        <v>0</v>
      </c>
      <c r="CW28" s="28">
        <v>0</v>
      </c>
      <c r="CX28" s="28">
        <v>0</v>
      </c>
      <c r="CY28" s="28">
        <v>0</v>
      </c>
      <c r="CZ28" s="28">
        <v>0</v>
      </c>
      <c r="DA28" s="28">
        <v>0</v>
      </c>
      <c r="DB28" s="28">
        <v>0</v>
      </c>
      <c r="DC28" s="28">
        <v>0</v>
      </c>
      <c r="DD28" s="28">
        <v>0</v>
      </c>
      <c r="DE28" s="28">
        <v>0</v>
      </c>
      <c r="DF28" s="28">
        <v>0</v>
      </c>
      <c r="DG28" s="28">
        <v>0</v>
      </c>
      <c r="DH28" s="28">
        <v>0</v>
      </c>
      <c r="DI28" s="28">
        <v>0</v>
      </c>
      <c r="DJ28" s="28">
        <v>0</v>
      </c>
      <c r="DK28" s="28">
        <v>0</v>
      </c>
      <c r="DL28" s="28">
        <v>0</v>
      </c>
      <c r="DM28" s="28">
        <v>0</v>
      </c>
      <c r="DN28" s="28">
        <v>0</v>
      </c>
      <c r="DO28" s="28">
        <v>0</v>
      </c>
      <c r="DP28" s="28">
        <v>0</v>
      </c>
      <c r="DQ28" s="28">
        <v>0</v>
      </c>
      <c r="DR28" s="28">
        <v>0</v>
      </c>
      <c r="DS28" s="28">
        <v>0</v>
      </c>
      <c r="DT28" s="28">
        <v>0</v>
      </c>
      <c r="DU28" s="28">
        <v>0</v>
      </c>
      <c r="DV28" s="28">
        <v>0</v>
      </c>
      <c r="DW28" s="28">
        <v>2.6290322580645158E-3</v>
      </c>
      <c r="DX28" s="34">
        <v>0.32600000000000001</v>
      </c>
    </row>
    <row r="29" spans="1:128" x14ac:dyDescent="0.25">
      <c r="A29" s="24">
        <v>28</v>
      </c>
      <c r="B29" s="26">
        <v>13.5</v>
      </c>
      <c r="C29" s="28">
        <v>0</v>
      </c>
      <c r="D29" s="28">
        <v>0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8">
        <v>0</v>
      </c>
      <c r="K29" s="28">
        <v>0</v>
      </c>
      <c r="L29" s="28">
        <v>0</v>
      </c>
      <c r="M29" s="28">
        <v>0</v>
      </c>
      <c r="N29" s="28">
        <v>0</v>
      </c>
      <c r="O29" s="28">
        <v>0</v>
      </c>
      <c r="P29" s="28">
        <v>0</v>
      </c>
      <c r="Q29" s="28">
        <v>0</v>
      </c>
      <c r="R29" s="28">
        <v>0</v>
      </c>
      <c r="S29" s="28">
        <v>0</v>
      </c>
      <c r="T29" s="28">
        <v>0</v>
      </c>
      <c r="U29" s="28">
        <v>0</v>
      </c>
      <c r="V29" s="28">
        <v>0</v>
      </c>
      <c r="W29" s="28">
        <v>0</v>
      </c>
      <c r="X29" s="28">
        <v>0</v>
      </c>
      <c r="Y29" s="28">
        <v>0</v>
      </c>
      <c r="Z29" s="28">
        <v>0</v>
      </c>
      <c r="AA29" s="28">
        <v>0</v>
      </c>
      <c r="AB29" s="28">
        <v>0</v>
      </c>
      <c r="AC29" s="28">
        <v>0</v>
      </c>
      <c r="AD29" s="28">
        <v>0</v>
      </c>
      <c r="AE29" s="28">
        <v>0</v>
      </c>
      <c r="AF29" s="28">
        <v>0</v>
      </c>
      <c r="AG29" s="28">
        <v>0</v>
      </c>
      <c r="AH29" s="28">
        <v>0</v>
      </c>
      <c r="AI29" s="28">
        <v>0</v>
      </c>
      <c r="AJ29" s="28">
        <v>0</v>
      </c>
      <c r="AK29" s="28">
        <v>0</v>
      </c>
      <c r="AL29" s="28">
        <v>0</v>
      </c>
      <c r="AM29" s="28">
        <v>0</v>
      </c>
      <c r="AN29" s="28">
        <v>0</v>
      </c>
      <c r="AO29" s="28">
        <v>0</v>
      </c>
      <c r="AP29" s="28">
        <v>0</v>
      </c>
      <c r="AQ29" s="28">
        <v>0</v>
      </c>
      <c r="AR29" s="28">
        <v>0</v>
      </c>
      <c r="AS29" s="28">
        <v>0</v>
      </c>
      <c r="AT29" s="28">
        <v>0</v>
      </c>
      <c r="AU29" s="28">
        <v>0</v>
      </c>
      <c r="AV29" s="28">
        <v>0</v>
      </c>
      <c r="AW29" s="28">
        <v>0</v>
      </c>
      <c r="AX29" s="28">
        <v>0</v>
      </c>
      <c r="AY29" s="28">
        <v>0</v>
      </c>
      <c r="AZ29" s="28">
        <v>0.38600000000000001</v>
      </c>
      <c r="BA29" s="28">
        <v>0</v>
      </c>
      <c r="BB29" s="28">
        <v>0</v>
      </c>
      <c r="BC29" s="28">
        <v>0</v>
      </c>
      <c r="BD29" s="28">
        <v>0</v>
      </c>
      <c r="BE29" s="28">
        <v>0</v>
      </c>
      <c r="BF29" s="28">
        <v>0</v>
      </c>
      <c r="BG29" s="28">
        <v>0</v>
      </c>
      <c r="BH29" s="28">
        <v>0</v>
      </c>
      <c r="BI29" s="28">
        <v>0</v>
      </c>
      <c r="BJ29" s="28">
        <v>0</v>
      </c>
      <c r="BK29" s="28">
        <v>0</v>
      </c>
      <c r="BL29" s="28">
        <v>0</v>
      </c>
      <c r="BM29" s="28">
        <v>0</v>
      </c>
      <c r="BN29" s="28">
        <v>0</v>
      </c>
      <c r="BO29" s="28">
        <v>0</v>
      </c>
      <c r="BP29" s="28">
        <v>0</v>
      </c>
      <c r="BQ29" s="28">
        <v>0</v>
      </c>
      <c r="BR29" s="28">
        <v>0</v>
      </c>
      <c r="BS29" s="28">
        <v>0</v>
      </c>
      <c r="BT29" s="28">
        <v>0</v>
      </c>
      <c r="BU29" s="28">
        <v>0</v>
      </c>
      <c r="BV29" s="28">
        <v>0</v>
      </c>
      <c r="BW29" s="28">
        <v>0</v>
      </c>
      <c r="BX29" s="28">
        <v>0</v>
      </c>
      <c r="BY29" s="28">
        <v>0</v>
      </c>
      <c r="BZ29" s="28">
        <v>0</v>
      </c>
      <c r="CA29" s="28">
        <v>0</v>
      </c>
      <c r="CB29" s="28">
        <v>0</v>
      </c>
      <c r="CC29" s="28">
        <v>0</v>
      </c>
      <c r="CD29" s="28">
        <v>0</v>
      </c>
      <c r="CE29" s="28">
        <v>0</v>
      </c>
      <c r="CF29" s="28">
        <v>0</v>
      </c>
      <c r="CG29" s="28">
        <v>0</v>
      </c>
      <c r="CH29" s="28">
        <v>0</v>
      </c>
      <c r="CI29" s="28">
        <v>0</v>
      </c>
      <c r="CJ29" s="28">
        <v>0</v>
      </c>
      <c r="CK29" s="28">
        <v>0</v>
      </c>
      <c r="CL29" s="28">
        <v>0</v>
      </c>
      <c r="CM29" s="28">
        <v>0</v>
      </c>
      <c r="CN29" s="28">
        <v>0</v>
      </c>
      <c r="CO29" s="28">
        <v>0</v>
      </c>
      <c r="CP29" s="28">
        <v>0</v>
      </c>
      <c r="CQ29" s="28">
        <v>0</v>
      </c>
      <c r="CR29" s="28">
        <v>0</v>
      </c>
      <c r="CS29" s="28">
        <v>0</v>
      </c>
      <c r="CT29" s="28">
        <v>0</v>
      </c>
      <c r="CU29" s="28">
        <v>0</v>
      </c>
      <c r="CV29" s="28">
        <v>0</v>
      </c>
      <c r="CW29" s="28">
        <v>0</v>
      </c>
      <c r="CX29" s="28">
        <v>0</v>
      </c>
      <c r="CY29" s="28">
        <v>0</v>
      </c>
      <c r="CZ29" s="28">
        <v>0</v>
      </c>
      <c r="DA29" s="28">
        <v>0</v>
      </c>
      <c r="DB29" s="28">
        <v>0</v>
      </c>
      <c r="DC29" s="28">
        <v>0</v>
      </c>
      <c r="DD29" s="28">
        <v>0</v>
      </c>
      <c r="DE29" s="28">
        <v>0</v>
      </c>
      <c r="DF29" s="28">
        <v>0</v>
      </c>
      <c r="DG29" s="28">
        <v>0</v>
      </c>
      <c r="DH29" s="28">
        <v>0</v>
      </c>
      <c r="DI29" s="28">
        <v>0</v>
      </c>
      <c r="DJ29" s="28">
        <v>0</v>
      </c>
      <c r="DK29" s="28">
        <v>0</v>
      </c>
      <c r="DL29" s="28">
        <v>0</v>
      </c>
      <c r="DM29" s="28">
        <v>0</v>
      </c>
      <c r="DN29" s="28">
        <v>0</v>
      </c>
      <c r="DO29" s="28">
        <v>0</v>
      </c>
      <c r="DP29" s="28">
        <v>0</v>
      </c>
      <c r="DQ29" s="28">
        <v>0</v>
      </c>
      <c r="DR29" s="28">
        <v>0</v>
      </c>
      <c r="DS29" s="28">
        <v>0</v>
      </c>
      <c r="DT29" s="28">
        <v>0</v>
      </c>
      <c r="DU29" s="28">
        <v>0</v>
      </c>
      <c r="DV29" s="28">
        <v>0</v>
      </c>
      <c r="DW29" s="28">
        <v>3.1129032258064519E-3</v>
      </c>
      <c r="DX29" s="34">
        <v>0.38600000000000001</v>
      </c>
    </row>
    <row r="30" spans="1:128" x14ac:dyDescent="0.25">
      <c r="A30" s="24">
        <v>29</v>
      </c>
      <c r="B30" s="26">
        <v>14</v>
      </c>
      <c r="C30" s="28">
        <v>0</v>
      </c>
      <c r="D30" s="28">
        <v>0</v>
      </c>
      <c r="E30" s="28">
        <v>0</v>
      </c>
      <c r="F30" s="28">
        <v>0</v>
      </c>
      <c r="G30" s="28">
        <v>0</v>
      </c>
      <c r="H30" s="28">
        <v>0</v>
      </c>
      <c r="I30" s="28">
        <v>0</v>
      </c>
      <c r="J30" s="28">
        <v>0</v>
      </c>
      <c r="K30" s="28">
        <v>0</v>
      </c>
      <c r="L30" s="28">
        <v>0</v>
      </c>
      <c r="M30" s="28">
        <v>0</v>
      </c>
      <c r="N30" s="28">
        <v>0</v>
      </c>
      <c r="O30" s="28">
        <v>0</v>
      </c>
      <c r="P30" s="28">
        <v>0</v>
      </c>
      <c r="Q30" s="28">
        <v>0</v>
      </c>
      <c r="R30" s="28">
        <v>0</v>
      </c>
      <c r="S30" s="28">
        <v>0</v>
      </c>
      <c r="T30" s="28">
        <v>0</v>
      </c>
      <c r="U30" s="28">
        <v>0</v>
      </c>
      <c r="V30" s="28">
        <v>0</v>
      </c>
      <c r="W30" s="28">
        <v>0</v>
      </c>
      <c r="X30" s="28">
        <v>0</v>
      </c>
      <c r="Y30" s="28">
        <v>0</v>
      </c>
      <c r="Z30" s="28">
        <v>0</v>
      </c>
      <c r="AA30" s="28">
        <v>0</v>
      </c>
      <c r="AB30" s="28">
        <v>0</v>
      </c>
      <c r="AC30" s="28">
        <v>0</v>
      </c>
      <c r="AD30" s="28">
        <v>0</v>
      </c>
      <c r="AE30" s="28">
        <v>0</v>
      </c>
      <c r="AF30" s="28">
        <v>0</v>
      </c>
      <c r="AG30" s="28">
        <v>0</v>
      </c>
      <c r="AH30" s="28">
        <v>0</v>
      </c>
      <c r="AI30" s="28">
        <v>0</v>
      </c>
      <c r="AJ30" s="28">
        <v>0</v>
      </c>
      <c r="AK30" s="28">
        <v>0</v>
      </c>
      <c r="AL30" s="28">
        <v>0</v>
      </c>
      <c r="AM30" s="28">
        <v>0</v>
      </c>
      <c r="AN30" s="28">
        <v>0</v>
      </c>
      <c r="AO30" s="28">
        <v>0</v>
      </c>
      <c r="AP30" s="28">
        <v>0</v>
      </c>
      <c r="AQ30" s="28">
        <v>0.747</v>
      </c>
      <c r="AR30" s="28">
        <v>0</v>
      </c>
      <c r="AS30" s="28">
        <v>0</v>
      </c>
      <c r="AT30" s="28">
        <v>0</v>
      </c>
      <c r="AU30" s="28">
        <v>0</v>
      </c>
      <c r="AV30" s="28">
        <v>0</v>
      </c>
      <c r="AW30" s="28">
        <v>0</v>
      </c>
      <c r="AX30" s="28">
        <v>0</v>
      </c>
      <c r="AY30" s="28">
        <v>0</v>
      </c>
      <c r="AZ30" s="28">
        <v>0.73099999999999998</v>
      </c>
      <c r="BA30" s="28">
        <v>0</v>
      </c>
      <c r="BB30" s="28">
        <v>0</v>
      </c>
      <c r="BC30" s="28">
        <v>0</v>
      </c>
      <c r="BD30" s="28">
        <v>0</v>
      </c>
      <c r="BE30" s="28">
        <v>0</v>
      </c>
      <c r="BF30" s="28">
        <v>0</v>
      </c>
      <c r="BG30" s="28">
        <v>0</v>
      </c>
      <c r="BH30" s="28">
        <v>0</v>
      </c>
      <c r="BI30" s="28">
        <v>0</v>
      </c>
      <c r="BJ30" s="28">
        <v>0</v>
      </c>
      <c r="BK30" s="28">
        <v>0</v>
      </c>
      <c r="BL30" s="28">
        <v>0</v>
      </c>
      <c r="BM30" s="28">
        <v>0</v>
      </c>
      <c r="BN30" s="28">
        <v>0</v>
      </c>
      <c r="BO30" s="28">
        <v>0</v>
      </c>
      <c r="BP30" s="28">
        <v>0</v>
      </c>
      <c r="BQ30" s="28">
        <v>0</v>
      </c>
      <c r="BR30" s="28">
        <v>0</v>
      </c>
      <c r="BS30" s="28">
        <v>0</v>
      </c>
      <c r="BT30" s="28">
        <v>0</v>
      </c>
      <c r="BU30" s="28">
        <v>0</v>
      </c>
      <c r="BV30" s="28">
        <v>0</v>
      </c>
      <c r="BW30" s="28">
        <v>0</v>
      </c>
      <c r="BX30" s="28">
        <v>0</v>
      </c>
      <c r="BY30" s="28">
        <v>0</v>
      </c>
      <c r="BZ30" s="28">
        <v>0</v>
      </c>
      <c r="CA30" s="28">
        <v>0</v>
      </c>
      <c r="CB30" s="28">
        <v>0</v>
      </c>
      <c r="CC30" s="28">
        <v>0</v>
      </c>
      <c r="CD30" s="28">
        <v>0</v>
      </c>
      <c r="CE30" s="28">
        <v>0</v>
      </c>
      <c r="CF30" s="28">
        <v>0</v>
      </c>
      <c r="CG30" s="28">
        <v>0</v>
      </c>
      <c r="CH30" s="28">
        <v>0</v>
      </c>
      <c r="CI30" s="28">
        <v>0</v>
      </c>
      <c r="CJ30" s="28">
        <v>0</v>
      </c>
      <c r="CK30" s="28">
        <v>0</v>
      </c>
      <c r="CL30" s="28">
        <v>0</v>
      </c>
      <c r="CM30" s="28">
        <v>0</v>
      </c>
      <c r="CN30" s="28">
        <v>0</v>
      </c>
      <c r="CO30" s="28">
        <v>0</v>
      </c>
      <c r="CP30" s="28">
        <v>0</v>
      </c>
      <c r="CQ30" s="28">
        <v>0</v>
      </c>
      <c r="CR30" s="28">
        <v>0</v>
      </c>
      <c r="CS30" s="28">
        <v>0</v>
      </c>
      <c r="CT30" s="28">
        <v>0</v>
      </c>
      <c r="CU30" s="28">
        <v>0</v>
      </c>
      <c r="CV30" s="28">
        <v>0</v>
      </c>
      <c r="CW30" s="28">
        <v>0</v>
      </c>
      <c r="CX30" s="28">
        <v>0</v>
      </c>
      <c r="CY30" s="28">
        <v>0</v>
      </c>
      <c r="CZ30" s="28">
        <v>0</v>
      </c>
      <c r="DA30" s="28">
        <v>0</v>
      </c>
      <c r="DB30" s="28">
        <v>0</v>
      </c>
      <c r="DC30" s="28">
        <v>0</v>
      </c>
      <c r="DD30" s="28">
        <v>0</v>
      </c>
      <c r="DE30" s="28">
        <v>0</v>
      </c>
      <c r="DF30" s="28">
        <v>0</v>
      </c>
      <c r="DG30" s="28">
        <v>0</v>
      </c>
      <c r="DH30" s="28">
        <v>0</v>
      </c>
      <c r="DI30" s="28">
        <v>0</v>
      </c>
      <c r="DJ30" s="28">
        <v>0</v>
      </c>
      <c r="DK30" s="28">
        <v>0</v>
      </c>
      <c r="DL30" s="28">
        <v>0</v>
      </c>
      <c r="DM30" s="28">
        <v>0</v>
      </c>
      <c r="DN30" s="28">
        <v>0</v>
      </c>
      <c r="DO30" s="28">
        <v>0</v>
      </c>
      <c r="DP30" s="28">
        <v>0</v>
      </c>
      <c r="DQ30" s="28">
        <v>0</v>
      </c>
      <c r="DR30" s="28">
        <v>0</v>
      </c>
      <c r="DS30" s="28">
        <v>0</v>
      </c>
      <c r="DT30" s="28">
        <v>0</v>
      </c>
      <c r="DU30" s="28">
        <v>0</v>
      </c>
      <c r="DV30" s="28">
        <v>0</v>
      </c>
      <c r="DW30" s="28">
        <v>1.191935483870968E-2</v>
      </c>
      <c r="DX30" s="34">
        <v>1.478</v>
      </c>
    </row>
    <row r="31" spans="1:128" x14ac:dyDescent="0.25">
      <c r="A31" s="24">
        <v>30</v>
      </c>
      <c r="B31" s="26">
        <v>14.5</v>
      </c>
      <c r="C31" s="28">
        <v>0</v>
      </c>
      <c r="D31" s="28">
        <v>0</v>
      </c>
      <c r="E31" s="28">
        <v>0</v>
      </c>
      <c r="F31" s="28">
        <v>0</v>
      </c>
      <c r="G31" s="28">
        <v>0</v>
      </c>
      <c r="H31" s="28">
        <v>0</v>
      </c>
      <c r="I31" s="28">
        <v>0</v>
      </c>
      <c r="J31" s="28">
        <v>0</v>
      </c>
      <c r="K31" s="28">
        <v>0</v>
      </c>
      <c r="L31" s="28">
        <v>0</v>
      </c>
      <c r="M31" s="28">
        <v>0</v>
      </c>
      <c r="N31" s="28">
        <v>0</v>
      </c>
      <c r="O31" s="28">
        <v>0</v>
      </c>
      <c r="P31" s="28">
        <v>0</v>
      </c>
      <c r="Q31" s="28">
        <v>0.35699999999999998</v>
      </c>
      <c r="R31" s="28">
        <v>0</v>
      </c>
      <c r="S31" s="28">
        <v>0</v>
      </c>
      <c r="T31" s="28">
        <v>0</v>
      </c>
      <c r="U31" s="28">
        <v>0</v>
      </c>
      <c r="V31" s="28">
        <v>0</v>
      </c>
      <c r="W31" s="28">
        <v>0</v>
      </c>
      <c r="X31" s="28">
        <v>0</v>
      </c>
      <c r="Y31" s="28">
        <v>0</v>
      </c>
      <c r="Z31" s="28">
        <v>0</v>
      </c>
      <c r="AA31" s="28">
        <v>0</v>
      </c>
      <c r="AB31" s="28">
        <v>0</v>
      </c>
      <c r="AC31" s="28">
        <v>0</v>
      </c>
      <c r="AD31" s="28">
        <v>0</v>
      </c>
      <c r="AE31" s="28">
        <v>0</v>
      </c>
      <c r="AF31" s="28">
        <v>0</v>
      </c>
      <c r="AG31" s="28">
        <v>0</v>
      </c>
      <c r="AH31" s="28">
        <v>0</v>
      </c>
      <c r="AI31" s="28">
        <v>0</v>
      </c>
      <c r="AJ31" s="28">
        <v>0</v>
      </c>
      <c r="AK31" s="28">
        <v>0</v>
      </c>
      <c r="AL31" s="28">
        <v>0</v>
      </c>
      <c r="AM31" s="28">
        <v>0</v>
      </c>
      <c r="AN31" s="28">
        <v>0</v>
      </c>
      <c r="AO31" s="28">
        <v>0</v>
      </c>
      <c r="AP31" s="28">
        <v>0</v>
      </c>
      <c r="AQ31" s="28">
        <v>0</v>
      </c>
      <c r="AR31" s="28">
        <v>0</v>
      </c>
      <c r="AS31" s="28">
        <v>0.71699999999999997</v>
      </c>
      <c r="AT31" s="28">
        <v>0</v>
      </c>
      <c r="AU31" s="28">
        <v>0</v>
      </c>
      <c r="AV31" s="28">
        <v>0</v>
      </c>
      <c r="AW31" s="28">
        <v>0</v>
      </c>
      <c r="AX31" s="28">
        <v>0</v>
      </c>
      <c r="AY31" s="28">
        <v>0</v>
      </c>
      <c r="AZ31" s="28">
        <v>0</v>
      </c>
      <c r="BA31" s="28">
        <v>0</v>
      </c>
      <c r="BB31" s="28">
        <v>0</v>
      </c>
      <c r="BC31" s="28">
        <v>0</v>
      </c>
      <c r="BD31" s="28">
        <v>0</v>
      </c>
      <c r="BE31" s="28">
        <v>0</v>
      </c>
      <c r="BF31" s="28">
        <v>0</v>
      </c>
      <c r="BG31" s="28">
        <v>0</v>
      </c>
      <c r="BH31" s="28">
        <v>0</v>
      </c>
      <c r="BI31" s="28">
        <v>0</v>
      </c>
      <c r="BJ31" s="28">
        <v>0</v>
      </c>
      <c r="BK31" s="28">
        <v>0</v>
      </c>
      <c r="BL31" s="28">
        <v>0</v>
      </c>
      <c r="BM31" s="28">
        <v>0</v>
      </c>
      <c r="BN31" s="28">
        <v>0</v>
      </c>
      <c r="BO31" s="28">
        <v>0</v>
      </c>
      <c r="BP31" s="28">
        <v>0</v>
      </c>
      <c r="BQ31" s="28">
        <v>0</v>
      </c>
      <c r="BR31" s="28">
        <v>0</v>
      </c>
      <c r="BS31" s="28">
        <v>1.0429999999999999</v>
      </c>
      <c r="BT31" s="28">
        <v>0</v>
      </c>
      <c r="BU31" s="28">
        <v>0</v>
      </c>
      <c r="BV31" s="28">
        <v>0</v>
      </c>
      <c r="BW31" s="28">
        <v>0</v>
      </c>
      <c r="BX31" s="28">
        <v>0</v>
      </c>
      <c r="BY31" s="28">
        <v>0</v>
      </c>
      <c r="BZ31" s="28">
        <v>0</v>
      </c>
      <c r="CA31" s="28">
        <v>0</v>
      </c>
      <c r="CB31" s="28">
        <v>0</v>
      </c>
      <c r="CC31" s="28">
        <v>0</v>
      </c>
      <c r="CD31" s="28">
        <v>0</v>
      </c>
      <c r="CE31" s="28">
        <v>0</v>
      </c>
      <c r="CF31" s="28">
        <v>0</v>
      </c>
      <c r="CG31" s="28">
        <v>0</v>
      </c>
      <c r="CH31" s="28">
        <v>0</v>
      </c>
      <c r="CI31" s="28">
        <v>0.39300000000000002</v>
      </c>
      <c r="CJ31" s="28">
        <v>0</v>
      </c>
      <c r="CK31" s="28">
        <v>0</v>
      </c>
      <c r="CL31" s="28">
        <v>0</v>
      </c>
      <c r="CM31" s="28">
        <v>0</v>
      </c>
      <c r="CN31" s="28">
        <v>0</v>
      </c>
      <c r="CO31" s="28">
        <v>0</v>
      </c>
      <c r="CP31" s="28">
        <v>0</v>
      </c>
      <c r="CQ31" s="28">
        <v>0</v>
      </c>
      <c r="CR31" s="28">
        <v>0</v>
      </c>
      <c r="CS31" s="28">
        <v>0</v>
      </c>
      <c r="CT31" s="28">
        <v>0</v>
      </c>
      <c r="CU31" s="28">
        <v>0</v>
      </c>
      <c r="CV31" s="28">
        <v>0</v>
      </c>
      <c r="CW31" s="28">
        <v>0</v>
      </c>
      <c r="CX31" s="28">
        <v>0</v>
      </c>
      <c r="CY31" s="28">
        <v>0</v>
      </c>
      <c r="CZ31" s="28">
        <v>0</v>
      </c>
      <c r="DA31" s="28">
        <v>0</v>
      </c>
      <c r="DB31" s="28">
        <v>0</v>
      </c>
      <c r="DC31" s="28">
        <v>0</v>
      </c>
      <c r="DD31" s="28">
        <v>0</v>
      </c>
      <c r="DE31" s="28">
        <v>0</v>
      </c>
      <c r="DF31" s="28">
        <v>0.50800000000000001</v>
      </c>
      <c r="DG31" s="28">
        <v>0</v>
      </c>
      <c r="DH31" s="28">
        <v>0</v>
      </c>
      <c r="DI31" s="28">
        <v>0</v>
      </c>
      <c r="DJ31" s="28">
        <v>0</v>
      </c>
      <c r="DK31" s="28">
        <v>0</v>
      </c>
      <c r="DL31" s="28">
        <v>0</v>
      </c>
      <c r="DM31" s="28">
        <v>0</v>
      </c>
      <c r="DN31" s="28">
        <v>0</v>
      </c>
      <c r="DO31" s="28">
        <v>0</v>
      </c>
      <c r="DP31" s="28">
        <v>0.58100000000000007</v>
      </c>
      <c r="DQ31" s="28">
        <v>0</v>
      </c>
      <c r="DR31" s="28">
        <v>0</v>
      </c>
      <c r="DS31" s="28">
        <v>0</v>
      </c>
      <c r="DT31" s="28">
        <v>0</v>
      </c>
      <c r="DU31" s="28">
        <v>0</v>
      </c>
      <c r="DV31" s="28">
        <v>0</v>
      </c>
      <c r="DW31" s="28">
        <v>2.90241935483871E-2</v>
      </c>
      <c r="DX31" s="34">
        <v>3.5990000000000002</v>
      </c>
    </row>
    <row r="32" spans="1:128" x14ac:dyDescent="0.25">
      <c r="A32" s="24">
        <v>31</v>
      </c>
      <c r="B32" s="26">
        <v>15</v>
      </c>
      <c r="C32" s="28">
        <v>0</v>
      </c>
      <c r="D32" s="28">
        <v>0</v>
      </c>
      <c r="E32" s="28">
        <v>0</v>
      </c>
      <c r="F32" s="28">
        <v>0</v>
      </c>
      <c r="G32" s="28">
        <v>0</v>
      </c>
      <c r="H32" s="28">
        <v>0</v>
      </c>
      <c r="I32" s="28">
        <v>0</v>
      </c>
      <c r="J32" s="28">
        <v>0</v>
      </c>
      <c r="K32" s="28">
        <v>0</v>
      </c>
      <c r="L32" s="28">
        <v>0</v>
      </c>
      <c r="M32" s="28">
        <v>0</v>
      </c>
      <c r="N32" s="28">
        <v>0</v>
      </c>
      <c r="O32" s="28">
        <v>0</v>
      </c>
      <c r="P32" s="28">
        <v>0</v>
      </c>
      <c r="Q32" s="28">
        <v>0</v>
      </c>
      <c r="R32" s="28">
        <v>0</v>
      </c>
      <c r="S32" s="28">
        <v>0</v>
      </c>
      <c r="T32" s="28">
        <v>0</v>
      </c>
      <c r="U32" s="28">
        <v>0</v>
      </c>
      <c r="V32" s="28">
        <v>0</v>
      </c>
      <c r="W32" s="28">
        <v>0</v>
      </c>
      <c r="X32" s="28">
        <v>0</v>
      </c>
      <c r="Y32" s="28">
        <v>0</v>
      </c>
      <c r="Z32" s="28">
        <v>0</v>
      </c>
      <c r="AA32" s="28">
        <v>0</v>
      </c>
      <c r="AB32" s="28">
        <v>0</v>
      </c>
      <c r="AC32" s="28">
        <v>0</v>
      </c>
      <c r="AD32" s="28">
        <v>0</v>
      </c>
      <c r="AE32" s="28">
        <v>0</v>
      </c>
      <c r="AF32" s="28">
        <v>0</v>
      </c>
      <c r="AG32" s="28">
        <v>0</v>
      </c>
      <c r="AH32" s="28">
        <v>0</v>
      </c>
      <c r="AI32" s="28">
        <v>0</v>
      </c>
      <c r="AJ32" s="28">
        <v>0</v>
      </c>
      <c r="AK32" s="28">
        <v>0</v>
      </c>
      <c r="AL32" s="28">
        <v>0</v>
      </c>
      <c r="AM32" s="28">
        <v>0</v>
      </c>
      <c r="AN32" s="28">
        <v>0</v>
      </c>
      <c r="AO32" s="28">
        <v>0</v>
      </c>
      <c r="AP32" s="28">
        <v>0</v>
      </c>
      <c r="AQ32" s="28">
        <v>0</v>
      </c>
      <c r="AR32" s="28">
        <v>0</v>
      </c>
      <c r="AS32" s="28">
        <v>0.312</v>
      </c>
      <c r="AT32" s="28">
        <v>0</v>
      </c>
      <c r="AU32" s="28">
        <v>0</v>
      </c>
      <c r="AV32" s="28">
        <v>0</v>
      </c>
      <c r="AW32" s="28">
        <v>0</v>
      </c>
      <c r="AX32" s="28">
        <v>0</v>
      </c>
      <c r="AY32" s="28">
        <v>0</v>
      </c>
      <c r="AZ32" s="28">
        <v>0</v>
      </c>
      <c r="BA32" s="28">
        <v>0</v>
      </c>
      <c r="BB32" s="28">
        <v>0</v>
      </c>
      <c r="BC32" s="28">
        <v>0</v>
      </c>
      <c r="BD32" s="28">
        <v>0</v>
      </c>
      <c r="BE32" s="28">
        <v>0</v>
      </c>
      <c r="BF32" s="28">
        <v>0</v>
      </c>
      <c r="BG32" s="28">
        <v>0.28599999999999998</v>
      </c>
      <c r="BH32" s="28">
        <v>0</v>
      </c>
      <c r="BI32" s="28">
        <v>0</v>
      </c>
      <c r="BJ32" s="28">
        <v>0</v>
      </c>
      <c r="BK32" s="28">
        <v>0</v>
      </c>
      <c r="BL32" s="28">
        <v>0</v>
      </c>
      <c r="BM32" s="28">
        <v>0</v>
      </c>
      <c r="BN32" s="28">
        <v>0</v>
      </c>
      <c r="BO32" s="28">
        <v>0</v>
      </c>
      <c r="BP32" s="28">
        <v>0</v>
      </c>
      <c r="BQ32" s="28">
        <v>0</v>
      </c>
      <c r="BR32" s="28">
        <v>0</v>
      </c>
      <c r="BS32" s="28">
        <v>1.393</v>
      </c>
      <c r="BT32" s="28">
        <v>0</v>
      </c>
      <c r="BU32" s="28">
        <v>0</v>
      </c>
      <c r="BV32" s="28">
        <v>0</v>
      </c>
      <c r="BW32" s="28">
        <v>0</v>
      </c>
      <c r="BX32" s="28">
        <v>0</v>
      </c>
      <c r="BY32" s="28">
        <v>0</v>
      </c>
      <c r="BZ32" s="28">
        <v>0</v>
      </c>
      <c r="CA32" s="28">
        <v>0</v>
      </c>
      <c r="CB32" s="28">
        <v>0</v>
      </c>
      <c r="CC32" s="28">
        <v>0</v>
      </c>
      <c r="CD32" s="28">
        <v>0</v>
      </c>
      <c r="CE32" s="28">
        <v>0</v>
      </c>
      <c r="CF32" s="28">
        <v>0</v>
      </c>
      <c r="CG32" s="28">
        <v>0</v>
      </c>
      <c r="CH32" s="28">
        <v>0</v>
      </c>
      <c r="CI32" s="28">
        <v>0</v>
      </c>
      <c r="CJ32" s="28">
        <v>0</v>
      </c>
      <c r="CK32" s="28">
        <v>0</v>
      </c>
      <c r="CL32" s="28">
        <v>0</v>
      </c>
      <c r="CM32" s="28">
        <v>0</v>
      </c>
      <c r="CN32" s="28">
        <v>0</v>
      </c>
      <c r="CO32" s="28">
        <v>0</v>
      </c>
      <c r="CP32" s="28">
        <v>0</v>
      </c>
      <c r="CQ32" s="28">
        <v>0</v>
      </c>
      <c r="CR32" s="28">
        <v>0</v>
      </c>
      <c r="CS32" s="28">
        <v>0</v>
      </c>
      <c r="CT32" s="28">
        <v>0</v>
      </c>
      <c r="CU32" s="28">
        <v>0</v>
      </c>
      <c r="CV32" s="28">
        <v>0</v>
      </c>
      <c r="CW32" s="28">
        <v>0</v>
      </c>
      <c r="CX32" s="28">
        <v>0</v>
      </c>
      <c r="CY32" s="28">
        <v>0</v>
      </c>
      <c r="CZ32" s="28">
        <v>0</v>
      </c>
      <c r="DA32" s="28">
        <v>0</v>
      </c>
      <c r="DB32" s="28">
        <v>0</v>
      </c>
      <c r="DC32" s="28">
        <v>0</v>
      </c>
      <c r="DD32" s="28">
        <v>0</v>
      </c>
      <c r="DE32" s="28">
        <v>0</v>
      </c>
      <c r="DF32" s="28">
        <v>0.60299999999999998</v>
      </c>
      <c r="DG32" s="28">
        <v>0</v>
      </c>
      <c r="DH32" s="28">
        <v>0</v>
      </c>
      <c r="DI32" s="28">
        <v>0</v>
      </c>
      <c r="DJ32" s="28">
        <v>0</v>
      </c>
      <c r="DK32" s="28">
        <v>0</v>
      </c>
      <c r="DL32" s="28">
        <v>0</v>
      </c>
      <c r="DM32" s="28">
        <v>0</v>
      </c>
      <c r="DN32" s="28">
        <v>0</v>
      </c>
      <c r="DO32" s="28">
        <v>0</v>
      </c>
      <c r="DP32" s="28">
        <v>0.155</v>
      </c>
      <c r="DQ32" s="28">
        <v>0</v>
      </c>
      <c r="DR32" s="28">
        <v>0</v>
      </c>
      <c r="DS32" s="28">
        <v>0</v>
      </c>
      <c r="DT32" s="28">
        <v>0.06</v>
      </c>
      <c r="DU32" s="28">
        <v>0</v>
      </c>
      <c r="DV32" s="28">
        <v>0</v>
      </c>
      <c r="DW32" s="28">
        <v>2.2653225806451609E-2</v>
      </c>
      <c r="DX32" s="34">
        <v>2.8090000000000002</v>
      </c>
    </row>
    <row r="33" spans="1:128" x14ac:dyDescent="0.25">
      <c r="A33" s="24">
        <v>32</v>
      </c>
      <c r="B33" s="26">
        <v>15.5</v>
      </c>
      <c r="C33" s="28">
        <v>0</v>
      </c>
      <c r="D33" s="28">
        <v>0</v>
      </c>
      <c r="E33" s="28">
        <v>0</v>
      </c>
      <c r="F33" s="28">
        <v>0</v>
      </c>
      <c r="G33" s="28">
        <v>0</v>
      </c>
      <c r="H33" s="28">
        <v>0</v>
      </c>
      <c r="I33" s="28">
        <v>0</v>
      </c>
      <c r="J33" s="28">
        <v>0</v>
      </c>
      <c r="K33" s="28">
        <v>0</v>
      </c>
      <c r="L33" s="28">
        <v>0</v>
      </c>
      <c r="M33" s="28">
        <v>0</v>
      </c>
      <c r="N33" s="28">
        <v>0</v>
      </c>
      <c r="O33" s="28">
        <v>0</v>
      </c>
      <c r="P33" s="28">
        <v>0</v>
      </c>
      <c r="Q33" s="28">
        <v>0</v>
      </c>
      <c r="R33" s="28">
        <v>0</v>
      </c>
      <c r="S33" s="28">
        <v>0</v>
      </c>
      <c r="T33" s="28">
        <v>0</v>
      </c>
      <c r="U33" s="28">
        <v>0</v>
      </c>
      <c r="V33" s="28">
        <v>0</v>
      </c>
      <c r="W33" s="28">
        <v>0</v>
      </c>
      <c r="X33" s="28">
        <v>0</v>
      </c>
      <c r="Y33" s="28">
        <v>0</v>
      </c>
      <c r="Z33" s="28">
        <v>0</v>
      </c>
      <c r="AA33" s="28">
        <v>0</v>
      </c>
      <c r="AB33" s="28">
        <v>0</v>
      </c>
      <c r="AC33" s="28">
        <v>0</v>
      </c>
      <c r="AD33" s="28">
        <v>0</v>
      </c>
      <c r="AE33" s="28">
        <v>0</v>
      </c>
      <c r="AF33" s="28">
        <v>0</v>
      </c>
      <c r="AG33" s="28">
        <v>0</v>
      </c>
      <c r="AH33" s="28">
        <v>0</v>
      </c>
      <c r="AI33" s="28">
        <v>0</v>
      </c>
      <c r="AJ33" s="28">
        <v>0</v>
      </c>
      <c r="AK33" s="28">
        <v>0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0</v>
      </c>
      <c r="AR33" s="28">
        <v>0</v>
      </c>
      <c r="AS33" s="28">
        <v>0</v>
      </c>
      <c r="AT33" s="28">
        <v>0</v>
      </c>
      <c r="AU33" s="28">
        <v>0</v>
      </c>
      <c r="AV33" s="28">
        <v>0</v>
      </c>
      <c r="AW33" s="28">
        <v>0</v>
      </c>
      <c r="AX33" s="28">
        <v>0</v>
      </c>
      <c r="AY33" s="28">
        <v>0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0</v>
      </c>
      <c r="BH33" s="28">
        <v>0</v>
      </c>
      <c r="BI33" s="28">
        <v>0</v>
      </c>
      <c r="BJ33" s="28">
        <v>0</v>
      </c>
      <c r="BK33" s="28">
        <v>0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  <c r="BQ33" s="28">
        <v>0</v>
      </c>
      <c r="BR33" s="28">
        <v>0</v>
      </c>
      <c r="BS33" s="28">
        <v>0</v>
      </c>
      <c r="BT33" s="28">
        <v>0</v>
      </c>
      <c r="BU33" s="28">
        <v>0</v>
      </c>
      <c r="BV33" s="28">
        <v>0</v>
      </c>
      <c r="BW33" s="28">
        <v>0</v>
      </c>
      <c r="BX33" s="28">
        <v>0</v>
      </c>
      <c r="BY33" s="28">
        <v>0</v>
      </c>
      <c r="BZ33" s="28">
        <v>0</v>
      </c>
      <c r="CA33" s="28">
        <v>0</v>
      </c>
      <c r="CB33" s="28">
        <v>0</v>
      </c>
      <c r="CC33" s="28">
        <v>0</v>
      </c>
      <c r="CD33" s="28">
        <v>0</v>
      </c>
      <c r="CE33" s="28">
        <v>0</v>
      </c>
      <c r="CF33" s="28">
        <v>0</v>
      </c>
      <c r="CG33" s="28">
        <v>0</v>
      </c>
      <c r="CH33" s="28">
        <v>0</v>
      </c>
      <c r="CI33" s="28">
        <v>0</v>
      </c>
      <c r="CJ33" s="28">
        <v>0</v>
      </c>
      <c r="CK33" s="28">
        <v>0</v>
      </c>
      <c r="CL33" s="28">
        <v>0</v>
      </c>
      <c r="CM33" s="28">
        <v>0</v>
      </c>
      <c r="CN33" s="28">
        <v>0</v>
      </c>
      <c r="CO33" s="28">
        <v>0</v>
      </c>
      <c r="CP33" s="28">
        <v>0</v>
      </c>
      <c r="CQ33" s="28">
        <v>0</v>
      </c>
      <c r="CR33" s="28">
        <v>0</v>
      </c>
      <c r="CS33" s="28">
        <v>0</v>
      </c>
      <c r="CT33" s="28">
        <v>0</v>
      </c>
      <c r="CU33" s="28">
        <v>0</v>
      </c>
      <c r="CV33" s="28">
        <v>0</v>
      </c>
      <c r="CW33" s="28">
        <v>0</v>
      </c>
      <c r="CX33" s="28">
        <v>0</v>
      </c>
      <c r="CY33" s="28">
        <v>0</v>
      </c>
      <c r="CZ33" s="28">
        <v>0</v>
      </c>
      <c r="DA33" s="28">
        <v>0</v>
      </c>
      <c r="DB33" s="28">
        <v>0</v>
      </c>
      <c r="DC33" s="28">
        <v>0</v>
      </c>
      <c r="DD33" s="28">
        <v>0</v>
      </c>
      <c r="DE33" s="28">
        <v>0</v>
      </c>
      <c r="DF33" s="28">
        <v>0</v>
      </c>
      <c r="DG33" s="28">
        <v>0</v>
      </c>
      <c r="DH33" s="28">
        <v>0</v>
      </c>
      <c r="DI33" s="28">
        <v>0</v>
      </c>
      <c r="DJ33" s="28">
        <v>0</v>
      </c>
      <c r="DK33" s="28">
        <v>0</v>
      </c>
      <c r="DL33" s="28">
        <v>0</v>
      </c>
      <c r="DM33" s="28">
        <v>0</v>
      </c>
      <c r="DN33" s="28">
        <v>0</v>
      </c>
      <c r="DO33" s="28">
        <v>0</v>
      </c>
      <c r="DP33" s="28">
        <v>0</v>
      </c>
      <c r="DQ33" s="28">
        <v>0</v>
      </c>
      <c r="DR33" s="28">
        <v>0</v>
      </c>
      <c r="DS33" s="28">
        <v>0</v>
      </c>
      <c r="DT33" s="28">
        <v>0</v>
      </c>
      <c r="DU33" s="28">
        <v>1.5169999999999999</v>
      </c>
      <c r="DV33" s="28">
        <v>0</v>
      </c>
      <c r="DW33" s="28">
        <v>1.2233870967741931E-2</v>
      </c>
      <c r="DX33" s="34">
        <v>1.5169999999999999</v>
      </c>
    </row>
    <row r="34" spans="1:128" x14ac:dyDescent="0.25">
      <c r="A34" s="24">
        <v>33</v>
      </c>
      <c r="B34" s="26">
        <v>16</v>
      </c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8">
        <v>0</v>
      </c>
      <c r="AG34" s="28">
        <v>0</v>
      </c>
      <c r="AH34" s="28">
        <v>0</v>
      </c>
      <c r="AI34" s="28">
        <v>0</v>
      </c>
      <c r="AJ34" s="28">
        <v>0</v>
      </c>
      <c r="AK34" s="28">
        <v>0</v>
      </c>
      <c r="AL34" s="28">
        <v>0</v>
      </c>
      <c r="AM34" s="28">
        <v>0</v>
      </c>
      <c r="AN34" s="28">
        <v>0</v>
      </c>
      <c r="AO34" s="28">
        <v>0</v>
      </c>
      <c r="AP34" s="28">
        <v>0</v>
      </c>
      <c r="AQ34" s="28">
        <v>0</v>
      </c>
      <c r="AR34" s="28">
        <v>0</v>
      </c>
      <c r="AS34" s="28">
        <v>0</v>
      </c>
      <c r="AT34" s="28">
        <v>0.34499999999999997</v>
      </c>
      <c r="AU34" s="28">
        <v>0</v>
      </c>
      <c r="AV34" s="28">
        <v>0</v>
      </c>
      <c r="AW34" s="28">
        <v>0</v>
      </c>
      <c r="AX34" s="28">
        <v>0</v>
      </c>
      <c r="AY34" s="28">
        <v>0</v>
      </c>
      <c r="AZ34" s="28">
        <v>0</v>
      </c>
      <c r="BA34" s="28">
        <v>0</v>
      </c>
      <c r="BB34" s="28">
        <v>0</v>
      </c>
      <c r="BC34" s="28">
        <v>0</v>
      </c>
      <c r="BD34" s="28">
        <v>1.002</v>
      </c>
      <c r="BE34" s="28">
        <v>0</v>
      </c>
      <c r="BF34" s="28">
        <v>0</v>
      </c>
      <c r="BG34" s="28">
        <v>0</v>
      </c>
      <c r="BH34" s="28">
        <v>0</v>
      </c>
      <c r="BI34" s="28">
        <v>0</v>
      </c>
      <c r="BJ34" s="28">
        <v>0</v>
      </c>
      <c r="BK34" s="28">
        <v>0</v>
      </c>
      <c r="BL34" s="28">
        <v>0</v>
      </c>
      <c r="BM34" s="28">
        <v>0</v>
      </c>
      <c r="BN34" s="28">
        <v>0</v>
      </c>
      <c r="BO34" s="28">
        <v>0</v>
      </c>
      <c r="BP34" s="28">
        <v>0</v>
      </c>
      <c r="BQ34" s="28">
        <v>0</v>
      </c>
      <c r="BR34" s="28">
        <v>0</v>
      </c>
      <c r="BS34" s="28">
        <v>0.32400000000000001</v>
      </c>
      <c r="BT34" s="28">
        <v>0</v>
      </c>
      <c r="BU34" s="28">
        <v>0</v>
      </c>
      <c r="BV34" s="28">
        <v>0</v>
      </c>
      <c r="BW34" s="28">
        <v>0</v>
      </c>
      <c r="BX34" s="28">
        <v>0</v>
      </c>
      <c r="BY34" s="28">
        <v>0</v>
      </c>
      <c r="BZ34" s="28">
        <v>0</v>
      </c>
      <c r="CA34" s="28">
        <v>0</v>
      </c>
      <c r="CB34" s="28">
        <v>0</v>
      </c>
      <c r="CC34" s="28">
        <v>0</v>
      </c>
      <c r="CD34" s="28">
        <v>0</v>
      </c>
      <c r="CE34" s="28">
        <v>0</v>
      </c>
      <c r="CF34" s="28">
        <v>0</v>
      </c>
      <c r="CG34" s="28">
        <v>0</v>
      </c>
      <c r="CH34" s="28">
        <v>0</v>
      </c>
      <c r="CI34" s="28">
        <v>0</v>
      </c>
      <c r="CJ34" s="28">
        <v>0</v>
      </c>
      <c r="CK34" s="28">
        <v>0</v>
      </c>
      <c r="CL34" s="28">
        <v>0</v>
      </c>
      <c r="CM34" s="28">
        <v>0</v>
      </c>
      <c r="CN34" s="28">
        <v>0</v>
      </c>
      <c r="CO34" s="28">
        <v>0</v>
      </c>
      <c r="CP34" s="28">
        <v>0</v>
      </c>
      <c r="CQ34" s="28">
        <v>0</v>
      </c>
      <c r="CR34" s="28">
        <v>0</v>
      </c>
      <c r="CS34" s="28">
        <v>0</v>
      </c>
      <c r="CT34" s="28">
        <v>0</v>
      </c>
      <c r="CU34" s="28">
        <v>0</v>
      </c>
      <c r="CV34" s="28">
        <v>0</v>
      </c>
      <c r="CW34" s="28">
        <v>0</v>
      </c>
      <c r="CX34" s="28">
        <v>0</v>
      </c>
      <c r="CY34" s="28">
        <v>0</v>
      </c>
      <c r="CZ34" s="28">
        <v>0</v>
      </c>
      <c r="DA34" s="28">
        <v>0</v>
      </c>
      <c r="DB34" s="28">
        <v>0</v>
      </c>
      <c r="DC34" s="28">
        <v>0</v>
      </c>
      <c r="DD34" s="28">
        <v>0</v>
      </c>
      <c r="DE34" s="28">
        <v>0.79100000000000004</v>
      </c>
      <c r="DF34" s="28">
        <v>0</v>
      </c>
      <c r="DG34" s="28">
        <v>0</v>
      </c>
      <c r="DH34" s="28">
        <v>0</v>
      </c>
      <c r="DI34" s="28">
        <v>0</v>
      </c>
      <c r="DJ34" s="28">
        <v>0</v>
      </c>
      <c r="DK34" s="28">
        <v>0</v>
      </c>
      <c r="DL34" s="28">
        <v>0</v>
      </c>
      <c r="DM34" s="28">
        <v>0</v>
      </c>
      <c r="DN34" s="28">
        <v>0</v>
      </c>
      <c r="DO34" s="28">
        <v>0</v>
      </c>
      <c r="DP34" s="28">
        <v>0</v>
      </c>
      <c r="DQ34" s="28">
        <v>0</v>
      </c>
      <c r="DR34" s="28">
        <v>0</v>
      </c>
      <c r="DS34" s="28">
        <v>0</v>
      </c>
      <c r="DT34" s="28">
        <v>0</v>
      </c>
      <c r="DU34" s="28">
        <v>1.5629999999999999</v>
      </c>
      <c r="DV34" s="28">
        <v>0</v>
      </c>
      <c r="DW34" s="28">
        <v>3.2459677419354842E-2</v>
      </c>
      <c r="DX34" s="34">
        <v>4.0250000000000004</v>
      </c>
    </row>
    <row r="35" spans="1:128" x14ac:dyDescent="0.25">
      <c r="A35" s="24">
        <v>34</v>
      </c>
      <c r="B35" s="26">
        <v>16.5</v>
      </c>
      <c r="C35" s="28">
        <v>0</v>
      </c>
      <c r="D35" s="28">
        <v>0</v>
      </c>
      <c r="E35" s="28">
        <v>0</v>
      </c>
      <c r="F35" s="28">
        <v>0</v>
      </c>
      <c r="G35" s="28">
        <v>0</v>
      </c>
      <c r="H35" s="28">
        <v>0</v>
      </c>
      <c r="I35" s="28">
        <v>0</v>
      </c>
      <c r="J35" s="28">
        <v>0</v>
      </c>
      <c r="K35" s="28">
        <v>0</v>
      </c>
      <c r="L35" s="28">
        <v>0</v>
      </c>
      <c r="M35" s="28">
        <v>0</v>
      </c>
      <c r="N35" s="28">
        <v>0</v>
      </c>
      <c r="O35" s="28">
        <v>0</v>
      </c>
      <c r="P35" s="28">
        <v>0</v>
      </c>
      <c r="Q35" s="28">
        <v>0</v>
      </c>
      <c r="R35" s="28">
        <v>0</v>
      </c>
      <c r="S35" s="28">
        <v>0</v>
      </c>
      <c r="T35" s="28">
        <v>0</v>
      </c>
      <c r="U35" s="28">
        <v>0</v>
      </c>
      <c r="V35" s="28">
        <v>0</v>
      </c>
      <c r="W35" s="28">
        <v>0</v>
      </c>
      <c r="X35" s="28">
        <v>0</v>
      </c>
      <c r="Y35" s="28">
        <v>0</v>
      </c>
      <c r="Z35" s="28">
        <v>0</v>
      </c>
      <c r="AA35" s="28">
        <v>0</v>
      </c>
      <c r="AB35" s="28">
        <v>0</v>
      </c>
      <c r="AC35" s="28">
        <v>0</v>
      </c>
      <c r="AD35" s="28">
        <v>0</v>
      </c>
      <c r="AE35" s="28">
        <v>0</v>
      </c>
      <c r="AF35" s="28">
        <v>0</v>
      </c>
      <c r="AG35" s="28">
        <v>0</v>
      </c>
      <c r="AH35" s="28">
        <v>0</v>
      </c>
      <c r="AI35" s="28">
        <v>0</v>
      </c>
      <c r="AJ35" s="28">
        <v>0</v>
      </c>
      <c r="AK35" s="28">
        <v>0</v>
      </c>
      <c r="AL35" s="28">
        <v>0</v>
      </c>
      <c r="AM35" s="28">
        <v>0</v>
      </c>
      <c r="AN35" s="28">
        <v>0</v>
      </c>
      <c r="AO35" s="28">
        <v>0</v>
      </c>
      <c r="AP35" s="28">
        <v>0</v>
      </c>
      <c r="AQ35" s="28">
        <v>0</v>
      </c>
      <c r="AR35" s="28">
        <v>0</v>
      </c>
      <c r="AS35" s="28">
        <v>0</v>
      </c>
      <c r="AT35" s="28">
        <v>0</v>
      </c>
      <c r="AU35" s="28">
        <v>0</v>
      </c>
      <c r="AV35" s="28">
        <v>0</v>
      </c>
      <c r="AW35" s="28">
        <v>0</v>
      </c>
      <c r="AX35" s="28">
        <v>0</v>
      </c>
      <c r="AY35" s="28">
        <v>0</v>
      </c>
      <c r="AZ35" s="28">
        <v>0</v>
      </c>
      <c r="BA35" s="28">
        <v>0</v>
      </c>
      <c r="BB35" s="28">
        <v>0</v>
      </c>
      <c r="BC35" s="28">
        <v>0</v>
      </c>
      <c r="BD35" s="28">
        <v>0</v>
      </c>
      <c r="BE35" s="28">
        <v>0</v>
      </c>
      <c r="BF35" s="28">
        <v>0</v>
      </c>
      <c r="BG35" s="28">
        <v>0</v>
      </c>
      <c r="BH35" s="28">
        <v>0</v>
      </c>
      <c r="BI35" s="28">
        <v>0</v>
      </c>
      <c r="BJ35" s="28">
        <v>0</v>
      </c>
      <c r="BK35" s="28">
        <v>0</v>
      </c>
      <c r="BL35" s="28">
        <v>0</v>
      </c>
      <c r="BM35" s="28">
        <v>0</v>
      </c>
      <c r="BN35" s="28">
        <v>0</v>
      </c>
      <c r="BO35" s="28">
        <v>0</v>
      </c>
      <c r="BP35" s="28">
        <v>1.224</v>
      </c>
      <c r="BQ35" s="28">
        <v>0</v>
      </c>
      <c r="BR35" s="28">
        <v>0</v>
      </c>
      <c r="BS35" s="28">
        <v>0.26200000000000001</v>
      </c>
      <c r="BT35" s="28">
        <v>0</v>
      </c>
      <c r="BU35" s="28">
        <v>0</v>
      </c>
      <c r="BV35" s="28">
        <v>0</v>
      </c>
      <c r="BW35" s="28">
        <v>0</v>
      </c>
      <c r="BX35" s="28">
        <v>0</v>
      </c>
      <c r="BY35" s="28">
        <v>0</v>
      </c>
      <c r="BZ35" s="28">
        <v>0</v>
      </c>
      <c r="CA35" s="28">
        <v>0</v>
      </c>
      <c r="CB35" s="28">
        <v>0</v>
      </c>
      <c r="CC35" s="28">
        <v>0</v>
      </c>
      <c r="CD35" s="28">
        <v>0</v>
      </c>
      <c r="CE35" s="28">
        <v>0</v>
      </c>
      <c r="CF35" s="28">
        <v>0</v>
      </c>
      <c r="CG35" s="28">
        <v>0</v>
      </c>
      <c r="CH35" s="28">
        <v>0</v>
      </c>
      <c r="CI35" s="28">
        <v>0</v>
      </c>
      <c r="CJ35" s="28">
        <v>0</v>
      </c>
      <c r="CK35" s="28">
        <v>0</v>
      </c>
      <c r="CL35" s="28">
        <v>0</v>
      </c>
      <c r="CM35" s="28">
        <v>0</v>
      </c>
      <c r="CN35" s="28">
        <v>0</v>
      </c>
      <c r="CO35" s="28">
        <v>0</v>
      </c>
      <c r="CP35" s="28">
        <v>0</v>
      </c>
      <c r="CQ35" s="28">
        <v>0</v>
      </c>
      <c r="CR35" s="28">
        <v>0</v>
      </c>
      <c r="CS35" s="28">
        <v>0</v>
      </c>
      <c r="CT35" s="28">
        <v>0</v>
      </c>
      <c r="CU35" s="28">
        <v>0</v>
      </c>
      <c r="CV35" s="28">
        <v>8.2000000000000003E-2</v>
      </c>
      <c r="CW35" s="28">
        <v>0</v>
      </c>
      <c r="CX35" s="28">
        <v>0</v>
      </c>
      <c r="CY35" s="28">
        <v>0</v>
      </c>
      <c r="CZ35" s="28">
        <v>0</v>
      </c>
      <c r="DA35" s="28">
        <v>0</v>
      </c>
      <c r="DB35" s="28">
        <v>0</v>
      </c>
      <c r="DC35" s="28">
        <v>0</v>
      </c>
      <c r="DD35" s="28">
        <v>0</v>
      </c>
      <c r="DE35" s="28">
        <v>0</v>
      </c>
      <c r="DF35" s="28">
        <v>0</v>
      </c>
      <c r="DG35" s="28">
        <v>0</v>
      </c>
      <c r="DH35" s="28">
        <v>0</v>
      </c>
      <c r="DI35" s="28">
        <v>0</v>
      </c>
      <c r="DJ35" s="28">
        <v>0</v>
      </c>
      <c r="DK35" s="28">
        <v>0</v>
      </c>
      <c r="DL35" s="28">
        <v>0</v>
      </c>
      <c r="DM35" s="28">
        <v>0</v>
      </c>
      <c r="DN35" s="28">
        <v>0</v>
      </c>
      <c r="DO35" s="28">
        <v>0</v>
      </c>
      <c r="DP35" s="28">
        <v>0</v>
      </c>
      <c r="DQ35" s="28">
        <v>0</v>
      </c>
      <c r="DR35" s="28">
        <v>0</v>
      </c>
      <c r="DS35" s="28">
        <v>0</v>
      </c>
      <c r="DT35" s="28">
        <v>0</v>
      </c>
      <c r="DU35" s="28">
        <v>0</v>
      </c>
      <c r="DV35" s="28">
        <v>1.016</v>
      </c>
      <c r="DW35" s="28">
        <v>2.0838709677419361E-2</v>
      </c>
      <c r="DX35" s="34">
        <v>2.5840000000000001</v>
      </c>
    </row>
    <row r="36" spans="1:128" x14ac:dyDescent="0.25">
      <c r="A36" s="24">
        <v>35</v>
      </c>
      <c r="B36" s="26">
        <v>17</v>
      </c>
      <c r="C36" s="28">
        <v>0</v>
      </c>
      <c r="D36" s="28">
        <v>0</v>
      </c>
      <c r="E36" s="28">
        <v>0</v>
      </c>
      <c r="F36" s="28">
        <v>0</v>
      </c>
      <c r="G36" s="28">
        <v>0</v>
      </c>
      <c r="H36" s="28">
        <v>0</v>
      </c>
      <c r="I36" s="28">
        <v>0</v>
      </c>
      <c r="J36" s="28">
        <v>0</v>
      </c>
      <c r="K36" s="28">
        <v>0</v>
      </c>
      <c r="L36" s="28">
        <v>0</v>
      </c>
      <c r="M36" s="28">
        <v>0</v>
      </c>
      <c r="N36" s="28">
        <v>0</v>
      </c>
      <c r="O36" s="28">
        <v>0</v>
      </c>
      <c r="P36" s="28">
        <v>0</v>
      </c>
      <c r="Q36" s="28">
        <v>0</v>
      </c>
      <c r="R36" s="28">
        <v>0</v>
      </c>
      <c r="S36" s="28">
        <v>0</v>
      </c>
      <c r="T36" s="28">
        <v>0</v>
      </c>
      <c r="U36" s="28">
        <v>0</v>
      </c>
      <c r="V36" s="28">
        <v>0</v>
      </c>
      <c r="W36" s="28">
        <v>0</v>
      </c>
      <c r="X36" s="28">
        <v>0</v>
      </c>
      <c r="Y36" s="28">
        <v>0</v>
      </c>
      <c r="Z36" s="28">
        <v>0</v>
      </c>
      <c r="AA36" s="28">
        <v>0</v>
      </c>
      <c r="AB36" s="28">
        <v>0</v>
      </c>
      <c r="AC36" s="28">
        <v>0</v>
      </c>
      <c r="AD36" s="28">
        <v>0</v>
      </c>
      <c r="AE36" s="28">
        <v>0</v>
      </c>
      <c r="AF36" s="28">
        <v>0</v>
      </c>
      <c r="AG36" s="28">
        <v>0</v>
      </c>
      <c r="AH36" s="28">
        <v>0</v>
      </c>
      <c r="AI36" s="28">
        <v>0</v>
      </c>
      <c r="AJ36" s="28">
        <v>0</v>
      </c>
      <c r="AK36" s="28">
        <v>0</v>
      </c>
      <c r="AL36" s="28">
        <v>1.08</v>
      </c>
      <c r="AM36" s="28">
        <v>0</v>
      </c>
      <c r="AN36" s="28">
        <v>0</v>
      </c>
      <c r="AO36" s="28">
        <v>0</v>
      </c>
      <c r="AP36" s="28">
        <v>0</v>
      </c>
      <c r="AQ36" s="28">
        <v>0</v>
      </c>
      <c r="AR36" s="28">
        <v>0</v>
      </c>
      <c r="AS36" s="28">
        <v>0</v>
      </c>
      <c r="AT36" s="28">
        <v>0</v>
      </c>
      <c r="AU36" s="28">
        <v>0</v>
      </c>
      <c r="AV36" s="28">
        <v>0</v>
      </c>
      <c r="AW36" s="28">
        <v>0</v>
      </c>
      <c r="AX36" s="28">
        <v>0</v>
      </c>
      <c r="AY36" s="28">
        <v>0</v>
      </c>
      <c r="AZ36" s="28">
        <v>0</v>
      </c>
      <c r="BA36" s="28">
        <v>0</v>
      </c>
      <c r="BB36" s="28">
        <v>0</v>
      </c>
      <c r="BC36" s="28">
        <v>0</v>
      </c>
      <c r="BD36" s="28">
        <v>0.58600000000000008</v>
      </c>
      <c r="BE36" s="28">
        <v>0</v>
      </c>
      <c r="BF36" s="28">
        <v>0</v>
      </c>
      <c r="BG36" s="28">
        <v>0</v>
      </c>
      <c r="BH36" s="28">
        <v>0</v>
      </c>
      <c r="BI36" s="28">
        <v>0</v>
      </c>
      <c r="BJ36" s="28">
        <v>0</v>
      </c>
      <c r="BK36" s="28">
        <v>0</v>
      </c>
      <c r="BL36" s="28">
        <v>0</v>
      </c>
      <c r="BM36" s="28">
        <v>0.14599999999999999</v>
      </c>
      <c r="BN36" s="28">
        <v>0</v>
      </c>
      <c r="BO36" s="28">
        <v>0</v>
      </c>
      <c r="BP36" s="28">
        <v>0</v>
      </c>
      <c r="BQ36" s="28">
        <v>0</v>
      </c>
      <c r="BR36" s="28">
        <v>0</v>
      </c>
      <c r="BS36" s="28">
        <v>1.135</v>
      </c>
      <c r="BT36" s="28">
        <v>0</v>
      </c>
      <c r="BU36" s="28">
        <v>0</v>
      </c>
      <c r="BV36" s="28">
        <v>0</v>
      </c>
      <c r="BW36" s="28">
        <v>0</v>
      </c>
      <c r="BX36" s="28">
        <v>0</v>
      </c>
      <c r="BY36" s="28">
        <v>0</v>
      </c>
      <c r="BZ36" s="28">
        <v>0</v>
      </c>
      <c r="CA36" s="28">
        <v>0</v>
      </c>
      <c r="CB36" s="28">
        <v>0</v>
      </c>
      <c r="CC36" s="28">
        <v>0</v>
      </c>
      <c r="CD36" s="28">
        <v>0</v>
      </c>
      <c r="CE36" s="28">
        <v>0</v>
      </c>
      <c r="CF36" s="28">
        <v>0</v>
      </c>
      <c r="CG36" s="28">
        <v>0</v>
      </c>
      <c r="CH36" s="28">
        <v>0</v>
      </c>
      <c r="CI36" s="28">
        <v>0</v>
      </c>
      <c r="CJ36" s="28">
        <v>0</v>
      </c>
      <c r="CK36" s="28">
        <v>0</v>
      </c>
      <c r="CL36" s="28">
        <v>0</v>
      </c>
      <c r="CM36" s="28">
        <v>0</v>
      </c>
      <c r="CN36" s="28">
        <v>0</v>
      </c>
      <c r="CO36" s="28">
        <v>0</v>
      </c>
      <c r="CP36" s="28">
        <v>0</v>
      </c>
      <c r="CQ36" s="28">
        <v>0</v>
      </c>
      <c r="CR36" s="28">
        <v>9.8000000000000004E-2</v>
      </c>
      <c r="CS36" s="28">
        <v>0</v>
      </c>
      <c r="CT36" s="28">
        <v>0</v>
      </c>
      <c r="CU36" s="28">
        <v>0</v>
      </c>
      <c r="CV36" s="28">
        <v>0</v>
      </c>
      <c r="CW36" s="28">
        <v>0</v>
      </c>
      <c r="CX36" s="28">
        <v>0</v>
      </c>
      <c r="CY36" s="28">
        <v>0</v>
      </c>
      <c r="CZ36" s="28">
        <v>0</v>
      </c>
      <c r="DA36" s="28">
        <v>0</v>
      </c>
      <c r="DB36" s="28">
        <v>0</v>
      </c>
      <c r="DC36" s="28">
        <v>0</v>
      </c>
      <c r="DD36" s="28">
        <v>0</v>
      </c>
      <c r="DE36" s="28">
        <v>0</v>
      </c>
      <c r="DF36" s="28">
        <v>0</v>
      </c>
      <c r="DG36" s="28">
        <v>0</v>
      </c>
      <c r="DH36" s="28">
        <v>0</v>
      </c>
      <c r="DI36" s="28">
        <v>0</v>
      </c>
      <c r="DJ36" s="28">
        <v>0</v>
      </c>
      <c r="DK36" s="28">
        <v>0</v>
      </c>
      <c r="DL36" s="28">
        <v>0</v>
      </c>
      <c r="DM36" s="28">
        <v>0</v>
      </c>
      <c r="DN36" s="28">
        <v>0</v>
      </c>
      <c r="DO36" s="28">
        <v>0</v>
      </c>
      <c r="DP36" s="28">
        <v>0</v>
      </c>
      <c r="DQ36" s="28">
        <v>0</v>
      </c>
      <c r="DR36" s="28">
        <v>0</v>
      </c>
      <c r="DS36" s="28">
        <v>0</v>
      </c>
      <c r="DT36" s="28">
        <v>0</v>
      </c>
      <c r="DU36" s="28">
        <v>0</v>
      </c>
      <c r="DV36" s="28">
        <v>0.60299999999999998</v>
      </c>
      <c r="DW36" s="28">
        <v>2.941935483870968E-2</v>
      </c>
      <c r="DX36" s="34">
        <v>3.6480000000000001</v>
      </c>
    </row>
    <row r="37" spans="1:128" x14ac:dyDescent="0.25">
      <c r="A37" s="24">
        <v>36</v>
      </c>
      <c r="B37" s="26">
        <v>17.5</v>
      </c>
      <c r="C37" s="28">
        <v>0</v>
      </c>
      <c r="D37" s="28">
        <v>0</v>
      </c>
      <c r="E37" s="28">
        <v>0</v>
      </c>
      <c r="F37" s="28">
        <v>0</v>
      </c>
      <c r="G37" s="28">
        <v>0</v>
      </c>
      <c r="H37" s="28">
        <v>0</v>
      </c>
      <c r="I37" s="28">
        <v>0</v>
      </c>
      <c r="J37" s="28">
        <v>0</v>
      </c>
      <c r="K37" s="28">
        <v>0</v>
      </c>
      <c r="L37" s="28">
        <v>0</v>
      </c>
      <c r="M37" s="28">
        <v>0</v>
      </c>
      <c r="N37" s="28">
        <v>0.48799999999999999</v>
      </c>
      <c r="O37" s="28">
        <v>0</v>
      </c>
      <c r="P37" s="28">
        <v>0</v>
      </c>
      <c r="Q37" s="28">
        <v>0</v>
      </c>
      <c r="R37" s="28">
        <v>0</v>
      </c>
      <c r="S37" s="28">
        <v>0</v>
      </c>
      <c r="T37" s="28">
        <v>0</v>
      </c>
      <c r="U37" s="28">
        <v>0</v>
      </c>
      <c r="V37" s="28">
        <v>0</v>
      </c>
      <c r="W37" s="28">
        <v>0</v>
      </c>
      <c r="X37" s="28">
        <v>0</v>
      </c>
      <c r="Y37" s="28">
        <v>0</v>
      </c>
      <c r="Z37" s="28">
        <v>0</v>
      </c>
      <c r="AA37" s="28">
        <v>0</v>
      </c>
      <c r="AB37" s="28">
        <v>0</v>
      </c>
      <c r="AC37" s="28">
        <v>0</v>
      </c>
      <c r="AD37" s="28">
        <v>0</v>
      </c>
      <c r="AE37" s="28">
        <v>0</v>
      </c>
      <c r="AF37" s="28">
        <v>0</v>
      </c>
      <c r="AG37" s="28">
        <v>0</v>
      </c>
      <c r="AH37" s="28">
        <v>0</v>
      </c>
      <c r="AI37" s="28">
        <v>0</v>
      </c>
      <c r="AJ37" s="28">
        <v>0</v>
      </c>
      <c r="AK37" s="28">
        <v>0</v>
      </c>
      <c r="AL37" s="28">
        <v>6.7000000000000004E-2</v>
      </c>
      <c r="AM37" s="28">
        <v>0</v>
      </c>
      <c r="AN37" s="28">
        <v>0</v>
      </c>
      <c r="AO37" s="28">
        <v>0</v>
      </c>
      <c r="AP37" s="28">
        <v>0</v>
      </c>
      <c r="AQ37" s="28">
        <v>0</v>
      </c>
      <c r="AR37" s="28">
        <v>0</v>
      </c>
      <c r="AS37" s="28">
        <v>0</v>
      </c>
      <c r="AT37" s="28">
        <v>0</v>
      </c>
      <c r="AU37" s="28">
        <v>0</v>
      </c>
      <c r="AV37" s="28">
        <v>0</v>
      </c>
      <c r="AW37" s="28">
        <v>0</v>
      </c>
      <c r="AX37" s="28">
        <v>0</v>
      </c>
      <c r="AY37" s="28">
        <v>0</v>
      </c>
      <c r="AZ37" s="28">
        <v>0</v>
      </c>
      <c r="BA37" s="28">
        <v>0</v>
      </c>
      <c r="BB37" s="28">
        <v>0</v>
      </c>
      <c r="BC37" s="28">
        <v>0</v>
      </c>
      <c r="BD37" s="28">
        <v>1.599</v>
      </c>
      <c r="BE37" s="28">
        <v>0</v>
      </c>
      <c r="BF37" s="28">
        <v>0</v>
      </c>
      <c r="BG37" s="28">
        <v>0</v>
      </c>
      <c r="BH37" s="28">
        <v>0</v>
      </c>
      <c r="BI37" s="28">
        <v>0</v>
      </c>
      <c r="BJ37" s="28">
        <v>0</v>
      </c>
      <c r="BK37" s="28">
        <v>0</v>
      </c>
      <c r="BL37" s="28">
        <v>0</v>
      </c>
      <c r="BM37" s="28">
        <v>0.51900000000000002</v>
      </c>
      <c r="BN37" s="28">
        <v>0</v>
      </c>
      <c r="BO37" s="28">
        <v>0</v>
      </c>
      <c r="BP37" s="28">
        <v>0.84099999999999997</v>
      </c>
      <c r="BQ37" s="28">
        <v>0</v>
      </c>
      <c r="BR37" s="28">
        <v>0</v>
      </c>
      <c r="BS37" s="28">
        <v>0</v>
      </c>
      <c r="BT37" s="28">
        <v>0</v>
      </c>
      <c r="BU37" s="28">
        <v>0</v>
      </c>
      <c r="BV37" s="28">
        <v>0</v>
      </c>
      <c r="BW37" s="28">
        <v>0</v>
      </c>
      <c r="BX37" s="28">
        <v>0</v>
      </c>
      <c r="BY37" s="28">
        <v>0</v>
      </c>
      <c r="BZ37" s="28">
        <v>0</v>
      </c>
      <c r="CA37" s="28">
        <v>0</v>
      </c>
      <c r="CB37" s="28">
        <v>0</v>
      </c>
      <c r="CC37" s="28">
        <v>0</v>
      </c>
      <c r="CD37" s="28">
        <v>0</v>
      </c>
      <c r="CE37" s="28">
        <v>0</v>
      </c>
      <c r="CF37" s="28">
        <v>0.48099999999999998</v>
      </c>
      <c r="CG37" s="28">
        <v>0</v>
      </c>
      <c r="CH37" s="28">
        <v>0</v>
      </c>
      <c r="CI37" s="28">
        <v>0</v>
      </c>
      <c r="CJ37" s="28">
        <v>0</v>
      </c>
      <c r="CK37" s="28">
        <v>0</v>
      </c>
      <c r="CL37" s="28">
        <v>0</v>
      </c>
      <c r="CM37" s="28">
        <v>0</v>
      </c>
      <c r="CN37" s="28">
        <v>0</v>
      </c>
      <c r="CO37" s="28">
        <v>0</v>
      </c>
      <c r="CP37" s="28">
        <v>0</v>
      </c>
      <c r="CQ37" s="28">
        <v>0</v>
      </c>
      <c r="CR37" s="28">
        <v>0.70200000000000007</v>
      </c>
      <c r="CS37" s="28">
        <v>0</v>
      </c>
      <c r="CT37" s="28">
        <v>0</v>
      </c>
      <c r="CU37" s="28">
        <v>0</v>
      </c>
      <c r="CV37" s="28">
        <v>0</v>
      </c>
      <c r="CW37" s="28">
        <v>0</v>
      </c>
      <c r="CX37" s="28">
        <v>7.8E-2</v>
      </c>
      <c r="CY37" s="28">
        <v>0.56400000000000006</v>
      </c>
      <c r="CZ37" s="28">
        <v>2.8000000000000001E-2</v>
      </c>
      <c r="DA37" s="28">
        <v>0</v>
      </c>
      <c r="DB37" s="28">
        <v>0</v>
      </c>
      <c r="DC37" s="28">
        <v>1.0189999999999999</v>
      </c>
      <c r="DD37" s="28">
        <v>0</v>
      </c>
      <c r="DE37" s="28">
        <v>0</v>
      </c>
      <c r="DF37" s="28">
        <v>0</v>
      </c>
      <c r="DG37" s="28">
        <v>0</v>
      </c>
      <c r="DH37" s="28">
        <v>0</v>
      </c>
      <c r="DI37" s="28">
        <v>0</v>
      </c>
      <c r="DJ37" s="28">
        <v>0</v>
      </c>
      <c r="DK37" s="28">
        <v>0</v>
      </c>
      <c r="DL37" s="28">
        <v>0</v>
      </c>
      <c r="DM37" s="28">
        <v>0</v>
      </c>
      <c r="DN37" s="28">
        <v>6.8999999999999992E-2</v>
      </c>
      <c r="DO37" s="28">
        <v>0</v>
      </c>
      <c r="DP37" s="28">
        <v>0</v>
      </c>
      <c r="DQ37" s="28">
        <v>0</v>
      </c>
      <c r="DR37" s="28">
        <v>0</v>
      </c>
      <c r="DS37" s="28">
        <v>0</v>
      </c>
      <c r="DT37" s="28">
        <v>0</v>
      </c>
      <c r="DU37" s="28">
        <v>0</v>
      </c>
      <c r="DV37" s="28">
        <v>0.123</v>
      </c>
      <c r="DW37" s="28">
        <v>5.3048387096774202E-2</v>
      </c>
      <c r="DX37" s="34">
        <v>6.5780000000000003</v>
      </c>
    </row>
    <row r="38" spans="1:128" x14ac:dyDescent="0.25">
      <c r="A38" s="24">
        <v>37</v>
      </c>
      <c r="B38" s="26">
        <v>18</v>
      </c>
      <c r="C38" s="28">
        <v>0</v>
      </c>
      <c r="D38" s="28">
        <v>0</v>
      </c>
      <c r="E38" s="28">
        <v>0</v>
      </c>
      <c r="F38" s="28">
        <v>0</v>
      </c>
      <c r="G38" s="28">
        <v>0</v>
      </c>
      <c r="H38" s="28">
        <v>0</v>
      </c>
      <c r="I38" s="28">
        <v>0</v>
      </c>
      <c r="J38" s="28">
        <v>0</v>
      </c>
      <c r="K38" s="28">
        <v>0</v>
      </c>
      <c r="L38" s="28">
        <v>0</v>
      </c>
      <c r="M38" s="28">
        <v>0</v>
      </c>
      <c r="N38" s="28">
        <v>0</v>
      </c>
      <c r="O38" s="28">
        <v>0</v>
      </c>
      <c r="P38" s="28">
        <v>0</v>
      </c>
      <c r="Q38" s="28">
        <v>0</v>
      </c>
      <c r="R38" s="28">
        <v>0</v>
      </c>
      <c r="S38" s="28">
        <v>0</v>
      </c>
      <c r="T38" s="28">
        <v>5.1999999999999998E-2</v>
      </c>
      <c r="U38" s="28">
        <v>0</v>
      </c>
      <c r="V38" s="28">
        <v>0</v>
      </c>
      <c r="W38" s="28">
        <v>0</v>
      </c>
      <c r="X38" s="28">
        <v>0</v>
      </c>
      <c r="Y38" s="28">
        <v>0</v>
      </c>
      <c r="Z38" s="28">
        <v>0</v>
      </c>
      <c r="AA38" s="28">
        <v>0</v>
      </c>
      <c r="AB38" s="28">
        <v>1.792</v>
      </c>
      <c r="AC38" s="28">
        <v>0</v>
      </c>
      <c r="AD38" s="28">
        <v>0</v>
      </c>
      <c r="AE38" s="28">
        <v>0</v>
      </c>
      <c r="AF38" s="28">
        <v>0</v>
      </c>
      <c r="AG38" s="28">
        <v>0</v>
      </c>
      <c r="AH38" s="28">
        <v>0</v>
      </c>
      <c r="AI38" s="28">
        <v>0</v>
      </c>
      <c r="AJ38" s="28">
        <v>0</v>
      </c>
      <c r="AK38" s="28">
        <v>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0</v>
      </c>
      <c r="AR38" s="28">
        <v>0</v>
      </c>
      <c r="AS38" s="28">
        <v>0</v>
      </c>
      <c r="AT38" s="28">
        <v>0</v>
      </c>
      <c r="AU38" s="28">
        <v>0</v>
      </c>
      <c r="AV38" s="28">
        <v>0</v>
      </c>
      <c r="AW38" s="28">
        <v>0</v>
      </c>
      <c r="AX38" s="28">
        <v>0</v>
      </c>
      <c r="AY38" s="28">
        <v>0</v>
      </c>
      <c r="AZ38" s="28">
        <v>0</v>
      </c>
      <c r="BA38" s="28">
        <v>0</v>
      </c>
      <c r="BB38" s="28">
        <v>0</v>
      </c>
      <c r="BC38" s="28">
        <v>0</v>
      </c>
      <c r="BD38" s="28">
        <v>0.216</v>
      </c>
      <c r="BE38" s="28">
        <v>0</v>
      </c>
      <c r="BF38" s="28">
        <v>0.44700000000000001</v>
      </c>
      <c r="BG38" s="28">
        <v>0</v>
      </c>
      <c r="BH38" s="28">
        <v>0</v>
      </c>
      <c r="BI38" s="28">
        <v>0</v>
      </c>
      <c r="BJ38" s="28">
        <v>0</v>
      </c>
      <c r="BK38" s="28">
        <v>0</v>
      </c>
      <c r="BL38" s="28">
        <v>0</v>
      </c>
      <c r="BM38" s="28">
        <v>0.38400000000000001</v>
      </c>
      <c r="BN38" s="28">
        <v>0</v>
      </c>
      <c r="BO38" s="28">
        <v>0</v>
      </c>
      <c r="BP38" s="28">
        <v>3.3410000000000002</v>
      </c>
      <c r="BQ38" s="28">
        <v>0</v>
      </c>
      <c r="BR38" s="28">
        <v>0</v>
      </c>
      <c r="BS38" s="28">
        <v>0.183</v>
      </c>
      <c r="BT38" s="28">
        <v>0</v>
      </c>
      <c r="BU38" s="28">
        <v>0</v>
      </c>
      <c r="BV38" s="28">
        <v>0</v>
      </c>
      <c r="BW38" s="28">
        <v>0</v>
      </c>
      <c r="BX38" s="28">
        <v>0</v>
      </c>
      <c r="BY38" s="28">
        <v>0.13100000000000001</v>
      </c>
      <c r="BZ38" s="28">
        <v>0</v>
      </c>
      <c r="CA38" s="28">
        <v>0</v>
      </c>
      <c r="CB38" s="28">
        <v>0</v>
      </c>
      <c r="CC38" s="28">
        <v>0</v>
      </c>
      <c r="CD38" s="28">
        <v>0.439</v>
      </c>
      <c r="CE38" s="28">
        <v>0</v>
      </c>
      <c r="CF38" s="28">
        <v>0</v>
      </c>
      <c r="CG38" s="28">
        <v>0</v>
      </c>
      <c r="CH38" s="28">
        <v>0</v>
      </c>
      <c r="CI38" s="28">
        <v>0</v>
      </c>
      <c r="CJ38" s="28">
        <v>0</v>
      </c>
      <c r="CK38" s="28">
        <v>0</v>
      </c>
      <c r="CL38" s="28">
        <v>0</v>
      </c>
      <c r="CM38" s="28">
        <v>0</v>
      </c>
      <c r="CN38" s="28">
        <v>0</v>
      </c>
      <c r="CO38" s="28">
        <v>0</v>
      </c>
      <c r="CP38" s="28">
        <v>0</v>
      </c>
      <c r="CQ38" s="28">
        <v>0</v>
      </c>
      <c r="CR38" s="28">
        <v>0</v>
      </c>
      <c r="CS38" s="28">
        <v>0</v>
      </c>
      <c r="CT38" s="28">
        <v>3.1E-2</v>
      </c>
      <c r="CU38" s="28">
        <v>0</v>
      </c>
      <c r="CV38" s="28">
        <v>0</v>
      </c>
      <c r="CW38" s="28">
        <v>0</v>
      </c>
      <c r="CX38" s="28">
        <v>0.86</v>
      </c>
      <c r="CY38" s="28">
        <v>0.182</v>
      </c>
      <c r="CZ38" s="28">
        <v>1.1399999999999999</v>
      </c>
      <c r="DA38" s="28">
        <v>0</v>
      </c>
      <c r="DB38" s="28">
        <v>0</v>
      </c>
      <c r="DC38" s="28">
        <v>0.312</v>
      </c>
      <c r="DD38" s="28">
        <v>0</v>
      </c>
      <c r="DE38" s="28">
        <v>0</v>
      </c>
      <c r="DF38" s="28">
        <v>0</v>
      </c>
      <c r="DG38" s="28">
        <v>0</v>
      </c>
      <c r="DH38" s="28">
        <v>0</v>
      </c>
      <c r="DI38" s="28">
        <v>0</v>
      </c>
      <c r="DJ38" s="28">
        <v>0</v>
      </c>
      <c r="DK38" s="28">
        <v>0</v>
      </c>
      <c r="DL38" s="28">
        <v>0</v>
      </c>
      <c r="DM38" s="28">
        <v>0</v>
      </c>
      <c r="DN38" s="28">
        <v>5.1999999999999998E-2</v>
      </c>
      <c r="DO38" s="28">
        <v>0</v>
      </c>
      <c r="DP38" s="28">
        <v>0</v>
      </c>
      <c r="DQ38" s="28">
        <v>0</v>
      </c>
      <c r="DR38" s="28">
        <v>0</v>
      </c>
      <c r="DS38" s="28">
        <v>0.29299999999999998</v>
      </c>
      <c r="DT38" s="28">
        <v>0.17799999999999999</v>
      </c>
      <c r="DU38" s="28">
        <v>0</v>
      </c>
      <c r="DV38" s="28">
        <v>0</v>
      </c>
      <c r="DW38" s="28">
        <v>8.091129032258064E-2</v>
      </c>
      <c r="DX38" s="34">
        <v>10.032999999999999</v>
      </c>
    </row>
    <row r="39" spans="1:128" x14ac:dyDescent="0.25">
      <c r="A39" s="24">
        <v>38</v>
      </c>
      <c r="B39" s="26">
        <v>18.5</v>
      </c>
      <c r="C39" s="28">
        <v>0</v>
      </c>
      <c r="D39" s="28">
        <v>0</v>
      </c>
      <c r="E39" s="28">
        <v>0</v>
      </c>
      <c r="F39" s="28">
        <v>0</v>
      </c>
      <c r="G39" s="28">
        <v>0</v>
      </c>
      <c r="H39" s="28">
        <v>0</v>
      </c>
      <c r="I39" s="28">
        <v>0</v>
      </c>
      <c r="J39" s="28">
        <v>0</v>
      </c>
      <c r="K39" s="28">
        <v>0</v>
      </c>
      <c r="L39" s="28">
        <v>3.5000000000000003E-2</v>
      </c>
      <c r="M39" s="28">
        <v>0</v>
      </c>
      <c r="N39" s="28">
        <v>0</v>
      </c>
      <c r="O39" s="28">
        <v>0</v>
      </c>
      <c r="P39" s="28">
        <v>4.3999999999999997E-2</v>
      </c>
      <c r="Q39" s="28">
        <v>0</v>
      </c>
      <c r="R39" s="28">
        <v>0</v>
      </c>
      <c r="S39" s="28">
        <v>0</v>
      </c>
      <c r="T39" s="28">
        <v>3.9E-2</v>
      </c>
      <c r="U39" s="28">
        <v>0</v>
      </c>
      <c r="V39" s="28">
        <v>0.77899999999999991</v>
      </c>
      <c r="W39" s="28">
        <v>0</v>
      </c>
      <c r="X39" s="28">
        <v>0</v>
      </c>
      <c r="Y39" s="28">
        <v>0</v>
      </c>
      <c r="Z39" s="28">
        <v>0</v>
      </c>
      <c r="AA39" s="28">
        <v>0</v>
      </c>
      <c r="AB39" s="28">
        <v>9.6000000000000002E-2</v>
      </c>
      <c r="AC39" s="28">
        <v>0</v>
      </c>
      <c r="AD39" s="28">
        <v>0</v>
      </c>
      <c r="AE39" s="28">
        <v>0</v>
      </c>
      <c r="AF39" s="28">
        <v>0</v>
      </c>
      <c r="AG39" s="28">
        <v>0</v>
      </c>
      <c r="AH39" s="28">
        <v>0</v>
      </c>
      <c r="AI39" s="28">
        <v>0</v>
      </c>
      <c r="AJ39" s="28">
        <v>0</v>
      </c>
      <c r="AK39" s="28">
        <v>0</v>
      </c>
      <c r="AL39" s="28">
        <v>0.33</v>
      </c>
      <c r="AM39" s="28">
        <v>3.2000000000000001E-2</v>
      </c>
      <c r="AN39" s="28">
        <v>0</v>
      </c>
      <c r="AO39" s="28">
        <v>0</v>
      </c>
      <c r="AP39" s="28">
        <v>0</v>
      </c>
      <c r="AQ39" s="28">
        <v>0</v>
      </c>
      <c r="AR39" s="28">
        <v>0</v>
      </c>
      <c r="AS39" s="28">
        <v>0</v>
      </c>
      <c r="AT39" s="28">
        <v>1.1819999999999999</v>
      </c>
      <c r="AU39" s="28">
        <v>0</v>
      </c>
      <c r="AV39" s="28">
        <v>2.1000000000000001E-2</v>
      </c>
      <c r="AW39" s="28">
        <v>0</v>
      </c>
      <c r="AX39" s="28">
        <v>0</v>
      </c>
      <c r="AY39" s="28">
        <v>0</v>
      </c>
      <c r="AZ39" s="28">
        <v>0</v>
      </c>
      <c r="BA39" s="28">
        <v>0</v>
      </c>
      <c r="BB39" s="28">
        <v>0</v>
      </c>
      <c r="BC39" s="28">
        <v>0</v>
      </c>
      <c r="BD39" s="28">
        <v>0.20499999999999999</v>
      </c>
      <c r="BE39" s="28">
        <v>0</v>
      </c>
      <c r="BF39" s="28">
        <v>0.56800000000000006</v>
      </c>
      <c r="BG39" s="28">
        <v>0</v>
      </c>
      <c r="BH39" s="28">
        <v>8.5000000000000006E-2</v>
      </c>
      <c r="BI39" s="28">
        <v>0</v>
      </c>
      <c r="BJ39" s="28">
        <v>0</v>
      </c>
      <c r="BK39" s="28">
        <v>0</v>
      </c>
      <c r="BL39" s="28">
        <v>0</v>
      </c>
      <c r="BM39" s="28">
        <v>0</v>
      </c>
      <c r="BN39" s="28">
        <v>0.13100000000000001</v>
      </c>
      <c r="BO39" s="28">
        <v>0</v>
      </c>
      <c r="BP39" s="28">
        <v>2.3410000000000002</v>
      </c>
      <c r="BQ39" s="28">
        <v>0</v>
      </c>
      <c r="BR39" s="28">
        <v>0</v>
      </c>
      <c r="BS39" s="28">
        <v>0.215</v>
      </c>
      <c r="BT39" s="28">
        <v>0</v>
      </c>
      <c r="BU39" s="28">
        <v>0</v>
      </c>
      <c r="BV39" s="28">
        <v>0</v>
      </c>
      <c r="BW39" s="28">
        <v>0</v>
      </c>
      <c r="BX39" s="28">
        <v>0</v>
      </c>
      <c r="BY39" s="28">
        <v>0</v>
      </c>
      <c r="BZ39" s="28">
        <v>0</v>
      </c>
      <c r="CA39" s="28">
        <v>0</v>
      </c>
      <c r="CB39" s="28">
        <v>0</v>
      </c>
      <c r="CC39" s="28">
        <v>0</v>
      </c>
      <c r="CD39" s="28">
        <v>0</v>
      </c>
      <c r="CE39" s="28">
        <v>0</v>
      </c>
      <c r="CF39" s="28">
        <v>0.37</v>
      </c>
      <c r="CG39" s="28">
        <v>0</v>
      </c>
      <c r="CH39" s="28">
        <v>0</v>
      </c>
      <c r="CI39" s="28">
        <v>0</v>
      </c>
      <c r="CJ39" s="28">
        <v>0</v>
      </c>
      <c r="CK39" s="28">
        <v>0.73599999999999999</v>
      </c>
      <c r="CL39" s="28">
        <v>0</v>
      </c>
      <c r="CM39" s="28">
        <v>0</v>
      </c>
      <c r="CN39" s="28">
        <v>0.156</v>
      </c>
      <c r="CO39" s="28">
        <v>0</v>
      </c>
      <c r="CP39" s="28">
        <v>0</v>
      </c>
      <c r="CQ39" s="28">
        <v>0</v>
      </c>
      <c r="CR39" s="28">
        <v>0</v>
      </c>
      <c r="CS39" s="28">
        <v>0</v>
      </c>
      <c r="CT39" s="28">
        <v>0</v>
      </c>
      <c r="CU39" s="28">
        <v>0.18099999999999999</v>
      </c>
      <c r="CV39" s="28">
        <v>0</v>
      </c>
      <c r="CW39" s="28">
        <v>5.0999999999999997E-2</v>
      </c>
      <c r="CX39" s="28">
        <v>0.49199999999999999</v>
      </c>
      <c r="CY39" s="28">
        <v>0</v>
      </c>
      <c r="CZ39" s="28">
        <v>0</v>
      </c>
      <c r="DA39" s="28">
        <v>0</v>
      </c>
      <c r="DB39" s="28">
        <v>0</v>
      </c>
      <c r="DC39" s="28">
        <v>6.6000000000000003E-2</v>
      </c>
      <c r="DD39" s="28">
        <v>1.012</v>
      </c>
      <c r="DE39" s="28">
        <v>1.9E-2</v>
      </c>
      <c r="DF39" s="28">
        <v>1.5049999999999999</v>
      </c>
      <c r="DG39" s="28">
        <v>0</v>
      </c>
      <c r="DH39" s="28">
        <v>0</v>
      </c>
      <c r="DI39" s="28">
        <v>0</v>
      </c>
      <c r="DJ39" s="28">
        <v>0</v>
      </c>
      <c r="DK39" s="28">
        <v>1.1779999999999999</v>
      </c>
      <c r="DL39" s="28">
        <v>0</v>
      </c>
      <c r="DM39" s="28">
        <v>0</v>
      </c>
      <c r="DN39" s="28">
        <v>1.036</v>
      </c>
      <c r="DO39" s="28">
        <v>0</v>
      </c>
      <c r="DP39" s="28">
        <v>0</v>
      </c>
      <c r="DQ39" s="28">
        <v>0</v>
      </c>
      <c r="DR39" s="28">
        <v>0</v>
      </c>
      <c r="DS39" s="28">
        <v>0.27500000000000002</v>
      </c>
      <c r="DT39" s="28">
        <v>2.78</v>
      </c>
      <c r="DU39" s="28">
        <v>0</v>
      </c>
      <c r="DV39" s="28">
        <v>0.20599999999999999</v>
      </c>
      <c r="DW39" s="28">
        <v>0.13037096774193549</v>
      </c>
      <c r="DX39" s="34">
        <v>16.166</v>
      </c>
    </row>
    <row r="40" spans="1:128" x14ac:dyDescent="0.25">
      <c r="A40" s="24">
        <v>39</v>
      </c>
      <c r="B40" s="26">
        <v>19</v>
      </c>
      <c r="C40" s="28">
        <v>0</v>
      </c>
      <c r="D40" s="28">
        <v>0</v>
      </c>
      <c r="E40" s="28">
        <v>0</v>
      </c>
      <c r="F40" s="28">
        <v>0</v>
      </c>
      <c r="G40" s="28">
        <v>0</v>
      </c>
      <c r="H40" s="28">
        <v>0</v>
      </c>
      <c r="I40" s="28">
        <v>0</v>
      </c>
      <c r="J40" s="28">
        <v>0</v>
      </c>
      <c r="K40" s="28">
        <v>0</v>
      </c>
      <c r="L40" s="28">
        <v>0.19500000000000001</v>
      </c>
      <c r="M40" s="28">
        <v>0</v>
      </c>
      <c r="N40" s="28">
        <v>0</v>
      </c>
      <c r="O40" s="28">
        <v>0.14899999999999999</v>
      </c>
      <c r="P40" s="28">
        <v>0.33800000000000002</v>
      </c>
      <c r="Q40" s="28">
        <v>0</v>
      </c>
      <c r="R40" s="28">
        <v>0.11600000000000001</v>
      </c>
      <c r="S40" s="28">
        <v>5.2999999999999999E-2</v>
      </c>
      <c r="T40" s="28">
        <v>0.16600000000000001</v>
      </c>
      <c r="U40" s="28">
        <v>0.51900000000000002</v>
      </c>
      <c r="V40" s="28">
        <v>0.214</v>
      </c>
      <c r="W40" s="28">
        <v>0</v>
      </c>
      <c r="X40" s="28">
        <v>0</v>
      </c>
      <c r="Y40" s="28">
        <v>4.8000000000000001E-2</v>
      </c>
      <c r="Z40" s="28">
        <v>0</v>
      </c>
      <c r="AA40" s="28">
        <v>0</v>
      </c>
      <c r="AB40" s="28">
        <v>0.189</v>
      </c>
      <c r="AC40" s="28">
        <v>3.1E-2</v>
      </c>
      <c r="AD40" s="28">
        <v>0</v>
      </c>
      <c r="AE40" s="28">
        <v>0</v>
      </c>
      <c r="AF40" s="28">
        <v>0</v>
      </c>
      <c r="AG40" s="28">
        <v>0.41899999999999998</v>
      </c>
      <c r="AH40" s="28">
        <v>0</v>
      </c>
      <c r="AI40" s="28">
        <v>0.184</v>
      </c>
      <c r="AJ40" s="28">
        <v>0</v>
      </c>
      <c r="AK40" s="28">
        <v>0.58699999999999997</v>
      </c>
      <c r="AL40" s="28">
        <v>0.251</v>
      </c>
      <c r="AM40" s="28">
        <v>0</v>
      </c>
      <c r="AN40" s="28">
        <v>0</v>
      </c>
      <c r="AO40" s="28">
        <v>0</v>
      </c>
      <c r="AP40" s="28">
        <v>0</v>
      </c>
      <c r="AQ40" s="28">
        <v>0</v>
      </c>
      <c r="AR40" s="28">
        <v>0</v>
      </c>
      <c r="AS40" s="28">
        <v>0</v>
      </c>
      <c r="AT40" s="28">
        <v>0</v>
      </c>
      <c r="AU40" s="28">
        <v>0</v>
      </c>
      <c r="AV40" s="28">
        <v>0.11799999999999999</v>
      </c>
      <c r="AW40" s="28">
        <v>0</v>
      </c>
      <c r="AX40" s="28">
        <v>0</v>
      </c>
      <c r="AY40" s="28">
        <v>0</v>
      </c>
      <c r="AZ40" s="28">
        <v>0</v>
      </c>
      <c r="BA40" s="28">
        <v>0.14399999999999999</v>
      </c>
      <c r="BB40" s="28">
        <v>0</v>
      </c>
      <c r="BC40" s="28">
        <v>0</v>
      </c>
      <c r="BD40" s="28">
        <v>6.7000000000000004E-2</v>
      </c>
      <c r="BE40" s="28">
        <v>0</v>
      </c>
      <c r="BF40" s="28">
        <v>0.153</v>
      </c>
      <c r="BG40" s="28">
        <v>2.7E-2</v>
      </c>
      <c r="BH40" s="28">
        <v>8.1000000000000003E-2</v>
      </c>
      <c r="BI40" s="28">
        <v>0</v>
      </c>
      <c r="BJ40" s="28">
        <v>6.4999999999999988E-2</v>
      </c>
      <c r="BK40" s="28">
        <v>0</v>
      </c>
      <c r="BL40" s="28">
        <v>8.5000000000000006E-2</v>
      </c>
      <c r="BM40" s="28">
        <v>5.8999999999999997E-2</v>
      </c>
      <c r="BN40" s="28">
        <v>0.23200000000000001</v>
      </c>
      <c r="BO40" s="28">
        <v>0.64899999999999991</v>
      </c>
      <c r="BP40" s="28">
        <v>0.183</v>
      </c>
      <c r="BQ40" s="28">
        <v>0</v>
      </c>
      <c r="BR40" s="28">
        <v>0</v>
      </c>
      <c r="BS40" s="28">
        <v>0.35699999999999998</v>
      </c>
      <c r="BT40" s="28">
        <v>1.839</v>
      </c>
      <c r="BU40" s="28">
        <v>0</v>
      </c>
      <c r="BV40" s="28">
        <v>0.318</v>
      </c>
      <c r="BW40" s="28">
        <v>0</v>
      </c>
      <c r="BX40" s="28">
        <v>0</v>
      </c>
      <c r="BY40" s="28">
        <v>0</v>
      </c>
      <c r="BZ40" s="28">
        <v>0.22900000000000001</v>
      </c>
      <c r="CA40" s="28">
        <v>0</v>
      </c>
      <c r="CB40" s="28">
        <v>0.371</v>
      </c>
      <c r="CC40" s="28">
        <v>0</v>
      </c>
      <c r="CD40" s="28">
        <v>5.6000000000000001E-2</v>
      </c>
      <c r="CE40" s="28">
        <v>0</v>
      </c>
      <c r="CF40" s="28">
        <v>2.4350000000000001</v>
      </c>
      <c r="CG40" s="28">
        <v>0.106</v>
      </c>
      <c r="CH40" s="28">
        <v>0</v>
      </c>
      <c r="CI40" s="28">
        <v>0</v>
      </c>
      <c r="CJ40" s="28">
        <v>0</v>
      </c>
      <c r="CK40" s="28">
        <v>0</v>
      </c>
      <c r="CL40" s="28">
        <v>0</v>
      </c>
      <c r="CM40" s="28">
        <v>0</v>
      </c>
      <c r="CN40" s="28">
        <v>0</v>
      </c>
      <c r="CO40" s="28">
        <v>9.0999999999999998E-2</v>
      </c>
      <c r="CP40" s="28">
        <v>0</v>
      </c>
      <c r="CQ40" s="28">
        <v>0.20899999999999999</v>
      </c>
      <c r="CR40" s="28">
        <v>0.11</v>
      </c>
      <c r="CS40" s="28">
        <v>0.68400000000000005</v>
      </c>
      <c r="CT40" s="28">
        <v>0</v>
      </c>
      <c r="CU40" s="28">
        <v>1.4390000000000001</v>
      </c>
      <c r="CV40" s="28">
        <v>0</v>
      </c>
      <c r="CW40" s="28">
        <v>0</v>
      </c>
      <c r="CX40" s="28">
        <v>3.0070000000000001</v>
      </c>
      <c r="CY40" s="28">
        <v>0.65399999999999991</v>
      </c>
      <c r="CZ40" s="28">
        <v>0</v>
      </c>
      <c r="DA40" s="28">
        <v>8.2000000000000003E-2</v>
      </c>
      <c r="DB40" s="28">
        <v>0.26600000000000001</v>
      </c>
      <c r="DC40" s="28">
        <v>0.29399999999999998</v>
      </c>
      <c r="DD40" s="28">
        <v>0</v>
      </c>
      <c r="DE40" s="28">
        <v>0.189</v>
      </c>
      <c r="DF40" s="28">
        <v>1.4119999999999999</v>
      </c>
      <c r="DG40" s="28">
        <v>0</v>
      </c>
      <c r="DH40" s="28">
        <v>0</v>
      </c>
      <c r="DI40" s="28">
        <v>2.5999999999999999E-2</v>
      </c>
      <c r="DJ40" s="28">
        <v>0</v>
      </c>
      <c r="DK40" s="28">
        <v>1.9890000000000001</v>
      </c>
      <c r="DL40" s="28">
        <v>0</v>
      </c>
      <c r="DM40" s="28">
        <v>4.2000000000000003E-2</v>
      </c>
      <c r="DN40" s="28">
        <v>9.2999999999999999E-2</v>
      </c>
      <c r="DO40" s="28">
        <v>6.8999999999999992E-2</v>
      </c>
      <c r="DP40" s="28">
        <v>1.4999999999999999E-2</v>
      </c>
      <c r="DQ40" s="28">
        <v>2.5999999999999999E-2</v>
      </c>
      <c r="DR40" s="28">
        <v>0</v>
      </c>
      <c r="DS40" s="28">
        <v>0.254</v>
      </c>
      <c r="DT40" s="28">
        <v>3.5129999999999999</v>
      </c>
      <c r="DU40" s="28">
        <v>0</v>
      </c>
      <c r="DV40" s="28">
        <v>0.312</v>
      </c>
      <c r="DW40" s="28">
        <v>0.20813709677419359</v>
      </c>
      <c r="DX40" s="34">
        <v>25.809000000000001</v>
      </c>
    </row>
    <row r="41" spans="1:128" x14ac:dyDescent="0.25">
      <c r="A41" s="24">
        <v>40</v>
      </c>
      <c r="B41" s="26">
        <v>19.5</v>
      </c>
      <c r="C41" s="28">
        <v>0</v>
      </c>
      <c r="D41" s="28">
        <v>0</v>
      </c>
      <c r="E41" s="28">
        <v>0</v>
      </c>
      <c r="F41" s="28">
        <v>0.17100000000000001</v>
      </c>
      <c r="G41" s="28">
        <v>0</v>
      </c>
      <c r="H41" s="28">
        <v>0.21199999999999999</v>
      </c>
      <c r="I41" s="28">
        <v>0.42799999999999999</v>
      </c>
      <c r="J41" s="28">
        <v>0.247</v>
      </c>
      <c r="K41" s="28">
        <v>0.48699999999999999</v>
      </c>
      <c r="L41" s="28">
        <v>0.64400000000000002</v>
      </c>
      <c r="M41" s="28">
        <v>0.25</v>
      </c>
      <c r="N41" s="28">
        <v>1.4419999999999999</v>
      </c>
      <c r="O41" s="28">
        <v>0.14000000000000001</v>
      </c>
      <c r="P41" s="28">
        <v>0.52700000000000002</v>
      </c>
      <c r="Q41" s="28">
        <v>0.28499999999999998</v>
      </c>
      <c r="R41" s="28">
        <v>0.38400000000000001</v>
      </c>
      <c r="S41" s="28">
        <v>0.4</v>
      </c>
      <c r="T41" s="28">
        <v>0.43099999999999999</v>
      </c>
      <c r="U41" s="28">
        <v>0.29499999999999998</v>
      </c>
      <c r="V41" s="28">
        <v>0.57499999999999996</v>
      </c>
      <c r="W41" s="28">
        <v>0.39100000000000001</v>
      </c>
      <c r="X41" s="28">
        <v>9.7000000000000003E-2</v>
      </c>
      <c r="Y41" s="28">
        <v>0.40699999999999997</v>
      </c>
      <c r="Z41" s="28">
        <v>5.6000000000000001E-2</v>
      </c>
      <c r="AA41" s="28">
        <v>0</v>
      </c>
      <c r="AB41" s="28">
        <v>0.65300000000000002</v>
      </c>
      <c r="AC41" s="28">
        <v>0.68700000000000006</v>
      </c>
      <c r="AD41" s="28">
        <v>0</v>
      </c>
      <c r="AE41" s="28">
        <v>0.11799999999999999</v>
      </c>
      <c r="AF41" s="28">
        <v>0</v>
      </c>
      <c r="AG41" s="28">
        <v>0.754</v>
      </c>
      <c r="AH41" s="28">
        <v>0.21</v>
      </c>
      <c r="AI41" s="28">
        <v>0.433</v>
      </c>
      <c r="AJ41" s="28">
        <v>0.2</v>
      </c>
      <c r="AK41" s="28">
        <v>0.84799999999999998</v>
      </c>
      <c r="AL41" s="28">
        <v>0.28899999999999998</v>
      </c>
      <c r="AM41" s="28">
        <v>0.36299999999999999</v>
      </c>
      <c r="AN41" s="28">
        <v>0.105</v>
      </c>
      <c r="AO41" s="28">
        <v>0.33800000000000002</v>
      </c>
      <c r="AP41" s="28">
        <v>0.34200000000000003</v>
      </c>
      <c r="AQ41" s="28">
        <v>0.34899999999999998</v>
      </c>
      <c r="AR41" s="28">
        <v>0</v>
      </c>
      <c r="AS41" s="28">
        <v>7.0000000000000001E-3</v>
      </c>
      <c r="AT41" s="28">
        <v>0.111</v>
      </c>
      <c r="AU41" s="28">
        <v>8.7999999999999995E-2</v>
      </c>
      <c r="AV41" s="28">
        <v>0.27600000000000002</v>
      </c>
      <c r="AW41" s="28">
        <v>0.19800000000000001</v>
      </c>
      <c r="AX41" s="28">
        <v>0.18099999999999999</v>
      </c>
      <c r="AY41" s="28">
        <v>0.42799999999999999</v>
      </c>
      <c r="AZ41" s="28">
        <v>8.1000000000000003E-2</v>
      </c>
      <c r="BA41" s="28">
        <v>0.53799999999999992</v>
      </c>
      <c r="BB41" s="28">
        <v>0.31</v>
      </c>
      <c r="BC41" s="28">
        <v>2.1000000000000001E-2</v>
      </c>
      <c r="BD41" s="28">
        <v>0.39900000000000002</v>
      </c>
      <c r="BE41" s="28">
        <v>0.49399999999999999</v>
      </c>
      <c r="BF41" s="28">
        <v>0.49</v>
      </c>
      <c r="BG41" s="28">
        <v>0.13400000000000001</v>
      </c>
      <c r="BH41" s="28">
        <v>0.45</v>
      </c>
      <c r="BI41" s="28">
        <v>0</v>
      </c>
      <c r="BJ41" s="28">
        <v>0.193</v>
      </c>
      <c r="BK41" s="28">
        <v>0.26800000000000002</v>
      </c>
      <c r="BL41" s="28">
        <v>0.21299999999999999</v>
      </c>
      <c r="BM41" s="28">
        <v>0.40300000000000002</v>
      </c>
      <c r="BN41" s="28">
        <v>0.67599999999999993</v>
      </c>
      <c r="BO41" s="28">
        <v>0.72400000000000009</v>
      </c>
      <c r="BP41" s="28">
        <v>0</v>
      </c>
      <c r="BQ41" s="28">
        <v>7.0000000000000001E-3</v>
      </c>
      <c r="BR41" s="28">
        <v>4.5999999999999999E-2</v>
      </c>
      <c r="BS41" s="28">
        <v>0.59199999999999997</v>
      </c>
      <c r="BT41" s="28">
        <v>2.4900000000000002</v>
      </c>
      <c r="BU41" s="28">
        <v>9.6000000000000002E-2</v>
      </c>
      <c r="BV41" s="28">
        <v>0.41099999999999998</v>
      </c>
      <c r="BW41" s="28">
        <v>5.5E-2</v>
      </c>
      <c r="BX41" s="28">
        <v>0</v>
      </c>
      <c r="BY41" s="28">
        <v>6.2E-2</v>
      </c>
      <c r="BZ41" s="28">
        <v>0.57399999999999995</v>
      </c>
      <c r="CA41" s="28">
        <v>0.31</v>
      </c>
      <c r="CB41" s="28">
        <v>0.95200000000000007</v>
      </c>
      <c r="CC41" s="28">
        <v>0.27700000000000002</v>
      </c>
      <c r="CD41" s="28">
        <v>0.40200000000000002</v>
      </c>
      <c r="CE41" s="28">
        <v>0</v>
      </c>
      <c r="CF41" s="28">
        <v>1.9179999999999999</v>
      </c>
      <c r="CG41" s="28">
        <v>0.21199999999999999</v>
      </c>
      <c r="CH41" s="28">
        <v>0.26600000000000001</v>
      </c>
      <c r="CI41" s="28">
        <v>7.8E-2</v>
      </c>
      <c r="CJ41" s="28">
        <v>0.32100000000000001</v>
      </c>
      <c r="CK41" s="28">
        <v>0.41899999999999998</v>
      </c>
      <c r="CL41" s="28">
        <v>8.3000000000000004E-2</v>
      </c>
      <c r="CM41" s="28">
        <v>0.35299999999999998</v>
      </c>
      <c r="CN41" s="28">
        <v>0.39400000000000002</v>
      </c>
      <c r="CO41" s="28">
        <v>0</v>
      </c>
      <c r="CP41" s="28">
        <v>0.315</v>
      </c>
      <c r="CQ41" s="28">
        <v>0.60499999999999998</v>
      </c>
      <c r="CR41" s="28">
        <v>0.48099999999999998</v>
      </c>
      <c r="CS41" s="28">
        <v>1.2390000000000001</v>
      </c>
      <c r="CT41" s="28">
        <v>0.08</v>
      </c>
      <c r="CU41" s="28">
        <v>0.34799999999999998</v>
      </c>
      <c r="CV41" s="28">
        <v>0.26900000000000002</v>
      </c>
      <c r="CW41" s="28">
        <v>9.6000000000000002E-2</v>
      </c>
      <c r="CX41" s="28">
        <v>2.7349999999999999</v>
      </c>
      <c r="CY41" s="28">
        <v>0.24099999999999999</v>
      </c>
      <c r="CZ41" s="28">
        <v>1.284</v>
      </c>
      <c r="DA41" s="28">
        <v>1.1950000000000001</v>
      </c>
      <c r="DB41" s="28">
        <v>0.51600000000000001</v>
      </c>
      <c r="DC41" s="28">
        <v>0.49099999999999999</v>
      </c>
      <c r="DD41" s="28">
        <v>0</v>
      </c>
      <c r="DE41" s="28">
        <v>0.57300000000000006</v>
      </c>
      <c r="DF41" s="28">
        <v>0.58899999999999997</v>
      </c>
      <c r="DG41" s="28">
        <v>0</v>
      </c>
      <c r="DH41" s="28">
        <v>6.0999999999999999E-2</v>
      </c>
      <c r="DI41" s="28">
        <v>0.69099999999999995</v>
      </c>
      <c r="DJ41" s="28">
        <v>0.13100000000000001</v>
      </c>
      <c r="DK41" s="28">
        <v>0.93800000000000006</v>
      </c>
      <c r="DL41" s="28">
        <v>0.29899999999999999</v>
      </c>
      <c r="DM41" s="28">
        <v>0.19800000000000001</v>
      </c>
      <c r="DN41" s="28">
        <v>0.153</v>
      </c>
      <c r="DO41" s="28">
        <v>0.45700000000000002</v>
      </c>
      <c r="DP41" s="28">
        <v>0</v>
      </c>
      <c r="DQ41" s="28">
        <v>0.34100000000000003</v>
      </c>
      <c r="DR41" s="28">
        <v>9.8000000000000004E-2</v>
      </c>
      <c r="DS41" s="28">
        <v>1.343</v>
      </c>
      <c r="DT41" s="28">
        <v>0.7</v>
      </c>
      <c r="DU41" s="28">
        <v>0.126</v>
      </c>
      <c r="DV41" s="28">
        <v>0.104</v>
      </c>
      <c r="DW41" s="28">
        <v>0.38109677419354832</v>
      </c>
      <c r="DX41" s="34">
        <v>47.255999999999993</v>
      </c>
    </row>
    <row r="42" spans="1:128" x14ac:dyDescent="0.25">
      <c r="A42" s="24">
        <v>41</v>
      </c>
      <c r="B42" s="26">
        <v>20</v>
      </c>
      <c r="C42" s="28">
        <v>0.17</v>
      </c>
      <c r="D42" s="28">
        <v>0.218</v>
      </c>
      <c r="E42" s="28">
        <v>3.9E-2</v>
      </c>
      <c r="F42" s="28">
        <v>0.65300000000000002</v>
      </c>
      <c r="G42" s="28">
        <v>0.33700000000000002</v>
      </c>
      <c r="H42" s="28">
        <v>0.52800000000000002</v>
      </c>
      <c r="I42" s="28">
        <v>0.47199999999999998</v>
      </c>
      <c r="J42" s="28">
        <v>0.31900000000000001</v>
      </c>
      <c r="K42" s="28">
        <v>0.57999999999999996</v>
      </c>
      <c r="L42" s="28">
        <v>1.0880000000000001</v>
      </c>
      <c r="M42" s="28">
        <v>0.13400000000000001</v>
      </c>
      <c r="N42" s="28">
        <v>1.603</v>
      </c>
      <c r="O42" s="28">
        <v>0.52800000000000002</v>
      </c>
      <c r="P42" s="28">
        <v>0.48799999999999999</v>
      </c>
      <c r="Q42" s="28">
        <v>0.39300000000000002</v>
      </c>
      <c r="R42" s="28">
        <v>0.622</v>
      </c>
      <c r="S42" s="28">
        <v>1.319</v>
      </c>
      <c r="T42" s="28">
        <v>1</v>
      </c>
      <c r="U42" s="28">
        <v>0.47299999999999998</v>
      </c>
      <c r="V42" s="28">
        <v>0.433</v>
      </c>
      <c r="W42" s="28">
        <v>0.57600000000000007</v>
      </c>
      <c r="X42" s="28">
        <v>5.6000000000000001E-2</v>
      </c>
      <c r="Y42" s="28">
        <v>0.84099999999999997</v>
      </c>
      <c r="Z42" s="28">
        <v>3.5000000000000003E-2</v>
      </c>
      <c r="AA42" s="28">
        <v>3.5999999999999997E-2</v>
      </c>
      <c r="AB42" s="28">
        <v>0.76200000000000001</v>
      </c>
      <c r="AC42" s="28">
        <v>0.70200000000000007</v>
      </c>
      <c r="AD42" s="28">
        <v>0.26900000000000002</v>
      </c>
      <c r="AE42" s="28">
        <v>0.39900000000000002</v>
      </c>
      <c r="AF42" s="28">
        <v>3.5000000000000003E-2</v>
      </c>
      <c r="AG42" s="28">
        <v>1.421</v>
      </c>
      <c r="AH42" s="28">
        <v>0.28999999999999998</v>
      </c>
      <c r="AI42" s="28">
        <v>7.2999999999999995E-2</v>
      </c>
      <c r="AJ42" s="28">
        <v>0.43099999999999999</v>
      </c>
      <c r="AK42" s="28">
        <v>1.5309999999999999</v>
      </c>
      <c r="AL42" s="28">
        <v>0.47299999999999998</v>
      </c>
      <c r="AM42" s="28">
        <v>1.875</v>
      </c>
      <c r="AN42" s="28">
        <v>2.7E-2</v>
      </c>
      <c r="AO42" s="28">
        <v>0.59299999999999997</v>
      </c>
      <c r="AP42" s="28">
        <v>2.9000000000000001E-2</v>
      </c>
      <c r="AQ42" s="28">
        <v>0.57999999999999996</v>
      </c>
      <c r="AR42" s="28">
        <v>3.5000000000000003E-2</v>
      </c>
      <c r="AS42" s="28">
        <v>0.17</v>
      </c>
      <c r="AT42" s="28">
        <v>9.8999999999999991E-2</v>
      </c>
      <c r="AU42" s="28">
        <v>0.14699999999999999</v>
      </c>
      <c r="AV42" s="28">
        <v>0.65300000000000002</v>
      </c>
      <c r="AW42" s="28">
        <v>0.27700000000000002</v>
      </c>
      <c r="AX42" s="28">
        <v>0.55999999999999994</v>
      </c>
      <c r="AY42" s="28">
        <v>0.65799999999999992</v>
      </c>
      <c r="AZ42" s="28">
        <v>0.44</v>
      </c>
      <c r="BA42" s="28">
        <v>0.57300000000000006</v>
      </c>
      <c r="BB42" s="28">
        <v>6.8000000000000005E-2</v>
      </c>
      <c r="BC42" s="28">
        <v>2.3E-2</v>
      </c>
      <c r="BD42" s="28">
        <v>0.54400000000000004</v>
      </c>
      <c r="BE42" s="28">
        <v>0.54600000000000004</v>
      </c>
      <c r="BF42" s="28">
        <v>0.48899999999999988</v>
      </c>
      <c r="BG42" s="28">
        <v>7.8E-2</v>
      </c>
      <c r="BH42" s="28">
        <v>0.25</v>
      </c>
      <c r="BI42" s="28">
        <v>0.13600000000000001</v>
      </c>
      <c r="BJ42" s="28">
        <v>0.40200000000000002</v>
      </c>
      <c r="BK42" s="28">
        <v>1.6859999999999999</v>
      </c>
      <c r="BL42" s="28">
        <v>0.26400000000000001</v>
      </c>
      <c r="BM42" s="28">
        <v>0.4</v>
      </c>
      <c r="BN42" s="28">
        <v>0.60599999999999998</v>
      </c>
      <c r="BO42" s="28">
        <v>0.59000000000000008</v>
      </c>
      <c r="BP42" s="28">
        <v>0</v>
      </c>
      <c r="BQ42" s="28">
        <v>0.11</v>
      </c>
      <c r="BR42" s="28">
        <v>3.5999999999999997E-2</v>
      </c>
      <c r="BS42" s="28">
        <v>0.60799999999999998</v>
      </c>
      <c r="BT42" s="28">
        <v>1.669</v>
      </c>
      <c r="BU42" s="28">
        <v>0.18099999999999999</v>
      </c>
      <c r="BV42" s="28">
        <v>0.53500000000000003</v>
      </c>
      <c r="BW42" s="28">
        <v>9.2999999999999999E-2</v>
      </c>
      <c r="BX42" s="28">
        <v>7.1000000000000008E-2</v>
      </c>
      <c r="BY42" s="28">
        <v>3.5000000000000003E-2</v>
      </c>
      <c r="BZ42" s="28">
        <v>1.056</v>
      </c>
      <c r="CA42" s="28">
        <v>0.23200000000000001</v>
      </c>
      <c r="CB42" s="28">
        <v>0.28899999999999998</v>
      </c>
      <c r="CC42" s="28">
        <v>0.34100000000000003</v>
      </c>
      <c r="CD42" s="28">
        <v>0.49799999999999989</v>
      </c>
      <c r="CE42" s="28">
        <v>3.4000000000000002E-2</v>
      </c>
      <c r="CF42" s="28">
        <v>0.45600000000000002</v>
      </c>
      <c r="CG42" s="28">
        <v>0.105</v>
      </c>
      <c r="CH42" s="28">
        <v>0.51999999999999991</v>
      </c>
      <c r="CI42" s="28">
        <v>0.22</v>
      </c>
      <c r="CJ42" s="28">
        <v>0.36699999999999999</v>
      </c>
      <c r="CK42" s="28">
        <v>0.14199999999999999</v>
      </c>
      <c r="CL42" s="28">
        <v>3.5000000000000003E-2</v>
      </c>
      <c r="CM42" s="28">
        <v>0.49</v>
      </c>
      <c r="CN42" s="28">
        <v>0.63600000000000001</v>
      </c>
      <c r="CO42" s="28">
        <v>0.152</v>
      </c>
      <c r="CP42" s="28">
        <v>0.73899999999999999</v>
      </c>
      <c r="CQ42" s="28">
        <v>0.54600000000000004</v>
      </c>
      <c r="CR42" s="28">
        <v>0.53100000000000003</v>
      </c>
      <c r="CS42" s="28">
        <v>1.359</v>
      </c>
      <c r="CT42" s="28">
        <v>0.03</v>
      </c>
      <c r="CU42" s="28">
        <v>0.41699999999999998</v>
      </c>
      <c r="CV42" s="28">
        <v>0.26600000000000001</v>
      </c>
      <c r="CW42" s="28">
        <v>0.32900000000000001</v>
      </c>
      <c r="CX42" s="28">
        <v>0</v>
      </c>
      <c r="CY42" s="28">
        <v>0.219</v>
      </c>
      <c r="CZ42" s="28">
        <v>0.85699999999999998</v>
      </c>
      <c r="DA42" s="28">
        <v>0.33800000000000002</v>
      </c>
      <c r="DB42" s="28">
        <v>0.82099999999999995</v>
      </c>
      <c r="DC42" s="28">
        <v>0.11899999999999999</v>
      </c>
      <c r="DD42" s="28">
        <v>0.105</v>
      </c>
      <c r="DE42" s="28">
        <v>0.71399999999999997</v>
      </c>
      <c r="DF42" s="28">
        <v>0.58100000000000007</v>
      </c>
      <c r="DG42" s="28">
        <v>0.14099999999999999</v>
      </c>
      <c r="DH42" s="28">
        <v>0.13700000000000001</v>
      </c>
      <c r="DI42" s="28">
        <v>0.9</v>
      </c>
      <c r="DJ42" s="28">
        <v>9.0999999999999998E-2</v>
      </c>
      <c r="DK42" s="28">
        <v>0.39200000000000002</v>
      </c>
      <c r="DL42" s="28">
        <v>0.48899999999999988</v>
      </c>
      <c r="DM42" s="28">
        <v>0.502</v>
      </c>
      <c r="DN42" s="28">
        <v>0.41399999999999998</v>
      </c>
      <c r="DO42" s="28">
        <v>0.35599999999999998</v>
      </c>
      <c r="DP42" s="28">
        <v>0.27</v>
      </c>
      <c r="DQ42" s="28">
        <v>0.57600000000000007</v>
      </c>
      <c r="DR42" s="28">
        <v>0.25800000000000001</v>
      </c>
      <c r="DS42" s="28">
        <v>0.62</v>
      </c>
      <c r="DT42" s="28">
        <v>0</v>
      </c>
      <c r="DU42" s="28">
        <v>0.52700000000000002</v>
      </c>
      <c r="DV42" s="28">
        <v>0.191</v>
      </c>
      <c r="DW42" s="28">
        <v>0.44250806451612901</v>
      </c>
      <c r="DX42" s="34">
        <v>54.871000000000002</v>
      </c>
    </row>
    <row r="43" spans="1:128" x14ac:dyDescent="0.25">
      <c r="A43" s="24">
        <v>42</v>
      </c>
      <c r="B43" s="26">
        <v>20.5</v>
      </c>
      <c r="C43" s="28">
        <v>4.2999999999999997E-2</v>
      </c>
      <c r="D43" s="28">
        <v>4.9000000000000002E-2</v>
      </c>
      <c r="E43" s="28">
        <v>5.0999999999999997E-2</v>
      </c>
      <c r="F43" s="28">
        <v>0.621</v>
      </c>
      <c r="G43" s="28">
        <v>0.214</v>
      </c>
      <c r="H43" s="28">
        <v>2.0550000000000002</v>
      </c>
      <c r="I43" s="28">
        <v>2.5089999999999999</v>
      </c>
      <c r="J43" s="28">
        <v>0.24399999999999999</v>
      </c>
      <c r="K43" s="28">
        <v>0.80400000000000005</v>
      </c>
      <c r="L43" s="28">
        <v>0.72400000000000009</v>
      </c>
      <c r="M43" s="28">
        <v>0.127</v>
      </c>
      <c r="N43" s="28">
        <v>1.054</v>
      </c>
      <c r="O43" s="28">
        <v>0.66</v>
      </c>
      <c r="P43" s="28">
        <v>0.56400000000000006</v>
      </c>
      <c r="Q43" s="28">
        <v>0.161</v>
      </c>
      <c r="R43" s="28">
        <v>0.49399999999999999</v>
      </c>
      <c r="S43" s="28">
        <v>1.8640000000000001</v>
      </c>
      <c r="T43" s="28">
        <v>0.72699999999999998</v>
      </c>
      <c r="U43" s="28">
        <v>0.49799999999999989</v>
      </c>
      <c r="V43" s="28">
        <v>0.32800000000000001</v>
      </c>
      <c r="W43" s="28">
        <v>0.33100000000000002</v>
      </c>
      <c r="X43" s="28">
        <v>9.2999999999999999E-2</v>
      </c>
      <c r="Y43" s="28">
        <v>0.72699999999999998</v>
      </c>
      <c r="Z43" s="28">
        <v>6.2E-2</v>
      </c>
      <c r="AA43" s="28">
        <v>0.127</v>
      </c>
      <c r="AB43" s="28">
        <v>1.2070000000000001</v>
      </c>
      <c r="AC43" s="28">
        <v>0.91299999999999992</v>
      </c>
      <c r="AD43" s="28">
        <v>6.2E-2</v>
      </c>
      <c r="AE43" s="28">
        <v>1.6850000000000001</v>
      </c>
      <c r="AF43" s="28">
        <v>0.12</v>
      </c>
      <c r="AG43" s="28">
        <v>0.98</v>
      </c>
      <c r="AH43" s="28">
        <v>0.47599999999999998</v>
      </c>
      <c r="AI43" s="28">
        <v>0.17399999999999999</v>
      </c>
      <c r="AJ43" s="28">
        <v>0.629</v>
      </c>
      <c r="AK43" s="28">
        <v>0.86399999999999999</v>
      </c>
      <c r="AL43" s="28">
        <v>1.657</v>
      </c>
      <c r="AM43" s="28">
        <v>0.60899999999999999</v>
      </c>
      <c r="AN43" s="28">
        <v>7.1000000000000008E-2</v>
      </c>
      <c r="AO43" s="28">
        <v>0.505</v>
      </c>
      <c r="AP43" s="28">
        <v>4.5999999999999999E-2</v>
      </c>
      <c r="AQ43" s="28">
        <v>1.8320000000000001</v>
      </c>
      <c r="AR43" s="28">
        <v>5.5E-2</v>
      </c>
      <c r="AS43" s="28">
        <v>1.7809999999999999</v>
      </c>
      <c r="AT43" s="28">
        <v>0.04</v>
      </c>
      <c r="AU43" s="28">
        <v>0.05</v>
      </c>
      <c r="AV43" s="28">
        <v>1.325</v>
      </c>
      <c r="AW43" s="28">
        <v>0.37</v>
      </c>
      <c r="AX43" s="28">
        <v>0.63600000000000001</v>
      </c>
      <c r="AY43" s="28">
        <v>1.0409999999999999</v>
      </c>
      <c r="AZ43" s="28">
        <v>0.437</v>
      </c>
      <c r="BA43" s="28">
        <v>0.74</v>
      </c>
      <c r="BB43" s="28">
        <v>0.224</v>
      </c>
      <c r="BC43" s="28">
        <v>0.32300000000000001</v>
      </c>
      <c r="BD43" s="28">
        <v>0.40400000000000003</v>
      </c>
      <c r="BE43" s="28">
        <v>0.55900000000000005</v>
      </c>
      <c r="BF43" s="28">
        <v>0.57700000000000007</v>
      </c>
      <c r="BG43" s="28">
        <v>0.40500000000000003</v>
      </c>
      <c r="BH43" s="28">
        <v>0.33800000000000002</v>
      </c>
      <c r="BI43" s="28">
        <v>0.14099999999999999</v>
      </c>
      <c r="BJ43" s="28">
        <v>0.40400000000000003</v>
      </c>
      <c r="BK43" s="28">
        <v>1.899</v>
      </c>
      <c r="BL43" s="28">
        <v>7.2000000000000008E-2</v>
      </c>
      <c r="BM43" s="28">
        <v>0.74099999999999999</v>
      </c>
      <c r="BN43" s="28">
        <v>0.39</v>
      </c>
      <c r="BO43" s="28">
        <v>0.48699999999999999</v>
      </c>
      <c r="BP43" s="28">
        <v>0</v>
      </c>
      <c r="BQ43" s="28">
        <v>3.6999999999999998E-2</v>
      </c>
      <c r="BR43" s="28">
        <v>0.22</v>
      </c>
      <c r="BS43" s="28">
        <v>0.70600000000000007</v>
      </c>
      <c r="BT43" s="28">
        <v>7.6999999999999999E-2</v>
      </c>
      <c r="BU43" s="28">
        <v>0.216</v>
      </c>
      <c r="BV43" s="28">
        <v>0.44</v>
      </c>
      <c r="BW43" s="28">
        <v>0.05</v>
      </c>
      <c r="BX43" s="28">
        <v>8.7999999999999995E-2</v>
      </c>
      <c r="BY43" s="28">
        <v>0.21199999999999999</v>
      </c>
      <c r="BZ43" s="28">
        <v>0.20100000000000001</v>
      </c>
      <c r="CA43" s="28">
        <v>0.187</v>
      </c>
      <c r="CB43" s="28">
        <v>0.52400000000000002</v>
      </c>
      <c r="CC43" s="28">
        <v>0.38</v>
      </c>
      <c r="CD43" s="28">
        <v>0.79699999999999993</v>
      </c>
      <c r="CE43" s="28">
        <v>4.5999999999999999E-2</v>
      </c>
      <c r="CF43" s="28">
        <v>1.446</v>
      </c>
      <c r="CG43" s="28">
        <v>0.29399999999999998</v>
      </c>
      <c r="CH43" s="28">
        <v>0.47799999999999998</v>
      </c>
      <c r="CI43" s="28">
        <v>5.0999999999999997E-2</v>
      </c>
      <c r="CJ43" s="28">
        <v>0.65799999999999992</v>
      </c>
      <c r="CK43" s="28">
        <v>0.114</v>
      </c>
      <c r="CL43" s="28">
        <v>0.05</v>
      </c>
      <c r="CM43" s="28">
        <v>0.48</v>
      </c>
      <c r="CN43" s="28">
        <v>0.74399999999999999</v>
      </c>
      <c r="CO43" s="28">
        <v>0.183</v>
      </c>
      <c r="CP43" s="28">
        <v>2.73</v>
      </c>
      <c r="CQ43" s="28">
        <v>0.73299999999999998</v>
      </c>
      <c r="CR43" s="28">
        <v>0.42399999999999999</v>
      </c>
      <c r="CS43" s="28">
        <v>0.35399999999999998</v>
      </c>
      <c r="CT43" s="28">
        <v>0.17399999999999999</v>
      </c>
      <c r="CU43" s="28">
        <v>0.51700000000000002</v>
      </c>
      <c r="CV43" s="28">
        <v>0.35199999999999998</v>
      </c>
      <c r="CW43" s="28">
        <v>0.34699999999999998</v>
      </c>
      <c r="CX43" s="28">
        <v>0</v>
      </c>
      <c r="CY43" s="28">
        <v>0.435</v>
      </c>
      <c r="CZ43" s="28">
        <v>0.58399999999999996</v>
      </c>
      <c r="DA43" s="28">
        <v>0.30299999999999999</v>
      </c>
      <c r="DB43" s="28">
        <v>0.74299999999999999</v>
      </c>
      <c r="DC43" s="28">
        <v>0.22900000000000001</v>
      </c>
      <c r="DD43" s="28">
        <v>4.2000000000000003E-2</v>
      </c>
      <c r="DE43" s="28">
        <v>0.63600000000000001</v>
      </c>
      <c r="DF43" s="28">
        <v>0.91900000000000004</v>
      </c>
      <c r="DG43" s="28">
        <v>0.106</v>
      </c>
      <c r="DH43" s="28">
        <v>0.31</v>
      </c>
      <c r="DI43" s="28">
        <v>0.63500000000000001</v>
      </c>
      <c r="DJ43" s="28">
        <v>0.40400000000000003</v>
      </c>
      <c r="DK43" s="28">
        <v>1.276</v>
      </c>
      <c r="DL43" s="28">
        <v>0.53900000000000003</v>
      </c>
      <c r="DM43" s="28">
        <v>0.70899999999999996</v>
      </c>
      <c r="DN43" s="28">
        <v>0.35499999999999998</v>
      </c>
      <c r="DO43" s="28">
        <v>0.246</v>
      </c>
      <c r="DP43" s="28">
        <v>6.9999999999999993E-2</v>
      </c>
      <c r="DQ43" s="28">
        <v>0.625</v>
      </c>
      <c r="DR43" s="28">
        <v>0.19600000000000001</v>
      </c>
      <c r="DS43" s="28">
        <v>0.29499999999999998</v>
      </c>
      <c r="DT43" s="28">
        <v>0</v>
      </c>
      <c r="DU43" s="28">
        <v>0.46</v>
      </c>
      <c r="DV43" s="28">
        <v>9.7000000000000003E-2</v>
      </c>
      <c r="DW43" s="28">
        <v>0.52358064516129021</v>
      </c>
      <c r="DX43" s="34">
        <v>64.923999999999992</v>
      </c>
    </row>
    <row r="44" spans="1:128" x14ac:dyDescent="0.25">
      <c r="A44" s="24">
        <v>43</v>
      </c>
      <c r="B44" s="26">
        <v>21</v>
      </c>
      <c r="C44" s="28">
        <v>0.16700000000000001</v>
      </c>
      <c r="D44" s="28">
        <v>0.20399999999999999</v>
      </c>
      <c r="E44" s="28">
        <v>5.0999999999999997E-2</v>
      </c>
      <c r="F44" s="28">
        <v>0.58699999999999997</v>
      </c>
      <c r="G44" s="28">
        <v>0.35099999999999998</v>
      </c>
      <c r="H44" s="28">
        <v>0.30399999999999999</v>
      </c>
      <c r="I44" s="28">
        <v>0.84599999999999997</v>
      </c>
      <c r="J44" s="28">
        <v>0.65300000000000002</v>
      </c>
      <c r="K44" s="28">
        <v>0.59799999999999998</v>
      </c>
      <c r="L44" s="28">
        <v>0.64700000000000002</v>
      </c>
      <c r="M44" s="28">
        <v>0.25900000000000001</v>
      </c>
      <c r="N44" s="28">
        <v>0.66600000000000004</v>
      </c>
      <c r="O44" s="28">
        <v>0.21199999999999999</v>
      </c>
      <c r="P44" s="28">
        <v>0.40100000000000002</v>
      </c>
      <c r="Q44" s="28">
        <v>0.48399999999999999</v>
      </c>
      <c r="R44" s="28">
        <v>0.55699999999999994</v>
      </c>
      <c r="S44" s="28">
        <v>0.42499999999999999</v>
      </c>
      <c r="T44" s="28">
        <v>0.96899999999999997</v>
      </c>
      <c r="U44" s="28">
        <v>0.51600000000000001</v>
      </c>
      <c r="V44" s="28">
        <v>0.67300000000000004</v>
      </c>
      <c r="W44" s="28">
        <v>0.41899999999999998</v>
      </c>
      <c r="X44" s="28">
        <v>0.14000000000000001</v>
      </c>
      <c r="Y44" s="28">
        <v>0.68499999999999994</v>
      </c>
      <c r="Z44" s="28">
        <v>0.20699999999999999</v>
      </c>
      <c r="AA44" s="28">
        <v>9.2999999999999999E-2</v>
      </c>
      <c r="AB44" s="28">
        <v>1.081</v>
      </c>
      <c r="AC44" s="28">
        <v>0.39100000000000001</v>
      </c>
      <c r="AD44" s="28">
        <v>0.17499999999999999</v>
      </c>
      <c r="AE44" s="28">
        <v>0.60499999999999998</v>
      </c>
      <c r="AF44" s="28">
        <v>0.151</v>
      </c>
      <c r="AG44" s="28">
        <v>0.69599999999999995</v>
      </c>
      <c r="AH44" s="28">
        <v>0.438</v>
      </c>
      <c r="AI44" s="28">
        <v>0.16200000000000001</v>
      </c>
      <c r="AJ44" s="28">
        <v>0.56800000000000006</v>
      </c>
      <c r="AK44" s="28">
        <v>0.49299999999999988</v>
      </c>
      <c r="AL44" s="28">
        <v>1.1879999999999999</v>
      </c>
      <c r="AM44" s="28">
        <v>0.76300000000000001</v>
      </c>
      <c r="AN44" s="28">
        <v>0.21299999999999999</v>
      </c>
      <c r="AO44" s="28">
        <v>0.217</v>
      </c>
      <c r="AP44" s="28">
        <v>0.84599999999999997</v>
      </c>
      <c r="AQ44" s="28">
        <v>0.52500000000000002</v>
      </c>
      <c r="AR44" s="28">
        <v>5.5E-2</v>
      </c>
      <c r="AS44" s="28">
        <v>1.476</v>
      </c>
      <c r="AT44" s="28">
        <v>0.10199999999999999</v>
      </c>
      <c r="AU44" s="28">
        <v>0.05</v>
      </c>
      <c r="AV44" s="28">
        <v>3.07</v>
      </c>
      <c r="AW44" s="28">
        <v>0.52500000000000002</v>
      </c>
      <c r="AX44" s="28">
        <v>0.49399999999999999</v>
      </c>
      <c r="AY44" s="28">
        <v>1.153</v>
      </c>
      <c r="AZ44" s="28">
        <v>0.99900000000000011</v>
      </c>
      <c r="BA44" s="28">
        <v>0.70100000000000007</v>
      </c>
      <c r="BB44" s="28">
        <v>0.35</v>
      </c>
      <c r="BC44" s="28">
        <v>0.30499999999999999</v>
      </c>
      <c r="BD44" s="28">
        <v>0.755</v>
      </c>
      <c r="BE44" s="28">
        <v>0.68</v>
      </c>
      <c r="BF44" s="28">
        <v>1.2949999999999999</v>
      </c>
      <c r="BG44" s="28">
        <v>0.48199999999999998</v>
      </c>
      <c r="BH44" s="28">
        <v>0.76999999999999991</v>
      </c>
      <c r="BI44" s="28">
        <v>6.2E-2</v>
      </c>
      <c r="BJ44" s="28">
        <v>0.42099999999999999</v>
      </c>
      <c r="BK44" s="28">
        <v>0.88800000000000001</v>
      </c>
      <c r="BL44" s="28">
        <v>0.17</v>
      </c>
      <c r="BM44" s="28">
        <v>0.65200000000000002</v>
      </c>
      <c r="BN44" s="28">
        <v>0.45300000000000001</v>
      </c>
      <c r="BO44" s="28">
        <v>0.53700000000000003</v>
      </c>
      <c r="BP44" s="28">
        <v>0</v>
      </c>
      <c r="BQ44" s="28">
        <v>4.3999999999999997E-2</v>
      </c>
      <c r="BR44" s="28">
        <v>5.2999999999999999E-2</v>
      </c>
      <c r="BS44" s="28">
        <v>0.44500000000000001</v>
      </c>
      <c r="BT44" s="28">
        <v>0.183</v>
      </c>
      <c r="BU44" s="28">
        <v>0.28999999999999998</v>
      </c>
      <c r="BV44" s="28">
        <v>0.6</v>
      </c>
      <c r="BW44" s="28">
        <v>0.29299999999999998</v>
      </c>
      <c r="BX44" s="28">
        <v>5.0999999999999997E-2</v>
      </c>
      <c r="BY44" s="28">
        <v>5.5E-2</v>
      </c>
      <c r="BZ44" s="28">
        <v>0.34799999999999998</v>
      </c>
      <c r="CA44" s="28">
        <v>0.30199999999999999</v>
      </c>
      <c r="CB44" s="28">
        <v>1.496</v>
      </c>
      <c r="CC44" s="28">
        <v>0.47299999999999998</v>
      </c>
      <c r="CD44" s="28">
        <v>0.71699999999999997</v>
      </c>
      <c r="CE44" s="28">
        <v>4.5999999999999999E-2</v>
      </c>
      <c r="CF44" s="28">
        <v>9.5000000000000001E-2</v>
      </c>
      <c r="CG44" s="28">
        <v>0.17499999999999999</v>
      </c>
      <c r="CH44" s="28">
        <v>0.26100000000000001</v>
      </c>
      <c r="CI44" s="28">
        <v>0.13500000000000001</v>
      </c>
      <c r="CJ44" s="28">
        <v>1.4279999999999999</v>
      </c>
      <c r="CK44" s="28">
        <v>0.19800000000000001</v>
      </c>
      <c r="CL44" s="28">
        <v>0.05</v>
      </c>
      <c r="CM44" s="28">
        <v>0.60299999999999998</v>
      </c>
      <c r="CN44" s="28">
        <v>0.58499999999999996</v>
      </c>
      <c r="CO44" s="28">
        <v>0.106</v>
      </c>
      <c r="CP44" s="28">
        <v>2.956</v>
      </c>
      <c r="CQ44" s="28">
        <v>0.53100000000000003</v>
      </c>
      <c r="CR44" s="28">
        <v>0.81700000000000006</v>
      </c>
      <c r="CS44" s="28">
        <v>0.46300000000000002</v>
      </c>
      <c r="CT44" s="28">
        <v>4.7E-2</v>
      </c>
      <c r="CU44" s="28">
        <v>0.752</v>
      </c>
      <c r="CV44" s="28">
        <v>0.501</v>
      </c>
      <c r="CW44" s="28">
        <v>0.48699999999999999</v>
      </c>
      <c r="CX44" s="28">
        <v>0</v>
      </c>
      <c r="CY44" s="28">
        <v>0.28599999999999998</v>
      </c>
      <c r="CZ44" s="28">
        <v>0.435</v>
      </c>
      <c r="DA44" s="28">
        <v>0.38900000000000001</v>
      </c>
      <c r="DB44" s="28">
        <v>0.95899999999999996</v>
      </c>
      <c r="DC44" s="28">
        <v>0.51700000000000002</v>
      </c>
      <c r="DD44" s="28">
        <v>0.115</v>
      </c>
      <c r="DE44" s="28">
        <v>0.502</v>
      </c>
      <c r="DF44" s="28">
        <v>0.73699999999999999</v>
      </c>
      <c r="DG44" s="28">
        <v>1.0089999999999999</v>
      </c>
      <c r="DH44" s="28">
        <v>0.38300000000000001</v>
      </c>
      <c r="DI44" s="28">
        <v>0.878</v>
      </c>
      <c r="DJ44" s="28">
        <v>9.0999999999999998E-2</v>
      </c>
      <c r="DK44" s="28">
        <v>0.66400000000000003</v>
      </c>
      <c r="DL44" s="28">
        <v>0.73299999999999998</v>
      </c>
      <c r="DM44" s="28">
        <v>0.6130000000000001</v>
      </c>
      <c r="DN44" s="28">
        <v>0.55599999999999994</v>
      </c>
      <c r="DO44" s="28">
        <v>3.7999999999999999E-2</v>
      </c>
      <c r="DP44" s="28">
        <v>0.14099999999999999</v>
      </c>
      <c r="DQ44" s="28">
        <v>4.7E-2</v>
      </c>
      <c r="DR44" s="28">
        <v>0.36900000000000011</v>
      </c>
      <c r="DS44" s="28">
        <v>0.28399999999999997</v>
      </c>
      <c r="DT44" s="28">
        <v>0</v>
      </c>
      <c r="DU44" s="28">
        <v>0.44400000000000001</v>
      </c>
      <c r="DV44" s="28">
        <v>0.56800000000000006</v>
      </c>
      <c r="DW44" s="28">
        <v>0.50334677419354845</v>
      </c>
      <c r="DX44" s="34">
        <v>62.415000000000013</v>
      </c>
    </row>
    <row r="45" spans="1:128" x14ac:dyDescent="0.25">
      <c r="A45" s="24">
        <v>44</v>
      </c>
      <c r="B45" s="26">
        <v>21.5</v>
      </c>
      <c r="C45" s="28">
        <v>5.7000000000000002E-2</v>
      </c>
      <c r="D45" s="28">
        <v>8.3000000000000004E-2</v>
      </c>
      <c r="E45" s="28">
        <v>0.10199999999999999</v>
      </c>
      <c r="F45" s="28">
        <v>0.55099999999999993</v>
      </c>
      <c r="G45" s="28">
        <v>0.53100000000000003</v>
      </c>
      <c r="H45" s="28">
        <v>0.34499999999999997</v>
      </c>
      <c r="I45" s="28">
        <v>0.46400000000000002</v>
      </c>
      <c r="J45" s="28">
        <v>0.58899999999999997</v>
      </c>
      <c r="K45" s="28">
        <v>0.70299999999999996</v>
      </c>
      <c r="L45" s="28">
        <v>0.501</v>
      </c>
      <c r="M45" s="28">
        <v>0.153</v>
      </c>
      <c r="N45" s="28">
        <v>0.43099999999999999</v>
      </c>
      <c r="O45" s="28">
        <v>0.31900000000000001</v>
      </c>
      <c r="P45" s="28">
        <v>0.54</v>
      </c>
      <c r="Q45" s="28">
        <v>0.38800000000000001</v>
      </c>
      <c r="R45" s="28">
        <v>0.68499999999999994</v>
      </c>
      <c r="S45" s="28">
        <v>0.375</v>
      </c>
      <c r="T45" s="28">
        <v>0.59599999999999997</v>
      </c>
      <c r="U45" s="28">
        <v>0.45600000000000002</v>
      </c>
      <c r="V45" s="28">
        <v>0.96799999999999997</v>
      </c>
      <c r="W45" s="28">
        <v>0.69599999999999995</v>
      </c>
      <c r="X45" s="28">
        <v>9.2999999999999999E-2</v>
      </c>
      <c r="Y45" s="28">
        <v>0.41399999999999998</v>
      </c>
      <c r="Z45" s="28">
        <v>5.5E-2</v>
      </c>
      <c r="AA45" s="28">
        <v>5.2999999999999999E-2</v>
      </c>
      <c r="AB45" s="28">
        <v>0.86099999999999999</v>
      </c>
      <c r="AC45" s="28">
        <v>0.42399999999999999</v>
      </c>
      <c r="AD45" s="28">
        <v>0.27700000000000002</v>
      </c>
      <c r="AE45" s="28">
        <v>0.73899999999999999</v>
      </c>
      <c r="AF45" s="28">
        <v>0.05</v>
      </c>
      <c r="AG45" s="28">
        <v>1.744</v>
      </c>
      <c r="AH45" s="28">
        <v>0.48799999999999999</v>
      </c>
      <c r="AI45" s="28">
        <v>7.4999999999999997E-2</v>
      </c>
      <c r="AJ45" s="28">
        <v>0.437</v>
      </c>
      <c r="AK45" s="28">
        <v>1.5620000000000001</v>
      </c>
      <c r="AL45" s="28">
        <v>0.86699999999999999</v>
      </c>
      <c r="AM45" s="28">
        <v>0.92900000000000005</v>
      </c>
      <c r="AN45" s="28">
        <v>0.47799999999999998</v>
      </c>
      <c r="AO45" s="28">
        <v>0.36099999999999999</v>
      </c>
      <c r="AP45" s="28">
        <v>4.5999999999999999E-2</v>
      </c>
      <c r="AQ45" s="28">
        <v>0.32100000000000001</v>
      </c>
      <c r="AR45" s="28">
        <v>0.30599999999999999</v>
      </c>
      <c r="AS45" s="28">
        <v>1.0189999999999999</v>
      </c>
      <c r="AT45" s="28">
        <v>0.10199999999999999</v>
      </c>
      <c r="AU45" s="28">
        <v>0.05</v>
      </c>
      <c r="AV45" s="28">
        <v>1.7090000000000001</v>
      </c>
      <c r="AW45" s="28">
        <v>0.44</v>
      </c>
      <c r="AX45" s="28">
        <v>0.60499999999999998</v>
      </c>
      <c r="AY45" s="28">
        <v>1.1739999999999999</v>
      </c>
      <c r="AZ45" s="28">
        <v>2.823</v>
      </c>
      <c r="BA45" s="28">
        <v>0.49799999999999989</v>
      </c>
      <c r="BB45" s="28">
        <v>0.46700000000000003</v>
      </c>
      <c r="BC45" s="28">
        <v>0.43</v>
      </c>
      <c r="BD45" s="28">
        <v>0.66200000000000003</v>
      </c>
      <c r="BE45" s="28">
        <v>0.41199999999999998</v>
      </c>
      <c r="BF45" s="28">
        <v>1.2529999999999999</v>
      </c>
      <c r="BG45" s="28">
        <v>0.49199999999999999</v>
      </c>
      <c r="BH45" s="28">
        <v>0.41699999999999998</v>
      </c>
      <c r="BI45" s="28">
        <v>0.23499999999999999</v>
      </c>
      <c r="BJ45" s="28">
        <v>0.503</v>
      </c>
      <c r="BK45" s="28">
        <v>0.24</v>
      </c>
      <c r="BL45" s="28">
        <v>0.30499999999999999</v>
      </c>
      <c r="BM45" s="28">
        <v>0.68099999999999994</v>
      </c>
      <c r="BN45" s="28">
        <v>8.3000000000000004E-2</v>
      </c>
      <c r="BO45" s="28">
        <v>0.495</v>
      </c>
      <c r="BP45" s="28">
        <v>0</v>
      </c>
      <c r="BQ45" s="28">
        <v>0.14699999999999999</v>
      </c>
      <c r="BR45" s="28">
        <v>5.2999999999999999E-2</v>
      </c>
      <c r="BS45" s="28">
        <v>0</v>
      </c>
      <c r="BT45" s="28">
        <v>0.17899999999999999</v>
      </c>
      <c r="BU45" s="28">
        <v>0.24</v>
      </c>
      <c r="BV45" s="28">
        <v>0.38700000000000001</v>
      </c>
      <c r="BW45" s="28">
        <v>0.114</v>
      </c>
      <c r="BX45" s="28">
        <v>0.126</v>
      </c>
      <c r="BY45" s="28">
        <v>5.5E-2</v>
      </c>
      <c r="BZ45" s="28">
        <v>0.22</v>
      </c>
      <c r="CA45" s="28">
        <v>0.34499999999999997</v>
      </c>
      <c r="CB45" s="28">
        <v>0.19700000000000001</v>
      </c>
      <c r="CC45" s="28">
        <v>0.29799999999999999</v>
      </c>
      <c r="CD45" s="28">
        <v>0.11899999999999999</v>
      </c>
      <c r="CE45" s="28">
        <v>0.10100000000000001</v>
      </c>
      <c r="CF45" s="28">
        <v>0.20799999999999999</v>
      </c>
      <c r="CG45" s="28">
        <v>0.55400000000000005</v>
      </c>
      <c r="CH45" s="28">
        <v>4.7E-2</v>
      </c>
      <c r="CI45" s="28">
        <v>0.29499999999999998</v>
      </c>
      <c r="CJ45" s="28">
        <v>1.212</v>
      </c>
      <c r="CK45" s="28">
        <v>5.2999999999999999E-2</v>
      </c>
      <c r="CL45" s="28">
        <v>0.05</v>
      </c>
      <c r="CM45" s="28">
        <v>0.57600000000000007</v>
      </c>
      <c r="CN45" s="28">
        <v>0.67400000000000004</v>
      </c>
      <c r="CO45" s="28">
        <v>0.44500000000000001</v>
      </c>
      <c r="CP45" s="28">
        <v>0.432</v>
      </c>
      <c r="CQ45" s="28">
        <v>0.622</v>
      </c>
      <c r="CR45" s="28">
        <v>0.63900000000000001</v>
      </c>
      <c r="CS45" s="28">
        <v>0.83799999999999997</v>
      </c>
      <c r="CT45" s="28">
        <v>4.7E-2</v>
      </c>
      <c r="CU45" s="28">
        <v>0.51900000000000002</v>
      </c>
      <c r="CV45" s="28">
        <v>0.58600000000000008</v>
      </c>
      <c r="CW45" s="28">
        <v>0.28599999999999998</v>
      </c>
      <c r="CX45" s="28">
        <v>0</v>
      </c>
      <c r="CY45" s="28">
        <v>0.28499999999999998</v>
      </c>
      <c r="CZ45" s="28">
        <v>0.32400000000000001</v>
      </c>
      <c r="DA45" s="28">
        <v>0.6130000000000001</v>
      </c>
      <c r="DB45" s="28">
        <v>0.50700000000000001</v>
      </c>
      <c r="DC45" s="28">
        <v>0.32100000000000001</v>
      </c>
      <c r="DD45" s="28">
        <v>4.2000000000000003E-2</v>
      </c>
      <c r="DE45" s="28">
        <v>0.48699999999999999</v>
      </c>
      <c r="DF45" s="28">
        <v>0.64400000000000002</v>
      </c>
      <c r="DG45" s="28">
        <v>1.0620000000000001</v>
      </c>
      <c r="DH45" s="28">
        <v>0.46300000000000002</v>
      </c>
      <c r="DI45" s="28">
        <v>0.63200000000000001</v>
      </c>
      <c r="DJ45" s="28">
        <v>0.25900000000000001</v>
      </c>
      <c r="DK45" s="28">
        <v>0.68599999999999994</v>
      </c>
      <c r="DL45" s="28">
        <v>0.36900000000000011</v>
      </c>
      <c r="DM45" s="28">
        <v>0.13700000000000001</v>
      </c>
      <c r="DN45" s="28">
        <v>0.75900000000000001</v>
      </c>
      <c r="DO45" s="28">
        <v>6.7000000000000004E-2</v>
      </c>
      <c r="DP45" s="28">
        <v>0.21099999999999999</v>
      </c>
      <c r="DQ45" s="28">
        <v>0.11899999999999999</v>
      </c>
      <c r="DR45" s="28">
        <v>0.36699999999999999</v>
      </c>
      <c r="DS45" s="28">
        <v>0.35899999999999999</v>
      </c>
      <c r="DT45" s="28">
        <v>0</v>
      </c>
      <c r="DU45" s="28">
        <v>0.55400000000000005</v>
      </c>
      <c r="DV45" s="28">
        <v>0.7380000000000001</v>
      </c>
      <c r="DW45" s="28">
        <v>0.45062096774193527</v>
      </c>
      <c r="DX45" s="34">
        <v>55.876999999999981</v>
      </c>
    </row>
    <row r="46" spans="1:128" x14ac:dyDescent="0.25">
      <c r="A46" s="24">
        <v>45</v>
      </c>
      <c r="B46" s="26">
        <v>22</v>
      </c>
      <c r="C46" s="28">
        <v>0.28299999999999997</v>
      </c>
      <c r="D46" s="28">
        <v>4.9000000000000002E-2</v>
      </c>
      <c r="E46" s="28">
        <v>5.0999999999999997E-2</v>
      </c>
      <c r="F46" s="28">
        <v>5.8999999999999997E-2</v>
      </c>
      <c r="G46" s="28">
        <v>0.35799999999999998</v>
      </c>
      <c r="H46" s="28">
        <v>0.23499999999999999</v>
      </c>
      <c r="I46" s="28">
        <v>0.56200000000000006</v>
      </c>
      <c r="J46" s="28">
        <v>0.41299999999999998</v>
      </c>
      <c r="K46" s="28">
        <v>0.5</v>
      </c>
      <c r="L46" s="28">
        <v>0.504</v>
      </c>
      <c r="M46" s="28">
        <v>0.193</v>
      </c>
      <c r="N46" s="28">
        <v>0.14599999999999999</v>
      </c>
      <c r="O46" s="28">
        <v>0.46899999999999997</v>
      </c>
      <c r="P46" s="28">
        <v>0.876</v>
      </c>
      <c r="Q46" s="28">
        <v>6.8999999999999992E-2</v>
      </c>
      <c r="R46" s="28">
        <v>0.73399999999999999</v>
      </c>
      <c r="S46" s="28">
        <v>0.56999999999999995</v>
      </c>
      <c r="T46" s="28">
        <v>1.7250000000000001</v>
      </c>
      <c r="U46" s="28">
        <v>0.77700000000000002</v>
      </c>
      <c r="V46" s="28">
        <v>0.17599999999999999</v>
      </c>
      <c r="W46" s="28">
        <v>0.29299999999999998</v>
      </c>
      <c r="X46" s="28">
        <v>0.14000000000000001</v>
      </c>
      <c r="Y46" s="28">
        <v>0.14399999999999999</v>
      </c>
      <c r="Z46" s="28">
        <v>0.214</v>
      </c>
      <c r="AA46" s="28">
        <v>5.2999999999999999E-2</v>
      </c>
      <c r="AB46" s="28">
        <v>0.53100000000000003</v>
      </c>
      <c r="AC46" s="28">
        <v>0.40699999999999997</v>
      </c>
      <c r="AD46" s="28">
        <v>8.2000000000000003E-2</v>
      </c>
      <c r="AE46" s="28">
        <v>0.77700000000000002</v>
      </c>
      <c r="AF46" s="28">
        <v>0.221</v>
      </c>
      <c r="AG46" s="28">
        <v>0.99</v>
      </c>
      <c r="AH46" s="28">
        <v>0.40500000000000003</v>
      </c>
      <c r="AI46" s="28">
        <v>0.20100000000000001</v>
      </c>
      <c r="AJ46" s="28">
        <v>0.46700000000000003</v>
      </c>
      <c r="AK46" s="28">
        <v>0.38500000000000001</v>
      </c>
      <c r="AL46" s="28">
        <v>0.9</v>
      </c>
      <c r="AM46" s="28">
        <v>0.73099999999999998</v>
      </c>
      <c r="AN46" s="28">
        <v>0.32600000000000001</v>
      </c>
      <c r="AO46" s="28">
        <v>5.8000000000000003E-2</v>
      </c>
      <c r="AP46" s="28">
        <v>4.5999999999999999E-2</v>
      </c>
      <c r="AQ46" s="28">
        <v>0.46200000000000002</v>
      </c>
      <c r="AR46" s="28">
        <v>0.36399999999999999</v>
      </c>
      <c r="AS46" s="28">
        <v>0.51</v>
      </c>
      <c r="AT46" s="28">
        <v>0.04</v>
      </c>
      <c r="AU46" s="28">
        <v>0.14899999999999999</v>
      </c>
      <c r="AV46" s="28">
        <v>0</v>
      </c>
      <c r="AW46" s="28">
        <v>0.45700000000000002</v>
      </c>
      <c r="AX46" s="28">
        <v>0.85499999999999998</v>
      </c>
      <c r="AY46" s="28">
        <v>1.0429999999999999</v>
      </c>
      <c r="AZ46" s="28">
        <v>2.3919999999999999</v>
      </c>
      <c r="BA46" s="28">
        <v>0.435</v>
      </c>
      <c r="BB46" s="28">
        <v>0.52300000000000002</v>
      </c>
      <c r="BC46" s="28">
        <v>0.41599999999999998</v>
      </c>
      <c r="BD46" s="28">
        <v>0.54199999999999993</v>
      </c>
      <c r="BE46" s="28">
        <v>0.51300000000000001</v>
      </c>
      <c r="BF46" s="28">
        <v>0.79800000000000004</v>
      </c>
      <c r="BG46" s="28">
        <v>1.2250000000000001</v>
      </c>
      <c r="BH46" s="28">
        <v>0.39900000000000002</v>
      </c>
      <c r="BI46" s="28">
        <v>6.2E-2</v>
      </c>
      <c r="BJ46" s="28">
        <v>0.65799999999999992</v>
      </c>
      <c r="BK46" s="28">
        <v>6.4000000000000001E-2</v>
      </c>
      <c r="BL46" s="28">
        <v>0.20399999999999999</v>
      </c>
      <c r="BM46" s="28">
        <v>7.4999999999999997E-2</v>
      </c>
      <c r="BN46" s="28">
        <v>0.14599999999999999</v>
      </c>
      <c r="BO46" s="28">
        <v>0.69099999999999995</v>
      </c>
      <c r="BP46" s="28">
        <v>0</v>
      </c>
      <c r="BQ46" s="28">
        <v>0.51200000000000001</v>
      </c>
      <c r="BR46" s="28">
        <v>0.16700000000000001</v>
      </c>
      <c r="BS46" s="28">
        <v>0</v>
      </c>
      <c r="BT46" s="28">
        <v>0.1</v>
      </c>
      <c r="BU46" s="28">
        <v>0.45</v>
      </c>
      <c r="BV46" s="28">
        <v>0.51300000000000001</v>
      </c>
      <c r="BW46" s="28">
        <v>0.16500000000000001</v>
      </c>
      <c r="BX46" s="28">
        <v>5.0999999999999997E-2</v>
      </c>
      <c r="BY46" s="28">
        <v>0.246</v>
      </c>
      <c r="BZ46" s="28">
        <v>0.42399999999999999</v>
      </c>
      <c r="CA46" s="28">
        <v>0.29899999999999999</v>
      </c>
      <c r="CB46" s="28">
        <v>0.193</v>
      </c>
      <c r="CC46" s="28">
        <v>0.27100000000000002</v>
      </c>
      <c r="CD46" s="28">
        <v>0.11899999999999999</v>
      </c>
      <c r="CE46" s="28">
        <v>0.23400000000000001</v>
      </c>
      <c r="CF46" s="28">
        <v>4.2999999999999997E-2</v>
      </c>
      <c r="CG46" s="28">
        <v>0.24399999999999999</v>
      </c>
      <c r="CH46" s="28">
        <v>9.2999999999999999E-2</v>
      </c>
      <c r="CI46" s="28">
        <v>0.19500000000000001</v>
      </c>
      <c r="CJ46" s="28">
        <v>0.63200000000000001</v>
      </c>
      <c r="CK46" s="28">
        <v>0.11899999999999999</v>
      </c>
      <c r="CL46" s="28">
        <v>0.05</v>
      </c>
      <c r="CM46" s="28">
        <v>0.49399999999999999</v>
      </c>
      <c r="CN46" s="28">
        <v>0.503</v>
      </c>
      <c r="CO46" s="28">
        <v>5.1999999999999998E-2</v>
      </c>
      <c r="CP46" s="28">
        <v>0</v>
      </c>
      <c r="CQ46" s="28">
        <v>0.433</v>
      </c>
      <c r="CR46" s="28">
        <v>0.70799999999999996</v>
      </c>
      <c r="CS46" s="28">
        <v>0.63800000000000001</v>
      </c>
      <c r="CT46" s="28">
        <v>0.104</v>
      </c>
      <c r="CU46" s="28">
        <v>0.88800000000000001</v>
      </c>
      <c r="CV46" s="28">
        <v>0.69599999999999995</v>
      </c>
      <c r="CW46" s="28">
        <v>0.434</v>
      </c>
      <c r="CX46" s="28">
        <v>0</v>
      </c>
      <c r="CY46" s="28">
        <v>3.4000000000000002E-2</v>
      </c>
      <c r="CZ46" s="28">
        <v>0.316</v>
      </c>
      <c r="DA46" s="28">
        <v>0.67900000000000005</v>
      </c>
      <c r="DB46" s="28">
        <v>0.622</v>
      </c>
      <c r="DC46" s="28">
        <v>0.57399999999999995</v>
      </c>
      <c r="DD46" s="28">
        <v>4.5999999999999999E-2</v>
      </c>
      <c r="DE46" s="28">
        <v>0.36299999999999999</v>
      </c>
      <c r="DF46" s="28">
        <v>0.73499999999999999</v>
      </c>
      <c r="DG46" s="28">
        <v>5.8000000000000003E-2</v>
      </c>
      <c r="DH46" s="28">
        <v>0.32900000000000001</v>
      </c>
      <c r="DI46" s="28">
        <v>0.69300000000000006</v>
      </c>
      <c r="DJ46" s="28">
        <v>0.23799999999999999</v>
      </c>
      <c r="DK46" s="28">
        <v>4.9000000000000002E-2</v>
      </c>
      <c r="DL46" s="28">
        <v>0.48799999999999999</v>
      </c>
      <c r="DM46" s="28">
        <v>0.106</v>
      </c>
      <c r="DN46" s="28">
        <v>0.501</v>
      </c>
      <c r="DO46" s="28">
        <v>0.24</v>
      </c>
      <c r="DP46" s="28">
        <v>5.5E-2</v>
      </c>
      <c r="DQ46" s="28">
        <v>8.7999999999999995E-2</v>
      </c>
      <c r="DR46" s="28">
        <v>0.44900000000000001</v>
      </c>
      <c r="DS46" s="28">
        <v>0.30599999999999999</v>
      </c>
      <c r="DT46" s="28">
        <v>0</v>
      </c>
      <c r="DU46" s="28">
        <v>1.4950000000000001</v>
      </c>
      <c r="DV46" s="28">
        <v>0.88099999999999989</v>
      </c>
      <c r="DW46" s="28">
        <v>0.39159677419354832</v>
      </c>
      <c r="DX46" s="34">
        <v>48.557999999999993</v>
      </c>
    </row>
    <row r="47" spans="1:128" x14ac:dyDescent="0.25">
      <c r="A47" s="24">
        <v>46</v>
      </c>
      <c r="B47" s="26">
        <v>22.5</v>
      </c>
      <c r="C47" s="28">
        <v>1.8169999999999999</v>
      </c>
      <c r="D47" s="28">
        <v>4.9000000000000002E-2</v>
      </c>
      <c r="E47" s="28">
        <v>5.0999999999999997E-2</v>
      </c>
      <c r="F47" s="28">
        <v>5.8999999999999997E-2</v>
      </c>
      <c r="G47" s="28">
        <v>4.7E-2</v>
      </c>
      <c r="H47" s="28">
        <v>0.17599999999999999</v>
      </c>
      <c r="I47" s="28">
        <v>0.34100000000000003</v>
      </c>
      <c r="J47" s="28">
        <v>0.19700000000000001</v>
      </c>
      <c r="K47" s="28">
        <v>0.27700000000000002</v>
      </c>
      <c r="L47" s="28">
        <v>0.82</v>
      </c>
      <c r="M47" s="28">
        <v>0.22500000000000001</v>
      </c>
      <c r="N47" s="28">
        <v>4.7E-2</v>
      </c>
      <c r="O47" s="28">
        <v>0.152</v>
      </c>
      <c r="P47" s="28">
        <v>0.58499999999999996</v>
      </c>
      <c r="Q47" s="28">
        <v>0.26400000000000001</v>
      </c>
      <c r="R47" s="28">
        <v>0.9</v>
      </c>
      <c r="S47" s="28">
        <v>0.53700000000000003</v>
      </c>
      <c r="T47" s="28">
        <v>0.70799999999999996</v>
      </c>
      <c r="U47" s="28">
        <v>2.1800000000000002</v>
      </c>
      <c r="V47" s="28">
        <v>0.30399999999999999</v>
      </c>
      <c r="W47" s="28">
        <v>0.105</v>
      </c>
      <c r="X47" s="28">
        <v>5.7000000000000002E-2</v>
      </c>
      <c r="Y47" s="28">
        <v>3.1E-2</v>
      </c>
      <c r="Z47" s="28">
        <v>5.5E-2</v>
      </c>
      <c r="AA47" s="28">
        <v>9.2999999999999999E-2</v>
      </c>
      <c r="AB47" s="28">
        <v>0</v>
      </c>
      <c r="AC47" s="28">
        <v>0.47199999999999998</v>
      </c>
      <c r="AD47" s="28">
        <v>0.26900000000000002</v>
      </c>
      <c r="AE47" s="28">
        <v>0.54500000000000004</v>
      </c>
      <c r="AF47" s="28">
        <v>0.05</v>
      </c>
      <c r="AG47" s="28">
        <v>0.16900000000000001</v>
      </c>
      <c r="AH47" s="28">
        <v>0.32300000000000001</v>
      </c>
      <c r="AI47" s="28">
        <v>0.59000000000000008</v>
      </c>
      <c r="AJ47" s="28">
        <v>0.76200000000000001</v>
      </c>
      <c r="AK47" s="28">
        <v>0.40100000000000002</v>
      </c>
      <c r="AL47" s="28">
        <v>8.3000000000000004E-2</v>
      </c>
      <c r="AM47" s="28">
        <v>0.55000000000000004</v>
      </c>
      <c r="AN47" s="28">
        <v>0.26600000000000001</v>
      </c>
      <c r="AO47" s="28">
        <v>0.30599999999999999</v>
      </c>
      <c r="AP47" s="28">
        <v>4.5999999999999999E-2</v>
      </c>
      <c r="AQ47" s="28">
        <v>0.68599999999999994</v>
      </c>
      <c r="AR47" s="28">
        <v>0.25900000000000001</v>
      </c>
      <c r="AS47" s="28">
        <v>0.31900000000000001</v>
      </c>
      <c r="AT47" s="28">
        <v>7.3999999999999996E-2</v>
      </c>
      <c r="AU47" s="28">
        <v>5.5E-2</v>
      </c>
      <c r="AV47" s="28">
        <v>0</v>
      </c>
      <c r="AW47" s="28">
        <v>1.7430000000000001</v>
      </c>
      <c r="AX47" s="28">
        <v>0.60499999999999998</v>
      </c>
      <c r="AY47" s="28">
        <v>1.2749999999999999</v>
      </c>
      <c r="AZ47" s="28">
        <v>0</v>
      </c>
      <c r="BA47" s="28">
        <v>0.55800000000000005</v>
      </c>
      <c r="BB47" s="28">
        <v>0.50700000000000001</v>
      </c>
      <c r="BC47" s="28">
        <v>0.03</v>
      </c>
      <c r="BD47" s="28">
        <v>0.41199999999999998</v>
      </c>
      <c r="BE47" s="28">
        <v>0.438</v>
      </c>
      <c r="BF47" s="28">
        <v>0.26600000000000001</v>
      </c>
      <c r="BG47" s="28">
        <v>0.28799999999999998</v>
      </c>
      <c r="BH47" s="28">
        <v>0.67</v>
      </c>
      <c r="BI47" s="28">
        <v>0.16400000000000001</v>
      </c>
      <c r="BJ47" s="28">
        <v>0.51200000000000001</v>
      </c>
      <c r="BK47" s="28">
        <v>0.55400000000000005</v>
      </c>
      <c r="BL47" s="28">
        <v>0.14299999999999999</v>
      </c>
      <c r="BM47" s="28">
        <v>0.52700000000000002</v>
      </c>
      <c r="BN47" s="28">
        <v>0.248</v>
      </c>
      <c r="BO47" s="28">
        <v>0.50900000000000001</v>
      </c>
      <c r="BP47" s="28">
        <v>0</v>
      </c>
      <c r="BQ47" s="28">
        <v>0.311</v>
      </c>
      <c r="BR47" s="28">
        <v>0.25800000000000001</v>
      </c>
      <c r="BS47" s="28">
        <v>0</v>
      </c>
      <c r="BT47" s="28">
        <v>0.17899999999999999</v>
      </c>
      <c r="BU47" s="28">
        <v>0.311</v>
      </c>
      <c r="BV47" s="28">
        <v>0.49399999999999999</v>
      </c>
      <c r="BW47" s="28">
        <v>0.24099999999999999</v>
      </c>
      <c r="BX47" s="28">
        <v>0.126</v>
      </c>
      <c r="BY47" s="28">
        <v>0.41199999999999998</v>
      </c>
      <c r="BZ47" s="28">
        <v>0.26300000000000001</v>
      </c>
      <c r="CA47" s="28">
        <v>0.32100000000000001</v>
      </c>
      <c r="CB47" s="28">
        <v>0.156</v>
      </c>
      <c r="CC47" s="28">
        <v>0.45100000000000001</v>
      </c>
      <c r="CD47" s="28">
        <v>0.16700000000000001</v>
      </c>
      <c r="CE47" s="28">
        <v>0.35199999999999998</v>
      </c>
      <c r="CF47" s="28">
        <v>0</v>
      </c>
      <c r="CG47" s="28">
        <v>0.52899999999999991</v>
      </c>
      <c r="CH47" s="28">
        <v>0.14499999999999999</v>
      </c>
      <c r="CI47" s="28">
        <v>5.5E-2</v>
      </c>
      <c r="CJ47" s="28">
        <v>0.40699999999999997</v>
      </c>
      <c r="CK47" s="28">
        <v>4.9000000000000002E-2</v>
      </c>
      <c r="CL47" s="28">
        <v>0.05</v>
      </c>
      <c r="CM47" s="28">
        <v>0.58600000000000008</v>
      </c>
      <c r="CN47" s="28">
        <v>1.885</v>
      </c>
      <c r="CO47" s="28">
        <v>0.14599999999999999</v>
      </c>
      <c r="CP47" s="28">
        <v>0</v>
      </c>
      <c r="CQ47" s="28">
        <v>0.14399999999999999</v>
      </c>
      <c r="CR47" s="28">
        <v>0.40799999999999997</v>
      </c>
      <c r="CS47" s="28">
        <v>0.56499999999999995</v>
      </c>
      <c r="CT47" s="28">
        <v>0.11700000000000001</v>
      </c>
      <c r="CU47" s="28">
        <v>0.42499999999999999</v>
      </c>
      <c r="CV47" s="28">
        <v>0.46100000000000002</v>
      </c>
      <c r="CW47" s="28">
        <v>0.7649999999999999</v>
      </c>
      <c r="CX47" s="28">
        <v>0</v>
      </c>
      <c r="CY47" s="28">
        <v>0.13600000000000001</v>
      </c>
      <c r="CZ47" s="28">
        <v>0.41299999999999998</v>
      </c>
      <c r="DA47" s="28">
        <v>0.48099999999999998</v>
      </c>
      <c r="DB47" s="28">
        <v>1.546</v>
      </c>
      <c r="DC47" s="28">
        <v>0.41399999999999998</v>
      </c>
      <c r="DD47" s="28">
        <v>0.111</v>
      </c>
      <c r="DE47" s="28">
        <v>0.94200000000000006</v>
      </c>
      <c r="DF47" s="28">
        <v>0.05</v>
      </c>
      <c r="DG47" s="28">
        <v>0.188</v>
      </c>
      <c r="DH47" s="28">
        <v>0.112</v>
      </c>
      <c r="DI47" s="28">
        <v>0.84299999999999997</v>
      </c>
      <c r="DJ47" s="28">
        <v>0.20899999999999999</v>
      </c>
      <c r="DK47" s="28">
        <v>0</v>
      </c>
      <c r="DL47" s="28">
        <v>0.59799999999999998</v>
      </c>
      <c r="DM47" s="28">
        <v>0.19</v>
      </c>
      <c r="DN47" s="28">
        <v>0.371</v>
      </c>
      <c r="DO47" s="28">
        <v>7.5999999999999998E-2</v>
      </c>
      <c r="DP47" s="28">
        <v>0.26100000000000001</v>
      </c>
      <c r="DQ47" s="28">
        <v>6.2E-2</v>
      </c>
      <c r="DR47" s="28">
        <v>0.439</v>
      </c>
      <c r="DS47" s="28">
        <v>0.38600000000000001</v>
      </c>
      <c r="DT47" s="28">
        <v>0</v>
      </c>
      <c r="DU47" s="28">
        <v>1.2290000000000001</v>
      </c>
      <c r="DV47" s="28">
        <v>0</v>
      </c>
      <c r="DW47" s="28">
        <v>0.36763709677419371</v>
      </c>
      <c r="DX47" s="34">
        <v>45.58700000000001</v>
      </c>
    </row>
    <row r="48" spans="1:128" x14ac:dyDescent="0.25">
      <c r="A48" s="24">
        <v>47</v>
      </c>
      <c r="B48" s="26">
        <v>23</v>
      </c>
      <c r="C48" s="28">
        <v>0.56400000000000006</v>
      </c>
      <c r="D48" s="28">
        <v>0.23899999999999999</v>
      </c>
      <c r="E48" s="28">
        <v>5.0999999999999997E-2</v>
      </c>
      <c r="F48" s="28">
        <v>5.8999999999999997E-2</v>
      </c>
      <c r="G48" s="28">
        <v>4.7E-2</v>
      </c>
      <c r="H48" s="28">
        <v>0.108</v>
      </c>
      <c r="I48" s="28">
        <v>0.61199999999999999</v>
      </c>
      <c r="J48" s="28">
        <v>0.14299999999999999</v>
      </c>
      <c r="K48" s="28">
        <v>0.38800000000000001</v>
      </c>
      <c r="L48" s="28">
        <v>0.29399999999999998</v>
      </c>
      <c r="M48" s="28">
        <v>0.20799999999999999</v>
      </c>
      <c r="N48" s="28">
        <v>0.185</v>
      </c>
      <c r="O48" s="28">
        <v>0.24299999999999999</v>
      </c>
      <c r="P48" s="28">
        <v>0.29499999999999998</v>
      </c>
      <c r="Q48" s="28">
        <v>4.8000000000000001E-2</v>
      </c>
      <c r="R48" s="28">
        <v>0.76999999999999991</v>
      </c>
      <c r="S48" s="28">
        <v>0.36099999999999999</v>
      </c>
      <c r="T48" s="28">
        <v>0.52600000000000002</v>
      </c>
      <c r="U48" s="28">
        <v>0.46</v>
      </c>
      <c r="V48" s="28">
        <v>8.5000000000000006E-2</v>
      </c>
      <c r="W48" s="28">
        <v>4.8000000000000001E-2</v>
      </c>
      <c r="X48" s="28">
        <v>5.7000000000000002E-2</v>
      </c>
      <c r="Y48" s="28">
        <v>3.1E-2</v>
      </c>
      <c r="Z48" s="28">
        <v>8.3999999999999991E-2</v>
      </c>
      <c r="AA48" s="28">
        <v>0.127</v>
      </c>
      <c r="AB48" s="28">
        <v>0</v>
      </c>
      <c r="AC48" s="28">
        <v>0.57799999999999996</v>
      </c>
      <c r="AD48" s="28">
        <v>5.0999999999999997E-2</v>
      </c>
      <c r="AE48" s="28">
        <v>0.219</v>
      </c>
      <c r="AF48" s="28">
        <v>0.12</v>
      </c>
      <c r="AG48" s="28">
        <v>0</v>
      </c>
      <c r="AH48" s="28">
        <v>0.59399999999999997</v>
      </c>
      <c r="AI48" s="28">
        <v>5.0999999999999997E-2</v>
      </c>
      <c r="AJ48" s="28">
        <v>0.317</v>
      </c>
      <c r="AK48" s="28">
        <v>0.502</v>
      </c>
      <c r="AL48" s="28">
        <v>0</v>
      </c>
      <c r="AM48" s="28">
        <v>0.442</v>
      </c>
      <c r="AN48" s="28">
        <v>0.36199999999999999</v>
      </c>
      <c r="AO48" s="28">
        <v>0.151</v>
      </c>
      <c r="AP48" s="28">
        <v>4.5999999999999999E-2</v>
      </c>
      <c r="AQ48" s="28">
        <v>0.68300000000000005</v>
      </c>
      <c r="AR48" s="28">
        <v>5.5E-2</v>
      </c>
      <c r="AS48" s="28">
        <v>0.14199999999999999</v>
      </c>
      <c r="AT48" s="28">
        <v>9.2999999999999999E-2</v>
      </c>
      <c r="AU48" s="28">
        <v>6.6000000000000003E-2</v>
      </c>
      <c r="AV48" s="28">
        <v>0</v>
      </c>
      <c r="AW48" s="28">
        <v>1.5249999999999999</v>
      </c>
      <c r="AX48" s="28">
        <v>0.151</v>
      </c>
      <c r="AY48" s="28">
        <v>0.4</v>
      </c>
      <c r="AZ48" s="28">
        <v>0</v>
      </c>
      <c r="BA48" s="28">
        <v>0.28299999999999997</v>
      </c>
      <c r="BB48" s="28">
        <v>0.155</v>
      </c>
      <c r="BC48" s="28">
        <v>0.03</v>
      </c>
      <c r="BD48" s="28">
        <v>5.8000000000000003E-2</v>
      </c>
      <c r="BE48" s="28">
        <v>0.17599999999999999</v>
      </c>
      <c r="BF48" s="28">
        <v>0.20300000000000001</v>
      </c>
      <c r="BG48" s="28">
        <v>0.46700000000000003</v>
      </c>
      <c r="BH48" s="28">
        <v>0.05</v>
      </c>
      <c r="BI48" s="28">
        <v>0.13300000000000001</v>
      </c>
      <c r="BJ48" s="28">
        <v>0.34499999999999997</v>
      </c>
      <c r="BK48" s="28">
        <v>0.23</v>
      </c>
      <c r="BL48" s="28">
        <v>0.17699999999999999</v>
      </c>
      <c r="BM48" s="28">
        <v>0.35599999999999998</v>
      </c>
      <c r="BN48" s="28">
        <v>5.5E-2</v>
      </c>
      <c r="BO48" s="28">
        <v>0.13</v>
      </c>
      <c r="BP48" s="28">
        <v>0</v>
      </c>
      <c r="BQ48" s="28">
        <v>0.88300000000000001</v>
      </c>
      <c r="BR48" s="28">
        <v>0.14499999999999999</v>
      </c>
      <c r="BS48" s="28">
        <v>0</v>
      </c>
      <c r="BT48" s="28">
        <v>0.13700000000000001</v>
      </c>
      <c r="BU48" s="28">
        <v>0.36799999999999999</v>
      </c>
      <c r="BV48" s="28">
        <v>0.67300000000000004</v>
      </c>
      <c r="BW48" s="28">
        <v>0.05</v>
      </c>
      <c r="BX48" s="28">
        <v>5.0999999999999997E-2</v>
      </c>
      <c r="BY48" s="28">
        <v>0.24099999999999999</v>
      </c>
      <c r="BZ48" s="28">
        <v>0.317</v>
      </c>
      <c r="CA48" s="28">
        <v>5.7000000000000002E-2</v>
      </c>
      <c r="CB48" s="28">
        <v>0.05</v>
      </c>
      <c r="CC48" s="28">
        <v>0.11</v>
      </c>
      <c r="CD48" s="28">
        <v>0.33500000000000002</v>
      </c>
      <c r="CE48" s="28">
        <v>0.13100000000000001</v>
      </c>
      <c r="CF48" s="28">
        <v>0</v>
      </c>
      <c r="CG48" s="28">
        <v>0.32600000000000001</v>
      </c>
      <c r="CH48" s="28">
        <v>4.7E-2</v>
      </c>
      <c r="CI48" s="28">
        <v>0.22600000000000001</v>
      </c>
      <c r="CJ48" s="28">
        <v>0.39300000000000002</v>
      </c>
      <c r="CK48" s="28">
        <v>4.9000000000000002E-2</v>
      </c>
      <c r="CL48" s="28">
        <v>0.05</v>
      </c>
      <c r="CM48" s="28">
        <v>0.495</v>
      </c>
      <c r="CN48" s="28">
        <v>0.184</v>
      </c>
      <c r="CO48" s="28">
        <v>5.8999999999999997E-2</v>
      </c>
      <c r="CP48" s="28">
        <v>0</v>
      </c>
      <c r="CQ48" s="28">
        <v>0.217</v>
      </c>
      <c r="CR48" s="28">
        <v>0.33200000000000002</v>
      </c>
      <c r="CS48" s="28">
        <v>0.44</v>
      </c>
      <c r="CT48" s="28">
        <v>0.50700000000000001</v>
      </c>
      <c r="CU48" s="28">
        <v>0.161</v>
      </c>
      <c r="CV48" s="28">
        <v>0.37</v>
      </c>
      <c r="CW48" s="28">
        <v>5.6000000000000001E-2</v>
      </c>
      <c r="CX48" s="28">
        <v>0</v>
      </c>
      <c r="CY48" s="28">
        <v>0.216</v>
      </c>
      <c r="CZ48" s="28">
        <v>1.4390000000000001</v>
      </c>
      <c r="DA48" s="28">
        <v>0.31</v>
      </c>
      <c r="DB48" s="28">
        <v>0.496</v>
      </c>
      <c r="DC48" s="28">
        <v>0.41199999999999998</v>
      </c>
      <c r="DD48" s="28">
        <v>6.9999999999999993E-2</v>
      </c>
      <c r="DE48" s="28">
        <v>0.41799999999999998</v>
      </c>
      <c r="DF48" s="28">
        <v>0</v>
      </c>
      <c r="DG48" s="28">
        <v>7.9000000000000001E-2</v>
      </c>
      <c r="DH48" s="28">
        <v>0.121</v>
      </c>
      <c r="DI48" s="28">
        <v>0.70100000000000007</v>
      </c>
      <c r="DJ48" s="28">
        <v>0.26500000000000001</v>
      </c>
      <c r="DK48" s="28">
        <v>0</v>
      </c>
      <c r="DL48" s="28">
        <v>0.55500000000000005</v>
      </c>
      <c r="DM48" s="28">
        <v>0.13300000000000001</v>
      </c>
      <c r="DN48" s="28">
        <v>0.38900000000000001</v>
      </c>
      <c r="DO48" s="28">
        <v>0.13800000000000001</v>
      </c>
      <c r="DP48" s="28">
        <v>9.0999999999999998E-2</v>
      </c>
      <c r="DQ48" s="28">
        <v>0.23499999999999999</v>
      </c>
      <c r="DR48" s="28">
        <v>0.44</v>
      </c>
      <c r="DS48" s="28">
        <v>0.27700000000000002</v>
      </c>
      <c r="DT48" s="28">
        <v>0</v>
      </c>
      <c r="DU48" s="28">
        <v>0.50800000000000001</v>
      </c>
      <c r="DV48" s="28">
        <v>0</v>
      </c>
      <c r="DW48" s="28">
        <v>0.24340322580645171</v>
      </c>
      <c r="DX48" s="34">
        <v>30.182000000000009</v>
      </c>
    </row>
    <row r="49" spans="1:128" x14ac:dyDescent="0.25">
      <c r="A49" s="25">
        <v>48</v>
      </c>
      <c r="B49" s="27">
        <v>23.5</v>
      </c>
      <c r="C49" s="29">
        <v>0.69300000000000006</v>
      </c>
      <c r="D49" s="29">
        <v>4.9000000000000002E-2</v>
      </c>
      <c r="E49" s="29">
        <v>5.0999999999999997E-2</v>
      </c>
      <c r="F49" s="29">
        <v>5.8999999999999997E-2</v>
      </c>
      <c r="G49" s="29">
        <v>4.7E-2</v>
      </c>
      <c r="H49" s="29">
        <v>5.0999999999999997E-2</v>
      </c>
      <c r="I49" s="29">
        <v>0.191</v>
      </c>
      <c r="J49" s="29">
        <v>8.6999999999999994E-2</v>
      </c>
      <c r="K49" s="29">
        <v>0.50600000000000001</v>
      </c>
      <c r="L49" s="29">
        <v>0.153</v>
      </c>
      <c r="M49" s="29">
        <v>0.21199999999999999</v>
      </c>
      <c r="N49" s="29">
        <v>7.8E-2</v>
      </c>
      <c r="O49" s="29">
        <v>0.107</v>
      </c>
      <c r="P49" s="29">
        <v>4.5000000000000012E-2</v>
      </c>
      <c r="Q49" s="29">
        <v>0.20300000000000001</v>
      </c>
      <c r="R49" s="29">
        <v>0.16300000000000001</v>
      </c>
      <c r="S49" s="29">
        <v>0.17499999999999999</v>
      </c>
      <c r="T49" s="29">
        <v>0.23200000000000001</v>
      </c>
      <c r="U49" s="29">
        <v>0.13200000000000001</v>
      </c>
      <c r="V49" s="29">
        <v>0.17499999999999999</v>
      </c>
      <c r="W49" s="29">
        <v>0.111</v>
      </c>
      <c r="X49" s="29">
        <v>0.14000000000000001</v>
      </c>
      <c r="Y49" s="29">
        <v>0.14399999999999999</v>
      </c>
      <c r="Z49" s="29">
        <v>0.185</v>
      </c>
      <c r="AA49" s="29">
        <v>5.2999999999999999E-2</v>
      </c>
      <c r="AB49" s="29">
        <v>0</v>
      </c>
      <c r="AC49" s="29">
        <v>5.8999999999999997E-2</v>
      </c>
      <c r="AD49" s="29">
        <v>0.23100000000000001</v>
      </c>
      <c r="AE49" s="29">
        <v>5.5E-2</v>
      </c>
      <c r="AF49" s="29">
        <v>0.151</v>
      </c>
      <c r="AG49" s="29">
        <v>0</v>
      </c>
      <c r="AH49" s="29">
        <v>0.504</v>
      </c>
      <c r="AI49" s="29">
        <v>0.311</v>
      </c>
      <c r="AJ49" s="29">
        <v>0.434</v>
      </c>
      <c r="AK49" s="29">
        <v>0</v>
      </c>
      <c r="AL49" s="29">
        <v>0</v>
      </c>
      <c r="AM49" s="29">
        <v>0.61599999999999999</v>
      </c>
      <c r="AN49" s="29">
        <v>0.55699999999999994</v>
      </c>
      <c r="AO49" s="29">
        <v>6.2E-2</v>
      </c>
      <c r="AP49" s="29">
        <v>4.5999999999999999E-2</v>
      </c>
      <c r="AQ49" s="29">
        <v>0.33800000000000002</v>
      </c>
      <c r="AR49" s="29">
        <v>5.5E-2</v>
      </c>
      <c r="AS49" s="29">
        <v>5.8000000000000003E-2</v>
      </c>
      <c r="AT49" s="29">
        <v>0.17299999999999999</v>
      </c>
      <c r="AU49" s="29">
        <v>0.13800000000000001</v>
      </c>
      <c r="AV49" s="29">
        <v>0</v>
      </c>
      <c r="AW49" s="29">
        <v>1.103</v>
      </c>
      <c r="AX49" s="29">
        <v>0.16500000000000001</v>
      </c>
      <c r="AY49" s="29">
        <v>0</v>
      </c>
      <c r="AZ49" s="29">
        <v>0</v>
      </c>
      <c r="BA49" s="29">
        <v>0.27900000000000003</v>
      </c>
      <c r="BB49" s="29">
        <v>0.16200000000000001</v>
      </c>
      <c r="BC49" s="29">
        <v>0.03</v>
      </c>
      <c r="BD49" s="29">
        <v>0.13300000000000001</v>
      </c>
      <c r="BE49" s="29">
        <v>6.9999999999999993E-2</v>
      </c>
      <c r="BF49" s="29">
        <v>0.158</v>
      </c>
      <c r="BG49" s="29">
        <v>0.31</v>
      </c>
      <c r="BH49" s="29">
        <v>0.05</v>
      </c>
      <c r="BI49" s="29">
        <v>6.2E-2</v>
      </c>
      <c r="BJ49" s="29">
        <v>0.28899999999999998</v>
      </c>
      <c r="BK49" s="29">
        <v>0.29499999999999998</v>
      </c>
      <c r="BL49" s="29">
        <v>5.0999999999999997E-2</v>
      </c>
      <c r="BM49" s="29">
        <v>9.8999999999999991E-2</v>
      </c>
      <c r="BN49" s="29">
        <v>0.11799999999999999</v>
      </c>
      <c r="BO49" s="29">
        <v>9.5000000000000001E-2</v>
      </c>
      <c r="BP49" s="29">
        <v>0</v>
      </c>
      <c r="BQ49" s="29">
        <v>0.75700000000000001</v>
      </c>
      <c r="BR49" s="29">
        <v>0.26400000000000001</v>
      </c>
      <c r="BS49" s="29">
        <v>0</v>
      </c>
      <c r="BT49" s="29">
        <v>0.17899999999999999</v>
      </c>
      <c r="BU49" s="29">
        <v>0.624</v>
      </c>
      <c r="BV49" s="29">
        <v>0.51300000000000001</v>
      </c>
      <c r="BW49" s="29">
        <v>0.11</v>
      </c>
      <c r="BX49" s="29">
        <v>5.0999999999999997E-2</v>
      </c>
      <c r="BY49" s="29">
        <v>0.44700000000000001</v>
      </c>
      <c r="BZ49" s="29">
        <v>4.2999999999999997E-2</v>
      </c>
      <c r="CA49" s="29">
        <v>5.7000000000000002E-2</v>
      </c>
      <c r="CB49" s="29">
        <v>0.19400000000000001</v>
      </c>
      <c r="CC49" s="29">
        <v>5.1999999999999998E-2</v>
      </c>
      <c r="CD49" s="29">
        <v>0.128</v>
      </c>
      <c r="CE49" s="29">
        <v>8.1000000000000003E-2</v>
      </c>
      <c r="CF49" s="29">
        <v>0</v>
      </c>
      <c r="CG49" s="29">
        <v>4.1000000000000002E-2</v>
      </c>
      <c r="CH49" s="29">
        <v>4.7E-2</v>
      </c>
      <c r="CI49" s="29">
        <v>0.13700000000000001</v>
      </c>
      <c r="CJ49" s="29">
        <v>5.5E-2</v>
      </c>
      <c r="CK49" s="29">
        <v>0.18099999999999999</v>
      </c>
      <c r="CL49" s="29">
        <v>0.05</v>
      </c>
      <c r="CM49" s="29">
        <v>0.32800000000000001</v>
      </c>
      <c r="CN49" s="29">
        <v>4.1000000000000002E-2</v>
      </c>
      <c r="CO49" s="29">
        <v>0.24399999999999999</v>
      </c>
      <c r="CP49" s="29">
        <v>0</v>
      </c>
      <c r="CQ49" s="29">
        <v>5.8000000000000003E-2</v>
      </c>
      <c r="CR49" s="29">
        <v>0.29199999999999998</v>
      </c>
      <c r="CS49" s="29">
        <v>0.59199999999999997</v>
      </c>
      <c r="CT49" s="29">
        <v>0.53700000000000003</v>
      </c>
      <c r="CU49" s="29">
        <v>0.29499999999999998</v>
      </c>
      <c r="CV49" s="29">
        <v>0.192</v>
      </c>
      <c r="CW49" s="29">
        <v>0.19900000000000001</v>
      </c>
      <c r="CX49" s="29">
        <v>0</v>
      </c>
      <c r="CY49" s="29">
        <v>0.309</v>
      </c>
      <c r="CZ49" s="29">
        <v>0.61199999999999999</v>
      </c>
      <c r="DA49" s="29">
        <v>5.7000000000000002E-2</v>
      </c>
      <c r="DB49" s="29">
        <v>0.47499999999999998</v>
      </c>
      <c r="DC49" s="29">
        <v>0.63300000000000001</v>
      </c>
      <c r="DD49" s="29">
        <v>8.6999999999999994E-2</v>
      </c>
      <c r="DE49" s="29">
        <v>0.20799999999999999</v>
      </c>
      <c r="DF49" s="29">
        <v>0</v>
      </c>
      <c r="DG49" s="29">
        <v>5.8000000000000003E-2</v>
      </c>
      <c r="DH49" s="29">
        <v>5.8000000000000003E-2</v>
      </c>
      <c r="DI49" s="29">
        <v>0.68499999999999994</v>
      </c>
      <c r="DJ49" s="29">
        <v>0.21299999999999999</v>
      </c>
      <c r="DK49" s="29">
        <v>0</v>
      </c>
      <c r="DL49" s="29">
        <v>0.623</v>
      </c>
      <c r="DM49" s="29">
        <v>0.113</v>
      </c>
      <c r="DN49" s="29">
        <v>0.33700000000000002</v>
      </c>
      <c r="DO49" s="29">
        <v>0.20699999999999999</v>
      </c>
      <c r="DP49" s="29">
        <v>0.22</v>
      </c>
      <c r="DQ49" s="29">
        <v>4.7E-2</v>
      </c>
      <c r="DR49" s="29">
        <v>0.253</v>
      </c>
      <c r="DS49" s="29">
        <v>9.0000000000000011E-2</v>
      </c>
      <c r="DT49" s="29">
        <v>0</v>
      </c>
      <c r="DU49" s="29">
        <v>0.153</v>
      </c>
      <c r="DV49" s="29">
        <v>0</v>
      </c>
      <c r="DW49" s="29">
        <v>0.18972580645161291</v>
      </c>
      <c r="DX49" s="35">
        <v>23.526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X49"/>
  <sheetViews>
    <sheetView showGridLines="0" workbookViewId="0"/>
  </sheetViews>
  <sheetFormatPr defaultRowHeight="15" x14ac:dyDescent="0.25"/>
  <cols>
    <col min="1" max="1" width="10" customWidth="1"/>
    <col min="2" max="2" width="9" customWidth="1"/>
    <col min="3" max="128" width="15" customWidth="1"/>
  </cols>
  <sheetData>
    <row r="1" spans="1:128" ht="30" customHeight="1" x14ac:dyDescent="0.25">
      <c r="A1" s="8" t="s">
        <v>26</v>
      </c>
      <c r="B1" s="21" t="s">
        <v>27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41</v>
      </c>
      <c r="H1" s="21" t="s">
        <v>42</v>
      </c>
      <c r="I1" s="21" t="s">
        <v>43</v>
      </c>
      <c r="J1" s="21" t="s">
        <v>44</v>
      </c>
      <c r="K1" s="21" t="s">
        <v>45</v>
      </c>
      <c r="L1" s="21" t="s">
        <v>46</v>
      </c>
      <c r="M1" s="21" t="s">
        <v>47</v>
      </c>
      <c r="N1" s="21" t="s">
        <v>48</v>
      </c>
      <c r="O1" s="21" t="s">
        <v>49</v>
      </c>
      <c r="P1" s="21" t="s">
        <v>50</v>
      </c>
      <c r="Q1" s="21" t="s">
        <v>51</v>
      </c>
      <c r="R1" s="21" t="s">
        <v>52</v>
      </c>
      <c r="S1" s="21" t="s">
        <v>53</v>
      </c>
      <c r="T1" s="21" t="s">
        <v>54</v>
      </c>
      <c r="U1" s="21" t="s">
        <v>55</v>
      </c>
      <c r="V1" s="21" t="s">
        <v>56</v>
      </c>
      <c r="W1" s="21" t="s">
        <v>57</v>
      </c>
      <c r="X1" s="21" t="s">
        <v>58</v>
      </c>
      <c r="Y1" s="21" t="s">
        <v>59</v>
      </c>
      <c r="Z1" s="21" t="s">
        <v>60</v>
      </c>
      <c r="AA1" s="21" t="s">
        <v>61</v>
      </c>
      <c r="AB1" s="21" t="s">
        <v>62</v>
      </c>
      <c r="AC1" s="21" t="s">
        <v>63</v>
      </c>
      <c r="AD1" s="21" t="s">
        <v>64</v>
      </c>
      <c r="AE1" s="21" t="s">
        <v>65</v>
      </c>
      <c r="AF1" s="21" t="s">
        <v>66</v>
      </c>
      <c r="AG1" s="21" t="s">
        <v>67</v>
      </c>
      <c r="AH1" s="21" t="s">
        <v>68</v>
      </c>
      <c r="AI1" s="21" t="s">
        <v>69</v>
      </c>
      <c r="AJ1" s="21" t="s">
        <v>70</v>
      </c>
      <c r="AK1" s="21" t="s">
        <v>71</v>
      </c>
      <c r="AL1" s="21" t="s">
        <v>72</v>
      </c>
      <c r="AM1" s="21" t="s">
        <v>73</v>
      </c>
      <c r="AN1" s="21" t="s">
        <v>74</v>
      </c>
      <c r="AO1" s="21" t="s">
        <v>75</v>
      </c>
      <c r="AP1" s="21" t="s">
        <v>76</v>
      </c>
      <c r="AQ1" s="21" t="s">
        <v>77</v>
      </c>
      <c r="AR1" s="21" t="s">
        <v>78</v>
      </c>
      <c r="AS1" s="21" t="s">
        <v>79</v>
      </c>
      <c r="AT1" s="21" t="s">
        <v>80</v>
      </c>
      <c r="AU1" s="21" t="s">
        <v>81</v>
      </c>
      <c r="AV1" s="21" t="s">
        <v>82</v>
      </c>
      <c r="AW1" s="21" t="s">
        <v>83</v>
      </c>
      <c r="AX1" s="21" t="s">
        <v>84</v>
      </c>
      <c r="AY1" s="21" t="s">
        <v>85</v>
      </c>
      <c r="AZ1" s="21" t="s">
        <v>86</v>
      </c>
      <c r="BA1" s="21" t="s">
        <v>87</v>
      </c>
      <c r="BB1" s="21" t="s">
        <v>88</v>
      </c>
      <c r="BC1" s="21" t="s">
        <v>89</v>
      </c>
      <c r="BD1" s="21" t="s">
        <v>90</v>
      </c>
      <c r="BE1" s="21" t="s">
        <v>91</v>
      </c>
      <c r="BF1" s="21" t="s">
        <v>92</v>
      </c>
      <c r="BG1" s="21" t="s">
        <v>93</v>
      </c>
      <c r="BH1" s="21" t="s">
        <v>94</v>
      </c>
      <c r="BI1" s="21" t="s">
        <v>95</v>
      </c>
      <c r="BJ1" s="21" t="s">
        <v>96</v>
      </c>
      <c r="BK1" s="21" t="s">
        <v>97</v>
      </c>
      <c r="BL1" s="21" t="s">
        <v>98</v>
      </c>
      <c r="BM1" s="21" t="s">
        <v>99</v>
      </c>
      <c r="BN1" s="21" t="s">
        <v>100</v>
      </c>
      <c r="BO1" s="21" t="s">
        <v>101</v>
      </c>
      <c r="BP1" s="21" t="s">
        <v>102</v>
      </c>
      <c r="BQ1" s="21" t="s">
        <v>103</v>
      </c>
      <c r="BR1" s="21" t="s">
        <v>104</v>
      </c>
      <c r="BS1" s="21" t="s">
        <v>105</v>
      </c>
      <c r="BT1" s="21" t="s">
        <v>106</v>
      </c>
      <c r="BU1" s="21" t="s">
        <v>107</v>
      </c>
      <c r="BV1" s="21" t="s">
        <v>108</v>
      </c>
      <c r="BW1" s="21" t="s">
        <v>109</v>
      </c>
      <c r="BX1" s="21" t="s">
        <v>110</v>
      </c>
      <c r="BY1" s="21" t="s">
        <v>111</v>
      </c>
      <c r="BZ1" s="21" t="s">
        <v>112</v>
      </c>
      <c r="CA1" s="21" t="s">
        <v>113</v>
      </c>
      <c r="CB1" s="21" t="s">
        <v>114</v>
      </c>
      <c r="CC1" s="21" t="s">
        <v>115</v>
      </c>
      <c r="CD1" s="21" t="s">
        <v>116</v>
      </c>
      <c r="CE1" s="21" t="s">
        <v>117</v>
      </c>
      <c r="CF1" s="21" t="s">
        <v>118</v>
      </c>
      <c r="CG1" s="21" t="s">
        <v>119</v>
      </c>
      <c r="CH1" s="21" t="s">
        <v>120</v>
      </c>
      <c r="CI1" s="21" t="s">
        <v>121</v>
      </c>
      <c r="CJ1" s="21" t="s">
        <v>122</v>
      </c>
      <c r="CK1" s="21" t="s">
        <v>123</v>
      </c>
      <c r="CL1" s="21" t="s">
        <v>124</v>
      </c>
      <c r="CM1" s="21" t="s">
        <v>125</v>
      </c>
      <c r="CN1" s="21" t="s">
        <v>126</v>
      </c>
      <c r="CO1" s="21" t="s">
        <v>127</v>
      </c>
      <c r="CP1" s="21" t="s">
        <v>128</v>
      </c>
      <c r="CQ1" s="21" t="s">
        <v>129</v>
      </c>
      <c r="CR1" s="21" t="s">
        <v>130</v>
      </c>
      <c r="CS1" s="21" t="s">
        <v>131</v>
      </c>
      <c r="CT1" s="21" t="s">
        <v>132</v>
      </c>
      <c r="CU1" s="21" t="s">
        <v>133</v>
      </c>
      <c r="CV1" s="21" t="s">
        <v>134</v>
      </c>
      <c r="CW1" s="21" t="s">
        <v>135</v>
      </c>
      <c r="CX1" s="21" t="s">
        <v>136</v>
      </c>
      <c r="CY1" s="21" t="s">
        <v>137</v>
      </c>
      <c r="CZ1" s="21" t="s">
        <v>138</v>
      </c>
      <c r="DA1" s="21" t="s">
        <v>139</v>
      </c>
      <c r="DB1" s="21" t="s">
        <v>140</v>
      </c>
      <c r="DC1" s="21" t="s">
        <v>141</v>
      </c>
      <c r="DD1" s="21" t="s">
        <v>142</v>
      </c>
      <c r="DE1" s="21" t="s">
        <v>143</v>
      </c>
      <c r="DF1" s="21" t="s">
        <v>144</v>
      </c>
      <c r="DG1" s="21" t="s">
        <v>145</v>
      </c>
      <c r="DH1" s="21" t="s">
        <v>146</v>
      </c>
      <c r="DI1" s="21" t="s">
        <v>147</v>
      </c>
      <c r="DJ1" s="21" t="s">
        <v>148</v>
      </c>
      <c r="DK1" s="21" t="s">
        <v>149</v>
      </c>
      <c r="DL1" s="21" t="s">
        <v>150</v>
      </c>
      <c r="DM1" s="21" t="s">
        <v>151</v>
      </c>
      <c r="DN1" s="21" t="s">
        <v>152</v>
      </c>
      <c r="DO1" s="21" t="s">
        <v>153</v>
      </c>
      <c r="DP1" s="21" t="s">
        <v>154</v>
      </c>
      <c r="DQ1" s="21" t="s">
        <v>155</v>
      </c>
      <c r="DR1" s="21" t="s">
        <v>156</v>
      </c>
      <c r="DS1" s="21" t="s">
        <v>157</v>
      </c>
      <c r="DT1" s="21" t="s">
        <v>158</v>
      </c>
      <c r="DU1" s="21" t="s">
        <v>159</v>
      </c>
      <c r="DV1" s="21" t="s">
        <v>160</v>
      </c>
      <c r="DW1" s="21" t="s">
        <v>161</v>
      </c>
      <c r="DX1" s="9" t="s">
        <v>162</v>
      </c>
    </row>
    <row r="2" spans="1:128" x14ac:dyDescent="0.25">
      <c r="A2" s="24">
        <v>1</v>
      </c>
      <c r="B2" s="26">
        <v>0</v>
      </c>
      <c r="C2" s="28">
        <v>-7.1999999999905473E-5</v>
      </c>
      <c r="D2" s="28">
        <v>0</v>
      </c>
      <c r="E2" s="28">
        <v>-3.7566666666660059E-4</v>
      </c>
      <c r="F2" s="28">
        <v>0</v>
      </c>
      <c r="G2" s="28">
        <v>0</v>
      </c>
      <c r="H2" s="28">
        <v>3.7666666666699711E-4</v>
      </c>
      <c r="I2" s="28">
        <v>-1.173333333329973E-4</v>
      </c>
      <c r="J2" s="28">
        <v>2.203333333329893E-4</v>
      </c>
      <c r="K2" s="28">
        <v>3.7333333333300361E-4</v>
      </c>
      <c r="L2" s="28">
        <v>-4.4333333333007603E-5</v>
      </c>
      <c r="M2" s="28">
        <v>-4.200000000000037E-4</v>
      </c>
      <c r="N2" s="28">
        <v>-3.9000000000000151E-4</v>
      </c>
      <c r="O2" s="28">
        <v>1.24333333333948E-4</v>
      </c>
      <c r="P2" s="28">
        <v>-1.106666666670086E-4</v>
      </c>
      <c r="Q2" s="28">
        <v>3.4800000000000109E-4</v>
      </c>
      <c r="R2" s="28">
        <v>2.3333333333042109E-5</v>
      </c>
      <c r="S2" s="28">
        <v>2.2399999999989101E-4</v>
      </c>
      <c r="T2" s="28">
        <v>3.0066666666700442E-4</v>
      </c>
      <c r="U2" s="28">
        <v>-2.7066666666659972E-4</v>
      </c>
      <c r="V2" s="28">
        <v>-3.4999999999998921E-4</v>
      </c>
      <c r="W2" s="28">
        <v>-4.139999999999977E-4</v>
      </c>
      <c r="X2" s="28">
        <v>0</v>
      </c>
      <c r="Y2" s="28">
        <v>0</v>
      </c>
      <c r="Z2" s="28">
        <v>0</v>
      </c>
      <c r="AA2" s="28">
        <v>3.4199999999999509E-4</v>
      </c>
      <c r="AB2" s="28">
        <v>-3.7266666666699311E-4</v>
      </c>
      <c r="AC2" s="28">
        <v>2.9200000000001452E-4</v>
      </c>
      <c r="AD2" s="28">
        <v>1.683333333329928E-4</v>
      </c>
      <c r="AE2" s="28">
        <v>-2.8333333332963839E-5</v>
      </c>
      <c r="AF2" s="28">
        <v>-3.8000000000010248E-5</v>
      </c>
      <c r="AG2" s="28">
        <v>2.8833333333300182E-4</v>
      </c>
      <c r="AH2" s="28">
        <v>3.7799999999998951E-4</v>
      </c>
      <c r="AI2" s="28">
        <v>-6.4000000000001556E-5</v>
      </c>
      <c r="AJ2" s="28">
        <v>2.6000000000001022E-4</v>
      </c>
      <c r="AK2" s="28">
        <v>-2.296666666669889E-4</v>
      </c>
      <c r="AL2" s="28">
        <v>-6.9388939039072284E-18</v>
      </c>
      <c r="AM2" s="28">
        <v>-1.7200000000000551E-4</v>
      </c>
      <c r="AN2" s="28">
        <v>7.2000000000002617E-5</v>
      </c>
      <c r="AO2" s="28">
        <v>1.983333333329951E-4</v>
      </c>
      <c r="AP2" s="28">
        <v>0</v>
      </c>
      <c r="AQ2" s="28">
        <v>-1.899999999999957E-4</v>
      </c>
      <c r="AR2" s="28">
        <v>4.7516666666670197E-2</v>
      </c>
      <c r="AS2" s="28">
        <v>1.4133333333339601E-4</v>
      </c>
      <c r="AT2" s="28">
        <v>0</v>
      </c>
      <c r="AU2" s="28">
        <v>6.1333333332996842E-5</v>
      </c>
      <c r="AV2" s="28">
        <v>-3.5799999999996951E-4</v>
      </c>
      <c r="AW2" s="28">
        <v>-6.9388939039072284E-18</v>
      </c>
      <c r="AX2" s="28">
        <v>0</v>
      </c>
      <c r="AY2" s="28">
        <v>-4.4733333333300818E-4</v>
      </c>
      <c r="AZ2" s="28">
        <v>3.9999999999928981E-5</v>
      </c>
      <c r="BA2" s="28">
        <v>9.733333333300509E-5</v>
      </c>
      <c r="BB2" s="28">
        <v>-1.2633333333303409E-4</v>
      </c>
      <c r="BC2" s="28">
        <v>-3.4694469519536142E-18</v>
      </c>
      <c r="BD2" s="28">
        <v>2.4033333333295381E-4</v>
      </c>
      <c r="BE2" s="28">
        <v>1.0100000000000391E-4</v>
      </c>
      <c r="BF2" s="28">
        <v>-1.3533333333404229E-4</v>
      </c>
      <c r="BG2" s="28">
        <v>-2.010000000000067E-4</v>
      </c>
      <c r="BH2" s="28">
        <v>2.34000000000012E-4</v>
      </c>
      <c r="BI2" s="28">
        <v>-1.2899999999999021E-4</v>
      </c>
      <c r="BJ2" s="28">
        <v>-4.3433333333330049E-4</v>
      </c>
      <c r="BK2" s="28">
        <v>3.3066666666699268E-4</v>
      </c>
      <c r="BL2" s="28">
        <v>-2.0133333333340051E-4</v>
      </c>
      <c r="BM2" s="28">
        <v>7.7666666667003392E-5</v>
      </c>
      <c r="BN2" s="28">
        <v>2.9466666666699842E-4</v>
      </c>
      <c r="BO2" s="28">
        <v>9.9999999999988987E-5</v>
      </c>
      <c r="BP2" s="28">
        <v>0</v>
      </c>
      <c r="BQ2" s="28">
        <v>-2.966666666698314E-5</v>
      </c>
      <c r="BR2" s="28">
        <v>4.5499999999999707E-4</v>
      </c>
      <c r="BS2" s="28">
        <v>-4.339999999999899E-4</v>
      </c>
      <c r="BT2" s="28">
        <v>-4.1733333333299211E-4</v>
      </c>
      <c r="BU2" s="28">
        <v>-2.8466666666698842E-4</v>
      </c>
      <c r="BV2" s="28">
        <v>0</v>
      </c>
      <c r="BW2" s="28">
        <v>3.7866666666699911E-4</v>
      </c>
      <c r="BX2" s="28">
        <v>-3.5999999999999921E-4</v>
      </c>
      <c r="BY2" s="28">
        <v>4.3133333333306162E-4</v>
      </c>
      <c r="BZ2" s="28">
        <v>-6.9388939039072284E-18</v>
      </c>
      <c r="CA2" s="28">
        <v>0</v>
      </c>
      <c r="CB2" s="28">
        <v>-4.9333333333301255E-4</v>
      </c>
      <c r="CC2" s="28">
        <v>3.0233333333301582E-4</v>
      </c>
      <c r="CD2" s="28">
        <v>4.9866666666699422E-4</v>
      </c>
      <c r="CE2" s="28">
        <v>0</v>
      </c>
      <c r="CF2" s="28">
        <v>-2.5166666666709409E-4</v>
      </c>
      <c r="CG2" s="28">
        <v>-2.6299999999998552E-4</v>
      </c>
      <c r="CH2" s="28">
        <v>2.9333333333300682E-4</v>
      </c>
      <c r="CI2" s="28">
        <v>-3.0399999999999872E-4</v>
      </c>
      <c r="CJ2" s="28">
        <v>-3.1233333333297031E-4</v>
      </c>
      <c r="CK2" s="28">
        <v>4.266666666669916E-4</v>
      </c>
      <c r="CL2" s="28">
        <v>0</v>
      </c>
      <c r="CM2" s="28">
        <v>0</v>
      </c>
      <c r="CN2" s="28">
        <v>-2.8333333333299682E-4</v>
      </c>
      <c r="CO2" s="28">
        <v>3.0399999999999872E-4</v>
      </c>
      <c r="CP2" s="28">
        <v>0</v>
      </c>
      <c r="CQ2" s="28">
        <v>2.1700000000013381E-4</v>
      </c>
      <c r="CR2" s="28">
        <v>0</v>
      </c>
      <c r="CS2" s="28">
        <v>2.9866666666700242E-4</v>
      </c>
      <c r="CT2" s="28">
        <v>-3.3900000000000602E-4</v>
      </c>
      <c r="CU2" s="28">
        <v>-6.8666666670047505E-5</v>
      </c>
      <c r="CV2" s="28">
        <v>0</v>
      </c>
      <c r="CW2" s="28">
        <v>0</v>
      </c>
      <c r="CX2" s="28">
        <v>0</v>
      </c>
      <c r="CY2" s="28">
        <v>-3.4700000000011111E-4</v>
      </c>
      <c r="CZ2" s="28">
        <v>4.220000000000057E-4</v>
      </c>
      <c r="DA2" s="28">
        <v>0</v>
      </c>
      <c r="DB2" s="28">
        <v>3.3333333299134788E-7</v>
      </c>
      <c r="DC2" s="28">
        <v>4.623333333330093E-4</v>
      </c>
      <c r="DD2" s="28">
        <v>6.9388939039072284E-18</v>
      </c>
      <c r="DE2" s="28">
        <v>-2.7599999999999852E-4</v>
      </c>
      <c r="DF2" s="28">
        <v>3.5233333333406502E-4</v>
      </c>
      <c r="DG2" s="28">
        <v>0</v>
      </c>
      <c r="DH2" s="28">
        <v>0</v>
      </c>
      <c r="DI2" s="28">
        <v>-7.899999999999574E-5</v>
      </c>
      <c r="DJ2" s="28">
        <v>1.406666666669554E-4</v>
      </c>
      <c r="DK2" s="28">
        <v>1.6266666666700511E-4</v>
      </c>
      <c r="DL2" s="28">
        <v>-1.659999999999717E-4</v>
      </c>
      <c r="DM2" s="28">
        <v>-4.0066666666699341E-4</v>
      </c>
      <c r="DN2" s="28">
        <v>0</v>
      </c>
      <c r="DO2" s="28">
        <v>0</v>
      </c>
      <c r="DP2" s="28">
        <v>3.3866666666701462E-4</v>
      </c>
      <c r="DQ2" s="28">
        <v>3.4400000000001102E-4</v>
      </c>
      <c r="DR2" s="28">
        <v>2.093333333330061E-4</v>
      </c>
      <c r="DS2" s="28">
        <v>-1.546666666669694E-4</v>
      </c>
      <c r="DT2" s="28">
        <v>-2.03999999999982E-4</v>
      </c>
      <c r="DU2" s="28">
        <v>3.9800000000000951E-4</v>
      </c>
      <c r="DV2" s="28">
        <v>4.4599999999998813E-4</v>
      </c>
      <c r="DW2" s="28">
        <v>3.9472849462365888E-4</v>
      </c>
      <c r="DX2" s="34">
        <v>4.8946333333333703E-2</v>
      </c>
    </row>
    <row r="3" spans="1:128" x14ac:dyDescent="0.25">
      <c r="A3" s="24">
        <v>2</v>
      </c>
      <c r="B3" s="26">
        <v>0.5</v>
      </c>
      <c r="C3" s="28">
        <v>-6.9388939039072284E-18</v>
      </c>
      <c r="D3" s="28">
        <v>-4.0400000000001551E-4</v>
      </c>
      <c r="E3" s="28">
        <v>3.0973333333300662E-4</v>
      </c>
      <c r="F3" s="28">
        <v>0</v>
      </c>
      <c r="G3" s="28">
        <v>0</v>
      </c>
      <c r="H3" s="28">
        <v>-2.133333333329962E-4</v>
      </c>
      <c r="I3" s="28">
        <v>-4.740000000000022E-4</v>
      </c>
      <c r="J3" s="28">
        <v>0</v>
      </c>
      <c r="K3" s="28">
        <v>-1.739999999999797E-4</v>
      </c>
      <c r="L3" s="28">
        <v>0</v>
      </c>
      <c r="M3" s="28">
        <v>0</v>
      </c>
      <c r="N3" s="28">
        <v>-2.3999999999999019E-4</v>
      </c>
      <c r="O3" s="28">
        <v>-2.5266666666601267E-4</v>
      </c>
      <c r="P3" s="28">
        <v>-6.9388939039072284E-18</v>
      </c>
      <c r="Q3" s="28">
        <v>-2.066666666669936E-4</v>
      </c>
      <c r="R3" s="28">
        <v>4.5066666666698779E-4</v>
      </c>
      <c r="S3" s="28">
        <v>-6.6666666665993191E-5</v>
      </c>
      <c r="T3" s="28">
        <v>4.019999999999857E-4</v>
      </c>
      <c r="U3" s="28">
        <v>-4.4733333333300818E-4</v>
      </c>
      <c r="V3" s="28">
        <v>1.2399999999998521E-4</v>
      </c>
      <c r="W3" s="28">
        <v>0</v>
      </c>
      <c r="X3" s="28">
        <v>0</v>
      </c>
      <c r="Y3" s="28">
        <v>-3.4666666666699491E-4</v>
      </c>
      <c r="Z3" s="28">
        <v>0</v>
      </c>
      <c r="AA3" s="28">
        <v>7.799999999999474E-5</v>
      </c>
      <c r="AB3" s="28">
        <v>-1.2766666666702559E-4</v>
      </c>
      <c r="AC3" s="28">
        <v>1.4933333333300161E-4</v>
      </c>
      <c r="AD3" s="28">
        <v>-3.5966666666660541E-4</v>
      </c>
      <c r="AE3" s="28">
        <v>-4.5133333333291498E-4</v>
      </c>
      <c r="AF3" s="28">
        <v>0</v>
      </c>
      <c r="AG3" s="28">
        <v>1.16000000000005E-4</v>
      </c>
      <c r="AH3" s="28">
        <v>3.0900000000000372E-4</v>
      </c>
      <c r="AI3" s="28">
        <v>-4.48000000000004E-4</v>
      </c>
      <c r="AJ3" s="28">
        <v>0</v>
      </c>
      <c r="AK3" s="28">
        <v>-2.296666666669889E-4</v>
      </c>
      <c r="AL3" s="28">
        <v>-6.9388939039072284E-18</v>
      </c>
      <c r="AM3" s="28">
        <v>-2.8733333333302857E-4</v>
      </c>
      <c r="AN3" s="28">
        <v>0</v>
      </c>
      <c r="AO3" s="28">
        <v>3.1666666666985137E-5</v>
      </c>
      <c r="AP3" s="28">
        <v>0</v>
      </c>
      <c r="AQ3" s="28">
        <v>0</v>
      </c>
      <c r="AR3" s="28">
        <v>5.5E-2</v>
      </c>
      <c r="AS3" s="28">
        <v>4.2666666666700548E-4</v>
      </c>
      <c r="AT3" s="28">
        <v>-2.7000000000002022E-4</v>
      </c>
      <c r="AU3" s="28">
        <v>0</v>
      </c>
      <c r="AV3" s="28">
        <v>0</v>
      </c>
      <c r="AW3" s="28">
        <v>-6.9388939039072284E-18</v>
      </c>
      <c r="AX3" s="28">
        <v>-1.6000000000002121E-4</v>
      </c>
      <c r="AY3" s="28">
        <v>2.2066666666670229E-4</v>
      </c>
      <c r="AZ3" s="28">
        <v>-3.3666666666698491E-4</v>
      </c>
      <c r="BA3" s="28">
        <v>0</v>
      </c>
      <c r="BB3" s="28">
        <v>1.886666666666981E-4</v>
      </c>
      <c r="BC3" s="28">
        <v>4.399999999999959E-4</v>
      </c>
      <c r="BD3" s="28">
        <v>4.4999999999990881E-4</v>
      </c>
      <c r="BE3" s="28">
        <v>3.6000000000008248E-5</v>
      </c>
      <c r="BF3" s="28">
        <v>4.1999999999986493E-5</v>
      </c>
      <c r="BG3" s="28">
        <v>-4.6266666666670148E-4</v>
      </c>
      <c r="BH3" s="28">
        <v>-2.8133333333330007E-4</v>
      </c>
      <c r="BI3" s="28">
        <v>-1.4899999999999641E-4</v>
      </c>
      <c r="BJ3" s="28">
        <v>2.8100000000000352E-4</v>
      </c>
      <c r="BK3" s="28">
        <v>-9.6000000000012742E-5</v>
      </c>
      <c r="BL3" s="28">
        <v>-1.7533333333301371E-4</v>
      </c>
      <c r="BM3" s="28">
        <v>4.456666666670106E-4</v>
      </c>
      <c r="BN3" s="28">
        <v>2.2333333333329761E-4</v>
      </c>
      <c r="BO3" s="28">
        <v>8.8976666666667037E-2</v>
      </c>
      <c r="BP3" s="28">
        <v>0</v>
      </c>
      <c r="BQ3" s="28">
        <v>0</v>
      </c>
      <c r="BR3" s="28">
        <v>-1.1899999999998021E-4</v>
      </c>
      <c r="BS3" s="28">
        <v>0</v>
      </c>
      <c r="BT3" s="28">
        <v>0</v>
      </c>
      <c r="BU3" s="28">
        <v>0</v>
      </c>
      <c r="BV3" s="28">
        <v>0</v>
      </c>
      <c r="BW3" s="28">
        <v>0</v>
      </c>
      <c r="BX3" s="28">
        <v>0</v>
      </c>
      <c r="BY3" s="28">
        <v>-3.6399999999998928E-4</v>
      </c>
      <c r="BZ3" s="28">
        <v>4.5400000000001001E-4</v>
      </c>
      <c r="CA3" s="28">
        <v>0</v>
      </c>
      <c r="CB3" s="28">
        <v>-4.1999999999997589E-4</v>
      </c>
      <c r="CC3" s="28">
        <v>0</v>
      </c>
      <c r="CD3" s="28">
        <v>0</v>
      </c>
      <c r="CE3" s="28">
        <v>0</v>
      </c>
      <c r="CF3" s="28">
        <v>4.790000000000072E-4</v>
      </c>
      <c r="CG3" s="28">
        <v>6.9999999999958984E-5</v>
      </c>
      <c r="CH3" s="28">
        <v>0</v>
      </c>
      <c r="CI3" s="28">
        <v>-7.333333332970593E-6</v>
      </c>
      <c r="CJ3" s="28">
        <v>0</v>
      </c>
      <c r="CK3" s="28">
        <v>-2.413333333330103E-4</v>
      </c>
      <c r="CL3" s="28">
        <v>0</v>
      </c>
      <c r="CM3" s="28">
        <v>2.0000000000020002E-6</v>
      </c>
      <c r="CN3" s="28">
        <v>9.9999999999988987E-5</v>
      </c>
      <c r="CO3" s="28">
        <v>-6.8000000000012495E-5</v>
      </c>
      <c r="CP3" s="28">
        <v>-3.999999999999837E-5</v>
      </c>
      <c r="CQ3" s="28">
        <v>0</v>
      </c>
      <c r="CR3" s="28">
        <v>-6.7333333333002843E-5</v>
      </c>
      <c r="CS3" s="28">
        <v>2.266666666669859E-4</v>
      </c>
      <c r="CT3" s="28">
        <v>0</v>
      </c>
      <c r="CU3" s="28">
        <v>-1.7999999999990249E-5</v>
      </c>
      <c r="CV3" s="28">
        <v>3.5999999999999921E-4</v>
      </c>
      <c r="CW3" s="28">
        <v>-3.0800000000000272E-4</v>
      </c>
      <c r="CX3" s="28">
        <v>1.4799999999998151E-4</v>
      </c>
      <c r="CY3" s="28">
        <v>0</v>
      </c>
      <c r="CZ3" s="28">
        <v>0</v>
      </c>
      <c r="DA3" s="28">
        <v>0</v>
      </c>
      <c r="DB3" s="28">
        <v>0</v>
      </c>
      <c r="DC3" s="28">
        <v>1.7599999999989849E-4</v>
      </c>
      <c r="DD3" s="28">
        <v>-1.600000000000212E-5</v>
      </c>
      <c r="DE3" s="28">
        <v>2.5333333333299462E-4</v>
      </c>
      <c r="DF3" s="28">
        <v>-1.9566666666703811E-4</v>
      </c>
      <c r="DG3" s="28">
        <v>0</v>
      </c>
      <c r="DH3" s="28">
        <v>2.3200000000001E-4</v>
      </c>
      <c r="DI3" s="28">
        <v>-2.7733333333301863E-4</v>
      </c>
      <c r="DJ3" s="28">
        <v>-3.7200000000001121E-4</v>
      </c>
      <c r="DK3" s="28">
        <v>0</v>
      </c>
      <c r="DL3" s="28">
        <v>4.666666666697239E-5</v>
      </c>
      <c r="DM3" s="28">
        <v>-1.953333333329921E-4</v>
      </c>
      <c r="DN3" s="28">
        <v>0</v>
      </c>
      <c r="DO3" s="28">
        <v>2.5866666666701787E-4</v>
      </c>
      <c r="DP3" s="28">
        <v>2.5199999999998829E-4</v>
      </c>
      <c r="DQ3" s="28">
        <v>0</v>
      </c>
      <c r="DR3" s="28">
        <v>1.3533333333298761E-4</v>
      </c>
      <c r="DS3" s="28">
        <v>0.1140433333333299</v>
      </c>
      <c r="DT3" s="28">
        <v>0</v>
      </c>
      <c r="DU3" s="28">
        <v>4.8866666666669278E-4</v>
      </c>
      <c r="DV3" s="28">
        <v>0</v>
      </c>
      <c r="DW3" s="28">
        <v>2.0730435483871002E-3</v>
      </c>
      <c r="DX3" s="34">
        <v>0.25705740000000038</v>
      </c>
    </row>
    <row r="4" spans="1:128" x14ac:dyDescent="0.25">
      <c r="A4" s="24">
        <v>3</v>
      </c>
      <c r="B4" s="26">
        <v>1</v>
      </c>
      <c r="C4" s="28">
        <v>3.1999999999998702E-4</v>
      </c>
      <c r="D4" s="28">
        <v>0</v>
      </c>
      <c r="E4" s="28">
        <v>1.786666666660219E-5</v>
      </c>
      <c r="F4" s="28">
        <v>0</v>
      </c>
      <c r="G4" s="28">
        <v>0</v>
      </c>
      <c r="H4" s="28">
        <v>-3.3800000000000502E-4</v>
      </c>
      <c r="I4" s="28">
        <v>0</v>
      </c>
      <c r="J4" s="28">
        <v>0</v>
      </c>
      <c r="K4" s="28">
        <v>2.9466666666669311E-4</v>
      </c>
      <c r="L4" s="28">
        <v>6.6666666670156527E-6</v>
      </c>
      <c r="M4" s="28">
        <v>-4.200000000000037E-4</v>
      </c>
      <c r="N4" s="28">
        <v>0</v>
      </c>
      <c r="O4" s="28">
        <v>-3.6333333333299361E-4</v>
      </c>
      <c r="P4" s="28">
        <v>-4.3733333333301211E-4</v>
      </c>
      <c r="Q4" s="28">
        <v>4.3800000000002171E-4</v>
      </c>
      <c r="R4" s="28">
        <v>-3.8333333333306912E-4</v>
      </c>
      <c r="S4" s="28">
        <v>5.9088666666667011E-2</v>
      </c>
      <c r="T4" s="28">
        <v>-3.4699999999998621E-4</v>
      </c>
      <c r="U4" s="28">
        <v>4.5866666666670441E-4</v>
      </c>
      <c r="V4" s="28">
        <v>0</v>
      </c>
      <c r="W4" s="28">
        <v>2.276666666670146E-4</v>
      </c>
      <c r="X4" s="28">
        <v>0</v>
      </c>
      <c r="Y4" s="28">
        <v>-1.20000000000002E-4</v>
      </c>
      <c r="Z4" s="28">
        <v>2.5800000000000822E-4</v>
      </c>
      <c r="AA4" s="28">
        <v>0</v>
      </c>
      <c r="AB4" s="28">
        <v>1.3333333333340189E-4</v>
      </c>
      <c r="AC4" s="28">
        <v>0</v>
      </c>
      <c r="AD4" s="28">
        <v>0</v>
      </c>
      <c r="AE4" s="28">
        <v>0</v>
      </c>
      <c r="AF4" s="28">
        <v>1.909999999999967E-4</v>
      </c>
      <c r="AG4" s="28">
        <v>0</v>
      </c>
      <c r="AH4" s="28">
        <v>2.6999999999999252E-4</v>
      </c>
      <c r="AI4" s="28">
        <v>-8.5333333333006967E-5</v>
      </c>
      <c r="AJ4" s="28">
        <v>-4.4000000000000977E-4</v>
      </c>
      <c r="AK4" s="28">
        <v>2.293333333329983E-4</v>
      </c>
      <c r="AL4" s="28">
        <v>1.3733333333329489E-4</v>
      </c>
      <c r="AM4" s="28">
        <v>0</v>
      </c>
      <c r="AN4" s="28">
        <v>-3.6500000000000421E-4</v>
      </c>
      <c r="AO4" s="28">
        <v>-3.4533333333330168E-4</v>
      </c>
      <c r="AP4" s="28">
        <v>0</v>
      </c>
      <c r="AQ4" s="28">
        <v>3.8666666666699318E-4</v>
      </c>
      <c r="AR4" s="28">
        <v>5.5E-2</v>
      </c>
      <c r="AS4" s="28">
        <v>0</v>
      </c>
      <c r="AT4" s="28">
        <v>-2.333333333330023E-4</v>
      </c>
      <c r="AU4" s="28">
        <v>3.3933333333339982E-4</v>
      </c>
      <c r="AV4" s="28">
        <v>2.5500000000000522E-4</v>
      </c>
      <c r="AW4" s="28">
        <v>-6.9388939039072284E-18</v>
      </c>
      <c r="AX4" s="28">
        <v>-7.7333333333012844E-5</v>
      </c>
      <c r="AY4" s="28">
        <v>0</v>
      </c>
      <c r="AZ4" s="28">
        <v>0</v>
      </c>
      <c r="BA4" s="28">
        <v>0</v>
      </c>
      <c r="BB4" s="28">
        <v>-2.5066666666700987E-4</v>
      </c>
      <c r="BC4" s="28">
        <v>-3.4694469519536142E-18</v>
      </c>
      <c r="BD4" s="28">
        <v>-1.5299999999998651E-4</v>
      </c>
      <c r="BE4" s="28">
        <v>-1.8000000000001351E-4</v>
      </c>
      <c r="BF4" s="28">
        <v>-2.6666666670116519E-6</v>
      </c>
      <c r="BG4" s="28">
        <v>-8.3333333332991089E-5</v>
      </c>
      <c r="BH4" s="28">
        <v>1.7966666666669601E-4</v>
      </c>
      <c r="BI4" s="28">
        <v>3.6100000000000021E-4</v>
      </c>
      <c r="BJ4" s="28">
        <v>2.8100000000000352E-4</v>
      </c>
      <c r="BK4" s="28">
        <v>7.6666666666697081E-5</v>
      </c>
      <c r="BL4" s="28">
        <v>0</v>
      </c>
      <c r="BM4" s="28">
        <v>-1.5400000000000141E-4</v>
      </c>
      <c r="BN4" s="28">
        <v>-2.036666666669906E-4</v>
      </c>
      <c r="BO4" s="28">
        <v>7.7342666666666698E-2</v>
      </c>
      <c r="BP4" s="28">
        <v>0</v>
      </c>
      <c r="BQ4" s="28">
        <v>0</v>
      </c>
      <c r="BR4" s="28">
        <v>0</v>
      </c>
      <c r="BS4" s="28">
        <v>4.866666666669961E-4</v>
      </c>
      <c r="BT4" s="28">
        <v>-1.5000000000001121E-4</v>
      </c>
      <c r="BU4" s="28">
        <v>0</v>
      </c>
      <c r="BV4" s="28">
        <v>0</v>
      </c>
      <c r="BW4" s="28">
        <v>-3.923333333329948E-4</v>
      </c>
      <c r="BX4" s="28">
        <v>1.466666666666977E-4</v>
      </c>
      <c r="BY4" s="28">
        <v>-1.3799999999999921E-4</v>
      </c>
      <c r="BZ4" s="28">
        <v>-6.9388939039072284E-18</v>
      </c>
      <c r="CA4" s="28">
        <v>0</v>
      </c>
      <c r="CB4" s="28">
        <v>2.013333333329981E-4</v>
      </c>
      <c r="CC4" s="28">
        <v>3.6766666666701592E-4</v>
      </c>
      <c r="CD4" s="28">
        <v>9.7333333334004291E-5</v>
      </c>
      <c r="CE4" s="28">
        <v>0</v>
      </c>
      <c r="CF4" s="28">
        <v>1.426666666669851E-4</v>
      </c>
      <c r="CG4" s="28">
        <v>-2.2333333333302011E-4</v>
      </c>
      <c r="CH4" s="28">
        <v>2.6666666666699812E-4</v>
      </c>
      <c r="CI4" s="28">
        <v>0</v>
      </c>
      <c r="CJ4" s="28">
        <v>-2.6666666666699812E-4</v>
      </c>
      <c r="CK4" s="28">
        <v>0</v>
      </c>
      <c r="CL4" s="28">
        <v>0</v>
      </c>
      <c r="CM4" s="28">
        <v>8.6333333332994089E-5</v>
      </c>
      <c r="CN4" s="28">
        <v>0</v>
      </c>
      <c r="CO4" s="28">
        <v>0</v>
      </c>
      <c r="CP4" s="28">
        <v>0</v>
      </c>
      <c r="CQ4" s="28">
        <v>2.7999999999998859E-4</v>
      </c>
      <c r="CR4" s="28">
        <v>-1.466666666666977E-4</v>
      </c>
      <c r="CS4" s="28">
        <v>-3.3100000000002572E-4</v>
      </c>
      <c r="CT4" s="28">
        <v>0</v>
      </c>
      <c r="CU4" s="28">
        <v>0</v>
      </c>
      <c r="CV4" s="28">
        <v>0</v>
      </c>
      <c r="CW4" s="28">
        <v>3.4000000000000702E-4</v>
      </c>
      <c r="CX4" s="28">
        <v>-2.4800000000010919E-4</v>
      </c>
      <c r="CY4" s="28">
        <v>0</v>
      </c>
      <c r="CZ4" s="28">
        <v>4.220000000000057E-4</v>
      </c>
      <c r="DA4" s="28">
        <v>0</v>
      </c>
      <c r="DB4" s="28">
        <v>6.6666666700965216E-7</v>
      </c>
      <c r="DC4" s="28">
        <v>1.759999999999956E-4</v>
      </c>
      <c r="DD4" s="28">
        <v>6.9388939039072284E-18</v>
      </c>
      <c r="DE4" s="28">
        <v>0</v>
      </c>
      <c r="DF4" s="28">
        <v>-1.4733333333305509E-4</v>
      </c>
      <c r="DG4" s="28">
        <v>-2.7499999999999752E-4</v>
      </c>
      <c r="DH4" s="28">
        <v>4.7666666666700003E-4</v>
      </c>
      <c r="DI4" s="28">
        <v>-3.326666666667033E-4</v>
      </c>
      <c r="DJ4" s="28">
        <v>-8.9333333332969334E-5</v>
      </c>
      <c r="DK4" s="28">
        <v>0</v>
      </c>
      <c r="DL4" s="28">
        <v>2.4736666666699819E-4</v>
      </c>
      <c r="DM4" s="28">
        <v>4.9766666666669485E-4</v>
      </c>
      <c r="DN4" s="28">
        <v>-8.5000000000029496E-5</v>
      </c>
      <c r="DO4" s="28">
        <v>8.2000000000012618E-5</v>
      </c>
      <c r="DP4" s="28">
        <v>-1.4800000000000921E-4</v>
      </c>
      <c r="DQ4" s="28">
        <v>2.8799999999999659E-4</v>
      </c>
      <c r="DR4" s="28">
        <v>3.4133333333299931E-4</v>
      </c>
      <c r="DS4" s="28">
        <v>0.25795600000000002</v>
      </c>
      <c r="DT4" s="28">
        <v>-2.4933333333299062E-4</v>
      </c>
      <c r="DU4" s="28">
        <v>0</v>
      </c>
      <c r="DV4" s="28">
        <v>-1.6866666666701111E-4</v>
      </c>
      <c r="DW4" s="28">
        <v>3.6356631720430529E-3</v>
      </c>
      <c r="DX4" s="34">
        <v>0.4508222333333386</v>
      </c>
    </row>
    <row r="5" spans="1:128" x14ac:dyDescent="0.25">
      <c r="A5" s="24">
        <v>4</v>
      </c>
      <c r="B5" s="26">
        <v>1.5</v>
      </c>
      <c r="C5" s="28">
        <v>-6.9388939039072284E-18</v>
      </c>
      <c r="D5" s="28">
        <v>1.2400000000001299E-4</v>
      </c>
      <c r="E5" s="28">
        <v>0</v>
      </c>
      <c r="F5" s="28">
        <v>0</v>
      </c>
      <c r="G5" s="28">
        <v>0</v>
      </c>
      <c r="H5" s="28">
        <v>3.1333333332994602E-5</v>
      </c>
      <c r="I5" s="28">
        <v>2.6366666666696742E-4</v>
      </c>
      <c r="J5" s="28">
        <v>-3.5066666666697111E-4</v>
      </c>
      <c r="K5" s="28">
        <v>3.7333333333300361E-4</v>
      </c>
      <c r="L5" s="28">
        <v>0</v>
      </c>
      <c r="M5" s="28">
        <v>0</v>
      </c>
      <c r="N5" s="28">
        <v>-7.999999999999674E-5</v>
      </c>
      <c r="O5" s="28">
        <v>1.899999999999125E-5</v>
      </c>
      <c r="P5" s="28">
        <v>-1.719999999999916E-4</v>
      </c>
      <c r="Q5" s="28">
        <v>4.4000000000016248E-5</v>
      </c>
      <c r="R5" s="28">
        <v>5.6333333332991842E-5</v>
      </c>
      <c r="S5" s="28">
        <v>0.35930333333333297</v>
      </c>
      <c r="T5" s="28">
        <v>1.5666666666996901E-5</v>
      </c>
      <c r="U5" s="28">
        <v>3.2933333333301512E-4</v>
      </c>
      <c r="V5" s="28">
        <v>3.939999999999777E-4</v>
      </c>
      <c r="W5" s="28">
        <v>4.45000000000001E-4</v>
      </c>
      <c r="X5" s="28">
        <v>4.533333333330003E-4</v>
      </c>
      <c r="Y5" s="28">
        <v>-3.5999999999999921E-4</v>
      </c>
      <c r="Z5" s="28">
        <v>0</v>
      </c>
      <c r="AA5" s="28">
        <v>0</v>
      </c>
      <c r="AB5" s="28">
        <v>-3.99333333332974E-4</v>
      </c>
      <c r="AC5" s="28">
        <v>-8.2666666666980637E-5</v>
      </c>
      <c r="AD5" s="28">
        <v>-1.913333333329881E-4</v>
      </c>
      <c r="AE5" s="28">
        <v>0</v>
      </c>
      <c r="AF5" s="28">
        <v>-2.2900000000000001E-4</v>
      </c>
      <c r="AG5" s="28">
        <v>-1.073333333330151E-4</v>
      </c>
      <c r="AH5" s="28">
        <v>-1.4333333333299561E-4</v>
      </c>
      <c r="AI5" s="28">
        <v>-2.5600000000000622E-4</v>
      </c>
      <c r="AJ5" s="28">
        <v>-3.999999999999837E-4</v>
      </c>
      <c r="AK5" s="28">
        <v>4.6933333333300242E-4</v>
      </c>
      <c r="AL5" s="28">
        <v>3.7333333333300361E-4</v>
      </c>
      <c r="AM5" s="28">
        <v>0</v>
      </c>
      <c r="AN5" s="28">
        <v>-4.3699999999990968E-4</v>
      </c>
      <c r="AO5" s="28">
        <v>7.4000000000018495E-5</v>
      </c>
      <c r="AP5" s="28">
        <v>0</v>
      </c>
      <c r="AQ5" s="28">
        <v>4.2333333333330342E-4</v>
      </c>
      <c r="AR5" s="28">
        <v>5.5E-2</v>
      </c>
      <c r="AS5" s="28">
        <v>2.8266666666698642E-4</v>
      </c>
      <c r="AT5" s="28">
        <v>-9.0000000000006741E-5</v>
      </c>
      <c r="AU5" s="28">
        <v>4.8733333333300649E-4</v>
      </c>
      <c r="AV5" s="28">
        <v>-1.1333333333329861E-4</v>
      </c>
      <c r="AW5" s="28">
        <v>-6.9388939039072284E-18</v>
      </c>
      <c r="AX5" s="28">
        <v>-1.6000000000002121E-4</v>
      </c>
      <c r="AY5" s="28">
        <v>1.4199999999998941E-4</v>
      </c>
      <c r="AZ5" s="28">
        <v>0</v>
      </c>
      <c r="BA5" s="28">
        <v>0</v>
      </c>
      <c r="BB5" s="28">
        <v>3.8093333333300011E-4</v>
      </c>
      <c r="BC5" s="28">
        <v>4.399999999999959E-4</v>
      </c>
      <c r="BD5" s="28">
        <v>1.9333333333329539E-4</v>
      </c>
      <c r="BE5" s="28">
        <v>3.6000000000008248E-5</v>
      </c>
      <c r="BF5" s="28">
        <v>1.659999999999717E-4</v>
      </c>
      <c r="BG5" s="28">
        <v>2.8800000000001052E-4</v>
      </c>
      <c r="BH5" s="28">
        <v>-2.27000000000005E-4</v>
      </c>
      <c r="BI5" s="28">
        <v>3.6100000000000021E-4</v>
      </c>
      <c r="BJ5" s="28">
        <v>-7.3333333330122263E-6</v>
      </c>
      <c r="BK5" s="28">
        <v>-3.8666666666699318E-4</v>
      </c>
      <c r="BL5" s="28">
        <v>2.286666666669879E-4</v>
      </c>
      <c r="BM5" s="28">
        <v>3.3499999999997421E-4</v>
      </c>
      <c r="BN5" s="28">
        <v>0</v>
      </c>
      <c r="BO5" s="28">
        <v>0.14737066666666701</v>
      </c>
      <c r="BP5" s="28">
        <v>0</v>
      </c>
      <c r="BQ5" s="28">
        <v>2.6533333333300663E-4</v>
      </c>
      <c r="BR5" s="28">
        <v>0</v>
      </c>
      <c r="BS5" s="28">
        <v>-2.40000000000018E-4</v>
      </c>
      <c r="BT5" s="28">
        <v>2.6133333333300263E-4</v>
      </c>
      <c r="BU5" s="28">
        <v>-2.8466666666698842E-4</v>
      </c>
      <c r="BV5" s="28">
        <v>0</v>
      </c>
      <c r="BW5" s="28">
        <v>-4.8299999999999732E-4</v>
      </c>
      <c r="BX5" s="28">
        <v>4.9333333333299867E-4</v>
      </c>
      <c r="BY5" s="28">
        <v>0</v>
      </c>
      <c r="BZ5" s="28">
        <v>-4.880000000000162E-4</v>
      </c>
      <c r="CA5" s="28">
        <v>0</v>
      </c>
      <c r="CB5" s="28">
        <v>-3.2333333333300912E-4</v>
      </c>
      <c r="CC5" s="28">
        <v>2.183333333330012E-4</v>
      </c>
      <c r="CD5" s="28">
        <v>0</v>
      </c>
      <c r="CE5" s="28">
        <v>0</v>
      </c>
      <c r="CF5" s="28">
        <v>4.166666666669816E-4</v>
      </c>
      <c r="CG5" s="28">
        <v>0</v>
      </c>
      <c r="CH5" s="28">
        <v>2.6666666666598501E-5</v>
      </c>
      <c r="CI5" s="28">
        <v>-3.0399999999999872E-4</v>
      </c>
      <c r="CJ5" s="28">
        <v>0</v>
      </c>
      <c r="CK5" s="28">
        <v>-1.1466666666669351E-4</v>
      </c>
      <c r="CL5" s="28">
        <v>0</v>
      </c>
      <c r="CM5" s="28">
        <v>6.8999999999999617E-5</v>
      </c>
      <c r="CN5" s="28">
        <v>-1.6000000000000741E-4</v>
      </c>
      <c r="CO5" s="28">
        <v>2.36000000000014E-4</v>
      </c>
      <c r="CP5" s="28">
        <v>-3.999999999999837E-5</v>
      </c>
      <c r="CQ5" s="28">
        <v>4.1333333333298811E-4</v>
      </c>
      <c r="CR5" s="28">
        <v>-1.7933333333299001E-4</v>
      </c>
      <c r="CS5" s="28">
        <v>3.0199999999999672E-4</v>
      </c>
      <c r="CT5" s="28">
        <v>-3.3900000000000602E-4</v>
      </c>
      <c r="CU5" s="28">
        <v>3.3400000000005647E-4</v>
      </c>
      <c r="CV5" s="28">
        <v>3.5999999999999921E-4</v>
      </c>
      <c r="CW5" s="28">
        <v>0</v>
      </c>
      <c r="CX5" s="28">
        <v>-2.5000000000000022E-4</v>
      </c>
      <c r="CY5" s="28">
        <v>2.14999999999993E-4</v>
      </c>
      <c r="CZ5" s="28">
        <v>0</v>
      </c>
      <c r="DA5" s="28">
        <v>0</v>
      </c>
      <c r="DB5" s="28">
        <v>0</v>
      </c>
      <c r="DC5" s="28">
        <v>1.05999999999995E-4</v>
      </c>
      <c r="DD5" s="28">
        <v>6.9388939039072284E-18</v>
      </c>
      <c r="DE5" s="28">
        <v>0</v>
      </c>
      <c r="DF5" s="28">
        <v>1.3666666666700691E-4</v>
      </c>
      <c r="DG5" s="28">
        <v>-6.1666666667001269E-5</v>
      </c>
      <c r="DH5" s="28">
        <v>-3.8400000000000928E-4</v>
      </c>
      <c r="DI5" s="28">
        <v>-3.8100000000002021E-4</v>
      </c>
      <c r="DJ5" s="28">
        <v>3.9600000000000751E-4</v>
      </c>
      <c r="DK5" s="28">
        <v>2.1333333333983792E-5</v>
      </c>
      <c r="DL5" s="28">
        <v>-1.166666666669869E-4</v>
      </c>
      <c r="DM5" s="28">
        <v>-2.070000000000127E-4</v>
      </c>
      <c r="DN5" s="28">
        <v>-4.3966666666679638E-4</v>
      </c>
      <c r="DO5" s="28">
        <v>1.423333333329668E-4</v>
      </c>
      <c r="DP5" s="28">
        <v>-4.0933333333301181E-4</v>
      </c>
      <c r="DQ5" s="28">
        <v>1.22000000000011E-4</v>
      </c>
      <c r="DR5" s="28">
        <v>4.343333333329813E-4</v>
      </c>
      <c r="DS5" s="28">
        <v>0.52382166666666696</v>
      </c>
      <c r="DT5" s="28">
        <v>0</v>
      </c>
      <c r="DU5" s="28">
        <v>0</v>
      </c>
      <c r="DV5" s="28">
        <v>3.4400000000001102E-4</v>
      </c>
      <c r="DW5" s="28">
        <v>8.7793623655913824E-3</v>
      </c>
      <c r="DX5" s="34">
        <v>1.0886409333333309</v>
      </c>
    </row>
    <row r="6" spans="1:128" x14ac:dyDescent="0.25">
      <c r="A6" s="24">
        <v>5</v>
      </c>
      <c r="B6" s="26">
        <v>2</v>
      </c>
      <c r="C6" s="28">
        <v>-1.340000000000022E-4</v>
      </c>
      <c r="D6" s="28">
        <v>4.720000000000002E-4</v>
      </c>
      <c r="E6" s="28">
        <v>0</v>
      </c>
      <c r="F6" s="28">
        <v>0</v>
      </c>
      <c r="G6" s="28">
        <v>0</v>
      </c>
      <c r="H6" s="28">
        <v>-4.389999999999949E-4</v>
      </c>
      <c r="I6" s="28">
        <v>1.4500000000000621E-4</v>
      </c>
      <c r="J6" s="28">
        <v>4.539999999999822E-4</v>
      </c>
      <c r="K6" s="28">
        <v>0</v>
      </c>
      <c r="L6" s="28">
        <v>4.0133333333329518E-4</v>
      </c>
      <c r="M6" s="28">
        <v>0</v>
      </c>
      <c r="N6" s="28">
        <v>4.5333333333302811E-4</v>
      </c>
      <c r="O6" s="28">
        <v>-3.903333333329928E-4</v>
      </c>
      <c r="P6" s="28">
        <v>-6.9388939039072284E-18</v>
      </c>
      <c r="Q6" s="28">
        <v>4.1366666666700641E-4</v>
      </c>
      <c r="R6" s="28">
        <v>1.8600000000000561E-4</v>
      </c>
      <c r="S6" s="28">
        <v>0.52779666666666702</v>
      </c>
      <c r="T6" s="28">
        <v>-9.8000000000014742E-5</v>
      </c>
      <c r="U6" s="28">
        <v>-4.9133333333298279E-4</v>
      </c>
      <c r="V6" s="28">
        <v>0</v>
      </c>
      <c r="W6" s="28">
        <v>8.6666666666984638E-5</v>
      </c>
      <c r="X6" s="28">
        <v>0</v>
      </c>
      <c r="Y6" s="28">
        <v>-1.066666666666022E-4</v>
      </c>
      <c r="Z6" s="28">
        <v>-4.149999999999987E-4</v>
      </c>
      <c r="AA6" s="28">
        <v>4.200000000000037E-4</v>
      </c>
      <c r="AB6" s="28">
        <v>-1.5500000000001621E-4</v>
      </c>
      <c r="AC6" s="28">
        <v>3.0066666666700442E-4</v>
      </c>
      <c r="AD6" s="28">
        <v>0</v>
      </c>
      <c r="AE6" s="28">
        <v>0</v>
      </c>
      <c r="AF6" s="28">
        <v>-1.4499999999999241E-4</v>
      </c>
      <c r="AG6" s="28">
        <v>0</v>
      </c>
      <c r="AH6" s="28">
        <v>0</v>
      </c>
      <c r="AI6" s="28">
        <v>-3.3933333333296961E-4</v>
      </c>
      <c r="AJ6" s="28">
        <v>0</v>
      </c>
      <c r="AK6" s="28">
        <v>7.1333333333006843E-5</v>
      </c>
      <c r="AL6" s="28">
        <v>-6.9388939039072284E-18</v>
      </c>
      <c r="AM6" s="28">
        <v>-8.0333333333015844E-5</v>
      </c>
      <c r="AN6" s="28">
        <v>4.8966666666670072E-4</v>
      </c>
      <c r="AO6" s="28">
        <v>7.0000000000070006E-6</v>
      </c>
      <c r="AP6" s="28">
        <v>0</v>
      </c>
      <c r="AQ6" s="28">
        <v>1.1666666666669551E-4</v>
      </c>
      <c r="AR6" s="28">
        <v>5.5E-2</v>
      </c>
      <c r="AS6" s="28">
        <v>2.8533333333340127E-4</v>
      </c>
      <c r="AT6" s="28">
        <v>1.166666666700678E-5</v>
      </c>
      <c r="AU6" s="28">
        <v>0</v>
      </c>
      <c r="AV6" s="28">
        <v>2.9466666666699842E-4</v>
      </c>
      <c r="AW6" s="28">
        <v>-6.9388939039072284E-18</v>
      </c>
      <c r="AX6" s="28">
        <v>0</v>
      </c>
      <c r="AY6" s="28">
        <v>0</v>
      </c>
      <c r="AZ6" s="28">
        <v>0</v>
      </c>
      <c r="BA6" s="28">
        <v>0</v>
      </c>
      <c r="BB6" s="28">
        <v>-6.2666666666599813E-5</v>
      </c>
      <c r="BC6" s="28">
        <v>-3.4694469519536142E-18</v>
      </c>
      <c r="BD6" s="28">
        <v>3.4233333333340282E-4</v>
      </c>
      <c r="BE6" s="28">
        <v>-1.8000000000001351E-4</v>
      </c>
      <c r="BF6" s="28">
        <v>0</v>
      </c>
      <c r="BG6" s="28">
        <v>-3.1333333333297131E-4</v>
      </c>
      <c r="BH6" s="28">
        <v>0</v>
      </c>
      <c r="BI6" s="28">
        <v>0</v>
      </c>
      <c r="BJ6" s="28">
        <v>-4.3066666666670422E-4</v>
      </c>
      <c r="BK6" s="28">
        <v>0</v>
      </c>
      <c r="BL6" s="28">
        <v>-3.3599999999989189E-4</v>
      </c>
      <c r="BM6" s="28">
        <v>-3.5033333333328592E-4</v>
      </c>
      <c r="BN6" s="28">
        <v>7.299999999998974E-5</v>
      </c>
      <c r="BO6" s="28">
        <v>0.146942666666667</v>
      </c>
      <c r="BP6" s="28">
        <v>0</v>
      </c>
      <c r="BQ6" s="28">
        <v>0</v>
      </c>
      <c r="BR6" s="28">
        <v>-2.4800000000002598E-4</v>
      </c>
      <c r="BS6" s="28">
        <v>0</v>
      </c>
      <c r="BT6" s="28">
        <v>-2.020000000000077E-4</v>
      </c>
      <c r="BU6" s="28">
        <v>0</v>
      </c>
      <c r="BV6" s="28">
        <v>0</v>
      </c>
      <c r="BW6" s="28">
        <v>2.266666666697614E-5</v>
      </c>
      <c r="BX6" s="28">
        <v>0</v>
      </c>
      <c r="BY6" s="28">
        <v>-9.2000000000008741E-5</v>
      </c>
      <c r="BZ6" s="28">
        <v>-5.7999999999891472E-5</v>
      </c>
      <c r="CA6" s="28">
        <v>0</v>
      </c>
      <c r="CB6" s="28">
        <v>-7.2000000000002617E-5</v>
      </c>
      <c r="CC6" s="28">
        <v>-3.3333333332996602E-5</v>
      </c>
      <c r="CD6" s="28">
        <v>0</v>
      </c>
      <c r="CE6" s="28">
        <v>0</v>
      </c>
      <c r="CF6" s="28">
        <v>0</v>
      </c>
      <c r="CG6" s="28">
        <v>2.5333333333299462E-4</v>
      </c>
      <c r="CH6" s="28">
        <v>1.8666666666702911E-4</v>
      </c>
      <c r="CI6" s="28">
        <v>-1.0000000000010001E-6</v>
      </c>
      <c r="CJ6" s="28">
        <v>4.6666666666700379E-4</v>
      </c>
      <c r="CK6" s="28">
        <v>4.6733333333298649E-4</v>
      </c>
      <c r="CL6" s="28">
        <v>0</v>
      </c>
      <c r="CM6" s="28">
        <v>6.1333333333399298E-5</v>
      </c>
      <c r="CN6" s="28">
        <v>-9.3333333333001089E-5</v>
      </c>
      <c r="CO6" s="28">
        <v>0</v>
      </c>
      <c r="CP6" s="28">
        <v>0</v>
      </c>
      <c r="CQ6" s="28">
        <v>0</v>
      </c>
      <c r="CR6" s="28">
        <v>-3.4666666665988943E-5</v>
      </c>
      <c r="CS6" s="28">
        <v>0</v>
      </c>
      <c r="CT6" s="28">
        <v>-1.0000000000010001E-6</v>
      </c>
      <c r="CU6" s="28">
        <v>-8.8000000000004741E-5</v>
      </c>
      <c r="CV6" s="28">
        <v>0</v>
      </c>
      <c r="CW6" s="28">
        <v>2.5200000000000222E-4</v>
      </c>
      <c r="CX6" s="28">
        <v>4.599999999999882E-4</v>
      </c>
      <c r="CY6" s="28">
        <v>-1.5699999999999739E-4</v>
      </c>
      <c r="CZ6" s="28">
        <v>4.220000000000057E-4</v>
      </c>
      <c r="DA6" s="28">
        <v>0</v>
      </c>
      <c r="DB6" s="28">
        <v>0</v>
      </c>
      <c r="DC6" s="28">
        <v>1.46666666669959E-5</v>
      </c>
      <c r="DD6" s="28">
        <v>6.9388939039072284E-18</v>
      </c>
      <c r="DE6" s="28">
        <v>-4.46666666670259E-5</v>
      </c>
      <c r="DF6" s="28">
        <v>4.333333333329803E-4</v>
      </c>
      <c r="DG6" s="28">
        <v>2.4166666666669559E-4</v>
      </c>
      <c r="DH6" s="28">
        <v>-3.8400000000010648E-4</v>
      </c>
      <c r="DI6" s="28">
        <v>-3.0266666666695091E-4</v>
      </c>
      <c r="DJ6" s="28">
        <v>3.5666666666700492E-4</v>
      </c>
      <c r="DK6" s="28">
        <v>0</v>
      </c>
      <c r="DL6" s="28">
        <v>-6.9388939039072284E-18</v>
      </c>
      <c r="DM6" s="28">
        <v>-1.5266666666699511E-4</v>
      </c>
      <c r="DN6" s="28">
        <v>0</v>
      </c>
      <c r="DO6" s="28">
        <v>0</v>
      </c>
      <c r="DP6" s="28">
        <v>9.4666666666701205E-5</v>
      </c>
      <c r="DQ6" s="28">
        <v>2.319999999999961E-4</v>
      </c>
      <c r="DR6" s="28">
        <v>2.436666666670029E-4</v>
      </c>
      <c r="DS6" s="28">
        <v>0.30180499999999999</v>
      </c>
      <c r="DT6" s="28">
        <v>-9.0666666667002516E-5</v>
      </c>
      <c r="DU6" s="28">
        <v>-1.133333333330211E-4</v>
      </c>
      <c r="DV6" s="28">
        <v>1.179999999999931E-4</v>
      </c>
      <c r="DW6" s="28">
        <v>8.3408064516129459E-3</v>
      </c>
      <c r="DX6" s="34">
        <v>1.0342600000000051</v>
      </c>
    </row>
    <row r="7" spans="1:128" x14ac:dyDescent="0.25">
      <c r="A7" s="24">
        <v>6</v>
      </c>
      <c r="B7" s="26">
        <v>2.5</v>
      </c>
      <c r="C7" s="28">
        <v>4.539999999999822E-4</v>
      </c>
      <c r="D7" s="28">
        <v>0</v>
      </c>
      <c r="E7" s="28">
        <v>0</v>
      </c>
      <c r="F7" s="28">
        <v>0</v>
      </c>
      <c r="G7" s="28">
        <v>0</v>
      </c>
      <c r="H7" s="28">
        <v>2.9266666666702412E-4</v>
      </c>
      <c r="I7" s="28">
        <v>-1.2166666666670051E-4</v>
      </c>
      <c r="J7" s="28">
        <v>-4.639999999999922E-4</v>
      </c>
      <c r="K7" s="28">
        <v>-4.2300000000006222E-4</v>
      </c>
      <c r="L7" s="28">
        <v>-3.9466666666698741E-4</v>
      </c>
      <c r="M7" s="28">
        <v>0</v>
      </c>
      <c r="N7" s="28">
        <v>0</v>
      </c>
      <c r="O7" s="28">
        <v>2.800000000000025E-5</v>
      </c>
      <c r="P7" s="28">
        <v>1.5066666666702089E-4</v>
      </c>
      <c r="Q7" s="28">
        <v>2.5966666666699112E-4</v>
      </c>
      <c r="R7" s="28">
        <v>-4.200000000000037E-4</v>
      </c>
      <c r="S7" s="28">
        <v>0.38999733333333297</v>
      </c>
      <c r="T7" s="28">
        <v>3.6266666666701092E-4</v>
      </c>
      <c r="U7" s="28">
        <v>2.8200000000000452E-4</v>
      </c>
      <c r="V7" s="28">
        <v>4.159999999999997E-4</v>
      </c>
      <c r="W7" s="28">
        <v>-4.139999999999977E-4</v>
      </c>
      <c r="X7" s="28">
        <v>4.533333333330003E-4</v>
      </c>
      <c r="Y7" s="28">
        <v>0</v>
      </c>
      <c r="Z7" s="28">
        <v>-3.2699999999999402E-4</v>
      </c>
      <c r="AA7" s="28">
        <v>0</v>
      </c>
      <c r="AB7" s="28">
        <v>-2.9933333333298512E-4</v>
      </c>
      <c r="AC7" s="28">
        <v>4.666666666697239E-5</v>
      </c>
      <c r="AD7" s="28">
        <v>-1.043333333329982E-4</v>
      </c>
      <c r="AE7" s="28">
        <v>0</v>
      </c>
      <c r="AF7" s="28">
        <v>1.06999999999996E-4</v>
      </c>
      <c r="AG7" s="28">
        <v>0</v>
      </c>
      <c r="AH7" s="28">
        <v>0</v>
      </c>
      <c r="AI7" s="28">
        <v>0</v>
      </c>
      <c r="AJ7" s="28">
        <v>-3.999999999999837E-4</v>
      </c>
      <c r="AK7" s="28">
        <v>0</v>
      </c>
      <c r="AL7" s="28">
        <v>2.7466666666670081E-4</v>
      </c>
      <c r="AM7" s="28">
        <v>-3.7900000000000428E-4</v>
      </c>
      <c r="AN7" s="28">
        <v>-1.960666666669941E-4</v>
      </c>
      <c r="AO7" s="28">
        <v>-3.3833333333299631E-4</v>
      </c>
      <c r="AP7" s="28">
        <v>0</v>
      </c>
      <c r="AQ7" s="28">
        <v>-3.0666666666669118E-4</v>
      </c>
      <c r="AR7" s="28">
        <v>5.5E-2</v>
      </c>
      <c r="AS7" s="28">
        <v>-2.1599999999991071E-4</v>
      </c>
      <c r="AT7" s="28">
        <v>2.116666666669986E-4</v>
      </c>
      <c r="AU7" s="28">
        <v>-1.733333333329978E-4</v>
      </c>
      <c r="AV7" s="28">
        <v>-3.0533333333299112E-4</v>
      </c>
      <c r="AW7" s="28">
        <v>-6.9388939039072284E-18</v>
      </c>
      <c r="AX7" s="28">
        <v>3.7866666666697141E-4</v>
      </c>
      <c r="AY7" s="28">
        <v>1.4199999999998941E-4</v>
      </c>
      <c r="AZ7" s="28">
        <v>0</v>
      </c>
      <c r="BA7" s="28">
        <v>0</v>
      </c>
      <c r="BB7" s="28">
        <v>-2.193333333329883E-4</v>
      </c>
      <c r="BC7" s="28">
        <v>4.359999999999919E-4</v>
      </c>
      <c r="BD7" s="28">
        <v>-3.1533333333300112E-4</v>
      </c>
      <c r="BE7" s="28">
        <v>2.399999999999625E-5</v>
      </c>
      <c r="BF7" s="28">
        <v>-2.7333333333301463E-4</v>
      </c>
      <c r="BG7" s="28">
        <v>-4.0000000000012248E-5</v>
      </c>
      <c r="BH7" s="28">
        <v>1.5599999999998951E-4</v>
      </c>
      <c r="BI7" s="28">
        <v>-4.2999999999987493E-5</v>
      </c>
      <c r="BJ7" s="28">
        <v>-6.9388939039072284E-18</v>
      </c>
      <c r="BK7" s="28">
        <v>-2.2533333333302211E-4</v>
      </c>
      <c r="BL7" s="28">
        <v>0</v>
      </c>
      <c r="BM7" s="28">
        <v>1.3666666666700691E-4</v>
      </c>
      <c r="BN7" s="28">
        <v>-4.8333333333011597E-5</v>
      </c>
      <c r="BO7" s="28">
        <v>0.14153499999999999</v>
      </c>
      <c r="BP7" s="28">
        <v>0</v>
      </c>
      <c r="BQ7" s="28">
        <v>-1.2799999999998921E-4</v>
      </c>
      <c r="BR7" s="28">
        <v>-4.159999999999997E-4</v>
      </c>
      <c r="BS7" s="28">
        <v>0</v>
      </c>
      <c r="BT7" s="28">
        <v>3.1333333333329738E-4</v>
      </c>
      <c r="BU7" s="28">
        <v>-2.8466666666698842E-4</v>
      </c>
      <c r="BV7" s="28">
        <v>0</v>
      </c>
      <c r="BW7" s="28">
        <v>1.020000000000187E-4</v>
      </c>
      <c r="BX7" s="28">
        <v>0</v>
      </c>
      <c r="BY7" s="28">
        <v>-4.099999999999937E-4</v>
      </c>
      <c r="BZ7" s="28">
        <v>3.1399999999999478E-4</v>
      </c>
      <c r="CA7" s="28">
        <v>0</v>
      </c>
      <c r="CB7" s="28">
        <v>-3.3999999999997921E-4</v>
      </c>
      <c r="CC7" s="28">
        <v>-3.8066666666700111E-4</v>
      </c>
      <c r="CD7" s="28">
        <v>9.733333333300509E-5</v>
      </c>
      <c r="CE7" s="28">
        <v>0</v>
      </c>
      <c r="CF7" s="28">
        <v>-2.9333333333300682E-4</v>
      </c>
      <c r="CG7" s="28">
        <v>0</v>
      </c>
      <c r="CH7" s="28">
        <v>1.066666666668104E-4</v>
      </c>
      <c r="CI7" s="28">
        <v>-3.0766666666703912E-4</v>
      </c>
      <c r="CJ7" s="28">
        <v>2.6666666666659572E-4</v>
      </c>
      <c r="CK7" s="28">
        <v>-1.2333333333303109E-4</v>
      </c>
      <c r="CL7" s="28">
        <v>0</v>
      </c>
      <c r="CM7" s="28">
        <v>9.6000000000040497E-5</v>
      </c>
      <c r="CN7" s="28">
        <v>0</v>
      </c>
      <c r="CO7" s="28">
        <v>4.2666666666996138E-5</v>
      </c>
      <c r="CP7" s="28">
        <v>2.5333333333329988E-4</v>
      </c>
      <c r="CQ7" s="28">
        <v>-3.0666666666701042E-4</v>
      </c>
      <c r="CR7" s="28">
        <v>0</v>
      </c>
      <c r="CS7" s="28">
        <v>3.0199999999999672E-4</v>
      </c>
      <c r="CT7" s="28">
        <v>-3.3500000000000202E-4</v>
      </c>
      <c r="CU7" s="28">
        <v>0</v>
      </c>
      <c r="CV7" s="28">
        <v>-2.30000000000008E-4</v>
      </c>
      <c r="CW7" s="28">
        <v>-2.19999999999998E-4</v>
      </c>
      <c r="CX7" s="28">
        <v>-8.7333333333022845E-5</v>
      </c>
      <c r="CY7" s="28">
        <v>9.6666666666592183E-5</v>
      </c>
      <c r="CZ7" s="28">
        <v>0</v>
      </c>
      <c r="DA7" s="28">
        <v>0</v>
      </c>
      <c r="DB7" s="28">
        <v>0</v>
      </c>
      <c r="DC7" s="28">
        <v>-3.8133333333295599E-4</v>
      </c>
      <c r="DD7" s="28">
        <v>-7.0666666666996392E-5</v>
      </c>
      <c r="DE7" s="28">
        <v>2.2000000000105269E-5</v>
      </c>
      <c r="DF7" s="28">
        <v>0.124435333333333</v>
      </c>
      <c r="DG7" s="28">
        <v>4.2166666666701441E-4</v>
      </c>
      <c r="DH7" s="28">
        <v>0</v>
      </c>
      <c r="DI7" s="28">
        <v>6.5666666666991391E-5</v>
      </c>
      <c r="DJ7" s="28">
        <v>4.1200000000002351E-4</v>
      </c>
      <c r="DK7" s="28">
        <v>2.1333333332984591E-5</v>
      </c>
      <c r="DL7" s="28">
        <v>-6.9388939039072284E-18</v>
      </c>
      <c r="DM7" s="28">
        <v>-1.566666666665828E-4</v>
      </c>
      <c r="DN7" s="28">
        <v>0</v>
      </c>
      <c r="DO7" s="28">
        <v>-3.2666666666986137E-5</v>
      </c>
      <c r="DP7" s="28">
        <v>-2.4266666666701581E-4</v>
      </c>
      <c r="DQ7" s="28">
        <v>1.7800000000001151E-4</v>
      </c>
      <c r="DR7" s="28">
        <v>4.096666666669746E-4</v>
      </c>
      <c r="DS7" s="28">
        <v>0.155168</v>
      </c>
      <c r="DT7" s="28">
        <v>-1.5866666666700111E-4</v>
      </c>
      <c r="DU7" s="28">
        <v>0</v>
      </c>
      <c r="DV7" s="28">
        <v>5.8333333332993842E-5</v>
      </c>
      <c r="DW7" s="28">
        <v>6.9594725806451886E-3</v>
      </c>
      <c r="DX7" s="34">
        <v>0.86297460000000337</v>
      </c>
    </row>
    <row r="8" spans="1:128" x14ac:dyDescent="0.25">
      <c r="A8" s="24">
        <v>7</v>
      </c>
      <c r="B8" s="26">
        <v>3</v>
      </c>
      <c r="C8" s="28">
        <v>-6.9388939039072284E-18</v>
      </c>
      <c r="D8" s="28">
        <v>1.799999999999857E-4</v>
      </c>
      <c r="E8" s="28">
        <v>0</v>
      </c>
      <c r="F8" s="28">
        <v>0</v>
      </c>
      <c r="G8" s="28">
        <v>0</v>
      </c>
      <c r="H8" s="28">
        <v>0</v>
      </c>
      <c r="I8" s="28">
        <v>-6.8333333333003843E-5</v>
      </c>
      <c r="J8" s="28">
        <v>-4.2666666666996138E-5</v>
      </c>
      <c r="K8" s="28">
        <v>-8.3000000000096885E-5</v>
      </c>
      <c r="L8" s="28">
        <v>3.5033333333329969E-4</v>
      </c>
      <c r="M8" s="28">
        <v>-4.200000000000037E-4</v>
      </c>
      <c r="N8" s="28">
        <v>0</v>
      </c>
      <c r="O8" s="28">
        <v>-3.0133333333298712E-4</v>
      </c>
      <c r="P8" s="28">
        <v>4.119999999999957E-4</v>
      </c>
      <c r="Q8" s="28">
        <v>-9.3999999999996864E-5</v>
      </c>
      <c r="R8" s="28">
        <v>0</v>
      </c>
      <c r="S8" s="28">
        <v>0.30843466666666702</v>
      </c>
      <c r="T8" s="28">
        <v>-1.3600000000002499E-4</v>
      </c>
      <c r="U8" s="28">
        <v>1.3333333333004351E-5</v>
      </c>
      <c r="V8" s="28">
        <v>-2.199999999999425E-5</v>
      </c>
      <c r="W8" s="28">
        <v>0</v>
      </c>
      <c r="X8" s="28">
        <v>0</v>
      </c>
      <c r="Y8" s="28">
        <v>0</v>
      </c>
      <c r="Z8" s="28">
        <v>-2.8300000000000552E-4</v>
      </c>
      <c r="AA8" s="28">
        <v>3.9000000000011248E-5</v>
      </c>
      <c r="AB8" s="28">
        <v>-4.9066666666702785E-4</v>
      </c>
      <c r="AC8" s="28">
        <v>3.9466666666698741E-4</v>
      </c>
      <c r="AD8" s="28">
        <v>-8.6999999999975985E-5</v>
      </c>
      <c r="AE8" s="28">
        <v>0</v>
      </c>
      <c r="AF8" s="28">
        <v>0</v>
      </c>
      <c r="AG8" s="28">
        <v>-6.6666666670156527E-6</v>
      </c>
      <c r="AH8" s="28">
        <v>0</v>
      </c>
      <c r="AI8" s="28">
        <v>9.733333333300509E-5</v>
      </c>
      <c r="AJ8" s="28">
        <v>-4.4000000000000977E-4</v>
      </c>
      <c r="AK8" s="28">
        <v>-1.326666666666976E-4</v>
      </c>
      <c r="AL8" s="28">
        <v>2.3599999999998619E-4</v>
      </c>
      <c r="AM8" s="28">
        <v>1.3333333333298561E-4</v>
      </c>
      <c r="AN8" s="28">
        <v>-3.6500000000000421E-4</v>
      </c>
      <c r="AO8" s="28">
        <v>3.0133333333298712E-4</v>
      </c>
      <c r="AP8" s="28">
        <v>0</v>
      </c>
      <c r="AQ8" s="28">
        <v>0</v>
      </c>
      <c r="AR8" s="28">
        <v>5.5E-2</v>
      </c>
      <c r="AS8" s="28">
        <v>-2.16000000000105E-4</v>
      </c>
      <c r="AT8" s="28">
        <v>-1.9166666666700641E-4</v>
      </c>
      <c r="AU8" s="28">
        <v>0</v>
      </c>
      <c r="AV8" s="28">
        <v>-1.7600000000000951E-4</v>
      </c>
      <c r="AW8" s="28">
        <v>-6.9388939039072284E-18</v>
      </c>
      <c r="AX8" s="28">
        <v>3.8400000000000928E-4</v>
      </c>
      <c r="AY8" s="28">
        <v>-2.266666666669859E-4</v>
      </c>
      <c r="AZ8" s="28">
        <v>0</v>
      </c>
      <c r="BA8" s="28">
        <v>0</v>
      </c>
      <c r="BB8" s="28">
        <v>3.5999999999999921E-4</v>
      </c>
      <c r="BC8" s="28">
        <v>4.0000000000040004E-6</v>
      </c>
      <c r="BD8" s="28">
        <v>0</v>
      </c>
      <c r="BE8" s="28">
        <v>1.2000000000011999E-5</v>
      </c>
      <c r="BF8" s="28">
        <v>4.4366666666699472E-4</v>
      </c>
      <c r="BG8" s="28">
        <v>-2.176666666670046E-4</v>
      </c>
      <c r="BH8" s="28">
        <v>-2.033333333330001E-4</v>
      </c>
      <c r="BI8" s="28">
        <v>-2.35000000000013E-4</v>
      </c>
      <c r="BJ8" s="28">
        <v>-6.9388939039072284E-18</v>
      </c>
      <c r="BK8" s="28">
        <v>-4.633333333330103E-4</v>
      </c>
      <c r="BL8" s="28">
        <v>-3.5633333333301431E-4</v>
      </c>
      <c r="BM8" s="28">
        <v>-3.0600000000000072E-4</v>
      </c>
      <c r="BN8" s="28">
        <v>-4.3200000000000183E-4</v>
      </c>
      <c r="BO8" s="28">
        <v>0.15277833333333299</v>
      </c>
      <c r="BP8" s="28">
        <v>0</v>
      </c>
      <c r="BQ8" s="28">
        <v>3.933333333329958E-4</v>
      </c>
      <c r="BR8" s="28">
        <v>0</v>
      </c>
      <c r="BS8" s="28">
        <v>-3.9066666666698341E-4</v>
      </c>
      <c r="BT8" s="28">
        <v>1.086666666670066E-4</v>
      </c>
      <c r="BU8" s="28">
        <v>0</v>
      </c>
      <c r="BV8" s="28">
        <v>0</v>
      </c>
      <c r="BW8" s="28">
        <v>0</v>
      </c>
      <c r="BX8" s="28">
        <v>-3.866666666667018E-4</v>
      </c>
      <c r="BY8" s="28">
        <v>0</v>
      </c>
      <c r="BZ8" s="28">
        <v>1.4000000000000121E-4</v>
      </c>
      <c r="CA8" s="28">
        <v>0</v>
      </c>
      <c r="CB8" s="28">
        <v>-5.5333333333004719E-5</v>
      </c>
      <c r="CC8" s="28">
        <v>0</v>
      </c>
      <c r="CD8" s="28">
        <v>0</v>
      </c>
      <c r="CE8" s="28">
        <v>0</v>
      </c>
      <c r="CF8" s="28">
        <v>0</v>
      </c>
      <c r="CG8" s="28">
        <v>0</v>
      </c>
      <c r="CH8" s="28">
        <v>0</v>
      </c>
      <c r="CI8" s="28">
        <v>0</v>
      </c>
      <c r="CJ8" s="28">
        <v>1.9999999999999191E-4</v>
      </c>
      <c r="CK8" s="28">
        <v>3.3399999999998708E-4</v>
      </c>
      <c r="CL8" s="28">
        <v>0</v>
      </c>
      <c r="CM8" s="28">
        <v>0</v>
      </c>
      <c r="CN8" s="28">
        <v>-2.5333333333299462E-4</v>
      </c>
      <c r="CO8" s="28">
        <v>1.9333333333300401E-4</v>
      </c>
      <c r="CP8" s="28">
        <v>-2.933333333333954E-4</v>
      </c>
      <c r="CQ8" s="28">
        <v>0</v>
      </c>
      <c r="CR8" s="28">
        <v>-2.5866666666669869E-4</v>
      </c>
      <c r="CS8" s="28">
        <v>0</v>
      </c>
      <c r="CT8" s="28">
        <v>-5.0000000000049996E-6</v>
      </c>
      <c r="CU8" s="28">
        <v>2.6242000000000019E-2</v>
      </c>
      <c r="CV8" s="28">
        <v>-4.099999999999937E-4</v>
      </c>
      <c r="CW8" s="28">
        <v>0</v>
      </c>
      <c r="CX8" s="28">
        <v>2.0066666666601621E-4</v>
      </c>
      <c r="CY8" s="28">
        <v>2.4799999999999822E-4</v>
      </c>
      <c r="CZ8" s="28">
        <v>3.9499999999999258E-4</v>
      </c>
      <c r="DA8" s="28">
        <v>0</v>
      </c>
      <c r="DB8" s="28">
        <v>6.6666666700965216E-7</v>
      </c>
      <c r="DC8" s="28">
        <v>1.013333333329952E-4</v>
      </c>
      <c r="DD8" s="28">
        <v>5.4666666666702828E-5</v>
      </c>
      <c r="DE8" s="28">
        <v>2.6466666666670469E-4</v>
      </c>
      <c r="DF8" s="28">
        <v>0.1978</v>
      </c>
      <c r="DG8" s="28">
        <v>0</v>
      </c>
      <c r="DH8" s="28">
        <v>2.3200000000001E-4</v>
      </c>
      <c r="DI8" s="28">
        <v>1.4200000000000321E-4</v>
      </c>
      <c r="DJ8" s="28">
        <v>-2.106666666670115E-4</v>
      </c>
      <c r="DK8" s="28">
        <v>0</v>
      </c>
      <c r="DL8" s="28">
        <v>-6.9388939039072284E-18</v>
      </c>
      <c r="DM8" s="28">
        <v>3.1733333333298919E-4</v>
      </c>
      <c r="DN8" s="28">
        <v>0</v>
      </c>
      <c r="DO8" s="28">
        <v>2.5866666666701787E-4</v>
      </c>
      <c r="DP8" s="28">
        <v>-1.7266666666698741E-4</v>
      </c>
      <c r="DQ8" s="28">
        <v>0</v>
      </c>
      <c r="DR8" s="28">
        <v>0.22519366666666599</v>
      </c>
      <c r="DS8" s="28">
        <v>5.7037333333333301E-2</v>
      </c>
      <c r="DT8" s="28">
        <v>0</v>
      </c>
      <c r="DU8" s="28">
        <v>-3.5766666666697811E-4</v>
      </c>
      <c r="DV8" s="28">
        <v>0</v>
      </c>
      <c r="DW8" s="28">
        <v>8.2309758064515806E-3</v>
      </c>
      <c r="DX8" s="34">
        <v>1.0206409999999959</v>
      </c>
    </row>
    <row r="9" spans="1:128" x14ac:dyDescent="0.25">
      <c r="A9" s="24">
        <v>8</v>
      </c>
      <c r="B9" s="26">
        <v>3.5</v>
      </c>
      <c r="C9" s="28">
        <v>-1.9440173333332139E-4</v>
      </c>
      <c r="D9" s="28">
        <v>2.6549783333332239E-4</v>
      </c>
      <c r="E9" s="28">
        <v>-1.505021666666703E-4</v>
      </c>
      <c r="F9" s="28">
        <v>2.7959826666665988E-4</v>
      </c>
      <c r="G9" s="28">
        <v>2.3986320000335401E-4</v>
      </c>
      <c r="H9" s="28">
        <v>4.1052986666634261E-4</v>
      </c>
      <c r="I9" s="28">
        <v>1.578632000003855E-4</v>
      </c>
      <c r="J9" s="28">
        <v>2.9397400000005791E-5</v>
      </c>
      <c r="K9" s="28">
        <v>-4.3973506666630802E-4</v>
      </c>
      <c r="L9" s="28">
        <v>7.573073333300151E-5</v>
      </c>
      <c r="M9" s="28">
        <v>-4.4080346666667408E-4</v>
      </c>
      <c r="N9" s="28">
        <v>1.5559653333332979E-4</v>
      </c>
      <c r="O9" s="28">
        <v>0.3458051965333333</v>
      </c>
      <c r="P9" s="28">
        <v>-4.2736970000034619E-4</v>
      </c>
      <c r="Q9" s="28">
        <v>-2.3373506666632399E-4</v>
      </c>
      <c r="R9" s="28">
        <v>2.042069869999999E-2</v>
      </c>
      <c r="S9" s="28">
        <v>1.198090931599997</v>
      </c>
      <c r="T9" s="28">
        <v>1.397991333333265E-4</v>
      </c>
      <c r="U9" s="28">
        <v>1.1319653333333179E-4</v>
      </c>
      <c r="V9" s="28">
        <v>-4.4080346666667408E-4</v>
      </c>
      <c r="W9" s="28">
        <v>1.3726493333365841E-4</v>
      </c>
      <c r="X9" s="28">
        <v>4.5749783333332022E-4</v>
      </c>
      <c r="Y9" s="28">
        <v>5.9397400000008038E-5</v>
      </c>
      <c r="Z9" s="28">
        <v>1.0019653333331879E-4</v>
      </c>
      <c r="AA9" s="28">
        <v>3.7029696666665562E-4</v>
      </c>
      <c r="AB9" s="28">
        <v>4.3549783333343689E-4</v>
      </c>
      <c r="AC9" s="28">
        <v>-2.1747013333366089E-4</v>
      </c>
      <c r="AD9" s="28">
        <v>2.2052986666673549E-4</v>
      </c>
      <c r="AE9" s="28">
        <v>-4.4080346666666709E-4</v>
      </c>
      <c r="AF9" s="28">
        <v>3.8139739999995542E-4</v>
      </c>
      <c r="AG9" s="28">
        <v>-2.5116883333335671E-4</v>
      </c>
      <c r="AH9" s="28">
        <v>-4.4080346666667408E-4</v>
      </c>
      <c r="AI9" s="28">
        <v>4.3363030000005692E-4</v>
      </c>
      <c r="AJ9" s="28">
        <v>-1.070303333333689E-5</v>
      </c>
      <c r="AK9" s="28">
        <v>9.2730733332990756E-5</v>
      </c>
      <c r="AL9" s="28">
        <v>-1.505021666666703E-4</v>
      </c>
      <c r="AM9" s="28">
        <v>2.729315999996651E-4</v>
      </c>
      <c r="AN9" s="28">
        <v>-4.4080346666666709E-4</v>
      </c>
      <c r="AO9" s="28">
        <v>4.5119653333333681E-4</v>
      </c>
      <c r="AP9" s="28">
        <v>-1.070303333333689E-5</v>
      </c>
      <c r="AQ9" s="28">
        <v>-2.0070303333333259E-4</v>
      </c>
      <c r="AR9" s="28">
        <v>5.155919653333333E-2</v>
      </c>
      <c r="AS9" s="28">
        <v>-4.4080346666666709E-4</v>
      </c>
      <c r="AT9" s="28">
        <v>3.3126493333365809E-4</v>
      </c>
      <c r="AU9" s="28">
        <v>-4.4080346666666709E-4</v>
      </c>
      <c r="AV9" s="28">
        <v>-2.7870303333335511E-4</v>
      </c>
      <c r="AW9" s="28">
        <v>-4.4080346666667408E-4</v>
      </c>
      <c r="AX9" s="28">
        <v>-3.8250216666667341E-4</v>
      </c>
      <c r="AY9" s="28">
        <v>-4.8847013333327277E-4</v>
      </c>
      <c r="AZ9" s="28">
        <v>4.1939739999999342E-4</v>
      </c>
      <c r="BA9" s="28">
        <v>4.1939739999999342E-4</v>
      </c>
      <c r="BB9" s="28">
        <v>4.0252986666662599E-4</v>
      </c>
      <c r="BC9" s="28">
        <v>1.3519653333332599E-4</v>
      </c>
      <c r="BD9" s="28">
        <v>-1.1196796666698711E-4</v>
      </c>
      <c r="BE9" s="28">
        <v>4.21965333333163E-5</v>
      </c>
      <c r="BF9" s="28">
        <v>-1.1550216666667E-4</v>
      </c>
      <c r="BG9" s="28">
        <v>9.3698699999991697E-5</v>
      </c>
      <c r="BH9" s="28">
        <v>-1.7350666666332559E-6</v>
      </c>
      <c r="BI9" s="28">
        <v>-4.4080346666666709E-4</v>
      </c>
      <c r="BJ9" s="28">
        <v>-1.5840173333334101E-4</v>
      </c>
      <c r="BK9" s="28">
        <v>4.239636333333574E-4</v>
      </c>
      <c r="BL9" s="28">
        <v>2.3829696666666231E-4</v>
      </c>
      <c r="BM9" s="28">
        <v>3.1793160000007092E-4</v>
      </c>
      <c r="BN9" s="28">
        <v>-1.153012999999814E-4</v>
      </c>
      <c r="BO9" s="28">
        <v>5.0989296966666667E-2</v>
      </c>
      <c r="BP9" s="28">
        <v>4.1939740000000031E-4</v>
      </c>
      <c r="BQ9" s="28">
        <v>-4.4080346666667408E-4</v>
      </c>
      <c r="BR9" s="28">
        <v>3.2529696666666608E-4</v>
      </c>
      <c r="BS9" s="28">
        <v>-8.1735066666310807E-5</v>
      </c>
      <c r="BT9" s="28">
        <v>-2.8660259999999099E-4</v>
      </c>
      <c r="BU9" s="28">
        <v>-4.4080346666666709E-4</v>
      </c>
      <c r="BV9" s="28">
        <v>4.1939739999999342E-4</v>
      </c>
      <c r="BW9" s="28">
        <v>-3.1613679999970001E-4</v>
      </c>
      <c r="BX9" s="28">
        <v>1.5963633333365701E-5</v>
      </c>
      <c r="BY9" s="28">
        <v>3.0819653333336028E-4</v>
      </c>
      <c r="BZ9" s="28">
        <v>4.1939739999999342E-4</v>
      </c>
      <c r="CA9" s="28">
        <v>-4.4080346666666709E-4</v>
      </c>
      <c r="CB9" s="28">
        <v>-3.3935933333006929E-5</v>
      </c>
      <c r="CC9" s="28">
        <v>-4.4080346666667408E-4</v>
      </c>
      <c r="CD9" s="28">
        <v>1.947307333330095E-4</v>
      </c>
      <c r="CE9" s="28">
        <v>-1.5050216666666341E-4</v>
      </c>
      <c r="CF9" s="28">
        <v>-2.1780346666666619E-4</v>
      </c>
      <c r="CG9" s="28">
        <v>-4.4080346666666709E-4</v>
      </c>
      <c r="CH9" s="28">
        <v>-1.474701333336603E-4</v>
      </c>
      <c r="CI9" s="28">
        <v>-1.2263463333297969E-4</v>
      </c>
      <c r="CJ9" s="28">
        <v>-4.7736970000036849E-4</v>
      </c>
      <c r="CK9" s="28">
        <v>-1.5050216666666341E-4</v>
      </c>
      <c r="CL9" s="28">
        <v>4.1939740000000031E-4</v>
      </c>
      <c r="CM9" s="28">
        <v>3.6973073333299022E-4</v>
      </c>
      <c r="CN9" s="28">
        <v>2.7959826666666693E-4</v>
      </c>
      <c r="CO9" s="28">
        <v>-2.952692666670087E-4</v>
      </c>
      <c r="CP9" s="28">
        <v>-4.4080346666666709E-4</v>
      </c>
      <c r="CQ9" s="28">
        <v>1.890626493333367E-2</v>
      </c>
      <c r="CR9" s="28">
        <v>3.9403203333299158E-4</v>
      </c>
      <c r="CS9" s="28">
        <v>-4.4080346666666709E-4</v>
      </c>
      <c r="CT9" s="28">
        <v>-1.0703033333329949E-5</v>
      </c>
      <c r="CU9" s="28">
        <v>0.1758692969666667</v>
      </c>
      <c r="CV9" s="28">
        <v>-2.6670303333334311E-4</v>
      </c>
      <c r="CW9" s="28">
        <v>3.5769870000000592E-4</v>
      </c>
      <c r="CX9" s="28">
        <v>1.8303203333303039E-4</v>
      </c>
      <c r="CY9" s="28">
        <v>3.6919653333333802E-4</v>
      </c>
      <c r="CZ9" s="28">
        <v>3.0659826666666612E-4</v>
      </c>
      <c r="DA9" s="28">
        <v>-4.4080346666666709E-4</v>
      </c>
      <c r="DB9" s="28">
        <v>-1.5050216666666341E-4</v>
      </c>
      <c r="DC9" s="28">
        <v>5.0365366667026727E-5</v>
      </c>
      <c r="DD9" s="28">
        <v>2.7959826666666693E-4</v>
      </c>
      <c r="DE9" s="28">
        <v>-7.7350666663478229E-6</v>
      </c>
      <c r="DF9" s="28">
        <v>0.15565263029999971</v>
      </c>
      <c r="DG9" s="28">
        <v>3.7419653333334302E-4</v>
      </c>
      <c r="DH9" s="28">
        <v>4.7386320000002841E-4</v>
      </c>
      <c r="DI9" s="28">
        <v>4.4663029999963971E-4</v>
      </c>
      <c r="DJ9" s="28">
        <v>2.3186320000040389E-4</v>
      </c>
      <c r="DK9" s="28">
        <v>-1.0703033333329949E-5</v>
      </c>
      <c r="DL9" s="28">
        <v>4.1939739999999342E-4</v>
      </c>
      <c r="DM9" s="28">
        <v>2.811965333333194E-4</v>
      </c>
      <c r="DN9" s="28">
        <v>-3.4847013333366711E-4</v>
      </c>
      <c r="DO9" s="28">
        <v>-1.9480346666667089E-4</v>
      </c>
      <c r="DP9" s="28">
        <v>4.6483116666631852E-4</v>
      </c>
      <c r="DQ9" s="28">
        <v>3.7383116666632471E-4</v>
      </c>
      <c r="DR9" s="28">
        <v>7.2183196533333327E-2</v>
      </c>
      <c r="DS9" s="28">
        <v>2.727959826666667E-2</v>
      </c>
      <c r="DT9" s="28">
        <v>2.7959826666665988E-4</v>
      </c>
      <c r="DU9" s="28">
        <v>-4.760684000000362E-4</v>
      </c>
      <c r="DV9" s="28">
        <v>-2.2053419999967791E-4</v>
      </c>
      <c r="DW9" s="28">
        <v>1.707997932284943E-2</v>
      </c>
      <c r="DX9" s="34">
        <v>2.1179174360333302</v>
      </c>
    </row>
    <row r="10" spans="1:128" x14ac:dyDescent="0.25">
      <c r="A10" s="24">
        <v>9</v>
      </c>
      <c r="B10" s="26">
        <v>4</v>
      </c>
      <c r="C10" s="28">
        <v>-7.3246266666604498E-5</v>
      </c>
      <c r="D10" s="28">
        <v>-8.4057833333251591E-5</v>
      </c>
      <c r="E10" s="28">
        <v>-8.4057833333255061E-5</v>
      </c>
      <c r="F10" s="28">
        <v>1.3275373333339341E-4</v>
      </c>
      <c r="G10" s="28">
        <v>2.6550746666679798E-4</v>
      </c>
      <c r="H10" s="28">
        <v>2.6550746666679451E-4</v>
      </c>
      <c r="I10" s="28">
        <v>2.6550746666679619E-4</v>
      </c>
      <c r="J10" s="28">
        <v>2.3513060000010519E-4</v>
      </c>
      <c r="K10" s="28">
        <v>3.4608706666741651E-4</v>
      </c>
      <c r="L10" s="28">
        <v>-3.0086939999990521E-4</v>
      </c>
      <c r="M10" s="28">
        <v>2.655074666667988E-4</v>
      </c>
      <c r="N10" s="28">
        <v>3.7217413333379129E-4</v>
      </c>
      <c r="O10" s="28">
        <v>0.1199055074666668</v>
      </c>
      <c r="P10" s="28">
        <v>2.8631903333345421E-4</v>
      </c>
      <c r="Q10" s="28">
        <v>2.254204000003979E-4</v>
      </c>
      <c r="R10" s="28">
        <v>8.7404565300000042E-2</v>
      </c>
      <c r="S10" s="28">
        <v>7.8436753733333406E-2</v>
      </c>
      <c r="T10" s="28">
        <v>4.7043533333707137E-5</v>
      </c>
      <c r="U10" s="28">
        <v>-4.964925333331982E-4</v>
      </c>
      <c r="V10" s="28">
        <v>-3.4049253333323648E-4</v>
      </c>
      <c r="W10" s="28">
        <v>-5.2246266666597367E-5</v>
      </c>
      <c r="X10" s="28">
        <v>-2.3872449999994691E-4</v>
      </c>
      <c r="Y10" s="28">
        <v>-4.0753606666650571E-4</v>
      </c>
      <c r="Z10" s="28">
        <v>2.6550746666679798E-4</v>
      </c>
      <c r="AA10" s="28">
        <v>4.8231903333343512E-4</v>
      </c>
      <c r="AB10" s="28">
        <v>2.7027549999975031E-4</v>
      </c>
      <c r="AC10" s="28">
        <v>2.7684079999978911E-4</v>
      </c>
      <c r="AD10" s="28">
        <v>4.7550746666677468E-4</v>
      </c>
      <c r="AE10" s="28">
        <v>2.6550746666679798E-4</v>
      </c>
      <c r="AF10" s="28">
        <v>1.9463933334074038E-5</v>
      </c>
      <c r="AG10" s="28">
        <v>-8.4057833333255061E-5</v>
      </c>
      <c r="AH10" s="28">
        <v>2.6550746666679712E-4</v>
      </c>
      <c r="AI10" s="28">
        <v>3.4631903333343442E-4</v>
      </c>
      <c r="AJ10" s="28">
        <v>-3.5768096666655152E-4</v>
      </c>
      <c r="AK10" s="28">
        <v>-3.0086939999990001E-4</v>
      </c>
      <c r="AL10" s="28">
        <v>4.2660883333373029E-4</v>
      </c>
      <c r="AM10" s="28">
        <v>-4.5324626666660289E-4</v>
      </c>
      <c r="AN10" s="28">
        <v>4.6350746666679038E-4</v>
      </c>
      <c r="AO10" s="28">
        <v>-4.6049253333321771E-4</v>
      </c>
      <c r="AP10" s="28">
        <v>4.8231903333343691E-4</v>
      </c>
      <c r="AQ10" s="28">
        <v>4.8231903333343512E-4</v>
      </c>
      <c r="AR10" s="28">
        <v>5.2655074666667981E-3</v>
      </c>
      <c r="AS10" s="28">
        <v>-1.6649253333320119E-4</v>
      </c>
      <c r="AT10" s="28">
        <v>4.8608706666639079E-4</v>
      </c>
      <c r="AU10" s="28">
        <v>-5.5333331994058396E-9</v>
      </c>
      <c r="AV10" s="28">
        <v>-5.4347633333562413E-5</v>
      </c>
      <c r="AW10" s="28">
        <v>2.6550746666679538E-4</v>
      </c>
      <c r="AX10" s="28">
        <v>-1.2057833333245499E-5</v>
      </c>
      <c r="AY10" s="28">
        <v>2.2850746666680519E-4</v>
      </c>
      <c r="AZ10" s="28">
        <v>-3.0086939999990521E-4</v>
      </c>
      <c r="BA10" s="28">
        <v>-3.0086939999990169E-4</v>
      </c>
      <c r="BB10" s="28">
        <v>-1.198258666665064E-4</v>
      </c>
      <c r="BC10" s="28">
        <v>1.295074666668034E-4</v>
      </c>
      <c r="BD10" s="28">
        <v>4.795653000000677E-4</v>
      </c>
      <c r="BE10" s="28">
        <v>-3.9749253333321022E-4</v>
      </c>
      <c r="BF10" s="28">
        <v>1.639421666667501E-4</v>
      </c>
      <c r="BG10" s="28">
        <v>2.1565300000053741E-5</v>
      </c>
      <c r="BH10" s="28">
        <v>3.6675373333341921E-4</v>
      </c>
      <c r="BI10" s="28">
        <v>2.8550746666680671E-4</v>
      </c>
      <c r="BJ10" s="28">
        <v>1.3275373333339341E-4</v>
      </c>
      <c r="BK10" s="28">
        <v>-2.9101429999955908E-4</v>
      </c>
      <c r="BL10" s="28">
        <v>-2.9468096666656479E-4</v>
      </c>
      <c r="BM10" s="28">
        <v>-3.6757959999959838E-4</v>
      </c>
      <c r="BN10" s="28">
        <v>-3.6876803333295288E-4</v>
      </c>
      <c r="BO10" s="28">
        <v>0.1034249857000004</v>
      </c>
      <c r="BP10" s="28">
        <v>-3.0086939999989833E-4</v>
      </c>
      <c r="BQ10" s="28">
        <v>-4.6915920000020761E-4</v>
      </c>
      <c r="BR10" s="28">
        <v>4.8231903333343512E-4</v>
      </c>
      <c r="BS10" s="28">
        <v>1.3275373333339341E-4</v>
      </c>
      <c r="BT10" s="28">
        <v>3.911306000000947E-4</v>
      </c>
      <c r="BU10" s="28">
        <v>2.655074666667988E-4</v>
      </c>
      <c r="BV10" s="28">
        <v>-3.0086939999990001E-4</v>
      </c>
      <c r="BW10" s="28">
        <v>-5.5333331994058396E-9</v>
      </c>
      <c r="BX10" s="28">
        <v>4.8231903333343431E-4</v>
      </c>
      <c r="BY10" s="28">
        <v>1.450746666681324E-5</v>
      </c>
      <c r="BZ10" s="28">
        <v>1.531306000001065E-4</v>
      </c>
      <c r="CA10" s="28">
        <v>2.6550746666679972E-4</v>
      </c>
      <c r="CB10" s="28">
        <v>-1.5586939999990759E-4</v>
      </c>
      <c r="CC10" s="28">
        <v>-2.2049253333321359E-4</v>
      </c>
      <c r="CD10" s="28">
        <v>2.1130600000099361E-5</v>
      </c>
      <c r="CE10" s="28">
        <v>-8.4057833333253326E-5</v>
      </c>
      <c r="CF10" s="28">
        <v>-3.3492533333193131E-5</v>
      </c>
      <c r="CG10" s="28">
        <v>4.2174133333780513E-5</v>
      </c>
      <c r="CH10" s="28">
        <v>2.6550746666679798E-4</v>
      </c>
      <c r="CI10" s="28">
        <v>-1.2376803333295769E-4</v>
      </c>
      <c r="CJ10" s="28">
        <v>4.8231903333343951E-4</v>
      </c>
      <c r="CK10" s="28">
        <v>8.6088333337008827E-6</v>
      </c>
      <c r="CL10" s="28">
        <v>-3.0086939999989833E-4</v>
      </c>
      <c r="CM10" s="28">
        <v>-9.3869399999890746E-5</v>
      </c>
      <c r="CN10" s="28">
        <v>4.5942040000038209E-4</v>
      </c>
      <c r="CO10" s="28">
        <v>-1.7953606666690211E-4</v>
      </c>
      <c r="CP10" s="28">
        <v>2.6550746666679972E-4</v>
      </c>
      <c r="CQ10" s="28">
        <v>6.9199420400000003E-2</v>
      </c>
      <c r="CR10" s="28">
        <v>-2.9543469999994409E-4</v>
      </c>
      <c r="CS10" s="28">
        <v>7.6840800000102516E-5</v>
      </c>
      <c r="CT10" s="28">
        <v>4.8031903333344011E-4</v>
      </c>
      <c r="CU10" s="28">
        <v>0.1246063190333334</v>
      </c>
      <c r="CV10" s="28">
        <v>9.8319033333460482E-5</v>
      </c>
      <c r="CW10" s="28">
        <v>-2.6643469999995673E-4</v>
      </c>
      <c r="CX10" s="28">
        <v>2.4889863333306389E-4</v>
      </c>
      <c r="CY10" s="28">
        <v>2.6550746666680058E-4</v>
      </c>
      <c r="CZ10" s="28">
        <v>1.327537333333968E-4</v>
      </c>
      <c r="DA10" s="28">
        <v>2.6550746666679972E-4</v>
      </c>
      <c r="DB10" s="28">
        <v>-8.4057833333251591E-5</v>
      </c>
      <c r="DC10" s="28">
        <v>-1.0243469999994539E-4</v>
      </c>
      <c r="DD10" s="28">
        <v>1.3275373333340029E-4</v>
      </c>
      <c r="DE10" s="28">
        <v>1.3275373333340029E-4</v>
      </c>
      <c r="DF10" s="28">
        <v>0.1122209857000004</v>
      </c>
      <c r="DG10" s="28">
        <v>1.138408000001933E-4</v>
      </c>
      <c r="DH10" s="28">
        <v>-4.1715920000019718E-4</v>
      </c>
      <c r="DI10" s="28">
        <v>-3.1868096666654022E-4</v>
      </c>
      <c r="DJ10" s="28">
        <v>-4.2782586666617611E-4</v>
      </c>
      <c r="DK10" s="28">
        <v>4.9298570000046171E-4</v>
      </c>
      <c r="DL10" s="28">
        <v>-3.0086939999990348E-4</v>
      </c>
      <c r="DM10" s="28">
        <v>2.6550746666680058E-4</v>
      </c>
      <c r="DN10" s="28">
        <v>-3.5149253333319891E-4</v>
      </c>
      <c r="DO10" s="28">
        <v>-2.3849253333321771E-4</v>
      </c>
      <c r="DP10" s="28">
        <v>1.9260883333374609E-4</v>
      </c>
      <c r="DQ10" s="28">
        <v>-1.9839116666625631E-4</v>
      </c>
      <c r="DR10" s="28">
        <v>2.655074666667988E-4</v>
      </c>
      <c r="DS10" s="28">
        <v>0.1513287537333334</v>
      </c>
      <c r="DT10" s="28">
        <v>1.9420400000400021E-5</v>
      </c>
      <c r="DU10" s="28">
        <v>1.327537333333968E-4</v>
      </c>
      <c r="DV10" s="28">
        <v>1.047101999999966E-4</v>
      </c>
      <c r="DW10" s="28">
        <v>6.91179098360229E-3</v>
      </c>
      <c r="DX10" s="34">
        <v>0.85706208196668399</v>
      </c>
    </row>
    <row r="11" spans="1:128" x14ac:dyDescent="0.25">
      <c r="A11" s="24">
        <v>10</v>
      </c>
      <c r="B11" s="26">
        <v>4.5</v>
      </c>
      <c r="C11" s="28">
        <v>-2.8677860000000938E-4</v>
      </c>
      <c r="D11" s="28">
        <v>2.3752674999999451E-4</v>
      </c>
      <c r="E11" s="28">
        <v>-3.5847325000001867E-4</v>
      </c>
      <c r="F11" s="28">
        <v>-2.8677860000000249E-4</v>
      </c>
      <c r="G11" s="28">
        <v>4.2644279999998203E-4</v>
      </c>
      <c r="H11" s="28">
        <v>1.1977613333298549E-4</v>
      </c>
      <c r="I11" s="28">
        <v>1.2109466666992971E-5</v>
      </c>
      <c r="J11" s="28">
        <v>1.3716543333299949E-4</v>
      </c>
      <c r="K11" s="28">
        <v>-2.8677860000000249E-4</v>
      </c>
      <c r="L11" s="28">
        <v>-4.2350123333298109E-4</v>
      </c>
      <c r="M11" s="28">
        <v>4.2644279999998203E-4</v>
      </c>
      <c r="N11" s="28">
        <v>4.2644279999998203E-4</v>
      </c>
      <c r="O11" s="28">
        <v>-2.215571999999999E-4</v>
      </c>
      <c r="P11" s="28">
        <v>-3.1186255000000001E-4</v>
      </c>
      <c r="Q11" s="28">
        <v>-2.8677859999999561E-4</v>
      </c>
      <c r="R11" s="28">
        <v>3.1063916050000001E-2</v>
      </c>
      <c r="S11" s="28">
        <v>-2.8677860000000249E-4</v>
      </c>
      <c r="T11" s="28">
        <v>-2.7338930000000977E-4</v>
      </c>
      <c r="U11" s="28">
        <v>-6.7557199999998541E-5</v>
      </c>
      <c r="V11" s="28">
        <v>4.2644279999998203E-4</v>
      </c>
      <c r="W11" s="28">
        <v>1.722140000000056E-5</v>
      </c>
      <c r="X11" s="28">
        <v>2.4952674999999258E-4</v>
      </c>
      <c r="Y11" s="28">
        <v>-4.3016789999997251E-4</v>
      </c>
      <c r="Z11" s="28">
        <v>4.2644279999998203E-4</v>
      </c>
      <c r="AA11" s="28">
        <v>-8.1862549999985046E-5</v>
      </c>
      <c r="AB11" s="28">
        <v>-8.880658333300373E-5</v>
      </c>
      <c r="AC11" s="28">
        <v>-1.4355720000000521E-4</v>
      </c>
      <c r="AD11" s="28">
        <v>2.5109466667005979E-5</v>
      </c>
      <c r="AE11" s="28">
        <v>4.2644279999998203E-4</v>
      </c>
      <c r="AF11" s="28">
        <v>-3.2316789999999729E-4</v>
      </c>
      <c r="AG11" s="28">
        <v>-4.6580658333301989E-4</v>
      </c>
      <c r="AH11" s="28">
        <v>4.2644279999998203E-4</v>
      </c>
      <c r="AI11" s="28">
        <v>-3.5552921666698317E-4</v>
      </c>
      <c r="AJ11" s="28">
        <v>4.9813744999999132E-4</v>
      </c>
      <c r="AK11" s="28">
        <v>2.4316543333301879E-4</v>
      </c>
      <c r="AL11" s="28">
        <v>-3.584732500000049E-4</v>
      </c>
      <c r="AM11" s="28">
        <v>-3.001119333329999E-4</v>
      </c>
      <c r="AN11" s="28">
        <v>4.2644279999998203E-4</v>
      </c>
      <c r="AO11" s="28">
        <v>-3.0589053333299199E-4</v>
      </c>
      <c r="AP11" s="28">
        <v>4.9813745000001908E-4</v>
      </c>
      <c r="AQ11" s="28">
        <v>4.9813745000001908E-4</v>
      </c>
      <c r="AR11" s="28">
        <v>4.2644279999998203E-4</v>
      </c>
      <c r="AS11" s="28">
        <v>4.2644279999998203E-4</v>
      </c>
      <c r="AT11" s="28">
        <v>-1.43445266667E-4</v>
      </c>
      <c r="AU11" s="28">
        <v>4.2644279999998203E-4</v>
      </c>
      <c r="AV11" s="28">
        <v>-2.9586254999999778E-4</v>
      </c>
      <c r="AW11" s="28">
        <v>4.2644280000000978E-4</v>
      </c>
      <c r="AX11" s="28">
        <v>-3.584732500000049E-4</v>
      </c>
      <c r="AY11" s="28">
        <v>4.2644279999998203E-4</v>
      </c>
      <c r="AZ11" s="28">
        <v>-4.3016790000000032E-4</v>
      </c>
      <c r="BA11" s="28">
        <v>-4.3016789999997251E-4</v>
      </c>
      <c r="BB11" s="28">
        <v>4.6442799999990569E-5</v>
      </c>
      <c r="BC11" s="28">
        <v>6.9776133332921653E-5</v>
      </c>
      <c r="BD11" s="28">
        <v>4.9991605000000369E-4</v>
      </c>
      <c r="BE11" s="28">
        <v>3.7244279999998348E-4</v>
      </c>
      <c r="BF11" s="28">
        <v>-4.8513991666699832E-4</v>
      </c>
      <c r="BG11" s="28">
        <v>4.7158271666701562E-4</v>
      </c>
      <c r="BH11" s="28">
        <v>-2.8677859999999561E-4</v>
      </c>
      <c r="BI11" s="28">
        <v>1.2844279999998931E-4</v>
      </c>
      <c r="BJ11" s="28">
        <v>-2.8677860000000938E-4</v>
      </c>
      <c r="BK11" s="28">
        <v>4.5813745000000678E-4</v>
      </c>
      <c r="BL11" s="28">
        <v>1.6780411666700301E-4</v>
      </c>
      <c r="BM11" s="28">
        <v>-2.8677859999999561E-4</v>
      </c>
      <c r="BN11" s="28">
        <v>2.8991605000000179E-4</v>
      </c>
      <c r="BO11" s="28">
        <v>-1.3119588333298379E-4</v>
      </c>
      <c r="BP11" s="28">
        <v>-4.3016789999998639E-4</v>
      </c>
      <c r="BQ11" s="28">
        <v>4.2644280000000978E-4</v>
      </c>
      <c r="BR11" s="28">
        <v>2.2813744999999891E-4</v>
      </c>
      <c r="BS11" s="28">
        <v>3.1588806666699171E-4</v>
      </c>
      <c r="BT11" s="28">
        <v>2.804987666669978E-4</v>
      </c>
      <c r="BU11" s="28">
        <v>1.4177613333297981E-4</v>
      </c>
      <c r="BV11" s="28">
        <v>-4.3016790000000032E-4</v>
      </c>
      <c r="BW11" s="28">
        <v>-1.7222386666700121E-4</v>
      </c>
      <c r="BX11" s="28">
        <v>3.7813745000001009E-4</v>
      </c>
      <c r="BY11" s="28">
        <v>4.2644279999998203E-4</v>
      </c>
      <c r="BZ11" s="28">
        <v>-4.3016790000000032E-4</v>
      </c>
      <c r="CA11" s="28">
        <v>4.2644279999998203E-4</v>
      </c>
      <c r="CB11" s="28">
        <v>3.0283210000002497E-4</v>
      </c>
      <c r="CC11" s="28">
        <v>4.9844279999998464E-4</v>
      </c>
      <c r="CD11" s="28">
        <v>-1.988345666669791E-4</v>
      </c>
      <c r="CE11" s="28">
        <v>-3.5847325000001867E-4</v>
      </c>
      <c r="CF11" s="28">
        <v>-4.9223866666725513E-5</v>
      </c>
      <c r="CG11" s="28">
        <v>4.2644280000000978E-4</v>
      </c>
      <c r="CH11" s="28">
        <v>4.7977613333330388E-4</v>
      </c>
      <c r="CI11" s="28">
        <v>-2.150839499999932E-4</v>
      </c>
      <c r="CJ11" s="28">
        <v>4.9813745000001908E-4</v>
      </c>
      <c r="CK11" s="28">
        <v>-3.584732500000049E-4</v>
      </c>
      <c r="CL11" s="28">
        <v>-4.3016789999998639E-4</v>
      </c>
      <c r="CM11" s="28">
        <v>-1.561678999999899E-4</v>
      </c>
      <c r="CN11" s="28">
        <v>1.3322140000000121E-4</v>
      </c>
      <c r="CO11" s="28">
        <v>3.9916543333300142E-4</v>
      </c>
      <c r="CP11" s="28">
        <v>3.8644280000001141E-4</v>
      </c>
      <c r="CQ11" s="28">
        <v>-2.8677859999999561E-4</v>
      </c>
      <c r="CR11" s="28">
        <v>-3.9641728333299903E-4</v>
      </c>
      <c r="CS11" s="28">
        <v>-8.2890533332991012E-5</v>
      </c>
      <c r="CT11" s="28">
        <v>1.6013745000001409E-4</v>
      </c>
      <c r="CU11" s="28">
        <v>-2.5986254999999647E-4</v>
      </c>
      <c r="CV11" s="28">
        <v>4.9813744999999132E-4</v>
      </c>
      <c r="CW11" s="28">
        <v>-2.150839499999932E-4</v>
      </c>
      <c r="CX11" s="28">
        <v>-4.910839499999986E-4</v>
      </c>
      <c r="CY11" s="28">
        <v>-4.8255719999998342E-4</v>
      </c>
      <c r="CZ11" s="28">
        <v>-2.8677860000000938E-4</v>
      </c>
      <c r="DA11" s="28">
        <v>4.2644279999998203E-4</v>
      </c>
      <c r="DB11" s="28">
        <v>-3.578065833329952E-4</v>
      </c>
      <c r="DC11" s="28">
        <v>-3.7641728333299979E-4</v>
      </c>
      <c r="DD11" s="28">
        <v>-2.8677859999999561E-4</v>
      </c>
      <c r="DE11" s="28">
        <v>-2.8677859999999561E-4</v>
      </c>
      <c r="DF11" s="28">
        <v>4.6480411666701549E-4</v>
      </c>
      <c r="DG11" s="28">
        <v>4.5477613333301531E-4</v>
      </c>
      <c r="DH11" s="28">
        <v>2.5577613333338522E-4</v>
      </c>
      <c r="DI11" s="28">
        <v>1.968041166670112E-4</v>
      </c>
      <c r="DJ11" s="28">
        <v>-4.5955719999998118E-4</v>
      </c>
      <c r="DK11" s="28">
        <v>-4.9119588333298991E-4</v>
      </c>
      <c r="DL11" s="28">
        <v>-4.3016789999998639E-4</v>
      </c>
      <c r="DM11" s="28">
        <v>1.201094666669969E-4</v>
      </c>
      <c r="DN11" s="28">
        <v>1.924427999999978E-4</v>
      </c>
      <c r="DO11" s="28">
        <v>-8.9557199999978909E-5</v>
      </c>
      <c r="DP11" s="28">
        <v>-1.924732500000054E-4</v>
      </c>
      <c r="DQ11" s="28">
        <v>-3.584732500000049E-4</v>
      </c>
      <c r="DR11" s="28">
        <v>4.2644279999998203E-4</v>
      </c>
      <c r="DS11" s="28">
        <v>-2.7744526666668989E-4</v>
      </c>
      <c r="DT11" s="28">
        <v>-4.2277859999998932E-4</v>
      </c>
      <c r="DU11" s="28">
        <v>-2.8677860000000249E-4</v>
      </c>
      <c r="DV11" s="28">
        <v>3.2961070000001041E-4</v>
      </c>
      <c r="DW11" s="28">
        <v>2.5642458642475202E-4</v>
      </c>
      <c r="DX11" s="34">
        <v>3.1796648716669242E-2</v>
      </c>
    </row>
    <row r="12" spans="1:128" x14ac:dyDescent="0.25">
      <c r="A12" s="24">
        <v>11</v>
      </c>
      <c r="B12" s="26">
        <v>5</v>
      </c>
      <c r="C12" s="28">
        <v>3.2985586666600669E-4</v>
      </c>
      <c r="D12" s="28">
        <v>-3.3768016666749218E-4</v>
      </c>
      <c r="E12" s="28">
        <v>-3.3768016666751999E-4</v>
      </c>
      <c r="F12" s="28">
        <v>3.2985586666600669E-4</v>
      </c>
      <c r="G12" s="28">
        <v>-3.402882666680429E-4</v>
      </c>
      <c r="H12" s="28">
        <v>-2.419549333347315E-4</v>
      </c>
      <c r="I12" s="28">
        <v>4.8271173333197531E-4</v>
      </c>
      <c r="J12" s="28">
        <v>-5.2162000009903231E-6</v>
      </c>
      <c r="K12" s="28">
        <v>-1.761441333339997E-4</v>
      </c>
      <c r="L12" s="28">
        <v>-5.2162000009903231E-6</v>
      </c>
      <c r="M12" s="28">
        <v>-3.4288266668014433E-5</v>
      </c>
      <c r="N12" s="28">
        <v>3.3045066665016172E-5</v>
      </c>
      <c r="O12" s="28">
        <v>2.6037839999898388E-4</v>
      </c>
      <c r="P12" s="28">
        <v>-3.4752233334434113E-5</v>
      </c>
      <c r="Q12" s="28">
        <v>-1.4381080000102489E-4</v>
      </c>
      <c r="R12" s="28">
        <v>4.0039189999949848E-4</v>
      </c>
      <c r="S12" s="28">
        <v>-4.0144133334002463E-5</v>
      </c>
      <c r="T12" s="28">
        <v>-4.3072066666996478E-5</v>
      </c>
      <c r="U12" s="28">
        <v>1.6437839999894341E-4</v>
      </c>
      <c r="V12" s="28">
        <v>1.99711733331942E-4</v>
      </c>
      <c r="W12" s="28">
        <v>-3.0147746666701197E-4</v>
      </c>
      <c r="X12" s="28">
        <v>-4.9234683333418405E-4</v>
      </c>
      <c r="Y12" s="28">
        <v>-4.7188286666799423E-4</v>
      </c>
      <c r="Z12" s="28">
        <v>-3.4028826666798739E-4</v>
      </c>
      <c r="AA12" s="28">
        <v>3.2724776666553929E-4</v>
      </c>
      <c r="AB12" s="28">
        <v>-3.3768016666751999E-4</v>
      </c>
      <c r="AC12" s="28">
        <v>-3.4028826666798739E-4</v>
      </c>
      <c r="AD12" s="28">
        <v>-1.766216000010368E-4</v>
      </c>
      <c r="AE12" s="28">
        <v>-3.4028826666798739E-4</v>
      </c>
      <c r="AF12" s="28">
        <v>-1.5021620000110761E-4</v>
      </c>
      <c r="AG12" s="28">
        <v>-3.3768016666751999E-4</v>
      </c>
      <c r="AH12" s="28">
        <v>-3.402882666680429E-4</v>
      </c>
      <c r="AI12" s="28">
        <v>-4.1608556666750118E-4</v>
      </c>
      <c r="AJ12" s="28">
        <v>-1.927522333344811E-4</v>
      </c>
      <c r="AK12" s="28">
        <v>-1.3788286666766009E-4</v>
      </c>
      <c r="AL12" s="28">
        <v>-3.3768016666751999E-4</v>
      </c>
      <c r="AM12" s="28">
        <v>-1.1614413333401601E-4</v>
      </c>
      <c r="AN12" s="28">
        <v>-2.8628826666793339E-4</v>
      </c>
      <c r="AO12" s="28">
        <v>4.4704506666498611E-4</v>
      </c>
      <c r="AP12" s="28">
        <v>3.7758109999853911E-4</v>
      </c>
      <c r="AQ12" s="28">
        <v>1.372477666655714E-4</v>
      </c>
      <c r="AR12" s="28">
        <v>-3.4028826666798739E-4</v>
      </c>
      <c r="AS12" s="28">
        <v>-3.402882666680429E-4</v>
      </c>
      <c r="AT12" s="28">
        <v>3.2985586666600669E-4</v>
      </c>
      <c r="AU12" s="28">
        <v>2.337117333319205E-4</v>
      </c>
      <c r="AV12" s="28">
        <v>-4.3675223333444762E-4</v>
      </c>
      <c r="AW12" s="28">
        <v>-3.402882666680429E-4</v>
      </c>
      <c r="AX12" s="28">
        <v>-4.1501350000050508E-4</v>
      </c>
      <c r="AY12" s="28">
        <v>4.3304506666502762E-4</v>
      </c>
      <c r="AZ12" s="28">
        <v>-5.2162000010458343E-6</v>
      </c>
      <c r="BA12" s="28">
        <v>-5.2162000010458343E-6</v>
      </c>
      <c r="BB12" s="28">
        <v>3.7771173333200903E-4</v>
      </c>
      <c r="BC12" s="28">
        <v>4.3304506666502762E-4</v>
      </c>
      <c r="BD12" s="28">
        <v>-1.0941433333501451E-5</v>
      </c>
      <c r="BE12" s="28">
        <v>-4.3028826666802189E-4</v>
      </c>
      <c r="BF12" s="28">
        <v>-3.3768016666749218E-4</v>
      </c>
      <c r="BG12" s="28">
        <v>-1.3860810000051671E-4</v>
      </c>
      <c r="BH12" s="28">
        <v>3.298558666660345E-4</v>
      </c>
      <c r="BI12" s="28">
        <v>-4.2628826666801789E-4</v>
      </c>
      <c r="BJ12" s="28">
        <v>-1.08144133334015E-4</v>
      </c>
      <c r="BK12" s="28">
        <v>2.2558109999881731E-4</v>
      </c>
      <c r="BL12" s="28">
        <v>3.2724776666553929E-4</v>
      </c>
      <c r="BM12" s="28">
        <v>1.6052253333299901E-4</v>
      </c>
      <c r="BN12" s="28">
        <v>-4.8594143333350459E-4</v>
      </c>
      <c r="BO12" s="28">
        <v>6.0581099998957548E-5</v>
      </c>
      <c r="BP12" s="28">
        <v>-5.2162000010458343E-6</v>
      </c>
      <c r="BQ12" s="28">
        <v>3.9904506666527118E-4</v>
      </c>
      <c r="BR12" s="28">
        <v>3.2724776666553929E-4</v>
      </c>
      <c r="BS12" s="28">
        <v>-2.5477466666992691E-5</v>
      </c>
      <c r="BT12" s="28">
        <v>-5.2162000009903231E-6</v>
      </c>
      <c r="BU12" s="28">
        <v>-3.402882666680429E-4</v>
      </c>
      <c r="BV12" s="28">
        <v>-5.2162000010458343E-6</v>
      </c>
      <c r="BW12" s="28">
        <v>3.8304506666503308E-4</v>
      </c>
      <c r="BX12" s="28">
        <v>8.7247766665521365E-5</v>
      </c>
      <c r="BY12" s="28">
        <v>3.6271173333196632E-4</v>
      </c>
      <c r="BZ12" s="28">
        <v>-1.2121620000102309E-4</v>
      </c>
      <c r="CA12" s="28">
        <v>-3.4028826666798739E-4</v>
      </c>
      <c r="CB12" s="28">
        <v>-5.2162000010458343E-6</v>
      </c>
      <c r="CC12" s="28">
        <v>4.4804506666540339E-4</v>
      </c>
      <c r="CD12" s="28">
        <v>-1.3921620000101331E-4</v>
      </c>
      <c r="CE12" s="28">
        <v>-3.3768016666751999E-4</v>
      </c>
      <c r="CF12" s="28">
        <v>2.5871173333202879E-4</v>
      </c>
      <c r="CG12" s="28">
        <v>-3.4028826666798739E-4</v>
      </c>
      <c r="CH12" s="28">
        <v>-1.002882666680249E-4</v>
      </c>
      <c r="CI12" s="28">
        <v>-3.0860810000049588E-4</v>
      </c>
      <c r="CJ12" s="28">
        <v>-1.3941890000146451E-4</v>
      </c>
      <c r="CK12" s="28">
        <v>-1.823468333344985E-4</v>
      </c>
      <c r="CL12" s="28">
        <v>-5.2162000010458343E-6</v>
      </c>
      <c r="CM12" s="28">
        <v>-1.2188286666803271E-4</v>
      </c>
      <c r="CN12" s="28">
        <v>3.2985586666600669E-4</v>
      </c>
      <c r="CO12" s="28">
        <v>2.9450466665997821E-5</v>
      </c>
      <c r="CP12" s="28">
        <v>-3.402882666680429E-4</v>
      </c>
      <c r="CQ12" s="28">
        <v>2.318919999898424E-5</v>
      </c>
      <c r="CR12" s="28">
        <v>3.3339189999949392E-4</v>
      </c>
      <c r="CS12" s="28">
        <v>-3.4028826666798739E-4</v>
      </c>
      <c r="CT12" s="28">
        <v>3.2724776666548378E-4</v>
      </c>
      <c r="CU12" s="28">
        <v>4.3247766665505123E-5</v>
      </c>
      <c r="CV12" s="28">
        <v>3.2724776666548378E-4</v>
      </c>
      <c r="CW12" s="28">
        <v>-2.608100000495162E-6</v>
      </c>
      <c r="CX12" s="28">
        <v>-2.6081000005090389E-6</v>
      </c>
      <c r="CY12" s="28">
        <v>-3.7328826666799259E-4</v>
      </c>
      <c r="CZ12" s="28">
        <v>3.2985586666597899E-4</v>
      </c>
      <c r="DA12" s="28">
        <v>-3.4028826666798739E-4</v>
      </c>
      <c r="DB12" s="28">
        <v>-3.3768016666751999E-4</v>
      </c>
      <c r="DC12" s="28">
        <v>-2.1294143333350921E-4</v>
      </c>
      <c r="DD12" s="28">
        <v>2.5918919999901041E-4</v>
      </c>
      <c r="DE12" s="28">
        <v>3.2985586666597899E-4</v>
      </c>
      <c r="DF12" s="28">
        <v>-1.9708556666747651E-4</v>
      </c>
      <c r="DG12" s="28">
        <v>2.9471173333200928E-4</v>
      </c>
      <c r="DH12" s="28">
        <v>6.2378399999007961E-5</v>
      </c>
      <c r="DI12" s="28">
        <v>1.9591443333247249E-4</v>
      </c>
      <c r="DJ12" s="28">
        <v>7.7117333319720593E-6</v>
      </c>
      <c r="DK12" s="28">
        <v>3.2724776666548378E-4</v>
      </c>
      <c r="DL12" s="28">
        <v>-5.2162000009903231E-6</v>
      </c>
      <c r="DM12" s="28">
        <v>3.8171173333201303E-4</v>
      </c>
      <c r="DN12" s="28">
        <v>3.6904506666496362E-4</v>
      </c>
      <c r="DO12" s="28">
        <v>2.5711733331990061E-5</v>
      </c>
      <c r="DP12" s="28">
        <v>-1.010135000008017E-4</v>
      </c>
      <c r="DQ12" s="28">
        <v>-3.3768016666751999E-4</v>
      </c>
      <c r="DR12" s="28">
        <v>-4.0828826666799989E-4</v>
      </c>
      <c r="DS12" s="28">
        <v>4.0452253333270177E-4</v>
      </c>
      <c r="DT12" s="28">
        <v>3.2985586666597899E-4</v>
      </c>
      <c r="DU12" s="28">
        <v>-2.2681080000101769E-4</v>
      </c>
      <c r="DV12" s="28">
        <v>3.722612666659901E-4</v>
      </c>
      <c r="DW12" s="28">
        <v>-2.1419301882753271E-5</v>
      </c>
      <c r="DX12" s="34">
        <v>-2.6559934334614058E-3</v>
      </c>
    </row>
    <row r="13" spans="1:128" x14ac:dyDescent="0.25">
      <c r="A13" s="24">
        <v>12</v>
      </c>
      <c r="B13" s="26">
        <v>5.5</v>
      </c>
      <c r="C13" s="28">
        <v>3.9101173333402911E-4</v>
      </c>
      <c r="D13" s="28">
        <v>-9.923533333244805E-5</v>
      </c>
      <c r="E13" s="28">
        <v>3.387646666675459E-4</v>
      </c>
      <c r="F13" s="28">
        <v>7.1011733334014338E-5</v>
      </c>
      <c r="G13" s="28">
        <v>2.115234666680843E-4</v>
      </c>
      <c r="H13" s="28">
        <v>2.0702346666789939E-4</v>
      </c>
      <c r="I13" s="28">
        <v>1.420234666681397E-4</v>
      </c>
      <c r="J13" s="28">
        <v>2.5585093333402309E-4</v>
      </c>
      <c r="K13" s="28">
        <v>7.1011733334014338E-5</v>
      </c>
      <c r="L13" s="28">
        <v>-3.9348239999892343E-4</v>
      </c>
      <c r="M13" s="28">
        <v>4.1602346666791412E-4</v>
      </c>
      <c r="N13" s="28">
        <v>1.420234666680287E-4</v>
      </c>
      <c r="O13" s="28">
        <v>1.420234666680287E-4</v>
      </c>
      <c r="P13" s="28">
        <v>-1.2572946666533641E-4</v>
      </c>
      <c r="Q13" s="28">
        <v>1.196784000007112E-4</v>
      </c>
      <c r="R13" s="28">
        <v>5.7758800000501383E-5</v>
      </c>
      <c r="S13" s="28">
        <v>3.970117333340073E-4</v>
      </c>
      <c r="T13" s="28">
        <v>-3.7616079999999719E-4</v>
      </c>
      <c r="U13" s="28">
        <v>-3.4797653333207279E-4</v>
      </c>
      <c r="V13" s="28">
        <v>-3.9765333319508036E-6</v>
      </c>
      <c r="W13" s="28">
        <v>7.1011733334014338E-5</v>
      </c>
      <c r="X13" s="28">
        <v>3.387646666675459E-4</v>
      </c>
      <c r="Y13" s="28">
        <v>-3.9348239999892343E-4</v>
      </c>
      <c r="Z13" s="28">
        <v>1.0023466668007691E-5</v>
      </c>
      <c r="AA13" s="28">
        <v>-3.8972946666548941E-4</v>
      </c>
      <c r="AB13" s="28">
        <v>-2.6656866666546758E-4</v>
      </c>
      <c r="AC13" s="28">
        <v>-1.4597653333192631E-4</v>
      </c>
      <c r="AD13" s="28">
        <v>1.2569013333496579E-4</v>
      </c>
      <c r="AE13" s="28">
        <v>1.420234666681397E-4</v>
      </c>
      <c r="AF13" s="28">
        <v>3.1651760000100948E-4</v>
      </c>
      <c r="AG13" s="28">
        <v>3.3876466666749039E-4</v>
      </c>
      <c r="AH13" s="28">
        <v>1.420234666680287E-4</v>
      </c>
      <c r="AI13" s="28">
        <v>-2.5062799998476489E-5</v>
      </c>
      <c r="AJ13" s="28">
        <v>-4.4572946666543428E-4</v>
      </c>
      <c r="AK13" s="28">
        <v>-3.9348239999892343E-4</v>
      </c>
      <c r="AL13" s="28">
        <v>-1.5056866666546259E-4</v>
      </c>
      <c r="AM13" s="28">
        <v>3.5101173333407232E-4</v>
      </c>
      <c r="AN13" s="28">
        <v>2.8602346666795059E-4</v>
      </c>
      <c r="AO13" s="28">
        <v>2.863568000009975E-4</v>
      </c>
      <c r="AP13" s="28">
        <v>-1.257294666654474E-4</v>
      </c>
      <c r="AQ13" s="28">
        <v>-1.257294666654474E-4</v>
      </c>
      <c r="AR13" s="28">
        <v>2.5302346666788988E-4</v>
      </c>
      <c r="AS13" s="28">
        <v>1.420234666681397E-4</v>
      </c>
      <c r="AT13" s="28">
        <v>-4.3232159999900821E-4</v>
      </c>
      <c r="AU13" s="28">
        <v>3.9469013333515163E-4</v>
      </c>
      <c r="AV13" s="28">
        <v>-3.723961333324532E-4</v>
      </c>
      <c r="AW13" s="28">
        <v>1.420234666680287E-4</v>
      </c>
      <c r="AX13" s="28">
        <v>3.3876466666749039E-4</v>
      </c>
      <c r="AY13" s="28">
        <v>1.420234666680287E-4</v>
      </c>
      <c r="AZ13" s="28">
        <v>-3.9348239999892343E-4</v>
      </c>
      <c r="BA13" s="28">
        <v>-3.9348239999892343E-4</v>
      </c>
      <c r="BB13" s="28">
        <v>-3.7797653333193631E-4</v>
      </c>
      <c r="BC13" s="28">
        <v>1.420234666680287E-4</v>
      </c>
      <c r="BD13" s="28">
        <v>-1.6040786666646911E-4</v>
      </c>
      <c r="BE13" s="28">
        <v>1.7802346666806471E-4</v>
      </c>
      <c r="BF13" s="28">
        <v>-3.5123533333247797E-4</v>
      </c>
      <c r="BG13" s="28">
        <v>-4.7411999994917409E-6</v>
      </c>
      <c r="BH13" s="28">
        <v>2.36784000010315E-5</v>
      </c>
      <c r="BI13" s="28">
        <v>-4.9976533331941297E-5</v>
      </c>
      <c r="BJ13" s="28">
        <v>7.1011733334014338E-5</v>
      </c>
      <c r="BK13" s="28">
        <v>2.8727053333454927E-4</v>
      </c>
      <c r="BL13" s="28">
        <v>4.3827053333456162E-4</v>
      </c>
      <c r="BM13" s="28">
        <v>7.1011733334014338E-5</v>
      </c>
      <c r="BN13" s="28">
        <v>-1.967411999994895E-4</v>
      </c>
      <c r="BO13" s="28">
        <v>-2.6172946666552788E-4</v>
      </c>
      <c r="BP13" s="28">
        <v>-3.9348239999892343E-4</v>
      </c>
      <c r="BQ13" s="28">
        <v>-3.3197653333205679E-4</v>
      </c>
      <c r="BR13" s="28">
        <v>4.2270533334554112E-5</v>
      </c>
      <c r="BS13" s="28">
        <v>7.1011733334014338E-5</v>
      </c>
      <c r="BT13" s="28">
        <v>1.891842666680299E-4</v>
      </c>
      <c r="BU13" s="28">
        <v>1.420234666680287E-4</v>
      </c>
      <c r="BV13" s="28">
        <v>-3.9348239999892343E-4</v>
      </c>
      <c r="BW13" s="28">
        <v>1.420234666681397E-4</v>
      </c>
      <c r="BX13" s="28">
        <v>-1.257294666654474E-4</v>
      </c>
      <c r="BY13" s="28">
        <v>-6.2976533331982054E-5</v>
      </c>
      <c r="BZ13" s="28">
        <v>1.76517600001036E-4</v>
      </c>
      <c r="CA13" s="28">
        <v>1.420234666680287E-4</v>
      </c>
      <c r="CB13" s="28">
        <v>3.8517600001009011E-5</v>
      </c>
      <c r="CC13" s="28">
        <v>-6.0309866664942653E-5</v>
      </c>
      <c r="CD13" s="28">
        <v>-3.9348239999892343E-4</v>
      </c>
      <c r="CE13" s="28">
        <v>3.387646666675459E-4</v>
      </c>
      <c r="CF13" s="28">
        <v>2.1335680000100779E-4</v>
      </c>
      <c r="CG13" s="28">
        <v>-4.6130986666526042E-4</v>
      </c>
      <c r="CH13" s="28">
        <v>1.420234666680287E-4</v>
      </c>
      <c r="CI13" s="28">
        <v>-1.967411999995172E-4</v>
      </c>
      <c r="CJ13" s="28">
        <v>7.4270533334530597E-5</v>
      </c>
      <c r="CK13" s="28">
        <v>2.7609800000055751E-4</v>
      </c>
      <c r="CL13" s="28">
        <v>-3.9348239999892343E-4</v>
      </c>
      <c r="CM13" s="28">
        <v>-2.1148239999896351E-4</v>
      </c>
      <c r="CN13" s="28">
        <v>7.1011733334014338E-5</v>
      </c>
      <c r="CO13" s="28">
        <v>-1.921490666660364E-4</v>
      </c>
      <c r="CP13" s="28">
        <v>1.420234666681397E-4</v>
      </c>
      <c r="CQ13" s="28">
        <v>7.1011733334014338E-5</v>
      </c>
      <c r="CR13" s="28">
        <v>-4.5927453333277629E-4</v>
      </c>
      <c r="CS13" s="28">
        <v>1.420234666680287E-4</v>
      </c>
      <c r="CT13" s="28">
        <v>-1.257294666654474E-4</v>
      </c>
      <c r="CU13" s="28">
        <v>-4.1372946666545779E-4</v>
      </c>
      <c r="CV13" s="28">
        <v>-1.2572946666533641E-4</v>
      </c>
      <c r="CW13" s="28">
        <v>-1.9674119999946171E-4</v>
      </c>
      <c r="CX13" s="28">
        <v>-8.3407866666497001E-5</v>
      </c>
      <c r="CY13" s="28">
        <v>1.420234666680287E-4</v>
      </c>
      <c r="CZ13" s="28">
        <v>7.1011733334014338E-5</v>
      </c>
      <c r="DA13" s="28">
        <v>1.420234666680287E-4</v>
      </c>
      <c r="DB13" s="28">
        <v>-2.3223533333244231E-4</v>
      </c>
      <c r="DC13" s="28">
        <v>4.4159213333352931E-4</v>
      </c>
      <c r="DD13" s="28">
        <v>1.256784000007172E-4</v>
      </c>
      <c r="DE13" s="28">
        <v>-2.1632159999900041E-4</v>
      </c>
      <c r="DF13" s="28">
        <v>-2.99396133332408E-4</v>
      </c>
      <c r="DG13" s="28">
        <v>1.420234666681397E-4</v>
      </c>
      <c r="DH13" s="28">
        <v>1.420234666681397E-4</v>
      </c>
      <c r="DI13" s="28">
        <v>8.160386666750119E-5</v>
      </c>
      <c r="DJ13" s="28">
        <v>1.420234666680287E-4</v>
      </c>
      <c r="DK13" s="28">
        <v>-1.043961333324073E-4</v>
      </c>
      <c r="DL13" s="28">
        <v>-3.9348239999897888E-4</v>
      </c>
      <c r="DM13" s="28">
        <v>-4.8464319999896871E-4</v>
      </c>
      <c r="DN13" s="28">
        <v>1.420234666680287E-4</v>
      </c>
      <c r="DO13" s="28">
        <v>-6.4319999903972302E-7</v>
      </c>
      <c r="DP13" s="28">
        <v>-2.8990199999948119E-4</v>
      </c>
      <c r="DQ13" s="28">
        <v>-1.2323533333252759E-4</v>
      </c>
      <c r="DR13" s="28">
        <v>1.420234666680287E-4</v>
      </c>
      <c r="DS13" s="28">
        <v>2.016784000010152E-4</v>
      </c>
      <c r="DT13" s="28">
        <v>7.1011733334014338E-5</v>
      </c>
      <c r="DU13" s="28">
        <v>-4.856549333329685E-4</v>
      </c>
      <c r="DV13" s="28">
        <v>-2.5116079999999361E-4</v>
      </c>
      <c r="DW13" s="28">
        <v>-1.5400902149495019E-5</v>
      </c>
      <c r="DX13" s="34">
        <v>-1.9097118665373819E-3</v>
      </c>
    </row>
    <row r="14" spans="1:128" x14ac:dyDescent="0.25">
      <c r="A14" s="24">
        <v>13</v>
      </c>
      <c r="B14" s="26">
        <v>6</v>
      </c>
      <c r="C14" s="28">
        <v>4.0703666665919958E-5</v>
      </c>
      <c r="D14" s="28">
        <v>8.4879583332475583E-5</v>
      </c>
      <c r="E14" s="28">
        <v>5.0879583332608107E-5</v>
      </c>
      <c r="F14" s="28">
        <v>4.0703666665975469E-5</v>
      </c>
      <c r="G14" s="28">
        <v>-1.452593333349794E-4</v>
      </c>
      <c r="H14" s="28">
        <v>3.7407399999866969E-4</v>
      </c>
      <c r="I14" s="28">
        <v>8.1407333331950937E-5</v>
      </c>
      <c r="J14" s="28">
        <v>-5.5944500001126052E-5</v>
      </c>
      <c r="K14" s="28">
        <v>-4.2862966666734609E-4</v>
      </c>
      <c r="L14" s="28">
        <v>6.7722166665840078E-5</v>
      </c>
      <c r="M14" s="28">
        <v>8.1407333331950937E-5</v>
      </c>
      <c r="N14" s="28">
        <v>8.1407333331728893E-5</v>
      </c>
      <c r="O14" s="28">
        <v>3.407399999888483E-5</v>
      </c>
      <c r="P14" s="28">
        <v>-1.5768583334518919E-5</v>
      </c>
      <c r="Q14" s="28">
        <v>2.7270366666598539E-4</v>
      </c>
      <c r="R14" s="28">
        <v>0.92715119441666949</v>
      </c>
      <c r="S14" s="28">
        <v>4.7537033333261419E-4</v>
      </c>
      <c r="T14" s="28">
        <v>-1.296481666670235E-4</v>
      </c>
      <c r="U14" s="28">
        <v>8.140733333206196E-5</v>
      </c>
      <c r="V14" s="28">
        <v>8.1407333331950937E-5</v>
      </c>
      <c r="W14" s="28">
        <v>3.6670366666596838E-4</v>
      </c>
      <c r="X14" s="28">
        <v>-4.9045375000089653E-4</v>
      </c>
      <c r="Y14" s="28">
        <v>-4.0561116666804059E-4</v>
      </c>
      <c r="Z14" s="28">
        <v>4.7140733333195239E-4</v>
      </c>
      <c r="AA14" s="28">
        <v>-2.4476858333466472E-4</v>
      </c>
      <c r="AB14" s="28">
        <v>-1.337870833345578E-4</v>
      </c>
      <c r="AC14" s="28">
        <v>-1.8925933333480141E-4</v>
      </c>
      <c r="AD14" s="28">
        <v>-2.5859266666805603E-4</v>
      </c>
      <c r="AE14" s="28">
        <v>3.2500733333185039E-4</v>
      </c>
      <c r="AF14" s="28">
        <v>3.1305549999882659E-4</v>
      </c>
      <c r="AG14" s="28">
        <v>-5.645375000057351E-5</v>
      </c>
      <c r="AH14" s="28">
        <v>8.1407333331950937E-5</v>
      </c>
      <c r="AI14" s="28">
        <v>3.7323141666545379E-4</v>
      </c>
      <c r="AJ14" s="28">
        <v>7.1231416665429315E-5</v>
      </c>
      <c r="AK14" s="28">
        <v>3.1638883333229279E-4</v>
      </c>
      <c r="AL14" s="28">
        <v>5.0879583332497091E-5</v>
      </c>
      <c r="AM14" s="28">
        <v>2.6637033333293259E-4</v>
      </c>
      <c r="AN14" s="28">
        <v>8.1407333331728893E-5</v>
      </c>
      <c r="AO14" s="28">
        <v>4.3140733333180142E-4</v>
      </c>
      <c r="AP14" s="28">
        <v>7.1231416665429315E-5</v>
      </c>
      <c r="AQ14" s="28">
        <v>-1.187685833347052E-4</v>
      </c>
      <c r="AR14" s="28">
        <v>4.5140733333193239E-4</v>
      </c>
      <c r="AS14" s="28">
        <v>-3.5059266666803701E-4</v>
      </c>
      <c r="AT14" s="28">
        <v>4.0703666665919958E-5</v>
      </c>
      <c r="AU14" s="28">
        <v>8.1407333331950937E-5</v>
      </c>
      <c r="AV14" s="28">
        <v>3.0723141666544329E-4</v>
      </c>
      <c r="AW14" s="28">
        <v>8.1407333331950937E-5</v>
      </c>
      <c r="AX14" s="28">
        <v>-2.6453750000599019E-5</v>
      </c>
      <c r="AY14" s="28">
        <v>8.1407333331950937E-5</v>
      </c>
      <c r="AZ14" s="28">
        <v>6.1055499998907692E-5</v>
      </c>
      <c r="BA14" s="28">
        <v>6.1055499998907692E-5</v>
      </c>
      <c r="BB14" s="28">
        <v>-2.7359266666815429E-4</v>
      </c>
      <c r="BC14" s="28">
        <v>8.1407333331950937E-5</v>
      </c>
      <c r="BD14" s="28">
        <v>3.0527749999342817E-5</v>
      </c>
      <c r="BE14" s="28">
        <v>8.1407333331950937E-5</v>
      </c>
      <c r="BF14" s="28">
        <v>-1.16787083334513E-4</v>
      </c>
      <c r="BG14" s="28">
        <v>4.5719441666638988E-4</v>
      </c>
      <c r="BH14" s="28">
        <v>4.0703666665919958E-5</v>
      </c>
      <c r="BI14" s="28">
        <v>8.1407333331839915E-5</v>
      </c>
      <c r="BJ14" s="28">
        <v>-2.51296333334039E-4</v>
      </c>
      <c r="BK14" s="28">
        <v>7.1231416665429315E-5</v>
      </c>
      <c r="BL14" s="28">
        <v>3.9989808333240617E-4</v>
      </c>
      <c r="BM14" s="28">
        <v>4.1003699999894733E-4</v>
      </c>
      <c r="BN14" s="28">
        <v>-1.708055833336275E-4</v>
      </c>
      <c r="BO14" s="28">
        <v>1.7256474999871599E-4</v>
      </c>
      <c r="BP14" s="28">
        <v>6.1055499998907692E-5</v>
      </c>
      <c r="BQ14" s="28">
        <v>8.1407333331728893E-5</v>
      </c>
      <c r="BR14" s="28">
        <v>2.3923141666537531E-4</v>
      </c>
      <c r="BS14" s="28">
        <v>2.8337033333293571E-4</v>
      </c>
      <c r="BT14" s="28">
        <v>2.8438883333181669E-4</v>
      </c>
      <c r="BU14" s="28">
        <v>-2.0325933333509291E-4</v>
      </c>
      <c r="BV14" s="28">
        <v>6.1055499999018714E-5</v>
      </c>
      <c r="BW14" s="28">
        <v>-2.2926000001199931E-5</v>
      </c>
      <c r="BX14" s="28">
        <v>7.1231416665429315E-5</v>
      </c>
      <c r="BY14" s="28">
        <v>8.1407333331950937E-5</v>
      </c>
      <c r="BZ14" s="28">
        <v>-2.8194450000118548E-4</v>
      </c>
      <c r="CA14" s="28">
        <v>8.1407333331839915E-5</v>
      </c>
      <c r="CB14" s="28">
        <v>-4.9294450000114676E-4</v>
      </c>
      <c r="CC14" s="28">
        <v>-4.8859266666811951E-4</v>
      </c>
      <c r="CD14" s="28">
        <v>6.1055499998907692E-5</v>
      </c>
      <c r="CE14" s="28">
        <v>5.0879583332497091E-5</v>
      </c>
      <c r="CF14" s="28">
        <v>-4.3059266666811702E-4</v>
      </c>
      <c r="CG14" s="28">
        <v>4.6140733333188688E-4</v>
      </c>
      <c r="CH14" s="28">
        <v>-1.3859266666804701E-4</v>
      </c>
      <c r="CI14" s="28">
        <v>2.5527749999393331E-5</v>
      </c>
      <c r="CJ14" s="28">
        <v>7.1231416665429315E-5</v>
      </c>
      <c r="CK14" s="28">
        <v>3.8487958333255362E-4</v>
      </c>
      <c r="CL14" s="28">
        <v>6.1055499998907692E-5</v>
      </c>
      <c r="CM14" s="28">
        <v>-1.169445000011038E-4</v>
      </c>
      <c r="CN14" s="28">
        <v>-5.2629666667081132E-5</v>
      </c>
      <c r="CO14" s="28">
        <v>6.1055499998907692E-5</v>
      </c>
      <c r="CP14" s="28">
        <v>2.6340733333196642E-4</v>
      </c>
      <c r="CQ14" s="28">
        <v>9.4036999998881043E-5</v>
      </c>
      <c r="CR14" s="28">
        <v>2.6869441666635407E-4</v>
      </c>
      <c r="CS14" s="28">
        <v>1.3807399999898881E-4</v>
      </c>
      <c r="CT14" s="28">
        <v>-2.6876858333457759E-4</v>
      </c>
      <c r="CU14" s="28">
        <v>4.5231416665347801E-5</v>
      </c>
      <c r="CV14" s="28">
        <v>4.3123141666545628E-4</v>
      </c>
      <c r="CW14" s="28">
        <v>3.2652774999936129E-4</v>
      </c>
      <c r="CX14" s="28">
        <v>2.8719441666608109E-4</v>
      </c>
      <c r="CY14" s="28">
        <v>8.1407333331950937E-5</v>
      </c>
      <c r="CZ14" s="28">
        <v>2.7770366666596269E-4</v>
      </c>
      <c r="DA14" s="28">
        <v>8.1407333331839915E-5</v>
      </c>
      <c r="DB14" s="28">
        <v>-3.7745375000075582E-4</v>
      </c>
      <c r="DC14" s="28">
        <v>-2.9147225000059063E-4</v>
      </c>
      <c r="DD14" s="28">
        <v>4.0703666665919958E-5</v>
      </c>
      <c r="DE14" s="28">
        <v>3.0537033333261082E-4</v>
      </c>
      <c r="DF14" s="28">
        <v>7.1231416665429315E-5</v>
      </c>
      <c r="DG14" s="28">
        <v>4.1307399999890299E-4</v>
      </c>
      <c r="DH14" s="28">
        <v>3.1340733333184989E-4</v>
      </c>
      <c r="DI14" s="28">
        <v>-3.6076858333466971E-4</v>
      </c>
      <c r="DJ14" s="28">
        <v>-1.892593333351344E-4</v>
      </c>
      <c r="DK14" s="28">
        <v>7.1231416665540337E-5</v>
      </c>
      <c r="DL14" s="28">
        <v>6.1055499998907692E-5</v>
      </c>
      <c r="DM14" s="28">
        <v>-2.402593333350467E-4</v>
      </c>
      <c r="DN14" s="28">
        <v>8.1407333331950937E-5</v>
      </c>
      <c r="DO14" s="28">
        <v>8.1407333331950937E-5</v>
      </c>
      <c r="DP14" s="28">
        <v>-1.144537500008536E-4</v>
      </c>
      <c r="DQ14" s="28">
        <v>-7.7120416667519898E-5</v>
      </c>
      <c r="DR14" s="28">
        <v>4.834073333319644E-4</v>
      </c>
      <c r="DS14" s="28">
        <v>4.0703666665975469E-5</v>
      </c>
      <c r="DT14" s="28">
        <v>-2.0862966666707061E-4</v>
      </c>
      <c r="DU14" s="28">
        <v>4.0703666665975469E-5</v>
      </c>
      <c r="DV14" s="28">
        <v>1.89351833333018E-4</v>
      </c>
      <c r="DW14" s="28">
        <v>7.5314649818537761E-3</v>
      </c>
      <c r="DX14" s="34">
        <v>0.93390165774986822</v>
      </c>
    </row>
    <row r="15" spans="1:128" x14ac:dyDescent="0.25">
      <c r="A15" s="24">
        <v>14</v>
      </c>
      <c r="B15" s="26">
        <v>6.5</v>
      </c>
      <c r="C15" s="28">
        <v>1.294161333340593E-4</v>
      </c>
      <c r="D15" s="28">
        <v>4.1177016666760208E-4</v>
      </c>
      <c r="E15" s="28">
        <v>4.1177016666760208E-4</v>
      </c>
      <c r="F15" s="28">
        <v>1.294161333339483E-4</v>
      </c>
      <c r="G15" s="28">
        <v>2.5883226666811859E-4</v>
      </c>
      <c r="H15" s="28">
        <v>-4.7283439999801219E-4</v>
      </c>
      <c r="I15" s="28">
        <v>-3.8116773333207732E-4</v>
      </c>
      <c r="J15" s="28">
        <v>2.6479086666808538E-4</v>
      </c>
      <c r="K15" s="28">
        <v>9.2749466666985914E-5</v>
      </c>
      <c r="L15" s="28">
        <v>-3.0587579999896702E-4</v>
      </c>
      <c r="M15" s="28">
        <v>-1.6116773333196829E-4</v>
      </c>
      <c r="N15" s="28">
        <v>-1.657677333319896E-4</v>
      </c>
      <c r="O15" s="28">
        <v>-6.5167733331872313E-5</v>
      </c>
      <c r="P15" s="28">
        <v>-1.3485509999788811E-4</v>
      </c>
      <c r="Q15" s="28">
        <v>3.0641613333404211E-4</v>
      </c>
      <c r="R15" s="28">
        <v>4.7056210000050169E-4</v>
      </c>
      <c r="S15" s="28">
        <v>1.094946666702068E-5</v>
      </c>
      <c r="T15" s="28">
        <v>-1.9062526666599469E-4</v>
      </c>
      <c r="U15" s="28">
        <v>-2.2716773333186779E-4</v>
      </c>
      <c r="V15" s="28">
        <v>2.588322666678966E-4</v>
      </c>
      <c r="W15" s="28">
        <v>1.6308280000099101E-4</v>
      </c>
      <c r="X15" s="28">
        <v>4.0643683333463349E-4</v>
      </c>
      <c r="Y15" s="28">
        <v>-3.0587579999896702E-4</v>
      </c>
      <c r="Z15" s="28">
        <v>-2.6316773333201482E-4</v>
      </c>
      <c r="AA15" s="28">
        <v>-1.6188433332064989E-5</v>
      </c>
      <c r="AB15" s="28">
        <v>-1.258964999995005E-4</v>
      </c>
      <c r="AC15" s="28">
        <v>-7.5834399999141766E-5</v>
      </c>
      <c r="AD15" s="28">
        <v>-8.78343999988207E-5</v>
      </c>
      <c r="AE15" s="28">
        <v>-4.9383440000197454E-4</v>
      </c>
      <c r="AF15" s="28">
        <v>-3.0587579999896702E-4</v>
      </c>
      <c r="AG15" s="28">
        <v>4.1177016666738009E-4</v>
      </c>
      <c r="AH15" s="28">
        <v>2.5883226666811859E-4</v>
      </c>
      <c r="AI15" s="28">
        <v>-1.5918843333162511E-4</v>
      </c>
      <c r="AJ15" s="28">
        <v>3.3647823333504689E-4</v>
      </c>
      <c r="AK15" s="28">
        <v>2.3479086666799989E-4</v>
      </c>
      <c r="AL15" s="28">
        <v>4.1177016666760208E-4</v>
      </c>
      <c r="AM15" s="28">
        <v>1.644161333338445E-4</v>
      </c>
      <c r="AN15" s="28">
        <v>4.5683226666803911E-4</v>
      </c>
      <c r="AO15" s="28">
        <v>1.5083226666812169E-4</v>
      </c>
      <c r="AP15" s="28">
        <v>-2.3521766665091089E-5</v>
      </c>
      <c r="AQ15" s="28">
        <v>-2.3521766665091089E-5</v>
      </c>
      <c r="AR15" s="28">
        <v>4.8832266668075157E-5</v>
      </c>
      <c r="AS15" s="28">
        <v>2.5883226666811859E-4</v>
      </c>
      <c r="AT15" s="28">
        <v>-4.9211719999897596E-4</v>
      </c>
      <c r="AU15" s="28">
        <v>2.588322666678966E-4</v>
      </c>
      <c r="AV15" s="28">
        <v>1.8314490000181929E-4</v>
      </c>
      <c r="AW15" s="28">
        <v>2.588322666678966E-4</v>
      </c>
      <c r="AX15" s="28">
        <v>2.5177016666744212E-4</v>
      </c>
      <c r="AY15" s="28">
        <v>1.741656000009417E-4</v>
      </c>
      <c r="AZ15" s="28">
        <v>3.7079086666791378E-4</v>
      </c>
      <c r="BA15" s="28">
        <v>-3.0587579999885589E-4</v>
      </c>
      <c r="BB15" s="28">
        <v>2.1183226666798841E-4</v>
      </c>
      <c r="BC15" s="28">
        <v>-1.6116773333196829E-4</v>
      </c>
      <c r="BD15" s="28">
        <v>1.653954333334928E-4</v>
      </c>
      <c r="BE15" s="28">
        <v>1.148322666679746E-4</v>
      </c>
      <c r="BF15" s="28">
        <v>4.3277016666753992E-4</v>
      </c>
      <c r="BG15" s="28">
        <v>1.630621000004995E-4</v>
      </c>
      <c r="BH15" s="28">
        <v>4.082800000970721E-6</v>
      </c>
      <c r="BI15" s="28">
        <v>-1.916773333188182E-5</v>
      </c>
      <c r="BJ15" s="28">
        <v>-1.65838666661422E-5</v>
      </c>
      <c r="BK15" s="28">
        <v>8.6244900001863911E-5</v>
      </c>
      <c r="BL15" s="28">
        <v>-3.2918843333207271E-4</v>
      </c>
      <c r="BM15" s="28">
        <v>-4.0925053333262801E-4</v>
      </c>
      <c r="BN15" s="28">
        <v>7.039543333381415E-5</v>
      </c>
      <c r="BO15" s="28">
        <v>4.8847823333497686E-4</v>
      </c>
      <c r="BP15" s="28">
        <v>-3.0587579999896702E-4</v>
      </c>
      <c r="BQ15" s="28">
        <v>-4.7583439999909771E-4</v>
      </c>
      <c r="BR15" s="28">
        <v>-3.8518843333190672E-4</v>
      </c>
      <c r="BS15" s="28">
        <v>1.294161333339483E-4</v>
      </c>
      <c r="BT15" s="28">
        <v>4.9479086666792682E-4</v>
      </c>
      <c r="BU15" s="28">
        <v>2.5883226666811859E-4</v>
      </c>
      <c r="BV15" s="28">
        <v>-3.0587579999885589E-4</v>
      </c>
      <c r="BW15" s="28">
        <v>-2.6216773333209709E-4</v>
      </c>
      <c r="BX15" s="28">
        <v>-2.3521766665091089E-5</v>
      </c>
      <c r="BY15" s="28">
        <v>-3.5616773333191348E-4</v>
      </c>
      <c r="BZ15" s="28">
        <v>4.9112420000096968E-4</v>
      </c>
      <c r="CA15" s="28">
        <v>3.9049893333475971E-4</v>
      </c>
      <c r="CB15" s="28">
        <v>-3.0587579999896702E-4</v>
      </c>
      <c r="CC15" s="28">
        <v>1.188322666680897E-4</v>
      </c>
      <c r="CD15" s="28">
        <v>-2.1587579999904349E-4</v>
      </c>
      <c r="CE15" s="28">
        <v>4.1177016666760208E-4</v>
      </c>
      <c r="CF15" s="28">
        <v>3.3016560000098671E-4</v>
      </c>
      <c r="CG15" s="28">
        <v>2.588322666678966E-4</v>
      </c>
      <c r="CH15" s="28">
        <v>-2.195010666650177E-4</v>
      </c>
      <c r="CI15" s="28">
        <v>-1.5527123333247681E-4</v>
      </c>
      <c r="CJ15" s="28">
        <v>-3.5685509999794363E-4</v>
      </c>
      <c r="CK15" s="28">
        <v>-4.7222983333250479E-4</v>
      </c>
      <c r="CL15" s="28">
        <v>-3.0587579999896702E-4</v>
      </c>
      <c r="CM15" s="28">
        <v>-3.0587579999896702E-4</v>
      </c>
      <c r="CN15" s="28">
        <v>-3.058386666610069E-5</v>
      </c>
      <c r="CO15" s="28">
        <v>-2.7120913333189561E-4</v>
      </c>
      <c r="CP15" s="28">
        <v>2.588322666678966E-4</v>
      </c>
      <c r="CQ15" s="28">
        <v>-2.3058386666596761E-4</v>
      </c>
      <c r="CR15" s="28">
        <v>-1.52937899999539E-4</v>
      </c>
      <c r="CS15" s="28">
        <v>-4.958343999985626E-4</v>
      </c>
      <c r="CT15" s="28">
        <v>-2.3521766665091089E-5</v>
      </c>
      <c r="CU15" s="28">
        <v>-1.7552176666502109E-4</v>
      </c>
      <c r="CV15" s="28">
        <v>-2.3521766664869052E-5</v>
      </c>
      <c r="CW15" s="28">
        <v>-4.1693789999952552E-4</v>
      </c>
      <c r="CX15" s="28">
        <v>9.7062100000516738E-5</v>
      </c>
      <c r="CY15" s="28">
        <v>3.1683226666823222E-4</v>
      </c>
      <c r="CZ15" s="28">
        <v>3.1441613333393898E-4</v>
      </c>
      <c r="DA15" s="28">
        <v>-7.8343999987406931E-6</v>
      </c>
      <c r="DB15" s="28">
        <v>4.1177016666749111E-4</v>
      </c>
      <c r="DC15" s="28">
        <v>1.3372876666750691E-4</v>
      </c>
      <c r="DD15" s="28">
        <v>1.294161333340593E-4</v>
      </c>
      <c r="DE15" s="28">
        <v>-9.7583866665917895E-5</v>
      </c>
      <c r="DF15" s="28">
        <v>-1.041884333314869E-4</v>
      </c>
      <c r="DG15" s="28">
        <v>-4.0950106666493008E-4</v>
      </c>
      <c r="DH15" s="28">
        <v>2.588322666678966E-4</v>
      </c>
      <c r="DI15" s="28">
        <v>-3.4552176666502449E-4</v>
      </c>
      <c r="DJ15" s="28">
        <v>6.1498933334958039E-5</v>
      </c>
      <c r="DK15" s="28">
        <v>-2.3521766664869052E-5</v>
      </c>
      <c r="DL15" s="28">
        <v>-3.0587579999896702E-4</v>
      </c>
      <c r="DM15" s="28">
        <v>1.24989333349923E-5</v>
      </c>
      <c r="DN15" s="28">
        <v>-2.6583439999883218E-4</v>
      </c>
      <c r="DO15" s="28">
        <v>-4.8250106666491988E-4</v>
      </c>
      <c r="DP15" s="28">
        <v>2.4643683333425148E-4</v>
      </c>
      <c r="DQ15" s="28">
        <v>4.1177016666749111E-4</v>
      </c>
      <c r="DR15" s="28">
        <v>-2.1116773333185179E-4</v>
      </c>
      <c r="DS15" s="28">
        <v>3.3474946666700589E-4</v>
      </c>
      <c r="DT15" s="28">
        <v>3.9108280000410561E-4</v>
      </c>
      <c r="DU15" s="28">
        <v>1.294161333340593E-4</v>
      </c>
      <c r="DV15" s="28">
        <v>-4.6495859999998168E-4</v>
      </c>
      <c r="DW15" s="28">
        <v>7.7886620979131817E-6</v>
      </c>
      <c r="DX15" s="34">
        <v>9.6579410014123457E-4</v>
      </c>
    </row>
    <row r="16" spans="1:128" x14ac:dyDescent="0.25">
      <c r="A16" s="24">
        <v>15</v>
      </c>
      <c r="B16" s="26">
        <v>7</v>
      </c>
      <c r="C16" s="28">
        <v>2.02726000000375E-5</v>
      </c>
      <c r="D16" s="28">
        <v>-3.366592500000376E-4</v>
      </c>
      <c r="E16" s="28">
        <v>-2.2465925000003659E-4</v>
      </c>
      <c r="F16" s="28">
        <v>2.0272599999926481E-5</v>
      </c>
      <c r="G16" s="28">
        <v>4.0545199999852948E-5</v>
      </c>
      <c r="H16" s="28">
        <v>-3.7178813333316191E-4</v>
      </c>
      <c r="I16" s="28">
        <v>8.9211866666882855E-5</v>
      </c>
      <c r="J16" s="28">
        <v>2.9400890000008673E-4</v>
      </c>
      <c r="K16" s="28">
        <v>4.5760593333332711E-4</v>
      </c>
      <c r="L16" s="28">
        <v>-4.629244333329563E-4</v>
      </c>
      <c r="M16" s="28">
        <v>3.9454519999981841E-4</v>
      </c>
      <c r="N16" s="28">
        <v>-3.0945480000021952E-4</v>
      </c>
      <c r="O16" s="28">
        <v>-3.2278813333319611E-4</v>
      </c>
      <c r="P16" s="28">
        <v>-3.3652295000008442E-4</v>
      </c>
      <c r="Q16" s="28">
        <v>-9.3940666671121775E-6</v>
      </c>
      <c r="R16" s="28">
        <v>-3.22462216667041E-4</v>
      </c>
      <c r="S16" s="28">
        <v>-4.3639406666662328E-4</v>
      </c>
      <c r="T16" s="28">
        <v>-9.2863700000028748E-5</v>
      </c>
      <c r="U16" s="28">
        <v>-4.5878813333355423E-4</v>
      </c>
      <c r="V16" s="28">
        <v>3.3154520000011622E-4</v>
      </c>
      <c r="W16" s="28">
        <v>3.3327259999993419E-4</v>
      </c>
      <c r="X16" s="28">
        <v>-2.2465924999992559E-4</v>
      </c>
      <c r="Y16" s="28">
        <v>5.0408899999743177E-5</v>
      </c>
      <c r="Z16" s="28">
        <v>-1.79454800000034E-4</v>
      </c>
      <c r="AA16" s="28">
        <v>-2.5318961666598311E-4</v>
      </c>
      <c r="AB16" s="28">
        <v>-2.9232591666705782E-4</v>
      </c>
      <c r="AC16" s="28">
        <v>-1.83454799999927E-4</v>
      </c>
      <c r="AD16" s="28">
        <v>4.0545199999852948E-5</v>
      </c>
      <c r="AE16" s="28">
        <v>4.0545199999852948E-5</v>
      </c>
      <c r="AF16" s="28">
        <v>4.9240890000001869E-4</v>
      </c>
      <c r="AG16" s="28">
        <v>-4.7965925000004178E-4</v>
      </c>
      <c r="AH16" s="28">
        <v>4.0545199999852948E-5</v>
      </c>
      <c r="AI16" s="28">
        <v>4.491437166669332E-4</v>
      </c>
      <c r="AJ16" s="28">
        <v>8.5477050000282162E-5</v>
      </c>
      <c r="AK16" s="28">
        <v>-4.6959109999988868E-4</v>
      </c>
      <c r="AL16" s="28">
        <v>3.4400741666673618E-4</v>
      </c>
      <c r="AM16" s="28">
        <v>2.4893926666702543E-4</v>
      </c>
      <c r="AN16" s="28">
        <v>4.0545199999852948E-5</v>
      </c>
      <c r="AO16" s="28">
        <v>3.0621186666679462E-4</v>
      </c>
      <c r="AP16" s="28">
        <v>2.8547705000026008E-4</v>
      </c>
      <c r="AQ16" s="28">
        <v>2.8547705000003809E-4</v>
      </c>
      <c r="AR16" s="28">
        <v>4.0545199999852948E-5</v>
      </c>
      <c r="AS16" s="28">
        <v>-6.7959454800000207E-2</v>
      </c>
      <c r="AT16" s="28">
        <v>-1.870607333330776E-4</v>
      </c>
      <c r="AU16" s="28">
        <v>-1.9454800000096029E-5</v>
      </c>
      <c r="AV16" s="28">
        <v>-1.3785628333295999E-4</v>
      </c>
      <c r="AW16" s="28">
        <v>4.0545200000074999E-5</v>
      </c>
      <c r="AX16" s="28">
        <v>-2.2465925000014761E-4</v>
      </c>
      <c r="AY16" s="28">
        <v>4.0545200000074999E-5</v>
      </c>
      <c r="AZ16" s="28">
        <v>-4.6959110000011067E-4</v>
      </c>
      <c r="BA16" s="28">
        <v>2.9627556666689259E-4</v>
      </c>
      <c r="BB16" s="28">
        <v>5.1211866666678318E-5</v>
      </c>
      <c r="BC16" s="28">
        <v>-9.9454800000176036E-5</v>
      </c>
      <c r="BD16" s="28">
        <v>4.5820444999999932E-4</v>
      </c>
      <c r="BE16" s="28">
        <v>4.0545200000074999E-5</v>
      </c>
      <c r="BF16" s="28">
        <v>-1.0332591666606381E-4</v>
      </c>
      <c r="BG16" s="28">
        <v>-3.6579554999999209E-4</v>
      </c>
      <c r="BH16" s="28">
        <v>2.7427259999990289E-4</v>
      </c>
      <c r="BI16" s="28">
        <v>-9.8521466666889879E-5</v>
      </c>
      <c r="BJ16" s="28">
        <v>2.02726000000375E-5</v>
      </c>
      <c r="BK16" s="28">
        <v>2.063770500000395E-4</v>
      </c>
      <c r="BL16" s="28">
        <v>-6.2856283333134755E-5</v>
      </c>
      <c r="BM16" s="28">
        <v>2.02726000000375E-5</v>
      </c>
      <c r="BN16" s="28">
        <v>-2.8812888333340497E-4</v>
      </c>
      <c r="BO16" s="28">
        <v>-3.2118961666682821E-4</v>
      </c>
      <c r="BP16" s="28">
        <v>-4.6959109999988868E-4</v>
      </c>
      <c r="BQ16" s="28">
        <v>4.0545199999852948E-5</v>
      </c>
      <c r="BR16" s="28">
        <v>-1.6856283332922221E-5</v>
      </c>
      <c r="BS16" s="28">
        <v>3.4360593333293549E-4</v>
      </c>
      <c r="BT16" s="28">
        <v>-9.0924433333361421E-5</v>
      </c>
      <c r="BU16" s="28">
        <v>-1.4245479999996921E-4</v>
      </c>
      <c r="BV16" s="28">
        <v>-4.6959109999988868E-4</v>
      </c>
      <c r="BW16" s="28">
        <v>-2.0945480000023051E-4</v>
      </c>
      <c r="BX16" s="28">
        <v>2.8547705000003809E-4</v>
      </c>
      <c r="BY16" s="28">
        <v>1.5354520000010469E-4</v>
      </c>
      <c r="BZ16" s="28">
        <v>-4.4492443333354892E-4</v>
      </c>
      <c r="CA16" s="28">
        <v>4.732118666668228E-4</v>
      </c>
      <c r="CB16" s="28">
        <v>-2.3092443333316839E-4</v>
      </c>
      <c r="CC16" s="28">
        <v>2.2154519999983971E-4</v>
      </c>
      <c r="CD16" s="28">
        <v>3.5640889999988268E-4</v>
      </c>
      <c r="CE16" s="28">
        <v>-3.9865925000015512E-4</v>
      </c>
      <c r="CF16" s="28">
        <v>4.7621186666702009E-4</v>
      </c>
      <c r="CG16" s="28">
        <v>4.0545199999852948E-5</v>
      </c>
      <c r="CH16" s="28">
        <v>4.0545199999852948E-5</v>
      </c>
      <c r="CI16" s="28">
        <v>2.632044500000541E-4</v>
      </c>
      <c r="CJ16" s="28">
        <v>3.5214371666669742E-4</v>
      </c>
      <c r="CK16" s="28">
        <v>-2.4799258333307872E-4</v>
      </c>
      <c r="CL16" s="28">
        <v>-4.6959109999988868E-4</v>
      </c>
      <c r="CM16" s="28">
        <v>-3.1225776666699012E-4</v>
      </c>
      <c r="CN16" s="28">
        <v>1.6093926666671529E-4</v>
      </c>
      <c r="CO16" s="28">
        <v>3.3075566667095657E-5</v>
      </c>
      <c r="CP16" s="28">
        <v>5.4520000003499547E-7</v>
      </c>
      <c r="CQ16" s="28">
        <v>2.02726000000375E-5</v>
      </c>
      <c r="CR16" s="28">
        <v>4.1987111666702548E-4</v>
      </c>
      <c r="CS16" s="28">
        <v>4.0545199999852948E-5</v>
      </c>
      <c r="CT16" s="28">
        <v>2.8547705000003809E-4</v>
      </c>
      <c r="CU16" s="28">
        <v>-2.7118961666694469E-4</v>
      </c>
      <c r="CV16" s="28">
        <v>-1.2452294999998339E-4</v>
      </c>
      <c r="CW16" s="28">
        <v>1.204450000069635E-6</v>
      </c>
      <c r="CX16" s="28">
        <v>2.6520445000011161E-4</v>
      </c>
      <c r="CY16" s="28">
        <v>-1.4178813333298729E-4</v>
      </c>
      <c r="CZ16" s="28">
        <v>2.02726000000375E-5</v>
      </c>
      <c r="DA16" s="28">
        <v>2.9054519999993639E-4</v>
      </c>
      <c r="DB16" s="28">
        <v>2.0434074999997609E-4</v>
      </c>
      <c r="DC16" s="28">
        <v>2.7871116666966511E-5</v>
      </c>
      <c r="DD16" s="28">
        <v>-2.6906073333321512E-4</v>
      </c>
      <c r="DE16" s="28">
        <v>2.2460593333295531E-4</v>
      </c>
      <c r="DF16" s="28">
        <v>2.5814371666732511E-4</v>
      </c>
      <c r="DG16" s="28">
        <v>4.0545200000074999E-5</v>
      </c>
      <c r="DH16" s="28">
        <v>2.7254519999986288E-4</v>
      </c>
      <c r="DI16" s="28">
        <v>2.4681038333329569E-4</v>
      </c>
      <c r="DJ16" s="28">
        <v>-4.5212146666706587E-4</v>
      </c>
      <c r="DK16" s="28">
        <v>2.5937704999989819E-4</v>
      </c>
      <c r="DL16" s="28">
        <v>-4.6959109999988868E-4</v>
      </c>
      <c r="DM16" s="28">
        <v>3.3854519999998439E-4</v>
      </c>
      <c r="DN16" s="28">
        <v>4.0545199999852948E-5</v>
      </c>
      <c r="DO16" s="28">
        <v>7.8785333330610996E-6</v>
      </c>
      <c r="DP16" s="28">
        <v>3.8334074999990531E-4</v>
      </c>
      <c r="DQ16" s="28">
        <v>2.3934074999987229E-4</v>
      </c>
      <c r="DR16" s="28">
        <v>6.5451999999854849E-6</v>
      </c>
      <c r="DS16" s="28">
        <v>2.02726000000375E-5</v>
      </c>
      <c r="DT16" s="28">
        <v>-3.5272739999997471E-4</v>
      </c>
      <c r="DU16" s="28">
        <v>-3.1472740000004768E-4</v>
      </c>
      <c r="DV16" s="28">
        <v>-4.4719703333340188E-4</v>
      </c>
      <c r="DW16" s="28">
        <v>-5.5737743185482855E-4</v>
      </c>
      <c r="DX16" s="34">
        <v>-6.9114801549998744E-2</v>
      </c>
    </row>
    <row r="17" spans="1:128" x14ac:dyDescent="0.25">
      <c r="A17" s="24">
        <v>16</v>
      </c>
      <c r="B17" s="26">
        <v>7.5</v>
      </c>
      <c r="C17" s="28">
        <v>-3.1304499999995627E-4</v>
      </c>
      <c r="D17" s="28">
        <v>-4.3330625000015388E-4</v>
      </c>
      <c r="E17" s="28">
        <v>-1.413062499999729E-4</v>
      </c>
      <c r="F17" s="28">
        <v>-3.1304499999984531E-4</v>
      </c>
      <c r="G17" s="28">
        <v>3.7390999999997732E-4</v>
      </c>
      <c r="H17" s="28">
        <v>2.6624333333313821E-4</v>
      </c>
      <c r="I17" s="28">
        <v>3.7391000000019941E-4</v>
      </c>
      <c r="J17" s="28">
        <v>-9.3067500000154624E-5</v>
      </c>
      <c r="K17" s="28">
        <v>-3.7704500000002028E-4</v>
      </c>
      <c r="L17" s="28">
        <v>3.0432500000010521E-5</v>
      </c>
      <c r="M17" s="28">
        <v>-0.75340928999999979</v>
      </c>
      <c r="N17" s="28">
        <v>-0.28405275666666691</v>
      </c>
      <c r="O17" s="28">
        <v>3.3791000000005228E-4</v>
      </c>
      <c r="P17" s="28">
        <v>4.1483791666663272E-4</v>
      </c>
      <c r="Q17" s="28">
        <v>-4.1304499999994532E-4</v>
      </c>
      <c r="R17" s="28">
        <v>2.5221625000015901E-4</v>
      </c>
      <c r="S17" s="28">
        <v>9.9621666667104591E-5</v>
      </c>
      <c r="T17" s="28">
        <v>-6.4855833332960744E-5</v>
      </c>
      <c r="U17" s="28">
        <v>-4.4896756666666482E-2</v>
      </c>
      <c r="V17" s="28">
        <v>-5.0089999999780588E-5</v>
      </c>
      <c r="W17" s="28">
        <v>2.886216666669883E-4</v>
      </c>
      <c r="X17" s="28">
        <v>4.7202708333315968E-4</v>
      </c>
      <c r="Y17" s="28">
        <v>4.3765833333209159E-5</v>
      </c>
      <c r="Z17" s="28">
        <v>-0.44462609000000008</v>
      </c>
      <c r="AA17" s="28">
        <v>-4.0382874999989049E-4</v>
      </c>
      <c r="AB17" s="28">
        <v>6.4027083333084711E-5</v>
      </c>
      <c r="AC17" s="28">
        <v>3.9057666666675322E-4</v>
      </c>
      <c r="AD17" s="28">
        <v>-3.034233333329972E-4</v>
      </c>
      <c r="AE17" s="28">
        <v>8.6576666667115276E-5</v>
      </c>
      <c r="AF17" s="28">
        <v>3.0432500000010521E-5</v>
      </c>
      <c r="AG17" s="28">
        <v>-4.0030624999976011E-4</v>
      </c>
      <c r="AH17" s="28">
        <v>3.7391000000019941E-4</v>
      </c>
      <c r="AI17" s="28">
        <v>5.4837916666938817E-5</v>
      </c>
      <c r="AJ17" s="28">
        <v>4.9017124999983785E-4</v>
      </c>
      <c r="AK17" s="28">
        <v>3.0432500000010521E-5</v>
      </c>
      <c r="AL17" s="28">
        <v>-1.7810624999992089E-4</v>
      </c>
      <c r="AM17" s="28">
        <v>-1.044999999866292E-6</v>
      </c>
      <c r="AN17" s="28">
        <v>-0.25899108999999992</v>
      </c>
      <c r="AO17" s="28">
        <v>-4.9089999999862848E-5</v>
      </c>
      <c r="AP17" s="28">
        <v>-0.25579782875000001</v>
      </c>
      <c r="AQ17" s="28">
        <v>1.2171250000081461E-5</v>
      </c>
      <c r="AR17" s="28">
        <v>3.7391000000019941E-4</v>
      </c>
      <c r="AS17" s="28">
        <v>-1.7772440899999999</v>
      </c>
      <c r="AT17" s="28">
        <v>1.209550000000892E-4</v>
      </c>
      <c r="AU17" s="28">
        <v>-0.78778942333333291</v>
      </c>
      <c r="AV17" s="28">
        <v>4.0817125000014443E-4</v>
      </c>
      <c r="AW17" s="28">
        <v>-1.2086260900000001</v>
      </c>
      <c r="AX17" s="28">
        <v>-3.8639583332944483E-5</v>
      </c>
      <c r="AY17" s="28">
        <v>-0.57867375666666665</v>
      </c>
      <c r="AZ17" s="28">
        <v>3.0432499999788479E-5</v>
      </c>
      <c r="BA17" s="28">
        <v>6.6099166666999665E-5</v>
      </c>
      <c r="BB17" s="28">
        <v>-0.12959942333333291</v>
      </c>
      <c r="BC17" s="28">
        <v>-1.940899999999246E-4</v>
      </c>
      <c r="BD17" s="28">
        <v>3.2354958333302708E-4</v>
      </c>
      <c r="BE17" s="28">
        <v>-3.9975666666691723E-4</v>
      </c>
      <c r="BF17" s="28">
        <v>-9.9306249999875362E-5</v>
      </c>
      <c r="BG17" s="28">
        <v>2.9521625000011881E-4</v>
      </c>
      <c r="BH17" s="28">
        <v>-4.3304499999996532E-4</v>
      </c>
      <c r="BI17" s="28">
        <v>-1.3665666666695661E-4</v>
      </c>
      <c r="BJ17" s="28">
        <v>-3.1304499999995627E-4</v>
      </c>
      <c r="BK17" s="28">
        <v>-1.5282875000011131E-4</v>
      </c>
      <c r="BL17" s="28">
        <v>-2.5116208333275658E-4</v>
      </c>
      <c r="BM17" s="28">
        <v>2.249550000000822E-4</v>
      </c>
      <c r="BN17" s="28">
        <v>-4.7478374999998518E-4</v>
      </c>
      <c r="BO17" s="28">
        <v>1.745045833330128E-4</v>
      </c>
      <c r="BP17" s="28">
        <v>-4.156750000028353E-5</v>
      </c>
      <c r="BQ17" s="28">
        <v>-0.1173864233333328</v>
      </c>
      <c r="BR17" s="28">
        <v>-6.782874999999855E-5</v>
      </c>
      <c r="BS17" s="28">
        <v>-3.9037833333288591E-4</v>
      </c>
      <c r="BT17" s="28">
        <v>4.7709916666693891E-4</v>
      </c>
      <c r="BU17" s="28">
        <v>-0.56872775666666642</v>
      </c>
      <c r="BV17" s="28">
        <v>3.0432500000010521E-5</v>
      </c>
      <c r="BW17" s="28">
        <v>4.3191000000009078E-4</v>
      </c>
      <c r="BX17" s="28">
        <v>-2.1157828750000052E-2</v>
      </c>
      <c r="BY17" s="28">
        <v>-0.16776942333333289</v>
      </c>
      <c r="BZ17" s="28">
        <v>-4.0693416666703902E-4</v>
      </c>
      <c r="CA17" s="28">
        <v>-1.05157609</v>
      </c>
      <c r="CB17" s="28">
        <v>-3.3023416666733141E-4</v>
      </c>
      <c r="CC17" s="28">
        <v>-1.9608999999998211E-4</v>
      </c>
      <c r="CD17" s="28">
        <v>2.5176583333297309E-4</v>
      </c>
      <c r="CE17" s="28">
        <v>2.221937499999882E-4</v>
      </c>
      <c r="CF17" s="28">
        <v>-1.037566666670653E-4</v>
      </c>
      <c r="CG17" s="28">
        <v>-0.43184942333333298</v>
      </c>
      <c r="CH17" s="28">
        <v>-0.25434775666666648</v>
      </c>
      <c r="CI17" s="28">
        <v>-4.9011708333301929E-4</v>
      </c>
      <c r="CJ17" s="28">
        <v>3.021712499999829E-4</v>
      </c>
      <c r="CK17" s="28">
        <v>-1.413062499999729E-4</v>
      </c>
      <c r="CL17" s="28">
        <v>3.0432500000010521E-5</v>
      </c>
      <c r="CM17" s="28">
        <v>1.8326583333316829E-4</v>
      </c>
      <c r="CN17" s="28">
        <v>7.2621666669964169E-5</v>
      </c>
      <c r="CO17" s="28">
        <v>4.6109916666692291E-4</v>
      </c>
      <c r="CP17" s="28">
        <v>-1.0470794233333329</v>
      </c>
      <c r="CQ17" s="28">
        <v>-3.1304499999984531E-4</v>
      </c>
      <c r="CR17" s="28">
        <v>1.4121625000007579E-4</v>
      </c>
      <c r="CS17" s="28">
        <v>2.179100000001544E-4</v>
      </c>
      <c r="CT17" s="28">
        <v>2.0217124999999389E-4</v>
      </c>
      <c r="CU17" s="28">
        <v>-4.8782875000003001E-4</v>
      </c>
      <c r="CV17" s="28">
        <v>-3.811620833329421E-4</v>
      </c>
      <c r="CW17" s="28">
        <v>-1.8878374999986569E-4</v>
      </c>
      <c r="CX17" s="28">
        <v>1.1188291666702769E-4</v>
      </c>
      <c r="CY17" s="28">
        <v>-0.80481208999999998</v>
      </c>
      <c r="CZ17" s="28">
        <v>1.089550000000772E-4</v>
      </c>
      <c r="DA17" s="28">
        <v>4.1057666667021492E-4</v>
      </c>
      <c r="DB17" s="28">
        <v>4.3036041666688618E-4</v>
      </c>
      <c r="DC17" s="28">
        <v>9.9216250000089268E-5</v>
      </c>
      <c r="DD17" s="28">
        <v>-3.2971166666695417E-4</v>
      </c>
      <c r="DE17" s="28">
        <v>-6.9711666666916194E-5</v>
      </c>
      <c r="DF17" s="28">
        <v>2.0217125000021599E-4</v>
      </c>
      <c r="DG17" s="28">
        <v>-0.32220442333333299</v>
      </c>
      <c r="DH17" s="28">
        <v>-0.78862608999999972</v>
      </c>
      <c r="DI17" s="28">
        <v>2.6603791666701682E-4</v>
      </c>
      <c r="DJ17" s="28">
        <v>1.099099999999353E-4</v>
      </c>
      <c r="DK17" s="28">
        <v>3.4217125000002291E-4</v>
      </c>
      <c r="DL17" s="28">
        <v>3.0432500000010521E-5</v>
      </c>
      <c r="DM17" s="28">
        <v>-2.5475666666707752E-4</v>
      </c>
      <c r="DN17" s="28">
        <v>-0.80191675666666695</v>
      </c>
      <c r="DO17" s="28">
        <v>-3.7626089999999827E-2</v>
      </c>
      <c r="DP17" s="28">
        <v>-1.4130625000019489E-4</v>
      </c>
      <c r="DQ17" s="28">
        <v>-1.4397291666701231E-4</v>
      </c>
      <c r="DR17" s="28">
        <v>3.3991000000010979E-4</v>
      </c>
      <c r="DS17" s="28">
        <v>-2.7571166666662261E-4</v>
      </c>
      <c r="DT17" s="28">
        <v>3.5362166666713662E-4</v>
      </c>
      <c r="DU17" s="28">
        <v>-9.1378333333169692E-5</v>
      </c>
      <c r="DV17" s="28">
        <v>-4.931891666659638E-4</v>
      </c>
      <c r="DW17" s="28">
        <v>-0.1043372491969084</v>
      </c>
      <c r="DX17" s="34">
        <v>-12.937818900416641</v>
      </c>
    </row>
    <row r="18" spans="1:128" x14ac:dyDescent="0.25">
      <c r="A18" s="24">
        <v>17</v>
      </c>
      <c r="B18" s="26">
        <v>8</v>
      </c>
      <c r="C18" s="28">
        <v>-1.6469913333416741E-4</v>
      </c>
      <c r="D18" s="28">
        <v>-2.6187391666798732E-4</v>
      </c>
      <c r="E18" s="28">
        <v>-2.0587391666815341E-4</v>
      </c>
      <c r="F18" s="28">
        <v>4.936341999990379E-4</v>
      </c>
      <c r="G18" s="28">
        <v>-2.1493293982666679</v>
      </c>
      <c r="H18" s="28">
        <v>-1.924473064933335</v>
      </c>
      <c r="I18" s="28">
        <v>-2.0932567316000008</v>
      </c>
      <c r="J18" s="28">
        <v>-5.7715366670887953E-5</v>
      </c>
      <c r="K18" s="28">
        <v>4.1730086666591498E-4</v>
      </c>
      <c r="L18" s="28">
        <v>-7.859071536666784E-2</v>
      </c>
      <c r="M18" s="28">
        <v>-1.955563064933334</v>
      </c>
      <c r="N18" s="28">
        <v>-2.2096760649333351</v>
      </c>
      <c r="O18" s="28">
        <v>-0.69667473160000148</v>
      </c>
      <c r="P18" s="28">
        <v>-0.1887258901500011</v>
      </c>
      <c r="Q18" s="28">
        <v>-1.840324666640136E-4</v>
      </c>
      <c r="R18" s="28">
        <v>-5.38576833305493E-5</v>
      </c>
      <c r="S18" s="28">
        <v>-1.8669913333391189E-4</v>
      </c>
      <c r="T18" s="28">
        <v>7.4517099999948933E-5</v>
      </c>
      <c r="U18" s="28">
        <v>-1.968506064933335</v>
      </c>
      <c r="V18" s="28">
        <v>-1.9280693982666679</v>
      </c>
      <c r="W18" s="28">
        <v>-9.369913333401314E-5</v>
      </c>
      <c r="X18" s="28">
        <v>-2.187391666796934E-5</v>
      </c>
      <c r="Y18" s="28">
        <v>-0.77124704870000105</v>
      </c>
      <c r="Z18" s="28">
        <v>-2.093505398266668</v>
      </c>
      <c r="AA18" s="28">
        <v>-0.59326222348333491</v>
      </c>
      <c r="AB18" s="28">
        <v>-4.8287391666801399E-4</v>
      </c>
      <c r="AC18" s="28">
        <v>-2.1241867316000009</v>
      </c>
      <c r="AD18" s="28">
        <v>-1.6297180649333349</v>
      </c>
      <c r="AE18" s="28">
        <v>-1.0022950649333351</v>
      </c>
      <c r="AF18" s="28">
        <v>4.9512999988898798E-6</v>
      </c>
      <c r="AG18" s="28">
        <v>-2.0587391666815341E-4</v>
      </c>
      <c r="AH18" s="28">
        <v>-2.156329398266668</v>
      </c>
      <c r="AI18" s="28">
        <v>-0.21483669015000209</v>
      </c>
      <c r="AJ18" s="28">
        <v>-1.0599490234833351</v>
      </c>
      <c r="AK18" s="28">
        <v>-5.9706382033333887E-2</v>
      </c>
      <c r="AL18" s="28">
        <v>-5.0273916668119867E-5</v>
      </c>
      <c r="AM18" s="28">
        <v>-4.3469913333404891E-4</v>
      </c>
      <c r="AN18" s="28">
        <v>-2.1647663982666678</v>
      </c>
      <c r="AO18" s="28">
        <v>-1.273329398266668</v>
      </c>
      <c r="AP18" s="28">
        <v>-1.9352882234833351</v>
      </c>
      <c r="AQ18" s="28">
        <v>-1.7492882234833349</v>
      </c>
      <c r="AR18" s="28">
        <v>-0.76987106493333513</v>
      </c>
      <c r="AS18" s="28">
        <v>-1.482316731600001</v>
      </c>
      <c r="AT18" s="28">
        <v>3.4163419999888589E-4</v>
      </c>
      <c r="AU18" s="28">
        <v>-2.2103327316000012</v>
      </c>
      <c r="AV18" s="28">
        <v>-0.42738755681666812</v>
      </c>
      <c r="AW18" s="28">
        <v>-2.2043293982666681</v>
      </c>
      <c r="AX18" s="28">
        <v>2.0612608333192559E-4</v>
      </c>
      <c r="AY18" s="28">
        <v>-1.9818330649333351</v>
      </c>
      <c r="AZ18" s="28">
        <v>-9.1247048700000999E-2</v>
      </c>
      <c r="BA18" s="28">
        <v>-5.3048700001001592E-5</v>
      </c>
      <c r="BB18" s="28">
        <v>-2.1266113982666681</v>
      </c>
      <c r="BC18" s="28">
        <v>-1.850321398266668</v>
      </c>
      <c r="BD18" s="28">
        <v>-2.7785768333354888E-4</v>
      </c>
      <c r="BE18" s="28">
        <v>-2.008699731600001</v>
      </c>
      <c r="BF18" s="28">
        <v>-3.945405833349902E-4</v>
      </c>
      <c r="BG18" s="28">
        <v>-2.7524350000640571E-5</v>
      </c>
      <c r="BH18" s="28">
        <v>-4.5569913333409762E-4</v>
      </c>
      <c r="BI18" s="28">
        <v>-1.828364398266668</v>
      </c>
      <c r="BJ18" s="28">
        <v>4.0340086666601488E-4</v>
      </c>
      <c r="BK18" s="28">
        <v>-0.59757889015000221</v>
      </c>
      <c r="BL18" s="28">
        <v>-1.0019422234833351</v>
      </c>
      <c r="BM18" s="28">
        <v>-1.6469913333416741E-4</v>
      </c>
      <c r="BN18" s="28">
        <v>-2.6885768333395621E-4</v>
      </c>
      <c r="BO18" s="28">
        <v>4.7577651666497189E-4</v>
      </c>
      <c r="BP18" s="28">
        <v>-0.84465504870000119</v>
      </c>
      <c r="BQ18" s="28">
        <v>-2.0097843982666679</v>
      </c>
      <c r="BR18" s="28">
        <v>-0.68226622348333521</v>
      </c>
      <c r="BS18" s="28">
        <v>4.6196753333305201E-4</v>
      </c>
      <c r="BT18" s="28">
        <v>-1.110487000008931E-4</v>
      </c>
      <c r="BU18" s="28">
        <v>-2.2083293982666681</v>
      </c>
      <c r="BV18" s="28">
        <v>-1.1772470487000011</v>
      </c>
      <c r="BW18" s="28">
        <v>-1.577262731600001</v>
      </c>
      <c r="BX18" s="28">
        <v>-1.683760556816668</v>
      </c>
      <c r="BY18" s="28">
        <v>-1.0863543982666679</v>
      </c>
      <c r="BZ18" s="28">
        <v>1.746179666659575E-4</v>
      </c>
      <c r="CA18" s="28">
        <v>-1.205571064933338</v>
      </c>
      <c r="CB18" s="28">
        <v>-2.4704870000102908E-4</v>
      </c>
      <c r="CC18" s="28">
        <v>-2.082321398266668</v>
      </c>
      <c r="CD18" s="28">
        <v>-1.8704870000108009E-4</v>
      </c>
      <c r="CE18" s="28">
        <v>-2.0587391666793131E-4</v>
      </c>
      <c r="CF18" s="28">
        <v>-0.90276773160000112</v>
      </c>
      <c r="CG18" s="28">
        <v>-2.2233293982666682</v>
      </c>
      <c r="CH18" s="28">
        <v>-2.087062731600001</v>
      </c>
      <c r="CI18" s="28">
        <v>-1.2352435000051451E-4</v>
      </c>
      <c r="CJ18" s="28">
        <v>-0.34052455681666521</v>
      </c>
      <c r="CK18" s="28">
        <v>4.5712608333214888E-4</v>
      </c>
      <c r="CL18" s="28">
        <v>-1.101247048700001</v>
      </c>
      <c r="CM18" s="28">
        <v>1.112846333322093E-4</v>
      </c>
      <c r="CN18" s="28">
        <v>-4.7696580000100569E-4</v>
      </c>
      <c r="CO18" s="28">
        <v>4.7428463333210052E-4</v>
      </c>
      <c r="CP18" s="28">
        <v>-2.1679160649333351</v>
      </c>
      <c r="CQ18" s="28">
        <v>4.6196753333294088E-4</v>
      </c>
      <c r="CR18" s="28">
        <v>3.1142316666343817E-5</v>
      </c>
      <c r="CS18" s="28">
        <v>-2.0971303316000012</v>
      </c>
      <c r="CT18" s="28">
        <v>-1.5899075568166681</v>
      </c>
      <c r="CU18" s="28">
        <v>-2.8422348333512199E-4</v>
      </c>
      <c r="CV18" s="28">
        <v>-1.3602882234833349</v>
      </c>
      <c r="CW18" s="28">
        <v>-1.2352435000051451E-4</v>
      </c>
      <c r="CX18" s="28">
        <v>-2.4352435000063449E-4</v>
      </c>
      <c r="CY18" s="28">
        <v>-2.084602064933335</v>
      </c>
      <c r="CZ18" s="28">
        <v>-1.646991333339454E-4</v>
      </c>
      <c r="DA18" s="28">
        <v>-1.597746064933335</v>
      </c>
      <c r="DB18" s="28">
        <v>-2.0587391666793131E-4</v>
      </c>
      <c r="DC18" s="28">
        <v>-7.5243500006205721E-6</v>
      </c>
      <c r="DD18" s="28">
        <v>-1.646991333339454E-4</v>
      </c>
      <c r="DE18" s="28">
        <v>-9.0032466667055999E-5</v>
      </c>
      <c r="DF18" s="28">
        <v>-2.125568166679859E-4</v>
      </c>
      <c r="DG18" s="28">
        <v>-2.1720877316000009</v>
      </c>
      <c r="DH18" s="28">
        <v>-0.87437599826666812</v>
      </c>
      <c r="DI18" s="28">
        <v>-1.7822348333518259E-4</v>
      </c>
      <c r="DJ18" s="28">
        <v>-1.0404880649333339</v>
      </c>
      <c r="DK18" s="28">
        <v>-1.0095115568166679</v>
      </c>
      <c r="DL18" s="28">
        <v>-0.27924704870000089</v>
      </c>
      <c r="DM18" s="28">
        <v>-1.8721400649333351</v>
      </c>
      <c r="DN18" s="28">
        <v>-2.183563398266668</v>
      </c>
      <c r="DO18" s="28">
        <v>-2.1055213982666681</v>
      </c>
      <c r="DP18" s="28">
        <v>-3.3187391666800181E-4</v>
      </c>
      <c r="DQ18" s="28">
        <v>4.4679274999870339E-4</v>
      </c>
      <c r="DR18" s="28">
        <v>-0.93932939826666817</v>
      </c>
      <c r="DS18" s="28">
        <v>3.3008666658895791E-6</v>
      </c>
      <c r="DT18" s="28">
        <v>-1.826991333341299E-4</v>
      </c>
      <c r="DU18" s="28">
        <v>3.2196753333291189E-4</v>
      </c>
      <c r="DV18" s="28">
        <v>-1.5834956666699321E-4</v>
      </c>
      <c r="DW18" s="28">
        <v>-0.78379138327701714</v>
      </c>
      <c r="DX18" s="34">
        <v>-97.190131526350129</v>
      </c>
    </row>
    <row r="19" spans="1:128" x14ac:dyDescent="0.25">
      <c r="A19" s="24">
        <v>18</v>
      </c>
      <c r="B19" s="26">
        <v>8.5</v>
      </c>
      <c r="C19" s="28">
        <v>3.9653319999999331E-4</v>
      </c>
      <c r="D19" s="28">
        <v>-6.9754833500000002E-2</v>
      </c>
      <c r="E19" s="28">
        <v>-1.3314068335</v>
      </c>
      <c r="F19" s="28">
        <v>3.485332000001673E-4</v>
      </c>
      <c r="G19" s="28">
        <v>-2.4896509336000001</v>
      </c>
      <c r="H19" s="28">
        <v>-2.3871422669333331</v>
      </c>
      <c r="I19" s="28">
        <v>-2.2931249336000001</v>
      </c>
      <c r="J19" s="28">
        <v>-4.8820019999995518E-4</v>
      </c>
      <c r="K19" s="28">
        <v>-3.9913346666686778E-4</v>
      </c>
      <c r="L19" s="28">
        <v>-1.8451378668666669</v>
      </c>
      <c r="M19" s="28">
        <v>-2.4122239336</v>
      </c>
      <c r="N19" s="28">
        <v>-2.3289309336000001</v>
      </c>
      <c r="O19" s="28">
        <v>-2.2696769336</v>
      </c>
      <c r="P19" s="28">
        <v>-2.1745695668999998</v>
      </c>
      <c r="Q19" s="28">
        <v>1.6253320000014779E-4</v>
      </c>
      <c r="R19" s="28">
        <v>-1.1000999999843939E-6</v>
      </c>
      <c r="S19" s="28">
        <v>-3.4746679999986258E-4</v>
      </c>
      <c r="T19" s="28">
        <v>-2.3606673332993161E-4</v>
      </c>
      <c r="U19" s="28">
        <v>-2.048997600266667</v>
      </c>
      <c r="V19" s="28">
        <v>-2.1777109335999998</v>
      </c>
      <c r="W19" s="28">
        <v>-3.8646679999976291E-4</v>
      </c>
      <c r="X19" s="28">
        <v>-1.4083350000004821E-4</v>
      </c>
      <c r="Y19" s="28">
        <v>-1.8714882002</v>
      </c>
      <c r="Z19" s="28">
        <v>-2.4382169336000001</v>
      </c>
      <c r="AA19" s="28">
        <v>-2.1659029002333341</v>
      </c>
      <c r="AB19" s="28">
        <v>3.3149983333302663E-4</v>
      </c>
      <c r="AC19" s="28">
        <v>-2.3753689335999999</v>
      </c>
      <c r="AD19" s="28">
        <v>-2.4357762669333329</v>
      </c>
      <c r="AE19" s="28">
        <v>-2.3101409336000001</v>
      </c>
      <c r="AF19" s="28">
        <v>-1.2277782001999999</v>
      </c>
      <c r="AG19" s="28">
        <v>9.9166500000080759E-5</v>
      </c>
      <c r="AH19" s="28">
        <v>-2.4906509336</v>
      </c>
      <c r="AI19" s="28">
        <v>-1.946156900233333</v>
      </c>
      <c r="AJ19" s="28">
        <v>-0.85818770023333024</v>
      </c>
      <c r="AK19" s="28">
        <v>-1.8544882002</v>
      </c>
      <c r="AL19" s="28">
        <v>-1.581668333300798E-4</v>
      </c>
      <c r="AM19" s="28">
        <v>-6.6800133329852907E-5</v>
      </c>
      <c r="AN19" s="28">
        <v>-2.4596149336000002</v>
      </c>
      <c r="AO19" s="28">
        <v>-2.1291079335999998</v>
      </c>
      <c r="AP19" s="28">
        <v>-2.1335462335666668</v>
      </c>
      <c r="AQ19" s="28">
        <v>-2.0288361002333328</v>
      </c>
      <c r="AR19" s="28">
        <v>-2.3226709336</v>
      </c>
      <c r="AS19" s="28">
        <v>-2.3950829335999999</v>
      </c>
      <c r="AT19" s="28">
        <v>-4.9533346666685851E-4</v>
      </c>
      <c r="AU19" s="28">
        <v>-2.1856409335999998</v>
      </c>
      <c r="AV19" s="28">
        <v>-2.123480900233333</v>
      </c>
      <c r="AW19" s="28">
        <v>-2.4766509336000002</v>
      </c>
      <c r="AX19" s="28">
        <v>4.7316649999995519E-4</v>
      </c>
      <c r="AY19" s="28">
        <v>-2.283877600266667</v>
      </c>
      <c r="AZ19" s="28">
        <v>-1.8504882002</v>
      </c>
      <c r="BA19" s="28">
        <v>-1.6812942002</v>
      </c>
      <c r="BB19" s="28">
        <v>-2.4762682669333329</v>
      </c>
      <c r="BC19" s="28">
        <v>-2.5066509336</v>
      </c>
      <c r="BD19" s="28">
        <v>1.2589990000000381E-4</v>
      </c>
      <c r="BE19" s="28">
        <v>-2.3706336002666668</v>
      </c>
      <c r="BF19" s="28">
        <v>3.0216649999981188E-4</v>
      </c>
      <c r="BG19" s="28">
        <v>2.105665666667367E-4</v>
      </c>
      <c r="BH19" s="28">
        <v>-3.2546679999989608E-4</v>
      </c>
      <c r="BI19" s="28">
        <v>-2.2006896002666672</v>
      </c>
      <c r="BJ19" s="28">
        <v>-1.7186679999992019E-4</v>
      </c>
      <c r="BK19" s="28">
        <v>-0.75129223356667008</v>
      </c>
      <c r="BL19" s="28">
        <v>-2.049300233566667</v>
      </c>
      <c r="BM19" s="28">
        <v>-4.9480013333302875E-4</v>
      </c>
      <c r="BN19" s="28">
        <v>4.6923323333325501E-4</v>
      </c>
      <c r="BO19" s="28">
        <v>-1.078636233566667</v>
      </c>
      <c r="BP19" s="28">
        <v>-1.7658748668666671</v>
      </c>
      <c r="BQ19" s="28">
        <v>-2.1383609336</v>
      </c>
      <c r="BR19" s="28">
        <v>-2.0618042335666669</v>
      </c>
      <c r="BS19" s="28">
        <v>2.7766653333410879E-4</v>
      </c>
      <c r="BT19" s="28">
        <v>-1.1396382002000001</v>
      </c>
      <c r="BU19" s="28">
        <v>-2.4806509336000002</v>
      </c>
      <c r="BV19" s="28">
        <v>-1.8544882002</v>
      </c>
      <c r="BW19" s="28">
        <v>-2.363316266933333</v>
      </c>
      <c r="BX19" s="28">
        <v>-1.8140045669</v>
      </c>
      <c r="BY19" s="28">
        <v>-2.2653319336000002</v>
      </c>
      <c r="BZ19" s="28">
        <v>-1.6804322002000001</v>
      </c>
      <c r="CA19" s="28">
        <v>-2.2971576002666669</v>
      </c>
      <c r="CB19" s="28">
        <v>-1.0706102002</v>
      </c>
      <c r="CC19" s="28">
        <v>-2.4135029335999998</v>
      </c>
      <c r="CD19" s="28">
        <v>-1.260490866866667</v>
      </c>
      <c r="CE19" s="28">
        <v>-1.3794068335</v>
      </c>
      <c r="CF19" s="28">
        <v>-2.411465266933333</v>
      </c>
      <c r="CG19" s="28">
        <v>-1.695138266933333</v>
      </c>
      <c r="CH19" s="28">
        <v>-2.263609266933333</v>
      </c>
      <c r="CI19" s="28">
        <v>-2.7110009999992141E-4</v>
      </c>
      <c r="CJ19" s="28">
        <v>-2.0661939002333329</v>
      </c>
      <c r="CK19" s="28">
        <v>-2.025001666670079E-4</v>
      </c>
      <c r="CL19" s="28">
        <v>-1.0503682002000001</v>
      </c>
      <c r="CM19" s="28">
        <v>-7.9200199999962528E-5</v>
      </c>
      <c r="CN19" s="28">
        <v>2.6853320000008729E-4</v>
      </c>
      <c r="CO19" s="28">
        <v>-0.77931886686666718</v>
      </c>
      <c r="CP19" s="28">
        <v>-2.4876509335999999</v>
      </c>
      <c r="CQ19" s="28">
        <v>-2.5880013333345891E-4</v>
      </c>
      <c r="CR19" s="28">
        <v>-2.4410009999986659E-4</v>
      </c>
      <c r="CS19" s="28">
        <v>-1.650591500266666</v>
      </c>
      <c r="CT19" s="28">
        <v>-2.0602223002333329</v>
      </c>
      <c r="CU19" s="28">
        <v>1.8709976666642089E-4</v>
      </c>
      <c r="CV19" s="28">
        <v>-2.0446455668999999</v>
      </c>
      <c r="CW19" s="28">
        <v>-2.1210009999994561E-4</v>
      </c>
      <c r="CX19" s="28">
        <v>-1.18433433333065E-4</v>
      </c>
      <c r="CY19" s="28">
        <v>-2.4641219336</v>
      </c>
      <c r="CZ19" s="28">
        <v>-1.9546679999993269E-4</v>
      </c>
      <c r="DA19" s="28">
        <v>-2.2962289336000001</v>
      </c>
      <c r="DB19" s="28">
        <v>-0.8488348335</v>
      </c>
      <c r="DC19" s="28">
        <v>-2.8176676666691319E-4</v>
      </c>
      <c r="DD19" s="28">
        <v>-3.2546679999967409E-4</v>
      </c>
      <c r="DE19" s="28">
        <v>1.2319986666997629E-4</v>
      </c>
      <c r="DF19" s="28">
        <v>-1.3023432335666669</v>
      </c>
      <c r="DG19" s="28">
        <v>-2.4786509336</v>
      </c>
      <c r="DH19" s="28">
        <v>-0.55480560026666992</v>
      </c>
      <c r="DI19" s="28">
        <v>-0.59648856690000029</v>
      </c>
      <c r="DJ19" s="28">
        <v>-2.2001889335999998</v>
      </c>
      <c r="DK19" s="28">
        <v>-2.0258595668999999</v>
      </c>
      <c r="DL19" s="28">
        <v>-1.8424882002</v>
      </c>
      <c r="DM19" s="28">
        <v>-2.1658376002666668</v>
      </c>
      <c r="DN19" s="28">
        <v>-2.5026509336</v>
      </c>
      <c r="DO19" s="28">
        <v>-2.3502376002666661</v>
      </c>
      <c r="DP19" s="28">
        <v>1.443316666716044E-5</v>
      </c>
      <c r="DQ19" s="28">
        <v>-0.2002388334999998</v>
      </c>
      <c r="DR19" s="28">
        <v>-2.4541209336000001</v>
      </c>
      <c r="DS19" s="28">
        <v>-3.2546679999989608E-4</v>
      </c>
      <c r="DT19" s="28">
        <v>2.05199866666117E-4</v>
      </c>
      <c r="DU19" s="28">
        <v>1.8853320000000731E-4</v>
      </c>
      <c r="DV19" s="28">
        <v>8.25999333330385E-5</v>
      </c>
      <c r="DW19" s="28">
        <v>-1.2748836905276879</v>
      </c>
      <c r="DX19" s="34">
        <v>-158.0855776254333</v>
      </c>
    </row>
    <row r="20" spans="1:128" x14ac:dyDescent="0.25">
      <c r="A20" s="24">
        <v>19</v>
      </c>
      <c r="B20" s="26">
        <v>9</v>
      </c>
      <c r="C20" s="28">
        <v>-0.57846201466666736</v>
      </c>
      <c r="D20" s="28">
        <v>-1.6813596016666681</v>
      </c>
      <c r="E20" s="28">
        <v>-1.666094601666668</v>
      </c>
      <c r="F20" s="28">
        <v>4.603186666660708E-4</v>
      </c>
      <c r="G20" s="28">
        <v>-2.6781895293333351</v>
      </c>
      <c r="H20" s="28">
        <v>-2.2688376960000012</v>
      </c>
      <c r="I20" s="28">
        <v>-2.7155753626666681</v>
      </c>
      <c r="J20" s="28">
        <v>-1.065536855333334</v>
      </c>
      <c r="K20" s="28">
        <v>-4.84348000001189E-4</v>
      </c>
      <c r="L20" s="28">
        <v>-1.798283855333334</v>
      </c>
      <c r="M20" s="28">
        <v>-2.6784223626666681</v>
      </c>
      <c r="N20" s="28">
        <v>-2.7215753626666679</v>
      </c>
      <c r="O20" s="28">
        <v>-2.643118696000001</v>
      </c>
      <c r="P20" s="28">
        <v>-2.3016754423333352</v>
      </c>
      <c r="Q20" s="28">
        <v>-2.6334800000391711E-4</v>
      </c>
      <c r="R20" s="28">
        <v>-4.3942766666704708E-4</v>
      </c>
      <c r="S20" s="28">
        <v>-2.8768133333390011E-4</v>
      </c>
      <c r="T20" s="28">
        <v>-4.6384066666699248E-4</v>
      </c>
      <c r="U20" s="28">
        <v>-2.516656362666668</v>
      </c>
      <c r="V20" s="28">
        <v>-2.5363273626666678</v>
      </c>
      <c r="W20" s="28">
        <v>-2.0601466666714249E-4</v>
      </c>
      <c r="X20" s="28">
        <v>-1.178458935000001</v>
      </c>
      <c r="Y20" s="28">
        <v>-1.9328981886666681</v>
      </c>
      <c r="Z20" s="28">
        <v>-2.7135753626666679</v>
      </c>
      <c r="AA20" s="28">
        <v>-1.302706442333335</v>
      </c>
      <c r="AB20" s="28">
        <v>-0.24323126833333419</v>
      </c>
      <c r="AC20" s="28">
        <v>-2.6947603626666679</v>
      </c>
      <c r="AD20" s="28">
        <v>-2.6877070293333349</v>
      </c>
      <c r="AE20" s="28">
        <v>-2.5420653626666678</v>
      </c>
      <c r="AF20" s="28">
        <v>-1.765494188666668</v>
      </c>
      <c r="AG20" s="28">
        <v>-0.9311269350000011</v>
      </c>
      <c r="AH20" s="28">
        <v>-2.7225753626666682</v>
      </c>
      <c r="AI20" s="28">
        <v>-2.2251161090000018</v>
      </c>
      <c r="AJ20" s="28">
        <v>-1.6195701090000021</v>
      </c>
      <c r="AK20" s="28">
        <v>-1.7058127886666681</v>
      </c>
      <c r="AL20" s="28">
        <v>-0.31315926833333507</v>
      </c>
      <c r="AM20" s="28">
        <v>3.3965199999996809E-4</v>
      </c>
      <c r="AN20" s="28">
        <v>-2.5864133626666681</v>
      </c>
      <c r="AO20" s="28">
        <v>-2.3937196960000011</v>
      </c>
      <c r="AP20" s="28">
        <v>-2.2203747756666679</v>
      </c>
      <c r="AQ20" s="28">
        <v>-2.2393258423333351</v>
      </c>
      <c r="AR20" s="28">
        <v>-2.3779586960000012</v>
      </c>
      <c r="AS20" s="28">
        <v>-2.0355753626666679</v>
      </c>
      <c r="AT20" s="28">
        <v>-1.937480000000491E-4</v>
      </c>
      <c r="AU20" s="28">
        <v>-1.516878695999998</v>
      </c>
      <c r="AV20" s="28">
        <v>-2.337730109000002</v>
      </c>
      <c r="AW20" s="28">
        <v>-2.708575362666668</v>
      </c>
      <c r="AX20" s="28">
        <v>-0.73714193500000202</v>
      </c>
      <c r="AY20" s="28">
        <v>-2.3973590293333338</v>
      </c>
      <c r="AZ20" s="28">
        <v>-1.924739188666668</v>
      </c>
      <c r="BA20" s="28">
        <v>-2.0325927220000009</v>
      </c>
      <c r="BB20" s="28">
        <v>-2.415417362666668</v>
      </c>
      <c r="BC20" s="28">
        <v>-2.5996353626666679</v>
      </c>
      <c r="BD20" s="28">
        <v>4.8257233333304228E-4</v>
      </c>
      <c r="BE20" s="28">
        <v>-2.6147366960000009</v>
      </c>
      <c r="BF20" s="28">
        <v>-0.85467226833333476</v>
      </c>
      <c r="BG20" s="28">
        <v>-4.4776099999999103E-4</v>
      </c>
      <c r="BH20" s="28">
        <v>-1.5968133333399409E-4</v>
      </c>
      <c r="BI20" s="28">
        <v>-1.6434660293333381</v>
      </c>
      <c r="BJ20" s="28">
        <v>-0.39142768133333389</v>
      </c>
      <c r="BK20" s="28">
        <v>-1.4223474423333351</v>
      </c>
      <c r="BL20" s="28">
        <v>-2.3652261090000022</v>
      </c>
      <c r="BM20" s="28">
        <v>5.1651999999346998E-5</v>
      </c>
      <c r="BN20" s="28">
        <v>1.7572333332993569E-5</v>
      </c>
      <c r="BO20" s="28">
        <v>-2.1661011090000022</v>
      </c>
      <c r="BP20" s="28">
        <v>-2.0264315220000011</v>
      </c>
      <c r="BQ20" s="28">
        <v>-2.5613100293333351</v>
      </c>
      <c r="BR20" s="28">
        <v>-1.287791775666665</v>
      </c>
      <c r="BS20" s="28">
        <v>-3.3188133333406089E-4</v>
      </c>
      <c r="BT20" s="28">
        <v>-1.8368788553333339</v>
      </c>
      <c r="BU20" s="28">
        <v>-2.6008600293333348</v>
      </c>
      <c r="BV20" s="28">
        <v>-1.7390698553333339</v>
      </c>
      <c r="BW20" s="28">
        <v>-2.1811916960000008</v>
      </c>
      <c r="BX20" s="28">
        <v>-2.1419524423333351</v>
      </c>
      <c r="BY20" s="28">
        <v>-1.403441695999998</v>
      </c>
      <c r="BZ20" s="28">
        <v>-1.7899170220000009</v>
      </c>
      <c r="CA20" s="28">
        <v>-2.572115362666668</v>
      </c>
      <c r="CB20" s="28">
        <v>-1.8159115220000011</v>
      </c>
      <c r="CC20" s="28">
        <v>-2.708432029333335</v>
      </c>
      <c r="CD20" s="28">
        <v>-1.9393615220000009</v>
      </c>
      <c r="CE20" s="28">
        <v>-1.684359601666668</v>
      </c>
      <c r="CF20" s="28">
        <v>-2.7295753626666679</v>
      </c>
      <c r="CG20" s="28">
        <v>-1.1260083626666679</v>
      </c>
      <c r="CH20" s="28">
        <v>-2.5585100293333349</v>
      </c>
      <c r="CI20" s="28">
        <v>4.0657233333285531E-4</v>
      </c>
      <c r="CJ20" s="28">
        <v>-2.3735034423333352</v>
      </c>
      <c r="CK20" s="28">
        <v>-0.91348026833333484</v>
      </c>
      <c r="CL20" s="28">
        <v>-1.7289815220000011</v>
      </c>
      <c r="CM20" s="28">
        <v>-1.3349548553333339</v>
      </c>
      <c r="CN20" s="28">
        <v>2.674853333330951E-4</v>
      </c>
      <c r="CO20" s="28">
        <v>-1.6900848553333341</v>
      </c>
      <c r="CP20" s="28">
        <v>-2.6755486960000008</v>
      </c>
      <c r="CQ20" s="28">
        <v>1.816519999990884E-4</v>
      </c>
      <c r="CR20" s="28">
        <v>-4.0242766666698238E-4</v>
      </c>
      <c r="CS20" s="28">
        <v>-2.6322733626666679</v>
      </c>
      <c r="CT20" s="28">
        <v>-0.94824197566666513</v>
      </c>
      <c r="CU20" s="28">
        <v>-1.9971874423333349</v>
      </c>
      <c r="CV20" s="28">
        <v>-2.3550674423333349</v>
      </c>
      <c r="CW20" s="28">
        <v>-2.15760999999981E-4</v>
      </c>
      <c r="CX20" s="28">
        <v>-6.7761000000055027E-5</v>
      </c>
      <c r="CY20" s="28">
        <v>-2.6960463626666682</v>
      </c>
      <c r="CZ20" s="28">
        <v>-0.33365468133333398</v>
      </c>
      <c r="DA20" s="28">
        <v>-2.4390853626666682</v>
      </c>
      <c r="DB20" s="28">
        <v>-1.6739309350000009</v>
      </c>
      <c r="DC20" s="28">
        <v>-4.9576100000003898E-4</v>
      </c>
      <c r="DD20" s="28">
        <v>-1.0552876813333341</v>
      </c>
      <c r="DE20" s="28">
        <v>-3.9434800000415221E-4</v>
      </c>
      <c r="DF20" s="28">
        <v>-2.204356775666668</v>
      </c>
      <c r="DG20" s="28">
        <v>-2.5599120293333351</v>
      </c>
      <c r="DH20" s="28">
        <v>-2.6756606960000009</v>
      </c>
      <c r="DI20" s="28">
        <v>-2.1000787756666681</v>
      </c>
      <c r="DJ20" s="28">
        <v>-2.7115753626666681</v>
      </c>
      <c r="DK20" s="28">
        <v>-2.1894984423333348</v>
      </c>
      <c r="DL20" s="28">
        <v>-2.0164315220000009</v>
      </c>
      <c r="DM20" s="28">
        <v>-2.5031386960000011</v>
      </c>
      <c r="DN20" s="28">
        <v>-2.4231533626666679</v>
      </c>
      <c r="DO20" s="28">
        <v>-2.7305753626666678</v>
      </c>
      <c r="DP20" s="28">
        <v>-0.71597726833333497</v>
      </c>
      <c r="DQ20" s="28">
        <v>-1.593821601666668</v>
      </c>
      <c r="DR20" s="28">
        <v>-2.6031733626666682</v>
      </c>
      <c r="DS20" s="28">
        <v>-2.8768133333412221E-4</v>
      </c>
      <c r="DT20" s="28">
        <v>-3.9768133333417671E-4</v>
      </c>
      <c r="DU20" s="28">
        <v>-4.9601466666804317E-4</v>
      </c>
      <c r="DV20" s="28">
        <v>-3.1684066666697042E-4</v>
      </c>
      <c r="DW20" s="28">
        <v>-1.556384943932797</v>
      </c>
      <c r="DX20" s="34">
        <v>-192.99173304766691</v>
      </c>
    </row>
    <row r="21" spans="1:128" x14ac:dyDescent="0.25">
      <c r="A21" s="24">
        <v>20</v>
      </c>
      <c r="B21" s="26">
        <v>9.5</v>
      </c>
      <c r="C21" s="28">
        <v>-1.3122420363999989</v>
      </c>
      <c r="D21" s="28">
        <v>-1.770517628833332</v>
      </c>
      <c r="E21" s="28">
        <v>-1.793389628833332</v>
      </c>
      <c r="F21" s="28">
        <v>-1.880363999988699E-4</v>
      </c>
      <c r="G21" s="28">
        <v>-2.665784072799998</v>
      </c>
      <c r="H21" s="28">
        <v>-2.6125727394666649</v>
      </c>
      <c r="I21" s="28">
        <v>-2.7955780727999988</v>
      </c>
      <c r="J21" s="28">
        <v>-1.970374887933332</v>
      </c>
      <c r="K21" s="28">
        <v>-4.8436973333298988E-4</v>
      </c>
      <c r="L21" s="28">
        <v>-1.9591668879333319</v>
      </c>
      <c r="M21" s="28">
        <v>-2.841956406133332</v>
      </c>
      <c r="N21" s="28">
        <v>-2.2561910727999992</v>
      </c>
      <c r="O21" s="28">
        <v>-2.7597634061333318</v>
      </c>
      <c r="P21" s="28">
        <v>-2.5106508136999981</v>
      </c>
      <c r="Q21" s="28">
        <v>-2.8203639999890839E-4</v>
      </c>
      <c r="R21" s="28">
        <v>-1.177729999901622E-5</v>
      </c>
      <c r="S21" s="28">
        <v>-5.8191703066665879E-2</v>
      </c>
      <c r="T21" s="28">
        <v>-2.4518486666597061E-4</v>
      </c>
      <c r="U21" s="28">
        <v>-2.6920127394666649</v>
      </c>
      <c r="V21" s="28">
        <v>-2.6740527394666649</v>
      </c>
      <c r="W21" s="28">
        <v>-0.30053970306666611</v>
      </c>
      <c r="X21" s="28">
        <v>-1.535277962166665</v>
      </c>
      <c r="Y21" s="28">
        <v>-2.1937875545999992</v>
      </c>
      <c r="Z21" s="28">
        <v>-2.9113834061333321</v>
      </c>
      <c r="AA21" s="28">
        <v>-2.462862480366665</v>
      </c>
      <c r="AB21" s="28">
        <v>-1.6837756288333321</v>
      </c>
      <c r="AC21" s="28">
        <v>-2.2850234061333321</v>
      </c>
      <c r="AD21" s="28">
        <v>-2.2580764061333318</v>
      </c>
      <c r="AE21" s="28">
        <v>-2.7398734061333321</v>
      </c>
      <c r="AF21" s="28">
        <v>-1.885738554599999</v>
      </c>
      <c r="AG21" s="28">
        <v>-1.4232112954999989</v>
      </c>
      <c r="AH21" s="28">
        <v>-2.920383406133332</v>
      </c>
      <c r="AI21" s="28">
        <v>-2.3963008136999981</v>
      </c>
      <c r="AJ21" s="28">
        <v>-1.3042988136999949</v>
      </c>
      <c r="AK21" s="28">
        <v>-1.7596628879333329</v>
      </c>
      <c r="AL21" s="28">
        <v>-1.4572896288333319</v>
      </c>
      <c r="AM21" s="28">
        <v>-3.7703639999886462E-4</v>
      </c>
      <c r="AN21" s="28">
        <v>-2.9193834061333321</v>
      </c>
      <c r="AO21" s="28">
        <v>-2.0150557061333312</v>
      </c>
      <c r="AP21" s="28">
        <v>-2.5495854803666651</v>
      </c>
      <c r="AQ21" s="28">
        <v>-2.4641504803666652</v>
      </c>
      <c r="AR21" s="28">
        <v>-2.2146367394666648</v>
      </c>
      <c r="AS21" s="28">
        <v>-3.178383406133332</v>
      </c>
      <c r="AT21" s="28">
        <v>-4.1270306666585382E-4</v>
      </c>
      <c r="AU21" s="28">
        <v>-2.6732447394666652</v>
      </c>
      <c r="AV21" s="28">
        <v>-2.3393694803666651</v>
      </c>
      <c r="AW21" s="28">
        <v>-2.9063834061333318</v>
      </c>
      <c r="AX21" s="28">
        <v>-1.4461586288333319</v>
      </c>
      <c r="AY21" s="28">
        <v>-1.5581747394666621</v>
      </c>
      <c r="AZ21" s="28">
        <v>-2.0367475545999989</v>
      </c>
      <c r="BA21" s="28">
        <v>-2.144217021266666</v>
      </c>
      <c r="BB21" s="28">
        <v>-2.6486314061333318</v>
      </c>
      <c r="BC21" s="28">
        <v>-2.9313834061333321</v>
      </c>
      <c r="BD21" s="28">
        <v>-4.3877729999897142E-4</v>
      </c>
      <c r="BE21" s="28">
        <v>-2.8422824061333318</v>
      </c>
      <c r="BF21" s="28">
        <v>-1.1399096288333319</v>
      </c>
      <c r="BG21" s="28">
        <v>1.0622270000082421E-4</v>
      </c>
      <c r="BH21" s="28">
        <v>-0.45823370306666589</v>
      </c>
      <c r="BI21" s="28">
        <v>-2.650551406133332</v>
      </c>
      <c r="BJ21" s="28">
        <v>-1.1617667030666661</v>
      </c>
      <c r="BK21" s="28">
        <v>-1.4778654803666651</v>
      </c>
      <c r="BL21" s="28">
        <v>-2.339247480366665</v>
      </c>
      <c r="BM21" s="28">
        <v>-0.31201436973333291</v>
      </c>
      <c r="BN21" s="28">
        <v>3.9688936666792962E-4</v>
      </c>
      <c r="BO21" s="28">
        <v>-2.507772147033331</v>
      </c>
      <c r="BP21" s="28">
        <v>-2.0409928879333319</v>
      </c>
      <c r="BQ21" s="28">
        <v>-2.9265799061333322</v>
      </c>
      <c r="BR21" s="28">
        <v>-2.1375538136999981</v>
      </c>
      <c r="BS21" s="28">
        <v>-1.093697333329757E-4</v>
      </c>
      <c r="BT21" s="28">
        <v>-2.0879675545999992</v>
      </c>
      <c r="BU21" s="28">
        <v>-2.9103834061333318</v>
      </c>
      <c r="BV21" s="28">
        <v>-1.824869621266666</v>
      </c>
      <c r="BW21" s="28">
        <v>-2.313845406133332</v>
      </c>
      <c r="BX21" s="28">
        <v>-2.3584280470333319</v>
      </c>
      <c r="BY21" s="28">
        <v>-3.6768406133331773E-2</v>
      </c>
      <c r="BZ21" s="28">
        <v>-2.1732665879333322</v>
      </c>
      <c r="CA21" s="28">
        <v>-2.779923406133332</v>
      </c>
      <c r="CB21" s="28">
        <v>-1.9864605545999989</v>
      </c>
      <c r="CC21" s="28">
        <v>-2.8492367394666651</v>
      </c>
      <c r="CD21" s="28">
        <v>-2.0027602212666662</v>
      </c>
      <c r="CE21" s="28">
        <v>-1.8079896288333319</v>
      </c>
      <c r="CF21" s="28">
        <v>-2.841197739466665</v>
      </c>
      <c r="CG21" s="28">
        <v>-1.6058179394666621</v>
      </c>
      <c r="CH21" s="28">
        <v>-2.8821258061333319</v>
      </c>
      <c r="CI21" s="28">
        <v>-1.31443966669087E-4</v>
      </c>
      <c r="CJ21" s="28">
        <v>-2.0042188136999979</v>
      </c>
      <c r="CK21" s="28">
        <v>-1.6337322954999991</v>
      </c>
      <c r="CL21" s="28">
        <v>-2.074787554599999</v>
      </c>
      <c r="CM21" s="28">
        <v>-2.108896221266666</v>
      </c>
      <c r="CN21" s="28">
        <v>-0.28967503639999892</v>
      </c>
      <c r="CO21" s="28">
        <v>-1.9556622212666659</v>
      </c>
      <c r="CP21" s="28">
        <v>-2.9004500727999991</v>
      </c>
      <c r="CQ21" s="28">
        <v>2.216302666671055E-4</v>
      </c>
      <c r="CR21" s="28">
        <v>-4.2044396666574002E-4</v>
      </c>
      <c r="CS21" s="28">
        <v>-2.9093834061333319</v>
      </c>
      <c r="CT21" s="28">
        <v>-2.4166348136999982</v>
      </c>
      <c r="CU21" s="28">
        <v>-2.2923996803666649</v>
      </c>
      <c r="CV21" s="28">
        <v>-2.3713324803666649</v>
      </c>
      <c r="CW21" s="28">
        <v>-3.9377729999889871E-4</v>
      </c>
      <c r="CX21" s="28">
        <v>-2.5444396666596258E-4</v>
      </c>
      <c r="CY21" s="28">
        <v>-2.8810114061333318</v>
      </c>
      <c r="CZ21" s="28">
        <v>-1.256732369733333</v>
      </c>
      <c r="DA21" s="28">
        <v>-2.727723406133332</v>
      </c>
      <c r="DB21" s="28">
        <v>-1.7975609621666651</v>
      </c>
      <c r="DC21" s="28">
        <v>-3.2744396666894993E-4</v>
      </c>
      <c r="DD21" s="28">
        <v>-1.2386283697333329</v>
      </c>
      <c r="DE21" s="28">
        <v>1.356302666641884E-4</v>
      </c>
      <c r="DF21" s="28">
        <v>-1.9886411470333321</v>
      </c>
      <c r="DG21" s="28">
        <v>-2.7550447394666651</v>
      </c>
      <c r="DH21" s="28">
        <v>-2.8889430061333319</v>
      </c>
      <c r="DI21" s="28">
        <v>-2.410004147033332</v>
      </c>
      <c r="DJ21" s="28">
        <v>-2.797146406133332</v>
      </c>
      <c r="DK21" s="28">
        <v>-2.3274111470333319</v>
      </c>
      <c r="DL21" s="28">
        <v>-2.1647875545999988</v>
      </c>
      <c r="DM21" s="28">
        <v>-2.6956987394666649</v>
      </c>
      <c r="DN21" s="28">
        <v>-2.932383406133332</v>
      </c>
      <c r="DO21" s="28">
        <v>-2.8746210727999979</v>
      </c>
      <c r="DP21" s="28">
        <v>-1.5507696288333319</v>
      </c>
      <c r="DQ21" s="28">
        <v>-1.270626962166665</v>
      </c>
      <c r="DR21" s="28">
        <v>-2.9183834061333318</v>
      </c>
      <c r="DS21" s="28">
        <v>-0.20212636973333239</v>
      </c>
      <c r="DT21" s="28">
        <v>4.4896360000090668E-4</v>
      </c>
      <c r="DU21" s="28">
        <v>-0.91809170306666588</v>
      </c>
      <c r="DV21" s="28">
        <v>-8.1184866665917621E-5</v>
      </c>
      <c r="DW21" s="28">
        <v>-1.7760290647309129</v>
      </c>
      <c r="DX21" s="34">
        <v>-220.2276040266332</v>
      </c>
    </row>
    <row r="22" spans="1:128" x14ac:dyDescent="0.25">
      <c r="A22" s="24">
        <v>21</v>
      </c>
      <c r="B22" s="26">
        <v>10</v>
      </c>
      <c r="C22" s="28">
        <v>-1.5064064715333341</v>
      </c>
      <c r="D22" s="28">
        <v>-1.758381589416667</v>
      </c>
      <c r="E22" s="28">
        <v>-1.9070055894166671</v>
      </c>
      <c r="F22" s="28">
        <v>-2.484715333337939E-4</v>
      </c>
      <c r="G22" s="28">
        <v>-3.0930089430666681</v>
      </c>
      <c r="H22" s="28">
        <v>-2.989632276400001</v>
      </c>
      <c r="I22" s="28">
        <v>-2.9354056097333352</v>
      </c>
      <c r="J22" s="28">
        <v>-1.877146707300001</v>
      </c>
      <c r="K22" s="28">
        <v>-1.194631138200001</v>
      </c>
      <c r="L22" s="28">
        <v>-1.9373127073000009</v>
      </c>
      <c r="M22" s="28">
        <v>-2.8777289430666682</v>
      </c>
      <c r="N22" s="28">
        <v>-1.9840932097333379</v>
      </c>
      <c r="O22" s="28">
        <v>-2.9069079430666682</v>
      </c>
      <c r="P22" s="28">
        <v>-2.455879825183334</v>
      </c>
      <c r="Q22" s="28">
        <v>8.8195133332691356E-5</v>
      </c>
      <c r="R22" s="28">
        <v>-4.5068698333294849E-4</v>
      </c>
      <c r="S22" s="28">
        <v>-1.5160044715333341</v>
      </c>
      <c r="T22" s="28">
        <v>-7.8235766666934214E-5</v>
      </c>
      <c r="U22" s="28">
        <v>-2.765111609733335</v>
      </c>
      <c r="V22" s="28">
        <v>-2.238534943066667</v>
      </c>
      <c r="W22" s="28">
        <v>1.388617999964481E-4</v>
      </c>
      <c r="X22" s="28">
        <v>-1.696019256083334</v>
      </c>
      <c r="Y22" s="28">
        <v>-2.2508600406333339</v>
      </c>
      <c r="Z22" s="28">
        <v>-2.9294432764000011</v>
      </c>
      <c r="AA22" s="28">
        <v>-2.6945078251833339</v>
      </c>
      <c r="AB22" s="28">
        <v>-1.1238309227500001</v>
      </c>
      <c r="AC22" s="28">
        <v>-1.029008943066668</v>
      </c>
      <c r="AD22" s="28">
        <v>-2.2170026097333349</v>
      </c>
      <c r="AE22" s="28">
        <v>-2.913498943066668</v>
      </c>
      <c r="AF22" s="28">
        <v>-2.3050067073000009</v>
      </c>
      <c r="AG22" s="28">
        <v>-1.4570165894166669</v>
      </c>
      <c r="AH22" s="28">
        <v>-3.090008943066668</v>
      </c>
      <c r="AI22" s="28">
        <v>-2.4913758251833338</v>
      </c>
      <c r="AJ22" s="28">
        <v>-2.5564678251833342</v>
      </c>
      <c r="AK22" s="28">
        <v>-1.6940733739666669</v>
      </c>
      <c r="AL22" s="28">
        <v>-1.781464256083334</v>
      </c>
      <c r="AM22" s="28">
        <v>-0.30427847153333398</v>
      </c>
      <c r="AN22" s="28">
        <v>-2.980373943066668</v>
      </c>
      <c r="AO22" s="28">
        <v>-2.892000243066668</v>
      </c>
      <c r="AP22" s="28">
        <v>-2.701507825183334</v>
      </c>
      <c r="AQ22" s="28">
        <v>-2.686466225183334</v>
      </c>
      <c r="AR22" s="28">
        <v>-2.6454672764000011</v>
      </c>
      <c r="AS22" s="28">
        <v>-2.9321189430666679</v>
      </c>
      <c r="AT22" s="28">
        <v>2.552846666614705E-5</v>
      </c>
      <c r="AU22" s="28">
        <v>-2.8884009430666682</v>
      </c>
      <c r="AV22" s="28">
        <v>-2.6925078251833341</v>
      </c>
      <c r="AW22" s="28">
        <v>-3.0800089430666682</v>
      </c>
      <c r="AX22" s="28">
        <v>-0.6570645894166669</v>
      </c>
      <c r="AY22" s="28">
        <v>-2.7170729430666678</v>
      </c>
      <c r="AZ22" s="28">
        <v>-2.1669667073000012</v>
      </c>
      <c r="BA22" s="28">
        <v>-2.1882467073000011</v>
      </c>
      <c r="BB22" s="28">
        <v>-2.0998076097333378</v>
      </c>
      <c r="BC22" s="28">
        <v>-3.0373382764000012</v>
      </c>
      <c r="BD22" s="28">
        <v>-6.1353649999817961E-5</v>
      </c>
      <c r="BE22" s="28">
        <v>-2.7106232764000011</v>
      </c>
      <c r="BF22" s="28">
        <v>-1.460013589416667</v>
      </c>
      <c r="BG22" s="28">
        <v>3.5231301666716058E-4</v>
      </c>
      <c r="BH22" s="28">
        <v>-1.3681244715333341</v>
      </c>
      <c r="BI22" s="28">
        <v>-2.8499772764000011</v>
      </c>
      <c r="BJ22" s="28">
        <v>-1.5062928048666671</v>
      </c>
      <c r="BK22" s="28">
        <v>-2.5733084918500011</v>
      </c>
      <c r="BL22" s="28">
        <v>-2.6839531585166672</v>
      </c>
      <c r="BM22" s="28">
        <v>-0.97372047153333385</v>
      </c>
      <c r="BN22" s="28">
        <v>3.6731301666703692E-4</v>
      </c>
      <c r="BO22" s="28">
        <v>-2.6379318251833341</v>
      </c>
      <c r="BP22" s="28">
        <v>-0.9752667073000012</v>
      </c>
      <c r="BQ22" s="28">
        <v>-2.8450957764000009</v>
      </c>
      <c r="BR22" s="28">
        <v>-2.5037278251833341</v>
      </c>
      <c r="BS22" s="28">
        <v>2.5319513333310622E-4</v>
      </c>
      <c r="BT22" s="28">
        <v>-2.147962373966668</v>
      </c>
      <c r="BU22" s="28">
        <v>-3.0121919430666679</v>
      </c>
      <c r="BV22" s="28">
        <v>-2.3049175073000008</v>
      </c>
      <c r="BW22" s="28">
        <v>-2.7628196097333348</v>
      </c>
      <c r="BX22" s="28">
        <v>-2.6870494251833339</v>
      </c>
      <c r="BY22" s="28">
        <v>-1.2491626097333379</v>
      </c>
      <c r="BZ22" s="28">
        <v>-2.312006707300001</v>
      </c>
      <c r="CA22" s="28">
        <v>-3.0830089430666678</v>
      </c>
      <c r="CB22" s="28">
        <v>-2.2444557073000011</v>
      </c>
      <c r="CC22" s="28">
        <v>-3.0880089430666682</v>
      </c>
      <c r="CD22" s="28">
        <v>-2.220585707300001</v>
      </c>
      <c r="CE22" s="28">
        <v>-1.9165055894166669</v>
      </c>
      <c r="CF22" s="28">
        <v>-2.928635276400001</v>
      </c>
      <c r="CG22" s="28">
        <v>-2.180142276400002</v>
      </c>
      <c r="CH22" s="28">
        <v>-2.9847139097333351</v>
      </c>
      <c r="CI22" s="28">
        <v>4.723130166660594E-4</v>
      </c>
      <c r="CJ22" s="28">
        <v>-2.6806171585166672</v>
      </c>
      <c r="CK22" s="28">
        <v>-1.753169589416667</v>
      </c>
      <c r="CL22" s="28">
        <v>-2.1752383739666681</v>
      </c>
      <c r="CM22" s="28">
        <v>-2.0976310406333338</v>
      </c>
      <c r="CN22" s="28">
        <v>-1.349933138200001</v>
      </c>
      <c r="CO22" s="28">
        <v>-1.9082387073000009</v>
      </c>
      <c r="CP22" s="28">
        <v>-3.0910089430666678</v>
      </c>
      <c r="CQ22" s="28">
        <v>-1.2230044715333339</v>
      </c>
      <c r="CR22" s="28">
        <v>-6.3495220316666767E-2</v>
      </c>
      <c r="CS22" s="28">
        <v>-3.0830089430666678</v>
      </c>
      <c r="CT22" s="28">
        <v>-2.6315078251833341</v>
      </c>
      <c r="CU22" s="28">
        <v>-2.340889225183334</v>
      </c>
      <c r="CV22" s="28">
        <v>-2.4325988251833341</v>
      </c>
      <c r="CW22" s="28">
        <v>-0.36112068698333388</v>
      </c>
      <c r="CX22" s="28">
        <v>-4.3868698333282552E-4</v>
      </c>
      <c r="CY22" s="28">
        <v>-3.0803229430666681</v>
      </c>
      <c r="CZ22" s="28">
        <v>-1.452599004866667</v>
      </c>
      <c r="DA22" s="28">
        <v>-2.8734056097333349</v>
      </c>
      <c r="DB22" s="28">
        <v>-1.5193135894166669</v>
      </c>
      <c r="DC22" s="28">
        <v>-2.3302031666605491E-4</v>
      </c>
      <c r="DD22" s="28">
        <v>-1.5280044715333341</v>
      </c>
      <c r="DE22" s="28">
        <v>-4.4715333338274377E-6</v>
      </c>
      <c r="DF22" s="28">
        <v>-2.1170718251833338</v>
      </c>
      <c r="DG22" s="28">
        <v>-2.7732499430666682</v>
      </c>
      <c r="DH22" s="28">
        <v>-2.969262676400001</v>
      </c>
      <c r="DI22" s="28">
        <v>-2.4700158251833342</v>
      </c>
      <c r="DJ22" s="28">
        <v>-2.7864772764000012</v>
      </c>
      <c r="DK22" s="28">
        <v>-2.5505978251833339</v>
      </c>
      <c r="DL22" s="28">
        <v>-2.2950067073000011</v>
      </c>
      <c r="DM22" s="28">
        <v>-2.8096116097333348</v>
      </c>
      <c r="DN22" s="28">
        <v>-2.950122276400001</v>
      </c>
      <c r="DO22" s="28">
        <v>-2.9080292764000011</v>
      </c>
      <c r="DP22" s="28">
        <v>-1.633198256083334</v>
      </c>
      <c r="DQ22" s="28">
        <v>-0.99154225608333402</v>
      </c>
      <c r="DR22" s="28">
        <v>-3.0920089430666682</v>
      </c>
      <c r="DS22" s="28">
        <v>-1.435864471533334</v>
      </c>
      <c r="DT22" s="28">
        <v>-2.691382000039183E-4</v>
      </c>
      <c r="DU22" s="28">
        <v>-1.201729471533334</v>
      </c>
      <c r="DV22" s="28">
        <v>3.5076423333302298E-4</v>
      </c>
      <c r="DW22" s="28">
        <v>-1.949042249825135</v>
      </c>
      <c r="DX22" s="34">
        <v>-241.6812389783168</v>
      </c>
    </row>
    <row r="23" spans="1:128" x14ac:dyDescent="0.25">
      <c r="A23" s="24">
        <v>22</v>
      </c>
      <c r="B23" s="26">
        <v>10.5</v>
      </c>
      <c r="C23" s="28">
        <v>-1.5986525605999999</v>
      </c>
      <c r="D23" s="28">
        <v>-2.0030657007500001</v>
      </c>
      <c r="E23" s="28">
        <v>-1.98606570075</v>
      </c>
      <c r="F23" s="28">
        <v>-1.4098289272666671</v>
      </c>
      <c r="G23" s="28">
        <v>-3.2363051212</v>
      </c>
      <c r="H23" s="28">
        <v>-3.1495951212</v>
      </c>
      <c r="I23" s="28">
        <v>-3.1760084545333331</v>
      </c>
      <c r="J23" s="28">
        <v>-0.5344355075666698</v>
      </c>
      <c r="K23" s="28">
        <v>-1.437531893933333</v>
      </c>
      <c r="L23" s="28">
        <v>-2.2377968409000002</v>
      </c>
      <c r="M23" s="28">
        <v>-3.1177251211999999</v>
      </c>
      <c r="N23" s="28">
        <v>-1.69830085453333</v>
      </c>
      <c r="O23" s="28">
        <v>-2.6534801211999999</v>
      </c>
      <c r="P23" s="28">
        <v>-2.8278919810500001</v>
      </c>
      <c r="Q23" s="28">
        <v>-0.93509256060000001</v>
      </c>
      <c r="R23" s="28">
        <v>1.8124621667003901E-4</v>
      </c>
      <c r="S23" s="28">
        <v>-1.5136965605999999</v>
      </c>
      <c r="T23" s="28">
        <v>4.4938636666985721E-4</v>
      </c>
      <c r="U23" s="28">
        <v>-1.6692097878666701</v>
      </c>
      <c r="V23" s="28">
        <v>-2.7368304545333331</v>
      </c>
      <c r="W23" s="28">
        <v>-2.3922726667024999E-4</v>
      </c>
      <c r="X23" s="28">
        <v>-1.849001767416667</v>
      </c>
      <c r="Y23" s="28">
        <v>-2.392092174233333</v>
      </c>
      <c r="Z23" s="28">
        <v>-3.2210661211999998</v>
      </c>
      <c r="AA23" s="28">
        <v>-2.8198919810500001</v>
      </c>
      <c r="AB23" s="28">
        <v>-1.8215570340833329</v>
      </c>
      <c r="AC23" s="28">
        <v>-2.4553117878666662</v>
      </c>
      <c r="AD23" s="28">
        <v>-2.7004691211999998</v>
      </c>
      <c r="AE23" s="28">
        <v>-3.2283051212</v>
      </c>
      <c r="AF23" s="28">
        <v>-2.1880488409000001</v>
      </c>
      <c r="AG23" s="28">
        <v>-1.8535200340833331</v>
      </c>
      <c r="AH23" s="28">
        <v>-3.0663204545333329</v>
      </c>
      <c r="AI23" s="28">
        <v>-1.6155826477166699</v>
      </c>
      <c r="AJ23" s="28">
        <v>-2.8218919810499998</v>
      </c>
      <c r="AK23" s="28">
        <v>-0.92076784089999975</v>
      </c>
      <c r="AL23" s="28">
        <v>-2.0070657007500001</v>
      </c>
      <c r="AM23" s="28">
        <v>-1.492185893933333</v>
      </c>
      <c r="AN23" s="28">
        <v>-3.1837421211999999</v>
      </c>
      <c r="AO23" s="28">
        <v>-2.6351431212</v>
      </c>
      <c r="AP23" s="28">
        <v>-2.8268919810500002</v>
      </c>
      <c r="AQ23" s="28">
        <v>-2.555688914383333</v>
      </c>
      <c r="AR23" s="28">
        <v>-1.09683978786667</v>
      </c>
      <c r="AS23" s="28">
        <v>-2.791660454533333</v>
      </c>
      <c r="AT23" s="28">
        <v>3.3277273333009999E-4</v>
      </c>
      <c r="AU23" s="28">
        <v>-2.9780244545333332</v>
      </c>
      <c r="AV23" s="28">
        <v>-2.7360153143833328</v>
      </c>
      <c r="AW23" s="28">
        <v>-3.2233051212000001</v>
      </c>
      <c r="AX23" s="28">
        <v>-1.7232517007499999</v>
      </c>
      <c r="AY23" s="28">
        <v>-2.5491511212</v>
      </c>
      <c r="AZ23" s="28">
        <v>-2.2744388408999998</v>
      </c>
      <c r="BA23" s="28">
        <v>-2.2974028408999998</v>
      </c>
      <c r="BB23" s="28">
        <v>-2.8705577878666668</v>
      </c>
      <c r="BC23" s="28">
        <v>-3.1678691211999999</v>
      </c>
      <c r="BD23" s="28">
        <v>-1.3852044999995711E-4</v>
      </c>
      <c r="BE23" s="28">
        <v>-1.3992117211999999</v>
      </c>
      <c r="BF23" s="28">
        <v>-1.579881367416667</v>
      </c>
      <c r="BG23" s="28">
        <v>7.7912883330255589E-5</v>
      </c>
      <c r="BH23" s="28">
        <v>-1.3248978939333329</v>
      </c>
      <c r="BI23" s="28">
        <v>-3.1663481212</v>
      </c>
      <c r="BJ23" s="28">
        <v>-1.544802227266667</v>
      </c>
      <c r="BK23" s="28">
        <v>-2.819533314383333</v>
      </c>
      <c r="BL23" s="28">
        <v>-2.7757189810499998</v>
      </c>
      <c r="BM23" s="28">
        <v>-1.2413205606</v>
      </c>
      <c r="BN23" s="28">
        <v>-0.77708942044999996</v>
      </c>
      <c r="BO23" s="28">
        <v>-2.74233198105</v>
      </c>
      <c r="BP23" s="28">
        <v>-2.241159507566667</v>
      </c>
      <c r="BQ23" s="28">
        <v>-3.1888856211999999</v>
      </c>
      <c r="BR23" s="28">
        <v>-2.6186026477166671</v>
      </c>
      <c r="BS23" s="28">
        <v>-0.74004022726666718</v>
      </c>
      <c r="BT23" s="28">
        <v>-2.2900055075666672</v>
      </c>
      <c r="BU23" s="28">
        <v>-3.1874067878666672</v>
      </c>
      <c r="BV23" s="28">
        <v>-2.4144788409000002</v>
      </c>
      <c r="BW23" s="28">
        <v>-2.9619944545333339</v>
      </c>
      <c r="BX23" s="28">
        <v>-2.80945198105</v>
      </c>
      <c r="BY23" s="28">
        <v>-1.59771045453333</v>
      </c>
      <c r="BZ23" s="28">
        <v>-2.3658798408999999</v>
      </c>
      <c r="CA23" s="28">
        <v>-3.2263051211999998</v>
      </c>
      <c r="CB23" s="28">
        <v>-2.3989968409000002</v>
      </c>
      <c r="CC23" s="28">
        <v>-3.1033871211999999</v>
      </c>
      <c r="CD23" s="28">
        <v>-2.3848971742333331</v>
      </c>
      <c r="CE23" s="28">
        <v>-2.0060657007499998</v>
      </c>
      <c r="CF23" s="28">
        <v>-3.2111567878666669</v>
      </c>
      <c r="CG23" s="28">
        <v>-2.3330884545333328</v>
      </c>
      <c r="CH23" s="28">
        <v>-3.1841984545333331</v>
      </c>
      <c r="CI23" s="28">
        <v>4.3657955000009352E-4</v>
      </c>
      <c r="CJ23" s="28">
        <v>-2.80351838105</v>
      </c>
      <c r="CK23" s="28">
        <v>-1.7709553674166669</v>
      </c>
      <c r="CL23" s="28">
        <v>-2.3787788408999999</v>
      </c>
      <c r="CM23" s="28">
        <v>-2.3704251742333331</v>
      </c>
      <c r="CN23" s="28">
        <v>-1.329165893933334</v>
      </c>
      <c r="CO23" s="28">
        <v>-2.3162775075666668</v>
      </c>
      <c r="CP23" s="28">
        <v>-3.2292141212000001</v>
      </c>
      <c r="CQ23" s="28">
        <v>-1.3904713606000001</v>
      </c>
      <c r="CR23" s="28">
        <v>-1.0883087537833329</v>
      </c>
      <c r="CS23" s="28">
        <v>-3.2263051211999998</v>
      </c>
      <c r="CT23" s="28">
        <v>-2.7104299810499999</v>
      </c>
      <c r="CU23" s="28">
        <v>-2.7506425143833328</v>
      </c>
      <c r="CV23" s="28">
        <v>-2.573425314383333</v>
      </c>
      <c r="CW23" s="28">
        <v>-1.144532753783333</v>
      </c>
      <c r="CX23" s="28">
        <v>1.06579550000041E-4</v>
      </c>
      <c r="CY23" s="28">
        <v>-3.1635984545333331</v>
      </c>
      <c r="CZ23" s="28">
        <v>-1.5282573606000001</v>
      </c>
      <c r="DA23" s="28">
        <v>-3.0660204545333332</v>
      </c>
      <c r="DB23" s="28">
        <v>-1.6899109007499999</v>
      </c>
      <c r="DC23" s="28">
        <v>4.5724621666709542E-4</v>
      </c>
      <c r="DD23" s="28">
        <v>-1.546941893933333</v>
      </c>
      <c r="DE23" s="28">
        <v>-1.125606000000889E-4</v>
      </c>
      <c r="DF23" s="28">
        <v>-2.7265053143833331</v>
      </c>
      <c r="DG23" s="28">
        <v>-2.8555124545333328</v>
      </c>
      <c r="DH23" s="28">
        <v>-3.0711479212000001</v>
      </c>
      <c r="DI23" s="28">
        <v>-2.6471719810500001</v>
      </c>
      <c r="DJ23" s="28">
        <v>-3.2263051211999998</v>
      </c>
      <c r="DK23" s="28">
        <v>-2.5640893143833332</v>
      </c>
      <c r="DL23" s="28">
        <v>-2.4024788409000002</v>
      </c>
      <c r="DM23" s="28">
        <v>-3.0244791212000002</v>
      </c>
      <c r="DN23" s="28">
        <v>-3.1342517878666669</v>
      </c>
      <c r="DO23" s="28">
        <v>-3.2238211211999999</v>
      </c>
      <c r="DP23" s="28">
        <v>-0.97661276741667002</v>
      </c>
      <c r="DQ23" s="28">
        <v>-2.0050657007499999</v>
      </c>
      <c r="DR23" s="28">
        <v>-3.2353051212000001</v>
      </c>
      <c r="DS23" s="28">
        <v>-1.6126525606</v>
      </c>
      <c r="DT23" s="28">
        <v>2.3743939999998351E-4</v>
      </c>
      <c r="DU23" s="28">
        <v>-1.5547642272666671</v>
      </c>
      <c r="DV23" s="28">
        <v>-1.509469666671204E-4</v>
      </c>
      <c r="DW23" s="28">
        <v>-2.1068961868369631</v>
      </c>
      <c r="DX23" s="34">
        <v>-261.25512716778343</v>
      </c>
    </row>
    <row r="24" spans="1:128" x14ac:dyDescent="0.25">
      <c r="A24" s="24">
        <v>23</v>
      </c>
      <c r="B24" s="26">
        <v>11</v>
      </c>
      <c r="C24" s="28">
        <v>-1.573962962333334</v>
      </c>
      <c r="D24" s="28">
        <v>-1.8770152029166669</v>
      </c>
      <c r="E24" s="28">
        <v>-2.0646112029166672</v>
      </c>
      <c r="F24" s="28">
        <v>-4.26762333334052E-4</v>
      </c>
      <c r="G24" s="28">
        <v>-3.3379779246666681</v>
      </c>
      <c r="H24" s="28">
        <v>-3.2136179246666678</v>
      </c>
      <c r="I24" s="28">
        <v>-3.1168659246666679</v>
      </c>
      <c r="J24" s="28">
        <v>-2.2124987768333351</v>
      </c>
      <c r="K24" s="28">
        <v>-1.5288336290000011</v>
      </c>
      <c r="L24" s="28">
        <v>-2.233672443500001</v>
      </c>
      <c r="M24" s="28">
        <v>-3.3369779246666682</v>
      </c>
      <c r="N24" s="28">
        <v>-2.0831445913333382</v>
      </c>
      <c r="O24" s="28">
        <v>-3.1853449246666679</v>
      </c>
      <c r="P24" s="28">
        <v>-2.8174273507500009</v>
      </c>
      <c r="Q24" s="28">
        <v>-1.238329566666385E-2</v>
      </c>
      <c r="R24" s="28">
        <v>-9.7055083332797665E-5</v>
      </c>
      <c r="S24" s="28">
        <v>-1.376670295666667</v>
      </c>
      <c r="T24" s="28">
        <v>1.9051883333304209E-4</v>
      </c>
      <c r="U24" s="28">
        <v>-2.9916012580000011</v>
      </c>
      <c r="V24" s="28">
        <v>-3.2167189246666679</v>
      </c>
      <c r="W24" s="28">
        <v>3.8303766666603067E-4</v>
      </c>
      <c r="X24" s="28">
        <v>-1.995485202916667</v>
      </c>
      <c r="Y24" s="28">
        <v>-2.5077334435000012</v>
      </c>
      <c r="Z24" s="28">
        <v>-3.3299779246666681</v>
      </c>
      <c r="AA24" s="28">
        <v>-2.9088556840833339</v>
      </c>
      <c r="AB24" s="28">
        <v>-1.54253453625</v>
      </c>
      <c r="AC24" s="28">
        <v>-3.3263745913333338</v>
      </c>
      <c r="AD24" s="28">
        <v>-1.982957924666668</v>
      </c>
      <c r="AE24" s="28">
        <v>-3.3299779246666681</v>
      </c>
      <c r="AF24" s="28">
        <v>-2.3475351101666679</v>
      </c>
      <c r="AG24" s="28">
        <v>-1.793701202916667</v>
      </c>
      <c r="AH24" s="28">
        <v>-2.6267295913333348</v>
      </c>
      <c r="AI24" s="28">
        <v>-2.2609133507500001</v>
      </c>
      <c r="AJ24" s="28">
        <v>-2.755255684083334</v>
      </c>
      <c r="AK24" s="28">
        <v>-2.0721067768333339</v>
      </c>
      <c r="AL24" s="28">
        <v>-1.9041005362500001</v>
      </c>
      <c r="AM24" s="28">
        <v>-1.297349962333334</v>
      </c>
      <c r="AN24" s="28">
        <v>-3.2779059246666682</v>
      </c>
      <c r="AO24" s="28">
        <v>-1.9729445913333381</v>
      </c>
      <c r="AP24" s="28">
        <v>-2.9158556840833341</v>
      </c>
      <c r="AQ24" s="28">
        <v>-2.8960354174166669</v>
      </c>
      <c r="AR24" s="28">
        <v>-0.73594459133333778</v>
      </c>
      <c r="AS24" s="28">
        <v>-3.7489779246666681</v>
      </c>
      <c r="AT24" s="28">
        <v>1.6643766666601939E-4</v>
      </c>
      <c r="AU24" s="28">
        <v>-3.1255119246666681</v>
      </c>
      <c r="AV24" s="28">
        <v>-2.791361017416667</v>
      </c>
      <c r="AW24" s="28">
        <v>-3.209612924666668</v>
      </c>
      <c r="AX24" s="28">
        <v>-1.597896869583334</v>
      </c>
      <c r="AY24" s="28">
        <v>-2.7315315913333351</v>
      </c>
      <c r="AZ24" s="28">
        <v>-2.3146934435000008</v>
      </c>
      <c r="BA24" s="28">
        <v>-2.1666074435000011</v>
      </c>
      <c r="BB24" s="28">
        <v>-2.9984322580000011</v>
      </c>
      <c r="BC24" s="28">
        <v>-3.3221179246666681</v>
      </c>
      <c r="BD24" s="28">
        <v>-0.93262078841666696</v>
      </c>
      <c r="BE24" s="28">
        <v>-3.128141924666668</v>
      </c>
      <c r="BF24" s="28">
        <v>-1.9968215362499999</v>
      </c>
      <c r="BG24" s="28">
        <v>-4.7705508333295571E-4</v>
      </c>
      <c r="BH24" s="28">
        <v>-1.4627189623333341</v>
      </c>
      <c r="BI24" s="28">
        <v>-3.166481258000001</v>
      </c>
      <c r="BJ24" s="28">
        <v>-1.649488962333334</v>
      </c>
      <c r="BK24" s="28">
        <v>-2.90181735075</v>
      </c>
      <c r="BL24" s="28">
        <v>-2.8081866840833341</v>
      </c>
      <c r="BM24" s="28">
        <v>-0.83315429566666688</v>
      </c>
      <c r="BN24" s="28">
        <v>-1.01876672175</v>
      </c>
      <c r="BO24" s="28">
        <v>-2.854495684083334</v>
      </c>
      <c r="BP24" s="28">
        <v>-3.4211016667069771E-4</v>
      </c>
      <c r="BQ24" s="28">
        <v>-3.2046449246666682</v>
      </c>
      <c r="BR24" s="28">
        <v>-2.8654906840833338</v>
      </c>
      <c r="BS24" s="28">
        <v>-1.5742126290000009</v>
      </c>
      <c r="BT24" s="28">
        <v>-2.4019134435000011</v>
      </c>
      <c r="BU24" s="28">
        <v>-3.3289779246666682</v>
      </c>
      <c r="BV24" s="28">
        <v>-2.4907334435000008</v>
      </c>
      <c r="BW24" s="28">
        <v>-3.1425532580000008</v>
      </c>
      <c r="BX24" s="28">
        <v>-2.8486556840833339</v>
      </c>
      <c r="BY24" s="28">
        <v>-3.3002739246666679</v>
      </c>
      <c r="BZ24" s="28">
        <v>-2.3808784435000012</v>
      </c>
      <c r="CA24" s="28">
        <v>-3.3279779246666679</v>
      </c>
      <c r="CB24" s="28">
        <v>-2.1712407768333342</v>
      </c>
      <c r="CC24" s="28">
        <v>-3.2453099246666679</v>
      </c>
      <c r="CD24" s="28">
        <v>-2.1803361101666678</v>
      </c>
      <c r="CE24" s="28">
        <v>-2.0696112029166671</v>
      </c>
      <c r="CF24" s="28">
        <v>-3.1205669246666679</v>
      </c>
      <c r="CG24" s="28">
        <v>-3.2620816580000009</v>
      </c>
      <c r="CH24" s="28">
        <v>-3.3379779246666681</v>
      </c>
      <c r="CI24" s="28">
        <v>-1.3172175000009109E-4</v>
      </c>
      <c r="CJ24" s="28">
        <v>-1.9216143507500041</v>
      </c>
      <c r="CK24" s="28">
        <v>-2.0111462029166671</v>
      </c>
      <c r="CL24" s="28">
        <v>-2.2162834435000009</v>
      </c>
      <c r="CM24" s="28">
        <v>-2.4456414435000009</v>
      </c>
      <c r="CN24" s="28">
        <v>-2.9362900000387548E-4</v>
      </c>
      <c r="CO24" s="28">
        <v>-2.4867334435000008</v>
      </c>
      <c r="CP24" s="28">
        <v>-3.3054319246666681</v>
      </c>
      <c r="CQ24" s="28">
        <v>-1.5634417623333341</v>
      </c>
      <c r="CR24" s="28">
        <v>-1.1487407217500001</v>
      </c>
      <c r="CS24" s="28">
        <v>-3.2751099246666682</v>
      </c>
      <c r="CT24" s="28">
        <v>-2.784462350750001</v>
      </c>
      <c r="CU24" s="28">
        <v>-2.7572593507500009</v>
      </c>
      <c r="CV24" s="28">
        <v>-2.7118496840833339</v>
      </c>
      <c r="CW24" s="28">
        <v>-1.0518347217499999</v>
      </c>
      <c r="CX24" s="28">
        <v>-7.0494721749999933E-2</v>
      </c>
      <c r="CY24" s="28">
        <v>-2.970449924666668</v>
      </c>
      <c r="CZ24" s="28">
        <v>-1.1347258290000011</v>
      </c>
      <c r="DA24" s="28">
        <v>-3.170187924666668</v>
      </c>
      <c r="DB24" s="28">
        <v>-1.7191064029166669</v>
      </c>
      <c r="DC24" s="28">
        <v>-9.7055083332908687E-5</v>
      </c>
      <c r="DD24" s="28">
        <v>-1.6302156290000001</v>
      </c>
      <c r="DE24" s="28">
        <v>-5.1629000000996683E-5</v>
      </c>
      <c r="DF24" s="28">
        <v>-2.6738403507500008</v>
      </c>
      <c r="DG24" s="28">
        <v>-2.9600539246666679</v>
      </c>
      <c r="DH24" s="28">
        <v>-3.2881739246666681</v>
      </c>
      <c r="DI24" s="28">
        <v>-2.8356183507500008</v>
      </c>
      <c r="DJ24" s="28">
        <v>-3.221070258000001</v>
      </c>
      <c r="DK24" s="28">
        <v>-2.72374335075</v>
      </c>
      <c r="DL24" s="28">
        <v>-2.449070443500001</v>
      </c>
      <c r="DM24" s="28">
        <v>-3.101887258000001</v>
      </c>
      <c r="DN24" s="28">
        <v>-3.350977924666668</v>
      </c>
      <c r="DO24" s="28">
        <v>-3.1780105913333352</v>
      </c>
      <c r="DP24" s="28">
        <v>-1.9485195362500001</v>
      </c>
      <c r="DQ24" s="28">
        <v>-1.9599152029166671</v>
      </c>
      <c r="DR24" s="28">
        <v>-3.1850459246666678</v>
      </c>
      <c r="DS24" s="28">
        <v>-1.351591629000001</v>
      </c>
      <c r="DT24" s="28">
        <v>-0.31713029566666678</v>
      </c>
      <c r="DU24" s="28">
        <v>-1.584689629000001</v>
      </c>
      <c r="DV24" s="28">
        <v>7.0185500000041756E-5</v>
      </c>
      <c r="DW24" s="28">
        <v>-2.189335884664652</v>
      </c>
      <c r="DX24" s="34">
        <v>-271.47764969841683</v>
      </c>
    </row>
    <row r="25" spans="1:128" x14ac:dyDescent="0.25">
      <c r="A25" s="24">
        <v>24</v>
      </c>
      <c r="B25" s="26">
        <v>11.5</v>
      </c>
      <c r="C25" s="28">
        <v>-1.6099893543999999</v>
      </c>
      <c r="D25" s="28">
        <v>-2.0944791930000002</v>
      </c>
      <c r="E25" s="28">
        <v>-2.092479193</v>
      </c>
      <c r="F25" s="28">
        <v>-4.4002106665974589E-4</v>
      </c>
      <c r="G25" s="28">
        <v>-3.377023375466667</v>
      </c>
      <c r="H25" s="28">
        <v>-3.2649933754666671</v>
      </c>
      <c r="I25" s="28">
        <v>-3.3392333754666672</v>
      </c>
      <c r="J25" s="28">
        <v>-2.4751343649333331</v>
      </c>
      <c r="K25" s="28">
        <v>-1.351358687733333</v>
      </c>
      <c r="L25" s="28">
        <v>-2.0517310316000001</v>
      </c>
      <c r="M25" s="28">
        <v>-3.3404137087999999</v>
      </c>
      <c r="N25" s="28">
        <v>-2.8710400421333331</v>
      </c>
      <c r="O25" s="28">
        <v>-1.8640547087999999</v>
      </c>
      <c r="P25" s="28">
        <v>-2.8049122035333331</v>
      </c>
      <c r="Q25" s="28">
        <v>-1.5295533544</v>
      </c>
      <c r="R25" s="28">
        <v>4.1181753332997229E-4</v>
      </c>
      <c r="S25" s="28">
        <v>-1.3709826877333331</v>
      </c>
      <c r="T25" s="28">
        <v>-3.3567719999993972E-4</v>
      </c>
      <c r="U25" s="28">
        <v>-2.8431390421333331</v>
      </c>
      <c r="V25" s="28">
        <v>-3.3384317088</v>
      </c>
      <c r="W25" s="28">
        <v>4.1597893333311648E-4</v>
      </c>
      <c r="X25" s="28">
        <v>-1.927791859666667</v>
      </c>
      <c r="Y25" s="28">
        <v>-2.4498453649333332</v>
      </c>
      <c r="Z25" s="28">
        <v>-3.3383717088</v>
      </c>
      <c r="AA25" s="28">
        <v>-2.8628058701999999</v>
      </c>
      <c r="AB25" s="28">
        <v>-1.832783193</v>
      </c>
      <c r="AC25" s="28">
        <v>-3.2435553754666668</v>
      </c>
      <c r="AD25" s="28">
        <v>-3.218656042133333</v>
      </c>
      <c r="AE25" s="28">
        <v>-3.3745667088000002</v>
      </c>
      <c r="AF25" s="28">
        <v>-2.4366940316000001</v>
      </c>
      <c r="AG25" s="28">
        <v>-1.5697405263333339</v>
      </c>
      <c r="AH25" s="28">
        <v>-2.8599867088000002</v>
      </c>
      <c r="AI25" s="28">
        <v>-2.7861470368666672</v>
      </c>
      <c r="AJ25" s="28">
        <v>-2.9343108702</v>
      </c>
      <c r="AK25" s="28">
        <v>-2.469187098266667</v>
      </c>
      <c r="AL25" s="28">
        <v>-2.0984791930000002</v>
      </c>
      <c r="AM25" s="28">
        <v>-0.43192202106666988</v>
      </c>
      <c r="AN25" s="28">
        <v>-3.2774407087999999</v>
      </c>
      <c r="AO25" s="28">
        <v>-0.91852730879999989</v>
      </c>
      <c r="AP25" s="28">
        <v>-2.9548708702000002</v>
      </c>
      <c r="AQ25" s="28">
        <v>-2.8460608702000001</v>
      </c>
      <c r="AR25" s="28">
        <v>-2.7065400421333341</v>
      </c>
      <c r="AS25" s="28">
        <v>-3.3715667088000001</v>
      </c>
      <c r="AT25" s="28">
        <v>-1.3987777544</v>
      </c>
      <c r="AU25" s="28">
        <v>-2.3510227088</v>
      </c>
      <c r="AV25" s="28">
        <v>-2.8824795368666671</v>
      </c>
      <c r="AW25" s="28">
        <v>-2.5204440421333341</v>
      </c>
      <c r="AX25" s="28">
        <v>-1.831579526333333</v>
      </c>
      <c r="AY25" s="28">
        <v>-3.0173867088000002</v>
      </c>
      <c r="AZ25" s="28">
        <v>-2.4083430315999999</v>
      </c>
      <c r="BA25" s="28">
        <v>-2.3919350316000001</v>
      </c>
      <c r="BB25" s="28">
        <v>-3.3041667088</v>
      </c>
      <c r="BC25" s="28">
        <v>-3.300153375466667</v>
      </c>
      <c r="BD25" s="28">
        <v>-1.838318246667003E-2</v>
      </c>
      <c r="BE25" s="28">
        <v>-2.2558817088000001</v>
      </c>
      <c r="BF25" s="28">
        <v>-2.071101793</v>
      </c>
      <c r="BG25" s="28">
        <v>-3.4184913333301647E-4</v>
      </c>
      <c r="BH25" s="28">
        <v>-1.5913293544</v>
      </c>
      <c r="BI25" s="28">
        <v>-2.9073033754666668</v>
      </c>
      <c r="BJ25" s="28">
        <v>-1.6717833544</v>
      </c>
      <c r="BK25" s="28">
        <v>-2.5028855368666671</v>
      </c>
      <c r="BL25" s="28">
        <v>-2.8808202035333328</v>
      </c>
      <c r="BM25" s="28">
        <v>-2.8335439999982448E-4</v>
      </c>
      <c r="BN25" s="28">
        <v>-1.0614695158</v>
      </c>
      <c r="BO25" s="28">
        <v>-2.728147536866667</v>
      </c>
      <c r="BP25" s="28">
        <v>-1.4258983649333301</v>
      </c>
      <c r="BQ25" s="28">
        <v>-3.1492287087999999</v>
      </c>
      <c r="BR25" s="28">
        <v>-2.9045058702</v>
      </c>
      <c r="BS25" s="28">
        <v>-1.1435956877333331</v>
      </c>
      <c r="BT25" s="28">
        <v>-2.3465923649333331</v>
      </c>
      <c r="BU25" s="28">
        <v>-3.2618513754666671</v>
      </c>
      <c r="BV25" s="28">
        <v>-2.5241750316</v>
      </c>
      <c r="BW25" s="28">
        <v>-3.3795667088000001</v>
      </c>
      <c r="BX25" s="28">
        <v>-2.9498708701999998</v>
      </c>
      <c r="BY25" s="28">
        <v>-3.1487167087999999</v>
      </c>
      <c r="BZ25" s="28">
        <v>-2.5291750315999999</v>
      </c>
      <c r="CA25" s="28">
        <v>-3.3725667088</v>
      </c>
      <c r="CB25" s="28">
        <v>-1.0163550316000001</v>
      </c>
      <c r="CC25" s="28">
        <v>-3.3128867087999998</v>
      </c>
      <c r="CD25" s="28">
        <v>-1.628036298266667</v>
      </c>
      <c r="CE25" s="28">
        <v>-2.0974791929999999</v>
      </c>
      <c r="CF25" s="28">
        <v>-3.3905667088000002</v>
      </c>
      <c r="CG25" s="28">
        <v>-3.3293267088</v>
      </c>
      <c r="CH25" s="28">
        <v>-3.0614967088</v>
      </c>
      <c r="CI25" s="28">
        <v>-8.1824666670060608E-6</v>
      </c>
      <c r="CJ25" s="28">
        <v>-2.7422163368666661</v>
      </c>
      <c r="CK25" s="28">
        <v>-1.875720193</v>
      </c>
      <c r="CL25" s="28">
        <v>-2.464438264933333</v>
      </c>
      <c r="CM25" s="28">
        <v>-2.3351710315999998</v>
      </c>
      <c r="CN25" s="28">
        <v>-0.36298602106666988</v>
      </c>
      <c r="CO25" s="28">
        <v>-2.2941250316000001</v>
      </c>
      <c r="CP25" s="28">
        <v>-3.0482629087999999</v>
      </c>
      <c r="CQ25" s="28">
        <v>-1.4659563544000001</v>
      </c>
      <c r="CR25" s="28">
        <v>-1.1178475158000001</v>
      </c>
      <c r="CS25" s="28">
        <v>-3.3461327087999999</v>
      </c>
      <c r="CT25" s="28">
        <v>-2.8146655368666669</v>
      </c>
      <c r="CU25" s="28">
        <v>-2.4562408701999998</v>
      </c>
      <c r="CV25" s="28">
        <v>-2.4350778702000002</v>
      </c>
      <c r="CW25" s="28">
        <v>-1.1067825158</v>
      </c>
      <c r="CX25" s="28">
        <v>-0.6871110158</v>
      </c>
      <c r="CY25" s="28">
        <v>-3.2615433754666672</v>
      </c>
      <c r="CZ25" s="28">
        <v>-1.4496250210666659</v>
      </c>
      <c r="DA25" s="28">
        <v>-3.2256447088</v>
      </c>
      <c r="DB25" s="28">
        <v>-1.996968393</v>
      </c>
      <c r="DC25" s="28">
        <v>4.4748419999995898E-4</v>
      </c>
      <c r="DD25" s="28">
        <v>-1.6727833543999999</v>
      </c>
      <c r="DE25" s="28">
        <v>-1.430916687733333</v>
      </c>
      <c r="DF25" s="28">
        <v>-2.7065695368666671</v>
      </c>
      <c r="DG25" s="28">
        <v>4.6662453333001791E-4</v>
      </c>
      <c r="DH25" s="28">
        <v>-3.3795667088000001</v>
      </c>
      <c r="DI25" s="28">
        <v>-2.6298642035333328</v>
      </c>
      <c r="DJ25" s="28">
        <v>-3.174151042133333</v>
      </c>
      <c r="DK25" s="28">
        <v>-2.9468708702000002</v>
      </c>
      <c r="DL25" s="28">
        <v>-2.4735009982666671</v>
      </c>
      <c r="DM25" s="28">
        <v>-3.2787880421333329</v>
      </c>
      <c r="DN25" s="28">
        <v>-3.1736183754666669</v>
      </c>
      <c r="DO25" s="28">
        <v>-3.2426980421333331</v>
      </c>
      <c r="DP25" s="28">
        <v>-0.98528119300000006</v>
      </c>
      <c r="DQ25" s="28">
        <v>-2.0017651930000002</v>
      </c>
      <c r="DR25" s="28">
        <v>-3.3815667087999999</v>
      </c>
      <c r="DS25" s="28">
        <v>-1.4093763544</v>
      </c>
      <c r="DT25" s="28">
        <v>2.233122666700782E-4</v>
      </c>
      <c r="DU25" s="28">
        <v>-1.572362687733333</v>
      </c>
      <c r="DV25" s="28">
        <v>-4.5867719999997952E-4</v>
      </c>
      <c r="DW25" s="28">
        <v>-2.19792082676183</v>
      </c>
      <c r="DX25" s="34">
        <v>-272.54218251846692</v>
      </c>
    </row>
    <row r="26" spans="1:128" x14ac:dyDescent="0.25">
      <c r="A26" s="24">
        <v>25</v>
      </c>
      <c r="B26" s="26">
        <v>12</v>
      </c>
      <c r="C26" s="28">
        <v>-1.623312664533334</v>
      </c>
      <c r="D26" s="28">
        <v>-2.0594608306666671</v>
      </c>
      <c r="E26" s="28">
        <v>-2.1005508306666671</v>
      </c>
      <c r="F26" s="28">
        <v>3.9933546666603981E-4</v>
      </c>
      <c r="G26" s="28">
        <v>-3.3954813290666679</v>
      </c>
      <c r="H26" s="28">
        <v>-3.2877879957333351</v>
      </c>
      <c r="I26" s="28">
        <v>-3.163598662400001</v>
      </c>
      <c r="J26" s="28">
        <v>-2.281080663466668</v>
      </c>
      <c r="K26" s="28">
        <v>-1.246054331200001</v>
      </c>
      <c r="L26" s="28">
        <v>-2.0621009968000008</v>
      </c>
      <c r="M26" s="28">
        <v>-3.3180543290666682</v>
      </c>
      <c r="N26" s="28">
        <v>-3.2883346624000009</v>
      </c>
      <c r="O26" s="28">
        <v>-2.762023995733335</v>
      </c>
      <c r="P26" s="28">
        <v>-2.9671711629333348</v>
      </c>
      <c r="Q26" s="28">
        <v>-1.367604331200001</v>
      </c>
      <c r="R26" s="28">
        <v>4.3283493333201578E-4</v>
      </c>
      <c r="S26" s="28">
        <v>-0.99040333120000101</v>
      </c>
      <c r="T26" s="28">
        <v>-4.4333226666692932E-4</v>
      </c>
      <c r="U26" s="28">
        <v>-2.0282886623999978</v>
      </c>
      <c r="V26" s="28">
        <v>-3.3127843290666679</v>
      </c>
      <c r="W26" s="28">
        <v>-1.3227516645333339</v>
      </c>
      <c r="X26" s="28">
        <v>-2.0945508306666669</v>
      </c>
      <c r="Y26" s="28">
        <v>-2.5153173968000009</v>
      </c>
      <c r="Z26" s="28">
        <v>-3.2644183290666682</v>
      </c>
      <c r="AA26" s="28">
        <v>-2.6805224962666681</v>
      </c>
      <c r="AB26" s="28">
        <v>-1.8246968306666671</v>
      </c>
      <c r="AC26" s="28">
        <v>-3.3150513290666681</v>
      </c>
      <c r="AD26" s="28">
        <v>-3.2240883290666682</v>
      </c>
      <c r="AE26" s="28">
        <v>-3.3874813290666679</v>
      </c>
      <c r="AF26" s="28">
        <v>-2.5007769968000009</v>
      </c>
      <c r="AG26" s="28">
        <v>-1.855048830666667</v>
      </c>
      <c r="AH26" s="28">
        <v>-3.2818146624000009</v>
      </c>
      <c r="AI26" s="28">
        <v>-2.750303162933335</v>
      </c>
      <c r="AJ26" s="28">
        <v>-2.9533911629333351</v>
      </c>
      <c r="AK26" s="28">
        <v>-2.0007523301333339</v>
      </c>
      <c r="AL26" s="28">
        <v>-2.1065508306666669</v>
      </c>
      <c r="AM26" s="28">
        <v>-1.522040664533334</v>
      </c>
      <c r="AN26" s="28">
        <v>-3.3954813290666679</v>
      </c>
      <c r="AO26" s="28">
        <v>-2.9841843290666681</v>
      </c>
      <c r="AP26" s="28">
        <v>-2.9661711629333349</v>
      </c>
      <c r="AQ26" s="28">
        <v>-2.1447011629333348</v>
      </c>
      <c r="AR26" s="28">
        <v>-3.3874813290666679</v>
      </c>
      <c r="AS26" s="28">
        <v>-3.3844813290666682</v>
      </c>
      <c r="AT26" s="28">
        <v>-5.9147331200003928E-2</v>
      </c>
      <c r="AU26" s="28">
        <v>-3.1285773290666681</v>
      </c>
      <c r="AV26" s="28">
        <v>-2.7746318296000019</v>
      </c>
      <c r="AW26" s="28">
        <v>-3.3144479957333348</v>
      </c>
      <c r="AX26" s="28">
        <v>-1.871764164</v>
      </c>
      <c r="AY26" s="28">
        <v>-3.0718496624000009</v>
      </c>
      <c r="AZ26" s="28">
        <v>-2.528794330133334</v>
      </c>
      <c r="BA26" s="28">
        <v>-2.4193676634666681</v>
      </c>
      <c r="BB26" s="28">
        <v>-3.304763329066668</v>
      </c>
      <c r="BC26" s="28">
        <v>-3.4116479957333352</v>
      </c>
      <c r="BD26" s="28">
        <v>-4.2716506667091902E-4</v>
      </c>
      <c r="BE26" s="28">
        <v>-2.2047433290666678</v>
      </c>
      <c r="BF26" s="28">
        <v>-0.38742689733333679</v>
      </c>
      <c r="BG26" s="28">
        <v>4.5950159999907919E-4</v>
      </c>
      <c r="BH26" s="28">
        <v>-1.4044859978666679</v>
      </c>
      <c r="BI26" s="28">
        <v>-1.4021989957333381</v>
      </c>
      <c r="BJ26" s="28">
        <v>-1.6782406645333341</v>
      </c>
      <c r="BK26" s="28">
        <v>-2.9641711629333352</v>
      </c>
      <c r="BL26" s="28">
        <v>-2.961171162933335</v>
      </c>
      <c r="BM26" s="28">
        <v>2.7933546666580877E-4</v>
      </c>
      <c r="BN26" s="28">
        <v>-1.2233598317333341</v>
      </c>
      <c r="BO26" s="28">
        <v>-2.8481378296000019</v>
      </c>
      <c r="BP26" s="28">
        <v>-0.86235406346667109</v>
      </c>
      <c r="BQ26" s="28">
        <v>-3.3304813290666679</v>
      </c>
      <c r="BR26" s="28">
        <v>-2.8180481629333349</v>
      </c>
      <c r="BS26" s="28">
        <v>-1.340507664533334</v>
      </c>
      <c r="BT26" s="28">
        <v>-2.4450409968000009</v>
      </c>
      <c r="BU26" s="28">
        <v>-3.386481329066668</v>
      </c>
      <c r="BV26" s="28">
        <v>-2.533860996800001</v>
      </c>
      <c r="BW26" s="28">
        <v>-3.1925969957333349</v>
      </c>
      <c r="BX26" s="28">
        <v>-2.8080911629333349</v>
      </c>
      <c r="BY26" s="28">
        <v>-3.2958216624000012</v>
      </c>
      <c r="BZ26" s="28">
        <v>-2.3147689968000011</v>
      </c>
      <c r="CA26" s="28">
        <v>-3.3854813290666681</v>
      </c>
      <c r="CB26" s="28">
        <v>-2.3273409968000012</v>
      </c>
      <c r="CC26" s="28">
        <v>-3.214355329066668</v>
      </c>
      <c r="CD26" s="28">
        <v>-2.2755393968000011</v>
      </c>
      <c r="CE26" s="28">
        <v>-2.105550830666667</v>
      </c>
      <c r="CF26" s="28">
        <v>-3.2384009957333348</v>
      </c>
      <c r="CG26" s="28">
        <v>-3.2418773290666678</v>
      </c>
      <c r="CH26" s="28">
        <v>-3.3460713290666679</v>
      </c>
      <c r="CI26" s="28">
        <v>-2.344984000008932E-4</v>
      </c>
      <c r="CJ26" s="28">
        <v>-2.9631711629333348</v>
      </c>
      <c r="CK26" s="28">
        <v>-2.081902497333334</v>
      </c>
      <c r="CL26" s="28">
        <v>-2.5201319968000009</v>
      </c>
      <c r="CM26" s="28">
        <v>-2.4717458634666678</v>
      </c>
      <c r="CN26" s="28">
        <v>-0.37474133120000408</v>
      </c>
      <c r="CO26" s="28">
        <v>-2.5096749968000012</v>
      </c>
      <c r="CP26" s="28">
        <v>-3.3720013290666682</v>
      </c>
      <c r="CQ26" s="28">
        <v>-1.611437331200001</v>
      </c>
      <c r="CR26" s="28">
        <v>-0.80036183173333397</v>
      </c>
      <c r="CS26" s="28">
        <v>-3.3854813290666681</v>
      </c>
      <c r="CT26" s="28">
        <v>-1.384504162933335</v>
      </c>
      <c r="CU26" s="28">
        <v>-1.2565261629333351</v>
      </c>
      <c r="CV26" s="28">
        <v>-2.7760871629333348</v>
      </c>
      <c r="CW26" s="28">
        <v>-0.99505049840000104</v>
      </c>
      <c r="CX26" s="28">
        <v>-0.10700149840000089</v>
      </c>
      <c r="CY26" s="28">
        <v>-3.1931959957333351</v>
      </c>
      <c r="CZ26" s="28">
        <v>-1.529216664533334</v>
      </c>
      <c r="DA26" s="28">
        <v>-3.3757979957333348</v>
      </c>
      <c r="DB26" s="28">
        <v>-1.843626430666667</v>
      </c>
      <c r="DC26" s="28">
        <v>-7.9150498400000879E-2</v>
      </c>
      <c r="DD26" s="28">
        <v>-1.679240664533334</v>
      </c>
      <c r="DE26" s="28">
        <v>-5.0977331200003917E-2</v>
      </c>
      <c r="DF26" s="28">
        <v>-2.6572578296000011</v>
      </c>
      <c r="DG26" s="28">
        <v>-2.5466239999824558E-4</v>
      </c>
      <c r="DH26" s="28">
        <v>-3.352907995733335</v>
      </c>
      <c r="DI26" s="28">
        <v>-2.944648496266669</v>
      </c>
      <c r="DJ26" s="28">
        <v>-3.2152926624000009</v>
      </c>
      <c r="DK26" s="28">
        <v>-2.7550074962666682</v>
      </c>
      <c r="DL26" s="28">
        <v>-2.521860996800001</v>
      </c>
      <c r="DM26" s="28">
        <v>-2.4382266623999982</v>
      </c>
      <c r="DN26" s="28">
        <v>-3.1069459290666681</v>
      </c>
      <c r="DO26" s="28">
        <v>-3.145974329066668</v>
      </c>
      <c r="DP26" s="28">
        <v>1.758360000030518E-4</v>
      </c>
      <c r="DQ26" s="28">
        <v>-2.1045508306666671</v>
      </c>
      <c r="DR26" s="28">
        <v>-3.2977973290666678</v>
      </c>
      <c r="DS26" s="28">
        <v>-1.6852313312000009</v>
      </c>
      <c r="DT26" s="28">
        <v>-1.4562859978666669</v>
      </c>
      <c r="DU26" s="28">
        <v>-1.653751997866667</v>
      </c>
      <c r="DV26" s="28">
        <v>-2.9665599996953059E-5</v>
      </c>
      <c r="DW26" s="28">
        <v>-2.2035012615032268</v>
      </c>
      <c r="DX26" s="34">
        <v>-273.23415642640009</v>
      </c>
    </row>
    <row r="27" spans="1:128" x14ac:dyDescent="0.25">
      <c r="A27" s="24">
        <v>26</v>
      </c>
      <c r="B27" s="26">
        <v>12.5</v>
      </c>
      <c r="C27" s="28">
        <v>-1.583768836</v>
      </c>
      <c r="D27" s="28">
        <v>-1.9366853783333331</v>
      </c>
      <c r="E27" s="28">
        <v>-2.0854510450000001</v>
      </c>
      <c r="F27" s="28">
        <v>-1.6083600000005299E-4</v>
      </c>
      <c r="G27" s="28">
        <v>-3.3713216720000001</v>
      </c>
      <c r="H27" s="28">
        <v>-3.2111583386666669</v>
      </c>
      <c r="I27" s="28">
        <v>-3.1835436719999999</v>
      </c>
      <c r="J27" s="28">
        <v>-2.3898809206666671</v>
      </c>
      <c r="K27" s="28">
        <v>-1.366570169333333</v>
      </c>
      <c r="L27" s="28">
        <v>-2.4936902540000001</v>
      </c>
      <c r="M27" s="28">
        <v>-3.3703216720000002</v>
      </c>
      <c r="N27" s="28">
        <v>-3.3713216720000001</v>
      </c>
      <c r="O27" s="28">
        <v>-2.863358338666667</v>
      </c>
      <c r="P27" s="28">
        <v>-2.7199407963333329</v>
      </c>
      <c r="Q27" s="28">
        <v>-1.569953836</v>
      </c>
      <c r="R27" s="28">
        <v>2.9963966667001518E-4</v>
      </c>
      <c r="S27" s="28">
        <v>-1.553794169333333</v>
      </c>
      <c r="T27" s="28">
        <v>4.1324866666669902E-4</v>
      </c>
      <c r="U27" s="28">
        <v>-2.5439256719999999</v>
      </c>
      <c r="V27" s="28">
        <v>-3.2886246720000001</v>
      </c>
      <c r="W27" s="28">
        <v>-1.6611608360000001</v>
      </c>
      <c r="X27" s="28">
        <v>-1.960997711666667</v>
      </c>
      <c r="Y27" s="28">
        <v>-2.4764745873333331</v>
      </c>
      <c r="Z27" s="28">
        <v>-3.3633216720000001</v>
      </c>
      <c r="AA27" s="28">
        <v>-2.9081964963333329</v>
      </c>
      <c r="AB27" s="28">
        <v>-1.6338773783333329</v>
      </c>
      <c r="AC27" s="28">
        <v>-3.368321672</v>
      </c>
      <c r="AD27" s="28">
        <v>-3.3361500053333328</v>
      </c>
      <c r="AE27" s="28">
        <v>-3.3633216720000001</v>
      </c>
      <c r="AF27" s="28">
        <v>-2.1494332539999998</v>
      </c>
      <c r="AG27" s="28">
        <v>-1.810812045</v>
      </c>
      <c r="AH27" s="28">
        <v>-3.3503216720000002</v>
      </c>
      <c r="AI27" s="28">
        <v>-2.7402464630000001</v>
      </c>
      <c r="AJ27" s="28">
        <v>-2.7766514629999999</v>
      </c>
      <c r="AK27" s="28">
        <v>-1.1701905206666701</v>
      </c>
      <c r="AL27" s="28">
        <v>-1.709413311666667</v>
      </c>
      <c r="AM27" s="28">
        <v>-1.346073502666667</v>
      </c>
      <c r="AN27" s="28">
        <v>-3.288722672</v>
      </c>
      <c r="AO27" s="28">
        <v>-3.2652443386666672</v>
      </c>
      <c r="AP27" s="28">
        <v>-2.9450314629999998</v>
      </c>
      <c r="AQ27" s="28">
        <v>-2.8701564629999998</v>
      </c>
      <c r="AR27" s="28">
        <v>-3.3633216720000001</v>
      </c>
      <c r="AS27" s="28">
        <v>-3.2563836720000001</v>
      </c>
      <c r="AT27" s="28">
        <v>-1.4802788360000001</v>
      </c>
      <c r="AU27" s="28">
        <v>-3.1874790053333331</v>
      </c>
      <c r="AV27" s="28">
        <v>-2.9173547963333331</v>
      </c>
      <c r="AW27" s="28">
        <v>-3.2667550053333332</v>
      </c>
      <c r="AX27" s="28">
        <v>-2.0239897116666672</v>
      </c>
      <c r="AY27" s="28">
        <v>-2.8648686720000001</v>
      </c>
      <c r="AZ27" s="28">
        <v>-2.2382845873333328</v>
      </c>
      <c r="BA27" s="28">
        <v>-2.407701254</v>
      </c>
      <c r="BB27" s="28">
        <v>-3.3548416720000001</v>
      </c>
      <c r="BC27" s="28">
        <v>-3.0676952386666669</v>
      </c>
      <c r="BD27" s="28">
        <v>-0.9930322936666669</v>
      </c>
      <c r="BE27" s="28">
        <v>-3.1986316719999999</v>
      </c>
      <c r="BF27" s="28">
        <v>-1.221015111666667</v>
      </c>
      <c r="BG27" s="28">
        <v>-0.77711062700000011</v>
      </c>
      <c r="BH27" s="28">
        <v>-1.291778836</v>
      </c>
      <c r="BI27" s="28">
        <v>-2.8658446720000001</v>
      </c>
      <c r="BJ27" s="28">
        <v>-1.591598836</v>
      </c>
      <c r="BK27" s="28">
        <v>-2.8163234629999998</v>
      </c>
      <c r="BL27" s="28">
        <v>-2.7164151296666672</v>
      </c>
      <c r="BM27" s="28">
        <v>-1.7835999999826772E-5</v>
      </c>
      <c r="BN27" s="28">
        <v>-1.081413960333333</v>
      </c>
      <c r="BO27" s="28">
        <v>-2.7709724630000001</v>
      </c>
      <c r="BP27" s="28">
        <v>-2.3945874539999998</v>
      </c>
      <c r="BQ27" s="28">
        <v>-3.1295666720000002</v>
      </c>
      <c r="BR27" s="28">
        <v>-2.8258184630000001</v>
      </c>
      <c r="BS27" s="28">
        <v>-1.4999415026666669</v>
      </c>
      <c r="BT27" s="28">
        <v>-2.508911587333333</v>
      </c>
      <c r="BU27" s="28">
        <v>-3.3623216720000002</v>
      </c>
      <c r="BV27" s="28">
        <v>-2.5157412539999999</v>
      </c>
      <c r="BW27" s="28">
        <v>-3.2620813386666669</v>
      </c>
      <c r="BX27" s="28">
        <v>-2.7769514630000001</v>
      </c>
      <c r="BY27" s="28">
        <v>-3.112335338666667</v>
      </c>
      <c r="BZ27" s="28">
        <v>-2.441251254</v>
      </c>
      <c r="CA27" s="28">
        <v>-3.3613216719999999</v>
      </c>
      <c r="CB27" s="28">
        <v>-2.2578632540000001</v>
      </c>
      <c r="CC27" s="28">
        <v>-3.3219263386666662</v>
      </c>
      <c r="CD27" s="28">
        <v>-2.3758463873333331</v>
      </c>
      <c r="CE27" s="28">
        <v>-2.090451045</v>
      </c>
      <c r="CF27" s="28">
        <v>-3.2858426719999998</v>
      </c>
      <c r="CG27" s="28">
        <v>-3.3598376719999998</v>
      </c>
      <c r="CH27" s="28">
        <v>-3.1364966719999998</v>
      </c>
      <c r="CI27" s="28">
        <v>-1.0927579603333331</v>
      </c>
      <c r="CJ27" s="28">
        <v>-2.9420314630000002</v>
      </c>
      <c r="CK27" s="28">
        <v>-2.0083547116666671</v>
      </c>
      <c r="CL27" s="28">
        <v>-1.1684989539999999</v>
      </c>
      <c r="CM27" s="28">
        <v>-1.07853392066667</v>
      </c>
      <c r="CN27" s="28">
        <v>-1.546420836</v>
      </c>
      <c r="CO27" s="28">
        <v>-2.5117412539999999</v>
      </c>
      <c r="CP27" s="28">
        <v>-3.3083616720000002</v>
      </c>
      <c r="CQ27" s="28">
        <v>-1.4924675026666669</v>
      </c>
      <c r="CR27" s="28">
        <v>-0.99590129366666691</v>
      </c>
      <c r="CS27" s="28">
        <v>-3.2820196720000001</v>
      </c>
      <c r="CT27" s="28">
        <v>-1.293057463</v>
      </c>
      <c r="CU27" s="28">
        <v>-1.296477463</v>
      </c>
      <c r="CV27" s="28">
        <v>-2.8290781296666672</v>
      </c>
      <c r="CW27" s="28">
        <v>-1.028490627</v>
      </c>
      <c r="CX27" s="28">
        <v>-0.94006062700000004</v>
      </c>
      <c r="CY27" s="28">
        <v>-3.2556316719999998</v>
      </c>
      <c r="CZ27" s="28">
        <v>-1.5319708359999999</v>
      </c>
      <c r="DA27" s="28">
        <v>-3.139401672</v>
      </c>
      <c r="DB27" s="28">
        <v>-1.7534367116666669</v>
      </c>
      <c r="DC27" s="28">
        <v>-1.0580906269999999</v>
      </c>
      <c r="DD27" s="28">
        <v>-1.5941768359999999</v>
      </c>
      <c r="DE27" s="28">
        <v>-0.53327016933332994</v>
      </c>
      <c r="DF27" s="28">
        <v>-2.807342129666667</v>
      </c>
      <c r="DG27" s="28">
        <v>-2.0878743386666661</v>
      </c>
      <c r="DH27" s="28">
        <v>-3.336663005333333</v>
      </c>
      <c r="DI27" s="28">
        <v>-2.8405824630000001</v>
      </c>
      <c r="DJ27" s="28">
        <v>-3.0403766719999998</v>
      </c>
      <c r="DK27" s="28">
        <v>-2.6795174629999998</v>
      </c>
      <c r="DL27" s="28">
        <v>-2.4620835873333329</v>
      </c>
      <c r="DM27" s="28">
        <v>-3.2921776720000002</v>
      </c>
      <c r="DN27" s="28">
        <v>-2.08845500533333</v>
      </c>
      <c r="DO27" s="28">
        <v>-3.2938666720000001</v>
      </c>
      <c r="DP27" s="28">
        <v>-0.47209231166666982</v>
      </c>
      <c r="DQ27" s="28">
        <v>-1.9542457116666669</v>
      </c>
      <c r="DR27" s="28">
        <v>-3.315073672</v>
      </c>
      <c r="DS27" s="28">
        <v>-1.5329648360000001</v>
      </c>
      <c r="DT27" s="28">
        <v>-1.343343502666666</v>
      </c>
      <c r="DU27" s="28">
        <v>-1.541762836</v>
      </c>
      <c r="DV27" s="28">
        <v>4.7558200000002993E-4</v>
      </c>
      <c r="DW27" s="28">
        <v>-2.2898166077983859</v>
      </c>
      <c r="DX27" s="34">
        <v>-283.93725936699991</v>
      </c>
    </row>
    <row r="28" spans="1:128" x14ac:dyDescent="0.25">
      <c r="A28" s="24">
        <v>27</v>
      </c>
      <c r="B28" s="26">
        <v>13</v>
      </c>
      <c r="C28" s="28">
        <v>-1.5981152409999999</v>
      </c>
      <c r="D28" s="28">
        <v>-1.6786442512499999</v>
      </c>
      <c r="E28" s="28">
        <v>-1.09331805125</v>
      </c>
      <c r="F28" s="28">
        <v>-0.75957924100000007</v>
      </c>
      <c r="G28" s="28">
        <v>-3.2901584819999998</v>
      </c>
      <c r="H28" s="28">
        <v>-3.270604482</v>
      </c>
      <c r="I28" s="28">
        <v>-0.69512348200000007</v>
      </c>
      <c r="J28" s="28">
        <v>-2.3732355281666671</v>
      </c>
      <c r="K28" s="28">
        <v>-1.351735907666666</v>
      </c>
      <c r="L28" s="28">
        <v>-2.3439131948333332</v>
      </c>
      <c r="M28" s="28">
        <v>-3.2127314820000001</v>
      </c>
      <c r="N28" s="28">
        <v>-3.2901584819999998</v>
      </c>
      <c r="O28" s="28">
        <v>-3.1165578153333331</v>
      </c>
      <c r="P28" s="28">
        <v>-2.8507196717499999</v>
      </c>
      <c r="Q28" s="28">
        <v>-1.5524035743333331</v>
      </c>
      <c r="R28" s="28">
        <v>1.561025833329843E-4</v>
      </c>
      <c r="S28" s="28">
        <v>-1.498723241</v>
      </c>
      <c r="T28" s="28">
        <v>2.9537950000002589E-4</v>
      </c>
      <c r="U28" s="28">
        <v>-2.9180551486666659</v>
      </c>
      <c r="V28" s="28">
        <v>-3.2781584819999998</v>
      </c>
      <c r="W28" s="28">
        <v>-1.4409932409999999</v>
      </c>
      <c r="X28" s="28">
        <v>-1.97799505125</v>
      </c>
      <c r="Y28" s="28">
        <v>-2.4156021948333328</v>
      </c>
      <c r="Z28" s="28">
        <v>-3.2821584819999998</v>
      </c>
      <c r="AA28" s="28">
        <v>-2.7513418050833329</v>
      </c>
      <c r="AB28" s="28">
        <v>-1.79539905125</v>
      </c>
      <c r="AC28" s="28">
        <v>-3.154087482</v>
      </c>
      <c r="AD28" s="28">
        <v>-3.2861584819999998</v>
      </c>
      <c r="AE28" s="28">
        <v>-3.2821584819999998</v>
      </c>
      <c r="AF28" s="28">
        <v>-2.4528688614999998</v>
      </c>
      <c r="AG28" s="28">
        <v>-1.7586043845833339</v>
      </c>
      <c r="AH28" s="28">
        <v>-3.2908333153333329</v>
      </c>
      <c r="AI28" s="28">
        <v>-2.8796060050833332</v>
      </c>
      <c r="AJ28" s="28">
        <v>-2.8690136717499999</v>
      </c>
      <c r="AK28" s="28">
        <v>-1.6060288615</v>
      </c>
      <c r="AL28" s="28">
        <v>-1.97948325125</v>
      </c>
      <c r="AM28" s="28">
        <v>-1.3101205743333331</v>
      </c>
      <c r="AN28" s="28">
        <v>-3.2075594820000002</v>
      </c>
      <c r="AO28" s="28">
        <v>-3.2102664820000002</v>
      </c>
      <c r="AP28" s="28">
        <v>-2.8740136717500002</v>
      </c>
      <c r="AQ28" s="28">
        <v>-2.618047338416666</v>
      </c>
      <c r="AR28" s="28">
        <v>-3.2821584819999998</v>
      </c>
      <c r="AS28" s="28">
        <v>-2.8327884820000002</v>
      </c>
      <c r="AT28" s="28">
        <v>-1.3985189076666671</v>
      </c>
      <c r="AU28" s="28">
        <v>-2.9349178153333328</v>
      </c>
      <c r="AV28" s="28">
        <v>-2.8575703384166671</v>
      </c>
      <c r="AW28" s="28">
        <v>-3.2771584819999999</v>
      </c>
      <c r="AX28" s="28">
        <v>-1.9732627179166671</v>
      </c>
      <c r="AY28" s="28">
        <v>-2.6435504820000002</v>
      </c>
      <c r="AZ28" s="28">
        <v>-1.5462385281666671</v>
      </c>
      <c r="BA28" s="28">
        <v>-2.2821488615000001</v>
      </c>
      <c r="BB28" s="28">
        <v>-3.1065604819999999</v>
      </c>
      <c r="BC28" s="28">
        <v>-3.1556975820000002</v>
      </c>
      <c r="BD28" s="28">
        <v>4.6790258332990442E-4</v>
      </c>
      <c r="BE28" s="28">
        <v>-2.909612482</v>
      </c>
      <c r="BF28" s="28">
        <v>-1.8797127179166671</v>
      </c>
      <c r="BG28" s="28">
        <v>-1.03909843075</v>
      </c>
      <c r="BH28" s="28">
        <v>-1.4606265743333331</v>
      </c>
      <c r="BI28" s="28">
        <v>-2.9437784819999999</v>
      </c>
      <c r="BJ28" s="28">
        <v>-1.6029202410000001</v>
      </c>
      <c r="BK28" s="28">
        <v>-2.7006910050833328</v>
      </c>
      <c r="BL28" s="28">
        <v>-2.796694138416667</v>
      </c>
      <c r="BM28" s="28">
        <v>-0.46192957433333343</v>
      </c>
      <c r="BN28" s="28">
        <v>-1.1398664307499999</v>
      </c>
      <c r="BO28" s="28">
        <v>-2.8660136717500002</v>
      </c>
      <c r="BP28" s="28">
        <v>-2.4400702948333328</v>
      </c>
      <c r="BQ28" s="28">
        <v>-3.2065658153333332</v>
      </c>
      <c r="BR28" s="28">
        <v>-2.7648736717500002</v>
      </c>
      <c r="BS28" s="28">
        <v>-0.55426124100000007</v>
      </c>
      <c r="BT28" s="28">
        <v>-2.4452121948333332</v>
      </c>
      <c r="BU28" s="28">
        <v>-3.2811584819999999</v>
      </c>
      <c r="BV28" s="28">
        <v>-2.4548688615000001</v>
      </c>
      <c r="BW28" s="28">
        <v>-3.2480118153333328</v>
      </c>
      <c r="BX28" s="28">
        <v>-2.7923736717500001</v>
      </c>
      <c r="BY28" s="28">
        <v>-3.1136544819999998</v>
      </c>
      <c r="BZ28" s="28">
        <v>-1.3904558615</v>
      </c>
      <c r="CA28" s="28">
        <v>-3.280158482</v>
      </c>
      <c r="CB28" s="28">
        <v>-2.3959755281666668</v>
      </c>
      <c r="CC28" s="28">
        <v>-3.0059011486666671</v>
      </c>
      <c r="CD28" s="28">
        <v>-2.3643255281666669</v>
      </c>
      <c r="CE28" s="28">
        <v>-2.0397240512499999</v>
      </c>
      <c r="CF28" s="28">
        <v>-3.2981584819999998</v>
      </c>
      <c r="CG28" s="28">
        <v>-3.2961584820000001</v>
      </c>
      <c r="CH28" s="28">
        <v>-3.2672236153333332</v>
      </c>
      <c r="CI28" s="28">
        <v>-1.0728544307500001</v>
      </c>
      <c r="CJ28" s="28">
        <v>-2.840847005083333</v>
      </c>
      <c r="CK28" s="28">
        <v>-1.9017277179166661</v>
      </c>
      <c r="CL28" s="28">
        <v>-1.4505688615000001</v>
      </c>
      <c r="CM28" s="28">
        <v>-2.4153473948333328</v>
      </c>
      <c r="CN28" s="28">
        <v>-1.338643241</v>
      </c>
      <c r="CO28" s="28">
        <v>-2.3566675281666671</v>
      </c>
      <c r="CP28" s="28">
        <v>-3.288158482</v>
      </c>
      <c r="CQ28" s="28">
        <v>-1.6105792409999999</v>
      </c>
      <c r="CR28" s="28">
        <v>-0.73253776408333304</v>
      </c>
      <c r="CS28" s="28">
        <v>-3.280158482</v>
      </c>
      <c r="CT28" s="28">
        <v>-2.4138066717500002</v>
      </c>
      <c r="CU28" s="28">
        <v>-2.5609370050833329</v>
      </c>
      <c r="CV28" s="28">
        <v>-2.8660136717500002</v>
      </c>
      <c r="CW28" s="28">
        <v>-0.97282843075000003</v>
      </c>
      <c r="CX28" s="28">
        <v>-0.80155276408333309</v>
      </c>
      <c r="CY28" s="28">
        <v>-1.9969998153333299</v>
      </c>
      <c r="CZ28" s="28">
        <v>-1.491389241</v>
      </c>
      <c r="DA28" s="28">
        <v>-3.280158482</v>
      </c>
      <c r="DB28" s="28">
        <v>-1.98444835125</v>
      </c>
      <c r="DC28" s="28">
        <v>-0.88975309741666697</v>
      </c>
      <c r="DD28" s="28">
        <v>-1.626579241</v>
      </c>
      <c r="DE28" s="28">
        <v>-1.409059574333333</v>
      </c>
      <c r="DF28" s="28">
        <v>-2.7289240717499998</v>
      </c>
      <c r="DG28" s="28">
        <v>-3.0036634819999999</v>
      </c>
      <c r="DH28" s="28">
        <v>-3.0913328153333328</v>
      </c>
      <c r="DI28" s="28">
        <v>-2.5839826717499998</v>
      </c>
      <c r="DJ28" s="28">
        <v>-2.7997264820000001</v>
      </c>
      <c r="DK28" s="28">
        <v>-2.8660136717500002</v>
      </c>
      <c r="DL28" s="28">
        <v>-2.4428688615</v>
      </c>
      <c r="DM28" s="28">
        <v>-3.2288864820000001</v>
      </c>
      <c r="DN28" s="28">
        <v>-3.1504219486666671</v>
      </c>
      <c r="DO28" s="28">
        <v>-3.269994148666667</v>
      </c>
      <c r="DP28" s="28">
        <v>-1.8740168512499999</v>
      </c>
      <c r="DQ28" s="28">
        <v>-1.9091860512500001</v>
      </c>
      <c r="DR28" s="28">
        <v>-3.2891584819999999</v>
      </c>
      <c r="DS28" s="28">
        <v>-1.6395792410000001</v>
      </c>
      <c r="DT28" s="28">
        <v>-1.6099125743333329</v>
      </c>
      <c r="DU28" s="28">
        <v>-1.498299241</v>
      </c>
      <c r="DV28" s="28">
        <v>-1.206205000000571E-4</v>
      </c>
      <c r="DW28" s="28">
        <v>-2.28154602704906</v>
      </c>
      <c r="DX28" s="34">
        <v>-282.91170735408338</v>
      </c>
    </row>
    <row r="29" spans="1:128" x14ac:dyDescent="0.25">
      <c r="A29" s="24">
        <v>28</v>
      </c>
      <c r="B29" s="26">
        <v>13.5</v>
      </c>
      <c r="C29" s="28">
        <v>-1.453811163733334</v>
      </c>
      <c r="D29" s="28">
        <v>-1.277845621333334</v>
      </c>
      <c r="E29" s="28">
        <v>-1.890831221333334</v>
      </c>
      <c r="F29" s="28">
        <v>-1.5476671637333339</v>
      </c>
      <c r="G29" s="28">
        <v>-3.166334327466668</v>
      </c>
      <c r="H29" s="28">
        <v>-3.0741949941333351</v>
      </c>
      <c r="I29" s="28">
        <v>-2.1897516607999981</v>
      </c>
      <c r="J29" s="28">
        <v>-1.832447078933334</v>
      </c>
      <c r="K29" s="28">
        <v>-1.401880163733334</v>
      </c>
      <c r="L29" s="28">
        <v>-2.3590007456000008</v>
      </c>
      <c r="M29" s="28">
        <v>-3.1241813274666681</v>
      </c>
      <c r="N29" s="28">
        <v>-2.9979609941333352</v>
      </c>
      <c r="O29" s="28">
        <v>-2.4493569941333351</v>
      </c>
      <c r="P29" s="28">
        <v>-2.749816869866669</v>
      </c>
      <c r="Q29" s="28">
        <v>-1.349047497066667</v>
      </c>
      <c r="R29" s="28">
        <v>-4.3237280000008038E-4</v>
      </c>
      <c r="S29" s="28">
        <v>-1.552667163733334</v>
      </c>
      <c r="T29" s="28">
        <v>7.8084799999933452E-5</v>
      </c>
      <c r="U29" s="28">
        <v>-2.9014729941333348</v>
      </c>
      <c r="V29" s="28">
        <v>-3.154334327466668</v>
      </c>
      <c r="W29" s="28">
        <v>-1.4365804970666669</v>
      </c>
      <c r="X29" s="28">
        <v>-1.643937954666667</v>
      </c>
      <c r="Y29" s="28">
        <v>-2.3790007456000009</v>
      </c>
      <c r="Z29" s="28">
        <v>-3.0207933274666678</v>
      </c>
      <c r="AA29" s="28">
        <v>-2.6821080698666679</v>
      </c>
      <c r="AB29" s="28">
        <v>-1.513675288</v>
      </c>
      <c r="AC29" s="28">
        <v>-2.5686658608000008</v>
      </c>
      <c r="AD29" s="28">
        <v>-3.0251789941333351</v>
      </c>
      <c r="AE29" s="28">
        <v>-3.158334327466668</v>
      </c>
      <c r="AF29" s="28">
        <v>-2.2045807456000008</v>
      </c>
      <c r="AG29" s="28">
        <v>-1.750144954666667</v>
      </c>
      <c r="AH29" s="28">
        <v>-3.1673343274666679</v>
      </c>
      <c r="AI29" s="28">
        <v>-2.6635668698666679</v>
      </c>
      <c r="AJ29" s="28">
        <v>-2.716499203200001</v>
      </c>
      <c r="AK29" s="28">
        <v>-2.3057760789333339</v>
      </c>
      <c r="AL29" s="28">
        <v>-1.9050439546666671</v>
      </c>
      <c r="AM29" s="28">
        <v>-1.3225234970666671</v>
      </c>
      <c r="AN29" s="28">
        <v>-3.166334327466668</v>
      </c>
      <c r="AO29" s="28">
        <v>-3.0032286608000009</v>
      </c>
      <c r="AP29" s="28">
        <v>-2.7656675365333352</v>
      </c>
      <c r="AQ29" s="28">
        <v>-2.3593588698666679</v>
      </c>
      <c r="AR29" s="28">
        <v>-3.158334327466668</v>
      </c>
      <c r="AS29" s="28">
        <v>-2.902423994133335</v>
      </c>
      <c r="AT29" s="28">
        <v>-1.2418298303999999</v>
      </c>
      <c r="AU29" s="28">
        <v>-2.900584994133335</v>
      </c>
      <c r="AV29" s="28">
        <v>-2.581680869866668</v>
      </c>
      <c r="AW29" s="28">
        <v>-3.1533343274666681</v>
      </c>
      <c r="AX29" s="28">
        <v>-1.8354939546666671</v>
      </c>
      <c r="AY29" s="28">
        <v>-2.9095316608000008</v>
      </c>
      <c r="AZ29" s="28">
        <v>-4.8407893333102248E-4</v>
      </c>
      <c r="BA29" s="28">
        <v>-2.143212745600001</v>
      </c>
      <c r="BB29" s="28">
        <v>-3.1653343274666681</v>
      </c>
      <c r="BC29" s="28">
        <v>-3.1833343274666679</v>
      </c>
      <c r="BD29" s="28">
        <v>-0.48618937280000007</v>
      </c>
      <c r="BE29" s="28">
        <v>-3.1027709941333348</v>
      </c>
      <c r="BF29" s="28">
        <v>-1.853181954666667</v>
      </c>
      <c r="BG29" s="28">
        <v>-0.94282837279999998</v>
      </c>
      <c r="BH29" s="28">
        <v>-1.556667163733334</v>
      </c>
      <c r="BI29" s="28">
        <v>-2.5029486608000009</v>
      </c>
      <c r="BJ29" s="28">
        <v>-1.5636671637333339</v>
      </c>
      <c r="BK29" s="28">
        <v>-2.7381171698666682</v>
      </c>
      <c r="BL29" s="28">
        <v>-2.560447536533335</v>
      </c>
      <c r="BM29" s="28">
        <v>-1.550667163733334</v>
      </c>
      <c r="BN29" s="28">
        <v>-1.1500003727999999</v>
      </c>
      <c r="BO29" s="28">
        <v>-2.640954203200002</v>
      </c>
      <c r="BP29" s="28">
        <v>-2.1142341456000011</v>
      </c>
      <c r="BQ29" s="28">
        <v>-2.9213389941333352</v>
      </c>
      <c r="BR29" s="28">
        <v>-2.4368845365333351</v>
      </c>
      <c r="BS29" s="28">
        <v>-0.96251849706666703</v>
      </c>
      <c r="BT29" s="28">
        <v>-2.1366334122666681</v>
      </c>
      <c r="BU29" s="28">
        <v>-3.0456189941333349</v>
      </c>
      <c r="BV29" s="28">
        <v>-2.331796478933335</v>
      </c>
      <c r="BW29" s="28">
        <v>-2.540073660800001</v>
      </c>
      <c r="BX29" s="28">
        <v>-2.7606675365333349</v>
      </c>
      <c r="BY29" s="28">
        <v>-1.4847526607999979</v>
      </c>
      <c r="BZ29" s="28">
        <v>-2.3057447456000011</v>
      </c>
      <c r="CA29" s="28">
        <v>-3.1563343274666682</v>
      </c>
      <c r="CB29" s="28">
        <v>-2.1877807456000009</v>
      </c>
      <c r="CC29" s="28">
        <v>-3.0690252941333349</v>
      </c>
      <c r="CD29" s="28">
        <v>-2.115913412266667</v>
      </c>
      <c r="CE29" s="28">
        <v>-1.9623339546666669</v>
      </c>
      <c r="CF29" s="28">
        <v>-3.0059403274666678</v>
      </c>
      <c r="CG29" s="28">
        <v>-3.0785576608000009</v>
      </c>
      <c r="CH29" s="28">
        <v>-3.1520483274666682</v>
      </c>
      <c r="CI29" s="28">
        <v>-1.0425930394666669</v>
      </c>
      <c r="CJ29" s="28">
        <v>-2.6601008698666679</v>
      </c>
      <c r="CK29" s="28">
        <v>-1.9180372880000001</v>
      </c>
      <c r="CL29" s="28">
        <v>-1.6595340789333339</v>
      </c>
      <c r="CM29" s="28">
        <v>-1.960622212266667</v>
      </c>
      <c r="CN29" s="28">
        <v>-1.211041830400001</v>
      </c>
      <c r="CO29" s="28">
        <v>-2.261251412266668</v>
      </c>
      <c r="CP29" s="28">
        <v>-3.1033743274666681</v>
      </c>
      <c r="CQ29" s="28">
        <v>-1.5198138304000011</v>
      </c>
      <c r="CR29" s="28">
        <v>-0.84962503946666601</v>
      </c>
      <c r="CS29" s="28">
        <v>-3.077032327466668</v>
      </c>
      <c r="CT29" s="28">
        <v>-2.4426512032000018</v>
      </c>
      <c r="CU29" s="28">
        <v>-2.6131889365333349</v>
      </c>
      <c r="CV29" s="28">
        <v>-2.7576675365333352</v>
      </c>
      <c r="CW29" s="28">
        <v>-0.92503837280000001</v>
      </c>
      <c r="CX29" s="28">
        <v>-0.74515503946666706</v>
      </c>
      <c r="CY29" s="28">
        <v>-2.4382009941333331</v>
      </c>
      <c r="CZ29" s="28">
        <v>-1.0782771637333339</v>
      </c>
      <c r="DA29" s="28">
        <v>-3.125880327466668</v>
      </c>
      <c r="DB29" s="28">
        <v>-1.838739621333334</v>
      </c>
      <c r="DC29" s="28">
        <v>-0.84864703946666697</v>
      </c>
      <c r="DD29" s="28">
        <v>-1.564667163733334</v>
      </c>
      <c r="DE29" s="28">
        <v>-1.219627163733334</v>
      </c>
      <c r="DF29" s="28">
        <v>-2.6538125365333349</v>
      </c>
      <c r="DG29" s="28">
        <v>-2.324875327466668</v>
      </c>
      <c r="DH29" s="28">
        <v>-3.0742485941333348</v>
      </c>
      <c r="DI29" s="28">
        <v>-2.6522635365333351</v>
      </c>
      <c r="DJ29" s="28">
        <v>-2.8786973274666678</v>
      </c>
      <c r="DK29" s="28">
        <v>-2.6476462032000021</v>
      </c>
      <c r="DL29" s="28">
        <v>-2.3500007456000009</v>
      </c>
      <c r="DM29" s="28">
        <v>-3.079960994133335</v>
      </c>
      <c r="DN29" s="28">
        <v>-2.9637443274666682</v>
      </c>
      <c r="DO29" s="28">
        <v>-3.0140473274666681</v>
      </c>
      <c r="DP29" s="28">
        <v>-1.7610821546666671</v>
      </c>
      <c r="DQ29" s="28">
        <v>-1.891266288</v>
      </c>
      <c r="DR29" s="28">
        <v>-3.1238983274666681</v>
      </c>
      <c r="DS29" s="28">
        <v>-1.4444898304000009</v>
      </c>
      <c r="DT29" s="28">
        <v>-1.0621391637333339</v>
      </c>
      <c r="DU29" s="28">
        <v>-0.77084549706666705</v>
      </c>
      <c r="DV29" s="28">
        <v>7.75146666698312E-6</v>
      </c>
      <c r="DW29" s="28">
        <v>-2.1804619775440859</v>
      </c>
      <c r="DX29" s="34">
        <v>-270.37728521546671</v>
      </c>
    </row>
    <row r="30" spans="1:128" x14ac:dyDescent="0.25">
      <c r="A30" s="24">
        <v>29</v>
      </c>
      <c r="B30" s="26">
        <v>14</v>
      </c>
      <c r="C30" s="28">
        <v>-1.4897539466</v>
      </c>
      <c r="D30" s="28">
        <v>-1.7366564332500001</v>
      </c>
      <c r="E30" s="28">
        <v>-1.86494243325</v>
      </c>
      <c r="F30" s="28">
        <v>-1.4737539466</v>
      </c>
      <c r="G30" s="28">
        <v>-3.0185078931999998</v>
      </c>
      <c r="H30" s="28">
        <v>-2.858344559866667</v>
      </c>
      <c r="I30" s="28">
        <v>-1.6180378931999999</v>
      </c>
      <c r="J30" s="28">
        <v>-2.2240235865666671</v>
      </c>
      <c r="K30" s="28">
        <v>-0.89114761326666603</v>
      </c>
      <c r="L30" s="28">
        <v>-2.222729586566667</v>
      </c>
      <c r="M30" s="28">
        <v>-2.9528388932</v>
      </c>
      <c r="N30" s="28">
        <v>-3.0185078931999998</v>
      </c>
      <c r="O30" s="28">
        <v>-2.8107998932</v>
      </c>
      <c r="P30" s="28">
        <v>-2.5783420732166671</v>
      </c>
      <c r="Q30" s="28">
        <v>-1.2277339465999999</v>
      </c>
      <c r="R30" s="28">
        <v>-4.4545995000000449E-4</v>
      </c>
      <c r="S30" s="28">
        <v>-1.4456259466000001</v>
      </c>
      <c r="T30" s="28">
        <v>-1.4697329999990849E-4</v>
      </c>
      <c r="U30" s="28">
        <v>-2.8329275598666661</v>
      </c>
      <c r="V30" s="28">
        <v>-2.8325635598666672</v>
      </c>
      <c r="W30" s="28">
        <v>-1.4439389466000001</v>
      </c>
      <c r="X30" s="28">
        <v>-1.6124247665833329</v>
      </c>
      <c r="Y30" s="28">
        <v>-2.206237586566667</v>
      </c>
      <c r="Z30" s="28">
        <v>-2.9887908932</v>
      </c>
      <c r="AA30" s="28">
        <v>-2.6066354065500001</v>
      </c>
      <c r="AB30" s="28">
        <v>-1.762529766583333</v>
      </c>
      <c r="AC30" s="28">
        <v>-2.9903725598666671</v>
      </c>
      <c r="AD30" s="28">
        <v>-2.9084372265333331</v>
      </c>
      <c r="AE30" s="28">
        <v>-3.0105078931999998</v>
      </c>
      <c r="AF30" s="28">
        <v>-2.2335889198999999</v>
      </c>
      <c r="AG30" s="28">
        <v>-1.1208327665833331</v>
      </c>
      <c r="AH30" s="28">
        <v>-2.8840278931999999</v>
      </c>
      <c r="AI30" s="28">
        <v>-2.2699114065499999</v>
      </c>
      <c r="AJ30" s="28">
        <v>-2.5689201398833328</v>
      </c>
      <c r="AK30" s="28">
        <v>-1.562289253233333</v>
      </c>
      <c r="AL30" s="28">
        <v>-1.6512704332499999</v>
      </c>
      <c r="AM30" s="28">
        <v>-0.88427461326666601</v>
      </c>
      <c r="AN30" s="28">
        <v>-2.9884718931999998</v>
      </c>
      <c r="AO30" s="28">
        <v>-2.7584782265333332</v>
      </c>
      <c r="AP30" s="28">
        <v>-2.6363194065500002</v>
      </c>
      <c r="AQ30" s="28">
        <v>-3.3640654999989028E-4</v>
      </c>
      <c r="AR30" s="28">
        <v>-3.0105078931999998</v>
      </c>
      <c r="AS30" s="28">
        <v>-2.8109508931999998</v>
      </c>
      <c r="AT30" s="28">
        <v>-1.2404609466000001</v>
      </c>
      <c r="AU30" s="28">
        <v>-2.9939372265333328</v>
      </c>
      <c r="AV30" s="28">
        <v>-2.5787600732166669</v>
      </c>
      <c r="AW30" s="28">
        <v>-3.0055078931999999</v>
      </c>
      <c r="AX30" s="28">
        <v>-1.718797566583333</v>
      </c>
      <c r="AY30" s="28">
        <v>-2.4140925598666669</v>
      </c>
      <c r="AZ30" s="28">
        <v>-1.0919899999906059E-5</v>
      </c>
      <c r="BA30" s="28">
        <v>-1.8520049198999999</v>
      </c>
      <c r="BB30" s="28">
        <v>-2.8802958932</v>
      </c>
      <c r="BC30" s="28">
        <v>-2.9040678932000001</v>
      </c>
      <c r="BD30" s="28">
        <v>-0.73604412661666707</v>
      </c>
      <c r="BE30" s="28">
        <v>-2.8016518931999999</v>
      </c>
      <c r="BF30" s="28">
        <v>-1.805131099916667</v>
      </c>
      <c r="BG30" s="28">
        <v>-1.00153745995</v>
      </c>
      <c r="BH30" s="28">
        <v>-1.367879279933333</v>
      </c>
      <c r="BI30" s="28">
        <v>-2.9642528931999998</v>
      </c>
      <c r="BJ30" s="28">
        <v>-1.4151919466</v>
      </c>
      <c r="BK30" s="28">
        <v>-2.4420294065500001</v>
      </c>
      <c r="BL30" s="28">
        <v>-2.4989530732166672</v>
      </c>
      <c r="BM30" s="28">
        <v>-1.312410279933333</v>
      </c>
      <c r="BN30" s="28">
        <v>-0.91564245995000004</v>
      </c>
      <c r="BO30" s="28">
        <v>-2.5783194065499999</v>
      </c>
      <c r="BP30" s="28">
        <v>-2.0972829199</v>
      </c>
      <c r="BQ30" s="28">
        <v>-2.7926845598666659</v>
      </c>
      <c r="BR30" s="28">
        <v>-2.0965614065499998</v>
      </c>
      <c r="BS30" s="28">
        <v>-1.2361766132666669</v>
      </c>
      <c r="BT30" s="28">
        <v>-2.2147522532333341</v>
      </c>
      <c r="BU30" s="28">
        <v>-3.0095078931999999</v>
      </c>
      <c r="BV30" s="28">
        <v>-2.0812398532333329</v>
      </c>
      <c r="BW30" s="28">
        <v>-2.9119857932</v>
      </c>
      <c r="BX30" s="28">
        <v>-2.610586073216667</v>
      </c>
      <c r="BY30" s="28">
        <v>-0.62088989319999977</v>
      </c>
      <c r="BZ30" s="28">
        <v>-2.2561309198999999</v>
      </c>
      <c r="CA30" s="28">
        <v>-3.0085078932</v>
      </c>
      <c r="CB30" s="28">
        <v>-1.9950955865666671</v>
      </c>
      <c r="CC30" s="28">
        <v>-2.911421059866667</v>
      </c>
      <c r="CD30" s="28">
        <v>-2.2461309199000001</v>
      </c>
      <c r="CE30" s="28">
        <v>-1.8699424332500001</v>
      </c>
      <c r="CF30" s="28">
        <v>-2.936342559866667</v>
      </c>
      <c r="CG30" s="28">
        <v>-3.0245078932</v>
      </c>
      <c r="CH30" s="28">
        <v>-2.9215659598666668</v>
      </c>
      <c r="CI30" s="28">
        <v>-0.91671065995000001</v>
      </c>
      <c r="CJ30" s="28">
        <v>-2.6333194065500001</v>
      </c>
      <c r="CK30" s="28">
        <v>-1.69414643325</v>
      </c>
      <c r="CL30" s="28">
        <v>-2.2491309198999998</v>
      </c>
      <c r="CM30" s="28">
        <v>-2.1650235865666669</v>
      </c>
      <c r="CN30" s="28">
        <v>-1.1382089466</v>
      </c>
      <c r="CO30" s="28">
        <v>-2.0976442532333328</v>
      </c>
      <c r="CP30" s="28">
        <v>-3.0165078932</v>
      </c>
      <c r="CQ30" s="28">
        <v>-1.3449139466</v>
      </c>
      <c r="CR30" s="28">
        <v>-0.76262779328333297</v>
      </c>
      <c r="CS30" s="28">
        <v>-3.0085078932</v>
      </c>
      <c r="CT30" s="28">
        <v>-2.3785394065499998</v>
      </c>
      <c r="CU30" s="28">
        <v>-2.3657060732166668</v>
      </c>
      <c r="CV30" s="28">
        <v>-2.3380494065500002</v>
      </c>
      <c r="CW30" s="28">
        <v>-1.1016094599499999</v>
      </c>
      <c r="CX30" s="28">
        <v>-0.43551612661666611</v>
      </c>
      <c r="CY30" s="28">
        <v>-2.8046288931999999</v>
      </c>
      <c r="CZ30" s="28">
        <v>-1.4807539465999999</v>
      </c>
      <c r="DA30" s="28">
        <v>-2.9296464265333331</v>
      </c>
      <c r="DB30" s="28">
        <v>-1.599018966583333</v>
      </c>
      <c r="DC30" s="28">
        <v>-0.89381612661666709</v>
      </c>
      <c r="DD30" s="28">
        <v>-1.4177699466</v>
      </c>
      <c r="DE30" s="28">
        <v>-1.392074613266667</v>
      </c>
      <c r="DF30" s="28">
        <v>-2.383210073216667</v>
      </c>
      <c r="DG30" s="28">
        <v>-2.1311488931999998</v>
      </c>
      <c r="DH30" s="28">
        <v>-2.911337826533333</v>
      </c>
      <c r="DI30" s="28">
        <v>-2.5274507398833328</v>
      </c>
      <c r="DJ30" s="28">
        <v>-1.2888638932000001</v>
      </c>
      <c r="DK30" s="28">
        <v>-2.6283194065500002</v>
      </c>
      <c r="DL30" s="28">
        <v>-2.2391309199</v>
      </c>
      <c r="DM30" s="28">
        <v>-2.947894559866667</v>
      </c>
      <c r="DN30" s="28">
        <v>-2.6610135598666669</v>
      </c>
      <c r="DO30" s="28">
        <v>-2.9272492265333332</v>
      </c>
      <c r="DP30" s="28">
        <v>-1.8154478332499999</v>
      </c>
      <c r="DQ30" s="28">
        <v>-1.7222667665833331</v>
      </c>
      <c r="DR30" s="28">
        <v>-2.9070118932</v>
      </c>
      <c r="DS30" s="28">
        <v>-1.230809279933333</v>
      </c>
      <c r="DT30" s="28">
        <v>-1.4219352799333329</v>
      </c>
      <c r="DU30" s="28">
        <v>-0.13859594659999999</v>
      </c>
      <c r="DV30" s="28">
        <v>-1.3097330000011451E-4</v>
      </c>
      <c r="DW30" s="28">
        <v>-2.0509827837146499</v>
      </c>
      <c r="DX30" s="34">
        <v>-254.3218651806167</v>
      </c>
    </row>
    <row r="31" spans="1:128" x14ac:dyDescent="0.25">
      <c r="A31" s="24">
        <v>30</v>
      </c>
      <c r="B31" s="26">
        <v>14.5</v>
      </c>
      <c r="C31" s="28">
        <v>-1.3960950865333339</v>
      </c>
      <c r="D31" s="28">
        <v>-1.6970288581666679</v>
      </c>
      <c r="E31" s="28">
        <v>-1.7478688581666679</v>
      </c>
      <c r="F31" s="28">
        <v>-1.3800950865333339</v>
      </c>
      <c r="G31" s="28">
        <v>-2.831190173066668</v>
      </c>
      <c r="H31" s="28">
        <v>-2.7234968397333348</v>
      </c>
      <c r="I31" s="28">
        <v>-2.728022839733335</v>
      </c>
      <c r="J31" s="28">
        <v>-2.1276426298000009</v>
      </c>
      <c r="K31" s="28">
        <v>-1.0749720865333341</v>
      </c>
      <c r="L31" s="28">
        <v>-2.0060372964666682</v>
      </c>
      <c r="M31" s="28">
        <v>-2.7772791730666682</v>
      </c>
      <c r="N31" s="28">
        <v>-2.831190173066668</v>
      </c>
      <c r="O31" s="28">
        <v>-2.4845748397333338</v>
      </c>
      <c r="P31" s="28">
        <v>-2.3254000681000022</v>
      </c>
      <c r="Q31" s="28">
        <v>1.789134666658754E-4</v>
      </c>
      <c r="R31" s="28">
        <v>-3.2798156666702377E-4</v>
      </c>
      <c r="S31" s="28">
        <v>-1.2128944198666669</v>
      </c>
      <c r="T31" s="28">
        <v>-4.0520993333403871E-4</v>
      </c>
      <c r="U31" s="28">
        <v>-2.5310951730666682</v>
      </c>
      <c r="V31" s="28">
        <v>-2.588390506400001</v>
      </c>
      <c r="W31" s="28">
        <v>-1.252324086533334</v>
      </c>
      <c r="X31" s="28">
        <v>-1.4315498581666679</v>
      </c>
      <c r="Y31" s="28">
        <v>-2.0770026298000008</v>
      </c>
      <c r="Z31" s="28">
        <v>-2.823190173066668</v>
      </c>
      <c r="AA31" s="28">
        <v>-2.3746804014333351</v>
      </c>
      <c r="AB31" s="28">
        <v>-1.463527191500001</v>
      </c>
      <c r="AC31" s="28">
        <v>-2.742312239733335</v>
      </c>
      <c r="AD31" s="28">
        <v>-2.8216075064000008</v>
      </c>
      <c r="AE31" s="28">
        <v>-2.823190173066668</v>
      </c>
      <c r="AF31" s="28">
        <v>-2.0464746298000009</v>
      </c>
      <c r="AG31" s="28">
        <v>-0.6952031914999981</v>
      </c>
      <c r="AH31" s="28">
        <v>-1.6037948397333379</v>
      </c>
      <c r="AI31" s="28">
        <v>-2.0354394014333348</v>
      </c>
      <c r="AJ31" s="28">
        <v>-2.459786001433335</v>
      </c>
      <c r="AK31" s="28">
        <v>-1.364925629800001</v>
      </c>
      <c r="AL31" s="28">
        <v>-1.5901195248333351</v>
      </c>
      <c r="AM31" s="28">
        <v>-1.2568652865333341</v>
      </c>
      <c r="AN31" s="28">
        <v>-2.6960281730666682</v>
      </c>
      <c r="AO31" s="28">
        <v>-1.4123076730666679</v>
      </c>
      <c r="AP31" s="28">
        <v>-2.472416401433335</v>
      </c>
      <c r="AQ31" s="28">
        <v>-0.71765073476666796</v>
      </c>
      <c r="AR31" s="28">
        <v>-2.823190173066668</v>
      </c>
      <c r="AS31" s="28">
        <v>-3.4613359730666682</v>
      </c>
      <c r="AT31" s="28">
        <v>-1.125656419866667</v>
      </c>
      <c r="AU31" s="28">
        <v>-2.7039521730666678</v>
      </c>
      <c r="AV31" s="28">
        <v>-2.4634164014333351</v>
      </c>
      <c r="AW31" s="28">
        <v>-2.8181901730666681</v>
      </c>
      <c r="AX31" s="28">
        <v>-1.7398688581666679</v>
      </c>
      <c r="AY31" s="28">
        <v>-2.5329721730666681</v>
      </c>
      <c r="AZ31" s="28">
        <v>-0.34144896313333389</v>
      </c>
      <c r="BA31" s="28">
        <v>-1.958006629800001</v>
      </c>
      <c r="BB31" s="28">
        <v>-2.7693241730666678</v>
      </c>
      <c r="BC31" s="28">
        <v>-2.8481901730666679</v>
      </c>
      <c r="BD31" s="28">
        <v>-0.4772269815666671</v>
      </c>
      <c r="BE31" s="28">
        <v>-2.8221901730666681</v>
      </c>
      <c r="BF31" s="28">
        <v>-1.6265588581666679</v>
      </c>
      <c r="BG31" s="28">
        <v>-0.82550331490000006</v>
      </c>
      <c r="BH31" s="28">
        <v>-1.3460170865333341</v>
      </c>
      <c r="BI31" s="28">
        <v>-2.503288506400001</v>
      </c>
      <c r="BJ31" s="28">
        <v>-1.3960950865333339</v>
      </c>
      <c r="BK31" s="28">
        <v>-2.3953950681000018</v>
      </c>
      <c r="BL31" s="28">
        <v>-2.365451768100002</v>
      </c>
      <c r="BM31" s="28">
        <v>-1.1972490865333341</v>
      </c>
      <c r="BN31" s="28">
        <v>-0.93306598156666709</v>
      </c>
      <c r="BO31" s="28">
        <v>-2.3072814014333352</v>
      </c>
      <c r="BP31" s="28">
        <v>-2.009342763133334</v>
      </c>
      <c r="BQ31" s="28">
        <v>-2.5621091730666681</v>
      </c>
      <c r="BR31" s="28">
        <v>-2.1771244014333351</v>
      </c>
      <c r="BS31" s="28">
        <v>3.9158013333584479E-4</v>
      </c>
      <c r="BT31" s="28">
        <v>-1.9477559631333341</v>
      </c>
      <c r="BU31" s="28">
        <v>-2.7264341730666679</v>
      </c>
      <c r="BV31" s="28">
        <v>-1.649743963133335</v>
      </c>
      <c r="BW31" s="28">
        <v>-2.5786796397333349</v>
      </c>
      <c r="BX31" s="28">
        <v>-2.4135097347666679</v>
      </c>
      <c r="BY31" s="28">
        <v>-1.928795506400002</v>
      </c>
      <c r="BZ31" s="28">
        <v>-2.1156426298000008</v>
      </c>
      <c r="CA31" s="28">
        <v>-2.6673025064000009</v>
      </c>
      <c r="CB31" s="28">
        <v>-2.101202763133335</v>
      </c>
      <c r="CC31" s="28">
        <v>-1.9600021730666679</v>
      </c>
      <c r="CD31" s="28">
        <v>-2.0514362964666679</v>
      </c>
      <c r="CE31" s="28">
        <v>-1.752868858166668</v>
      </c>
      <c r="CF31" s="28">
        <v>-2.8166488397333351</v>
      </c>
      <c r="CG31" s="28">
        <v>-2.7501118397333348</v>
      </c>
      <c r="CH31" s="28">
        <v>-2.4985307064000009</v>
      </c>
      <c r="CI31" s="28">
        <v>3.7508509999994999E-4</v>
      </c>
      <c r="CJ31" s="28">
        <v>-2.3366830681000019</v>
      </c>
      <c r="CK31" s="28">
        <v>-1.7078688581666679</v>
      </c>
      <c r="CL31" s="28">
        <v>-2.1086426298000012</v>
      </c>
      <c r="CM31" s="28">
        <v>-1.9145926298000009</v>
      </c>
      <c r="CN31" s="28">
        <v>-1.2662770865333339</v>
      </c>
      <c r="CO31" s="28">
        <v>-2.1066426298000009</v>
      </c>
      <c r="CP31" s="28">
        <v>-2.8291901730666682</v>
      </c>
      <c r="CQ31" s="28">
        <v>-1.381095086533334</v>
      </c>
      <c r="CR31" s="28">
        <v>-0.68480498156666703</v>
      </c>
      <c r="CS31" s="28">
        <v>-2.741888173066668</v>
      </c>
      <c r="CT31" s="28">
        <v>-2.2146364014333351</v>
      </c>
      <c r="CU31" s="28">
        <v>-1.2462937347666649</v>
      </c>
      <c r="CV31" s="28">
        <v>-2.1509757347666691</v>
      </c>
      <c r="CW31" s="28">
        <v>-0.87224531490000001</v>
      </c>
      <c r="CX31" s="28">
        <v>-0.82272731490000006</v>
      </c>
      <c r="CY31" s="28">
        <v>-2.697042839733335</v>
      </c>
      <c r="CZ31" s="28">
        <v>-1.3136730865333339</v>
      </c>
      <c r="DA31" s="28">
        <v>-2.7127394397333342</v>
      </c>
      <c r="DB31" s="28">
        <v>-1.380935458166668</v>
      </c>
      <c r="DC31" s="28">
        <v>-0.98990064823333335</v>
      </c>
      <c r="DD31" s="28">
        <v>-1.397095086533334</v>
      </c>
      <c r="DE31" s="28">
        <v>-1.3233280865333339</v>
      </c>
      <c r="DF31" s="28">
        <v>-2.9506810000468059E-4</v>
      </c>
      <c r="DG31" s="28">
        <v>-2.5028495064000009</v>
      </c>
      <c r="DH31" s="28">
        <v>-2.7133447064000009</v>
      </c>
      <c r="DI31" s="28">
        <v>-2.3648030681000018</v>
      </c>
      <c r="DJ31" s="28">
        <v>-2.6810920730666679</v>
      </c>
      <c r="DK31" s="28">
        <v>-2.464416401433335</v>
      </c>
      <c r="DL31" s="28">
        <v>-2.0986426298000009</v>
      </c>
      <c r="DM31" s="28">
        <v>-2.7637641730666682</v>
      </c>
      <c r="DN31" s="28">
        <v>-2.3485465064000008</v>
      </c>
      <c r="DO31" s="28">
        <v>-2.7173048397333348</v>
      </c>
      <c r="DP31" s="28">
        <v>-2.0643383248333338</v>
      </c>
      <c r="DQ31" s="28">
        <v>-1.7083688581666681</v>
      </c>
      <c r="DR31" s="28">
        <v>-2.8301901730666681</v>
      </c>
      <c r="DS31" s="28">
        <v>-1.1831490865333341</v>
      </c>
      <c r="DT31" s="28">
        <v>-1.0487210865333341</v>
      </c>
      <c r="DU31" s="28">
        <v>-0.74476175320000104</v>
      </c>
      <c r="DV31" s="28">
        <v>4.211233999999453E-4</v>
      </c>
      <c r="DW31" s="28">
        <v>-1.899556617657798</v>
      </c>
      <c r="DX31" s="34">
        <v>-235.54502058956689</v>
      </c>
    </row>
    <row r="32" spans="1:128" x14ac:dyDescent="0.25">
      <c r="A32" s="24">
        <v>31</v>
      </c>
      <c r="B32" s="26">
        <v>15</v>
      </c>
      <c r="C32" s="28">
        <v>-1.2965642474000001</v>
      </c>
      <c r="D32" s="28">
        <v>-1.3538413092499999</v>
      </c>
      <c r="E32" s="28">
        <v>-1.6198309759166669</v>
      </c>
      <c r="F32" s="28">
        <v>-1.2805642474000001</v>
      </c>
      <c r="G32" s="28">
        <v>-2.6321284947999999</v>
      </c>
      <c r="H32" s="28">
        <v>-2.6281284947999999</v>
      </c>
      <c r="I32" s="28">
        <v>-2.5081838281333328</v>
      </c>
      <c r="J32" s="28">
        <v>-1.9783463711</v>
      </c>
      <c r="K32" s="28">
        <v>-1.2855642474</v>
      </c>
      <c r="L32" s="28">
        <v>-1.6525063711000001</v>
      </c>
      <c r="M32" s="28">
        <v>-2.6311284948</v>
      </c>
      <c r="N32" s="28">
        <v>-2.4790618281333332</v>
      </c>
      <c r="O32" s="28">
        <v>-2.605731828133333</v>
      </c>
      <c r="P32" s="28">
        <v>-2.1968667662833332</v>
      </c>
      <c r="Q32" s="28">
        <v>-0.78735221406666711</v>
      </c>
      <c r="R32" s="28">
        <v>-3.2518883332999238E-5</v>
      </c>
      <c r="S32" s="28">
        <v>-1.0873782474</v>
      </c>
      <c r="T32" s="28">
        <v>3.0387630000000548E-4</v>
      </c>
      <c r="U32" s="28">
        <v>-2.5642581614666669</v>
      </c>
      <c r="V32" s="28">
        <v>-2.6053018281333329</v>
      </c>
      <c r="W32" s="28">
        <v>-1.1694775807333331</v>
      </c>
      <c r="X32" s="28">
        <v>-1.2836109759166661</v>
      </c>
      <c r="Y32" s="28">
        <v>-1.7277781711</v>
      </c>
      <c r="Z32" s="28">
        <v>-2.6241284947999999</v>
      </c>
      <c r="AA32" s="28">
        <v>-2.29123743295</v>
      </c>
      <c r="AB32" s="28">
        <v>-1.217562642583333</v>
      </c>
      <c r="AC32" s="28">
        <v>-2.5562808281333331</v>
      </c>
      <c r="AD32" s="28">
        <v>-2.6281284947999999</v>
      </c>
      <c r="AE32" s="28">
        <v>-2.6241284947999999</v>
      </c>
      <c r="AF32" s="28">
        <v>-1.8505523711</v>
      </c>
      <c r="AG32" s="28">
        <v>-1.6134553092499999</v>
      </c>
      <c r="AH32" s="28">
        <v>-2.5887479947999998</v>
      </c>
      <c r="AI32" s="28">
        <v>-2.0726254329499998</v>
      </c>
      <c r="AJ32" s="28">
        <v>-2.1244314329499998</v>
      </c>
      <c r="AK32" s="28">
        <v>-1.4234130377666669</v>
      </c>
      <c r="AL32" s="28">
        <v>-1.3307089759166659</v>
      </c>
      <c r="AM32" s="28">
        <v>-1.1734592474000001</v>
      </c>
      <c r="AN32" s="28">
        <v>-2.6321284947999999</v>
      </c>
      <c r="AO32" s="28">
        <v>-2.4162624948000002</v>
      </c>
      <c r="AP32" s="28">
        <v>-2.2982374329500002</v>
      </c>
      <c r="AQ32" s="28">
        <v>-8.6044432950000083E-2</v>
      </c>
      <c r="AR32" s="28">
        <v>-2.6241284947999999</v>
      </c>
      <c r="AS32" s="28">
        <v>-2.8682094947999999</v>
      </c>
      <c r="AT32" s="28">
        <v>-1.039063580733333</v>
      </c>
      <c r="AU32" s="28">
        <v>-2.5644628281333328</v>
      </c>
      <c r="AV32" s="28">
        <v>-2.0769674329500001</v>
      </c>
      <c r="AW32" s="28">
        <v>-2.6191284948</v>
      </c>
      <c r="AX32" s="28">
        <v>-1.5395139759166669</v>
      </c>
      <c r="AY32" s="28">
        <v>-2.3461611614666671</v>
      </c>
      <c r="AZ32" s="28">
        <v>-1.7829903710999999</v>
      </c>
      <c r="BA32" s="28">
        <v>-1.692581037766667</v>
      </c>
      <c r="BB32" s="28">
        <v>-2.5962381614666672</v>
      </c>
      <c r="BC32" s="28">
        <v>-2.6491284947999998</v>
      </c>
      <c r="BD32" s="28">
        <v>-9.7332185550000005E-2</v>
      </c>
      <c r="BE32" s="28">
        <v>-2.4759651614666671</v>
      </c>
      <c r="BF32" s="28">
        <v>-1.4978519759166671</v>
      </c>
      <c r="BG32" s="28">
        <v>-3.0918554999992409E-4</v>
      </c>
      <c r="BH32" s="28">
        <v>-1.2895642474</v>
      </c>
      <c r="BI32" s="28">
        <v>-2.4372334948000001</v>
      </c>
      <c r="BJ32" s="28">
        <v>-1.2551409140666669</v>
      </c>
      <c r="BK32" s="28">
        <v>-2.1876674329500001</v>
      </c>
      <c r="BL32" s="28">
        <v>-2.2325006662833329</v>
      </c>
      <c r="BM32" s="28">
        <v>-1.199943914066667</v>
      </c>
      <c r="BN32" s="28">
        <v>-0.94967318554999991</v>
      </c>
      <c r="BO32" s="28">
        <v>-2.215612699616667</v>
      </c>
      <c r="BP32" s="28">
        <v>-1.8209603711</v>
      </c>
      <c r="BQ32" s="28">
        <v>-2.561714161466667</v>
      </c>
      <c r="BR32" s="28">
        <v>-2.0499374329500002</v>
      </c>
      <c r="BS32" s="28">
        <v>4.7908593333012561E-4</v>
      </c>
      <c r="BT32" s="28">
        <v>-1.620949037766666</v>
      </c>
      <c r="BU32" s="28">
        <v>-2.607169161466667</v>
      </c>
      <c r="BV32" s="28">
        <v>-1.4946400377666671</v>
      </c>
      <c r="BW32" s="28">
        <v>-2.4626564948</v>
      </c>
      <c r="BX32" s="28">
        <v>-2.2932374329499998</v>
      </c>
      <c r="BY32" s="28">
        <v>-0.85226816146667006</v>
      </c>
      <c r="BZ32" s="28">
        <v>-1.8438343711</v>
      </c>
      <c r="CA32" s="28">
        <v>-2.4736284947999998</v>
      </c>
      <c r="CB32" s="28">
        <v>-1.8617180377666671</v>
      </c>
      <c r="CC32" s="28">
        <v>-2.4996379948</v>
      </c>
      <c r="CD32" s="28">
        <v>-1.7574553711000001</v>
      </c>
      <c r="CE32" s="28">
        <v>-1.62845530925</v>
      </c>
      <c r="CF32" s="28">
        <v>-1.4861764948</v>
      </c>
      <c r="CG32" s="28">
        <v>-2.6314301614666671</v>
      </c>
      <c r="CH32" s="28">
        <v>-2.5871670614666669</v>
      </c>
      <c r="CI32" s="28">
        <v>-0.42391018554999998</v>
      </c>
      <c r="CJ32" s="28">
        <v>-2.29523743295</v>
      </c>
      <c r="CK32" s="28">
        <v>-1.457198975916667</v>
      </c>
      <c r="CL32" s="28">
        <v>-1.9593463711000001</v>
      </c>
      <c r="CM32" s="28">
        <v>-1.8932620377666669</v>
      </c>
      <c r="CN32" s="28">
        <v>-1.2624684140666671</v>
      </c>
      <c r="CO32" s="28">
        <v>-1.8056757044333329</v>
      </c>
      <c r="CP32" s="28">
        <v>-2.5691684948</v>
      </c>
      <c r="CQ32" s="28">
        <v>-1.2815642474</v>
      </c>
      <c r="CR32" s="28">
        <v>-0.69086885221666694</v>
      </c>
      <c r="CS32" s="28">
        <v>-2.6221284948000001</v>
      </c>
      <c r="CT32" s="28">
        <v>-2.0755730996166668</v>
      </c>
      <c r="CU32" s="28">
        <v>-1.949409766283333</v>
      </c>
      <c r="CV32" s="28">
        <v>-0.99529609961666998</v>
      </c>
      <c r="CW32" s="28">
        <v>-0.96467318554999992</v>
      </c>
      <c r="CX32" s="28">
        <v>-0.78334585221666697</v>
      </c>
      <c r="CY32" s="28">
        <v>-2.4545044948000001</v>
      </c>
      <c r="CZ32" s="28">
        <v>-1.2875642474</v>
      </c>
      <c r="DA32" s="28">
        <v>-2.4589188281333332</v>
      </c>
      <c r="DB32" s="28">
        <v>-1.418234875916667</v>
      </c>
      <c r="DC32" s="28">
        <v>-0.82210918555000001</v>
      </c>
      <c r="DD32" s="28">
        <v>-1.2043102474</v>
      </c>
      <c r="DE32" s="28">
        <v>-1.113516914066667</v>
      </c>
      <c r="DF32" s="28">
        <v>-1.8409961666976391E-4</v>
      </c>
      <c r="DG32" s="28">
        <v>-2.3231804947999999</v>
      </c>
      <c r="DH32" s="28">
        <v>-2.4818271614666672</v>
      </c>
      <c r="DI32" s="28">
        <v>-2.2336564329500002</v>
      </c>
      <c r="DJ32" s="28">
        <v>-2.2238370947999999</v>
      </c>
      <c r="DK32" s="28">
        <v>-2.2902374329500002</v>
      </c>
      <c r="DL32" s="28">
        <v>-1.9493463711000001</v>
      </c>
      <c r="DM32" s="28">
        <v>-2.5457551614666669</v>
      </c>
      <c r="DN32" s="28">
        <v>-2.3118504947999998</v>
      </c>
      <c r="DO32" s="28">
        <v>-2.5950464948</v>
      </c>
      <c r="DP32" s="28">
        <v>-1.735911975916667</v>
      </c>
      <c r="DQ32" s="28">
        <v>-1.46843730925</v>
      </c>
      <c r="DR32" s="28">
        <v>-2.6311284948</v>
      </c>
      <c r="DS32" s="28">
        <v>-1.1519782474</v>
      </c>
      <c r="DT32" s="28">
        <v>2.8975259999990821E-4</v>
      </c>
      <c r="DU32" s="28">
        <v>-0.27275224739999993</v>
      </c>
      <c r="DV32" s="28">
        <v>-4.8012370000000137E-4</v>
      </c>
      <c r="DW32" s="28">
        <v>-1.7717612690178759</v>
      </c>
      <c r="DX32" s="34">
        <v>-219.69839735821671</v>
      </c>
    </row>
    <row r="33" spans="1:128" x14ac:dyDescent="0.25">
      <c r="A33" s="24">
        <v>32</v>
      </c>
      <c r="B33" s="26">
        <v>15.5</v>
      </c>
      <c r="C33" s="28">
        <v>-1.176791926933334</v>
      </c>
      <c r="D33" s="28">
        <v>-1.375739908666668</v>
      </c>
      <c r="E33" s="28">
        <v>-1.470115575333335</v>
      </c>
      <c r="F33" s="28">
        <v>-1.160791926933334</v>
      </c>
      <c r="G33" s="28">
        <v>-2.3925838538666682</v>
      </c>
      <c r="H33" s="28">
        <v>-2.2395188538666679</v>
      </c>
      <c r="I33" s="28">
        <v>-2.1297938538666679</v>
      </c>
      <c r="J33" s="28">
        <v>-1.687233890400001</v>
      </c>
      <c r="K33" s="28">
        <v>-0.89812159360000088</v>
      </c>
      <c r="L33" s="28">
        <v>-1.3132612237333341</v>
      </c>
      <c r="M33" s="28">
        <v>-2.274003853866668</v>
      </c>
      <c r="N33" s="28">
        <v>-2.3772771872000011</v>
      </c>
      <c r="O33" s="28">
        <v>-2.316625187200001</v>
      </c>
      <c r="P33" s="28">
        <v>-1.881390538800001</v>
      </c>
      <c r="Q33" s="28">
        <v>-0.88255109360000095</v>
      </c>
      <c r="R33" s="28">
        <v>-1.9394520000048929E-4</v>
      </c>
      <c r="S33" s="28">
        <v>-1.041561926933334</v>
      </c>
      <c r="T33" s="28">
        <v>1.040365333331295E-4</v>
      </c>
      <c r="U33" s="28">
        <v>-2.2018725205333349</v>
      </c>
      <c r="V33" s="28">
        <v>-2.0902590538666681</v>
      </c>
      <c r="W33" s="28">
        <v>-0.99220592693333387</v>
      </c>
      <c r="X33" s="28">
        <v>-1.3794579086666681</v>
      </c>
      <c r="Y33" s="28">
        <v>-1.644692957066668</v>
      </c>
      <c r="Z33" s="28">
        <v>-2.2253258538666678</v>
      </c>
      <c r="AA33" s="28">
        <v>-1.985228872133334</v>
      </c>
      <c r="AB33" s="28">
        <v>-1.189276575333335</v>
      </c>
      <c r="AC33" s="28">
        <v>-2.2922665205333348</v>
      </c>
      <c r="AD33" s="28">
        <v>-2.265482853866668</v>
      </c>
      <c r="AE33" s="28">
        <v>-2.3845838538666682</v>
      </c>
      <c r="AF33" s="28">
        <v>-1.7796878904000011</v>
      </c>
      <c r="AG33" s="28">
        <v>-1.2998472420000009</v>
      </c>
      <c r="AH33" s="28">
        <v>-2.363697187200001</v>
      </c>
      <c r="AI33" s="28">
        <v>-2.028435538800001</v>
      </c>
      <c r="AJ33" s="28">
        <v>-2.0487268387999999</v>
      </c>
      <c r="AK33" s="28">
        <v>-1.707218557066668</v>
      </c>
      <c r="AL33" s="28">
        <v>-1.028636908666668</v>
      </c>
      <c r="AM33" s="28">
        <v>-0.95754026026666694</v>
      </c>
      <c r="AN33" s="28">
        <v>-2.242403853866668</v>
      </c>
      <c r="AO33" s="28">
        <v>-2.2089331872000009</v>
      </c>
      <c r="AP33" s="28">
        <v>-1.118718205466664</v>
      </c>
      <c r="AQ33" s="28">
        <v>-1.8341058721333341</v>
      </c>
      <c r="AR33" s="28">
        <v>-2.3845838538666682</v>
      </c>
      <c r="AS33" s="28">
        <v>-1.254165853866668</v>
      </c>
      <c r="AT33" s="28">
        <v>-0.88962126026666688</v>
      </c>
      <c r="AU33" s="28">
        <v>-2.2549808538666678</v>
      </c>
      <c r="AV33" s="28">
        <v>-2.0796358721333341</v>
      </c>
      <c r="AW33" s="28">
        <v>-2.3795838538666678</v>
      </c>
      <c r="AX33" s="28">
        <v>-1.320918575333335</v>
      </c>
      <c r="AY33" s="28">
        <v>-1.8109861872000019</v>
      </c>
      <c r="AZ33" s="28">
        <v>-1.611597890400001</v>
      </c>
      <c r="BA33" s="28">
        <v>-1.574613290400001</v>
      </c>
      <c r="BB33" s="28">
        <v>-2.3367561872000011</v>
      </c>
      <c r="BC33" s="28">
        <v>-2.2781438538666681</v>
      </c>
      <c r="BD33" s="28">
        <v>-0.63479894520000046</v>
      </c>
      <c r="BE33" s="28">
        <v>-2.3228911872000011</v>
      </c>
      <c r="BF33" s="28">
        <v>-0.17562524199999799</v>
      </c>
      <c r="BG33" s="28">
        <v>2.3705479999959481E-4</v>
      </c>
      <c r="BH33" s="28">
        <v>-1.1697919269333339</v>
      </c>
      <c r="BI33" s="28">
        <v>-2.1750603872000012</v>
      </c>
      <c r="BJ33" s="28">
        <v>-1.1436532602666669</v>
      </c>
      <c r="BK33" s="28">
        <v>-1.7341927388</v>
      </c>
      <c r="BL33" s="28">
        <v>-1.959684538800001</v>
      </c>
      <c r="BM33" s="28">
        <v>-0.97058159360000096</v>
      </c>
      <c r="BN33" s="28">
        <v>-0.72393727853333345</v>
      </c>
      <c r="BO33" s="28">
        <v>-1.9594009388000011</v>
      </c>
      <c r="BP33" s="28">
        <v>-1.2184885570666679</v>
      </c>
      <c r="BQ33" s="28">
        <v>-2.163433853866668</v>
      </c>
      <c r="BR33" s="28">
        <v>-1.9078988721333341</v>
      </c>
      <c r="BS33" s="28">
        <v>-5.5269333339436066E-6</v>
      </c>
      <c r="BT33" s="28">
        <v>-1.563104557066668</v>
      </c>
      <c r="BU33" s="28">
        <v>-2.3835838538666678</v>
      </c>
      <c r="BV33" s="28">
        <v>-1.769631890400001</v>
      </c>
      <c r="BW33" s="28">
        <v>-2.0845418538666678</v>
      </c>
      <c r="BX33" s="28">
        <v>-2.0836358721333341</v>
      </c>
      <c r="BY33" s="28">
        <v>-2.0827538538666679</v>
      </c>
      <c r="BZ33" s="28">
        <v>-1.081645890400001</v>
      </c>
      <c r="CA33" s="28">
        <v>-2.2314278538666681</v>
      </c>
      <c r="CB33" s="28">
        <v>-1.778639557066668</v>
      </c>
      <c r="CC33" s="28">
        <v>-1.827339853866667</v>
      </c>
      <c r="CD33" s="28">
        <v>-1.776687890400001</v>
      </c>
      <c r="CE33" s="28">
        <v>-1.4787399086666679</v>
      </c>
      <c r="CF33" s="28">
        <v>-1.8558671872000021</v>
      </c>
      <c r="CG33" s="28">
        <v>-2.3985838538666679</v>
      </c>
      <c r="CH33" s="28">
        <v>-2.2038793872000011</v>
      </c>
      <c r="CI33" s="28">
        <v>-0.79714794520000043</v>
      </c>
      <c r="CJ33" s="28">
        <v>-1.9770358721333341</v>
      </c>
      <c r="CK33" s="28">
        <v>-1.454629308666668</v>
      </c>
      <c r="CL33" s="28">
        <v>-1.7796878904000011</v>
      </c>
      <c r="CM33" s="28">
        <v>-1.6394348904000009</v>
      </c>
      <c r="CN33" s="28">
        <v>-0.64508359360000089</v>
      </c>
      <c r="CO33" s="28">
        <v>-1.6831225570666679</v>
      </c>
      <c r="CP33" s="28">
        <v>-2.3905838538666679</v>
      </c>
      <c r="CQ33" s="28">
        <v>-1.0175252602666669</v>
      </c>
      <c r="CR33" s="28">
        <v>-0.54451794520000041</v>
      </c>
      <c r="CS33" s="28">
        <v>-2.3825838538666679</v>
      </c>
      <c r="CT33" s="28">
        <v>-1.799965872133334</v>
      </c>
      <c r="CU33" s="28">
        <v>-1.9598882721333339</v>
      </c>
      <c r="CV33" s="28">
        <v>-1.3786335388000011</v>
      </c>
      <c r="CW33" s="28">
        <v>-0.72367994520000045</v>
      </c>
      <c r="CX33" s="28">
        <v>-0.73327127853333351</v>
      </c>
      <c r="CY33" s="28">
        <v>-2.2378191872000008</v>
      </c>
      <c r="CZ33" s="28">
        <v>-1.094369926933334</v>
      </c>
      <c r="DA33" s="28">
        <v>-2.0154388538666681</v>
      </c>
      <c r="DB33" s="28">
        <v>-1.392454908666668</v>
      </c>
      <c r="DC33" s="28">
        <v>-0.85184894520000043</v>
      </c>
      <c r="DD33" s="28">
        <v>-1.1372452602666669</v>
      </c>
      <c r="DE33" s="28">
        <v>-0.54897892693333394</v>
      </c>
      <c r="DF33" s="28">
        <v>-0.31268720546666667</v>
      </c>
      <c r="DG33" s="28">
        <v>-1.6101551872000011</v>
      </c>
      <c r="DH33" s="28">
        <v>-2.2414048538666682</v>
      </c>
      <c r="DI33" s="28">
        <v>-1.8961298721333339</v>
      </c>
      <c r="DJ33" s="28">
        <v>-2.2528412205333348</v>
      </c>
      <c r="DK33" s="28">
        <v>-1.9706145388000009</v>
      </c>
      <c r="DL33" s="28">
        <v>-1.7696878904000011</v>
      </c>
      <c r="DM33" s="28">
        <v>-2.292763520533335</v>
      </c>
      <c r="DN33" s="28">
        <v>-0.76717385386666792</v>
      </c>
      <c r="DO33" s="28">
        <v>-2.3013251872000011</v>
      </c>
      <c r="DP33" s="28">
        <v>-0.62748790866666804</v>
      </c>
      <c r="DQ33" s="28">
        <v>-1.349611908666668</v>
      </c>
      <c r="DR33" s="28">
        <v>-2.2396518538666679</v>
      </c>
      <c r="DS33" s="28">
        <v>-0.90790926026666696</v>
      </c>
      <c r="DT33" s="28">
        <v>-0.36567226026666688</v>
      </c>
      <c r="DU33" s="28">
        <v>-3.2526026666390711E-4</v>
      </c>
      <c r="DV33" s="28">
        <v>-2.5829679999991861E-4</v>
      </c>
      <c r="DW33" s="28">
        <v>-1.56460938141828</v>
      </c>
      <c r="DX33" s="34">
        <v>-194.01156329586669</v>
      </c>
    </row>
    <row r="34" spans="1:128" x14ac:dyDescent="0.25">
      <c r="A34" s="24">
        <v>33</v>
      </c>
      <c r="B34" s="26">
        <v>16</v>
      </c>
      <c r="C34" s="28">
        <v>-0.95264202866666592</v>
      </c>
      <c r="D34" s="28">
        <v>-0.70816636916666509</v>
      </c>
      <c r="E34" s="28">
        <v>-1.3051250358333319</v>
      </c>
      <c r="F34" s="28">
        <v>-1.025900028666666</v>
      </c>
      <c r="G34" s="28">
        <v>-2.1228000573333321</v>
      </c>
      <c r="H34" s="28">
        <v>-2.0080087239999989</v>
      </c>
      <c r="I34" s="28">
        <v>-1.9949387906666649</v>
      </c>
      <c r="J34" s="28">
        <v>-1.496968709666666</v>
      </c>
      <c r="K34" s="28">
        <v>-1.0240763619999991</v>
      </c>
      <c r="L34" s="28">
        <v>-1.3263287096666661</v>
      </c>
      <c r="M34" s="28">
        <v>-2.1218000573333322</v>
      </c>
      <c r="N34" s="28">
        <v>-2.0156533906666652</v>
      </c>
      <c r="O34" s="28">
        <v>-1.9645267239999991</v>
      </c>
      <c r="P34" s="28">
        <v>-1.6174170501666649</v>
      </c>
      <c r="Q34" s="28">
        <v>-0.29019936199999891</v>
      </c>
      <c r="R34" s="28">
        <v>-1.550214999994082E-4</v>
      </c>
      <c r="S34" s="28">
        <v>-2.5329028666665861E-2</v>
      </c>
      <c r="T34" s="28">
        <v>-7.63476666669205E-5</v>
      </c>
      <c r="U34" s="28">
        <v>-1.957318723999999</v>
      </c>
      <c r="V34" s="28">
        <v>-1.832010323999999</v>
      </c>
      <c r="W34" s="28">
        <v>-1.0246913619999991</v>
      </c>
      <c r="X34" s="28">
        <v>-1.157434569166665</v>
      </c>
      <c r="Y34" s="28">
        <v>-1.5963500429999991</v>
      </c>
      <c r="Z34" s="28">
        <v>-2.1043089906666652</v>
      </c>
      <c r="AA34" s="28">
        <v>-1.7931420501666651</v>
      </c>
      <c r="AB34" s="28">
        <v>-0.77286603583333213</v>
      </c>
      <c r="AC34" s="28">
        <v>-2.0208827239999989</v>
      </c>
      <c r="AD34" s="28">
        <v>-1.9930923906666651</v>
      </c>
      <c r="AE34" s="28">
        <v>-2.1148000573333321</v>
      </c>
      <c r="AF34" s="28">
        <v>-1.5773500429999989</v>
      </c>
      <c r="AG34" s="28">
        <v>-1.1059950358333319</v>
      </c>
      <c r="AH34" s="28">
        <v>-2.123800057333332</v>
      </c>
      <c r="AI34" s="28">
        <v>-1.472969383499998</v>
      </c>
      <c r="AJ34" s="28">
        <v>-1.799919216833332</v>
      </c>
      <c r="AK34" s="28">
        <v>-1.1841747096666659</v>
      </c>
      <c r="AL34" s="28">
        <v>-1.123746702499999</v>
      </c>
      <c r="AM34" s="28">
        <v>-0.91496236199999892</v>
      </c>
      <c r="AN34" s="28">
        <v>-2.1077820573333321</v>
      </c>
      <c r="AO34" s="28">
        <v>-1.2457903906666661</v>
      </c>
      <c r="AP34" s="28">
        <v>-1.152595716833331</v>
      </c>
      <c r="AQ34" s="28">
        <v>-1.689046383499998</v>
      </c>
      <c r="AR34" s="28">
        <v>-2.1148000573333321</v>
      </c>
      <c r="AS34" s="28">
        <v>-1.590922057333332</v>
      </c>
      <c r="AT34" s="28">
        <v>-3.7536199999577141E-4</v>
      </c>
      <c r="AU34" s="28">
        <v>-2.0366087906666648</v>
      </c>
      <c r="AV34" s="28">
        <v>-1.7802930501666649</v>
      </c>
      <c r="AW34" s="28">
        <v>-2.044906057333332</v>
      </c>
      <c r="AX34" s="28">
        <v>-1.262973035833332</v>
      </c>
      <c r="AY34" s="28">
        <v>-1.460602057333332</v>
      </c>
      <c r="AZ34" s="28">
        <v>-1.1282617096666661</v>
      </c>
      <c r="BA34" s="28">
        <v>-1.577059509666666</v>
      </c>
      <c r="BB34" s="28">
        <v>-2.0443792573333321</v>
      </c>
      <c r="BC34" s="28">
        <v>-2.139800057333332</v>
      </c>
      <c r="BD34" s="28">
        <v>2.8697850000058978E-4</v>
      </c>
      <c r="BE34" s="28">
        <v>-2.0580810573333319</v>
      </c>
      <c r="BF34" s="28">
        <v>-0.97427903583333209</v>
      </c>
      <c r="BG34" s="28">
        <v>-0.50133168816666629</v>
      </c>
      <c r="BH34" s="28">
        <v>-0.77269402866666592</v>
      </c>
      <c r="BI34" s="28">
        <v>-1.777629057333332</v>
      </c>
      <c r="BJ34" s="28">
        <v>-1.041900028666666</v>
      </c>
      <c r="BK34" s="28">
        <v>-1.788240916833332</v>
      </c>
      <c r="BL34" s="28">
        <v>-1.847575050166665</v>
      </c>
      <c r="BM34" s="28">
        <v>-0.91226402866666589</v>
      </c>
      <c r="BN34" s="28">
        <v>-0.6925583548333325</v>
      </c>
      <c r="BO34" s="28">
        <v>-1.6101570501666651</v>
      </c>
      <c r="BP34" s="28">
        <v>-0.1068233763333291</v>
      </c>
      <c r="BQ34" s="28">
        <v>-1.963913390666665</v>
      </c>
      <c r="BR34" s="28">
        <v>-1.6406175168333319</v>
      </c>
      <c r="BS34" s="28">
        <v>2.7730466666403553E-4</v>
      </c>
      <c r="BT34" s="28">
        <v>-1.0874597096666649</v>
      </c>
      <c r="BU34" s="28">
        <v>-2.002084723999999</v>
      </c>
      <c r="BV34" s="28">
        <v>-1.5629100429999989</v>
      </c>
      <c r="BW34" s="28">
        <v>-1.9117727239999991</v>
      </c>
      <c r="BX34" s="28">
        <v>-1.772935050166665</v>
      </c>
      <c r="BY34" s="28">
        <v>-1.8163400573333319</v>
      </c>
      <c r="BZ34" s="28">
        <v>-1.3522687763333321</v>
      </c>
      <c r="CA34" s="28">
        <v>-1.984036057333332</v>
      </c>
      <c r="CB34" s="28">
        <v>-1.4819400429999989</v>
      </c>
      <c r="CC34" s="28">
        <v>-2.0440223906666648</v>
      </c>
      <c r="CD34" s="28">
        <v>-1.3575247096666661</v>
      </c>
      <c r="CE34" s="28">
        <v>-1.3101250358333321</v>
      </c>
      <c r="CF34" s="28">
        <v>-2.106895090666665</v>
      </c>
      <c r="CG34" s="28">
        <v>-2.0175380573333319</v>
      </c>
      <c r="CH34" s="28">
        <v>-2.0946590573333319</v>
      </c>
      <c r="CI34" s="28">
        <v>-0.58668235483333242</v>
      </c>
      <c r="CJ34" s="28">
        <v>-1.7433417168333321</v>
      </c>
      <c r="CK34" s="28">
        <v>-1.1602383024999989</v>
      </c>
      <c r="CL34" s="28">
        <v>-1.5773500429999989</v>
      </c>
      <c r="CM34" s="28">
        <v>-1.5055300429999989</v>
      </c>
      <c r="CN34" s="28">
        <v>-1.0100820619999991</v>
      </c>
      <c r="CO34" s="28">
        <v>-1.520064709666666</v>
      </c>
      <c r="CP34" s="28">
        <v>-2.1190000573333321</v>
      </c>
      <c r="CQ34" s="28">
        <v>-0.96067002866666595</v>
      </c>
      <c r="CR34" s="28">
        <v>-0.43671702149999952</v>
      </c>
      <c r="CS34" s="28">
        <v>-2.1128000573333319</v>
      </c>
      <c r="CT34" s="28">
        <v>-1.567129383499998</v>
      </c>
      <c r="CU34" s="28">
        <v>-1.7675293834999981</v>
      </c>
      <c r="CV34" s="28">
        <v>-0.393207716833335</v>
      </c>
      <c r="CW34" s="28">
        <v>-0.59535702149999947</v>
      </c>
      <c r="CX34" s="28">
        <v>-0.7046416881666665</v>
      </c>
      <c r="CY34" s="28">
        <v>-1.912105723999999</v>
      </c>
      <c r="CZ34" s="28">
        <v>-0.86684169533333288</v>
      </c>
      <c r="DA34" s="28">
        <v>-0.64038739066666173</v>
      </c>
      <c r="DB34" s="28">
        <v>-0.15955603583333211</v>
      </c>
      <c r="DC34" s="28">
        <v>-0.54038802149999943</v>
      </c>
      <c r="DD34" s="28">
        <v>-0.94027702866666596</v>
      </c>
      <c r="DE34" s="28">
        <v>6.3800000404956592E-7</v>
      </c>
      <c r="DF34" s="28">
        <v>-1.6548457168333319</v>
      </c>
      <c r="DG34" s="28">
        <v>-1.9000960573333321</v>
      </c>
      <c r="DH34" s="28">
        <v>-2.098186057333332</v>
      </c>
      <c r="DI34" s="28">
        <v>-1.6485920501666651</v>
      </c>
      <c r="DJ34" s="28">
        <v>-2.1128000573333319</v>
      </c>
      <c r="DK34" s="28">
        <v>-1.8445750501666649</v>
      </c>
      <c r="DL34" s="28">
        <v>-1.5673500429999989</v>
      </c>
      <c r="DM34" s="28">
        <v>-2.0708750573333319</v>
      </c>
      <c r="DN34" s="28">
        <v>-0.9984667240000018</v>
      </c>
      <c r="DO34" s="28">
        <v>-1.9781933906666651</v>
      </c>
      <c r="DP34" s="28">
        <v>-1.095076369166665</v>
      </c>
      <c r="DQ34" s="28">
        <v>-1.225478802499999</v>
      </c>
      <c r="DR34" s="28">
        <v>-2.1218000573333322</v>
      </c>
      <c r="DS34" s="28">
        <v>-0.6895633619999989</v>
      </c>
      <c r="DT34" s="28">
        <v>-0.52172069533333187</v>
      </c>
      <c r="DU34" s="28">
        <v>-2.5002866666579138E-4</v>
      </c>
      <c r="DV34" s="28">
        <v>-1.2334766666693969E-4</v>
      </c>
      <c r="DW34" s="28">
        <v>-1.362774384420697</v>
      </c>
      <c r="DX34" s="34">
        <v>-168.98402366816649</v>
      </c>
    </row>
    <row r="35" spans="1:128" x14ac:dyDescent="0.25">
      <c r="A35" s="24">
        <v>34</v>
      </c>
      <c r="B35" s="26">
        <v>16.5</v>
      </c>
      <c r="C35" s="28">
        <v>-0.83097363646666589</v>
      </c>
      <c r="D35" s="28">
        <v>-1.086308545583333</v>
      </c>
      <c r="E35" s="28">
        <v>-1.101544545583333</v>
      </c>
      <c r="F35" s="28">
        <v>-0.86303563646666603</v>
      </c>
      <c r="G35" s="28">
        <v>-1.797071272933332</v>
      </c>
      <c r="H35" s="28">
        <v>-1.736284606266665</v>
      </c>
      <c r="I35" s="28">
        <v>-1.5927040062666651</v>
      </c>
      <c r="J35" s="28">
        <v>-1.273547854699999</v>
      </c>
      <c r="K35" s="28">
        <v>-0.84756463646666602</v>
      </c>
      <c r="L35" s="28">
        <v>-0.80908945469999904</v>
      </c>
      <c r="M35" s="28">
        <v>-1.7960712729333319</v>
      </c>
      <c r="N35" s="28">
        <v>-1.735844606266665</v>
      </c>
      <c r="O35" s="28">
        <v>-7.034327293333198E-2</v>
      </c>
      <c r="P35" s="28">
        <v>-0.63008969714999696</v>
      </c>
      <c r="Q35" s="28">
        <v>-7.363396980000092E-2</v>
      </c>
      <c r="R35" s="28">
        <v>3.6927265000052939E-4</v>
      </c>
      <c r="S35" s="28">
        <v>-0.120668969799999</v>
      </c>
      <c r="T35" s="28">
        <v>-4.2151823333291821E-4</v>
      </c>
      <c r="U35" s="28">
        <v>-1.606596606266665</v>
      </c>
      <c r="V35" s="28">
        <v>-1.6636010729333319</v>
      </c>
      <c r="W35" s="28">
        <v>-0.552238303133333</v>
      </c>
      <c r="X35" s="28">
        <v>-0.85048521224999996</v>
      </c>
      <c r="Y35" s="28">
        <v>-1.239520121366666</v>
      </c>
      <c r="Z35" s="28">
        <v>-1.6370522729333321</v>
      </c>
      <c r="AA35" s="28">
        <v>-1.536949030483332</v>
      </c>
      <c r="AB35" s="28">
        <v>-0.73068254558333301</v>
      </c>
      <c r="AC35" s="28">
        <v>-1.7940712729333319</v>
      </c>
      <c r="AD35" s="28">
        <v>-1.759575272933332</v>
      </c>
      <c r="AE35" s="28">
        <v>-1.617561272933332</v>
      </c>
      <c r="AF35" s="28">
        <v>-1.162091454699999</v>
      </c>
      <c r="AG35" s="28">
        <v>-0.84806187891666596</v>
      </c>
      <c r="AH35" s="28">
        <v>-1.7980712729333319</v>
      </c>
      <c r="AI35" s="28">
        <v>-1.2545952971499981</v>
      </c>
      <c r="AJ35" s="28">
        <v>-1.336154297149998</v>
      </c>
      <c r="AK35" s="28">
        <v>-0.26861712136666899</v>
      </c>
      <c r="AL35" s="28">
        <v>-0.36808921225000002</v>
      </c>
      <c r="AM35" s="28">
        <v>-0.65709796979999902</v>
      </c>
      <c r="AN35" s="28">
        <v>-1.797071272933332</v>
      </c>
      <c r="AO35" s="28">
        <v>-1.3641359395999979</v>
      </c>
      <c r="AP35" s="28">
        <v>-1.4347333638166651</v>
      </c>
      <c r="AQ35" s="28">
        <v>-1.4256723638166651</v>
      </c>
      <c r="AR35" s="28">
        <v>-1.789071272933332</v>
      </c>
      <c r="AS35" s="28">
        <v>-2.1666439600001919E-2</v>
      </c>
      <c r="AT35" s="28">
        <v>-0.30326496979999901</v>
      </c>
      <c r="AU35" s="28">
        <v>-1.5630459395999989</v>
      </c>
      <c r="AV35" s="28">
        <v>-1.390855030483332</v>
      </c>
      <c r="AW35" s="28">
        <v>-1.6563912729333321</v>
      </c>
      <c r="AX35" s="28">
        <v>-0.90693387891666599</v>
      </c>
      <c r="AY35" s="28">
        <v>-1.6654550729333319</v>
      </c>
      <c r="AZ35" s="28">
        <v>-0.97157745469999912</v>
      </c>
      <c r="BA35" s="28">
        <v>-1.3440534546999989</v>
      </c>
      <c r="BB35" s="28">
        <v>-1.6130166062666651</v>
      </c>
      <c r="BC35" s="28">
        <v>-1.708919272933332</v>
      </c>
      <c r="BD35" s="28">
        <v>2.7060598333356062E-4</v>
      </c>
      <c r="BE35" s="28">
        <v>-1.332077606266665</v>
      </c>
      <c r="BF35" s="28">
        <v>-0.91510254558333304</v>
      </c>
      <c r="BG35" s="28">
        <v>-0.51023472734999942</v>
      </c>
      <c r="BH35" s="28">
        <v>-0.72015563646666592</v>
      </c>
      <c r="BI35" s="28">
        <v>-1.619539939599999</v>
      </c>
      <c r="BJ35" s="28">
        <v>-0.87903563646666594</v>
      </c>
      <c r="BK35" s="28">
        <v>-1.4457540304833321</v>
      </c>
      <c r="BL35" s="28">
        <v>-1.354930363816665</v>
      </c>
      <c r="BM35" s="28">
        <v>-9.8234303133332923E-2</v>
      </c>
      <c r="BN35" s="28">
        <v>-0.61848689401666612</v>
      </c>
      <c r="BO35" s="28">
        <v>-1.373981030483332</v>
      </c>
      <c r="BP35" s="28">
        <v>-2.2012136665905399E-4</v>
      </c>
      <c r="BQ35" s="28">
        <v>-1.807071272933332</v>
      </c>
      <c r="BR35" s="28">
        <v>-1.347916563816665</v>
      </c>
      <c r="BS35" s="28">
        <v>1.570302000040158E-4</v>
      </c>
      <c r="BT35" s="28">
        <v>-0.86812645469999905</v>
      </c>
      <c r="BU35" s="28">
        <v>-1.7880712729333319</v>
      </c>
      <c r="BV35" s="28">
        <v>-1.323545454699999</v>
      </c>
      <c r="BW35" s="28">
        <v>-1.641561272933332</v>
      </c>
      <c r="BX35" s="28">
        <v>-1.562562363816665</v>
      </c>
      <c r="BY35" s="28">
        <v>-1.396596606266665</v>
      </c>
      <c r="BZ35" s="28">
        <v>-1.0552136546999991</v>
      </c>
      <c r="CA35" s="28">
        <v>-1.6023062729333319</v>
      </c>
      <c r="CB35" s="28">
        <v>-1.235923788033332</v>
      </c>
      <c r="CC35" s="28">
        <v>-1.747282939599998</v>
      </c>
      <c r="CD35" s="28">
        <v>-1.2937814546999991</v>
      </c>
      <c r="CE35" s="28">
        <v>-1.1065445455833329</v>
      </c>
      <c r="CF35" s="28">
        <v>-1.569586606266665</v>
      </c>
      <c r="CG35" s="28">
        <v>-1.6662661729333319</v>
      </c>
      <c r="CH35" s="28">
        <v>-1.659041506266665</v>
      </c>
      <c r="CI35" s="28">
        <v>-0.64052672734999938</v>
      </c>
      <c r="CJ35" s="28">
        <v>-1.487242363816665</v>
      </c>
      <c r="CK35" s="28">
        <v>-0.99698454558333294</v>
      </c>
      <c r="CL35" s="28">
        <v>-1.333053454699999</v>
      </c>
      <c r="CM35" s="28">
        <v>-1.333053454699999</v>
      </c>
      <c r="CN35" s="28">
        <v>-0.68304563646666594</v>
      </c>
      <c r="CO35" s="28">
        <v>-1.140102788033333</v>
      </c>
      <c r="CP35" s="28">
        <v>-1.7305112729333321</v>
      </c>
      <c r="CQ35" s="28">
        <v>-0.53654363646666603</v>
      </c>
      <c r="CR35" s="28">
        <v>-0.31362739401666551</v>
      </c>
      <c r="CS35" s="28">
        <v>-0.58110833960000186</v>
      </c>
      <c r="CT35" s="28">
        <v>-1.3753100304833319</v>
      </c>
      <c r="CU35" s="28">
        <v>-1.2425473638166651</v>
      </c>
      <c r="CV35" s="28">
        <v>2.1696951666501371E-4</v>
      </c>
      <c r="CW35" s="28">
        <v>-0.18617972734999941</v>
      </c>
      <c r="CX35" s="28">
        <v>-0.22894406068333251</v>
      </c>
      <c r="CY35" s="28">
        <v>-1.617157606266665</v>
      </c>
      <c r="CZ35" s="28">
        <v>-0.71984563646666599</v>
      </c>
      <c r="DA35" s="28">
        <v>-1.691361939599999</v>
      </c>
      <c r="DB35" s="28">
        <v>-0.64082254558333296</v>
      </c>
      <c r="DC35" s="28">
        <v>-0.40069706068333238</v>
      </c>
      <c r="DD35" s="28">
        <v>-0.73566063646666602</v>
      </c>
      <c r="DE35" s="28">
        <v>-2.773031333319631E-4</v>
      </c>
      <c r="DF35" s="28">
        <v>-1.2649747304833321</v>
      </c>
      <c r="DG35" s="28">
        <v>-1.5573672729333321</v>
      </c>
      <c r="DH35" s="28">
        <v>-1.768036472933332</v>
      </c>
      <c r="DI35" s="28">
        <v>-1.1879800304833319</v>
      </c>
      <c r="DJ35" s="28">
        <v>-1.521686606266665</v>
      </c>
      <c r="DK35" s="28">
        <v>-1.520269030483332</v>
      </c>
      <c r="DL35" s="28">
        <v>-1.323053454699999</v>
      </c>
      <c r="DM35" s="28">
        <v>-1.647085939599999</v>
      </c>
      <c r="DN35" s="28">
        <v>-7.0167606266661853E-2</v>
      </c>
      <c r="DO35" s="28">
        <v>-1.7405812729333321</v>
      </c>
      <c r="DP35" s="28">
        <v>-1.0854025455833329</v>
      </c>
      <c r="DQ35" s="28">
        <v>-1.0250576122499999</v>
      </c>
      <c r="DR35" s="28">
        <v>-1.6579512729333321</v>
      </c>
      <c r="DS35" s="28">
        <v>-0.67906263646666598</v>
      </c>
      <c r="DT35" s="28">
        <v>-0.47907496979999897</v>
      </c>
      <c r="DU35" s="28">
        <v>4.8503020000101321E-4</v>
      </c>
      <c r="DV35" s="28">
        <v>-4.6548490000297699E-4</v>
      </c>
      <c r="DW35" s="28">
        <v>-1.0780858483012079</v>
      </c>
      <c r="DX35" s="34">
        <v>-133.68264518934981</v>
      </c>
    </row>
    <row r="36" spans="1:128" x14ac:dyDescent="0.25">
      <c r="A36" s="24">
        <v>35</v>
      </c>
      <c r="B36" s="26">
        <v>17</v>
      </c>
      <c r="C36" s="28">
        <v>-0.72660586366666591</v>
      </c>
      <c r="D36" s="28">
        <v>-0.74952099624999946</v>
      </c>
      <c r="E36" s="28">
        <v>-0.91100732958333241</v>
      </c>
      <c r="F36" s="28">
        <v>-0.71060586366666589</v>
      </c>
      <c r="G36" s="28">
        <v>-1.492211727333332</v>
      </c>
      <c r="H36" s="28">
        <v>-1.285145727333332</v>
      </c>
      <c r="I36" s="28">
        <v>-1.252014727333332</v>
      </c>
      <c r="J36" s="28">
        <v>-0.98701639549999909</v>
      </c>
      <c r="K36" s="28">
        <v>-0.41411953033333287</v>
      </c>
      <c r="L36" s="28">
        <v>-0.70907946216666606</v>
      </c>
      <c r="M36" s="28">
        <v>-1.3474417273333319</v>
      </c>
      <c r="N36" s="28">
        <v>-1.4281873939999989</v>
      </c>
      <c r="O36" s="28">
        <v>-0.83536172733333092</v>
      </c>
      <c r="P36" s="28">
        <v>-1.2933572614166651</v>
      </c>
      <c r="Q36" s="28">
        <v>-0.70755719699999919</v>
      </c>
      <c r="R36" s="28">
        <v>-0.35877606441666637</v>
      </c>
      <c r="S36" s="28">
        <v>-0.37484553033333301</v>
      </c>
      <c r="T36" s="28">
        <v>-0.26047809849999998</v>
      </c>
      <c r="U36" s="28">
        <v>-1.349214393999999</v>
      </c>
      <c r="V36" s="28">
        <v>-1.3173775273333319</v>
      </c>
      <c r="W36" s="28">
        <v>-0.62318186366666595</v>
      </c>
      <c r="X36" s="28">
        <v>-0.90500732958333241</v>
      </c>
      <c r="Y36" s="28">
        <v>-1.114870795499999</v>
      </c>
      <c r="Z36" s="28">
        <v>-1.476972727333332</v>
      </c>
      <c r="AA36" s="28">
        <v>-1.2938102614166651</v>
      </c>
      <c r="AB36" s="28">
        <v>-0.32609832958333251</v>
      </c>
      <c r="AC36" s="28">
        <v>-1.2757703939999989</v>
      </c>
      <c r="AD36" s="28">
        <v>-1.2754490606666651</v>
      </c>
      <c r="AE36" s="28">
        <v>-1.3127017273333319</v>
      </c>
      <c r="AF36" s="28">
        <v>-1.104408795499999</v>
      </c>
      <c r="AG36" s="28">
        <v>-0.74456432958333241</v>
      </c>
      <c r="AH36" s="28">
        <v>-1.4932117273333321</v>
      </c>
      <c r="AI36" s="28">
        <v>-1.043545794749998</v>
      </c>
      <c r="AJ36" s="28">
        <v>-1.2837622614166651</v>
      </c>
      <c r="AK36" s="28">
        <v>-0.39384712883333212</v>
      </c>
      <c r="AL36" s="28">
        <v>-1.3199625000259729E-4</v>
      </c>
      <c r="AM36" s="28">
        <v>-0.61067586366666593</v>
      </c>
      <c r="AN36" s="28">
        <v>-1.454666727333332</v>
      </c>
      <c r="AO36" s="28">
        <v>-1.1893560606666651</v>
      </c>
      <c r="AP36" s="28">
        <v>-1.2031999280833321</v>
      </c>
      <c r="AQ36" s="28">
        <v>-1.123062928083332</v>
      </c>
      <c r="AR36" s="28">
        <v>-1.484211727333332</v>
      </c>
      <c r="AS36" s="28">
        <v>-1.1074273273333319</v>
      </c>
      <c r="AT36" s="28">
        <v>-0.15850386366666591</v>
      </c>
      <c r="AU36" s="28">
        <v>-1.380642393999999</v>
      </c>
      <c r="AV36" s="28">
        <v>-1.2918102614166651</v>
      </c>
      <c r="AW36" s="28">
        <v>-1.351531727333332</v>
      </c>
      <c r="AX36" s="28">
        <v>-0.90300732958333252</v>
      </c>
      <c r="AY36" s="28">
        <v>-0.97814406066666493</v>
      </c>
      <c r="AZ36" s="28">
        <v>-0.94421212883333205</v>
      </c>
      <c r="BA36" s="28">
        <v>-1.1087421288333319</v>
      </c>
      <c r="BB36" s="28">
        <v>-1.2960430606666651</v>
      </c>
      <c r="BC36" s="28">
        <v>-1.482923727333332</v>
      </c>
      <c r="BD36" s="28">
        <v>-2.843977499995543E-4</v>
      </c>
      <c r="BE36" s="28">
        <v>-1.1505387273333321</v>
      </c>
      <c r="BF36" s="28">
        <v>-0.81004732958333248</v>
      </c>
      <c r="BG36" s="28">
        <v>-0.41975873108333239</v>
      </c>
      <c r="BH36" s="28">
        <v>-0.51746819699999902</v>
      </c>
      <c r="BI36" s="28">
        <v>-1.2900647273333321</v>
      </c>
      <c r="BJ36" s="28">
        <v>-0.72246353033333266</v>
      </c>
      <c r="BK36" s="28">
        <v>-1.2738102614166651</v>
      </c>
      <c r="BL36" s="28">
        <v>-1.285549594749998</v>
      </c>
      <c r="BM36" s="28">
        <v>-3.4686366666589202E-4</v>
      </c>
      <c r="BN36" s="28">
        <v>-0.1986897310833324</v>
      </c>
      <c r="BO36" s="28">
        <v>-0.93546926141666509</v>
      </c>
      <c r="BP36" s="28">
        <v>2.6027116666793582E-4</v>
      </c>
      <c r="BQ36" s="28">
        <v>-1.3067337273333319</v>
      </c>
      <c r="BR36" s="28">
        <v>-1.1953612614166651</v>
      </c>
      <c r="BS36" s="28">
        <v>-3.3863666666134051E-5</v>
      </c>
      <c r="BT36" s="28">
        <v>-0.77063879549999914</v>
      </c>
      <c r="BU36" s="28">
        <v>-1.4832117273333321</v>
      </c>
      <c r="BV36" s="28">
        <v>-1.0810754621666661</v>
      </c>
      <c r="BW36" s="28">
        <v>-0.90465072733333185</v>
      </c>
      <c r="BX36" s="28">
        <v>-1.237756928083332</v>
      </c>
      <c r="BY36" s="28">
        <v>-0.92525506066666485</v>
      </c>
      <c r="BZ36" s="28">
        <v>-0.99337746216666611</v>
      </c>
      <c r="CA36" s="28">
        <v>-1.286819393999999</v>
      </c>
      <c r="CB36" s="28">
        <v>-1.055070462166666</v>
      </c>
      <c r="CC36" s="28">
        <v>-1.332700727333332</v>
      </c>
      <c r="CD36" s="28">
        <v>-1.089318128833332</v>
      </c>
      <c r="CE36" s="28">
        <v>-0.91600732958333242</v>
      </c>
      <c r="CF36" s="28">
        <v>-1.2593467273333321</v>
      </c>
      <c r="CG36" s="28">
        <v>-1.447940727333332</v>
      </c>
      <c r="CH36" s="28">
        <v>-1.4368117273333321</v>
      </c>
      <c r="CI36" s="28">
        <v>-0.40351073108333252</v>
      </c>
      <c r="CJ36" s="28">
        <v>-1.1567569280833321</v>
      </c>
      <c r="CK36" s="28">
        <v>-0.77994979624999949</v>
      </c>
      <c r="CL36" s="28">
        <v>-1.104408795499999</v>
      </c>
      <c r="CM36" s="28">
        <v>-0.98425546216666615</v>
      </c>
      <c r="CN36" s="28">
        <v>-0.45574253033333201</v>
      </c>
      <c r="CO36" s="28">
        <v>-0.99618746216666609</v>
      </c>
      <c r="CP36" s="28">
        <v>-1.490211727333332</v>
      </c>
      <c r="CQ36" s="28">
        <v>-0.12662753033333299</v>
      </c>
      <c r="CR36" s="28">
        <v>-4.4573108333248462E-4</v>
      </c>
      <c r="CS36" s="28">
        <v>-0.70076022733333088</v>
      </c>
      <c r="CT36" s="28">
        <v>-1.1856612614166651</v>
      </c>
      <c r="CU36" s="28">
        <v>-1.2015195947499979</v>
      </c>
      <c r="CV36" s="28">
        <v>-0.93706526141666502</v>
      </c>
      <c r="CW36" s="28">
        <v>-0.1239297310833334</v>
      </c>
      <c r="CX36" s="28">
        <v>-0.28303773108333241</v>
      </c>
      <c r="CY36" s="28">
        <v>-1.0123617273333321</v>
      </c>
      <c r="CZ36" s="28">
        <v>-0.52685286366666595</v>
      </c>
      <c r="DA36" s="28">
        <v>-1.421411727333332</v>
      </c>
      <c r="DB36" s="28">
        <v>-0.58968412958333238</v>
      </c>
      <c r="DC36" s="28">
        <v>-0.30096673108333238</v>
      </c>
      <c r="DD36" s="28">
        <v>-0.72760586366666591</v>
      </c>
      <c r="DE36" s="28">
        <v>9.9136333334026716E-5</v>
      </c>
      <c r="DF36" s="28">
        <v>-1.2408452947499979</v>
      </c>
      <c r="DG36" s="28">
        <v>-1.1748363939999991</v>
      </c>
      <c r="DH36" s="28">
        <v>-1.484113727333332</v>
      </c>
      <c r="DI36" s="28">
        <v>-1.2349847614166649</v>
      </c>
      <c r="DJ36" s="28">
        <v>-1.4681343939999989</v>
      </c>
      <c r="DK36" s="28">
        <v>-1.2220822614166651</v>
      </c>
      <c r="DL36" s="28">
        <v>-0.99755162883333215</v>
      </c>
      <c r="DM36" s="28">
        <v>-1.387781060666665</v>
      </c>
      <c r="DN36" s="28">
        <v>-1.296387060666665</v>
      </c>
      <c r="DO36" s="28">
        <v>-1.420361060666665</v>
      </c>
      <c r="DP36" s="28">
        <v>-0.71236066291666544</v>
      </c>
      <c r="DQ36" s="28">
        <v>-0.76382312958333243</v>
      </c>
      <c r="DR36" s="28">
        <v>-1.4773997273333319</v>
      </c>
      <c r="DS36" s="28">
        <v>-0.58623966366666591</v>
      </c>
      <c r="DT36" s="28">
        <v>-8.1874863666665965E-2</v>
      </c>
      <c r="DU36" s="28">
        <v>3.9413633333418302E-4</v>
      </c>
      <c r="DV36" s="28">
        <v>4.2040150000000048E-4</v>
      </c>
      <c r="DW36" s="28">
        <v>-0.92442400963239157</v>
      </c>
      <c r="DX36" s="34">
        <v>-114.62857719441659</v>
      </c>
    </row>
    <row r="37" spans="1:128" x14ac:dyDescent="0.25">
      <c r="A37" s="24">
        <v>36</v>
      </c>
      <c r="B37" s="26">
        <v>17.5</v>
      </c>
      <c r="C37" s="28">
        <v>-0.43265481059999999</v>
      </c>
      <c r="D37" s="28">
        <v>-0.461802179916667</v>
      </c>
      <c r="E37" s="28">
        <v>-0.71521851324999997</v>
      </c>
      <c r="F37" s="28">
        <v>-0.55397481059999998</v>
      </c>
      <c r="G37" s="28">
        <v>-1.1789496211999999</v>
      </c>
      <c r="H37" s="28">
        <v>-1.1749496211999999</v>
      </c>
      <c r="I37" s="28">
        <v>-1.1289932878666671</v>
      </c>
      <c r="J37" s="28">
        <v>-0.74932954923333317</v>
      </c>
      <c r="K37" s="28">
        <v>-0.46248414393333298</v>
      </c>
      <c r="L37" s="28">
        <v>-0.57919808256666716</v>
      </c>
      <c r="M37" s="28">
        <v>-1.1661916212000001</v>
      </c>
      <c r="N37" s="28">
        <v>-4.9482119999999519E-4</v>
      </c>
      <c r="O37" s="28">
        <v>-0.88386128786666607</v>
      </c>
      <c r="P37" s="28">
        <v>-0.78401658521666706</v>
      </c>
      <c r="Q37" s="28">
        <v>-0.383466143933333</v>
      </c>
      <c r="R37" s="28">
        <v>-0.20471010795000011</v>
      </c>
      <c r="S37" s="28">
        <v>-0.41234347726666698</v>
      </c>
      <c r="T37" s="28">
        <v>-5.7533338633333007E-2</v>
      </c>
      <c r="U37" s="28">
        <v>-1.089442287866667</v>
      </c>
      <c r="V37" s="28">
        <v>-0.76241635453333312</v>
      </c>
      <c r="W37" s="28">
        <v>-0.43488814393333303</v>
      </c>
      <c r="X37" s="28">
        <v>-0.47891651325000001</v>
      </c>
      <c r="Y37" s="28">
        <v>-0.61800221590000004</v>
      </c>
      <c r="Z37" s="28">
        <v>-1.1709496211999999</v>
      </c>
      <c r="AA37" s="28">
        <v>-1.0197059185499999</v>
      </c>
      <c r="AB37" s="28">
        <v>-4.3914846583333E-2</v>
      </c>
      <c r="AC37" s="28">
        <v>-1.1759496212</v>
      </c>
      <c r="AD37" s="28">
        <v>-0.90849095453333306</v>
      </c>
      <c r="AE37" s="28">
        <v>-0.91265295453333306</v>
      </c>
      <c r="AF37" s="28">
        <v>-0.73735521590000008</v>
      </c>
      <c r="AG37" s="28">
        <v>-0.70521851324999996</v>
      </c>
      <c r="AH37" s="28">
        <v>-1.1799496212</v>
      </c>
      <c r="AI37" s="28">
        <v>-0.77092425188333302</v>
      </c>
      <c r="AJ37" s="28">
        <v>-0.77356591855000012</v>
      </c>
      <c r="AK37" s="28">
        <v>-0.7219265492333331</v>
      </c>
      <c r="AL37" s="28">
        <v>4.5215341666599018E-4</v>
      </c>
      <c r="AM37" s="28">
        <v>-0.45498814393333298</v>
      </c>
      <c r="AN37" s="28">
        <v>-1.0512966211999999</v>
      </c>
      <c r="AO37" s="28">
        <v>-0.98302862120000012</v>
      </c>
      <c r="AP37" s="28">
        <v>-0.97848798521666669</v>
      </c>
      <c r="AQ37" s="28">
        <v>-0.83109591855000009</v>
      </c>
      <c r="AR37" s="28">
        <v>-1.1709496211999999</v>
      </c>
      <c r="AS37" s="28">
        <v>-1.1679496212</v>
      </c>
      <c r="AT37" s="28">
        <v>-0.25603547726666698</v>
      </c>
      <c r="AU37" s="28">
        <v>-1.1439292212000001</v>
      </c>
      <c r="AV37" s="28">
        <v>-0.77555325188333302</v>
      </c>
      <c r="AW37" s="28">
        <v>-1.0363202878666671</v>
      </c>
      <c r="AX37" s="28">
        <v>-0.58691754658333295</v>
      </c>
      <c r="AY37" s="28">
        <v>-0.84062545453333304</v>
      </c>
      <c r="AZ37" s="28">
        <v>-0.51901188256666708</v>
      </c>
      <c r="BA37" s="28">
        <v>-0.79313821590000011</v>
      </c>
      <c r="BB37" s="28">
        <v>-0.88389808786666713</v>
      </c>
      <c r="BC37" s="28">
        <v>-1.1433736212000001</v>
      </c>
      <c r="BD37" s="28">
        <v>-1.5444128333030879E-4</v>
      </c>
      <c r="BE37" s="28">
        <v>-0.86833962120000008</v>
      </c>
      <c r="BF37" s="28">
        <v>-1.7865513249999961E-2</v>
      </c>
      <c r="BG37" s="28">
        <v>-0.3878951079500001</v>
      </c>
      <c r="BH37" s="28">
        <v>-0.30339981059999999</v>
      </c>
      <c r="BI37" s="28">
        <v>-0.93184228786666701</v>
      </c>
      <c r="BJ37" s="28">
        <v>-0.31569214393333411</v>
      </c>
      <c r="BK37" s="28">
        <v>-0.7635475852166671</v>
      </c>
      <c r="BL37" s="28">
        <v>-0.95893258521666702</v>
      </c>
      <c r="BM37" s="28">
        <v>-3.7914393333005059E-4</v>
      </c>
      <c r="BN37" s="28">
        <v>-0.30448337461666708</v>
      </c>
      <c r="BO37" s="28">
        <v>-0.81519191855000006</v>
      </c>
      <c r="BP37" s="28">
        <v>-9.3215899999998797E-5</v>
      </c>
      <c r="BQ37" s="28">
        <v>-1.0241101211999999</v>
      </c>
      <c r="BR37" s="28">
        <v>-0.89854725188333306</v>
      </c>
      <c r="BS37" s="28">
        <v>3.8952273333300169E-4</v>
      </c>
      <c r="BT37" s="28">
        <v>-0.41112454923333308</v>
      </c>
      <c r="BU37" s="28">
        <v>-1.0582342878666671</v>
      </c>
      <c r="BV37" s="28">
        <v>-0.7872318825666671</v>
      </c>
      <c r="BW37" s="28">
        <v>-0.53460328786666611</v>
      </c>
      <c r="BX37" s="28">
        <v>-1.005119251883333</v>
      </c>
      <c r="BY37" s="28">
        <v>-2.799728786667011E-2</v>
      </c>
      <c r="BZ37" s="28">
        <v>-0.68534288256666709</v>
      </c>
      <c r="CA37" s="28">
        <v>-1.0058496212000001</v>
      </c>
      <c r="CB37" s="28">
        <v>-0.7958815492333331</v>
      </c>
      <c r="CC37" s="28">
        <v>-1.0888131212000001</v>
      </c>
      <c r="CD37" s="28">
        <v>-0.55522221590000009</v>
      </c>
      <c r="CE37" s="28">
        <v>-0.72021851324999997</v>
      </c>
      <c r="CF37" s="28">
        <v>1.5378800000021009E-5</v>
      </c>
      <c r="CG37" s="28">
        <v>-0.98776402120000006</v>
      </c>
      <c r="CH37" s="28">
        <v>-1.0315001545333331</v>
      </c>
      <c r="CI37" s="28">
        <v>-0.2887361079500001</v>
      </c>
      <c r="CJ37" s="28">
        <v>-1.0178819185500001</v>
      </c>
      <c r="CK37" s="28">
        <v>-0.15030051324999999</v>
      </c>
      <c r="CL37" s="28">
        <v>-0.86946221590000006</v>
      </c>
      <c r="CM37" s="28">
        <v>-0.86946221590000006</v>
      </c>
      <c r="CN37" s="28">
        <v>-0.47312947726666699</v>
      </c>
      <c r="CO37" s="28">
        <v>-0.46842688256666709</v>
      </c>
      <c r="CP37" s="28">
        <v>-1.1159896212</v>
      </c>
      <c r="CQ37" s="28">
        <v>-0.28843447726666699</v>
      </c>
      <c r="CR37" s="28">
        <v>2.2389204999984089E-4</v>
      </c>
      <c r="CS37" s="28">
        <v>-1.1217331545333331</v>
      </c>
      <c r="CT37" s="28">
        <v>-1.0130399185500001</v>
      </c>
      <c r="CU37" s="28">
        <v>-0.85278191855000007</v>
      </c>
      <c r="CV37" s="28">
        <v>-0.76633325188333301</v>
      </c>
      <c r="CW37" s="28">
        <v>-4.1172107950000092E-2</v>
      </c>
      <c r="CX37" s="28">
        <v>2.4822538333292571E-4</v>
      </c>
      <c r="CY37" s="28">
        <v>2.3771213332990371E-4</v>
      </c>
      <c r="CZ37" s="28">
        <v>-2.0147726666705851E-4</v>
      </c>
      <c r="DA37" s="28">
        <v>-0.83198228786666706</v>
      </c>
      <c r="DB37" s="28">
        <v>-0.61266974658333306</v>
      </c>
      <c r="DC37" s="28">
        <v>4.3889205000002818E-4</v>
      </c>
      <c r="DD37" s="28">
        <v>-0.53771147726666668</v>
      </c>
      <c r="DE37" s="28">
        <v>-4.0647726666701017E-4</v>
      </c>
      <c r="DF37" s="28">
        <v>-0.82860925188333312</v>
      </c>
      <c r="DG37" s="28">
        <v>-0.99168962120000004</v>
      </c>
      <c r="DH37" s="28">
        <v>-1.055225354533333</v>
      </c>
      <c r="DI37" s="28">
        <v>-0.72850958521666709</v>
      </c>
      <c r="DJ37" s="28">
        <v>-1.0978309545333329</v>
      </c>
      <c r="DK37" s="28">
        <v>-1.01870591855</v>
      </c>
      <c r="DL37" s="28">
        <v>-0.80646104923333306</v>
      </c>
      <c r="DM37" s="28">
        <v>-1.0437756212</v>
      </c>
      <c r="DN37" s="28">
        <v>2.1037880000003559E-4</v>
      </c>
      <c r="DO37" s="28">
        <v>-1.0497036211999999</v>
      </c>
      <c r="DP37" s="28">
        <v>-0.66342251325000001</v>
      </c>
      <c r="DQ37" s="28">
        <v>-0.64788531324999998</v>
      </c>
      <c r="DR37" s="28">
        <v>-1.167172754533333</v>
      </c>
      <c r="DS37" s="28">
        <v>-0.49951981060000011</v>
      </c>
      <c r="DT37" s="28">
        <v>-0.182849477266667</v>
      </c>
      <c r="DU37" s="28">
        <v>2.5189400000069639E-5</v>
      </c>
      <c r="DV37" s="28">
        <v>-4.4973863333304392E-4</v>
      </c>
      <c r="DW37" s="28">
        <v>-0.65190195420927455</v>
      </c>
      <c r="DX37" s="34">
        <v>-80.835842321950039</v>
      </c>
    </row>
    <row r="38" spans="1:128" x14ac:dyDescent="0.25">
      <c r="A38" s="24">
        <v>37</v>
      </c>
      <c r="B38" s="26">
        <v>18</v>
      </c>
      <c r="C38" s="28">
        <v>-0.41845846733333403</v>
      </c>
      <c r="D38" s="28">
        <v>-0.51058708416666754</v>
      </c>
      <c r="E38" s="28">
        <v>-0.52582308416666745</v>
      </c>
      <c r="F38" s="28">
        <v>-0.40245846733333401</v>
      </c>
      <c r="G38" s="28">
        <v>-0.87591693466666798</v>
      </c>
      <c r="H38" s="28">
        <v>-0.64045960133333502</v>
      </c>
      <c r="I38" s="28">
        <v>-0.60704326800000108</v>
      </c>
      <c r="J38" s="28">
        <v>-0.44336670100000108</v>
      </c>
      <c r="K38" s="28">
        <v>-0.33065313400000101</v>
      </c>
      <c r="L38" s="28">
        <v>-0.29488770100000111</v>
      </c>
      <c r="M38" s="28">
        <v>-0.87491693466666798</v>
      </c>
      <c r="N38" s="28">
        <v>-0.29442360133333467</v>
      </c>
      <c r="O38" s="28">
        <v>-0.67759960133333497</v>
      </c>
      <c r="P38" s="28">
        <v>-0.49527998450000149</v>
      </c>
      <c r="Q38" s="28">
        <v>-0.16220646733333399</v>
      </c>
      <c r="R38" s="28">
        <v>-4.7612850500000532E-2</v>
      </c>
      <c r="S38" s="28">
        <v>-0.16151246733333399</v>
      </c>
      <c r="T38" s="28">
        <v>1.434329999999914E-4</v>
      </c>
      <c r="U38" s="28">
        <v>-0.80804660133333506</v>
      </c>
      <c r="V38" s="28">
        <v>-0.47908693466666802</v>
      </c>
      <c r="W38" s="28">
        <v>-0.23253913400000101</v>
      </c>
      <c r="X38" s="28">
        <v>-0.35195275083333449</v>
      </c>
      <c r="Y38" s="28">
        <v>-0.51857903433333408</v>
      </c>
      <c r="Z38" s="28">
        <v>-0.75933193466666804</v>
      </c>
      <c r="AA38" s="28">
        <v>-0.65704565116666747</v>
      </c>
      <c r="AB38" s="28">
        <v>2.6491583333254631E-4</v>
      </c>
      <c r="AC38" s="28">
        <v>-0.79298293466666803</v>
      </c>
      <c r="AD38" s="28">
        <v>-0.50970193466666802</v>
      </c>
      <c r="AE38" s="28">
        <v>-0.52118260133333494</v>
      </c>
      <c r="AF38" s="28">
        <v>-0.60333270100000114</v>
      </c>
      <c r="AG38" s="28">
        <v>-5.97374175000015E-2</v>
      </c>
      <c r="AH38" s="28">
        <v>-0.87691693466666798</v>
      </c>
      <c r="AI38" s="28">
        <v>-0.58140965116666754</v>
      </c>
      <c r="AJ38" s="28">
        <v>-0.41443031783333439</v>
      </c>
      <c r="AK38" s="28">
        <v>-8.8453367666668004E-2</v>
      </c>
      <c r="AL38" s="28">
        <v>-4.7841750000045079E-4</v>
      </c>
      <c r="AM38" s="28">
        <v>-0.17484113400000101</v>
      </c>
      <c r="AN38" s="28">
        <v>-0.87591693466666798</v>
      </c>
      <c r="AO38" s="28">
        <v>-0.73092493466666797</v>
      </c>
      <c r="AP38" s="28">
        <v>-0.64050231783333444</v>
      </c>
      <c r="AQ38" s="28">
        <v>-0.67442251783333451</v>
      </c>
      <c r="AR38" s="28">
        <v>-0.86791693466666797</v>
      </c>
      <c r="AS38" s="28">
        <v>-0.78134893466666799</v>
      </c>
      <c r="AT38" s="28">
        <v>-0.10732180066666699</v>
      </c>
      <c r="AU38" s="28">
        <v>-0.79504693466666798</v>
      </c>
      <c r="AV38" s="28">
        <v>-0.5392729845000015</v>
      </c>
      <c r="AW38" s="28">
        <v>-0.70599693466666802</v>
      </c>
      <c r="AX38" s="28">
        <v>-0.4109004175000005</v>
      </c>
      <c r="AY38" s="28">
        <v>-0.72890993466666798</v>
      </c>
      <c r="AZ38" s="28">
        <v>-0.54729536766666809</v>
      </c>
      <c r="BA38" s="28">
        <v>-0.58508623433333407</v>
      </c>
      <c r="BB38" s="28">
        <v>-0.64705893466666797</v>
      </c>
      <c r="BC38" s="28">
        <v>-0.81405293466666806</v>
      </c>
      <c r="BD38" s="28">
        <v>-1.088505000005624E-4</v>
      </c>
      <c r="BE38" s="28">
        <v>-0.6395102680000011</v>
      </c>
      <c r="BF38" s="28">
        <v>5.6982500002578103E-5</v>
      </c>
      <c r="BG38" s="28">
        <v>-7.919218383333354E-2</v>
      </c>
      <c r="BH38" s="28">
        <v>-0.20774246733333401</v>
      </c>
      <c r="BI38" s="28">
        <v>-0.77332693466666802</v>
      </c>
      <c r="BJ38" s="28">
        <v>-0.206928467333334</v>
      </c>
      <c r="BK38" s="28">
        <v>-0.43971065116666752</v>
      </c>
      <c r="BL38" s="28">
        <v>-0.63797828450000149</v>
      </c>
      <c r="BM38" s="28">
        <v>6.25326666659487E-5</v>
      </c>
      <c r="BN38" s="28">
        <v>-0.1505387171666675</v>
      </c>
      <c r="BO38" s="28">
        <v>-0.48914571783333449</v>
      </c>
      <c r="BP38" s="28">
        <v>-3.2436766667087719E-4</v>
      </c>
      <c r="BQ38" s="28">
        <v>-0.80810210133333504</v>
      </c>
      <c r="BR38" s="28">
        <v>-0.69053198450000153</v>
      </c>
      <c r="BS38" s="28">
        <v>-4.2080066666705379E-4</v>
      </c>
      <c r="BT38" s="28">
        <v>-0.30796736766666799</v>
      </c>
      <c r="BU38" s="28">
        <v>-0.86691693466666797</v>
      </c>
      <c r="BV38" s="28">
        <v>-0.14721970100000101</v>
      </c>
      <c r="BW38" s="28">
        <v>-0.75547693466666799</v>
      </c>
      <c r="BX38" s="28">
        <v>-0.71093898450000115</v>
      </c>
      <c r="BY38" s="28">
        <v>-2.03067999997919E-4</v>
      </c>
      <c r="BZ38" s="28">
        <v>-0.54905166766666802</v>
      </c>
      <c r="CA38" s="28">
        <v>-0.80654793466666796</v>
      </c>
      <c r="CB38" s="28">
        <v>-0.44637903433333398</v>
      </c>
      <c r="CC38" s="28">
        <v>-0.74993193466666797</v>
      </c>
      <c r="CD38" s="28">
        <v>2.3229899999904771E-4</v>
      </c>
      <c r="CE38" s="28">
        <v>-0.53082308416666746</v>
      </c>
      <c r="CF38" s="28">
        <v>3.343986666660137E-4</v>
      </c>
      <c r="CG38" s="28">
        <v>-0.74953626800000106</v>
      </c>
      <c r="CH38" s="28">
        <v>-0.63107083466666802</v>
      </c>
      <c r="CI38" s="28">
        <v>-0.2283978505000005</v>
      </c>
      <c r="CJ38" s="28">
        <v>-0.62813925116666747</v>
      </c>
      <c r="CK38" s="28">
        <v>-0.50502901750000084</v>
      </c>
      <c r="CL38" s="28">
        <v>-0.642187701000001</v>
      </c>
      <c r="CM38" s="28">
        <v>-0.34405903433333412</v>
      </c>
      <c r="CN38" s="28">
        <v>-0.34103536733333401</v>
      </c>
      <c r="CO38" s="28">
        <v>-0.40732770100000099</v>
      </c>
      <c r="CP38" s="28">
        <v>-0.76886226800000101</v>
      </c>
      <c r="CQ38" s="28">
        <v>-0.219608467333334</v>
      </c>
      <c r="CR38" s="28">
        <v>-4.3183833333529382E-5</v>
      </c>
      <c r="CS38" s="28">
        <v>-0.73775920133333506</v>
      </c>
      <c r="CT38" s="28">
        <v>-3.5398450000143078E-4</v>
      </c>
      <c r="CU38" s="28">
        <v>-0.56067458450000152</v>
      </c>
      <c r="CV38" s="28">
        <v>-0.6355106511666675</v>
      </c>
      <c r="CW38" s="28">
        <v>-5.9543850500000488E-2</v>
      </c>
      <c r="CX38" s="28">
        <v>3.2448283332953132E-4</v>
      </c>
      <c r="CY38" s="28">
        <v>-1.4926799999809279E-4</v>
      </c>
      <c r="CZ38" s="28">
        <v>9.9199333336130735E-5</v>
      </c>
      <c r="DA38" s="28">
        <v>-0.48949360133333503</v>
      </c>
      <c r="DB38" s="28">
        <v>-0.32643475083333451</v>
      </c>
      <c r="DC38" s="28">
        <v>-2.9151716666747651E-4</v>
      </c>
      <c r="DD38" s="28">
        <v>-0.32477246733333398</v>
      </c>
      <c r="DE38" s="28">
        <v>-0.21219513400000101</v>
      </c>
      <c r="DF38" s="28">
        <v>-0.66445631783333448</v>
      </c>
      <c r="DG38" s="28">
        <v>-0.53687626800000099</v>
      </c>
      <c r="DH38" s="28">
        <v>-0.79613720133333499</v>
      </c>
      <c r="DI38" s="28">
        <v>-0.65368265116666746</v>
      </c>
      <c r="DJ38" s="28">
        <v>-0.62695093466666796</v>
      </c>
      <c r="DK38" s="28">
        <v>-0.51123765116666742</v>
      </c>
      <c r="DL38" s="28">
        <v>-0.60718770100000108</v>
      </c>
      <c r="DM38" s="28">
        <v>-0.73603560133333501</v>
      </c>
      <c r="DN38" s="28">
        <v>-3.1526800000098582E-4</v>
      </c>
      <c r="DO38" s="28">
        <v>-0.64598960133333505</v>
      </c>
      <c r="DP38" s="28">
        <v>-0.52182308416666745</v>
      </c>
      <c r="DQ38" s="28">
        <v>-0.3071420841666675</v>
      </c>
      <c r="DR38" s="28">
        <v>-0.87491693466666798</v>
      </c>
      <c r="DS38" s="28">
        <v>-2.6446733333401751E-4</v>
      </c>
      <c r="DT38" s="28">
        <v>4.8186599999899832E-4</v>
      </c>
      <c r="DU38" s="28">
        <v>-2.821340000009886E-4</v>
      </c>
      <c r="DV38" s="28">
        <v>2.314329999996978E-4</v>
      </c>
      <c r="DW38" s="28">
        <v>-0.43494993234274298</v>
      </c>
      <c r="DX38" s="34">
        <v>-53.93379161050013</v>
      </c>
    </row>
    <row r="39" spans="1:128" x14ac:dyDescent="0.25">
      <c r="A39" s="24">
        <v>38</v>
      </c>
      <c r="B39" s="26">
        <v>18.5</v>
      </c>
      <c r="C39" s="28">
        <v>-0.23804536300000001</v>
      </c>
      <c r="D39" s="28">
        <v>-0.17285920375</v>
      </c>
      <c r="E39" s="28">
        <v>-0.34321920374999998</v>
      </c>
      <c r="F39" s="28">
        <v>-0.25637536300000002</v>
      </c>
      <c r="G39" s="28">
        <v>-0.583750726</v>
      </c>
      <c r="H39" s="28">
        <v>-0.47135739266666699</v>
      </c>
      <c r="I39" s="28">
        <v>-0.44855122600000008</v>
      </c>
      <c r="J39" s="28">
        <v>-0.18450047783333301</v>
      </c>
      <c r="K39" s="28">
        <v>-2.8414696333333041E-2</v>
      </c>
      <c r="L39" s="28">
        <v>-3.2437783333296583E-4</v>
      </c>
      <c r="M39" s="28">
        <v>-0.46517072599999998</v>
      </c>
      <c r="N39" s="28">
        <v>-0.38558872599999999</v>
      </c>
      <c r="O39" s="28">
        <v>-0.22197872599999999</v>
      </c>
      <c r="P39" s="28">
        <v>-1.845519166669557E-4</v>
      </c>
      <c r="Q39" s="28">
        <v>-5.6338363000000002E-2</v>
      </c>
      <c r="R39" s="28">
        <v>-1.837585558333299E-2</v>
      </c>
      <c r="S39" s="28">
        <v>-0.104924029666667</v>
      </c>
      <c r="T39" s="28">
        <v>4.4651833332999553E-5</v>
      </c>
      <c r="U39" s="28">
        <v>-0.41832705933333297</v>
      </c>
      <c r="V39" s="28">
        <v>3.0660733332998902E-4</v>
      </c>
      <c r="W39" s="28">
        <v>-0.13582179633333299</v>
      </c>
      <c r="X39" s="28">
        <v>-0.31945120375000002</v>
      </c>
      <c r="Y39" s="28">
        <v>-0.33390131116666699</v>
      </c>
      <c r="Z39" s="28">
        <v>-0.52507772600000002</v>
      </c>
      <c r="AA39" s="28">
        <v>-0.38548688525000002</v>
      </c>
      <c r="AB39" s="28">
        <v>-1.172037500000445E-4</v>
      </c>
      <c r="AC39" s="28">
        <v>-0.24276502600000011</v>
      </c>
      <c r="AD39" s="28">
        <v>-0.42569072600000002</v>
      </c>
      <c r="AE39" s="28">
        <v>-0.16446139266666701</v>
      </c>
      <c r="AF39" s="28">
        <v>-0.42306304449999999</v>
      </c>
      <c r="AG39" s="28">
        <v>-2.105287041666604E-2</v>
      </c>
      <c r="AH39" s="28">
        <v>-0.55649072600000005</v>
      </c>
      <c r="AI39" s="28">
        <v>-8.5757551916666952E-2</v>
      </c>
      <c r="AJ39" s="28">
        <v>-0.34172688524999989</v>
      </c>
      <c r="AK39" s="28">
        <v>-0.27575434450000003</v>
      </c>
      <c r="AL39" s="28">
        <v>-4.9453708333302426E-4</v>
      </c>
      <c r="AM39" s="28">
        <v>-3.2102966666699978E-4</v>
      </c>
      <c r="AN39" s="28">
        <v>-0.583750726</v>
      </c>
      <c r="AO39" s="28">
        <v>-0.38859705933333311</v>
      </c>
      <c r="AP39" s="28">
        <v>-0.30661688525000003</v>
      </c>
      <c r="AQ39" s="28">
        <v>-0.16142788525000001</v>
      </c>
      <c r="AR39" s="28">
        <v>-0.57575072599999999</v>
      </c>
      <c r="AS39" s="28">
        <v>-0.57275072599999999</v>
      </c>
      <c r="AT39" s="28">
        <v>4.9997033332971341E-4</v>
      </c>
      <c r="AU39" s="28">
        <v>-0.56581872599999994</v>
      </c>
      <c r="AV39" s="28">
        <v>-3.4155191666693918E-4</v>
      </c>
      <c r="AW39" s="28">
        <v>-0.41383072599999998</v>
      </c>
      <c r="AX39" s="28">
        <v>-0.31814320374999999</v>
      </c>
      <c r="AY39" s="28">
        <v>-0.28484905933333399</v>
      </c>
      <c r="AZ39" s="28">
        <v>-0.42106304449999998</v>
      </c>
      <c r="BA39" s="28">
        <v>-0.33884911116666688</v>
      </c>
      <c r="BB39" s="28">
        <v>-0.30991939266666702</v>
      </c>
      <c r="BC39" s="28">
        <v>-0.60075072600000001</v>
      </c>
      <c r="BD39" s="28">
        <v>2.161444166670079E-4</v>
      </c>
      <c r="BE39" s="28">
        <v>-0.41105199266666698</v>
      </c>
      <c r="BF39" s="28">
        <v>-2.2147041666698011E-4</v>
      </c>
      <c r="BG39" s="28">
        <v>-0.21053152224999999</v>
      </c>
      <c r="BH39" s="28">
        <v>-2.7902966666702722E-4</v>
      </c>
      <c r="BI39" s="28">
        <v>-0.54519772600000005</v>
      </c>
      <c r="BJ39" s="28">
        <v>-0.154808363</v>
      </c>
      <c r="BK39" s="28">
        <v>-0.209449551916666</v>
      </c>
      <c r="BL39" s="28">
        <v>-0.35895488525000002</v>
      </c>
      <c r="BM39" s="28">
        <v>2.6997033333296672E-4</v>
      </c>
      <c r="BN39" s="28">
        <v>2.7547775000000269E-4</v>
      </c>
      <c r="BO39" s="28">
        <v>-0.37690048524999997</v>
      </c>
      <c r="BP39" s="28">
        <v>-3.9637783333024151E-4</v>
      </c>
      <c r="BQ39" s="28">
        <v>-0.45444272600000002</v>
      </c>
      <c r="BR39" s="28">
        <v>-0.36259288525</v>
      </c>
      <c r="BS39" s="28">
        <v>-4.5202966666704758E-4</v>
      </c>
      <c r="BT39" s="28">
        <v>-5.4487377833332962E-2</v>
      </c>
      <c r="BU39" s="28">
        <v>-0.57475072599999999</v>
      </c>
      <c r="BV39" s="28">
        <v>-1.1932511166666991E-2</v>
      </c>
      <c r="BW39" s="28">
        <v>-0.29084305933333299</v>
      </c>
      <c r="BX39" s="28">
        <v>-0.47188021858333329</v>
      </c>
      <c r="BY39" s="28">
        <v>-0.24755899266666709</v>
      </c>
      <c r="BZ39" s="28">
        <v>-9.1289044499999972E-2</v>
      </c>
      <c r="CA39" s="28">
        <v>-0.48443525933333298</v>
      </c>
      <c r="CB39" s="28">
        <v>-0.41589637783333328</v>
      </c>
      <c r="CC39" s="28">
        <v>-0.30935355933333297</v>
      </c>
      <c r="CD39" s="28">
        <v>2.9695550000002902E-4</v>
      </c>
      <c r="CE39" s="28">
        <v>-0.34821920374999998</v>
      </c>
      <c r="CF39" s="28">
        <v>1.47940666669899E-4</v>
      </c>
      <c r="CG39" s="28">
        <v>-0.37647205933333311</v>
      </c>
      <c r="CH39" s="28">
        <v>-0.57341372600000007</v>
      </c>
      <c r="CI39" s="28">
        <v>-9.538855583332978E-3</v>
      </c>
      <c r="CJ39" s="28">
        <v>-0.40223355191666699</v>
      </c>
      <c r="CK39" s="28">
        <v>2.9446291666990199E-4</v>
      </c>
      <c r="CL39" s="28">
        <v>-0.41798047783333331</v>
      </c>
      <c r="CM39" s="28">
        <v>-0.40572244449999989</v>
      </c>
      <c r="CN39" s="28">
        <v>2.106703333329685E-4</v>
      </c>
      <c r="CO39" s="28">
        <v>-0.15173771116666701</v>
      </c>
      <c r="CP39" s="28">
        <v>-0.41087072600000007</v>
      </c>
      <c r="CQ39" s="28">
        <v>-6.335869633333302E-2</v>
      </c>
      <c r="CR39" s="28">
        <v>-2.9152224999998139E-4</v>
      </c>
      <c r="CS39" s="28">
        <v>-0.38402272599999998</v>
      </c>
      <c r="CT39" s="28">
        <v>-0.47090688524999991</v>
      </c>
      <c r="CU39" s="28">
        <v>3.4331474999996231E-4</v>
      </c>
      <c r="CV39" s="28">
        <v>-0.38804621858333299</v>
      </c>
      <c r="CW39" s="28">
        <v>-1.6452225000000009E-4</v>
      </c>
      <c r="CX39" s="28">
        <v>-2.7252225000001801E-4</v>
      </c>
      <c r="CY39" s="28">
        <v>-6.0725999999955427E-5</v>
      </c>
      <c r="CZ39" s="28">
        <v>3.3830366666698358E-4</v>
      </c>
      <c r="DA39" s="28">
        <v>-0.20586072599999999</v>
      </c>
      <c r="DB39" s="28">
        <v>-0.10009920375</v>
      </c>
      <c r="DC39" s="28">
        <v>-1.2452225000000869E-4</v>
      </c>
      <c r="DD39" s="28">
        <v>-2.4336300000005201E-4</v>
      </c>
      <c r="DE39" s="28">
        <v>1.397033333296396E-5</v>
      </c>
      <c r="DF39" s="28">
        <v>-3.1421858333002822E-4</v>
      </c>
      <c r="DG39" s="28">
        <v>-0.177008059333333</v>
      </c>
      <c r="DH39" s="28">
        <v>-0.47370705933333301</v>
      </c>
      <c r="DI39" s="28">
        <v>-0.31308968525000003</v>
      </c>
      <c r="DJ39" s="28">
        <v>-0.44920539266666698</v>
      </c>
      <c r="DK39" s="28">
        <v>-6.1551916670010698E-5</v>
      </c>
      <c r="DL39" s="28">
        <v>-0.38410837783333329</v>
      </c>
      <c r="DM39" s="28">
        <v>-0.33530489266666702</v>
      </c>
      <c r="DN39" s="28">
        <v>2.8727399999994851E-4</v>
      </c>
      <c r="DO39" s="28">
        <v>-0.27432539266666711</v>
      </c>
      <c r="DP39" s="28">
        <v>-0.28737587041666701</v>
      </c>
      <c r="DQ39" s="28">
        <v>-2.9159870416667011E-2</v>
      </c>
      <c r="DR39" s="28">
        <v>-0.17059039266666701</v>
      </c>
      <c r="DS39" s="28">
        <v>-3.4869633333300948E-4</v>
      </c>
      <c r="DT39" s="28">
        <v>3.3097033333051579E-4</v>
      </c>
      <c r="DU39" s="28">
        <v>3.3497033333337872E-4</v>
      </c>
      <c r="DV39" s="28">
        <v>3.5698516666701757E-4</v>
      </c>
      <c r="DW39" s="28">
        <v>-0.22673836499126329</v>
      </c>
      <c r="DX39" s="34">
        <v>-28.11555725891666</v>
      </c>
    </row>
    <row r="40" spans="1:128" x14ac:dyDescent="0.25">
      <c r="A40" s="24">
        <v>39</v>
      </c>
      <c r="B40" s="26">
        <v>19</v>
      </c>
      <c r="C40" s="28">
        <v>-3.8170373866666579E-2</v>
      </c>
      <c r="D40" s="28">
        <v>-0.1812004673333332</v>
      </c>
      <c r="E40" s="28">
        <v>-0.1792004673333332</v>
      </c>
      <c r="F40" s="28">
        <v>-0.1211603738666666</v>
      </c>
      <c r="G40" s="28">
        <v>-0.32132074773333319</v>
      </c>
      <c r="H40" s="28">
        <v>-0.10043674773333321</v>
      </c>
      <c r="I40" s="28">
        <v>-6.8016414400000169E-2</v>
      </c>
      <c r="J40" s="28">
        <v>-0.12587599413333289</v>
      </c>
      <c r="K40" s="28">
        <v>-8.7038373866666588E-2</v>
      </c>
      <c r="L40" s="28">
        <v>-2.5522746666695179E-4</v>
      </c>
      <c r="M40" s="28">
        <v>-0.14246974773333321</v>
      </c>
      <c r="N40" s="28">
        <v>-0.2020918810666662</v>
      </c>
      <c r="O40" s="28">
        <v>-1.7541439999915751E-4</v>
      </c>
      <c r="P40" s="28">
        <v>1.540124000004583E-4</v>
      </c>
      <c r="Q40" s="28">
        <v>-3.2637386666659052E-4</v>
      </c>
      <c r="R40" s="28">
        <v>-4.6694706666690339E-4</v>
      </c>
      <c r="S40" s="28">
        <v>4.6295946666640581E-4</v>
      </c>
      <c r="T40" s="28">
        <v>-3.3518693333331462E-4</v>
      </c>
      <c r="U40" s="28">
        <v>-2.5808106666713743E-4</v>
      </c>
      <c r="V40" s="28">
        <v>7.0918933333802281E-5</v>
      </c>
      <c r="W40" s="28">
        <v>-9.7893040533333295E-2</v>
      </c>
      <c r="X40" s="28">
        <v>-0.17320046733333319</v>
      </c>
      <c r="Y40" s="28">
        <v>-1.4622746666694E-4</v>
      </c>
      <c r="Z40" s="28">
        <v>-0.26264774773333321</v>
      </c>
      <c r="AA40" s="28">
        <v>-0.26928065426666647</v>
      </c>
      <c r="AB40" s="28">
        <v>-4.7746733333317581E-4</v>
      </c>
      <c r="AC40" s="28">
        <v>2.2191893333381449E-4</v>
      </c>
      <c r="AD40" s="28">
        <v>-8.3790081066666189E-2</v>
      </c>
      <c r="AE40" s="28">
        <v>-0.22225541440000021</v>
      </c>
      <c r="AF40" s="28">
        <v>-5.5278560799999932E-2</v>
      </c>
      <c r="AG40" s="28">
        <v>-2.2046733333319629E-4</v>
      </c>
      <c r="AH40" s="28">
        <v>-0.2457440810666662</v>
      </c>
      <c r="AI40" s="28">
        <v>1.116790666674805E-4</v>
      </c>
      <c r="AJ40" s="28">
        <v>-0.13750398759999949</v>
      </c>
      <c r="AK40" s="28">
        <v>3.9250586666705889E-4</v>
      </c>
      <c r="AL40" s="28">
        <v>-2.2646733333320229E-4</v>
      </c>
      <c r="AM40" s="28">
        <v>-3.6537386666658789E-4</v>
      </c>
      <c r="AN40" s="28">
        <v>-0.32132074773333319</v>
      </c>
      <c r="AO40" s="28">
        <v>-0.24289574773333319</v>
      </c>
      <c r="AP40" s="28">
        <v>-4.2260654266666531E-2</v>
      </c>
      <c r="AQ40" s="28">
        <v>-0.1622586542666665</v>
      </c>
      <c r="AR40" s="28">
        <v>-0.31332074773333318</v>
      </c>
      <c r="AS40" s="28">
        <v>-0.28246474773333308</v>
      </c>
      <c r="AT40" s="28">
        <v>-6.7040533333589947E-5</v>
      </c>
      <c r="AU40" s="28">
        <v>-0.16604001440000021</v>
      </c>
      <c r="AV40" s="28">
        <v>-1.6098759999949591E-4</v>
      </c>
      <c r="AW40" s="28">
        <v>-0.16991941440000019</v>
      </c>
      <c r="AX40" s="28">
        <v>-5.946580066666618E-2</v>
      </c>
      <c r="AY40" s="28">
        <v>-0.17583774773333319</v>
      </c>
      <c r="AZ40" s="28">
        <v>-0.22424056079999991</v>
      </c>
      <c r="BA40" s="28">
        <v>-4.5889413333294332E-4</v>
      </c>
      <c r="BB40" s="28">
        <v>-0.14817714773333321</v>
      </c>
      <c r="BC40" s="28">
        <v>-0.3054607477333332</v>
      </c>
      <c r="BD40" s="28">
        <v>7.6719600000080268E-5</v>
      </c>
      <c r="BE40" s="28">
        <v>-3.57424144000002E-2</v>
      </c>
      <c r="BF40" s="28">
        <v>-1.944006666662057E-4</v>
      </c>
      <c r="BG40" s="28">
        <v>-4.4028039999991289E-4</v>
      </c>
      <c r="BH40" s="28">
        <v>1.6295946666643191E-4</v>
      </c>
      <c r="BI40" s="28">
        <v>-0.15715174773333321</v>
      </c>
      <c r="BJ40" s="28">
        <v>1.2762613333343331E-4</v>
      </c>
      <c r="BK40" s="28">
        <v>-0.1819732542666665</v>
      </c>
      <c r="BL40" s="28">
        <v>2.263457333334801E-4</v>
      </c>
      <c r="BM40" s="28">
        <v>1.2262613333341441E-4</v>
      </c>
      <c r="BN40" s="28">
        <v>3.2805293333307278E-4</v>
      </c>
      <c r="BO40" s="28">
        <v>-3.9232093333241291E-4</v>
      </c>
      <c r="BP40" s="28">
        <v>0.1953684392000001</v>
      </c>
      <c r="BQ40" s="28">
        <v>-0.3313207477333332</v>
      </c>
      <c r="BR40" s="28">
        <v>-0.26928065426666647</v>
      </c>
      <c r="BS40" s="28">
        <v>-3.5970719999955941E-4</v>
      </c>
      <c r="BT40" s="28">
        <v>6.8772533330374586E-5</v>
      </c>
      <c r="BU40" s="28">
        <v>-0.31232074773333318</v>
      </c>
      <c r="BV40" s="28">
        <v>3.7970586666707939E-4</v>
      </c>
      <c r="BW40" s="28">
        <v>-0.18756341440000021</v>
      </c>
      <c r="BX40" s="28">
        <v>-0.27128065426666648</v>
      </c>
      <c r="BY40" s="28">
        <v>-0.16753341440000019</v>
      </c>
      <c r="BZ40" s="28">
        <v>3.4700586666711048E-4</v>
      </c>
      <c r="CA40" s="28">
        <v>-3.5309014400000172E-2</v>
      </c>
      <c r="CB40" s="28">
        <v>1.9277253333405131E-4</v>
      </c>
      <c r="CC40" s="28">
        <v>-0.2123751144000002</v>
      </c>
      <c r="CD40" s="28">
        <v>4.817725333330844E-4</v>
      </c>
      <c r="CE40" s="28">
        <v>-0.1842004673333332</v>
      </c>
      <c r="CF40" s="28">
        <v>-4.9408106666337659E-4</v>
      </c>
      <c r="CG40" s="28">
        <v>4.3825226666681372E-4</v>
      </c>
      <c r="CH40" s="28">
        <v>-4.0567647733333163E-2</v>
      </c>
      <c r="CI40" s="28">
        <v>-8.7120280399999916E-2</v>
      </c>
      <c r="CJ40" s="28">
        <v>-0.1222554875999995</v>
      </c>
      <c r="CK40" s="28">
        <v>1.187993333335025E-4</v>
      </c>
      <c r="CL40" s="28">
        <v>-0.21607389413333319</v>
      </c>
      <c r="CM40" s="28">
        <v>-0.1681725607999999</v>
      </c>
      <c r="CN40" s="28">
        <v>-3.3304053333357489E-4</v>
      </c>
      <c r="CO40" s="28">
        <v>4.6943920000006018E-4</v>
      </c>
      <c r="CP40" s="28">
        <v>-0.21475224773333321</v>
      </c>
      <c r="CQ40" s="28">
        <v>-2.9337386666658532E-4</v>
      </c>
      <c r="CR40" s="28">
        <v>2.8705293333310122E-4</v>
      </c>
      <c r="CS40" s="28">
        <v>-1.554144000032176E-4</v>
      </c>
      <c r="CT40" s="28">
        <v>-0.27528065426666648</v>
      </c>
      <c r="CU40" s="28">
        <v>-1.496542666665768E-4</v>
      </c>
      <c r="CV40" s="28">
        <v>-0.23601398759999981</v>
      </c>
      <c r="CW40" s="28">
        <v>2.6881960000010169E-4</v>
      </c>
      <c r="CX40" s="28">
        <v>1.063862666699222E-4</v>
      </c>
      <c r="CY40" s="28">
        <v>-2.4908106666310381E-4</v>
      </c>
      <c r="CZ40" s="28">
        <v>2.7295946666641702E-4</v>
      </c>
      <c r="DA40" s="28">
        <v>-1.7308106666617809E-4</v>
      </c>
      <c r="DB40" s="28">
        <v>4.6419933333374802E-4</v>
      </c>
      <c r="DC40" s="28">
        <v>-2.328039999988096E-5</v>
      </c>
      <c r="DD40" s="28">
        <v>-1.6037386666656331E-4</v>
      </c>
      <c r="DE40" s="28">
        <v>3.0362613333342892E-4</v>
      </c>
      <c r="DF40" s="28">
        <v>-1.079875999967506E-4</v>
      </c>
      <c r="DG40" s="28">
        <v>-0.2281407477333332</v>
      </c>
      <c r="DH40" s="28">
        <v>-2.1805414400000171E-2</v>
      </c>
      <c r="DI40" s="28">
        <v>4.793457333334937E-4</v>
      </c>
      <c r="DJ40" s="28">
        <v>-0.1093340810666662</v>
      </c>
      <c r="DK40" s="28">
        <v>-2.8732093333627701E-4</v>
      </c>
      <c r="DL40" s="28">
        <v>-3.3777894133332931E-2</v>
      </c>
      <c r="DM40" s="28">
        <v>3.5965226666682948E-4</v>
      </c>
      <c r="DN40" s="28">
        <v>1.1758559999983099E-4</v>
      </c>
      <c r="DO40" s="28">
        <v>1.3058559999985789E-4</v>
      </c>
      <c r="DP40" s="28">
        <v>3.9886599999981558E-4</v>
      </c>
      <c r="DQ40" s="28">
        <v>-4.9046733333319228E-4</v>
      </c>
      <c r="DR40" s="28">
        <v>-0.1681927477333332</v>
      </c>
      <c r="DS40" s="28">
        <v>-1.873738666665625E-4</v>
      </c>
      <c r="DT40" s="28">
        <v>-1.2704053333623119E-4</v>
      </c>
      <c r="DU40" s="28">
        <v>-1.6037386666659101E-4</v>
      </c>
      <c r="DV40" s="28">
        <v>-1.158536000003263E-4</v>
      </c>
      <c r="DW40" s="28">
        <v>-7.9041128616128928E-2</v>
      </c>
      <c r="DX40" s="34">
        <v>-9.8010999483999868</v>
      </c>
    </row>
    <row r="41" spans="1:128" x14ac:dyDescent="0.25">
      <c r="A41" s="24">
        <v>40</v>
      </c>
      <c r="B41" s="26">
        <v>19.5</v>
      </c>
      <c r="C41" s="28">
        <v>-1.05799742E-2</v>
      </c>
      <c r="D41" s="28">
        <v>-9.3569677500000004E-3</v>
      </c>
      <c r="E41" s="28">
        <v>-1.597496775000001E-2</v>
      </c>
      <c r="F41" s="28">
        <v>6.0692466666983913E-5</v>
      </c>
      <c r="G41" s="28">
        <v>-6.0159948400000003E-2</v>
      </c>
      <c r="H41" s="28">
        <v>2.1338493333303291E-4</v>
      </c>
      <c r="I41" s="28">
        <v>-1.8615066665950138E-5</v>
      </c>
      <c r="J41" s="28">
        <v>-1.1862796666700651E-4</v>
      </c>
      <c r="K41" s="28">
        <v>-1.619742000000812E-4</v>
      </c>
      <c r="L41" s="28">
        <v>-7.4961299999953823E-5</v>
      </c>
      <c r="M41" s="28">
        <v>1.050516000000168E-4</v>
      </c>
      <c r="N41" s="28">
        <v>-4.4828173333000271E-4</v>
      </c>
      <c r="O41" s="28">
        <v>1.3005160000004179E-4</v>
      </c>
      <c r="P41" s="28">
        <v>-1.4262151666699641E-4</v>
      </c>
      <c r="Q41" s="28">
        <v>-3.4364086666699428E-4</v>
      </c>
      <c r="R41" s="28">
        <v>-4.6264731666700859E-4</v>
      </c>
      <c r="S41" s="28">
        <v>2.2535913333299179E-4</v>
      </c>
      <c r="T41" s="28">
        <v>-1.5732043333299689E-4</v>
      </c>
      <c r="U41" s="28">
        <v>-4.912817333330155E-4</v>
      </c>
      <c r="V41" s="28">
        <v>3.4838493333311238E-4</v>
      </c>
      <c r="W41" s="28">
        <v>4.1802579999999923E-4</v>
      </c>
      <c r="X41" s="28">
        <v>-3.6696775000000242E-4</v>
      </c>
      <c r="Y41" s="28">
        <v>4.8003869999996279E-4</v>
      </c>
      <c r="Z41" s="28">
        <v>4.2505160000001069E-4</v>
      </c>
      <c r="AA41" s="28">
        <v>-4.076495485E-2</v>
      </c>
      <c r="AB41" s="28">
        <v>4.9969891666701294E-4</v>
      </c>
      <c r="AC41" s="28">
        <v>1.7238493333293639E-4</v>
      </c>
      <c r="AD41" s="28">
        <v>-5.61599484E-2</v>
      </c>
      <c r="AE41" s="28">
        <v>-1.7661506666698251E-4</v>
      </c>
      <c r="AF41" s="28">
        <v>-3.0369961300000001E-2</v>
      </c>
      <c r="AG41" s="28">
        <v>-2.063441666699806E-5</v>
      </c>
      <c r="AH41" s="28">
        <v>-2.7561506666701208E-4</v>
      </c>
      <c r="AI41" s="28">
        <v>-1.162151666705968E-5</v>
      </c>
      <c r="AJ41" s="28">
        <v>-2.8828818333301309E-4</v>
      </c>
      <c r="AK41" s="28">
        <v>-1.3929463333295369E-4</v>
      </c>
      <c r="AL41" s="28">
        <v>4.1103224999999849E-4</v>
      </c>
      <c r="AM41" s="28">
        <v>-3.4397419999998569E-4</v>
      </c>
      <c r="AN41" s="28">
        <v>3.8051599999991408E-5</v>
      </c>
      <c r="AO41" s="28">
        <v>-2.7628173333293932E-4</v>
      </c>
      <c r="AP41" s="28">
        <v>-1.7828818333304189E-4</v>
      </c>
      <c r="AQ41" s="28">
        <v>-6.8288183332987362E-5</v>
      </c>
      <c r="AR41" s="28">
        <v>-5.2159948400000003E-2</v>
      </c>
      <c r="AS41" s="28">
        <v>3.1531826666700898E-4</v>
      </c>
      <c r="AT41" s="28">
        <v>1.8669246666701281E-4</v>
      </c>
      <c r="AU41" s="28">
        <v>1.1718493333300049E-4</v>
      </c>
      <c r="AV41" s="28">
        <v>1.377118166670521E-4</v>
      </c>
      <c r="AW41" s="28">
        <v>-1.466150666669386E-4</v>
      </c>
      <c r="AX41" s="28">
        <v>-2.296775000001916E-5</v>
      </c>
      <c r="AY41" s="28">
        <v>-4.0028173333300782E-4</v>
      </c>
      <c r="AZ41" s="28">
        <v>8.337203333300125E-5</v>
      </c>
      <c r="BA41" s="28">
        <v>-3.4662796666684592E-4</v>
      </c>
      <c r="BB41" s="28">
        <v>4.52051600000003E-4</v>
      </c>
      <c r="BC41" s="28">
        <v>4.2005160000000569E-4</v>
      </c>
      <c r="BD41" s="28">
        <v>-4.583139833330141E-4</v>
      </c>
      <c r="BE41" s="28">
        <v>3.4071826666703942E-4</v>
      </c>
      <c r="BF41" s="28">
        <v>-2.8230108333304749E-4</v>
      </c>
      <c r="BG41" s="28">
        <v>-1.2398065000002181E-4</v>
      </c>
      <c r="BH41" s="28">
        <v>-3.9430753333302698E-4</v>
      </c>
      <c r="BI41" s="28">
        <v>-4.5159948399999997E-2</v>
      </c>
      <c r="BJ41" s="28">
        <v>3.2602579999999048E-4</v>
      </c>
      <c r="BK41" s="28">
        <v>5.0378483333002322E-5</v>
      </c>
      <c r="BL41" s="28">
        <v>3.784833330078285E-7</v>
      </c>
      <c r="BM41" s="28">
        <v>-4.0430753333298147E-4</v>
      </c>
      <c r="BN41" s="28">
        <v>1.5968601666704879E-4</v>
      </c>
      <c r="BO41" s="28">
        <v>-1.409548500000968E-4</v>
      </c>
      <c r="BP41" s="28">
        <v>0.19252070536666599</v>
      </c>
      <c r="BQ41" s="28">
        <v>2.3338493333300341E-4</v>
      </c>
      <c r="BR41" s="28">
        <v>-3.4954850000004638E-5</v>
      </c>
      <c r="BS41" s="28">
        <v>3.3135913333293132E-4</v>
      </c>
      <c r="BT41" s="28">
        <v>2.5670536666977378E-4</v>
      </c>
      <c r="BU41" s="28">
        <v>-1.8281733333000431E-5</v>
      </c>
      <c r="BV41" s="28">
        <v>-1.4396130000005061E-4</v>
      </c>
      <c r="BW41" s="28">
        <v>4.0718266666996128E-5</v>
      </c>
      <c r="BX41" s="28">
        <v>-4.2764954850000002E-2</v>
      </c>
      <c r="BY41" s="28">
        <v>3.8405160000000438E-4</v>
      </c>
      <c r="BZ41" s="28">
        <v>-2.7196129999995661E-4</v>
      </c>
      <c r="CA41" s="28">
        <v>-7.6948399999998696E-5</v>
      </c>
      <c r="CB41" s="28">
        <v>-4.9496129999992977E-4</v>
      </c>
      <c r="CC41" s="28">
        <v>-1.6494840000003119E-4</v>
      </c>
      <c r="CD41" s="28">
        <v>-4.756279666670582E-4</v>
      </c>
      <c r="CE41" s="28">
        <v>-2.097496775E-2</v>
      </c>
      <c r="CF41" s="28">
        <v>-8.6615066669848417E-5</v>
      </c>
      <c r="CG41" s="28">
        <v>-4.6328173333295969E-4</v>
      </c>
      <c r="CH41" s="28">
        <v>4.4051599999983537E-5</v>
      </c>
      <c r="CI41" s="28">
        <v>-4.8898065000001212E-4</v>
      </c>
      <c r="CJ41" s="28">
        <v>-5.6288183333974562E-5</v>
      </c>
      <c r="CK41" s="28">
        <v>3.4036558333300221E-4</v>
      </c>
      <c r="CL41" s="28">
        <v>4.6417203333298801E-4</v>
      </c>
      <c r="CM41" s="28">
        <v>-1.132946333330387E-4</v>
      </c>
      <c r="CN41" s="28">
        <v>-4.6530753333295932E-4</v>
      </c>
      <c r="CO41" s="28">
        <v>-3.6996130000000252E-4</v>
      </c>
      <c r="CP41" s="28">
        <v>4.00451600000018E-4</v>
      </c>
      <c r="CQ41" s="28">
        <v>1.5335913333291981E-4</v>
      </c>
      <c r="CR41" s="28">
        <v>2.1601935000004069E-4</v>
      </c>
      <c r="CS41" s="28">
        <v>1.338493332969648E-5</v>
      </c>
      <c r="CT41" s="28">
        <v>-1.049548499999914E-4</v>
      </c>
      <c r="CU41" s="28">
        <v>-4.0028818333293081E-4</v>
      </c>
      <c r="CV41" s="28">
        <v>-1.29954849999947E-4</v>
      </c>
      <c r="CW41" s="28">
        <v>2.531934999999708E-5</v>
      </c>
      <c r="CX41" s="28">
        <v>0.2159483526833301</v>
      </c>
      <c r="CY41" s="28">
        <v>1.753849333330226E-4</v>
      </c>
      <c r="CZ41" s="28">
        <v>4.6769246666999997E-4</v>
      </c>
      <c r="DA41" s="28">
        <v>-4.562817333302327E-4</v>
      </c>
      <c r="DB41" s="28">
        <v>-2.5630108333296597E-4</v>
      </c>
      <c r="DC41" s="28">
        <v>3.0801935000002167E-4</v>
      </c>
      <c r="DD41" s="28">
        <v>4.200258000000047E-4</v>
      </c>
      <c r="DE41" s="28">
        <v>1.2702579999990249E-4</v>
      </c>
      <c r="DF41" s="28">
        <v>-4.5621516666982658E-5</v>
      </c>
      <c r="DG41" s="28">
        <v>-4.9159948399999993E-2</v>
      </c>
      <c r="DH41" s="28">
        <v>-4.4594839999999297E-4</v>
      </c>
      <c r="DI41" s="28">
        <v>5.3378483332977573E-5</v>
      </c>
      <c r="DJ41" s="28">
        <v>-2.392817333329855E-4</v>
      </c>
      <c r="DK41" s="28">
        <v>-1.0562151667015129E-4</v>
      </c>
      <c r="DL41" s="28">
        <v>2.4937203333397218E-4</v>
      </c>
      <c r="DM41" s="28">
        <v>3.9205160000002631E-4</v>
      </c>
      <c r="DN41" s="28">
        <v>1.0038493333300309E-4</v>
      </c>
      <c r="DO41" s="28">
        <v>4.2705159999995018E-4</v>
      </c>
      <c r="DP41" s="28">
        <v>2.5032249999997619E-5</v>
      </c>
      <c r="DQ41" s="28">
        <v>2.083655833330367E-4</v>
      </c>
      <c r="DR41" s="28">
        <v>2.3205159999999109E-4</v>
      </c>
      <c r="DS41" s="28">
        <v>2.6969246667007951E-4</v>
      </c>
      <c r="DT41" s="28">
        <v>0.29179802579999992</v>
      </c>
      <c r="DU41" s="28">
        <v>3.0669246666700789E-4</v>
      </c>
      <c r="DV41" s="28">
        <v>-4.0132043333297729E-4</v>
      </c>
      <c r="DW41" s="28">
        <v>2.144076516263466E-3</v>
      </c>
      <c r="DX41" s="34">
        <v>0.26586548801666982</v>
      </c>
    </row>
    <row r="42" spans="1:128" x14ac:dyDescent="0.25">
      <c r="A42" s="24">
        <v>41</v>
      </c>
      <c r="B42" s="26">
        <v>20</v>
      </c>
      <c r="C42" s="28">
        <v>4.3811186666664609E-4</v>
      </c>
      <c r="D42" s="28">
        <v>-3.7436016666669852E-4</v>
      </c>
      <c r="E42" s="28">
        <v>-3.5236016666666947E-4</v>
      </c>
      <c r="F42" s="28">
        <v>4.5445199999605279E-5</v>
      </c>
      <c r="G42" s="28">
        <v>-1.1810959999969389E-4</v>
      </c>
      <c r="H42" s="28">
        <v>-2.2144293333270501E-4</v>
      </c>
      <c r="I42" s="28">
        <v>1.1557066666334491E-5</v>
      </c>
      <c r="J42" s="28">
        <v>-6.8322000000287098E-6</v>
      </c>
      <c r="K42" s="28">
        <v>-3.4255480000033872E-4</v>
      </c>
      <c r="L42" s="28">
        <v>3.1850113332998481E-4</v>
      </c>
      <c r="M42" s="28">
        <v>5.8223733333306882E-5</v>
      </c>
      <c r="N42" s="28">
        <v>2.7955706666338292E-4</v>
      </c>
      <c r="O42" s="28">
        <v>-1.084429333336745E-4</v>
      </c>
      <c r="P42" s="28">
        <v>-2.3530423333334441E-4</v>
      </c>
      <c r="Q42" s="28">
        <v>4.7644519999961998E-4</v>
      </c>
      <c r="R42" s="28">
        <v>1.6250566666098362E-5</v>
      </c>
      <c r="S42" s="28">
        <v>-3.5055480000356631E-4</v>
      </c>
      <c r="T42" s="28">
        <v>4.9838926666345706E-4</v>
      </c>
      <c r="U42" s="28">
        <v>1.8055706666725291E-4</v>
      </c>
      <c r="V42" s="28">
        <v>3.132237333333121E-4</v>
      </c>
      <c r="W42" s="28">
        <v>1.527785333336196E-4</v>
      </c>
      <c r="X42" s="28">
        <v>4.9297316666662566E-4</v>
      </c>
      <c r="Y42" s="28">
        <v>2.1583446666695319E-4</v>
      </c>
      <c r="Z42" s="28">
        <v>2.362237333333253E-4</v>
      </c>
      <c r="AA42" s="28">
        <v>-2.9330423333334688E-4</v>
      </c>
      <c r="AB42" s="28">
        <v>3.4397316666634481E-4</v>
      </c>
      <c r="AC42" s="28">
        <v>-1.9144293333273049E-4</v>
      </c>
      <c r="AD42" s="28">
        <v>-1.204429333336865E-4</v>
      </c>
      <c r="AE42" s="28">
        <v>3.032237333333021E-4</v>
      </c>
      <c r="AF42" s="28">
        <v>1.7716779999999571E-4</v>
      </c>
      <c r="AG42" s="28">
        <v>-1.0669349999670171E-4</v>
      </c>
      <c r="AH42" s="28">
        <v>-4.3044293333366351E-4</v>
      </c>
      <c r="AI42" s="28">
        <v>2.6957666666577169E-6</v>
      </c>
      <c r="AJ42" s="28">
        <v>-1.3797089999934009E-4</v>
      </c>
      <c r="AK42" s="28">
        <v>-4.4749886666983762E-4</v>
      </c>
      <c r="AL42" s="28">
        <v>-2.4469349999972628E-4</v>
      </c>
      <c r="AM42" s="28">
        <v>2.2344519999673021E-4</v>
      </c>
      <c r="AN42" s="28">
        <v>2.3622373333332181E-4</v>
      </c>
      <c r="AO42" s="28">
        <v>-4.3844293333361589E-4</v>
      </c>
      <c r="AP42" s="28">
        <v>-2.9330423333334341E-4</v>
      </c>
      <c r="AQ42" s="28">
        <v>-4.0497089999924629E-4</v>
      </c>
      <c r="AR42" s="28">
        <v>2.362237333333253E-4</v>
      </c>
      <c r="AS42" s="28">
        <v>-4.3044293333369121E-4</v>
      </c>
      <c r="AT42" s="28">
        <v>-1.5188813333333331E-4</v>
      </c>
      <c r="AU42" s="28">
        <v>-1.3377626666666309E-4</v>
      </c>
      <c r="AV42" s="28">
        <v>-4.1663756666632251E-4</v>
      </c>
      <c r="AW42" s="28">
        <v>6.055706666630023E-5</v>
      </c>
      <c r="AX42" s="28">
        <v>1.75639833333463E-4</v>
      </c>
      <c r="AY42" s="28">
        <v>2.348904000003538E-4</v>
      </c>
      <c r="AZ42" s="28">
        <v>-3.7683220000001022E-4</v>
      </c>
      <c r="BA42" s="28">
        <v>1.3383446666592749E-4</v>
      </c>
      <c r="BB42" s="28">
        <v>1.108904000000077E-4</v>
      </c>
      <c r="BC42" s="28">
        <v>3.802237333333236E-4</v>
      </c>
      <c r="BD42" s="28">
        <v>1.7458390000002491E-4</v>
      </c>
      <c r="BE42" s="28">
        <v>-1.5777626666668709E-4</v>
      </c>
      <c r="BF42" s="28">
        <v>-4.8902683333362784E-4</v>
      </c>
      <c r="BG42" s="28">
        <v>-4.7941610000000467E-4</v>
      </c>
      <c r="BH42" s="28">
        <v>-3.3755480000036142E-4</v>
      </c>
      <c r="BI42" s="28">
        <v>4.4822373333330828E-4</v>
      </c>
      <c r="BJ42" s="28">
        <v>-3.1554800000388461E-5</v>
      </c>
      <c r="BK42" s="28">
        <v>-2.7263756666329192E-4</v>
      </c>
      <c r="BL42" s="28">
        <v>-2.5397090000039979E-4</v>
      </c>
      <c r="BM42" s="28">
        <v>-4.6955480000038241E-4</v>
      </c>
      <c r="BN42" s="28">
        <v>-3.8308276666598751E-4</v>
      </c>
      <c r="BO42" s="28">
        <v>-3.6330423333341688E-4</v>
      </c>
      <c r="BP42" s="28">
        <v>0.279374834466667</v>
      </c>
      <c r="BQ42" s="28">
        <v>1.0822373333331529E-4</v>
      </c>
      <c r="BR42" s="28">
        <v>-2.9330423333334688E-4</v>
      </c>
      <c r="BS42" s="28">
        <v>-2.025547999993105E-4</v>
      </c>
      <c r="BT42" s="28">
        <v>-4.8883219999962257E-4</v>
      </c>
      <c r="BU42" s="28">
        <v>2.5289040000031632E-4</v>
      </c>
      <c r="BV42" s="28">
        <v>-5.349886666705661E-5</v>
      </c>
      <c r="BW42" s="28">
        <v>4.028904000003275E-4</v>
      </c>
      <c r="BX42" s="28">
        <v>2.669576666664009E-5</v>
      </c>
      <c r="BY42" s="28">
        <v>2.362237333333253E-4</v>
      </c>
      <c r="BZ42" s="28">
        <v>-4.2916553332994489E-4</v>
      </c>
      <c r="CA42" s="28">
        <v>-5.1442933333700758E-5</v>
      </c>
      <c r="CB42" s="28">
        <v>-1.2416553333299829E-4</v>
      </c>
      <c r="CC42" s="28">
        <v>-3.3810959999969192E-4</v>
      </c>
      <c r="CD42" s="28">
        <v>-3.8283219999996071E-4</v>
      </c>
      <c r="CE42" s="28">
        <v>-3.5236016666667652E-4</v>
      </c>
      <c r="CF42" s="28">
        <v>-1.2877626666674141E-4</v>
      </c>
      <c r="CG42" s="28">
        <v>1.215570666663057E-4</v>
      </c>
      <c r="CH42" s="28">
        <v>1.062237333333549E-4</v>
      </c>
      <c r="CI42" s="28">
        <v>-4.1874943333300441E-4</v>
      </c>
      <c r="CJ42" s="28">
        <v>-7.7637566666344249E-5</v>
      </c>
      <c r="CK42" s="28">
        <v>-3.9902683333367661E-4</v>
      </c>
      <c r="CL42" s="28">
        <v>1.7716779999999571E-4</v>
      </c>
      <c r="CM42" s="28">
        <v>6.9167799999991786E-5</v>
      </c>
      <c r="CN42" s="28">
        <v>1.1877853333364111E-4</v>
      </c>
      <c r="CO42" s="28">
        <v>1.105011333329686E-4</v>
      </c>
      <c r="CP42" s="28">
        <v>-5.109599999664205E-6</v>
      </c>
      <c r="CQ42" s="28">
        <v>4.5044519999959398E-4</v>
      </c>
      <c r="CR42" s="28">
        <v>3.5725056666702232E-4</v>
      </c>
      <c r="CS42" s="28">
        <v>-4.114429333266223E-4</v>
      </c>
      <c r="CT42" s="28">
        <v>-2.9330423333334341E-4</v>
      </c>
      <c r="CU42" s="28">
        <v>4.9669576666666604E-4</v>
      </c>
      <c r="CV42" s="28">
        <v>8.669576666664458E-5</v>
      </c>
      <c r="CW42" s="28">
        <v>3.7383900000020898E-5</v>
      </c>
      <c r="CX42" s="28">
        <v>1.4329812505666699</v>
      </c>
      <c r="CY42" s="28">
        <v>-4.3944293333367251E-4</v>
      </c>
      <c r="CZ42" s="28">
        <v>4.6844519999966749E-4</v>
      </c>
      <c r="DA42" s="28">
        <v>3.9622373333331179E-4</v>
      </c>
      <c r="DB42" s="28">
        <v>-2.8736016666652819E-4</v>
      </c>
      <c r="DC42" s="28">
        <v>-4.460827666669942E-4</v>
      </c>
      <c r="DD42" s="28">
        <v>1.021118666666571E-4</v>
      </c>
      <c r="DE42" s="28">
        <v>8.9111866666713446E-5</v>
      </c>
      <c r="DF42" s="28">
        <v>-5.2304233333355647E-5</v>
      </c>
      <c r="DG42" s="28">
        <v>-3.8776266666679098E-5</v>
      </c>
      <c r="DH42" s="28">
        <v>-2.8510959999966667E-4</v>
      </c>
      <c r="DI42" s="28">
        <v>3.3362433333627983E-5</v>
      </c>
      <c r="DJ42" s="28">
        <v>-3.2110959999967492E-4</v>
      </c>
      <c r="DK42" s="28">
        <v>1.3502909999962839E-4</v>
      </c>
      <c r="DL42" s="28">
        <v>3.6183446666698821E-4</v>
      </c>
      <c r="DM42" s="28">
        <v>7.9557066666291476E-5</v>
      </c>
      <c r="DN42" s="28">
        <v>2.4055706666731291E-4</v>
      </c>
      <c r="DO42" s="28">
        <v>-3.0110959999968268E-4</v>
      </c>
      <c r="DP42" s="28">
        <v>-3.2702683333368793E-4</v>
      </c>
      <c r="DQ42" s="28">
        <v>2.4863983333334172E-4</v>
      </c>
      <c r="DR42" s="28">
        <v>-4.4644293333367951E-4</v>
      </c>
      <c r="DS42" s="28">
        <v>4.2277853333361198E-4</v>
      </c>
      <c r="DT42" s="28">
        <v>0.46317211186666662</v>
      </c>
      <c r="DU42" s="28">
        <v>-3.9655480000033721E-4</v>
      </c>
      <c r="DV42" s="28">
        <v>4.9872260000033419E-4</v>
      </c>
      <c r="DW42" s="28">
        <v>1.7507911063709681E-2</v>
      </c>
      <c r="DX42" s="34">
        <v>2.1709809719000002</v>
      </c>
    </row>
    <row r="43" spans="1:128" x14ac:dyDescent="0.25">
      <c r="A43" s="24">
        <v>42</v>
      </c>
      <c r="B43" s="26">
        <v>20.5</v>
      </c>
      <c r="C43" s="28">
        <v>-6.9388939039072284E-18</v>
      </c>
      <c r="D43" s="28">
        <v>0</v>
      </c>
      <c r="E43" s="28">
        <v>0</v>
      </c>
      <c r="F43" s="28">
        <v>1.5266666666702289E-4</v>
      </c>
      <c r="G43" s="28">
        <v>4.3666666666997138E-5</v>
      </c>
      <c r="H43" s="28">
        <v>-3.9900000000026031E-4</v>
      </c>
      <c r="I43" s="28">
        <v>-4.3166666666971659E-4</v>
      </c>
      <c r="J43" s="28">
        <v>-1.17000000000006E-4</v>
      </c>
      <c r="K43" s="28">
        <v>-1.16000000000005E-4</v>
      </c>
      <c r="L43" s="28">
        <v>-2.2766666666707011E-4</v>
      </c>
      <c r="M43" s="28">
        <v>-3.9733333333299981E-4</v>
      </c>
      <c r="N43" s="28">
        <v>-1.8000000000073509E-5</v>
      </c>
      <c r="O43" s="28">
        <v>-3.5066666666705443E-4</v>
      </c>
      <c r="P43" s="28">
        <v>-4.5633333333305881E-4</v>
      </c>
      <c r="Q43" s="28">
        <v>2.5133333333299262E-4</v>
      </c>
      <c r="R43" s="28">
        <v>3.9333333334001803E-5</v>
      </c>
      <c r="S43" s="28">
        <v>-2.3133333332991951E-4</v>
      </c>
      <c r="T43" s="28">
        <v>2.7633333333298982E-4</v>
      </c>
      <c r="U43" s="28">
        <v>-1.199999999999535E-4</v>
      </c>
      <c r="V43" s="28">
        <v>2.7133333333301263E-4</v>
      </c>
      <c r="W43" s="28">
        <v>-3.8100000000002021E-4</v>
      </c>
      <c r="X43" s="28">
        <v>-4.6400000000000607E-4</v>
      </c>
      <c r="Y43" s="28">
        <v>-4.250000000000087E-4</v>
      </c>
      <c r="Z43" s="28">
        <v>2.390000000000031E-4</v>
      </c>
      <c r="AA43" s="28">
        <v>-2.7699999999999952E-4</v>
      </c>
      <c r="AB43" s="28">
        <v>2.12000000000101E-4</v>
      </c>
      <c r="AC43" s="28">
        <v>-3.7999999999993589E-4</v>
      </c>
      <c r="AD43" s="28">
        <v>1.6533333333330211E-4</v>
      </c>
      <c r="AE43" s="28">
        <v>8.4999999999890719E-5</v>
      </c>
      <c r="AF43" s="28">
        <v>-6.1000000000005487E-5</v>
      </c>
      <c r="AG43" s="28">
        <v>-4.0999999999957737E-5</v>
      </c>
      <c r="AH43" s="28">
        <v>7.7666666666975637E-5</v>
      </c>
      <c r="AI43" s="28">
        <v>2.4866666666700787E-4</v>
      </c>
      <c r="AJ43" s="28">
        <v>3.2600000000004847E-4</v>
      </c>
      <c r="AK43" s="28">
        <v>-3.9599999999995189E-4</v>
      </c>
      <c r="AL43" s="28">
        <v>2.2133333333007599E-4</v>
      </c>
      <c r="AM43" s="28">
        <v>1.8266666666699741E-4</v>
      </c>
      <c r="AN43" s="28">
        <v>2.9599999999999071E-4</v>
      </c>
      <c r="AO43" s="28">
        <v>1.9199999999997E-4</v>
      </c>
      <c r="AP43" s="28">
        <v>0</v>
      </c>
      <c r="AQ43" s="28">
        <v>-2.966666666701645E-4</v>
      </c>
      <c r="AR43" s="28">
        <v>0</v>
      </c>
      <c r="AS43" s="28">
        <v>-3.6066666667022851E-4</v>
      </c>
      <c r="AT43" s="28">
        <v>0</v>
      </c>
      <c r="AU43" s="28">
        <v>0</v>
      </c>
      <c r="AV43" s="28">
        <v>2.8033333333010718E-4</v>
      </c>
      <c r="AW43" s="28">
        <v>3.7266666666702092E-4</v>
      </c>
      <c r="AX43" s="28">
        <v>1.3200000000002099E-4</v>
      </c>
      <c r="AY43" s="28">
        <v>3.4466666666976842E-4</v>
      </c>
      <c r="AZ43" s="28">
        <v>-4.1466666666700741E-4</v>
      </c>
      <c r="BA43" s="28">
        <v>2.0433333333302881E-4</v>
      </c>
      <c r="BB43" s="28">
        <v>1.426666666669851E-4</v>
      </c>
      <c r="BC43" s="28">
        <v>1.9199999999997E-4</v>
      </c>
      <c r="BD43" s="28">
        <v>-2.9400000000001652E-4</v>
      </c>
      <c r="BE43" s="28">
        <v>-2.8866666666704788E-4</v>
      </c>
      <c r="BF43" s="28">
        <v>-3.4866666666610868E-4</v>
      </c>
      <c r="BG43" s="28">
        <v>3.7333333333300361E-4</v>
      </c>
      <c r="BH43" s="28">
        <v>-4.1333333333298811E-4</v>
      </c>
      <c r="BI43" s="28">
        <v>-4.900000000000182E-4</v>
      </c>
      <c r="BJ43" s="28">
        <v>3.3333333333296361E-4</v>
      </c>
      <c r="BK43" s="28">
        <v>-3.0599999999991739E-4</v>
      </c>
      <c r="BL43" s="28">
        <v>-4.7866666666671048E-4</v>
      </c>
      <c r="BM43" s="28">
        <v>3.8766666666700811E-4</v>
      </c>
      <c r="BN43" s="28">
        <v>-4.3533333333301011E-4</v>
      </c>
      <c r="BO43" s="28">
        <v>-1.153333333330231E-4</v>
      </c>
      <c r="BP43" s="28">
        <v>1.8943540000000001</v>
      </c>
      <c r="BQ43" s="28">
        <v>0</v>
      </c>
      <c r="BR43" s="28">
        <v>-3.9400000000000551E-4</v>
      </c>
      <c r="BS43" s="28">
        <v>-4.6833333333407001E-4</v>
      </c>
      <c r="BT43" s="28">
        <v>-4.659999999999942E-4</v>
      </c>
      <c r="BU43" s="28">
        <v>-2.156666666670026E-4</v>
      </c>
      <c r="BV43" s="28">
        <v>9.6666666667022394E-5</v>
      </c>
      <c r="BW43" s="28">
        <v>0</v>
      </c>
      <c r="BX43" s="28">
        <v>3.2000000000000079E-4</v>
      </c>
      <c r="BY43" s="28">
        <v>4.9799999999999844E-4</v>
      </c>
      <c r="BZ43" s="28">
        <v>2.7233333333298582E-4</v>
      </c>
      <c r="CA43" s="28">
        <v>2.6666666666699812E-4</v>
      </c>
      <c r="CB43" s="28">
        <v>-1.5133333333305909E-4</v>
      </c>
      <c r="CC43" s="28">
        <v>-2.276666666670146E-4</v>
      </c>
      <c r="CD43" s="28">
        <v>4.6400000000002001E-4</v>
      </c>
      <c r="CE43" s="28">
        <v>0</v>
      </c>
      <c r="CF43" s="28">
        <v>1.660000000001105E-4</v>
      </c>
      <c r="CG43" s="28">
        <v>9.1666666666989638E-5</v>
      </c>
      <c r="CH43" s="28">
        <v>1.166666666669869E-4</v>
      </c>
      <c r="CI43" s="28">
        <v>0</v>
      </c>
      <c r="CJ43" s="28">
        <v>1.2000000000012E-4</v>
      </c>
      <c r="CK43" s="28">
        <v>4.3333333333299418E-4</v>
      </c>
      <c r="CL43" s="28">
        <v>0</v>
      </c>
      <c r="CM43" s="28">
        <v>4.7166666666598189E-4</v>
      </c>
      <c r="CN43" s="28">
        <v>3.1666666665985943E-5</v>
      </c>
      <c r="CO43" s="28">
        <v>3.0266666666600722E-4</v>
      </c>
      <c r="CP43" s="28">
        <v>-3.9999999999995589E-4</v>
      </c>
      <c r="CQ43" s="28">
        <v>-2.290000000000347E-4</v>
      </c>
      <c r="CR43" s="28">
        <v>-4.196666666669846E-4</v>
      </c>
      <c r="CS43" s="28">
        <v>2.1233333333303681E-4</v>
      </c>
      <c r="CT43" s="28">
        <v>-3.3999999999997921E-4</v>
      </c>
      <c r="CU43" s="28">
        <v>3.7599999999993189E-4</v>
      </c>
      <c r="CV43" s="28">
        <v>3.2833333333304182E-4</v>
      </c>
      <c r="CW43" s="28">
        <v>-1.290666666669549E-4</v>
      </c>
      <c r="CX43" s="28">
        <v>0.57113833333333297</v>
      </c>
      <c r="CY43" s="28">
        <v>-1.536666666659969E-4</v>
      </c>
      <c r="CZ43" s="28">
        <v>-9.3333333332945578E-5</v>
      </c>
      <c r="DA43" s="28">
        <v>3.7033333333302831E-4</v>
      </c>
      <c r="DB43" s="28">
        <v>3.3333333340213041E-6</v>
      </c>
      <c r="DC43" s="28">
        <v>1.3933333333299161E-4</v>
      </c>
      <c r="DD43" s="28">
        <v>6.9388939039072284E-18</v>
      </c>
      <c r="DE43" s="28">
        <v>-1.3266666666700291E-4</v>
      </c>
      <c r="DF43" s="28">
        <v>8.5000000000001741E-5</v>
      </c>
      <c r="DG43" s="28">
        <v>-6.1666666667001269E-5</v>
      </c>
      <c r="DH43" s="28">
        <v>4.9333333333012597E-5</v>
      </c>
      <c r="DI43" s="28">
        <v>-1.0333333333001351E-5</v>
      </c>
      <c r="DJ43" s="28">
        <v>1.0233333333398149E-4</v>
      </c>
      <c r="DK43" s="28">
        <v>4.4866666666987243E-4</v>
      </c>
      <c r="DL43" s="28">
        <v>-3.9666666666704492E-4</v>
      </c>
      <c r="DM43" s="28">
        <v>1.2400000000001299E-4</v>
      </c>
      <c r="DN43" s="28">
        <v>9.0666666666017193E-5</v>
      </c>
      <c r="DO43" s="28">
        <v>-2.1833333333301511E-4</v>
      </c>
      <c r="DP43" s="28">
        <v>4.1733333333331119E-4</v>
      </c>
      <c r="DQ43" s="28">
        <v>3.1266666666696091E-4</v>
      </c>
      <c r="DR43" s="28">
        <v>1.5999999999999351E-4</v>
      </c>
      <c r="DS43" s="28">
        <v>-3.5366666666702962E-4</v>
      </c>
      <c r="DT43" s="28">
        <v>0.50479333333333298</v>
      </c>
      <c r="DU43" s="28">
        <v>-4.4666666666703941E-4</v>
      </c>
      <c r="DV43" s="28">
        <v>3.5366666666659941E-4</v>
      </c>
      <c r="DW43" s="28">
        <v>2.3941241397849391E-2</v>
      </c>
      <c r="DX43" s="34">
        <v>2.9687139333333241</v>
      </c>
    </row>
    <row r="44" spans="1:128" x14ac:dyDescent="0.25">
      <c r="A44" s="24">
        <v>43</v>
      </c>
      <c r="B44" s="26">
        <v>21</v>
      </c>
      <c r="C44" s="28">
        <v>-4.1199999999996789E-4</v>
      </c>
      <c r="D44" s="28">
        <v>1.2400000000001299E-4</v>
      </c>
      <c r="E44" s="28">
        <v>0</v>
      </c>
      <c r="F44" s="28">
        <v>1.8300000000004421E-4</v>
      </c>
      <c r="G44" s="28">
        <v>-1.133333333330211E-4</v>
      </c>
      <c r="H44" s="28">
        <v>-1.1233333333299229E-4</v>
      </c>
      <c r="I44" s="28">
        <v>3.4166666666601841E-4</v>
      </c>
      <c r="J44" s="28">
        <v>-4.656666666670306E-4</v>
      </c>
      <c r="K44" s="28">
        <v>4.2066666666706892E-4</v>
      </c>
      <c r="L44" s="28">
        <v>-1.186666666660452E-4</v>
      </c>
      <c r="M44" s="28">
        <v>-1.970000000000027E-4</v>
      </c>
      <c r="N44" s="28">
        <v>-2.1000000000004351E-4</v>
      </c>
      <c r="O44" s="28">
        <v>-3.999999999999837E-4</v>
      </c>
      <c r="P44" s="28">
        <v>3.8533333333301561E-4</v>
      </c>
      <c r="Q44" s="28">
        <v>-1.116666666660104E-4</v>
      </c>
      <c r="R44" s="28">
        <v>-4.6833333333295979E-4</v>
      </c>
      <c r="S44" s="28">
        <v>-3.1733333333300312E-4</v>
      </c>
      <c r="T44" s="28">
        <v>3.3566666666706713E-4</v>
      </c>
      <c r="U44" s="28">
        <v>1.4566666666693259E-4</v>
      </c>
      <c r="V44" s="28">
        <v>2.3599999999990301E-4</v>
      </c>
      <c r="W44" s="28">
        <v>-2.4433333333295781E-4</v>
      </c>
      <c r="X44" s="28">
        <v>-8.2666666666980637E-5</v>
      </c>
      <c r="Y44" s="28">
        <v>4.9333333333301255E-4</v>
      </c>
      <c r="Z44" s="28">
        <v>1.9000000000019002E-5</v>
      </c>
      <c r="AA44" s="28">
        <v>-3.0299999999999772E-4</v>
      </c>
      <c r="AB44" s="28">
        <v>6.8666666670047505E-5</v>
      </c>
      <c r="AC44" s="28">
        <v>-2.6633333333303533E-4</v>
      </c>
      <c r="AD44" s="28">
        <v>4.0433333333300681E-4</v>
      </c>
      <c r="AE44" s="28">
        <v>2.8766666666701912E-4</v>
      </c>
      <c r="AF44" s="28">
        <v>2.2999999999967491E-5</v>
      </c>
      <c r="AG44" s="28">
        <v>1.173333333340798E-4</v>
      </c>
      <c r="AH44" s="28">
        <v>1.6999999999989249E-5</v>
      </c>
      <c r="AI44" s="28">
        <v>3.0399999999999872E-4</v>
      </c>
      <c r="AJ44" s="28">
        <v>2.9999999999974492E-5</v>
      </c>
      <c r="AK44" s="28">
        <v>-2.5133333333293711E-4</v>
      </c>
      <c r="AL44" s="28">
        <v>-1.3499999999999621E-4</v>
      </c>
      <c r="AM44" s="28">
        <v>-3.4633333333300431E-4</v>
      </c>
      <c r="AN44" s="28">
        <v>-3.6983333333298618E-4</v>
      </c>
      <c r="AO44" s="28">
        <v>-2.8800000000001052E-4</v>
      </c>
      <c r="AP44" s="28">
        <v>-2.4866666666700787E-4</v>
      </c>
      <c r="AQ44" s="28">
        <v>-4.7766666666704261E-4</v>
      </c>
      <c r="AR44" s="28">
        <v>0</v>
      </c>
      <c r="AS44" s="28">
        <v>-2.3433333333011669E-4</v>
      </c>
      <c r="AT44" s="28">
        <v>3.8333333333299968E-4</v>
      </c>
      <c r="AU44" s="28">
        <v>0</v>
      </c>
      <c r="AV44" s="28">
        <v>3.0333333332999152E-4</v>
      </c>
      <c r="AW44" s="28">
        <v>4.7533333333393818E-4</v>
      </c>
      <c r="AX44" s="28">
        <v>4.976666666670071E-4</v>
      </c>
      <c r="AY44" s="28">
        <v>-3.8533333333012898E-4</v>
      </c>
      <c r="AZ44" s="28">
        <v>2.9399999999990539E-4</v>
      </c>
      <c r="BA44" s="28">
        <v>3.0899999999989269E-4</v>
      </c>
      <c r="BB44" s="28">
        <v>4.0700000000004621E-4</v>
      </c>
      <c r="BC44" s="28">
        <v>-1.626666666669774E-4</v>
      </c>
      <c r="BD44" s="28">
        <v>7.9999999999968985E-5</v>
      </c>
      <c r="BE44" s="28">
        <v>4.0299999999993119E-4</v>
      </c>
      <c r="BF44" s="28">
        <v>-3.0066666666983538E-4</v>
      </c>
      <c r="BG44" s="28">
        <v>-1.823333333330068E-4</v>
      </c>
      <c r="BH44" s="28">
        <v>-1.1199999999989001E-4</v>
      </c>
      <c r="BI44" s="28">
        <v>0</v>
      </c>
      <c r="BJ44" s="28">
        <v>3.3333333333301912E-4</v>
      </c>
      <c r="BK44" s="28">
        <v>1.466666666694039E-5</v>
      </c>
      <c r="BL44" s="28">
        <v>2.6933333333298282E-4</v>
      </c>
      <c r="BM44" s="28">
        <v>1.929999999999987E-4</v>
      </c>
      <c r="BN44" s="28">
        <v>6.7333333332975087E-5</v>
      </c>
      <c r="BO44" s="28">
        <v>4.8333333333294698E-4</v>
      </c>
      <c r="BP44" s="28">
        <v>2.5317813333333299</v>
      </c>
      <c r="BQ44" s="28">
        <v>4.760000000000042E-4</v>
      </c>
      <c r="BR44" s="28">
        <v>0</v>
      </c>
      <c r="BS44" s="28">
        <v>0.27616833333333402</v>
      </c>
      <c r="BT44" s="28">
        <v>-7.9333333332987088E-5</v>
      </c>
      <c r="BU44" s="28">
        <v>-3.2633333333298431E-4</v>
      </c>
      <c r="BV44" s="28">
        <v>1.9666666666706689E-4</v>
      </c>
      <c r="BW44" s="28">
        <v>-3.9833333333305632E-4</v>
      </c>
      <c r="BX44" s="28">
        <v>0</v>
      </c>
      <c r="BY44" s="28">
        <v>0</v>
      </c>
      <c r="BZ44" s="28">
        <v>-3.7266666666696541E-4</v>
      </c>
      <c r="CA44" s="28">
        <v>3.4533333333297561E-4</v>
      </c>
      <c r="CB44" s="28">
        <v>1.16000000000005E-4</v>
      </c>
      <c r="CC44" s="28">
        <v>2.4366666666697509E-4</v>
      </c>
      <c r="CD44" s="28">
        <v>1.226666666660492E-4</v>
      </c>
      <c r="CE44" s="28">
        <v>0</v>
      </c>
      <c r="CF44" s="28">
        <v>3.5333333333339989E-4</v>
      </c>
      <c r="CG44" s="28">
        <v>-1.939999999999997E-4</v>
      </c>
      <c r="CH44" s="28">
        <v>1.163333333329963E-4</v>
      </c>
      <c r="CI44" s="28">
        <v>4.6466666666700179E-4</v>
      </c>
      <c r="CJ44" s="28">
        <v>-1.5600000000004499E-4</v>
      </c>
      <c r="CK44" s="28">
        <v>-3.4066666666598971E-4</v>
      </c>
      <c r="CL44" s="28">
        <v>0</v>
      </c>
      <c r="CM44" s="28">
        <v>3.4866666666699691E-4</v>
      </c>
      <c r="CN44" s="28">
        <v>3.4000000000000702E-4</v>
      </c>
      <c r="CO44" s="28">
        <v>-1.7066666666699931E-4</v>
      </c>
      <c r="CP44" s="28">
        <v>-1.7333333333002801E-4</v>
      </c>
      <c r="CQ44" s="28">
        <v>3.4400000000001102E-4</v>
      </c>
      <c r="CR44" s="28">
        <v>2.1033333333297929E-4</v>
      </c>
      <c r="CS44" s="28">
        <v>1.326666666670584E-4</v>
      </c>
      <c r="CT44" s="28">
        <v>0</v>
      </c>
      <c r="CU44" s="28">
        <v>-2.6533333333400583E-4</v>
      </c>
      <c r="CV44" s="28">
        <v>-1.050000000000217E-4</v>
      </c>
      <c r="CW44" s="28">
        <v>-1.4966666666704759E-4</v>
      </c>
      <c r="CX44" s="28">
        <v>0.63262633333333296</v>
      </c>
      <c r="CY44" s="28">
        <v>-1.9966666666704211E-4</v>
      </c>
      <c r="CZ44" s="28">
        <v>2.3200000000001E-4</v>
      </c>
      <c r="DA44" s="28">
        <v>2.5166666666698312E-4</v>
      </c>
      <c r="DB44" s="28">
        <v>-2.0666666667001898E-5</v>
      </c>
      <c r="DC44" s="28">
        <v>2.949999999999342E-4</v>
      </c>
      <c r="DD44" s="28">
        <v>-1.600000000000212E-5</v>
      </c>
      <c r="DE44" s="28">
        <v>3.5600000000002302E-4</v>
      </c>
      <c r="DF44" s="28">
        <v>4.9399999999999444E-4</v>
      </c>
      <c r="DG44" s="28">
        <v>6.2566666670038629E-5</v>
      </c>
      <c r="DH44" s="28">
        <v>1.3333333333975791E-5</v>
      </c>
      <c r="DI44" s="28">
        <v>3.6300000000000221E-4</v>
      </c>
      <c r="DJ44" s="28">
        <v>8.5000000000001741E-5</v>
      </c>
      <c r="DK44" s="28">
        <v>3.4533333333297561E-4</v>
      </c>
      <c r="DL44" s="28">
        <v>-1.4066666666701089E-4</v>
      </c>
      <c r="DM44" s="28">
        <v>1.513333333329481E-4</v>
      </c>
      <c r="DN44" s="28">
        <v>-2.7299999999996771E-4</v>
      </c>
      <c r="DO44" s="28">
        <v>0</v>
      </c>
      <c r="DP44" s="28">
        <v>-4.6666666667027901E-5</v>
      </c>
      <c r="DQ44" s="28">
        <v>0</v>
      </c>
      <c r="DR44" s="28">
        <v>1.1533333333296759E-4</v>
      </c>
      <c r="DS44" s="28">
        <v>2.6399999999998652E-4</v>
      </c>
      <c r="DT44" s="28">
        <v>1.6946383333333299</v>
      </c>
      <c r="DU44" s="28">
        <v>-2.3099999999998119E-4</v>
      </c>
      <c r="DV44" s="28">
        <v>-2.9333333333303457E-4</v>
      </c>
      <c r="DW44" s="28">
        <v>4.1445436021505418E-2</v>
      </c>
      <c r="DX44" s="34">
        <v>5.1392340666666723</v>
      </c>
    </row>
    <row r="45" spans="1:128" x14ac:dyDescent="0.25">
      <c r="A45" s="24">
        <v>44</v>
      </c>
      <c r="B45" s="26">
        <v>21.5</v>
      </c>
      <c r="C45" s="28">
        <v>-2.6800000000000429E-4</v>
      </c>
      <c r="D45" s="28">
        <v>4.720000000000002E-4</v>
      </c>
      <c r="E45" s="28">
        <v>1.702666666670016E-4</v>
      </c>
      <c r="F45" s="28">
        <v>9.3333333340828162E-6</v>
      </c>
      <c r="G45" s="28">
        <v>0</v>
      </c>
      <c r="H45" s="28">
        <v>-9.099999999995223E-5</v>
      </c>
      <c r="I45" s="28">
        <v>-8.933333333399629E-5</v>
      </c>
      <c r="J45" s="28">
        <v>-3.0399999999997101E-4</v>
      </c>
      <c r="K45" s="28">
        <v>1.4066666666701089E-4</v>
      </c>
      <c r="L45" s="28">
        <v>-4.2133333333305162E-4</v>
      </c>
      <c r="M45" s="28">
        <v>-4.3650000000000627E-4</v>
      </c>
      <c r="N45" s="28">
        <v>1.3299999999999421E-4</v>
      </c>
      <c r="O45" s="28">
        <v>2.9533333333298112E-4</v>
      </c>
      <c r="P45" s="28">
        <v>-4.9300000000007671E-4</v>
      </c>
      <c r="Q45" s="28">
        <v>-4.3900000000002271E-4</v>
      </c>
      <c r="R45" s="28">
        <v>4.1666666666706492E-4</v>
      </c>
      <c r="S45" s="28">
        <v>2.6733333333300863E-4</v>
      </c>
      <c r="T45" s="28">
        <v>-2.8633333333294431E-4</v>
      </c>
      <c r="U45" s="28">
        <v>-2.1633333333304081E-4</v>
      </c>
      <c r="V45" s="28">
        <v>4.7799999999997839E-4</v>
      </c>
      <c r="W45" s="28">
        <v>-4.3333333332951092E-5</v>
      </c>
      <c r="X45" s="28">
        <v>-4.6400000000000607E-4</v>
      </c>
      <c r="Y45" s="28">
        <v>-2.8566666666696161E-4</v>
      </c>
      <c r="Z45" s="28">
        <v>0</v>
      </c>
      <c r="AA45" s="28">
        <v>0</v>
      </c>
      <c r="AB45" s="28">
        <v>-2.2266666666703741E-4</v>
      </c>
      <c r="AC45" s="28">
        <v>1.4900000000001021E-4</v>
      </c>
      <c r="AD45" s="28">
        <v>-5.900000000003125E-5</v>
      </c>
      <c r="AE45" s="28">
        <v>-4.4033333333404201E-4</v>
      </c>
      <c r="AF45" s="28">
        <v>0</v>
      </c>
      <c r="AG45" s="28">
        <v>-3.4466666667021251E-4</v>
      </c>
      <c r="AH45" s="28">
        <v>-1.7800000000001151E-4</v>
      </c>
      <c r="AI45" s="28">
        <v>-4.399999999999959E-4</v>
      </c>
      <c r="AJ45" s="28">
        <v>-4.376666666670026E-4</v>
      </c>
      <c r="AK45" s="28">
        <v>-3.0033333333001622E-4</v>
      </c>
      <c r="AL45" s="28">
        <v>2.1000000000048761E-5</v>
      </c>
      <c r="AM45" s="28">
        <v>-4.2800000000009503E-4</v>
      </c>
      <c r="AN45" s="28">
        <v>-2.5433333333302333E-4</v>
      </c>
      <c r="AO45" s="28">
        <v>-4.0666666666699941E-4</v>
      </c>
      <c r="AP45" s="28">
        <v>0</v>
      </c>
      <c r="AQ45" s="28">
        <v>8.5000000000001741E-5</v>
      </c>
      <c r="AR45" s="28">
        <v>-4.0000000000001151E-4</v>
      </c>
      <c r="AS45" s="28">
        <v>4.2000000000097508E-5</v>
      </c>
      <c r="AT45" s="28">
        <v>3.8333333333299968E-4</v>
      </c>
      <c r="AU45" s="28">
        <v>0</v>
      </c>
      <c r="AV45" s="28">
        <v>1.26561066666667</v>
      </c>
      <c r="AW45" s="28">
        <v>1.753333333339713E-4</v>
      </c>
      <c r="AX45" s="28">
        <v>3.3700000000003172E-4</v>
      </c>
      <c r="AY45" s="28">
        <v>-4.1599999999997189E-4</v>
      </c>
      <c r="AZ45" s="28">
        <v>2.8666666666987689E-4</v>
      </c>
      <c r="BA45" s="28">
        <v>8.0000000000635119E-6</v>
      </c>
      <c r="BB45" s="28">
        <v>-4.7733333333305211E-4</v>
      </c>
      <c r="BC45" s="28">
        <v>2.7333333333301463E-4</v>
      </c>
      <c r="BD45" s="28">
        <v>4.0833333333401001E-4</v>
      </c>
      <c r="BE45" s="28">
        <v>1.1433333333304981E-4</v>
      </c>
      <c r="BF45" s="28">
        <v>-6.4333333329891218E-5</v>
      </c>
      <c r="BG45" s="28">
        <v>3.8933333333296399E-4</v>
      </c>
      <c r="BH45" s="28">
        <v>-6.8666666666994391E-5</v>
      </c>
      <c r="BI45" s="28">
        <v>-2.7800000000000052E-4</v>
      </c>
      <c r="BJ45" s="28">
        <v>-3.3333333330221042E-6</v>
      </c>
      <c r="BK45" s="28">
        <v>2.8999999999998471E-4</v>
      </c>
      <c r="BL45" s="28">
        <v>3.9733333333302761E-4</v>
      </c>
      <c r="BM45" s="28">
        <v>1.7200000000006099E-4</v>
      </c>
      <c r="BN45" s="28">
        <v>2.8399999999999259E-4</v>
      </c>
      <c r="BO45" s="28">
        <v>4.6733333333298649E-4</v>
      </c>
      <c r="BP45" s="28">
        <v>1.14769066666667</v>
      </c>
      <c r="BQ45" s="28">
        <v>-3.3333333333299131E-4</v>
      </c>
      <c r="BR45" s="28">
        <v>0</v>
      </c>
      <c r="BS45" s="28">
        <v>0.67125833333333396</v>
      </c>
      <c r="BT45" s="28">
        <v>4.820000000000102E-4</v>
      </c>
      <c r="BU45" s="28">
        <v>-2.7566666666700712E-4</v>
      </c>
      <c r="BV45" s="28">
        <v>-2.7466666666597922E-4</v>
      </c>
      <c r="BW45" s="28">
        <v>-4.770000000000052E-4</v>
      </c>
      <c r="BX45" s="28">
        <v>-3.5999999999999921E-4</v>
      </c>
      <c r="BY45" s="28">
        <v>0</v>
      </c>
      <c r="BZ45" s="28">
        <v>3.2366666666699961E-4</v>
      </c>
      <c r="CA45" s="28">
        <v>-1.4399999999997751E-4</v>
      </c>
      <c r="CB45" s="28">
        <v>4.9466666666703185E-4</v>
      </c>
      <c r="CC45" s="28">
        <v>-1.583333333329828E-4</v>
      </c>
      <c r="CD45" s="28">
        <v>4.9866666666699422E-4</v>
      </c>
      <c r="CE45" s="28">
        <v>-3.3066666666700661E-4</v>
      </c>
      <c r="CF45" s="28">
        <v>5.7666666667011153E-5</v>
      </c>
      <c r="CG45" s="28">
        <v>4.7633333333296779E-4</v>
      </c>
      <c r="CH45" s="28">
        <v>0</v>
      </c>
      <c r="CI45" s="28">
        <v>4.7266666666695428E-4</v>
      </c>
      <c r="CJ45" s="28">
        <v>4.3900000000007822E-4</v>
      </c>
      <c r="CK45" s="28">
        <v>1.2966666666670151E-4</v>
      </c>
      <c r="CL45" s="28">
        <v>0</v>
      </c>
      <c r="CM45" s="28">
        <v>1.0533333333295761E-4</v>
      </c>
      <c r="CN45" s="28">
        <v>2.0833333333292181E-4</v>
      </c>
      <c r="CO45" s="28">
        <v>8.4000000000028496E-5</v>
      </c>
      <c r="CP45" s="28">
        <v>8.8785999999999976E-2</v>
      </c>
      <c r="CQ45" s="28">
        <v>1.5799999999999151E-4</v>
      </c>
      <c r="CR45" s="28">
        <v>4.7066666666695228E-4</v>
      </c>
      <c r="CS45" s="28">
        <v>3.0333333334020551E-5</v>
      </c>
      <c r="CT45" s="28">
        <v>0</v>
      </c>
      <c r="CU45" s="28">
        <v>-1.546666666659702E-4</v>
      </c>
      <c r="CV45" s="28">
        <v>-4.2400000000009102E-4</v>
      </c>
      <c r="CW45" s="28">
        <v>1.199999999995649E-5</v>
      </c>
      <c r="CX45" s="28">
        <v>0.66662533333333296</v>
      </c>
      <c r="CY45" s="28">
        <v>2.9666666666700042E-4</v>
      </c>
      <c r="CZ45" s="28">
        <v>3.3133333333301712E-4</v>
      </c>
      <c r="DA45" s="28">
        <v>3.4066666666687778E-4</v>
      </c>
      <c r="DB45" s="28">
        <v>-2.7033333333303927E-4</v>
      </c>
      <c r="DC45" s="28">
        <v>-4.2999999999998589E-4</v>
      </c>
      <c r="DD45" s="28">
        <v>6.9388939039072284E-18</v>
      </c>
      <c r="DE45" s="28">
        <v>3.7199999999998351E-4</v>
      </c>
      <c r="DF45" s="28">
        <v>-3.3433333333299231E-4</v>
      </c>
      <c r="DG45" s="28">
        <v>-2.5206666667010319E-4</v>
      </c>
      <c r="DH45" s="28">
        <v>-3.7933333333295399E-4</v>
      </c>
      <c r="DI45" s="28">
        <v>1.736666666669606E-4</v>
      </c>
      <c r="DJ45" s="28">
        <v>-1.33333333330321E-5</v>
      </c>
      <c r="DK45" s="28">
        <v>-1.24333333333948E-4</v>
      </c>
      <c r="DL45" s="28">
        <v>-2.8000000000005798E-4</v>
      </c>
      <c r="DM45" s="28">
        <v>-3.6033333333299061E-4</v>
      </c>
      <c r="DN45" s="28">
        <v>-3.8333333333029351E-5</v>
      </c>
      <c r="DO45" s="28">
        <v>-3.5466666666660041E-4</v>
      </c>
      <c r="DP45" s="28">
        <v>4.8933333333300855E-4</v>
      </c>
      <c r="DQ45" s="28">
        <v>4.639999999999922E-4</v>
      </c>
      <c r="DR45" s="28">
        <v>4.616666666670266E-4</v>
      </c>
      <c r="DS45" s="28">
        <v>4.5000000000000601E-4</v>
      </c>
      <c r="DT45" s="28">
        <v>0.88264866666666697</v>
      </c>
      <c r="DU45" s="28">
        <v>1.6233333333293129E-4</v>
      </c>
      <c r="DV45" s="28">
        <v>-3.8466666666614469E-4</v>
      </c>
      <c r="DW45" s="28">
        <v>3.8081121236559247E-2</v>
      </c>
      <c r="DX45" s="34">
        <v>4.7220590333333474</v>
      </c>
    </row>
    <row r="46" spans="1:128" x14ac:dyDescent="0.25">
      <c r="A46" s="24">
        <v>45</v>
      </c>
      <c r="B46" s="26">
        <v>22</v>
      </c>
      <c r="C46" s="28">
        <v>4.0586666666703192E-4</v>
      </c>
      <c r="D46" s="28">
        <v>0</v>
      </c>
      <c r="E46" s="28">
        <v>0</v>
      </c>
      <c r="F46" s="28">
        <v>0</v>
      </c>
      <c r="G46" s="28">
        <v>-4.7999999999992493E-5</v>
      </c>
      <c r="H46" s="28">
        <v>4.916666666670011E-4</v>
      </c>
      <c r="I46" s="28">
        <v>-1.4866666666701889E-4</v>
      </c>
      <c r="J46" s="28">
        <v>-2.7933333333302063E-4</v>
      </c>
      <c r="K46" s="28">
        <v>1.5033333333303031E-4</v>
      </c>
      <c r="L46" s="28">
        <v>-4.1599999999997189E-4</v>
      </c>
      <c r="M46" s="28">
        <v>-4.409999999999969E-4</v>
      </c>
      <c r="N46" s="28">
        <v>4.9333333333301255E-4</v>
      </c>
      <c r="O46" s="28">
        <v>3.816666666659474E-4</v>
      </c>
      <c r="P46" s="28">
        <v>3.2666666667013899E-5</v>
      </c>
      <c r="Q46" s="28">
        <v>7.3000000000003618E-5</v>
      </c>
      <c r="R46" s="28">
        <v>6.6666666598269586E-7</v>
      </c>
      <c r="S46" s="28">
        <v>-1.259999999999595E-4</v>
      </c>
      <c r="T46" s="28">
        <v>3.3666666670040257E-5</v>
      </c>
      <c r="U46" s="28">
        <v>-4.616666666660274E-4</v>
      </c>
      <c r="V46" s="28">
        <v>-3.2633333333298431E-4</v>
      </c>
      <c r="W46" s="28">
        <v>-4.683333333330153E-4</v>
      </c>
      <c r="X46" s="28">
        <v>-8.2666666666980637E-5</v>
      </c>
      <c r="Y46" s="28">
        <v>-4.6666666666700379E-4</v>
      </c>
      <c r="Z46" s="28">
        <v>2.5800000000000822E-4</v>
      </c>
      <c r="AA46" s="28">
        <v>0</v>
      </c>
      <c r="AB46" s="28">
        <v>1.3631356666666701</v>
      </c>
      <c r="AC46" s="28">
        <v>-1.4100000000000221E-4</v>
      </c>
      <c r="AD46" s="28">
        <v>1.7166666666669489E-4</v>
      </c>
      <c r="AE46" s="28">
        <v>-4.5633333333305881E-4</v>
      </c>
      <c r="AF46" s="28">
        <v>-3.8000000000010248E-5</v>
      </c>
      <c r="AG46" s="28">
        <v>4.1333333333004603E-5</v>
      </c>
      <c r="AH46" s="28">
        <v>3.0766666666703912E-4</v>
      </c>
      <c r="AI46" s="28">
        <v>-2.5900000000000922E-4</v>
      </c>
      <c r="AJ46" s="28">
        <v>3.7399999999998551E-4</v>
      </c>
      <c r="AK46" s="28">
        <v>3.8266666666703092E-4</v>
      </c>
      <c r="AL46" s="28">
        <v>3.7433333333303231E-4</v>
      </c>
      <c r="AM46" s="28">
        <v>4.4866666666698579E-4</v>
      </c>
      <c r="AN46" s="28">
        <v>3.956666666669606E-4</v>
      </c>
      <c r="AO46" s="28">
        <v>-3.4533333333330168E-4</v>
      </c>
      <c r="AP46" s="28">
        <v>0</v>
      </c>
      <c r="AQ46" s="28">
        <v>-4.1666666666995138E-5</v>
      </c>
      <c r="AR46" s="28">
        <v>0</v>
      </c>
      <c r="AS46" s="28">
        <v>-3.6333333333304912E-4</v>
      </c>
      <c r="AT46" s="28">
        <v>0</v>
      </c>
      <c r="AU46" s="28">
        <v>-3.6466666666698511E-4</v>
      </c>
      <c r="AV46" s="28">
        <v>0.39623599999999998</v>
      </c>
      <c r="AW46" s="28">
        <v>2.053333333330021E-4</v>
      </c>
      <c r="AX46" s="28">
        <v>-1.433333333400455E-5</v>
      </c>
      <c r="AY46" s="28">
        <v>2.5266666666978738E-4</v>
      </c>
      <c r="AZ46" s="28">
        <v>1.9396833333333301</v>
      </c>
      <c r="BA46" s="28">
        <v>-2.7166666666700312E-4</v>
      </c>
      <c r="BB46" s="28">
        <v>-2.9999999999996701E-4</v>
      </c>
      <c r="BC46" s="28">
        <v>1.7266666666704289E-4</v>
      </c>
      <c r="BD46" s="28">
        <v>2.666666666706341E-5</v>
      </c>
      <c r="BE46" s="28">
        <v>-6.1333333333024598E-5</v>
      </c>
      <c r="BF46" s="28">
        <v>1.6633333333293529E-4</v>
      </c>
      <c r="BG46" s="28">
        <v>2.0333333330180281E-5</v>
      </c>
      <c r="BH46" s="28">
        <v>3.909999999999747E-4</v>
      </c>
      <c r="BI46" s="28">
        <v>0</v>
      </c>
      <c r="BJ46" s="28">
        <v>-2.8866666666693691E-4</v>
      </c>
      <c r="BK46" s="28">
        <v>1.5333333333329699E-4</v>
      </c>
      <c r="BL46" s="28">
        <v>4.1400000000002551E-4</v>
      </c>
      <c r="BM46" s="28">
        <v>2.3066666666669841E-4</v>
      </c>
      <c r="BN46" s="28">
        <v>-8.1999999999998741E-5</v>
      </c>
      <c r="BO46" s="28">
        <v>1.8600000000001951E-4</v>
      </c>
      <c r="BP46" s="28">
        <v>0.33702666666666697</v>
      </c>
      <c r="BQ46" s="28">
        <v>2.5833333333302733E-4</v>
      </c>
      <c r="BR46" s="28">
        <v>-4.049999999999887E-4</v>
      </c>
      <c r="BS46" s="28">
        <v>0.74222333333333401</v>
      </c>
      <c r="BT46" s="28">
        <v>6.7999999999998617E-5</v>
      </c>
      <c r="BU46" s="28">
        <v>3.909999999999747E-4</v>
      </c>
      <c r="BV46" s="28">
        <v>1.506666666669654E-4</v>
      </c>
      <c r="BW46" s="28">
        <v>-1.939999999999997E-4</v>
      </c>
      <c r="BX46" s="28">
        <v>0</v>
      </c>
      <c r="BY46" s="28">
        <v>-3.9133333333302161E-4</v>
      </c>
      <c r="BZ46" s="28">
        <v>-4.243333333329713E-4</v>
      </c>
      <c r="CA46" s="28">
        <v>4.3933333333301411E-4</v>
      </c>
      <c r="CB46" s="28">
        <v>2.013333333329981E-4</v>
      </c>
      <c r="CC46" s="28">
        <v>3.46666666670159E-5</v>
      </c>
      <c r="CD46" s="28">
        <v>4.9866666666699422E-4</v>
      </c>
      <c r="CE46" s="28">
        <v>1.7333333333302561E-4</v>
      </c>
      <c r="CF46" s="28">
        <v>7.4230999999999991E-2</v>
      </c>
      <c r="CG46" s="28">
        <v>-7.3333333332981088E-5</v>
      </c>
      <c r="CH46" s="28">
        <v>-4.0666666666669399E-4</v>
      </c>
      <c r="CI46" s="28">
        <v>-6.0000000000060014E-6</v>
      </c>
      <c r="CJ46" s="28">
        <v>2.6466666666602467E-4</v>
      </c>
      <c r="CK46" s="28">
        <v>2.043333333329872E-4</v>
      </c>
      <c r="CL46" s="28">
        <v>0</v>
      </c>
      <c r="CM46" s="28">
        <v>2.5933333333300062E-4</v>
      </c>
      <c r="CN46" s="28">
        <v>4.5333333333008603E-5</v>
      </c>
      <c r="CO46" s="28">
        <v>0</v>
      </c>
      <c r="CP46" s="28">
        <v>0.25866866666666699</v>
      </c>
      <c r="CQ46" s="28">
        <v>7.2000000000016495E-5</v>
      </c>
      <c r="CR46" s="28">
        <v>-1.966666666669559E-4</v>
      </c>
      <c r="CS46" s="28">
        <v>4.5700000000004071E-4</v>
      </c>
      <c r="CT46" s="28">
        <v>-2.9999999999891221E-6</v>
      </c>
      <c r="CU46" s="28">
        <v>2.7666666665981939E-5</v>
      </c>
      <c r="CV46" s="28">
        <v>-1.136666666659014E-4</v>
      </c>
      <c r="CW46" s="28">
        <v>2.1199999999999E-4</v>
      </c>
      <c r="CX46" s="28">
        <v>0.29594300000000001</v>
      </c>
      <c r="CY46" s="28">
        <v>0</v>
      </c>
      <c r="CZ46" s="28">
        <v>2.7199999999999452E-4</v>
      </c>
      <c r="DA46" s="28">
        <v>-3.5400000000007648E-4</v>
      </c>
      <c r="DB46" s="28">
        <v>2.6033333333297382E-4</v>
      </c>
      <c r="DC46" s="28">
        <v>4.0000000000040004E-6</v>
      </c>
      <c r="DD46" s="28">
        <v>5.4666666666702828E-5</v>
      </c>
      <c r="DE46" s="28">
        <v>3.9999999999984492E-5</v>
      </c>
      <c r="DF46" s="28">
        <v>1.733333333298059E-5</v>
      </c>
      <c r="DG46" s="28">
        <v>0</v>
      </c>
      <c r="DH46" s="28">
        <v>1.086666666670344E-4</v>
      </c>
      <c r="DI46" s="28">
        <v>-3.000000000086267E-6</v>
      </c>
      <c r="DJ46" s="28">
        <v>-7.9333333333014844E-5</v>
      </c>
      <c r="DK46" s="28">
        <v>0.58355799999999991</v>
      </c>
      <c r="DL46" s="28">
        <v>3.4100000000003572E-4</v>
      </c>
      <c r="DM46" s="28">
        <v>9.0000000000006741E-5</v>
      </c>
      <c r="DN46" s="28">
        <v>-1.090000000000257E-4</v>
      </c>
      <c r="DO46" s="28">
        <v>1.789999999999847E-4</v>
      </c>
      <c r="DP46" s="28">
        <v>0</v>
      </c>
      <c r="DQ46" s="28">
        <v>4.0800000000000558E-4</v>
      </c>
      <c r="DR46" s="28">
        <v>-7.0000000000014495E-5</v>
      </c>
      <c r="DS46" s="28">
        <v>6.5333333334027799E-5</v>
      </c>
      <c r="DT46" s="28">
        <v>0.87443666666666697</v>
      </c>
      <c r="DU46" s="28">
        <v>-4.910000000000192E-4</v>
      </c>
      <c r="DV46" s="28">
        <v>5.2331000000000127E-2</v>
      </c>
      <c r="DW46" s="28">
        <v>5.581044247311831E-2</v>
      </c>
      <c r="DX46" s="34">
        <v>6.9204948666666706</v>
      </c>
    </row>
    <row r="47" spans="1:128" x14ac:dyDescent="0.25">
      <c r="A47" s="24">
        <v>46</v>
      </c>
      <c r="B47" s="26">
        <v>22.5</v>
      </c>
      <c r="C47" s="28">
        <v>-2.8999999999990139E-4</v>
      </c>
      <c r="D47" s="28">
        <v>0</v>
      </c>
      <c r="E47" s="28">
        <v>0</v>
      </c>
      <c r="F47" s="28">
        <v>0</v>
      </c>
      <c r="G47" s="28">
        <v>0</v>
      </c>
      <c r="H47" s="28">
        <v>-2.5633333333299762E-4</v>
      </c>
      <c r="I47" s="28">
        <v>2.6666666666702588E-4</v>
      </c>
      <c r="J47" s="28">
        <v>-8.5999999999974985E-5</v>
      </c>
      <c r="K47" s="28">
        <v>3.4999999999951743E-5</v>
      </c>
      <c r="L47" s="28">
        <v>-4.7399999999997439E-4</v>
      </c>
      <c r="M47" s="28">
        <v>-2.5333333333299462E-4</v>
      </c>
      <c r="N47" s="28">
        <v>0</v>
      </c>
      <c r="O47" s="28">
        <v>-1.8666666666700141E-4</v>
      </c>
      <c r="P47" s="28">
        <v>-1.099999999999435E-4</v>
      </c>
      <c r="Q47" s="28">
        <v>-4.9833333333298979E-4</v>
      </c>
      <c r="R47" s="28">
        <v>-4.9699999999996969E-4</v>
      </c>
      <c r="S47" s="28">
        <v>9.933333333300709E-5</v>
      </c>
      <c r="T47" s="28">
        <v>9.3333333330836155E-6</v>
      </c>
      <c r="U47" s="28">
        <v>-3.7166666667021181E-4</v>
      </c>
      <c r="V47" s="28">
        <v>-3.4666666666699491E-4</v>
      </c>
      <c r="W47" s="28">
        <v>1.4099999999998841E-4</v>
      </c>
      <c r="X47" s="28">
        <v>0</v>
      </c>
      <c r="Y47" s="28">
        <v>0</v>
      </c>
      <c r="Z47" s="28">
        <v>0</v>
      </c>
      <c r="AA47" s="28">
        <v>-3.0299999999999772E-4</v>
      </c>
      <c r="AB47" s="28">
        <v>0.75827966666666702</v>
      </c>
      <c r="AC47" s="28">
        <v>-1.316666666659749E-4</v>
      </c>
      <c r="AD47" s="28">
        <v>-3.629999999999467E-4</v>
      </c>
      <c r="AE47" s="28">
        <v>3.7433333333392049E-4</v>
      </c>
      <c r="AF47" s="28">
        <v>0</v>
      </c>
      <c r="AG47" s="28">
        <v>0.50363899999999995</v>
      </c>
      <c r="AH47" s="28">
        <v>-3.0200000000002453E-4</v>
      </c>
      <c r="AI47" s="28">
        <v>1.6033333333287381E-4</v>
      </c>
      <c r="AJ47" s="28">
        <v>-2.6099999999995571E-4</v>
      </c>
      <c r="AK47" s="28">
        <v>-4.8599999999998639E-4</v>
      </c>
      <c r="AL47" s="28">
        <v>0.72793233333333407</v>
      </c>
      <c r="AM47" s="28">
        <v>-1.5166666666699411E-4</v>
      </c>
      <c r="AN47" s="28">
        <v>2.4566666666697712E-4</v>
      </c>
      <c r="AO47" s="28">
        <v>4.7600000000003201E-4</v>
      </c>
      <c r="AP47" s="28">
        <v>0</v>
      </c>
      <c r="AQ47" s="28">
        <v>-2.0199999999992449E-4</v>
      </c>
      <c r="AR47" s="28">
        <v>4.9133333333301055E-4</v>
      </c>
      <c r="AS47" s="28">
        <v>3.5400000000002102E-4</v>
      </c>
      <c r="AT47" s="28">
        <v>3.6500000000000421E-4</v>
      </c>
      <c r="AU47" s="28">
        <v>1.913333333333975E-4</v>
      </c>
      <c r="AV47" s="28">
        <v>0.61279300000000003</v>
      </c>
      <c r="AW47" s="28">
        <v>-2.6399999999981988E-4</v>
      </c>
      <c r="AX47" s="28">
        <v>1.666666667010652E-6</v>
      </c>
      <c r="AY47" s="28">
        <v>3.1599999999976092E-4</v>
      </c>
      <c r="AZ47" s="28">
        <v>0.49304633333333298</v>
      </c>
      <c r="BA47" s="28">
        <v>-3.0900000000000372E-4</v>
      </c>
      <c r="BB47" s="28">
        <v>-3.1133333333299712E-4</v>
      </c>
      <c r="BC47" s="28">
        <v>-3.4694469519536142E-18</v>
      </c>
      <c r="BD47" s="28">
        <v>-1.736666666669606E-4</v>
      </c>
      <c r="BE47" s="28">
        <v>-1.9066666666700541E-4</v>
      </c>
      <c r="BF47" s="28">
        <v>4.9599999999999644E-4</v>
      </c>
      <c r="BG47" s="28">
        <v>3.829999999999667E-4</v>
      </c>
      <c r="BH47" s="28">
        <v>-2.6833333333309278E-4</v>
      </c>
      <c r="BI47" s="28">
        <v>6.2999999999979739E-5</v>
      </c>
      <c r="BJ47" s="28">
        <v>2.1133333333400731E-4</v>
      </c>
      <c r="BK47" s="28">
        <v>4.2766666666693709E-4</v>
      </c>
      <c r="BL47" s="28">
        <v>3.4599999999998521E-4</v>
      </c>
      <c r="BM47" s="28">
        <v>-2.6199999999998452E-4</v>
      </c>
      <c r="BN47" s="28">
        <v>-4.0566666666699841E-4</v>
      </c>
      <c r="BO47" s="28">
        <v>-3.9600000000006302E-4</v>
      </c>
      <c r="BP47" s="28">
        <v>0.54580933333333304</v>
      </c>
      <c r="BQ47" s="28">
        <v>-1.7266666666698741E-4</v>
      </c>
      <c r="BR47" s="28">
        <v>4.399999999999959E-4</v>
      </c>
      <c r="BS47" s="28">
        <v>0.66899966666666599</v>
      </c>
      <c r="BT47" s="28">
        <v>-4.8533333333300449E-4</v>
      </c>
      <c r="BU47" s="28">
        <v>-2.203333333329893E-4</v>
      </c>
      <c r="BV47" s="28">
        <v>1.143333333329943E-4</v>
      </c>
      <c r="BW47" s="28">
        <v>3.1866666666699461E-4</v>
      </c>
      <c r="BX47" s="28">
        <v>-3.5999999999999921E-4</v>
      </c>
      <c r="BY47" s="28">
        <v>-3.2666666666958388E-5</v>
      </c>
      <c r="BZ47" s="28">
        <v>-1.6000000000016001E-5</v>
      </c>
      <c r="CA47" s="28">
        <v>7.6666666667002392E-5</v>
      </c>
      <c r="CB47" s="28">
        <v>-3.2333333333300912E-4</v>
      </c>
      <c r="CC47" s="28">
        <v>3.5399999999996551E-4</v>
      </c>
      <c r="CD47" s="28">
        <v>9.5000000000011742E-5</v>
      </c>
      <c r="CE47" s="28">
        <v>-3.729999999999567E-4</v>
      </c>
      <c r="CF47" s="28">
        <v>0.106624</v>
      </c>
      <c r="CG47" s="28">
        <v>1.500000000000945E-4</v>
      </c>
      <c r="CH47" s="28">
        <v>-2.9999999999999472E-4</v>
      </c>
      <c r="CI47" s="28">
        <v>-2.9466666666669999E-4</v>
      </c>
      <c r="CJ47" s="28">
        <v>-4.4666666666703941E-4</v>
      </c>
      <c r="CK47" s="28">
        <v>0</v>
      </c>
      <c r="CL47" s="28">
        <v>0</v>
      </c>
      <c r="CM47" s="28">
        <v>3.8933333333290848E-4</v>
      </c>
      <c r="CN47" s="28">
        <v>-1.2966666666991419E-4</v>
      </c>
      <c r="CO47" s="28">
        <v>2.013333333329981E-4</v>
      </c>
      <c r="CP47" s="28">
        <v>0.231713</v>
      </c>
      <c r="CQ47" s="28">
        <v>3.9999999999984492E-5</v>
      </c>
      <c r="CR47" s="28">
        <v>2.5866666666701787E-4</v>
      </c>
      <c r="CS47" s="28">
        <v>1.3600000000002499E-4</v>
      </c>
      <c r="CT47" s="28">
        <v>-3.3699999999999009E-4</v>
      </c>
      <c r="CU47" s="28">
        <v>4.9066666666702785E-4</v>
      </c>
      <c r="CV47" s="28">
        <v>-1.1499999999997621E-4</v>
      </c>
      <c r="CW47" s="28">
        <v>1.7500000000014729E-4</v>
      </c>
      <c r="CX47" s="28">
        <v>0.55482799999999999</v>
      </c>
      <c r="CY47" s="28">
        <v>-2.9866666666700242E-4</v>
      </c>
      <c r="CZ47" s="28">
        <v>2.4833333333296181E-4</v>
      </c>
      <c r="DA47" s="28">
        <v>1.4300000000000421E-4</v>
      </c>
      <c r="DB47" s="28">
        <v>-1.16000000000005E-4</v>
      </c>
      <c r="DC47" s="28">
        <v>-3.9666666666698941E-4</v>
      </c>
      <c r="DD47" s="28">
        <v>-7.0666666666996392E-5</v>
      </c>
      <c r="DE47" s="28">
        <v>1.393333333329361E-4</v>
      </c>
      <c r="DF47" s="28">
        <v>0.732250333333333</v>
      </c>
      <c r="DG47" s="28">
        <v>1.183333333329983E-4</v>
      </c>
      <c r="DH47" s="28">
        <v>4.3133333333299217E-4</v>
      </c>
      <c r="DI47" s="28">
        <v>-1.569999999999627E-4</v>
      </c>
      <c r="DJ47" s="28">
        <v>-4.3066666666702341E-4</v>
      </c>
      <c r="DK47" s="28">
        <v>0.61160999999999999</v>
      </c>
      <c r="DL47" s="28">
        <v>0</v>
      </c>
      <c r="DM47" s="28">
        <v>3.9333333333002603E-5</v>
      </c>
      <c r="DN47" s="28">
        <v>4.276666666669926E-4</v>
      </c>
      <c r="DO47" s="28">
        <v>4.0166666666670292E-4</v>
      </c>
      <c r="DP47" s="28">
        <v>1.6666666666997901E-5</v>
      </c>
      <c r="DQ47" s="28">
        <v>-7.7000000000000679E-5</v>
      </c>
      <c r="DR47" s="28">
        <v>4.0666666666699941E-4</v>
      </c>
      <c r="DS47" s="28">
        <v>-4.06666666670219E-5</v>
      </c>
      <c r="DT47" s="28">
        <v>0.170231666666666</v>
      </c>
      <c r="DU47" s="28">
        <v>-3.9400000000000551E-4</v>
      </c>
      <c r="DV47" s="28">
        <v>0.35247366666666702</v>
      </c>
      <c r="DW47" s="28">
        <v>5.6996430107526821E-2</v>
      </c>
      <c r="DX47" s="34">
        <v>7.0675573333333261</v>
      </c>
    </row>
    <row r="48" spans="1:128" x14ac:dyDescent="0.25">
      <c r="A48" s="24">
        <v>47</v>
      </c>
      <c r="B48" s="26">
        <v>23</v>
      </c>
      <c r="C48" s="28">
        <v>3.0733333333299312E-4</v>
      </c>
      <c r="D48" s="28">
        <v>-4.0400000000001551E-4</v>
      </c>
      <c r="E48" s="28">
        <v>0</v>
      </c>
      <c r="F48" s="28">
        <v>0</v>
      </c>
      <c r="G48" s="28">
        <v>0</v>
      </c>
      <c r="H48" s="28">
        <v>3.1333333332994602E-5</v>
      </c>
      <c r="I48" s="28">
        <v>-6.7999999999956984E-5</v>
      </c>
      <c r="J48" s="28">
        <v>-3.7100000000001021E-4</v>
      </c>
      <c r="K48" s="28">
        <v>-1.3233333333301231E-4</v>
      </c>
      <c r="L48" s="28">
        <v>4.786666666670158E-4</v>
      </c>
      <c r="M48" s="28">
        <v>8.5333333333020844E-5</v>
      </c>
      <c r="N48" s="28">
        <v>-2.3999999999999019E-4</v>
      </c>
      <c r="O48" s="28">
        <v>8.8000000000004741E-5</v>
      </c>
      <c r="P48" s="28">
        <v>3.8533333333295999E-4</v>
      </c>
      <c r="Q48" s="28">
        <v>0</v>
      </c>
      <c r="R48" s="28">
        <v>8.4000000000084007E-5</v>
      </c>
      <c r="S48" s="28">
        <v>3.3933333333302512E-4</v>
      </c>
      <c r="T48" s="28">
        <v>3.219999999999335E-4</v>
      </c>
      <c r="U48" s="28">
        <v>-1.4733333333299961E-4</v>
      </c>
      <c r="V48" s="28">
        <v>-2.9200000000000059E-4</v>
      </c>
      <c r="W48" s="28">
        <v>0</v>
      </c>
      <c r="X48" s="28">
        <v>0</v>
      </c>
      <c r="Y48" s="28">
        <v>0</v>
      </c>
      <c r="Z48" s="28">
        <v>-4.3999999999988493E-5</v>
      </c>
      <c r="AA48" s="28">
        <v>-2.7699999999999952E-4</v>
      </c>
      <c r="AB48" s="28">
        <v>2.2277830000000001</v>
      </c>
      <c r="AC48" s="28">
        <v>3.9996666666608499E-4</v>
      </c>
      <c r="AD48" s="28">
        <v>0</v>
      </c>
      <c r="AE48" s="28">
        <v>2.8666666666699042E-4</v>
      </c>
      <c r="AF48" s="28">
        <v>-6.1000000000005487E-5</v>
      </c>
      <c r="AG48" s="28">
        <v>6.0999999999999999E-2</v>
      </c>
      <c r="AH48" s="28">
        <v>-4.009999999999847E-4</v>
      </c>
      <c r="AI48" s="28">
        <v>7.4000000000004618E-5</v>
      </c>
      <c r="AJ48" s="28">
        <v>-2.8333333333302457E-4</v>
      </c>
      <c r="AK48" s="28">
        <v>0.31225233333333302</v>
      </c>
      <c r="AL48" s="28">
        <v>0.18880466666666701</v>
      </c>
      <c r="AM48" s="28">
        <v>4.399999999999959E-4</v>
      </c>
      <c r="AN48" s="28">
        <v>2.6666666666697042E-4</v>
      </c>
      <c r="AO48" s="28">
        <v>-2.8233333333302363E-4</v>
      </c>
      <c r="AP48" s="28">
        <v>0</v>
      </c>
      <c r="AQ48" s="28">
        <v>-2.00000000000089E-4</v>
      </c>
      <c r="AR48" s="28">
        <v>0</v>
      </c>
      <c r="AS48" s="28">
        <v>-4.320000000000157E-4</v>
      </c>
      <c r="AT48" s="28">
        <v>7.999999999999674E-5</v>
      </c>
      <c r="AU48" s="28">
        <v>-4.260000000000097E-4</v>
      </c>
      <c r="AV48" s="28">
        <v>0.406418</v>
      </c>
      <c r="AW48" s="28">
        <v>-1.913333333301015E-4</v>
      </c>
      <c r="AX48" s="28">
        <v>-3.5200000000001902E-4</v>
      </c>
      <c r="AY48" s="28">
        <v>0.84012799999999987</v>
      </c>
      <c r="AZ48" s="28">
        <v>0.37425966666666699</v>
      </c>
      <c r="BA48" s="28">
        <v>4.866666666670239E-4</v>
      </c>
      <c r="BB48" s="28">
        <v>3.0600000000000072E-4</v>
      </c>
      <c r="BC48" s="28">
        <v>-3.4694469519536142E-18</v>
      </c>
      <c r="BD48" s="28">
        <v>1.9333333333329539E-4</v>
      </c>
      <c r="BE48" s="28">
        <v>-4.41999999999998E-4</v>
      </c>
      <c r="BF48" s="28">
        <v>5.9333333332994842E-5</v>
      </c>
      <c r="BG48" s="28">
        <v>4.5066666666698779E-4</v>
      </c>
      <c r="BH48" s="28">
        <v>0</v>
      </c>
      <c r="BI48" s="28">
        <v>-3.4100000000000802E-4</v>
      </c>
      <c r="BJ48" s="28">
        <v>2.0000000000019998E-5</v>
      </c>
      <c r="BK48" s="28">
        <v>-8.0366666666997766E-5</v>
      </c>
      <c r="BL48" s="28">
        <v>-4.533333333330003E-4</v>
      </c>
      <c r="BM48" s="28">
        <v>-1.789999999999847E-4</v>
      </c>
      <c r="BN48" s="28">
        <v>0</v>
      </c>
      <c r="BO48" s="28">
        <v>-1.3633333333298861E-4</v>
      </c>
      <c r="BP48" s="28">
        <v>0.34061533333333299</v>
      </c>
      <c r="BQ48" s="28">
        <v>4.3700000000002071E-4</v>
      </c>
      <c r="BR48" s="28">
        <v>3.8000000000001921E-4</v>
      </c>
      <c r="BS48" s="28">
        <v>0.34821466666666701</v>
      </c>
      <c r="BT48" s="28">
        <v>-1.799999999999857E-4</v>
      </c>
      <c r="BU48" s="28">
        <v>-4.8333333332983841E-5</v>
      </c>
      <c r="BV48" s="28">
        <v>2.543333333339115E-4</v>
      </c>
      <c r="BW48" s="28">
        <v>0</v>
      </c>
      <c r="BX48" s="28">
        <v>0</v>
      </c>
      <c r="BY48" s="28">
        <v>-1.5333333333300561E-4</v>
      </c>
      <c r="BZ48" s="28">
        <v>-4.4933333333302411E-4</v>
      </c>
      <c r="CA48" s="28">
        <v>0</v>
      </c>
      <c r="CB48" s="28">
        <v>-1.7266666666670291E-4</v>
      </c>
      <c r="CC48" s="28">
        <v>2.1200000000000391E-4</v>
      </c>
      <c r="CD48" s="28">
        <v>-1.6133333333001602E-5</v>
      </c>
      <c r="CE48" s="28">
        <v>2.30000000000008E-4</v>
      </c>
      <c r="CF48" s="28">
        <v>0.2243</v>
      </c>
      <c r="CG48" s="28">
        <v>-1.6199999999999551E-4</v>
      </c>
      <c r="CH48" s="28">
        <v>0</v>
      </c>
      <c r="CI48" s="28">
        <v>-1.366666666696714E-5</v>
      </c>
      <c r="CJ48" s="28">
        <v>2.306666666669899E-4</v>
      </c>
      <c r="CK48" s="28">
        <v>0</v>
      </c>
      <c r="CL48" s="28">
        <v>0</v>
      </c>
      <c r="CM48" s="28">
        <v>3.3700000000003172E-4</v>
      </c>
      <c r="CN48" s="28">
        <v>-6.0000000000004487E-5</v>
      </c>
      <c r="CO48" s="28">
        <v>-8.9333333333295462E-5</v>
      </c>
      <c r="CP48" s="28">
        <v>0.52397333333333296</v>
      </c>
      <c r="CQ48" s="28">
        <v>-3.0666666666701042E-4</v>
      </c>
      <c r="CR48" s="28">
        <v>-2.5666666666701587E-4</v>
      </c>
      <c r="CS48" s="28">
        <v>-9.9999999999988987E-5</v>
      </c>
      <c r="CT48" s="28">
        <v>4.6666666666694828E-4</v>
      </c>
      <c r="CU48" s="28">
        <v>4.5000000000000601E-4</v>
      </c>
      <c r="CV48" s="28">
        <v>2.2699999999997719E-4</v>
      </c>
      <c r="CW48" s="28">
        <v>-8.7999999999997802E-5</v>
      </c>
      <c r="CX48" s="28">
        <v>0.197118666666667</v>
      </c>
      <c r="CY48" s="28">
        <v>4.3333333333006603E-5</v>
      </c>
      <c r="CZ48" s="28">
        <v>1.7899999999992919E-4</v>
      </c>
      <c r="DA48" s="28">
        <v>7.0000000000014495E-5</v>
      </c>
      <c r="DB48" s="28">
        <v>4.5333333333302811E-4</v>
      </c>
      <c r="DC48" s="28">
        <v>5.7333333333020597E-5</v>
      </c>
      <c r="DD48" s="28">
        <v>3.8266666666671167E-4</v>
      </c>
      <c r="DE48" s="28">
        <v>2.166666666669759E-4</v>
      </c>
      <c r="DF48" s="28">
        <v>0.33056200000000002</v>
      </c>
      <c r="DG48" s="28">
        <v>-4.5499999999999707E-4</v>
      </c>
      <c r="DH48" s="28">
        <v>2.3200000000001E-4</v>
      </c>
      <c r="DI48" s="28">
        <v>4.8099999999995369E-4</v>
      </c>
      <c r="DJ48" s="28">
        <v>-1.4266666666701289E-4</v>
      </c>
      <c r="DK48" s="28">
        <v>0.33025933333333302</v>
      </c>
      <c r="DL48" s="28">
        <v>-1.666666666670924E-4</v>
      </c>
      <c r="DM48" s="28">
        <v>3.7333333333300361E-4</v>
      </c>
      <c r="DN48" s="28">
        <v>3.3133333333296161E-4</v>
      </c>
      <c r="DO48" s="28">
        <v>2.5866666666701787E-4</v>
      </c>
      <c r="DP48" s="28">
        <v>4.2600000000010679E-4</v>
      </c>
      <c r="DQ48" s="28">
        <v>4.870000000000152E-4</v>
      </c>
      <c r="DR48" s="28">
        <v>0</v>
      </c>
      <c r="DS48" s="28">
        <v>-1.5300000000001421E-4</v>
      </c>
      <c r="DT48" s="28">
        <v>5.1999999999999998E-2</v>
      </c>
      <c r="DU48" s="28">
        <v>3.5399999999996551E-4</v>
      </c>
      <c r="DV48" s="28">
        <v>0.48569333333333398</v>
      </c>
      <c r="DW48" s="28">
        <v>5.8442638172043052E-2</v>
      </c>
      <c r="DX48" s="34">
        <v>7.2468871333333382</v>
      </c>
    </row>
    <row r="49" spans="1:128" x14ac:dyDescent="0.25">
      <c r="A49" s="25">
        <v>48</v>
      </c>
      <c r="B49" s="27">
        <v>23.5</v>
      </c>
      <c r="C49" s="29">
        <v>4.4666666666914878E-5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  <c r="I49" s="29">
        <v>4.7666666666698609E-4</v>
      </c>
      <c r="J49" s="29">
        <v>-2.7299999999989832E-4</v>
      </c>
      <c r="K49" s="29">
        <v>-2.9400000000001652E-4</v>
      </c>
      <c r="L49" s="29">
        <v>-3.9466666666698741E-4</v>
      </c>
      <c r="M49" s="29">
        <v>-3.4000000000000702E-4</v>
      </c>
      <c r="N49" s="29">
        <v>-3.866666666667018E-4</v>
      </c>
      <c r="O49" s="29">
        <v>-4.5933333333299242E-4</v>
      </c>
      <c r="P49" s="29">
        <v>-6.9388939039072284E-18</v>
      </c>
      <c r="Q49" s="29">
        <v>-4.6466666666700179E-4</v>
      </c>
      <c r="R49" s="29">
        <v>2.6999999999999252E-4</v>
      </c>
      <c r="S49" s="29">
        <v>-3.9733333333299981E-4</v>
      </c>
      <c r="T49" s="29">
        <v>0.30006766666666712</v>
      </c>
      <c r="U49" s="29">
        <v>3.6666666666698711E-4</v>
      </c>
      <c r="V49" s="29">
        <v>-3.1399999999998102E-4</v>
      </c>
      <c r="W49" s="29">
        <v>1.7366666666700231E-4</v>
      </c>
      <c r="X49" s="29">
        <v>-8.2666666666980637E-5</v>
      </c>
      <c r="Y49" s="29">
        <v>-4.6666666666700379E-4</v>
      </c>
      <c r="Z49" s="29">
        <v>3.0199999999999672E-4</v>
      </c>
      <c r="AA49" s="29">
        <v>0</v>
      </c>
      <c r="AB49" s="29">
        <v>0.21694833333333399</v>
      </c>
      <c r="AC49" s="29">
        <v>-3.9666666666659378E-4</v>
      </c>
      <c r="AD49" s="29">
        <v>-1.3833333333301831E-4</v>
      </c>
      <c r="AE49" s="29">
        <v>0</v>
      </c>
      <c r="AF49" s="29">
        <v>2.2999999999967491E-5</v>
      </c>
      <c r="AG49" s="29">
        <v>0.16529533333333299</v>
      </c>
      <c r="AH49" s="29">
        <v>-2.666666666595319E-5</v>
      </c>
      <c r="AI49" s="29">
        <v>4.156666666669806E-4</v>
      </c>
      <c r="AJ49" s="29">
        <v>2.9833333333301182E-4</v>
      </c>
      <c r="AK49" s="29">
        <v>4.8000000000000001E-2</v>
      </c>
      <c r="AL49" s="29">
        <v>4.4999999999999998E-2</v>
      </c>
      <c r="AM49" s="29">
        <v>-2.3333333329933481E-6</v>
      </c>
      <c r="AN49" s="29">
        <v>9.666666667018653E-6</v>
      </c>
      <c r="AO49" s="29">
        <v>-1.7999999999997182E-5</v>
      </c>
      <c r="AP49" s="29">
        <v>0</v>
      </c>
      <c r="AQ49" s="29">
        <v>-8.9333333332941578E-5</v>
      </c>
      <c r="AR49" s="29">
        <v>0</v>
      </c>
      <c r="AS49" s="29">
        <v>0</v>
      </c>
      <c r="AT49" s="29">
        <v>-2.200000000000257E-4</v>
      </c>
      <c r="AU49" s="29">
        <v>2.5266666666701187E-4</v>
      </c>
      <c r="AV49" s="29">
        <v>0.44712333333333298</v>
      </c>
      <c r="AW49" s="29">
        <v>-2.9699999999999172E-4</v>
      </c>
      <c r="AX49" s="29">
        <v>3.4666666666699491E-4</v>
      </c>
      <c r="AY49" s="29">
        <v>0.54701066666666698</v>
      </c>
      <c r="AZ49" s="29">
        <v>0.27930766666666701</v>
      </c>
      <c r="BA49" s="29">
        <v>2.4366666666697509E-4</v>
      </c>
      <c r="BB49" s="29">
        <v>-3.7333333333300361E-4</v>
      </c>
      <c r="BC49" s="29">
        <v>-3.4694469519536142E-18</v>
      </c>
      <c r="BD49" s="29">
        <v>5.8258333333333003E-2</v>
      </c>
      <c r="BE49" s="29">
        <v>6.0000000000060014E-6</v>
      </c>
      <c r="BF49" s="29">
        <v>1.03999999999993E-4</v>
      </c>
      <c r="BG49" s="29">
        <v>-3.6766666666698811E-4</v>
      </c>
      <c r="BH49" s="29">
        <v>0</v>
      </c>
      <c r="BI49" s="29">
        <v>0</v>
      </c>
      <c r="BJ49" s="29">
        <v>-2.9733333333298312E-4</v>
      </c>
      <c r="BK49" s="29">
        <v>2.9999999999996701E-4</v>
      </c>
      <c r="BL49" s="29">
        <v>0</v>
      </c>
      <c r="BM49" s="29">
        <v>2.6900000000000529E-4</v>
      </c>
      <c r="BN49" s="29">
        <v>1.7966666666700831E-4</v>
      </c>
      <c r="BO49" s="29">
        <v>-1.5033333333340501E-4</v>
      </c>
      <c r="BP49" s="29">
        <v>0.31285800000000002</v>
      </c>
      <c r="BQ49" s="29">
        <v>-2.7233333333298582E-4</v>
      </c>
      <c r="BR49" s="29">
        <v>3.436666666669641E-4</v>
      </c>
      <c r="BS49" s="29">
        <v>0.23638000000000001</v>
      </c>
      <c r="BT49" s="29">
        <v>-4.8533333333300449E-4</v>
      </c>
      <c r="BU49" s="29">
        <v>7.3333333340253049E-6</v>
      </c>
      <c r="BV49" s="29">
        <v>-2.4966666666703658E-4</v>
      </c>
      <c r="BW49" s="29">
        <v>-1.8833333333299901E-4</v>
      </c>
      <c r="BX49" s="29">
        <v>0</v>
      </c>
      <c r="BY49" s="29">
        <v>4.4299999999997119E-4</v>
      </c>
      <c r="BZ49" s="29">
        <v>-6.9388939039072284E-18</v>
      </c>
      <c r="CA49" s="29">
        <v>0</v>
      </c>
      <c r="CB49" s="29">
        <v>4.2233333333299711E-4</v>
      </c>
      <c r="CC49" s="29">
        <v>0</v>
      </c>
      <c r="CD49" s="29">
        <v>4.7266666666989643E-5</v>
      </c>
      <c r="CE49" s="29">
        <v>-1.2033333333340281E-4</v>
      </c>
      <c r="CF49" s="29">
        <v>0.112259333333333</v>
      </c>
      <c r="CG49" s="29">
        <v>0</v>
      </c>
      <c r="CH49" s="29">
        <v>0</v>
      </c>
      <c r="CI49" s="29">
        <v>2.2933333333302611E-4</v>
      </c>
      <c r="CJ49" s="29">
        <v>3.3333333333301907E-5</v>
      </c>
      <c r="CK49" s="29">
        <v>-4.920000000000202E-4</v>
      </c>
      <c r="CL49" s="29">
        <v>0</v>
      </c>
      <c r="CM49" s="29">
        <v>1.5733333333300961E-4</v>
      </c>
      <c r="CN49" s="29">
        <v>0</v>
      </c>
      <c r="CO49" s="29">
        <v>2.246666666660124E-4</v>
      </c>
      <c r="CP49" s="29">
        <v>0.3624</v>
      </c>
      <c r="CQ49" s="29">
        <v>0</v>
      </c>
      <c r="CR49" s="29">
        <v>7.08000000000375E-5</v>
      </c>
      <c r="CS49" s="29">
        <v>2.3552000000000021E-2</v>
      </c>
      <c r="CT49" s="29">
        <v>3.883333333329908E-4</v>
      </c>
      <c r="CU49" s="29">
        <v>-2.0400000000003751E-4</v>
      </c>
      <c r="CV49" s="29">
        <v>-1.01999999999991E-4</v>
      </c>
      <c r="CW49" s="29">
        <v>1.1999999999998121E-4</v>
      </c>
      <c r="CX49" s="29">
        <v>0.49606499999999998</v>
      </c>
      <c r="CY49" s="29">
        <v>-1.05999999999995E-4</v>
      </c>
      <c r="CZ49" s="29">
        <v>1.954800000000001E-2</v>
      </c>
      <c r="DA49" s="29">
        <v>0</v>
      </c>
      <c r="DB49" s="29">
        <v>1.6166666666700411E-4</v>
      </c>
      <c r="DC49" s="29">
        <v>2.3066666666704541E-4</v>
      </c>
      <c r="DD49" s="29">
        <v>-3.9866666666669992E-4</v>
      </c>
      <c r="DE49" s="29">
        <v>-1.03999999999993E-4</v>
      </c>
      <c r="DF49" s="29">
        <v>0.20556666666666701</v>
      </c>
      <c r="DG49" s="29">
        <v>0</v>
      </c>
      <c r="DH49" s="29">
        <v>-8.5333333333305339E-5</v>
      </c>
      <c r="DI49" s="29">
        <v>6.6333333333057354E-5</v>
      </c>
      <c r="DJ49" s="29">
        <v>-2.05999999999984E-4</v>
      </c>
      <c r="DK49" s="29">
        <v>0.70146533333333405</v>
      </c>
      <c r="DL49" s="29">
        <v>-9.3333333329725932E-6</v>
      </c>
      <c r="DM49" s="29">
        <v>-2.7799999999998659E-4</v>
      </c>
      <c r="DN49" s="29">
        <v>6.1666666666959635E-5</v>
      </c>
      <c r="DO49" s="29">
        <v>-3.2666666666986137E-5</v>
      </c>
      <c r="DP49" s="29">
        <v>1.3133333333301131E-4</v>
      </c>
      <c r="DQ49" s="29">
        <v>0</v>
      </c>
      <c r="DR49" s="29">
        <v>2.146666666669739E-4</v>
      </c>
      <c r="DS49" s="29">
        <v>2.8466666666668311E-4</v>
      </c>
      <c r="DT49" s="29">
        <v>0.205750666666667</v>
      </c>
      <c r="DU49" s="29">
        <v>-6.6666666666992391E-5</v>
      </c>
      <c r="DV49" s="29">
        <v>0.56935199999999997</v>
      </c>
      <c r="DW49" s="29">
        <v>4.3147403763440922E-2</v>
      </c>
      <c r="DX49" s="35">
        <v>5.3502780666666734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25"/>
  <sheetViews>
    <sheetView showGridLines="0" workbookViewId="0"/>
  </sheetViews>
  <sheetFormatPr defaultRowHeight="15" x14ac:dyDescent="0.25"/>
  <cols>
    <col min="1" max="1" width="26" customWidth="1"/>
    <col min="2" max="2" width="16" customWidth="1"/>
    <col min="3" max="3" width="8" customWidth="1"/>
    <col min="4" max="11" width="13" customWidth="1"/>
  </cols>
  <sheetData>
    <row r="1" spans="1:11" ht="30" customHeight="1" x14ac:dyDescent="0.25">
      <c r="A1" s="8" t="s">
        <v>163</v>
      </c>
      <c r="B1" s="21" t="s">
        <v>164</v>
      </c>
      <c r="C1" s="21" t="s">
        <v>165</v>
      </c>
      <c r="D1" s="21" t="s">
        <v>166</v>
      </c>
      <c r="E1" s="21" t="s">
        <v>167</v>
      </c>
      <c r="F1" s="21" t="s">
        <v>168</v>
      </c>
      <c r="G1" s="21" t="s">
        <v>169</v>
      </c>
      <c r="H1" s="21" t="s">
        <v>170</v>
      </c>
      <c r="I1" s="21" t="s">
        <v>171</v>
      </c>
      <c r="J1" s="21" t="s">
        <v>172</v>
      </c>
      <c r="K1" s="9" t="s">
        <v>173</v>
      </c>
    </row>
    <row r="2" spans="1:11" x14ac:dyDescent="0.25">
      <c r="A2" s="10" t="s">
        <v>37</v>
      </c>
      <c r="B2" s="22" t="s">
        <v>174</v>
      </c>
      <c r="C2" s="36">
        <v>2</v>
      </c>
      <c r="D2" s="28">
        <v>3.6</v>
      </c>
      <c r="E2" s="28">
        <v>4.2</v>
      </c>
      <c r="F2" s="28">
        <v>16.149999999999999</v>
      </c>
      <c r="G2" s="28">
        <v>3.62</v>
      </c>
      <c r="H2" s="28">
        <v>11.72</v>
      </c>
      <c r="I2" s="28">
        <v>2E-3</v>
      </c>
      <c r="J2" s="26">
        <v>27.4</v>
      </c>
      <c r="K2" s="17">
        <v>100</v>
      </c>
    </row>
    <row r="3" spans="1:11" x14ac:dyDescent="0.25">
      <c r="A3" s="10" t="s">
        <v>38</v>
      </c>
      <c r="B3" s="22" t="s">
        <v>175</v>
      </c>
      <c r="C3" s="36">
        <v>3</v>
      </c>
      <c r="D3" s="28">
        <v>3.6</v>
      </c>
      <c r="E3" s="28">
        <v>4.2</v>
      </c>
      <c r="F3" s="28">
        <v>20.190000000000001</v>
      </c>
      <c r="G3" s="28">
        <v>3.82</v>
      </c>
      <c r="H3" s="28">
        <v>14.13</v>
      </c>
      <c r="I3" s="28">
        <v>1E-3</v>
      </c>
      <c r="J3" s="26">
        <v>30</v>
      </c>
      <c r="K3" s="17">
        <v>100</v>
      </c>
    </row>
    <row r="4" spans="1:11" x14ac:dyDescent="0.25">
      <c r="A4" s="10" t="s">
        <v>39</v>
      </c>
      <c r="B4" s="22" t="s">
        <v>176</v>
      </c>
      <c r="C4" s="36">
        <v>1</v>
      </c>
      <c r="D4" s="28">
        <v>3.6</v>
      </c>
      <c r="E4" s="28">
        <v>4.2</v>
      </c>
      <c r="F4" s="28">
        <v>20.190000000000001</v>
      </c>
      <c r="G4" s="28">
        <v>1.82</v>
      </c>
      <c r="H4" s="28">
        <v>15.91</v>
      </c>
      <c r="I4" s="28">
        <v>1E-3</v>
      </c>
      <c r="J4" s="26">
        <v>21.2</v>
      </c>
      <c r="K4" s="17">
        <v>100</v>
      </c>
    </row>
    <row r="5" spans="1:11" x14ac:dyDescent="0.25">
      <c r="A5" s="10" t="s">
        <v>40</v>
      </c>
      <c r="B5" s="22" t="s">
        <v>177</v>
      </c>
      <c r="C5" s="36">
        <v>1</v>
      </c>
      <c r="D5" s="28">
        <v>3.6</v>
      </c>
      <c r="E5" s="28">
        <v>4.2</v>
      </c>
      <c r="F5" s="28">
        <v>16.149999999999999</v>
      </c>
      <c r="G5" s="28">
        <v>8.1999999999999993</v>
      </c>
      <c r="H5" s="28">
        <v>6.47</v>
      </c>
      <c r="I5" s="28">
        <v>2E-3</v>
      </c>
      <c r="J5" s="26">
        <v>59.9</v>
      </c>
      <c r="K5" s="17">
        <v>100</v>
      </c>
    </row>
    <row r="6" spans="1:11" x14ac:dyDescent="0.25">
      <c r="A6" s="10" t="s">
        <v>41</v>
      </c>
      <c r="B6" s="22" t="s">
        <v>178</v>
      </c>
      <c r="C6" s="36">
        <v>3</v>
      </c>
      <c r="D6" s="28">
        <v>3.6</v>
      </c>
      <c r="E6" s="28">
        <v>4.2</v>
      </c>
      <c r="F6" s="28">
        <v>32.31</v>
      </c>
      <c r="G6" s="28">
        <v>2.74</v>
      </c>
      <c r="H6" s="28">
        <v>27.78</v>
      </c>
      <c r="I6" s="28">
        <v>1E-3</v>
      </c>
      <c r="J6" s="26">
        <v>14</v>
      </c>
      <c r="K6" s="17">
        <v>100</v>
      </c>
    </row>
    <row r="7" spans="1:11" x14ac:dyDescent="0.25">
      <c r="A7" s="10" t="s">
        <v>42</v>
      </c>
      <c r="B7" s="22" t="s">
        <v>179</v>
      </c>
      <c r="C7" s="36">
        <v>1</v>
      </c>
      <c r="D7" s="28">
        <v>3.6</v>
      </c>
      <c r="E7" s="28">
        <v>4.2</v>
      </c>
      <c r="F7" s="28">
        <v>32.31</v>
      </c>
      <c r="G7" s="28">
        <v>5.33</v>
      </c>
      <c r="H7" s="28">
        <v>26.26</v>
      </c>
      <c r="I7" s="28">
        <v>2E-3</v>
      </c>
      <c r="J7" s="26">
        <v>18.7</v>
      </c>
      <c r="K7" s="17">
        <v>100</v>
      </c>
    </row>
    <row r="8" spans="1:11" x14ac:dyDescent="0.25">
      <c r="A8" s="10" t="s">
        <v>43</v>
      </c>
      <c r="B8" s="22" t="s">
        <v>180</v>
      </c>
      <c r="C8" s="36">
        <v>3</v>
      </c>
      <c r="D8" s="28">
        <v>3.6</v>
      </c>
      <c r="E8" s="28">
        <v>4.2</v>
      </c>
      <c r="F8" s="28">
        <v>32.31</v>
      </c>
      <c r="G8" s="28">
        <v>8.91</v>
      </c>
      <c r="H8" s="28">
        <v>23.89</v>
      </c>
      <c r="I8" s="28">
        <v>2E-3</v>
      </c>
      <c r="J8" s="26">
        <v>26.1</v>
      </c>
      <c r="K8" s="17">
        <v>100</v>
      </c>
    </row>
    <row r="9" spans="1:11" x14ac:dyDescent="0.25">
      <c r="A9" s="10" t="s">
        <v>44</v>
      </c>
      <c r="B9" s="22" t="s">
        <v>181</v>
      </c>
      <c r="C9" s="36">
        <v>2</v>
      </c>
      <c r="D9" s="28">
        <v>3.6</v>
      </c>
      <c r="E9" s="28">
        <v>4.2</v>
      </c>
      <c r="F9" s="28">
        <v>24.23</v>
      </c>
      <c r="G9" s="28">
        <v>6.81</v>
      </c>
      <c r="H9" s="28">
        <v>16.149999999999999</v>
      </c>
      <c r="I9" s="28">
        <v>1E-3</v>
      </c>
      <c r="J9" s="26">
        <v>33.4</v>
      </c>
      <c r="K9" s="17">
        <v>100</v>
      </c>
    </row>
    <row r="10" spans="1:11" x14ac:dyDescent="0.25">
      <c r="A10" s="10" t="s">
        <v>45</v>
      </c>
      <c r="B10" s="22" t="s">
        <v>182</v>
      </c>
      <c r="C10" s="36">
        <v>3</v>
      </c>
      <c r="D10" s="28">
        <v>3.6</v>
      </c>
      <c r="E10" s="28">
        <v>4.2</v>
      </c>
      <c r="F10" s="28">
        <v>16.149999999999999</v>
      </c>
      <c r="G10" s="28">
        <v>6.72</v>
      </c>
      <c r="H10" s="28">
        <v>9.11</v>
      </c>
      <c r="I10" s="28">
        <v>2E-3</v>
      </c>
      <c r="J10" s="26">
        <v>43.6</v>
      </c>
      <c r="K10" s="17">
        <v>100</v>
      </c>
    </row>
    <row r="11" spans="1:11" x14ac:dyDescent="0.25">
      <c r="A11" s="10" t="s">
        <v>46</v>
      </c>
      <c r="B11" s="22" t="s">
        <v>183</v>
      </c>
      <c r="C11" s="36">
        <v>2</v>
      </c>
      <c r="D11" s="28">
        <v>3.6</v>
      </c>
      <c r="E11" s="28">
        <v>4.2</v>
      </c>
      <c r="F11" s="28">
        <v>24.23</v>
      </c>
      <c r="G11" s="28">
        <v>7.17</v>
      </c>
      <c r="H11" s="28">
        <v>17.16</v>
      </c>
      <c r="I11" s="28">
        <v>1E-3</v>
      </c>
      <c r="J11" s="26">
        <v>29.2</v>
      </c>
      <c r="K11" s="17">
        <v>100</v>
      </c>
    </row>
    <row r="12" spans="1:11" x14ac:dyDescent="0.25">
      <c r="A12" s="10" t="s">
        <v>47</v>
      </c>
      <c r="B12" s="22" t="s">
        <v>184</v>
      </c>
      <c r="C12" s="36">
        <v>2</v>
      </c>
      <c r="D12" s="28">
        <v>3.6</v>
      </c>
      <c r="E12" s="28">
        <v>4.2</v>
      </c>
      <c r="F12" s="28">
        <v>32.31</v>
      </c>
      <c r="G12" s="28">
        <v>3.04</v>
      </c>
      <c r="H12" s="28">
        <v>27.45</v>
      </c>
      <c r="I12" s="28">
        <v>1E-3</v>
      </c>
      <c r="J12" s="26">
        <v>15</v>
      </c>
      <c r="K12" s="17">
        <v>100</v>
      </c>
    </row>
    <row r="13" spans="1:11" x14ac:dyDescent="0.25">
      <c r="A13" s="10" t="s">
        <v>48</v>
      </c>
      <c r="B13" s="22" t="s">
        <v>185</v>
      </c>
      <c r="C13" s="36">
        <v>1</v>
      </c>
      <c r="D13" s="28">
        <v>3.6</v>
      </c>
      <c r="E13" s="28">
        <v>4.2</v>
      </c>
      <c r="F13" s="28">
        <v>32.31</v>
      </c>
      <c r="G13" s="28">
        <v>8.31</v>
      </c>
      <c r="H13" s="28">
        <v>24.08</v>
      </c>
      <c r="I13" s="28">
        <v>1E-3</v>
      </c>
      <c r="J13" s="26">
        <v>25.5</v>
      </c>
      <c r="K13" s="17">
        <v>100</v>
      </c>
    </row>
    <row r="14" spans="1:11" x14ac:dyDescent="0.25">
      <c r="A14" s="10" t="s">
        <v>49</v>
      </c>
      <c r="B14" s="22" t="s">
        <v>186</v>
      </c>
      <c r="C14" s="36">
        <v>1</v>
      </c>
      <c r="D14" s="28">
        <v>3.6</v>
      </c>
      <c r="E14" s="28">
        <v>4.2</v>
      </c>
      <c r="F14" s="28">
        <v>32.31</v>
      </c>
      <c r="G14" s="28">
        <v>8.7200000000000006</v>
      </c>
      <c r="H14" s="28">
        <v>22.52</v>
      </c>
      <c r="I14" s="28">
        <v>0.23400000000000001</v>
      </c>
      <c r="J14" s="26">
        <v>30.3</v>
      </c>
      <c r="K14" s="17">
        <v>97.3</v>
      </c>
    </row>
    <row r="15" spans="1:11" x14ac:dyDescent="0.25">
      <c r="A15" s="10" t="s">
        <v>50</v>
      </c>
      <c r="B15" s="22" t="s">
        <v>187</v>
      </c>
      <c r="C15" s="36">
        <v>2</v>
      </c>
      <c r="D15" s="28">
        <v>3.6</v>
      </c>
      <c r="E15" s="28">
        <v>4.2</v>
      </c>
      <c r="F15" s="28">
        <v>28.27</v>
      </c>
      <c r="G15" s="28">
        <v>6.31</v>
      </c>
      <c r="H15" s="28">
        <v>21.59</v>
      </c>
      <c r="I15" s="28">
        <v>1E-3</v>
      </c>
      <c r="J15" s="26">
        <v>23.6</v>
      </c>
      <c r="K15" s="17">
        <v>100</v>
      </c>
    </row>
    <row r="16" spans="1:11" x14ac:dyDescent="0.25">
      <c r="A16" s="10" t="s">
        <v>51</v>
      </c>
      <c r="B16" s="22" t="s">
        <v>188</v>
      </c>
      <c r="C16" s="36">
        <v>1</v>
      </c>
      <c r="D16" s="28">
        <v>3.6</v>
      </c>
      <c r="E16" s="28">
        <v>4.2</v>
      </c>
      <c r="F16" s="28">
        <v>16.149999999999999</v>
      </c>
      <c r="G16" s="28">
        <v>8.1</v>
      </c>
      <c r="H16" s="28">
        <v>6.45</v>
      </c>
      <c r="I16" s="28">
        <v>2E-3</v>
      </c>
      <c r="J16" s="26">
        <v>60.1</v>
      </c>
      <c r="K16" s="17">
        <v>100</v>
      </c>
    </row>
    <row r="17" spans="1:11" x14ac:dyDescent="0.25">
      <c r="A17" s="10" t="s">
        <v>52</v>
      </c>
      <c r="B17" s="22" t="s">
        <v>189</v>
      </c>
      <c r="C17" s="36">
        <v>2</v>
      </c>
      <c r="D17" s="28">
        <v>3.6</v>
      </c>
      <c r="E17" s="28">
        <v>4.2</v>
      </c>
      <c r="F17" s="28">
        <v>12.11</v>
      </c>
      <c r="G17" s="28">
        <v>12.11</v>
      </c>
      <c r="H17" s="28">
        <v>0.32</v>
      </c>
      <c r="I17" s="28">
        <v>0.53500000000000003</v>
      </c>
      <c r="J17" s="26">
        <v>97.4</v>
      </c>
      <c r="K17" s="17">
        <v>95.6</v>
      </c>
    </row>
    <row r="18" spans="1:11" x14ac:dyDescent="0.25">
      <c r="A18" s="10" t="s">
        <v>53</v>
      </c>
      <c r="B18" s="22" t="s">
        <v>190</v>
      </c>
      <c r="C18" s="36">
        <v>3</v>
      </c>
      <c r="D18" s="28">
        <v>3.6</v>
      </c>
      <c r="E18" s="28">
        <v>4.2</v>
      </c>
      <c r="F18" s="28">
        <v>16.149999999999999</v>
      </c>
      <c r="G18" s="28">
        <v>9.15</v>
      </c>
      <c r="H18" s="28">
        <v>8.7100000000000009</v>
      </c>
      <c r="I18" s="28">
        <v>1.462</v>
      </c>
      <c r="J18" s="26">
        <v>46.1</v>
      </c>
      <c r="K18" s="17">
        <v>84</v>
      </c>
    </row>
    <row r="19" spans="1:11" x14ac:dyDescent="0.25">
      <c r="A19" s="10" t="s">
        <v>54</v>
      </c>
      <c r="B19" s="22" t="s">
        <v>191</v>
      </c>
      <c r="C19" s="36">
        <v>1</v>
      </c>
      <c r="D19" s="28">
        <v>3.6</v>
      </c>
      <c r="E19" s="28">
        <v>4.2</v>
      </c>
      <c r="F19" s="28">
        <v>8.08</v>
      </c>
      <c r="G19" s="28">
        <v>8.85</v>
      </c>
      <c r="H19" s="28">
        <v>0.16</v>
      </c>
      <c r="I19" s="28">
        <v>0.152</v>
      </c>
      <c r="J19" s="26">
        <v>98</v>
      </c>
      <c r="K19" s="17">
        <v>98.3</v>
      </c>
    </row>
    <row r="20" spans="1:11" x14ac:dyDescent="0.25">
      <c r="A20" s="10" t="s">
        <v>55</v>
      </c>
      <c r="B20" s="22" t="s">
        <v>192</v>
      </c>
      <c r="C20" s="36">
        <v>1</v>
      </c>
      <c r="D20" s="28">
        <v>3.6</v>
      </c>
      <c r="E20" s="28">
        <v>4.2</v>
      </c>
      <c r="F20" s="28">
        <v>32.31</v>
      </c>
      <c r="G20" s="28">
        <v>9.09</v>
      </c>
      <c r="H20" s="28">
        <v>23.65</v>
      </c>
      <c r="I20" s="28">
        <v>1E-3</v>
      </c>
      <c r="J20" s="26">
        <v>26.8</v>
      </c>
      <c r="K20" s="17">
        <v>100</v>
      </c>
    </row>
    <row r="21" spans="1:11" x14ac:dyDescent="0.25">
      <c r="A21" s="10" t="s">
        <v>56</v>
      </c>
      <c r="B21" s="22" t="s">
        <v>193</v>
      </c>
      <c r="C21" s="36">
        <v>3</v>
      </c>
      <c r="D21" s="28">
        <v>3.6</v>
      </c>
      <c r="E21" s="28">
        <v>4.2</v>
      </c>
      <c r="F21" s="28">
        <v>32.31</v>
      </c>
      <c r="G21" s="28">
        <v>6.91</v>
      </c>
      <c r="H21" s="28">
        <v>25.03</v>
      </c>
      <c r="I21" s="28">
        <v>2E-3</v>
      </c>
      <c r="J21" s="26">
        <v>22.5</v>
      </c>
      <c r="K21" s="17">
        <v>100</v>
      </c>
    </row>
    <row r="22" spans="1:11" x14ac:dyDescent="0.25">
      <c r="A22" s="10" t="s">
        <v>57</v>
      </c>
      <c r="B22" s="22" t="s">
        <v>194</v>
      </c>
      <c r="C22" s="36">
        <v>1</v>
      </c>
      <c r="D22" s="28">
        <v>3.6</v>
      </c>
      <c r="E22" s="28">
        <v>4.2</v>
      </c>
      <c r="F22" s="28">
        <v>16.149999999999999</v>
      </c>
      <c r="G22" s="28">
        <v>7.69</v>
      </c>
      <c r="H22" s="28">
        <v>7.06</v>
      </c>
      <c r="I22" s="28">
        <v>2E-3</v>
      </c>
      <c r="J22" s="26">
        <v>56.3</v>
      </c>
      <c r="K22" s="17">
        <v>100</v>
      </c>
    </row>
    <row r="23" spans="1:11" x14ac:dyDescent="0.25">
      <c r="A23" s="10" t="s">
        <v>58</v>
      </c>
      <c r="B23" s="22" t="s">
        <v>195</v>
      </c>
      <c r="C23" s="36">
        <v>1</v>
      </c>
      <c r="D23" s="28">
        <v>3.6</v>
      </c>
      <c r="E23" s="28">
        <v>4.2</v>
      </c>
      <c r="F23" s="28">
        <v>20.190000000000001</v>
      </c>
      <c r="G23" s="28">
        <v>4.0199999999999996</v>
      </c>
      <c r="H23" s="28">
        <v>13.9</v>
      </c>
      <c r="I23" s="28">
        <v>2E-3</v>
      </c>
      <c r="J23" s="26">
        <v>31.1</v>
      </c>
      <c r="K23" s="17">
        <v>100</v>
      </c>
    </row>
    <row r="24" spans="1:11" x14ac:dyDescent="0.25">
      <c r="A24" s="10" t="s">
        <v>59</v>
      </c>
      <c r="B24" s="22" t="s">
        <v>196</v>
      </c>
      <c r="C24" s="36">
        <v>1</v>
      </c>
      <c r="D24" s="28">
        <v>3.6</v>
      </c>
      <c r="E24" s="28">
        <v>4.2</v>
      </c>
      <c r="F24" s="28">
        <v>24.23</v>
      </c>
      <c r="G24" s="28">
        <v>3.66</v>
      </c>
      <c r="H24" s="28">
        <v>19.62</v>
      </c>
      <c r="I24" s="28">
        <v>1E-3</v>
      </c>
      <c r="J24" s="26">
        <v>19</v>
      </c>
      <c r="K24" s="17">
        <v>100</v>
      </c>
    </row>
    <row r="25" spans="1:11" x14ac:dyDescent="0.25">
      <c r="A25" s="10" t="s">
        <v>60</v>
      </c>
      <c r="B25" s="22" t="s">
        <v>197</v>
      </c>
      <c r="C25" s="36">
        <v>1</v>
      </c>
      <c r="D25" s="28">
        <v>3.6</v>
      </c>
      <c r="E25" s="28">
        <v>4.2</v>
      </c>
      <c r="F25" s="28">
        <v>32.31</v>
      </c>
      <c r="G25" s="28">
        <v>2.6</v>
      </c>
      <c r="H25" s="28">
        <v>27.48</v>
      </c>
      <c r="I25" s="28">
        <v>2E-3</v>
      </c>
      <c r="J25" s="26">
        <v>15</v>
      </c>
      <c r="K25" s="17">
        <v>99.9</v>
      </c>
    </row>
    <row r="26" spans="1:11" x14ac:dyDescent="0.25">
      <c r="A26" s="10" t="s">
        <v>61</v>
      </c>
      <c r="B26" s="22" t="s">
        <v>198</v>
      </c>
      <c r="C26" s="36">
        <v>2</v>
      </c>
      <c r="D26" s="28">
        <v>3.6</v>
      </c>
      <c r="E26" s="28">
        <v>4.2</v>
      </c>
      <c r="F26" s="28">
        <v>28.27</v>
      </c>
      <c r="G26" s="28">
        <v>3.34</v>
      </c>
      <c r="H26" s="28">
        <v>22.54</v>
      </c>
      <c r="I26" s="28">
        <v>1E-3</v>
      </c>
      <c r="J26" s="26">
        <v>20.2</v>
      </c>
      <c r="K26" s="17">
        <v>100</v>
      </c>
    </row>
    <row r="27" spans="1:11" x14ac:dyDescent="0.25">
      <c r="A27" s="10" t="s">
        <v>62</v>
      </c>
      <c r="B27" s="22" t="s">
        <v>199</v>
      </c>
      <c r="C27" s="36">
        <v>3</v>
      </c>
      <c r="D27" s="28">
        <v>3.6</v>
      </c>
      <c r="E27" s="28">
        <v>4.2</v>
      </c>
      <c r="F27" s="28">
        <v>20.190000000000001</v>
      </c>
      <c r="G27" s="28">
        <v>12.05</v>
      </c>
      <c r="H27" s="28">
        <v>11.26</v>
      </c>
      <c r="I27" s="28">
        <v>2.2839999999999998</v>
      </c>
      <c r="J27" s="26">
        <v>44.2</v>
      </c>
      <c r="K27" s="17">
        <v>81</v>
      </c>
    </row>
    <row r="28" spans="1:11" x14ac:dyDescent="0.25">
      <c r="A28" s="10" t="s">
        <v>63</v>
      </c>
      <c r="B28" s="22" t="s">
        <v>200</v>
      </c>
      <c r="C28" s="36">
        <v>3</v>
      </c>
      <c r="D28" s="28">
        <v>3.6</v>
      </c>
      <c r="E28" s="28">
        <v>4.2</v>
      </c>
      <c r="F28" s="28">
        <v>32.31</v>
      </c>
      <c r="G28" s="28">
        <v>7</v>
      </c>
      <c r="H28" s="28">
        <v>24.91</v>
      </c>
      <c r="I28" s="28">
        <v>1E-3</v>
      </c>
      <c r="J28" s="26">
        <v>22.9</v>
      </c>
      <c r="K28" s="17">
        <v>100</v>
      </c>
    </row>
    <row r="29" spans="1:11" x14ac:dyDescent="0.25">
      <c r="A29" s="10" t="s">
        <v>64</v>
      </c>
      <c r="B29" s="22" t="s">
        <v>201</v>
      </c>
      <c r="C29" s="36">
        <v>2</v>
      </c>
      <c r="D29" s="28">
        <v>3.6</v>
      </c>
      <c r="E29" s="28">
        <v>4.2</v>
      </c>
      <c r="F29" s="28">
        <v>32.31</v>
      </c>
      <c r="G29" s="28">
        <v>5.46</v>
      </c>
      <c r="H29" s="28">
        <v>24.82</v>
      </c>
      <c r="I29" s="28">
        <v>1E-3</v>
      </c>
      <c r="J29" s="26">
        <v>23.2</v>
      </c>
      <c r="K29" s="17">
        <v>100</v>
      </c>
    </row>
    <row r="30" spans="1:11" x14ac:dyDescent="0.25">
      <c r="A30" s="10" t="s">
        <v>65</v>
      </c>
      <c r="B30" s="22" t="s">
        <v>202</v>
      </c>
      <c r="C30" s="36">
        <v>2</v>
      </c>
      <c r="D30" s="28">
        <v>3.6</v>
      </c>
      <c r="E30" s="28">
        <v>4.2</v>
      </c>
      <c r="F30" s="28">
        <v>32.31</v>
      </c>
      <c r="G30" s="28">
        <v>5.97</v>
      </c>
      <c r="H30" s="28">
        <v>26.17</v>
      </c>
      <c r="I30" s="28">
        <v>1E-3</v>
      </c>
      <c r="J30" s="26">
        <v>19</v>
      </c>
      <c r="K30" s="17">
        <v>100</v>
      </c>
    </row>
    <row r="31" spans="1:11" x14ac:dyDescent="0.25">
      <c r="A31" s="10" t="s">
        <v>66</v>
      </c>
      <c r="B31" s="22" t="s">
        <v>203</v>
      </c>
      <c r="C31" s="36">
        <v>3</v>
      </c>
      <c r="D31" s="28">
        <v>3.6</v>
      </c>
      <c r="E31" s="28">
        <v>4.2</v>
      </c>
      <c r="F31" s="28">
        <v>24.23</v>
      </c>
      <c r="G31" s="28">
        <v>3.41</v>
      </c>
      <c r="H31" s="28">
        <v>18.53</v>
      </c>
      <c r="I31" s="28">
        <v>1E-3</v>
      </c>
      <c r="J31" s="26">
        <v>23.5</v>
      </c>
      <c r="K31" s="17">
        <v>100</v>
      </c>
    </row>
    <row r="32" spans="1:11" x14ac:dyDescent="0.25">
      <c r="A32" s="10" t="s">
        <v>67</v>
      </c>
      <c r="B32" s="22" t="s">
        <v>204</v>
      </c>
      <c r="C32" s="36">
        <v>3</v>
      </c>
      <c r="D32" s="28">
        <v>3.6</v>
      </c>
      <c r="E32" s="28">
        <v>4.2</v>
      </c>
      <c r="F32" s="28">
        <v>20.190000000000001</v>
      </c>
      <c r="G32" s="28">
        <v>9.19</v>
      </c>
      <c r="H32" s="28">
        <v>12.21</v>
      </c>
      <c r="I32" s="28">
        <v>0.36599999999999999</v>
      </c>
      <c r="J32" s="26">
        <v>39.5</v>
      </c>
      <c r="K32" s="17">
        <v>96</v>
      </c>
    </row>
    <row r="33" spans="1:11" x14ac:dyDescent="0.25">
      <c r="A33" s="10" t="s">
        <v>68</v>
      </c>
      <c r="B33" s="22" t="s">
        <v>205</v>
      </c>
      <c r="C33" s="36">
        <v>1</v>
      </c>
      <c r="D33" s="28">
        <v>3.6</v>
      </c>
      <c r="E33" s="28">
        <v>4.2</v>
      </c>
      <c r="F33" s="28">
        <v>32.31</v>
      </c>
      <c r="G33" s="28">
        <v>5.05</v>
      </c>
      <c r="H33" s="28">
        <v>26.37</v>
      </c>
      <c r="I33" s="28">
        <v>1E-3</v>
      </c>
      <c r="J33" s="26">
        <v>18.399999999999999</v>
      </c>
      <c r="K33" s="17">
        <v>100</v>
      </c>
    </row>
    <row r="34" spans="1:11" x14ac:dyDescent="0.25">
      <c r="A34" s="10" t="s">
        <v>69</v>
      </c>
      <c r="B34" s="22" t="s">
        <v>206</v>
      </c>
      <c r="C34" s="36">
        <v>1</v>
      </c>
      <c r="D34" s="28">
        <v>3.6</v>
      </c>
      <c r="E34" s="28">
        <v>4.2</v>
      </c>
      <c r="F34" s="28">
        <v>28.27</v>
      </c>
      <c r="G34" s="28">
        <v>6.37</v>
      </c>
      <c r="H34" s="28">
        <v>20.29</v>
      </c>
      <c r="I34" s="28">
        <v>2E-3</v>
      </c>
      <c r="J34" s="26">
        <v>28.2</v>
      </c>
      <c r="K34" s="17">
        <v>100</v>
      </c>
    </row>
    <row r="35" spans="1:11" x14ac:dyDescent="0.25">
      <c r="A35" s="10" t="s">
        <v>70</v>
      </c>
      <c r="B35" s="22" t="s">
        <v>207</v>
      </c>
      <c r="C35" s="36">
        <v>3</v>
      </c>
      <c r="D35" s="28">
        <v>3.6</v>
      </c>
      <c r="E35" s="28">
        <v>4.2</v>
      </c>
      <c r="F35" s="28">
        <v>28.27</v>
      </c>
      <c r="G35" s="28">
        <v>6.42</v>
      </c>
      <c r="H35" s="28">
        <v>21.26</v>
      </c>
      <c r="I35" s="28">
        <v>1E-3</v>
      </c>
      <c r="J35" s="26">
        <v>24.8</v>
      </c>
      <c r="K35" s="17">
        <v>100</v>
      </c>
    </row>
    <row r="36" spans="1:11" x14ac:dyDescent="0.25">
      <c r="A36" s="10" t="s">
        <v>71</v>
      </c>
      <c r="B36" s="22" t="s">
        <v>208</v>
      </c>
      <c r="C36" s="36">
        <v>3</v>
      </c>
      <c r="D36" s="28">
        <v>3.6</v>
      </c>
      <c r="E36" s="28">
        <v>4.2</v>
      </c>
      <c r="F36" s="28">
        <v>24.23</v>
      </c>
      <c r="G36" s="28">
        <v>10.98</v>
      </c>
      <c r="H36" s="28">
        <v>14.31</v>
      </c>
      <c r="I36" s="28">
        <v>0.18099999999999999</v>
      </c>
      <c r="J36" s="26">
        <v>41</v>
      </c>
      <c r="K36" s="17">
        <v>98.3</v>
      </c>
    </row>
    <row r="37" spans="1:11" x14ac:dyDescent="0.25">
      <c r="A37" s="10" t="s">
        <v>72</v>
      </c>
      <c r="B37" s="22" t="s">
        <v>209</v>
      </c>
      <c r="C37" s="36">
        <v>3</v>
      </c>
      <c r="D37" s="28">
        <v>3.6</v>
      </c>
      <c r="E37" s="28">
        <v>4.2</v>
      </c>
      <c r="F37" s="28">
        <v>20.190000000000001</v>
      </c>
      <c r="G37" s="28">
        <v>9.3800000000000008</v>
      </c>
      <c r="H37" s="28">
        <v>12.18</v>
      </c>
      <c r="I37" s="28">
        <v>0.48299999999999998</v>
      </c>
      <c r="J37" s="26">
        <v>39.700000000000003</v>
      </c>
      <c r="K37" s="17">
        <v>94.9</v>
      </c>
    </row>
    <row r="38" spans="1:11" x14ac:dyDescent="0.25">
      <c r="A38" s="10" t="s">
        <v>73</v>
      </c>
      <c r="B38" s="22" t="s">
        <v>210</v>
      </c>
      <c r="C38" s="36">
        <v>1</v>
      </c>
      <c r="D38" s="28">
        <v>3.6</v>
      </c>
      <c r="E38" s="28">
        <v>4.2</v>
      </c>
      <c r="F38" s="28">
        <v>16.149999999999999</v>
      </c>
      <c r="G38" s="28">
        <v>8.81</v>
      </c>
      <c r="H38" s="28">
        <v>8.06</v>
      </c>
      <c r="I38" s="28">
        <v>2E-3</v>
      </c>
      <c r="J38" s="26">
        <v>50.1</v>
      </c>
      <c r="K38" s="17">
        <v>100</v>
      </c>
    </row>
    <row r="39" spans="1:11" x14ac:dyDescent="0.25">
      <c r="A39" s="10" t="s">
        <v>74</v>
      </c>
      <c r="B39" s="22" t="s">
        <v>211</v>
      </c>
      <c r="C39" s="36">
        <v>1</v>
      </c>
      <c r="D39" s="28">
        <v>3.6</v>
      </c>
      <c r="E39" s="28">
        <v>4.2</v>
      </c>
      <c r="F39" s="28">
        <v>32.31</v>
      </c>
      <c r="G39" s="28">
        <v>3.34</v>
      </c>
      <c r="H39" s="28">
        <v>27.46</v>
      </c>
      <c r="I39" s="28">
        <v>2E-3</v>
      </c>
      <c r="J39" s="26">
        <v>15</v>
      </c>
      <c r="K39" s="17">
        <v>99.9</v>
      </c>
    </row>
    <row r="40" spans="1:11" x14ac:dyDescent="0.25">
      <c r="A40" s="10" t="s">
        <v>75</v>
      </c>
      <c r="B40" s="22" t="s">
        <v>212</v>
      </c>
      <c r="C40" s="36">
        <v>3</v>
      </c>
      <c r="D40" s="28">
        <v>3.6</v>
      </c>
      <c r="E40" s="28">
        <v>4.2</v>
      </c>
      <c r="F40" s="28">
        <v>32.31</v>
      </c>
      <c r="G40" s="28">
        <v>9.0399999999999991</v>
      </c>
      <c r="H40" s="28">
        <v>21.82</v>
      </c>
      <c r="I40" s="28">
        <v>2E-3</v>
      </c>
      <c r="J40" s="26">
        <v>32.5</v>
      </c>
      <c r="K40" s="17">
        <v>100</v>
      </c>
    </row>
    <row r="41" spans="1:11" x14ac:dyDescent="0.25">
      <c r="A41" s="10" t="s">
        <v>76</v>
      </c>
      <c r="B41" s="22" t="s">
        <v>213</v>
      </c>
      <c r="C41" s="36">
        <v>1</v>
      </c>
      <c r="D41" s="28">
        <v>3.6</v>
      </c>
      <c r="E41" s="28">
        <v>4.2</v>
      </c>
      <c r="F41" s="28">
        <v>28.27</v>
      </c>
      <c r="G41" s="28">
        <v>3.17</v>
      </c>
      <c r="H41" s="28">
        <v>23.16</v>
      </c>
      <c r="I41" s="28">
        <v>1E-3</v>
      </c>
      <c r="J41" s="26">
        <v>18.100000000000001</v>
      </c>
      <c r="K41" s="17">
        <v>100</v>
      </c>
    </row>
    <row r="42" spans="1:11" x14ac:dyDescent="0.25">
      <c r="A42" s="10" t="s">
        <v>77</v>
      </c>
      <c r="B42" s="22" t="s">
        <v>214</v>
      </c>
      <c r="C42" s="36">
        <v>2</v>
      </c>
      <c r="D42" s="28">
        <v>3.6</v>
      </c>
      <c r="E42" s="28">
        <v>4.2</v>
      </c>
      <c r="F42" s="28">
        <v>28.27</v>
      </c>
      <c r="G42" s="28">
        <v>9.33</v>
      </c>
      <c r="H42" s="28">
        <v>19.079999999999998</v>
      </c>
      <c r="I42" s="28">
        <v>1E-3</v>
      </c>
      <c r="J42" s="26">
        <v>32.5</v>
      </c>
      <c r="K42" s="17">
        <v>100</v>
      </c>
    </row>
    <row r="43" spans="1:11" x14ac:dyDescent="0.25">
      <c r="A43" s="10" t="s">
        <v>78</v>
      </c>
      <c r="B43" s="22" t="s">
        <v>215</v>
      </c>
      <c r="C43" s="36">
        <v>3</v>
      </c>
      <c r="D43" s="28">
        <v>3.6</v>
      </c>
      <c r="E43" s="28">
        <v>4.2</v>
      </c>
      <c r="F43" s="28">
        <v>32.31</v>
      </c>
      <c r="G43" s="28">
        <v>6.69</v>
      </c>
      <c r="H43" s="28">
        <v>23.64</v>
      </c>
      <c r="I43" s="28">
        <v>0.218</v>
      </c>
      <c r="J43" s="26">
        <v>26.8</v>
      </c>
      <c r="K43" s="17">
        <v>96.7</v>
      </c>
    </row>
    <row r="44" spans="1:11" x14ac:dyDescent="0.25">
      <c r="A44" s="10" t="s">
        <v>79</v>
      </c>
      <c r="B44" s="22" t="s">
        <v>216</v>
      </c>
      <c r="C44" s="36">
        <v>3</v>
      </c>
      <c r="D44" s="28">
        <v>3.6</v>
      </c>
      <c r="E44" s="28">
        <v>4.2</v>
      </c>
      <c r="F44" s="28">
        <v>32.31</v>
      </c>
      <c r="G44" s="28">
        <v>6.2</v>
      </c>
      <c r="H44" s="28">
        <v>26.04</v>
      </c>
      <c r="I44" s="28">
        <v>1E-3</v>
      </c>
      <c r="J44" s="26">
        <v>19.399999999999999</v>
      </c>
      <c r="K44" s="17">
        <v>100</v>
      </c>
    </row>
    <row r="45" spans="1:11" x14ac:dyDescent="0.25">
      <c r="A45" s="10" t="s">
        <v>80</v>
      </c>
      <c r="B45" s="22" t="s">
        <v>217</v>
      </c>
      <c r="C45" s="36">
        <v>2</v>
      </c>
      <c r="D45" s="28">
        <v>3.6</v>
      </c>
      <c r="E45" s="28">
        <v>4.2</v>
      </c>
      <c r="F45" s="28">
        <v>16.149999999999999</v>
      </c>
      <c r="G45" s="28">
        <v>9.01</v>
      </c>
      <c r="H45" s="28">
        <v>5.35</v>
      </c>
      <c r="I45" s="28">
        <v>2E-3</v>
      </c>
      <c r="J45" s="26">
        <v>66.900000000000006</v>
      </c>
      <c r="K45" s="17">
        <v>100</v>
      </c>
    </row>
    <row r="46" spans="1:11" x14ac:dyDescent="0.25">
      <c r="A46" s="10" t="s">
        <v>81</v>
      </c>
      <c r="B46" s="22" t="s">
        <v>218</v>
      </c>
      <c r="C46" s="36">
        <v>3</v>
      </c>
      <c r="D46" s="28">
        <v>3.6</v>
      </c>
      <c r="E46" s="28">
        <v>4.2</v>
      </c>
      <c r="F46" s="28">
        <v>32.31</v>
      </c>
      <c r="G46" s="28">
        <v>4.49</v>
      </c>
      <c r="H46" s="28">
        <v>25.52</v>
      </c>
      <c r="I46" s="28">
        <v>1E-3</v>
      </c>
      <c r="J46" s="26">
        <v>21</v>
      </c>
      <c r="K46" s="17">
        <v>100</v>
      </c>
    </row>
    <row r="47" spans="1:11" x14ac:dyDescent="0.25">
      <c r="A47" s="10" t="s">
        <v>82</v>
      </c>
      <c r="B47" s="22" t="s">
        <v>219</v>
      </c>
      <c r="C47" s="36">
        <v>3</v>
      </c>
      <c r="D47" s="28">
        <v>3.6</v>
      </c>
      <c r="E47" s="28">
        <v>4.2</v>
      </c>
      <c r="F47" s="28">
        <v>28.27</v>
      </c>
      <c r="G47" s="28">
        <v>8.4600000000000009</v>
      </c>
      <c r="H47" s="28">
        <v>22.22</v>
      </c>
      <c r="I47" s="28">
        <v>1.5649999999999999</v>
      </c>
      <c r="J47" s="26">
        <v>21.4</v>
      </c>
      <c r="K47" s="17">
        <v>81.5</v>
      </c>
    </row>
    <row r="48" spans="1:11" x14ac:dyDescent="0.25">
      <c r="A48" s="10" t="s">
        <v>83</v>
      </c>
      <c r="B48" s="22" t="s">
        <v>220</v>
      </c>
      <c r="C48" s="36">
        <v>1</v>
      </c>
      <c r="D48" s="28">
        <v>3.6</v>
      </c>
      <c r="E48" s="28">
        <v>4.2</v>
      </c>
      <c r="F48" s="28">
        <v>32.31</v>
      </c>
      <c r="G48" s="28">
        <v>5.57</v>
      </c>
      <c r="H48" s="28">
        <v>27.38</v>
      </c>
      <c r="I48" s="28">
        <v>1E-3</v>
      </c>
      <c r="J48" s="26">
        <v>15.3</v>
      </c>
      <c r="K48" s="17">
        <v>100</v>
      </c>
    </row>
    <row r="49" spans="1:11" x14ac:dyDescent="0.25">
      <c r="A49" s="10" t="s">
        <v>84</v>
      </c>
      <c r="B49" s="22" t="s">
        <v>221</v>
      </c>
      <c r="C49" s="36">
        <v>1</v>
      </c>
      <c r="D49" s="28">
        <v>3.6</v>
      </c>
      <c r="E49" s="28">
        <v>4.2</v>
      </c>
      <c r="F49" s="28">
        <v>20.190000000000001</v>
      </c>
      <c r="G49" s="28">
        <v>6.36</v>
      </c>
      <c r="H49" s="28">
        <v>13.23</v>
      </c>
      <c r="I49" s="28">
        <v>2E-3</v>
      </c>
      <c r="J49" s="26">
        <v>34.5</v>
      </c>
      <c r="K49" s="17">
        <v>100</v>
      </c>
    </row>
    <row r="50" spans="1:11" x14ac:dyDescent="0.25">
      <c r="A50" s="10" t="s">
        <v>85</v>
      </c>
      <c r="B50" s="22" t="s">
        <v>222</v>
      </c>
      <c r="C50" s="36">
        <v>2</v>
      </c>
      <c r="D50" s="28">
        <v>3.6</v>
      </c>
      <c r="E50" s="28">
        <v>4.2</v>
      </c>
      <c r="F50" s="28">
        <v>32.31</v>
      </c>
      <c r="G50" s="28">
        <v>10.61</v>
      </c>
      <c r="H50" s="28">
        <v>23.27</v>
      </c>
      <c r="I50" s="28">
        <v>0.69499999999999995</v>
      </c>
      <c r="J50" s="26">
        <v>28</v>
      </c>
      <c r="K50" s="17">
        <v>93.4</v>
      </c>
    </row>
    <row r="51" spans="1:11" x14ac:dyDescent="0.25">
      <c r="A51" s="10" t="s">
        <v>86</v>
      </c>
      <c r="B51" s="22" t="s">
        <v>223</v>
      </c>
      <c r="C51" s="36">
        <v>1</v>
      </c>
      <c r="D51" s="28">
        <v>3.6</v>
      </c>
      <c r="E51" s="28">
        <v>4.2</v>
      </c>
      <c r="F51" s="28">
        <v>24.23</v>
      </c>
      <c r="G51" s="28">
        <v>11.63</v>
      </c>
      <c r="H51" s="28">
        <v>14.94</v>
      </c>
      <c r="I51" s="28">
        <v>1.544</v>
      </c>
      <c r="J51" s="26">
        <v>38.299999999999997</v>
      </c>
      <c r="K51" s="17">
        <v>86.7</v>
      </c>
    </row>
    <row r="52" spans="1:11" x14ac:dyDescent="0.25">
      <c r="A52" s="10" t="s">
        <v>87</v>
      </c>
      <c r="B52" s="22" t="s">
        <v>224</v>
      </c>
      <c r="C52" s="36">
        <v>3</v>
      </c>
      <c r="D52" s="28">
        <v>3.6</v>
      </c>
      <c r="E52" s="28">
        <v>4.2</v>
      </c>
      <c r="F52" s="28">
        <v>24.23</v>
      </c>
      <c r="G52" s="28">
        <v>5.42</v>
      </c>
      <c r="H52" s="28">
        <v>18.489999999999998</v>
      </c>
      <c r="I52" s="28">
        <v>1E-3</v>
      </c>
      <c r="J52" s="26">
        <v>23.7</v>
      </c>
      <c r="K52" s="17">
        <v>100</v>
      </c>
    </row>
    <row r="53" spans="1:11" x14ac:dyDescent="0.25">
      <c r="A53" s="10" t="s">
        <v>88</v>
      </c>
      <c r="B53" s="22" t="s">
        <v>225</v>
      </c>
      <c r="C53" s="36">
        <v>3</v>
      </c>
      <c r="D53" s="28">
        <v>3.6</v>
      </c>
      <c r="E53" s="28">
        <v>4.2</v>
      </c>
      <c r="F53" s="28">
        <v>32.31</v>
      </c>
      <c r="G53" s="28">
        <v>5.21</v>
      </c>
      <c r="H53" s="28">
        <v>25.76</v>
      </c>
      <c r="I53" s="28">
        <v>2E-3</v>
      </c>
      <c r="J53" s="26">
        <v>20.2</v>
      </c>
      <c r="K53" s="17">
        <v>100</v>
      </c>
    </row>
    <row r="54" spans="1:11" x14ac:dyDescent="0.25">
      <c r="A54" s="10" t="s">
        <v>89</v>
      </c>
      <c r="B54" s="22" t="s">
        <v>226</v>
      </c>
      <c r="C54" s="36">
        <v>1</v>
      </c>
      <c r="D54" s="28">
        <v>3.6</v>
      </c>
      <c r="E54" s="28">
        <v>4.2</v>
      </c>
      <c r="F54" s="28">
        <v>32.31</v>
      </c>
      <c r="G54" s="28">
        <v>3.17</v>
      </c>
      <c r="H54" s="28">
        <v>27.2</v>
      </c>
      <c r="I54" s="28">
        <v>2E-3</v>
      </c>
      <c r="J54" s="26">
        <v>15.8</v>
      </c>
      <c r="K54" s="17">
        <v>99.9</v>
      </c>
    </row>
    <row r="55" spans="1:11" x14ac:dyDescent="0.25">
      <c r="A55" s="10" t="s">
        <v>90</v>
      </c>
      <c r="B55" s="22" t="s">
        <v>227</v>
      </c>
      <c r="C55" s="36">
        <v>3</v>
      </c>
      <c r="D55" s="28">
        <v>3.6</v>
      </c>
      <c r="E55" s="28">
        <v>4.2</v>
      </c>
      <c r="F55" s="28">
        <v>12.11</v>
      </c>
      <c r="G55" s="28">
        <v>10.76</v>
      </c>
      <c r="H55" s="28">
        <v>2.19</v>
      </c>
      <c r="I55" s="28">
        <v>3.2000000000000001E-2</v>
      </c>
      <c r="J55" s="26">
        <v>81.900000000000006</v>
      </c>
      <c r="K55" s="17">
        <v>99.7</v>
      </c>
    </row>
    <row r="56" spans="1:11" x14ac:dyDescent="0.25">
      <c r="A56" s="10" t="s">
        <v>91</v>
      </c>
      <c r="B56" s="22" t="s">
        <v>228</v>
      </c>
      <c r="C56" s="36">
        <v>2</v>
      </c>
      <c r="D56" s="28">
        <v>3.6</v>
      </c>
      <c r="E56" s="28">
        <v>4.2</v>
      </c>
      <c r="F56" s="28">
        <v>32.31</v>
      </c>
      <c r="G56" s="28">
        <v>7.7</v>
      </c>
      <c r="H56" s="28">
        <v>23.83</v>
      </c>
      <c r="I56" s="28">
        <v>1E-3</v>
      </c>
      <c r="J56" s="26">
        <v>26.2</v>
      </c>
      <c r="K56" s="17">
        <v>100</v>
      </c>
    </row>
    <row r="57" spans="1:11" x14ac:dyDescent="0.25">
      <c r="A57" s="10" t="s">
        <v>92</v>
      </c>
      <c r="B57" s="22" t="s">
        <v>229</v>
      </c>
      <c r="C57" s="36">
        <v>1</v>
      </c>
      <c r="D57" s="28">
        <v>3.6</v>
      </c>
      <c r="E57" s="28">
        <v>4.2</v>
      </c>
      <c r="F57" s="28">
        <v>20.190000000000001</v>
      </c>
      <c r="G57" s="28">
        <v>9.65</v>
      </c>
      <c r="H57" s="28">
        <v>11.14</v>
      </c>
      <c r="I57" s="28">
        <v>1E-3</v>
      </c>
      <c r="J57" s="26">
        <v>44.8</v>
      </c>
      <c r="K57" s="17">
        <v>100</v>
      </c>
    </row>
    <row r="58" spans="1:11" x14ac:dyDescent="0.25">
      <c r="A58" s="10" t="s">
        <v>93</v>
      </c>
      <c r="B58" s="22" t="s">
        <v>230</v>
      </c>
      <c r="C58" s="36">
        <v>1</v>
      </c>
      <c r="D58" s="28">
        <v>3.6</v>
      </c>
      <c r="E58" s="28">
        <v>4.2</v>
      </c>
      <c r="F58" s="28">
        <v>12.11</v>
      </c>
      <c r="G58" s="28">
        <v>7.9</v>
      </c>
      <c r="H58" s="28">
        <v>3.35</v>
      </c>
      <c r="I58" s="28">
        <v>2E-3</v>
      </c>
      <c r="J58" s="26">
        <v>72.3</v>
      </c>
      <c r="K58" s="17">
        <v>100</v>
      </c>
    </row>
    <row r="59" spans="1:11" x14ac:dyDescent="0.25">
      <c r="A59" s="10" t="s">
        <v>94</v>
      </c>
      <c r="B59" s="22" t="s">
        <v>231</v>
      </c>
      <c r="C59" s="36">
        <v>1</v>
      </c>
      <c r="D59" s="28">
        <v>3.6</v>
      </c>
      <c r="E59" s="28">
        <v>4.2</v>
      </c>
      <c r="F59" s="28">
        <v>16.149999999999999</v>
      </c>
      <c r="G59" s="28">
        <v>5.41</v>
      </c>
      <c r="H59" s="28">
        <v>9.81</v>
      </c>
      <c r="I59" s="28">
        <v>1E-3</v>
      </c>
      <c r="J59" s="26">
        <v>39.299999999999997</v>
      </c>
      <c r="K59" s="17">
        <v>100</v>
      </c>
    </row>
    <row r="60" spans="1:11" x14ac:dyDescent="0.25">
      <c r="A60" s="10" t="s">
        <v>95</v>
      </c>
      <c r="B60" s="22" t="s">
        <v>232</v>
      </c>
      <c r="C60" s="36">
        <v>2</v>
      </c>
      <c r="D60" s="28">
        <v>3.6</v>
      </c>
      <c r="E60" s="28">
        <v>4.2</v>
      </c>
      <c r="F60" s="28">
        <v>32.31</v>
      </c>
      <c r="G60" s="28">
        <v>6.41</v>
      </c>
      <c r="H60" s="28">
        <v>23.68</v>
      </c>
      <c r="I60" s="28">
        <v>1E-3</v>
      </c>
      <c r="J60" s="26">
        <v>26.7</v>
      </c>
      <c r="K60" s="17">
        <v>100</v>
      </c>
    </row>
    <row r="61" spans="1:11" x14ac:dyDescent="0.25">
      <c r="A61" s="10" t="s">
        <v>96</v>
      </c>
      <c r="B61" s="22" t="s">
        <v>233</v>
      </c>
      <c r="C61" s="36">
        <v>1</v>
      </c>
      <c r="D61" s="28">
        <v>3.6</v>
      </c>
      <c r="E61" s="28">
        <v>4.2</v>
      </c>
      <c r="F61" s="28">
        <v>16.149999999999999</v>
      </c>
      <c r="G61" s="28">
        <v>3.91</v>
      </c>
      <c r="H61" s="28">
        <v>11.45</v>
      </c>
      <c r="I61" s="28">
        <v>1E-3</v>
      </c>
      <c r="J61" s="26">
        <v>29.1</v>
      </c>
      <c r="K61" s="17">
        <v>100</v>
      </c>
    </row>
    <row r="62" spans="1:11" x14ac:dyDescent="0.25">
      <c r="A62" s="10" t="s">
        <v>97</v>
      </c>
      <c r="B62" s="22" t="s">
        <v>234</v>
      </c>
      <c r="C62" s="36">
        <v>3</v>
      </c>
      <c r="D62" s="28">
        <v>3.6</v>
      </c>
      <c r="E62" s="28">
        <v>4.2</v>
      </c>
      <c r="F62" s="28">
        <v>28.27</v>
      </c>
      <c r="G62" s="28">
        <v>8.0399999999999991</v>
      </c>
      <c r="H62" s="28">
        <v>20.56</v>
      </c>
      <c r="I62" s="28">
        <v>2E-3</v>
      </c>
      <c r="J62" s="26">
        <v>27.2</v>
      </c>
      <c r="K62" s="17">
        <v>100</v>
      </c>
    </row>
    <row r="63" spans="1:11" x14ac:dyDescent="0.25">
      <c r="A63" s="10" t="s">
        <v>98</v>
      </c>
      <c r="B63" s="22" t="s">
        <v>235</v>
      </c>
      <c r="C63" s="36">
        <v>1</v>
      </c>
      <c r="D63" s="28">
        <v>3.6</v>
      </c>
      <c r="E63" s="28">
        <v>4.2</v>
      </c>
      <c r="F63" s="28">
        <v>28.27</v>
      </c>
      <c r="G63" s="28">
        <v>3.68</v>
      </c>
      <c r="H63" s="28">
        <v>22.72</v>
      </c>
      <c r="I63" s="28">
        <v>2E-3</v>
      </c>
      <c r="J63" s="26">
        <v>19.600000000000001</v>
      </c>
      <c r="K63" s="17">
        <v>100</v>
      </c>
    </row>
    <row r="64" spans="1:11" x14ac:dyDescent="0.25">
      <c r="A64" s="10" t="s">
        <v>99</v>
      </c>
      <c r="B64" s="22" t="s">
        <v>236</v>
      </c>
      <c r="C64" s="36">
        <v>1</v>
      </c>
      <c r="D64" s="28">
        <v>3.6</v>
      </c>
      <c r="E64" s="28">
        <v>4.2</v>
      </c>
      <c r="F64" s="28">
        <v>16.149999999999999</v>
      </c>
      <c r="G64" s="28">
        <v>10.29</v>
      </c>
      <c r="H64" s="28">
        <v>5.53</v>
      </c>
      <c r="I64" s="28">
        <v>2E-3</v>
      </c>
      <c r="J64" s="26">
        <v>65.7</v>
      </c>
      <c r="K64" s="17">
        <v>100</v>
      </c>
    </row>
    <row r="65" spans="1:11" x14ac:dyDescent="0.25">
      <c r="A65" s="10" t="s">
        <v>100</v>
      </c>
      <c r="B65" s="22" t="s">
        <v>237</v>
      </c>
      <c r="C65" s="36">
        <v>2</v>
      </c>
      <c r="D65" s="28">
        <v>3.6</v>
      </c>
      <c r="E65" s="28">
        <v>4.2</v>
      </c>
      <c r="F65" s="28">
        <v>12.11</v>
      </c>
      <c r="G65" s="28">
        <v>4.49</v>
      </c>
      <c r="H65" s="28">
        <v>6.47</v>
      </c>
      <c r="I65" s="28">
        <v>2E-3</v>
      </c>
      <c r="J65" s="26">
        <v>46.6</v>
      </c>
      <c r="K65" s="17">
        <v>100</v>
      </c>
    </row>
    <row r="66" spans="1:11" x14ac:dyDescent="0.25">
      <c r="A66" s="10" t="s">
        <v>101</v>
      </c>
      <c r="B66" s="22" t="s">
        <v>238</v>
      </c>
      <c r="C66" s="36">
        <v>1</v>
      </c>
      <c r="D66" s="28">
        <v>3.6</v>
      </c>
      <c r="E66" s="28">
        <v>4.2</v>
      </c>
      <c r="F66" s="28">
        <v>28.27</v>
      </c>
      <c r="G66" s="28">
        <v>7.13</v>
      </c>
      <c r="H66" s="28">
        <v>21.25</v>
      </c>
      <c r="I66" s="28">
        <v>0.45600000000000002</v>
      </c>
      <c r="J66" s="26">
        <v>24.8</v>
      </c>
      <c r="K66" s="17">
        <v>93.6</v>
      </c>
    </row>
    <row r="67" spans="1:11" x14ac:dyDescent="0.25">
      <c r="A67" s="10" t="s">
        <v>102</v>
      </c>
      <c r="B67" s="22" t="s">
        <v>239</v>
      </c>
      <c r="C67" s="36">
        <v>3</v>
      </c>
      <c r="D67" s="28">
        <v>3.6</v>
      </c>
      <c r="E67" s="28">
        <v>4.2</v>
      </c>
      <c r="F67" s="28">
        <v>24.23</v>
      </c>
      <c r="G67" s="28">
        <v>15.79</v>
      </c>
      <c r="H67" s="28">
        <v>13.19</v>
      </c>
      <c r="I67" s="28">
        <v>3.8889999999999998</v>
      </c>
      <c r="J67" s="26">
        <v>45.5</v>
      </c>
      <c r="K67" s="17">
        <v>75.400000000000006</v>
      </c>
    </row>
    <row r="68" spans="1:11" x14ac:dyDescent="0.25">
      <c r="A68" s="10" t="s">
        <v>103</v>
      </c>
      <c r="B68" s="22" t="s">
        <v>240</v>
      </c>
      <c r="C68" s="36">
        <v>3</v>
      </c>
      <c r="D68" s="28">
        <v>3.6</v>
      </c>
      <c r="E68" s="28">
        <v>4.2</v>
      </c>
      <c r="F68" s="28">
        <v>32.31</v>
      </c>
      <c r="G68" s="28">
        <v>4.74</v>
      </c>
      <c r="H68" s="28">
        <v>26.25</v>
      </c>
      <c r="I68" s="28">
        <v>2E-3</v>
      </c>
      <c r="J68" s="26">
        <v>18.7</v>
      </c>
      <c r="K68" s="17">
        <v>100</v>
      </c>
    </row>
    <row r="69" spans="1:11" x14ac:dyDescent="0.25">
      <c r="A69" s="10" t="s">
        <v>104</v>
      </c>
      <c r="B69" s="22" t="s">
        <v>241</v>
      </c>
      <c r="C69" s="36">
        <v>1</v>
      </c>
      <c r="D69" s="28">
        <v>3.6</v>
      </c>
      <c r="E69" s="28">
        <v>4.2</v>
      </c>
      <c r="F69" s="28">
        <v>28.27</v>
      </c>
      <c r="G69" s="28">
        <v>4.8899999999999997</v>
      </c>
      <c r="H69" s="28">
        <v>21.27</v>
      </c>
      <c r="I69" s="28">
        <v>2E-3</v>
      </c>
      <c r="J69" s="26">
        <v>24.7</v>
      </c>
      <c r="K69" s="17">
        <v>100</v>
      </c>
    </row>
    <row r="70" spans="1:11" x14ac:dyDescent="0.25">
      <c r="A70" s="10" t="s">
        <v>105</v>
      </c>
      <c r="B70" s="22" t="s">
        <v>242</v>
      </c>
      <c r="C70" s="36">
        <v>2</v>
      </c>
      <c r="D70" s="28">
        <v>3.6</v>
      </c>
      <c r="E70" s="28">
        <v>4.2</v>
      </c>
      <c r="F70" s="28">
        <v>16.149999999999999</v>
      </c>
      <c r="G70" s="28">
        <v>13.92</v>
      </c>
      <c r="H70" s="28">
        <v>4.53</v>
      </c>
      <c r="I70" s="28">
        <v>1.474</v>
      </c>
      <c r="J70" s="26">
        <v>72</v>
      </c>
      <c r="K70" s="17">
        <v>89.4</v>
      </c>
    </row>
    <row r="71" spans="1:11" x14ac:dyDescent="0.25">
      <c r="A71" s="10" t="s">
        <v>106</v>
      </c>
      <c r="B71" s="22" t="s">
        <v>243</v>
      </c>
      <c r="C71" s="36">
        <v>2</v>
      </c>
      <c r="D71" s="28">
        <v>3.6</v>
      </c>
      <c r="E71" s="28">
        <v>4.2</v>
      </c>
      <c r="F71" s="28">
        <v>24.23</v>
      </c>
      <c r="G71" s="28">
        <v>7.7</v>
      </c>
      <c r="H71" s="28">
        <v>17.32</v>
      </c>
      <c r="I71" s="28">
        <v>2E-3</v>
      </c>
      <c r="J71" s="26">
        <v>28.5</v>
      </c>
      <c r="K71" s="17">
        <v>100</v>
      </c>
    </row>
    <row r="72" spans="1:11" x14ac:dyDescent="0.25">
      <c r="A72" s="10" t="s">
        <v>107</v>
      </c>
      <c r="B72" s="22" t="s">
        <v>244</v>
      </c>
      <c r="C72" s="36">
        <v>1</v>
      </c>
      <c r="D72" s="28">
        <v>3.6</v>
      </c>
      <c r="E72" s="28">
        <v>4.2</v>
      </c>
      <c r="F72" s="28">
        <v>32.31</v>
      </c>
      <c r="G72" s="28">
        <v>3.27</v>
      </c>
      <c r="H72" s="28">
        <v>27.73</v>
      </c>
      <c r="I72" s="28">
        <v>1E-3</v>
      </c>
      <c r="J72" s="26">
        <v>14.2</v>
      </c>
      <c r="K72" s="17">
        <v>100</v>
      </c>
    </row>
    <row r="73" spans="1:11" x14ac:dyDescent="0.25">
      <c r="A73" s="10" t="s">
        <v>108</v>
      </c>
      <c r="B73" s="22" t="s">
        <v>245</v>
      </c>
      <c r="C73" s="36">
        <v>1</v>
      </c>
      <c r="D73" s="28">
        <v>3.6</v>
      </c>
      <c r="E73" s="28">
        <v>4.2</v>
      </c>
      <c r="F73" s="28">
        <v>24.23</v>
      </c>
      <c r="G73" s="28">
        <v>4.96</v>
      </c>
      <c r="H73" s="28">
        <v>19.04</v>
      </c>
      <c r="I73" s="28">
        <v>1E-3</v>
      </c>
      <c r="J73" s="26">
        <v>21.4</v>
      </c>
      <c r="K73" s="17">
        <v>100</v>
      </c>
    </row>
    <row r="74" spans="1:11" x14ac:dyDescent="0.25">
      <c r="A74" s="10" t="s">
        <v>109</v>
      </c>
      <c r="B74" s="22" t="s">
        <v>246</v>
      </c>
      <c r="C74" s="36">
        <v>2</v>
      </c>
      <c r="D74" s="28">
        <v>3.6</v>
      </c>
      <c r="E74" s="28">
        <v>4.2</v>
      </c>
      <c r="F74" s="28">
        <v>32.31</v>
      </c>
      <c r="G74" s="28">
        <v>5.56</v>
      </c>
      <c r="H74" s="28">
        <v>24.6</v>
      </c>
      <c r="I74" s="28">
        <v>1E-3</v>
      </c>
      <c r="J74" s="26">
        <v>23.9</v>
      </c>
      <c r="K74" s="17">
        <v>100</v>
      </c>
    </row>
    <row r="75" spans="1:11" x14ac:dyDescent="0.25">
      <c r="A75" s="10" t="s">
        <v>110</v>
      </c>
      <c r="B75" s="22" t="s">
        <v>247</v>
      </c>
      <c r="C75" s="36">
        <v>2</v>
      </c>
      <c r="D75" s="28">
        <v>3.6</v>
      </c>
      <c r="E75" s="28">
        <v>4.2</v>
      </c>
      <c r="F75" s="28">
        <v>28.27</v>
      </c>
      <c r="G75" s="28">
        <v>2.42</v>
      </c>
      <c r="H75" s="28">
        <v>23.47</v>
      </c>
      <c r="I75" s="28">
        <v>1E-3</v>
      </c>
      <c r="J75" s="26">
        <v>17</v>
      </c>
      <c r="K75" s="17">
        <v>100</v>
      </c>
    </row>
    <row r="76" spans="1:11" x14ac:dyDescent="0.25">
      <c r="A76" s="10" t="s">
        <v>111</v>
      </c>
      <c r="B76" s="22" t="s">
        <v>248</v>
      </c>
      <c r="C76" s="36">
        <v>3</v>
      </c>
      <c r="D76" s="28">
        <v>3.6</v>
      </c>
      <c r="E76" s="28">
        <v>4.2</v>
      </c>
      <c r="F76" s="28">
        <v>32.31</v>
      </c>
      <c r="G76" s="28">
        <v>12.8</v>
      </c>
      <c r="H76" s="28">
        <v>17.670000000000002</v>
      </c>
      <c r="I76" s="28">
        <v>2E-3</v>
      </c>
      <c r="J76" s="26">
        <v>45.3</v>
      </c>
      <c r="K76" s="17">
        <v>100</v>
      </c>
    </row>
    <row r="77" spans="1:11" x14ac:dyDescent="0.25">
      <c r="A77" s="10" t="s">
        <v>112</v>
      </c>
      <c r="B77" s="22" t="s">
        <v>249</v>
      </c>
      <c r="C77" s="36">
        <v>1</v>
      </c>
      <c r="D77" s="28">
        <v>3.6</v>
      </c>
      <c r="E77" s="28">
        <v>4.2</v>
      </c>
      <c r="F77" s="28">
        <v>24.23</v>
      </c>
      <c r="G77" s="28">
        <v>5.5</v>
      </c>
      <c r="H77" s="28">
        <v>17.86</v>
      </c>
      <c r="I77" s="28">
        <v>2E-3</v>
      </c>
      <c r="J77" s="26">
        <v>26.3</v>
      </c>
      <c r="K77" s="17">
        <v>100</v>
      </c>
    </row>
    <row r="78" spans="1:11" x14ac:dyDescent="0.25">
      <c r="A78" s="10" t="s">
        <v>113</v>
      </c>
      <c r="B78" s="22" t="s">
        <v>250</v>
      </c>
      <c r="C78" s="36">
        <v>3</v>
      </c>
      <c r="D78" s="28">
        <v>3.6</v>
      </c>
      <c r="E78" s="28">
        <v>4.2</v>
      </c>
      <c r="F78" s="28">
        <v>32.31</v>
      </c>
      <c r="G78" s="28">
        <v>3.84</v>
      </c>
      <c r="H78" s="28">
        <v>26.84</v>
      </c>
      <c r="I78" s="28">
        <v>1E-3</v>
      </c>
      <c r="J78" s="26">
        <v>16.899999999999999</v>
      </c>
      <c r="K78" s="17">
        <v>100</v>
      </c>
    </row>
    <row r="79" spans="1:11" x14ac:dyDescent="0.25">
      <c r="A79" s="10" t="s">
        <v>114</v>
      </c>
      <c r="B79" s="22" t="s">
        <v>251</v>
      </c>
      <c r="C79" s="36">
        <v>2</v>
      </c>
      <c r="D79" s="28">
        <v>3.6</v>
      </c>
      <c r="E79" s="28">
        <v>4.2</v>
      </c>
      <c r="F79" s="28">
        <v>24.23</v>
      </c>
      <c r="G79" s="28">
        <v>6.19</v>
      </c>
      <c r="H79" s="28">
        <v>17.52</v>
      </c>
      <c r="I79" s="28">
        <v>1E-3</v>
      </c>
      <c r="J79" s="26">
        <v>27.7</v>
      </c>
      <c r="K79" s="17">
        <v>100</v>
      </c>
    </row>
    <row r="80" spans="1:11" x14ac:dyDescent="0.25">
      <c r="A80" s="10" t="s">
        <v>115</v>
      </c>
      <c r="B80" s="22" t="s">
        <v>252</v>
      </c>
      <c r="C80" s="36">
        <v>1</v>
      </c>
      <c r="D80" s="28">
        <v>3.6</v>
      </c>
      <c r="E80" s="28">
        <v>4.2</v>
      </c>
      <c r="F80" s="28">
        <v>32.31</v>
      </c>
      <c r="G80" s="28">
        <v>4.87</v>
      </c>
      <c r="H80" s="28">
        <v>26.05</v>
      </c>
      <c r="I80" s="28">
        <v>2E-3</v>
      </c>
      <c r="J80" s="26">
        <v>19.399999999999999</v>
      </c>
      <c r="K80" s="17">
        <v>100</v>
      </c>
    </row>
    <row r="81" spans="1:11" x14ac:dyDescent="0.25">
      <c r="A81" s="10" t="s">
        <v>116</v>
      </c>
      <c r="B81" s="22" t="s">
        <v>253</v>
      </c>
      <c r="C81" s="36">
        <v>3</v>
      </c>
      <c r="D81" s="28">
        <v>3.6</v>
      </c>
      <c r="E81" s="28">
        <v>4.2</v>
      </c>
      <c r="F81" s="28">
        <v>24.23</v>
      </c>
      <c r="G81" s="28">
        <v>5.87</v>
      </c>
      <c r="H81" s="28">
        <v>17.440000000000001</v>
      </c>
      <c r="I81" s="28">
        <v>2E-3</v>
      </c>
      <c r="J81" s="26">
        <v>28</v>
      </c>
      <c r="K81" s="17">
        <v>100</v>
      </c>
    </row>
    <row r="82" spans="1:11" x14ac:dyDescent="0.25">
      <c r="A82" s="10" t="s">
        <v>117</v>
      </c>
      <c r="B82" s="22" t="s">
        <v>254</v>
      </c>
      <c r="C82" s="36">
        <v>3</v>
      </c>
      <c r="D82" s="28">
        <v>3.6</v>
      </c>
      <c r="E82" s="28">
        <v>4.2</v>
      </c>
      <c r="F82" s="28">
        <v>20.190000000000001</v>
      </c>
      <c r="G82" s="28">
        <v>1.51</v>
      </c>
      <c r="H82" s="28">
        <v>16.510000000000002</v>
      </c>
      <c r="I82" s="28">
        <v>1E-3</v>
      </c>
      <c r="J82" s="26">
        <v>18.2</v>
      </c>
      <c r="K82" s="17">
        <v>100</v>
      </c>
    </row>
    <row r="83" spans="1:11" x14ac:dyDescent="0.25">
      <c r="A83" s="10" t="s">
        <v>118</v>
      </c>
      <c r="B83" s="22" t="s">
        <v>255</v>
      </c>
      <c r="C83" s="36">
        <v>1</v>
      </c>
      <c r="D83" s="28">
        <v>3.6</v>
      </c>
      <c r="E83" s="28">
        <v>4.2</v>
      </c>
      <c r="F83" s="28">
        <v>32.31</v>
      </c>
      <c r="G83" s="28">
        <v>9.18</v>
      </c>
      <c r="H83" s="28">
        <v>24.2</v>
      </c>
      <c r="I83" s="28">
        <v>0.26</v>
      </c>
      <c r="J83" s="26">
        <v>25.1</v>
      </c>
      <c r="K83" s="17">
        <v>97.2</v>
      </c>
    </row>
    <row r="84" spans="1:11" x14ac:dyDescent="0.25">
      <c r="A84" s="10" t="s">
        <v>119</v>
      </c>
      <c r="B84" s="22" t="s">
        <v>256</v>
      </c>
      <c r="C84" s="36">
        <v>1</v>
      </c>
      <c r="D84" s="28">
        <v>3.6</v>
      </c>
      <c r="E84" s="28">
        <v>4.2</v>
      </c>
      <c r="F84" s="28">
        <v>32.31</v>
      </c>
      <c r="G84" s="28">
        <v>6.27</v>
      </c>
      <c r="H84" s="28">
        <v>24.61</v>
      </c>
      <c r="I84" s="28">
        <v>1E-3</v>
      </c>
      <c r="J84" s="26">
        <v>23.8</v>
      </c>
      <c r="K84" s="17">
        <v>100</v>
      </c>
    </row>
    <row r="85" spans="1:11" x14ac:dyDescent="0.25">
      <c r="A85" s="10" t="s">
        <v>120</v>
      </c>
      <c r="B85" s="22" t="s">
        <v>257</v>
      </c>
      <c r="C85" s="36">
        <v>2</v>
      </c>
      <c r="D85" s="28">
        <v>3.6</v>
      </c>
      <c r="E85" s="28">
        <v>4.2</v>
      </c>
      <c r="F85" s="28">
        <v>32.31</v>
      </c>
      <c r="G85" s="28">
        <v>3.95</v>
      </c>
      <c r="H85" s="28">
        <v>26.6</v>
      </c>
      <c r="I85" s="28">
        <v>1E-3</v>
      </c>
      <c r="J85" s="26">
        <v>17.7</v>
      </c>
      <c r="K85" s="17">
        <v>100</v>
      </c>
    </row>
    <row r="86" spans="1:11" x14ac:dyDescent="0.25">
      <c r="A86" s="10" t="s">
        <v>121</v>
      </c>
      <c r="B86" s="22" t="s">
        <v>258</v>
      </c>
      <c r="C86" s="36">
        <v>1</v>
      </c>
      <c r="D86" s="28">
        <v>3.6</v>
      </c>
      <c r="E86" s="28">
        <v>4.2</v>
      </c>
      <c r="F86" s="28">
        <v>12.11</v>
      </c>
      <c r="G86" s="28">
        <v>6.16</v>
      </c>
      <c r="H86" s="28">
        <v>3.8</v>
      </c>
      <c r="I86" s="28">
        <v>2E-3</v>
      </c>
      <c r="J86" s="26">
        <v>68.7</v>
      </c>
      <c r="K86" s="17">
        <v>100</v>
      </c>
    </row>
    <row r="87" spans="1:11" x14ac:dyDescent="0.25">
      <c r="A87" s="10" t="s">
        <v>122</v>
      </c>
      <c r="B87" s="22" t="s">
        <v>259</v>
      </c>
      <c r="C87" s="36">
        <v>3</v>
      </c>
      <c r="D87" s="28">
        <v>3.6</v>
      </c>
      <c r="E87" s="28">
        <v>4.2</v>
      </c>
      <c r="F87" s="28">
        <v>28.27</v>
      </c>
      <c r="G87" s="28">
        <v>6.22</v>
      </c>
      <c r="H87" s="28">
        <v>22.07</v>
      </c>
      <c r="I87" s="28">
        <v>2E-3</v>
      </c>
      <c r="J87" s="26">
        <v>21.9</v>
      </c>
      <c r="K87" s="17">
        <v>100</v>
      </c>
    </row>
    <row r="88" spans="1:11" x14ac:dyDescent="0.25">
      <c r="A88" s="10" t="s">
        <v>123</v>
      </c>
      <c r="B88" s="22" t="s">
        <v>260</v>
      </c>
      <c r="C88" s="36">
        <v>2</v>
      </c>
      <c r="D88" s="28">
        <v>3.6</v>
      </c>
      <c r="E88" s="28">
        <v>4.2</v>
      </c>
      <c r="F88" s="28">
        <v>20.190000000000001</v>
      </c>
      <c r="G88" s="28">
        <v>4.53</v>
      </c>
      <c r="H88" s="28">
        <v>13.89</v>
      </c>
      <c r="I88" s="28">
        <v>2E-3</v>
      </c>
      <c r="J88" s="26">
        <v>31.2</v>
      </c>
      <c r="K88" s="17">
        <v>100</v>
      </c>
    </row>
    <row r="89" spans="1:11" x14ac:dyDescent="0.25">
      <c r="A89" s="10" t="s">
        <v>124</v>
      </c>
      <c r="B89" s="22" t="s">
        <v>261</v>
      </c>
      <c r="C89" s="36">
        <v>2</v>
      </c>
      <c r="D89" s="28">
        <v>3.6</v>
      </c>
      <c r="E89" s="28">
        <v>4.2</v>
      </c>
      <c r="F89" s="28">
        <v>24.23</v>
      </c>
      <c r="G89" s="28">
        <v>3.66</v>
      </c>
      <c r="H89" s="28">
        <v>18.12</v>
      </c>
      <c r="I89" s="28">
        <v>1E-3</v>
      </c>
      <c r="J89" s="26">
        <v>25.2</v>
      </c>
      <c r="K89" s="17">
        <v>100</v>
      </c>
    </row>
    <row r="90" spans="1:11" x14ac:dyDescent="0.25">
      <c r="A90" s="10" t="s">
        <v>125</v>
      </c>
      <c r="B90" s="22" t="s">
        <v>262</v>
      </c>
      <c r="C90" s="36">
        <v>2</v>
      </c>
      <c r="D90" s="28">
        <v>3.6</v>
      </c>
      <c r="E90" s="28">
        <v>4.2</v>
      </c>
      <c r="F90" s="28">
        <v>24.23</v>
      </c>
      <c r="G90" s="28">
        <v>6.79</v>
      </c>
      <c r="H90" s="28">
        <v>16.920000000000002</v>
      </c>
      <c r="I90" s="28">
        <v>2E-3</v>
      </c>
      <c r="J90" s="26">
        <v>30.2</v>
      </c>
      <c r="K90" s="17">
        <v>100</v>
      </c>
    </row>
    <row r="91" spans="1:11" x14ac:dyDescent="0.25">
      <c r="A91" s="10" t="s">
        <v>126</v>
      </c>
      <c r="B91" s="22" t="s">
        <v>263</v>
      </c>
      <c r="C91" s="36">
        <v>1</v>
      </c>
      <c r="D91" s="28">
        <v>3.6</v>
      </c>
      <c r="E91" s="28">
        <v>4.2</v>
      </c>
      <c r="F91" s="28">
        <v>16.149999999999999</v>
      </c>
      <c r="G91" s="28">
        <v>8.77</v>
      </c>
      <c r="H91" s="28">
        <v>7.54</v>
      </c>
      <c r="I91" s="28">
        <v>2E-3</v>
      </c>
      <c r="J91" s="26">
        <v>53.3</v>
      </c>
      <c r="K91" s="17">
        <v>100</v>
      </c>
    </row>
    <row r="92" spans="1:11" x14ac:dyDescent="0.25">
      <c r="A92" s="10" t="s">
        <v>127</v>
      </c>
      <c r="B92" s="22" t="s">
        <v>264</v>
      </c>
      <c r="C92" s="36">
        <v>3</v>
      </c>
      <c r="D92" s="28">
        <v>3.6</v>
      </c>
      <c r="E92" s="28">
        <v>4.2</v>
      </c>
      <c r="F92" s="28">
        <v>24.23</v>
      </c>
      <c r="G92" s="28">
        <v>4.5</v>
      </c>
      <c r="H92" s="28">
        <v>17.72</v>
      </c>
      <c r="I92" s="28">
        <v>2E-3</v>
      </c>
      <c r="J92" s="26">
        <v>26.8</v>
      </c>
      <c r="K92" s="17">
        <v>100</v>
      </c>
    </row>
    <row r="93" spans="1:11" x14ac:dyDescent="0.25">
      <c r="A93" s="10" t="s">
        <v>128</v>
      </c>
      <c r="B93" s="22" t="s">
        <v>265</v>
      </c>
      <c r="C93" s="36">
        <v>3</v>
      </c>
      <c r="D93" s="28">
        <v>3.6</v>
      </c>
      <c r="E93" s="28">
        <v>4.2</v>
      </c>
      <c r="F93" s="28">
        <v>32.31</v>
      </c>
      <c r="G93" s="28">
        <v>6.1</v>
      </c>
      <c r="H93" s="28">
        <v>27.84</v>
      </c>
      <c r="I93" s="28">
        <v>0.73399999999999999</v>
      </c>
      <c r="J93" s="26">
        <v>13.8</v>
      </c>
      <c r="K93" s="17">
        <v>88</v>
      </c>
    </row>
    <row r="94" spans="1:11" x14ac:dyDescent="0.25">
      <c r="A94" s="10" t="s">
        <v>129</v>
      </c>
      <c r="B94" s="22" t="s">
        <v>266</v>
      </c>
      <c r="C94" s="36">
        <v>3</v>
      </c>
      <c r="D94" s="28">
        <v>3.6</v>
      </c>
      <c r="E94" s="28">
        <v>4.2</v>
      </c>
      <c r="F94" s="28">
        <v>16.149999999999999</v>
      </c>
      <c r="G94" s="28">
        <v>5.91</v>
      </c>
      <c r="H94" s="28">
        <v>9.5500000000000007</v>
      </c>
      <c r="I94" s="28">
        <v>4.5999999999999999E-2</v>
      </c>
      <c r="J94" s="26">
        <v>40.9</v>
      </c>
      <c r="K94" s="17">
        <v>99.2</v>
      </c>
    </row>
    <row r="95" spans="1:11" x14ac:dyDescent="0.25">
      <c r="A95" s="10" t="s">
        <v>130</v>
      </c>
      <c r="B95" s="22" t="s">
        <v>267</v>
      </c>
      <c r="C95" s="36">
        <v>1</v>
      </c>
      <c r="D95" s="28">
        <v>3.6</v>
      </c>
      <c r="E95" s="28">
        <v>4.2</v>
      </c>
      <c r="F95" s="28">
        <v>12.11</v>
      </c>
      <c r="G95" s="28">
        <v>6.97</v>
      </c>
      <c r="H95" s="28">
        <v>5.12</v>
      </c>
      <c r="I95" s="28">
        <v>2E-3</v>
      </c>
      <c r="J95" s="26">
        <v>57.8</v>
      </c>
      <c r="K95" s="17">
        <v>100</v>
      </c>
    </row>
    <row r="96" spans="1:11" x14ac:dyDescent="0.25">
      <c r="A96" s="10" t="s">
        <v>131</v>
      </c>
      <c r="B96" s="22" t="s">
        <v>268</v>
      </c>
      <c r="C96" s="36">
        <v>3</v>
      </c>
      <c r="D96" s="28">
        <v>3.6</v>
      </c>
      <c r="E96" s="28">
        <v>4.2</v>
      </c>
      <c r="F96" s="28">
        <v>32.31</v>
      </c>
      <c r="G96" s="28">
        <v>7.34</v>
      </c>
      <c r="H96" s="28">
        <v>25.82</v>
      </c>
      <c r="I96" s="28">
        <v>1.2999999999999999E-2</v>
      </c>
      <c r="J96" s="26">
        <v>20.100000000000001</v>
      </c>
      <c r="K96" s="17">
        <v>99.8</v>
      </c>
    </row>
    <row r="97" spans="1:11" x14ac:dyDescent="0.25">
      <c r="A97" s="10" t="s">
        <v>132</v>
      </c>
      <c r="B97" s="22" t="s">
        <v>269</v>
      </c>
      <c r="C97" s="36">
        <v>3</v>
      </c>
      <c r="D97" s="28">
        <v>3.6</v>
      </c>
      <c r="E97" s="28">
        <v>4.2</v>
      </c>
      <c r="F97" s="28">
        <v>28.27</v>
      </c>
      <c r="G97" s="28">
        <v>6.46</v>
      </c>
      <c r="H97" s="28">
        <v>19.920000000000002</v>
      </c>
      <c r="I97" s="28">
        <v>1E-3</v>
      </c>
      <c r="J97" s="26">
        <v>29.5</v>
      </c>
      <c r="K97" s="17">
        <v>100</v>
      </c>
    </row>
    <row r="98" spans="1:11" x14ac:dyDescent="0.25">
      <c r="A98" s="10" t="s">
        <v>133</v>
      </c>
      <c r="B98" s="22" t="s">
        <v>270</v>
      </c>
      <c r="C98" s="36">
        <v>3</v>
      </c>
      <c r="D98" s="28">
        <v>3.6</v>
      </c>
      <c r="E98" s="28">
        <v>4.2</v>
      </c>
      <c r="F98" s="28">
        <v>28.27</v>
      </c>
      <c r="G98" s="28">
        <v>10.88</v>
      </c>
      <c r="H98" s="28">
        <v>17.739999999999998</v>
      </c>
      <c r="I98" s="28">
        <v>0.16500000000000001</v>
      </c>
      <c r="J98" s="26">
        <v>37.299999999999997</v>
      </c>
      <c r="K98" s="17">
        <v>98.5</v>
      </c>
    </row>
    <row r="99" spans="1:11" x14ac:dyDescent="0.25">
      <c r="A99" s="10" t="s">
        <v>134</v>
      </c>
      <c r="B99" s="22" t="s">
        <v>271</v>
      </c>
      <c r="C99" s="36">
        <v>1</v>
      </c>
      <c r="D99" s="28">
        <v>3.6</v>
      </c>
      <c r="E99" s="28">
        <v>4.2</v>
      </c>
      <c r="F99" s="28">
        <v>28.27</v>
      </c>
      <c r="G99" s="28">
        <v>7.53</v>
      </c>
      <c r="H99" s="28">
        <v>19.87</v>
      </c>
      <c r="I99" s="28">
        <v>1E-3</v>
      </c>
      <c r="J99" s="26">
        <v>29.7</v>
      </c>
      <c r="K99" s="17">
        <v>100</v>
      </c>
    </row>
    <row r="100" spans="1:11" x14ac:dyDescent="0.25">
      <c r="A100" s="10" t="s">
        <v>135</v>
      </c>
      <c r="B100" s="22" t="s">
        <v>272</v>
      </c>
      <c r="C100" s="36">
        <v>1</v>
      </c>
      <c r="D100" s="28">
        <v>3.6</v>
      </c>
      <c r="E100" s="28">
        <v>4.2</v>
      </c>
      <c r="F100" s="28">
        <v>12.11</v>
      </c>
      <c r="G100" s="28">
        <v>4.8</v>
      </c>
      <c r="H100" s="28">
        <v>6.13</v>
      </c>
      <c r="I100" s="28">
        <v>1E-3</v>
      </c>
      <c r="J100" s="26">
        <v>49.4</v>
      </c>
      <c r="K100" s="17">
        <v>100</v>
      </c>
    </row>
    <row r="101" spans="1:11" x14ac:dyDescent="0.25">
      <c r="A101" s="10" t="s">
        <v>136</v>
      </c>
      <c r="B101" s="22" t="s">
        <v>273</v>
      </c>
      <c r="C101" s="36">
        <v>1</v>
      </c>
      <c r="D101" s="28">
        <v>3.6</v>
      </c>
      <c r="E101" s="28">
        <v>4.2</v>
      </c>
      <c r="F101" s="28">
        <v>12.11</v>
      </c>
      <c r="G101" s="28">
        <v>11.8</v>
      </c>
      <c r="H101" s="28">
        <v>3.67</v>
      </c>
      <c r="I101" s="28">
        <v>2.5329999999999999</v>
      </c>
      <c r="J101" s="26">
        <v>69.7</v>
      </c>
      <c r="K101" s="17">
        <v>78.5</v>
      </c>
    </row>
    <row r="102" spans="1:11" x14ac:dyDescent="0.25">
      <c r="A102" s="10" t="s">
        <v>137</v>
      </c>
      <c r="B102" s="22" t="s">
        <v>274</v>
      </c>
      <c r="C102" s="36">
        <v>2</v>
      </c>
      <c r="D102" s="28">
        <v>3.6</v>
      </c>
      <c r="E102" s="28">
        <v>4.2</v>
      </c>
      <c r="F102" s="28">
        <v>32.31</v>
      </c>
      <c r="G102" s="28">
        <v>6.67</v>
      </c>
      <c r="H102" s="28">
        <v>24.51</v>
      </c>
      <c r="I102" s="28">
        <v>1E-3</v>
      </c>
      <c r="J102" s="26">
        <v>24.1</v>
      </c>
      <c r="K102" s="17">
        <v>100</v>
      </c>
    </row>
    <row r="103" spans="1:11" x14ac:dyDescent="0.25">
      <c r="A103" s="10" t="s">
        <v>138</v>
      </c>
      <c r="B103" s="22" t="s">
        <v>275</v>
      </c>
      <c r="C103" s="36">
        <v>3</v>
      </c>
      <c r="D103" s="28">
        <v>3.6</v>
      </c>
      <c r="E103" s="28">
        <v>4.2</v>
      </c>
      <c r="F103" s="28">
        <v>16.149999999999999</v>
      </c>
      <c r="G103" s="28">
        <v>7</v>
      </c>
      <c r="H103" s="28">
        <v>10.039999999999999</v>
      </c>
      <c r="I103" s="28">
        <v>1.2999999999999999E-2</v>
      </c>
      <c r="J103" s="26">
        <v>37.9</v>
      </c>
      <c r="K103" s="17">
        <v>99.8</v>
      </c>
    </row>
    <row r="104" spans="1:11" x14ac:dyDescent="0.25">
      <c r="A104" s="10" t="s">
        <v>139</v>
      </c>
      <c r="B104" s="22" t="s">
        <v>276</v>
      </c>
      <c r="C104" s="36">
        <v>1</v>
      </c>
      <c r="D104" s="28">
        <v>3.6</v>
      </c>
      <c r="E104" s="28">
        <v>4.2</v>
      </c>
      <c r="F104" s="28">
        <v>32.31</v>
      </c>
      <c r="G104" s="28">
        <v>6.99</v>
      </c>
      <c r="H104" s="28">
        <v>24.86</v>
      </c>
      <c r="I104" s="28">
        <v>2E-3</v>
      </c>
      <c r="J104" s="26">
        <v>23.1</v>
      </c>
      <c r="K104" s="17">
        <v>100</v>
      </c>
    </row>
    <row r="105" spans="1:11" x14ac:dyDescent="0.25">
      <c r="A105" s="10" t="s">
        <v>140</v>
      </c>
      <c r="B105" s="22" t="s">
        <v>277</v>
      </c>
      <c r="C105" s="36">
        <v>2</v>
      </c>
      <c r="D105" s="28">
        <v>3.6</v>
      </c>
      <c r="E105" s="28">
        <v>4.2</v>
      </c>
      <c r="F105" s="28">
        <v>20.190000000000001</v>
      </c>
      <c r="G105" s="28">
        <v>7.53</v>
      </c>
      <c r="H105" s="28">
        <v>13.44</v>
      </c>
      <c r="I105" s="28">
        <v>1E-3</v>
      </c>
      <c r="J105" s="26">
        <v>33.4</v>
      </c>
      <c r="K105" s="17">
        <v>100</v>
      </c>
    </row>
    <row r="106" spans="1:11" x14ac:dyDescent="0.25">
      <c r="A106" s="10" t="s">
        <v>141</v>
      </c>
      <c r="B106" s="22" t="s">
        <v>278</v>
      </c>
      <c r="C106" s="36">
        <v>3</v>
      </c>
      <c r="D106" s="28">
        <v>3.6</v>
      </c>
      <c r="E106" s="28">
        <v>4.2</v>
      </c>
      <c r="F106" s="28">
        <v>12.11</v>
      </c>
      <c r="G106" s="28">
        <v>8.16</v>
      </c>
      <c r="H106" s="28">
        <v>3.84</v>
      </c>
      <c r="I106" s="28">
        <v>2E-3</v>
      </c>
      <c r="J106" s="26">
        <v>68.3</v>
      </c>
      <c r="K106" s="17">
        <v>100</v>
      </c>
    </row>
    <row r="107" spans="1:11" x14ac:dyDescent="0.25">
      <c r="A107" s="10" t="s">
        <v>142</v>
      </c>
      <c r="B107" s="22" t="s">
        <v>279</v>
      </c>
      <c r="C107" s="36">
        <v>3</v>
      </c>
      <c r="D107" s="28">
        <v>3.6</v>
      </c>
      <c r="E107" s="28">
        <v>4.2</v>
      </c>
      <c r="F107" s="28">
        <v>16.149999999999999</v>
      </c>
      <c r="G107" s="28">
        <v>2.4300000000000002</v>
      </c>
      <c r="H107" s="28">
        <v>11.78</v>
      </c>
      <c r="I107" s="28">
        <v>1E-3</v>
      </c>
      <c r="J107" s="26">
        <v>27.1</v>
      </c>
      <c r="K107" s="17">
        <v>100</v>
      </c>
    </row>
    <row r="108" spans="1:11" x14ac:dyDescent="0.25">
      <c r="A108" s="10" t="s">
        <v>143</v>
      </c>
      <c r="B108" s="22" t="s">
        <v>280</v>
      </c>
      <c r="C108" s="36">
        <v>2</v>
      </c>
      <c r="D108" s="28">
        <v>3.6</v>
      </c>
      <c r="E108" s="28">
        <v>4.2</v>
      </c>
      <c r="F108" s="28">
        <v>16.149999999999999</v>
      </c>
      <c r="G108" s="28">
        <v>11.2</v>
      </c>
      <c r="H108" s="28">
        <v>4.62</v>
      </c>
      <c r="I108" s="28">
        <v>2E-3</v>
      </c>
      <c r="J108" s="26">
        <v>71.400000000000006</v>
      </c>
      <c r="K108" s="17">
        <v>100</v>
      </c>
    </row>
    <row r="109" spans="1:11" x14ac:dyDescent="0.25">
      <c r="A109" s="10" t="s">
        <v>144</v>
      </c>
      <c r="B109" s="22" t="s">
        <v>281</v>
      </c>
      <c r="C109" s="36">
        <v>1</v>
      </c>
      <c r="D109" s="28">
        <v>3.6</v>
      </c>
      <c r="E109" s="28">
        <v>4.2</v>
      </c>
      <c r="F109" s="28">
        <v>28.27</v>
      </c>
      <c r="G109" s="28">
        <v>12.47</v>
      </c>
      <c r="H109" s="28">
        <v>17.46</v>
      </c>
      <c r="I109" s="28">
        <v>0.93100000000000005</v>
      </c>
      <c r="J109" s="26">
        <v>38.200000000000003</v>
      </c>
      <c r="K109" s="17">
        <v>92.5</v>
      </c>
    </row>
    <row r="110" spans="1:11" x14ac:dyDescent="0.25">
      <c r="A110" s="10" t="s">
        <v>145</v>
      </c>
      <c r="B110" s="22" t="s">
        <v>282</v>
      </c>
      <c r="C110" s="36">
        <v>1</v>
      </c>
      <c r="D110" s="28">
        <v>3.6</v>
      </c>
      <c r="E110" s="28">
        <v>4.2</v>
      </c>
      <c r="F110" s="28">
        <v>32.31</v>
      </c>
      <c r="G110" s="28">
        <v>10.17</v>
      </c>
      <c r="H110" s="28">
        <v>20.74</v>
      </c>
      <c r="I110" s="28">
        <v>2E-3</v>
      </c>
      <c r="J110" s="26">
        <v>35.799999999999997</v>
      </c>
      <c r="K110" s="17">
        <v>100</v>
      </c>
    </row>
    <row r="111" spans="1:11" x14ac:dyDescent="0.25">
      <c r="A111" s="10" t="s">
        <v>146</v>
      </c>
      <c r="B111" s="22" t="s">
        <v>283</v>
      </c>
      <c r="C111" s="36">
        <v>1</v>
      </c>
      <c r="D111" s="28">
        <v>3.6</v>
      </c>
      <c r="E111" s="28">
        <v>4.2</v>
      </c>
      <c r="F111" s="28">
        <v>32.31</v>
      </c>
      <c r="G111" s="28">
        <v>4.9000000000000004</v>
      </c>
      <c r="H111" s="28">
        <v>25.7</v>
      </c>
      <c r="I111" s="28">
        <v>2E-3</v>
      </c>
      <c r="J111" s="26">
        <v>20.5</v>
      </c>
      <c r="K111" s="17">
        <v>100</v>
      </c>
    </row>
    <row r="112" spans="1:11" x14ac:dyDescent="0.25">
      <c r="A112" s="10" t="s">
        <v>147</v>
      </c>
      <c r="B112" s="22" t="s">
        <v>284</v>
      </c>
      <c r="C112" s="36">
        <v>3</v>
      </c>
      <c r="D112" s="28">
        <v>3.6</v>
      </c>
      <c r="E112" s="28">
        <v>4.2</v>
      </c>
      <c r="F112" s="28">
        <v>28.27</v>
      </c>
      <c r="G112" s="28">
        <v>8.1</v>
      </c>
      <c r="H112" s="28">
        <v>20.75</v>
      </c>
      <c r="I112" s="28">
        <v>2E-3</v>
      </c>
      <c r="J112" s="26">
        <v>26.6</v>
      </c>
      <c r="K112" s="17">
        <v>100</v>
      </c>
    </row>
    <row r="113" spans="1:11" x14ac:dyDescent="0.25">
      <c r="A113" s="10" t="s">
        <v>148</v>
      </c>
      <c r="B113" s="22" t="s">
        <v>285</v>
      </c>
      <c r="C113" s="36">
        <v>2</v>
      </c>
      <c r="D113" s="28">
        <v>3.6</v>
      </c>
      <c r="E113" s="28">
        <v>4.2</v>
      </c>
      <c r="F113" s="28">
        <v>32.31</v>
      </c>
      <c r="G113" s="28">
        <v>6.03</v>
      </c>
      <c r="H113" s="28">
        <v>24.46</v>
      </c>
      <c r="I113" s="28">
        <v>1E-3</v>
      </c>
      <c r="J113" s="26">
        <v>24.3</v>
      </c>
      <c r="K113" s="17">
        <v>100</v>
      </c>
    </row>
    <row r="114" spans="1:11" x14ac:dyDescent="0.25">
      <c r="A114" s="10" t="s">
        <v>149</v>
      </c>
      <c r="B114" s="22" t="s">
        <v>286</v>
      </c>
      <c r="C114" s="36">
        <v>1</v>
      </c>
      <c r="D114" s="28">
        <v>3.6</v>
      </c>
      <c r="E114" s="28">
        <v>4.2</v>
      </c>
      <c r="F114" s="28">
        <v>28.27</v>
      </c>
      <c r="G114" s="28">
        <v>7.89</v>
      </c>
      <c r="H114" s="28">
        <v>22.38</v>
      </c>
      <c r="I114" s="28">
        <v>1.115</v>
      </c>
      <c r="J114" s="26">
        <v>20.8</v>
      </c>
      <c r="K114" s="17">
        <v>85.9</v>
      </c>
    </row>
    <row r="115" spans="1:11" x14ac:dyDescent="0.25">
      <c r="A115" s="10" t="s">
        <v>150</v>
      </c>
      <c r="B115" s="22" t="s">
        <v>287</v>
      </c>
      <c r="C115" s="36">
        <v>2</v>
      </c>
      <c r="D115" s="28">
        <v>3.6</v>
      </c>
      <c r="E115" s="28">
        <v>4.2</v>
      </c>
      <c r="F115" s="28">
        <v>24.23</v>
      </c>
      <c r="G115" s="28">
        <v>4.12</v>
      </c>
      <c r="H115" s="28">
        <v>19.739999999999998</v>
      </c>
      <c r="I115" s="28">
        <v>1E-3</v>
      </c>
      <c r="J115" s="26">
        <v>18.5</v>
      </c>
      <c r="K115" s="17">
        <v>100</v>
      </c>
    </row>
    <row r="116" spans="1:11" x14ac:dyDescent="0.25">
      <c r="A116" s="10" t="s">
        <v>151</v>
      </c>
      <c r="B116" s="22" t="s">
        <v>288</v>
      </c>
      <c r="C116" s="36">
        <v>3</v>
      </c>
      <c r="D116" s="28">
        <v>3.6</v>
      </c>
      <c r="E116" s="28">
        <v>4.2</v>
      </c>
      <c r="F116" s="28">
        <v>32.31</v>
      </c>
      <c r="G116" s="28">
        <v>5.34</v>
      </c>
      <c r="H116" s="28">
        <v>25.63</v>
      </c>
      <c r="I116" s="28">
        <v>2E-3</v>
      </c>
      <c r="J116" s="26">
        <v>20.7</v>
      </c>
      <c r="K116" s="17">
        <v>100</v>
      </c>
    </row>
    <row r="117" spans="1:11" x14ac:dyDescent="0.25">
      <c r="A117" s="10" t="s">
        <v>152</v>
      </c>
      <c r="B117" s="22" t="s">
        <v>289</v>
      </c>
      <c r="C117" s="36">
        <v>1</v>
      </c>
      <c r="D117" s="28">
        <v>3.6</v>
      </c>
      <c r="E117" s="28">
        <v>4.2</v>
      </c>
      <c r="F117" s="28">
        <v>32.31</v>
      </c>
      <c r="G117" s="28">
        <v>9.5500000000000007</v>
      </c>
      <c r="H117" s="28">
        <v>22.61</v>
      </c>
      <c r="I117" s="28">
        <v>1E-3</v>
      </c>
      <c r="J117" s="26">
        <v>30</v>
      </c>
      <c r="K117" s="17">
        <v>100</v>
      </c>
    </row>
    <row r="118" spans="1:11" x14ac:dyDescent="0.25">
      <c r="A118" s="10" t="s">
        <v>153</v>
      </c>
      <c r="B118" s="22" t="s">
        <v>290</v>
      </c>
      <c r="C118" s="36">
        <v>3</v>
      </c>
      <c r="D118" s="28">
        <v>3.6</v>
      </c>
      <c r="E118" s="28">
        <v>4.2</v>
      </c>
      <c r="F118" s="28">
        <v>32.31</v>
      </c>
      <c r="G118" s="28">
        <v>4.0199999999999996</v>
      </c>
      <c r="H118" s="28">
        <v>26.51</v>
      </c>
      <c r="I118" s="28">
        <v>1E-3</v>
      </c>
      <c r="J118" s="26">
        <v>17.899999999999999</v>
      </c>
      <c r="K118" s="17">
        <v>100</v>
      </c>
    </row>
    <row r="119" spans="1:11" x14ac:dyDescent="0.25">
      <c r="A119" s="10" t="s">
        <v>154</v>
      </c>
      <c r="B119" s="22" t="s">
        <v>291</v>
      </c>
      <c r="C119" s="36">
        <v>3</v>
      </c>
      <c r="D119" s="28">
        <v>3.6</v>
      </c>
      <c r="E119" s="28">
        <v>4.2</v>
      </c>
      <c r="F119" s="28">
        <v>20.190000000000001</v>
      </c>
      <c r="G119" s="28">
        <v>6.82</v>
      </c>
      <c r="H119" s="28">
        <v>11.26</v>
      </c>
      <c r="I119" s="28">
        <v>2E-3</v>
      </c>
      <c r="J119" s="26">
        <v>44.2</v>
      </c>
      <c r="K119" s="17">
        <v>100</v>
      </c>
    </row>
    <row r="120" spans="1:11" x14ac:dyDescent="0.25">
      <c r="A120" s="10" t="s">
        <v>155</v>
      </c>
      <c r="B120" s="22" t="s">
        <v>292</v>
      </c>
      <c r="C120" s="36">
        <v>3</v>
      </c>
      <c r="D120" s="28">
        <v>3.6</v>
      </c>
      <c r="E120" s="28">
        <v>4.2</v>
      </c>
      <c r="F120" s="28">
        <v>20.190000000000001</v>
      </c>
      <c r="G120" s="28">
        <v>4.49</v>
      </c>
      <c r="H120" s="28">
        <v>14.07</v>
      </c>
      <c r="I120" s="28">
        <v>2E-3</v>
      </c>
      <c r="J120" s="26">
        <v>30.3</v>
      </c>
      <c r="K120" s="17">
        <v>99.9</v>
      </c>
    </row>
    <row r="121" spans="1:11" x14ac:dyDescent="0.25">
      <c r="A121" s="10" t="s">
        <v>156</v>
      </c>
      <c r="B121" s="22" t="s">
        <v>293</v>
      </c>
      <c r="C121" s="36">
        <v>1</v>
      </c>
      <c r="D121" s="28">
        <v>3.6</v>
      </c>
      <c r="E121" s="28">
        <v>4.2</v>
      </c>
      <c r="F121" s="28">
        <v>32.31</v>
      </c>
      <c r="G121" s="28">
        <v>4.5599999999999996</v>
      </c>
      <c r="H121" s="28">
        <v>26.54</v>
      </c>
      <c r="I121" s="28">
        <v>0.151</v>
      </c>
      <c r="J121" s="26">
        <v>17.8</v>
      </c>
      <c r="K121" s="17">
        <v>96.7</v>
      </c>
    </row>
    <row r="122" spans="1:11" x14ac:dyDescent="0.25">
      <c r="A122" s="10" t="s">
        <v>157</v>
      </c>
      <c r="B122" s="22" t="s">
        <v>294</v>
      </c>
      <c r="C122" s="36">
        <v>3</v>
      </c>
      <c r="D122" s="28">
        <v>3.6</v>
      </c>
      <c r="E122" s="28">
        <v>4.2</v>
      </c>
      <c r="F122" s="28">
        <v>16.149999999999999</v>
      </c>
      <c r="G122" s="28">
        <v>6.93</v>
      </c>
      <c r="H122" s="28">
        <v>9.6199999999999992</v>
      </c>
      <c r="I122" s="28">
        <v>0.79600000000000004</v>
      </c>
      <c r="J122" s="26">
        <v>40.4</v>
      </c>
      <c r="K122" s="17">
        <v>88.5</v>
      </c>
    </row>
    <row r="123" spans="1:11" x14ac:dyDescent="0.25">
      <c r="A123" s="10" t="s">
        <v>158</v>
      </c>
      <c r="B123" s="22" t="s">
        <v>295</v>
      </c>
      <c r="C123" s="36">
        <v>3</v>
      </c>
      <c r="D123" s="28">
        <v>3.6</v>
      </c>
      <c r="E123" s="28">
        <v>4.2</v>
      </c>
      <c r="F123" s="28">
        <v>16.149999999999999</v>
      </c>
      <c r="G123" s="28">
        <v>14.6</v>
      </c>
      <c r="H123" s="28">
        <v>4.95</v>
      </c>
      <c r="I123" s="28">
        <v>2.5720000000000001</v>
      </c>
      <c r="J123" s="26">
        <v>69.400000000000006</v>
      </c>
      <c r="K123" s="17">
        <v>82.4</v>
      </c>
    </row>
    <row r="124" spans="1:11" x14ac:dyDescent="0.25">
      <c r="A124" s="10" t="s">
        <v>159</v>
      </c>
      <c r="B124" s="22" t="s">
        <v>296</v>
      </c>
      <c r="C124" s="36">
        <v>1</v>
      </c>
      <c r="D124" s="28">
        <v>3.6</v>
      </c>
      <c r="E124" s="28">
        <v>4.2</v>
      </c>
      <c r="F124" s="28">
        <v>16.149999999999999</v>
      </c>
      <c r="G124" s="28">
        <v>9.66</v>
      </c>
      <c r="H124" s="28">
        <v>6.73</v>
      </c>
      <c r="I124" s="28">
        <v>2E-3</v>
      </c>
      <c r="J124" s="26">
        <v>58.3</v>
      </c>
      <c r="K124" s="17">
        <v>100</v>
      </c>
    </row>
    <row r="125" spans="1:11" x14ac:dyDescent="0.25">
      <c r="A125" s="12" t="s">
        <v>160</v>
      </c>
      <c r="B125" s="23" t="s">
        <v>297</v>
      </c>
      <c r="C125" s="37">
        <v>3</v>
      </c>
      <c r="D125" s="29">
        <v>3.6</v>
      </c>
      <c r="E125" s="29">
        <v>4.2</v>
      </c>
      <c r="F125" s="29">
        <v>8.08</v>
      </c>
      <c r="G125" s="29">
        <v>9.7100000000000009</v>
      </c>
      <c r="H125" s="29">
        <v>0</v>
      </c>
      <c r="I125" s="29">
        <v>0.73299999999999998</v>
      </c>
      <c r="J125" s="27">
        <v>100</v>
      </c>
      <c r="K125" s="33">
        <v>92.5</v>
      </c>
    </row>
  </sheetData>
  <conditionalFormatting sqref="J2:K125">
    <cfRule type="colorScale" priority="1">
      <colorScale>
        <cfvo type="min"/>
        <cfvo type="percentile" val="50"/>
        <cfvo type="max"/>
        <color rgb="FFFDECEC"/>
        <color rgb="FFFFF4E0"/>
        <color rgb="FFEAF6EA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59"/>
  <sheetViews>
    <sheetView showGridLines="0" topLeftCell="A34" workbookViewId="0">
      <selection sqref="A1:Q1"/>
    </sheetView>
  </sheetViews>
  <sheetFormatPr defaultRowHeight="15" x14ac:dyDescent="0.25"/>
  <cols>
    <col min="1" max="2" width="13" customWidth="1"/>
    <col min="3" max="3" width="3" customWidth="1"/>
    <col min="4" max="5" width="13" customWidth="1"/>
    <col min="6" max="6" width="3" customWidth="1"/>
    <col min="7" max="8" width="13" customWidth="1"/>
    <col min="9" max="9" width="3" customWidth="1"/>
    <col min="10" max="11" width="13" customWidth="1"/>
    <col min="12" max="12" width="3" customWidth="1"/>
    <col min="13" max="14" width="13" customWidth="1"/>
    <col min="15" max="15" width="3" customWidth="1"/>
    <col min="16" max="17" width="13" customWidth="1"/>
  </cols>
  <sheetData>
    <row r="1" spans="1:17" ht="33.950000000000003" customHeight="1" x14ac:dyDescent="0.25">
      <c r="A1" s="57" t="s">
        <v>298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</row>
    <row r="2" spans="1:17" ht="24" customHeight="1" x14ac:dyDescent="0.25">
      <c r="A2" s="59" t="s">
        <v>299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</row>
    <row r="4" spans="1:17" ht="30" customHeight="1" x14ac:dyDescent="0.25">
      <c r="A4" s="60" t="s">
        <v>300</v>
      </c>
      <c r="B4" s="61" t="s">
        <v>300</v>
      </c>
      <c r="D4" s="64" t="s">
        <v>301</v>
      </c>
      <c r="E4" s="65" t="s">
        <v>301</v>
      </c>
      <c r="G4" s="68" t="s">
        <v>302</v>
      </c>
      <c r="H4" s="69" t="s">
        <v>302</v>
      </c>
      <c r="J4" s="72" t="s">
        <v>303</v>
      </c>
      <c r="K4" s="73" t="s">
        <v>303</v>
      </c>
      <c r="M4" s="76" t="s">
        <v>304</v>
      </c>
      <c r="N4" s="77" t="s">
        <v>304</v>
      </c>
      <c r="P4" s="64" t="s">
        <v>305</v>
      </c>
      <c r="Q4" s="65" t="s">
        <v>305</v>
      </c>
    </row>
    <row r="5" spans="1:17" ht="30" customHeight="1" x14ac:dyDescent="0.25">
      <c r="A5" s="62">
        <f>Summary!B5</f>
        <v>124</v>
      </c>
      <c r="B5" s="63"/>
      <c r="D5" s="66">
        <f>Summary!B6</f>
        <v>3081.1</v>
      </c>
      <c r="E5" s="67"/>
      <c r="G5" s="70">
        <f>Summary!B7</f>
        <v>851.2</v>
      </c>
      <c r="H5" s="71"/>
      <c r="J5" s="74">
        <f>Summary!B9</f>
        <v>25.8</v>
      </c>
      <c r="K5" s="75"/>
      <c r="M5" s="78">
        <f>Summary!B10</f>
        <v>29.7</v>
      </c>
      <c r="N5" s="79"/>
      <c r="P5" s="80">
        <f>Summary!B11</f>
        <v>97</v>
      </c>
      <c r="Q5" s="67"/>
    </row>
    <row r="43" spans="10:17" x14ac:dyDescent="0.25">
      <c r="J43" s="81" t="s">
        <v>306</v>
      </c>
      <c r="K43" s="82"/>
      <c r="L43" s="82"/>
      <c r="M43" s="82"/>
      <c r="N43" s="82"/>
      <c r="O43" s="82"/>
      <c r="P43" s="82"/>
      <c r="Q43" s="83"/>
    </row>
    <row r="44" spans="10:17" x14ac:dyDescent="0.25">
      <c r="J44" s="84"/>
      <c r="K44" s="85"/>
      <c r="L44" s="85"/>
      <c r="M44" s="85"/>
      <c r="N44" s="85"/>
      <c r="O44" s="85"/>
      <c r="P44" s="85"/>
      <c r="Q44" s="86"/>
    </row>
    <row r="45" spans="10:17" x14ac:dyDescent="0.25">
      <c r="J45" s="84"/>
      <c r="K45" s="85"/>
      <c r="L45" s="85"/>
      <c r="M45" s="85"/>
      <c r="N45" s="85"/>
      <c r="O45" s="85"/>
      <c r="P45" s="85"/>
      <c r="Q45" s="86"/>
    </row>
    <row r="46" spans="10:17" x14ac:dyDescent="0.25">
      <c r="J46" s="84"/>
      <c r="K46" s="85"/>
      <c r="L46" s="85"/>
      <c r="M46" s="85"/>
      <c r="N46" s="85"/>
      <c r="O46" s="85"/>
      <c r="P46" s="85"/>
      <c r="Q46" s="86"/>
    </row>
    <row r="47" spans="10:17" x14ac:dyDescent="0.25">
      <c r="J47" s="84"/>
      <c r="K47" s="85"/>
      <c r="L47" s="85"/>
      <c r="M47" s="85"/>
      <c r="N47" s="85"/>
      <c r="O47" s="85"/>
      <c r="P47" s="85"/>
      <c r="Q47" s="86"/>
    </row>
    <row r="48" spans="10:17" x14ac:dyDescent="0.25">
      <c r="J48" s="84"/>
      <c r="K48" s="85"/>
      <c r="L48" s="85"/>
      <c r="M48" s="85"/>
      <c r="N48" s="85"/>
      <c r="O48" s="85"/>
      <c r="P48" s="85"/>
      <c r="Q48" s="86"/>
    </row>
    <row r="49" spans="10:17" x14ac:dyDescent="0.25">
      <c r="J49" s="84"/>
      <c r="K49" s="85"/>
      <c r="L49" s="85"/>
      <c r="M49" s="85"/>
      <c r="N49" s="85"/>
      <c r="O49" s="85"/>
      <c r="P49" s="85"/>
      <c r="Q49" s="86"/>
    </row>
    <row r="50" spans="10:17" x14ac:dyDescent="0.25">
      <c r="J50" s="84"/>
      <c r="K50" s="85"/>
      <c r="L50" s="85"/>
      <c r="M50" s="85"/>
      <c r="N50" s="85"/>
      <c r="O50" s="85"/>
      <c r="P50" s="85"/>
      <c r="Q50" s="86"/>
    </row>
    <row r="51" spans="10:17" x14ac:dyDescent="0.25">
      <c r="J51" s="84"/>
      <c r="K51" s="85"/>
      <c r="L51" s="85"/>
      <c r="M51" s="85"/>
      <c r="N51" s="85"/>
      <c r="O51" s="85"/>
      <c r="P51" s="85"/>
      <c r="Q51" s="86"/>
    </row>
    <row r="52" spans="10:17" x14ac:dyDescent="0.25">
      <c r="J52" s="84"/>
      <c r="K52" s="85"/>
      <c r="L52" s="85"/>
      <c r="M52" s="85"/>
      <c r="N52" s="85"/>
      <c r="O52" s="85"/>
      <c r="P52" s="85"/>
      <c r="Q52" s="86"/>
    </row>
    <row r="53" spans="10:17" x14ac:dyDescent="0.25">
      <c r="J53" s="84"/>
      <c r="K53" s="85"/>
      <c r="L53" s="85"/>
      <c r="M53" s="85"/>
      <c r="N53" s="85"/>
      <c r="O53" s="85"/>
      <c r="P53" s="85"/>
      <c r="Q53" s="86"/>
    </row>
    <row r="54" spans="10:17" x14ac:dyDescent="0.25">
      <c r="J54" s="84"/>
      <c r="K54" s="85"/>
      <c r="L54" s="85"/>
      <c r="M54" s="85"/>
      <c r="N54" s="85"/>
      <c r="O54" s="85"/>
      <c r="P54" s="85"/>
      <c r="Q54" s="86"/>
    </row>
    <row r="55" spans="10:17" x14ac:dyDescent="0.25">
      <c r="J55" s="84"/>
      <c r="K55" s="85"/>
      <c r="L55" s="85"/>
      <c r="M55" s="85"/>
      <c r="N55" s="85"/>
      <c r="O55" s="85"/>
      <c r="P55" s="85"/>
      <c r="Q55" s="86"/>
    </row>
    <row r="56" spans="10:17" x14ac:dyDescent="0.25">
      <c r="J56" s="84"/>
      <c r="K56" s="85"/>
      <c r="L56" s="85"/>
      <c r="M56" s="85"/>
      <c r="N56" s="85"/>
      <c r="O56" s="85"/>
      <c r="P56" s="85"/>
      <c r="Q56" s="86"/>
    </row>
    <row r="57" spans="10:17" x14ac:dyDescent="0.25">
      <c r="J57" s="84"/>
      <c r="K57" s="85"/>
      <c r="L57" s="85"/>
      <c r="M57" s="85"/>
      <c r="N57" s="85"/>
      <c r="O57" s="85"/>
      <c r="P57" s="85"/>
      <c r="Q57" s="86"/>
    </row>
    <row r="58" spans="10:17" x14ac:dyDescent="0.25">
      <c r="J58" s="84"/>
      <c r="K58" s="85"/>
      <c r="L58" s="85"/>
      <c r="M58" s="85"/>
      <c r="N58" s="85"/>
      <c r="O58" s="85"/>
      <c r="P58" s="85"/>
      <c r="Q58" s="86"/>
    </row>
    <row r="59" spans="10:17" x14ac:dyDescent="0.25">
      <c r="J59" s="87"/>
      <c r="K59" s="88"/>
      <c r="L59" s="88"/>
      <c r="M59" s="88"/>
      <c r="N59" s="88"/>
      <c r="O59" s="88"/>
      <c r="P59" s="88"/>
      <c r="Q59" s="89"/>
    </row>
  </sheetData>
  <mergeCells count="15">
    <mergeCell ref="J43:Q59"/>
    <mergeCell ref="A1:Q1"/>
    <mergeCell ref="A2:Q2"/>
    <mergeCell ref="A4:B4"/>
    <mergeCell ref="A5:B5"/>
    <mergeCell ref="D4:E4"/>
    <mergeCell ref="D5:E5"/>
    <mergeCell ref="G4:H4"/>
    <mergeCell ref="G5:H5"/>
    <mergeCell ref="J4:K4"/>
    <mergeCell ref="J5:K5"/>
    <mergeCell ref="M4:N4"/>
    <mergeCell ref="M5:N5"/>
    <mergeCell ref="P4:Q4"/>
    <mergeCell ref="P5:Q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G125"/>
  <sheetViews>
    <sheetView showGridLines="0" workbookViewId="0"/>
  </sheetViews>
  <sheetFormatPr defaultRowHeight="15" x14ac:dyDescent="0.25"/>
  <cols>
    <col min="1" max="1" width="9" customWidth="1"/>
    <col min="2" max="4" width="16" customWidth="1"/>
    <col min="6" max="6" width="9" customWidth="1"/>
    <col min="7" max="9" width="16" customWidth="1"/>
    <col min="11" max="11" width="26" customWidth="1"/>
    <col min="12" max="13" width="12" customWidth="1"/>
    <col min="15" max="15" width="8" customWidth="1"/>
    <col min="16" max="16" width="26" customWidth="1"/>
    <col min="17" max="17" width="15" customWidth="1"/>
    <col min="18" max="18" width="14" customWidth="1"/>
    <col min="20" max="20" width="9" customWidth="1"/>
    <col min="21" max="25" width="15" customWidth="1"/>
    <col min="27" max="33" width="15" customWidth="1"/>
  </cols>
  <sheetData>
    <row r="1" spans="1:33" x14ac:dyDescent="0.25">
      <c r="A1" s="38" t="s">
        <v>307</v>
      </c>
      <c r="B1" s="39" t="s">
        <v>308</v>
      </c>
      <c r="C1" s="39" t="s">
        <v>309</v>
      </c>
      <c r="D1" s="40" t="s">
        <v>310</v>
      </c>
      <c r="F1" s="38" t="s">
        <v>307</v>
      </c>
      <c r="G1" s="39" t="s">
        <v>311</v>
      </c>
      <c r="H1" s="39" t="s">
        <v>312</v>
      </c>
      <c r="I1" s="40" t="s">
        <v>313</v>
      </c>
      <c r="K1" s="38" t="s">
        <v>314</v>
      </c>
      <c r="L1" s="39" t="s">
        <v>315</v>
      </c>
      <c r="M1" s="40" t="s">
        <v>316</v>
      </c>
      <c r="O1" s="38" t="s">
        <v>317</v>
      </c>
      <c r="P1" s="39" t="s">
        <v>314</v>
      </c>
      <c r="Q1" s="39" t="s">
        <v>318</v>
      </c>
      <c r="R1" s="40" t="s">
        <v>319</v>
      </c>
      <c r="T1" s="38" t="s">
        <v>307</v>
      </c>
      <c r="U1" s="39" t="s">
        <v>320</v>
      </c>
      <c r="V1" s="39" t="s">
        <v>321</v>
      </c>
      <c r="W1" s="39" t="s">
        <v>322</v>
      </c>
      <c r="X1" s="39" t="s">
        <v>323</v>
      </c>
      <c r="Y1" s="40" t="s">
        <v>324</v>
      </c>
      <c r="AA1" s="38" t="s">
        <v>307</v>
      </c>
      <c r="AB1" s="39" t="s">
        <v>325</v>
      </c>
      <c r="AC1" s="39" t="s">
        <v>326</v>
      </c>
      <c r="AD1" s="39" t="s">
        <v>327</v>
      </c>
      <c r="AE1" s="39" t="s">
        <v>328</v>
      </c>
      <c r="AF1" s="39" t="s">
        <v>329</v>
      </c>
      <c r="AG1" s="40" t="s">
        <v>330</v>
      </c>
    </row>
    <row r="2" spans="1:33" x14ac:dyDescent="0.25">
      <c r="A2" s="41">
        <f>FleetAverage!B2</f>
        <v>0</v>
      </c>
      <c r="B2" s="43">
        <f>FleetAverage!I2</f>
        <v>29.704946333333332</v>
      </c>
      <c r="C2" s="43">
        <f>FleetAverage!J2</f>
        <v>0</v>
      </c>
      <c r="D2" s="44">
        <f>FleetAverage!K2</f>
        <v>4.8946333333329761E-2</v>
      </c>
      <c r="F2" s="41">
        <f>FleetAverage!B2</f>
        <v>0</v>
      </c>
      <c r="G2" s="47">
        <f>FleetAverage!E2</f>
        <v>0</v>
      </c>
      <c r="H2" s="47">
        <f>FleetAverage!F2</f>
        <v>0.23916129032258066</v>
      </c>
      <c r="I2" s="49">
        <f>FleetAverage!H2</f>
        <v>40</v>
      </c>
      <c r="K2" s="4" t="str">
        <f>ProsumerMetrics!A2</f>
        <v>BES_TR8_one223_B</v>
      </c>
      <c r="L2" s="51">
        <f>ProsumerMetrics!J2</f>
        <v>27.4</v>
      </c>
      <c r="M2" s="49">
        <f>ProsumerMetrics!K2</f>
        <v>100</v>
      </c>
      <c r="O2" s="53">
        <v>1</v>
      </c>
      <c r="P2" s="19" t="str">
        <f>INDEX(ProsumerMetrics!$A$2:$A$125,MATCH(Q2,ProsumerMetrics!$H$2:$H$125,0))</f>
        <v>BES_TR8_six173_C</v>
      </c>
      <c r="Q2" s="43">
        <f>LARGE(ProsumerMetrics!$H$2:$H$125,O2)</f>
        <v>27.84</v>
      </c>
      <c r="R2" s="5" t="str">
        <f t="shared" ref="R2:R11" si="0">MID(P2,9,99)</f>
        <v>six173_C</v>
      </c>
      <c r="T2" s="41">
        <f>FleetAverage!B2</f>
        <v>0</v>
      </c>
      <c r="U2" s="47">
        <f>FleetAverage!C2</f>
        <v>0.23955601881720429</v>
      </c>
      <c r="V2" s="47">
        <f>FleetAverage!D2</f>
        <v>0</v>
      </c>
      <c r="W2" s="47">
        <f>FleetAverage!E2</f>
        <v>0</v>
      </c>
      <c r="X2" s="47">
        <f>FleetAverage!F2</f>
        <v>0.23916129032258066</v>
      </c>
      <c r="Y2" s="55">
        <f>FleetAverage!G2</f>
        <v>3.9472849462363069E-4</v>
      </c>
      <c r="AA2" s="41">
        <f>FleetAverage!B2</f>
        <v>0</v>
      </c>
      <c r="AB2" s="47">
        <f>0</f>
        <v>0</v>
      </c>
      <c r="AC2" s="47">
        <f>FleetAverage!G2</f>
        <v>3.9472849462363069E-4</v>
      </c>
      <c r="AD2" s="47">
        <f t="shared" ref="AD2:AD49" si="1">MAX(AC2,0)</f>
        <v>3.9472849462363069E-4</v>
      </c>
      <c r="AE2" s="47">
        <f t="shared" ref="AE2:AE49" si="2">MIN(AC2,0)</f>
        <v>0</v>
      </c>
      <c r="AF2" s="51">
        <f>100</f>
        <v>100</v>
      </c>
      <c r="AG2" s="49">
        <f>FleetAverage!H2</f>
        <v>40</v>
      </c>
    </row>
    <row r="3" spans="1:33" x14ac:dyDescent="0.25">
      <c r="A3" s="41">
        <f>FleetAverage!B3</f>
        <v>0.5</v>
      </c>
      <c r="B3" s="43">
        <f>FleetAverage!I3</f>
        <v>20.096057399999996</v>
      </c>
      <c r="C3" s="43">
        <f>FleetAverage!J3</f>
        <v>0</v>
      </c>
      <c r="D3" s="44">
        <f>FleetAverage!K3</f>
        <v>0.25705739999999722</v>
      </c>
      <c r="F3" s="41">
        <f>FleetAverage!B3</f>
        <v>0.5</v>
      </c>
      <c r="G3" s="47">
        <f>FleetAverage!E3</f>
        <v>0</v>
      </c>
      <c r="H3" s="47">
        <f>FleetAverage!F3</f>
        <v>0.15999193548387095</v>
      </c>
      <c r="I3" s="49">
        <f>FleetAverage!H3</f>
        <v>36.998768548387091</v>
      </c>
      <c r="K3" s="4" t="str">
        <f>ProsumerMetrics!A3</f>
        <v>BES_TR8_one252_C</v>
      </c>
      <c r="L3" s="51">
        <f>ProsumerMetrics!J3</f>
        <v>30</v>
      </c>
      <c r="M3" s="49">
        <f>ProsumerMetrics!K3</f>
        <v>100</v>
      </c>
      <c r="O3" s="53">
        <v>2</v>
      </c>
      <c r="P3" s="19" t="str">
        <f>INDEX(ProsumerMetrics!$A$2:$A$125,MATCH(Q3,ProsumerMetrics!$H$2:$H$125,0))</f>
        <v>BES_TR8_one321_C</v>
      </c>
      <c r="Q3" s="43">
        <f>LARGE(ProsumerMetrics!$H$2:$H$125,O3)</f>
        <v>27.78</v>
      </c>
      <c r="R3" s="5" t="str">
        <f t="shared" si="0"/>
        <v>one321_C</v>
      </c>
      <c r="T3" s="41">
        <f>FleetAverage!B3</f>
        <v>0.5</v>
      </c>
      <c r="U3" s="47">
        <f>FleetAverage!C3</f>
        <v>0.16206497903225803</v>
      </c>
      <c r="V3" s="47">
        <f>FleetAverage!D3</f>
        <v>0</v>
      </c>
      <c r="W3" s="47">
        <f>FleetAverage!E3</f>
        <v>0</v>
      </c>
      <c r="X3" s="47">
        <f>FleetAverage!F3</f>
        <v>0.15999193548387095</v>
      </c>
      <c r="Y3" s="55">
        <f>FleetAverage!G3</f>
        <v>2.0730435483870824E-3</v>
      </c>
      <c r="AA3" s="41">
        <f>FleetAverage!B3</f>
        <v>0.5</v>
      </c>
      <c r="AB3" s="47">
        <f>0</f>
        <v>0</v>
      </c>
      <c r="AC3" s="47">
        <f>FleetAverage!G3</f>
        <v>2.0730435483870824E-3</v>
      </c>
      <c r="AD3" s="47">
        <f t="shared" si="1"/>
        <v>2.0730435483870824E-3</v>
      </c>
      <c r="AE3" s="47">
        <f t="shared" si="2"/>
        <v>0</v>
      </c>
      <c r="AF3" s="51">
        <f>100</f>
        <v>100</v>
      </c>
      <c r="AG3" s="49">
        <f>FleetAverage!H3</f>
        <v>36.998768548387091</v>
      </c>
    </row>
    <row r="4" spans="1:33" x14ac:dyDescent="0.25">
      <c r="A4" s="41">
        <f>FleetAverage!B4</f>
        <v>1</v>
      </c>
      <c r="B4" s="43">
        <f>FleetAverage!I4</f>
        <v>15.511822233333337</v>
      </c>
      <c r="C4" s="43">
        <f>FleetAverage!J4</f>
        <v>0</v>
      </c>
      <c r="D4" s="44">
        <f>FleetAverage!K4</f>
        <v>0.45082223333333538</v>
      </c>
      <c r="F4" s="41">
        <f>FleetAverage!B4</f>
        <v>1</v>
      </c>
      <c r="G4" s="47">
        <f>FleetAverage!E4</f>
        <v>0</v>
      </c>
      <c r="H4" s="47">
        <f>FleetAverage!F4</f>
        <v>0.12145967741935486</v>
      </c>
      <c r="I4" s="49">
        <f>FleetAverage!H4</f>
        <v>34.991258064516146</v>
      </c>
      <c r="K4" s="4" t="str">
        <f>ProsumerMetrics!A4</f>
        <v>BES_TR8_one280_A</v>
      </c>
      <c r="L4" s="51">
        <f>ProsumerMetrics!J4</f>
        <v>21.2</v>
      </c>
      <c r="M4" s="49">
        <f>ProsumerMetrics!K4</f>
        <v>100</v>
      </c>
      <c r="O4" s="53">
        <v>3</v>
      </c>
      <c r="P4" s="19" t="str">
        <f>INDEX(ProsumerMetrics!$A$2:$A$125,MATCH(Q4,ProsumerMetrics!$H$2:$H$125,0))</f>
        <v>BES_TR8_five345_A</v>
      </c>
      <c r="Q4" s="43">
        <f>LARGE(ProsumerMetrics!$H$2:$H$125,O4)</f>
        <v>27.73</v>
      </c>
      <c r="R4" s="5" t="str">
        <f t="shared" si="0"/>
        <v>five345_A</v>
      </c>
      <c r="T4" s="41">
        <f>FleetAverage!B4</f>
        <v>1</v>
      </c>
      <c r="U4" s="47">
        <f>FleetAverage!C4</f>
        <v>0.12509534059139787</v>
      </c>
      <c r="V4" s="47">
        <f>FleetAverage!D4</f>
        <v>0</v>
      </c>
      <c r="W4" s="47">
        <f>FleetAverage!E4</f>
        <v>0</v>
      </c>
      <c r="X4" s="47">
        <f>FleetAverage!F4</f>
        <v>0.12145967741935486</v>
      </c>
      <c r="Y4" s="55">
        <f>FleetAverage!G4</f>
        <v>3.635663172043016E-3</v>
      </c>
      <c r="AA4" s="41">
        <f>FleetAverage!B4</f>
        <v>1</v>
      </c>
      <c r="AB4" s="47">
        <f>0</f>
        <v>0</v>
      </c>
      <c r="AC4" s="47">
        <f>FleetAverage!G4</f>
        <v>3.635663172043016E-3</v>
      </c>
      <c r="AD4" s="47">
        <f t="shared" si="1"/>
        <v>3.635663172043016E-3</v>
      </c>
      <c r="AE4" s="47">
        <f t="shared" si="2"/>
        <v>0</v>
      </c>
      <c r="AF4" s="51">
        <f>100</f>
        <v>100</v>
      </c>
      <c r="AG4" s="49">
        <f>FleetAverage!H4</f>
        <v>34.991258064516146</v>
      </c>
    </row>
    <row r="5" spans="1:33" x14ac:dyDescent="0.25">
      <c r="A5" s="41">
        <f>FleetAverage!B5</f>
        <v>1.5</v>
      </c>
      <c r="B5" s="43">
        <f>FleetAverage!I5</f>
        <v>17.183640933333329</v>
      </c>
      <c r="C5" s="43">
        <f>FleetAverage!J5</f>
        <v>0</v>
      </c>
      <c r="D5" s="44">
        <f>FleetAverage!K5</f>
        <v>1.0886409333333305</v>
      </c>
      <c r="F5" s="41">
        <f>FleetAverage!B5</f>
        <v>1.5</v>
      </c>
      <c r="G5" s="47">
        <f>FleetAverage!E5</f>
        <v>0</v>
      </c>
      <c r="H5" s="47">
        <f>FleetAverage!F5</f>
        <v>0.12979838709677419</v>
      </c>
      <c r="I5" s="49">
        <f>FleetAverage!H5</f>
        <v>33.467017741935486</v>
      </c>
      <c r="K5" s="4" t="str">
        <f>ProsumerMetrics!A5</f>
        <v>BES_TR8_one313_A</v>
      </c>
      <c r="L5" s="51">
        <f>ProsumerMetrics!J5</f>
        <v>59.9</v>
      </c>
      <c r="M5" s="49">
        <f>ProsumerMetrics!K5</f>
        <v>100</v>
      </c>
      <c r="O5" s="53">
        <v>4</v>
      </c>
      <c r="P5" s="19" t="str">
        <f>INDEX(ProsumerMetrics!$A$2:$A$125,MATCH(Q5,ProsumerMetrics!$H$2:$H$125,0))</f>
        <v>BES_TR8_four239_A</v>
      </c>
      <c r="Q5" s="43">
        <f>LARGE(ProsumerMetrics!$H$2:$H$125,O5)</f>
        <v>27.48</v>
      </c>
      <c r="R5" s="5" t="str">
        <f t="shared" si="0"/>
        <v>four239_A</v>
      </c>
      <c r="T5" s="41">
        <f>FleetAverage!B5</f>
        <v>1.5</v>
      </c>
      <c r="U5" s="47">
        <f>FleetAverage!C5</f>
        <v>0.13857774946236556</v>
      </c>
      <c r="V5" s="47">
        <f>FleetAverage!D5</f>
        <v>0</v>
      </c>
      <c r="W5" s="47">
        <f>FleetAverage!E5</f>
        <v>0</v>
      </c>
      <c r="X5" s="47">
        <f>FleetAverage!F5</f>
        <v>0.12979838709677419</v>
      </c>
      <c r="Y5" s="55">
        <f>FleetAverage!G5</f>
        <v>8.7793623655913755E-3</v>
      </c>
      <c r="AA5" s="41">
        <f>FleetAverage!B5</f>
        <v>1.5</v>
      </c>
      <c r="AB5" s="47">
        <f>0</f>
        <v>0</v>
      </c>
      <c r="AC5" s="47">
        <f>FleetAverage!G5</f>
        <v>8.7793623655913755E-3</v>
      </c>
      <c r="AD5" s="47">
        <f t="shared" si="1"/>
        <v>8.7793623655913755E-3</v>
      </c>
      <c r="AE5" s="47">
        <f t="shared" si="2"/>
        <v>0</v>
      </c>
      <c r="AF5" s="51">
        <f>100</f>
        <v>100</v>
      </c>
      <c r="AG5" s="49">
        <f>FleetAverage!H5</f>
        <v>33.467017741935486</v>
      </c>
    </row>
    <row r="6" spans="1:33" x14ac:dyDescent="0.25">
      <c r="A6" s="41">
        <f>FleetAverage!B6</f>
        <v>2</v>
      </c>
      <c r="B6" s="43">
        <f>FleetAverage!I6</f>
        <v>13.80826000000001</v>
      </c>
      <c r="C6" s="43">
        <f>FleetAverage!J6</f>
        <v>0</v>
      </c>
      <c r="D6" s="44">
        <f>FleetAverage!K6</f>
        <v>1.0342599999999997</v>
      </c>
      <c r="F6" s="41">
        <f>FleetAverage!B6</f>
        <v>2</v>
      </c>
      <c r="G6" s="47">
        <f>FleetAverage!E6</f>
        <v>0</v>
      </c>
      <c r="H6" s="47">
        <f>FleetAverage!F6</f>
        <v>0.10301612903225814</v>
      </c>
      <c r="I6" s="49">
        <f>FleetAverage!H6</f>
        <v>31.8379241935484</v>
      </c>
      <c r="K6" s="4" t="str">
        <f>ProsumerMetrics!A6</f>
        <v>BES_TR8_one321_C</v>
      </c>
      <c r="L6" s="51">
        <f>ProsumerMetrics!J6</f>
        <v>14</v>
      </c>
      <c r="M6" s="49">
        <f>ProsumerMetrics!K6</f>
        <v>100</v>
      </c>
      <c r="O6" s="53">
        <v>5</v>
      </c>
      <c r="P6" s="19" t="str">
        <f>INDEX(ProsumerMetrics!$A$2:$A$125,MATCH(Q6,ProsumerMetrics!$H$2:$H$125,0))</f>
        <v>BES_TR8_four385_A</v>
      </c>
      <c r="Q6" s="43">
        <f>LARGE(ProsumerMetrics!$H$2:$H$125,O6)</f>
        <v>27.46</v>
      </c>
      <c r="R6" s="5" t="str">
        <f t="shared" si="0"/>
        <v>four385_A</v>
      </c>
      <c r="T6" s="41">
        <f>FleetAverage!B6</f>
        <v>2</v>
      </c>
      <c r="U6" s="47">
        <f>FleetAverage!C6</f>
        <v>0.11135693548387104</v>
      </c>
      <c r="V6" s="47">
        <f>FleetAverage!D6</f>
        <v>0</v>
      </c>
      <c r="W6" s="47">
        <f>FleetAverage!E6</f>
        <v>0</v>
      </c>
      <c r="X6" s="47">
        <f>FleetAverage!F6</f>
        <v>0.10301612903225814</v>
      </c>
      <c r="Y6" s="55">
        <f>FleetAverage!G6</f>
        <v>8.340806451612906E-3</v>
      </c>
      <c r="AA6" s="41">
        <f>FleetAverage!B6</f>
        <v>2</v>
      </c>
      <c r="AB6" s="47">
        <f>0</f>
        <v>0</v>
      </c>
      <c r="AC6" s="47">
        <f>FleetAverage!G6</f>
        <v>8.340806451612906E-3</v>
      </c>
      <c r="AD6" s="47">
        <f t="shared" si="1"/>
        <v>8.340806451612906E-3</v>
      </c>
      <c r="AE6" s="47">
        <f t="shared" si="2"/>
        <v>0</v>
      </c>
      <c r="AF6" s="51">
        <f>100</f>
        <v>100</v>
      </c>
      <c r="AG6" s="49">
        <f>FleetAverage!H6</f>
        <v>31.8379241935484</v>
      </c>
    </row>
    <row r="7" spans="1:33" x14ac:dyDescent="0.25">
      <c r="A7" s="41">
        <f>FleetAverage!B7</f>
        <v>2.5</v>
      </c>
      <c r="B7" s="43">
        <f>FleetAverage!I7</f>
        <v>16.07697460000001</v>
      </c>
      <c r="C7" s="43">
        <f>FleetAverage!J7</f>
        <v>0</v>
      </c>
      <c r="D7" s="44">
        <f>FleetAverage!K7</f>
        <v>0.86297460000000825</v>
      </c>
      <c r="F7" s="41">
        <f>FleetAverage!B7</f>
        <v>2.5</v>
      </c>
      <c r="G7" s="47">
        <f>FleetAverage!E7</f>
        <v>0</v>
      </c>
      <c r="H7" s="47">
        <f>FleetAverage!F7</f>
        <v>0.1226935483870968</v>
      </c>
      <c r="I7" s="49">
        <f>FleetAverage!H7</f>
        <v>30.54495080645161</v>
      </c>
      <c r="K7" s="4" t="str">
        <f>ProsumerMetrics!A7</f>
        <v>BES_TR8_one345_A</v>
      </c>
      <c r="L7" s="51">
        <f>ProsumerMetrics!J7</f>
        <v>18.7</v>
      </c>
      <c r="M7" s="49">
        <f>ProsumerMetrics!K7</f>
        <v>100</v>
      </c>
      <c r="O7" s="53">
        <v>6</v>
      </c>
      <c r="P7" s="19" t="str">
        <f>INDEX(ProsumerMetrics!$A$2:$A$125,MATCH(Q7,ProsumerMetrics!$H$2:$H$125,0))</f>
        <v>BES_TR8_one446_B</v>
      </c>
      <c r="Q7" s="43">
        <f>LARGE(ProsumerMetrics!$H$2:$H$125,O7)</f>
        <v>27.45</v>
      </c>
      <c r="R7" s="5" t="str">
        <f t="shared" si="0"/>
        <v>one446_B</v>
      </c>
      <c r="T7" s="41">
        <f>FleetAverage!B7</f>
        <v>2.5</v>
      </c>
      <c r="U7" s="47">
        <f>FleetAverage!C7</f>
        <v>0.12965302096774203</v>
      </c>
      <c r="V7" s="47">
        <f>FleetAverage!D7</f>
        <v>0</v>
      </c>
      <c r="W7" s="47">
        <f>FleetAverage!E7</f>
        <v>0</v>
      </c>
      <c r="X7" s="47">
        <f>FleetAverage!F7</f>
        <v>0.1226935483870968</v>
      </c>
      <c r="Y7" s="55">
        <f>FleetAverage!G7</f>
        <v>6.9594725806452346E-3</v>
      </c>
      <c r="AA7" s="41">
        <f>FleetAverage!B7</f>
        <v>2.5</v>
      </c>
      <c r="AB7" s="47">
        <f>0</f>
        <v>0</v>
      </c>
      <c r="AC7" s="47">
        <f>FleetAverage!G7</f>
        <v>6.9594725806452346E-3</v>
      </c>
      <c r="AD7" s="47">
        <f t="shared" si="1"/>
        <v>6.9594725806452346E-3</v>
      </c>
      <c r="AE7" s="47">
        <f t="shared" si="2"/>
        <v>0</v>
      </c>
      <c r="AF7" s="51">
        <f>100</f>
        <v>100</v>
      </c>
      <c r="AG7" s="49">
        <f>FleetAverage!H7</f>
        <v>30.54495080645161</v>
      </c>
    </row>
    <row r="8" spans="1:33" x14ac:dyDescent="0.25">
      <c r="A8" s="41">
        <f>FleetAverage!B8</f>
        <v>3</v>
      </c>
      <c r="B8" s="43">
        <f>FleetAverage!I8</f>
        <v>13.549641000000003</v>
      </c>
      <c r="C8" s="43">
        <f>FleetAverage!J8</f>
        <v>0</v>
      </c>
      <c r="D8" s="44">
        <f>FleetAverage!K8</f>
        <v>1.0206410000000066</v>
      </c>
      <c r="F8" s="41">
        <f>FleetAverage!B8</f>
        <v>3</v>
      </c>
      <c r="G8" s="47">
        <f>FleetAverage!E8</f>
        <v>0</v>
      </c>
      <c r="H8" s="47">
        <f>FleetAverage!F8</f>
        <v>0.10104032258064513</v>
      </c>
      <c r="I8" s="49">
        <f>FleetAverage!H8</f>
        <v>29.005632258064516</v>
      </c>
      <c r="K8" s="4" t="str">
        <f>ProsumerMetrics!A8</f>
        <v>BES_TR8_one375_C</v>
      </c>
      <c r="L8" s="51">
        <f>ProsumerMetrics!J8</f>
        <v>26.1</v>
      </c>
      <c r="M8" s="49">
        <f>ProsumerMetrics!K8</f>
        <v>100</v>
      </c>
      <c r="O8" s="53">
        <v>7</v>
      </c>
      <c r="P8" s="19" t="str">
        <f>INDEX(ProsumerMetrics!$A$2:$A$125,MATCH(Q8,ProsumerMetrics!$H$2:$H$125,0))</f>
        <v>BES_TR8_four590_A</v>
      </c>
      <c r="Q8" s="43">
        <f>LARGE(ProsumerMetrics!$H$2:$H$125,O8)</f>
        <v>27.38</v>
      </c>
      <c r="R8" s="5" t="str">
        <f t="shared" si="0"/>
        <v>four590_A</v>
      </c>
      <c r="T8" s="41">
        <f>FleetAverage!B8</f>
        <v>3</v>
      </c>
      <c r="U8" s="47">
        <f>FleetAverage!C8</f>
        <v>0.1092712983870968</v>
      </c>
      <c r="V8" s="47">
        <f>FleetAverage!D8</f>
        <v>0</v>
      </c>
      <c r="W8" s="47">
        <f>FleetAverage!E8</f>
        <v>0</v>
      </c>
      <c r="X8" s="47">
        <f>FleetAverage!F8</f>
        <v>0.10104032258064513</v>
      </c>
      <c r="Y8" s="55">
        <f>FleetAverage!G8</f>
        <v>8.2309758064516708E-3</v>
      </c>
      <c r="AA8" s="41">
        <f>FleetAverage!B8</f>
        <v>3</v>
      </c>
      <c r="AB8" s="47">
        <f>0</f>
        <v>0</v>
      </c>
      <c r="AC8" s="47">
        <f>FleetAverage!G8</f>
        <v>8.2309758064516708E-3</v>
      </c>
      <c r="AD8" s="47">
        <f t="shared" si="1"/>
        <v>8.2309758064516708E-3</v>
      </c>
      <c r="AE8" s="47">
        <f t="shared" si="2"/>
        <v>0</v>
      </c>
      <c r="AF8" s="51">
        <f>100</f>
        <v>100</v>
      </c>
      <c r="AG8" s="49">
        <f>FleetAverage!H8</f>
        <v>29.005632258064516</v>
      </c>
    </row>
    <row r="9" spans="1:33" x14ac:dyDescent="0.25">
      <c r="A9" s="41">
        <f>FleetAverage!B9</f>
        <v>3.5</v>
      </c>
      <c r="B9" s="43">
        <f>FleetAverage!I9</f>
        <v>17.845084066666661</v>
      </c>
      <c r="C9" s="43">
        <f>FleetAverage!J9</f>
        <v>0.32816663063333334</v>
      </c>
      <c r="D9" s="44">
        <f>FleetAverage!K9</f>
        <v>2.1179174360333164</v>
      </c>
      <c r="F9" s="41">
        <f>FleetAverage!B9</f>
        <v>3.5</v>
      </c>
      <c r="G9" s="47">
        <f>FleetAverage!E9</f>
        <v>0</v>
      </c>
      <c r="H9" s="47">
        <f>FleetAverage!F9</f>
        <v>0.12418548387096784</v>
      </c>
      <c r="I9" s="49">
        <f>FleetAverage!H9</f>
        <v>27.73796370967743</v>
      </c>
      <c r="K9" s="4" t="str">
        <f>ProsumerMetrics!A9</f>
        <v>BES_TR8_one410_B</v>
      </c>
      <c r="L9" s="51">
        <f>ProsumerMetrics!J9</f>
        <v>33.4</v>
      </c>
      <c r="M9" s="49">
        <f>ProsumerMetrics!K9</f>
        <v>100</v>
      </c>
      <c r="O9" s="53">
        <v>8</v>
      </c>
      <c r="P9" s="19" t="str">
        <f>INDEX(ProsumerMetrics!$A$2:$A$125,MATCH(Q9,ProsumerMetrics!$H$2:$H$125,0))</f>
        <v>BES_TR8_four854_A</v>
      </c>
      <c r="Q9" s="43">
        <f>LARGE(ProsumerMetrics!$H$2:$H$125,O9)</f>
        <v>27.2</v>
      </c>
      <c r="R9" s="5" t="str">
        <f t="shared" si="0"/>
        <v>four854_A</v>
      </c>
      <c r="T9" s="41">
        <f>FleetAverage!B9</f>
        <v>3.5</v>
      </c>
      <c r="U9" s="47">
        <f>FleetAverage!C9</f>
        <v>0.14391196827956984</v>
      </c>
      <c r="V9" s="47">
        <f>FleetAverage!D9</f>
        <v>2.6465050857526883E-3</v>
      </c>
      <c r="W9" s="47">
        <f>FleetAverage!E9</f>
        <v>0</v>
      </c>
      <c r="X9" s="47">
        <f>FleetAverage!F9</f>
        <v>0.12418548387096784</v>
      </c>
      <c r="Y9" s="55">
        <f>FleetAverage!G9</f>
        <v>1.7079979322849326E-2</v>
      </c>
      <c r="AA9" s="41">
        <f>FleetAverage!B9</f>
        <v>3.5</v>
      </c>
      <c r="AB9" s="47">
        <f>0</f>
        <v>0</v>
      </c>
      <c r="AC9" s="47">
        <f>FleetAverage!G9</f>
        <v>1.7079979322849326E-2</v>
      </c>
      <c r="AD9" s="47">
        <f t="shared" si="1"/>
        <v>1.7079979322849326E-2</v>
      </c>
      <c r="AE9" s="47">
        <f t="shared" si="2"/>
        <v>0</v>
      </c>
      <c r="AF9" s="51">
        <f>100</f>
        <v>100</v>
      </c>
      <c r="AG9" s="49">
        <f>FleetAverage!H9</f>
        <v>27.73796370967743</v>
      </c>
    </row>
    <row r="10" spans="1:33" x14ac:dyDescent="0.25">
      <c r="A10" s="41">
        <f>FleetAverage!B10</f>
        <v>4</v>
      </c>
      <c r="B10" s="43">
        <f>FleetAverage!I10</f>
        <v>13.983020333333334</v>
      </c>
      <c r="C10" s="43">
        <f>FleetAverage!J10</f>
        <v>4.7434272253666592</v>
      </c>
      <c r="D10" s="44">
        <f>FleetAverage!K10</f>
        <v>0.8570620819666761</v>
      </c>
      <c r="F10" s="41">
        <f>FleetAverage!B10</f>
        <v>4</v>
      </c>
      <c r="G10" s="47">
        <f>FleetAverage!E10</f>
        <v>3.1451612903225811E-4</v>
      </c>
      <c r="H10" s="47">
        <f>FleetAverage!F10</f>
        <v>6.7915572790322565E-2</v>
      </c>
      <c r="I10" s="49">
        <f>FleetAverage!H10</f>
        <v>26.179534677419372</v>
      </c>
      <c r="K10" s="4" t="str">
        <f>ProsumerMetrics!A10</f>
        <v>BES_TR8_one416_C</v>
      </c>
      <c r="L10" s="51">
        <f>ProsumerMetrics!J10</f>
        <v>43.6</v>
      </c>
      <c r="M10" s="49">
        <f>ProsumerMetrics!K10</f>
        <v>100</v>
      </c>
      <c r="O10" s="53">
        <v>9</v>
      </c>
      <c r="P10" s="19" t="str">
        <f>INDEX(ProsumerMetrics!$A$2:$A$125,MATCH(Q10,ProsumerMetrics!$H$2:$H$125,0))</f>
        <v>BES_TR8_five551_C</v>
      </c>
      <c r="Q10" s="43">
        <f>LARGE(ProsumerMetrics!$H$2:$H$125,O10)</f>
        <v>26.84</v>
      </c>
      <c r="R10" s="5" t="str">
        <f t="shared" si="0"/>
        <v>five551_C</v>
      </c>
      <c r="T10" s="41">
        <f>FleetAverage!B10</f>
        <v>4</v>
      </c>
      <c r="U10" s="47">
        <f>FleetAverage!C10</f>
        <v>0.11276629301075269</v>
      </c>
      <c r="V10" s="47">
        <f>FleetAverage!D10</f>
        <v>3.8253445365860152E-2</v>
      </c>
      <c r="W10" s="47">
        <f>FleetAverage!E10</f>
        <v>3.1451612903225811E-4</v>
      </c>
      <c r="X10" s="47">
        <f>FleetAverage!F10</f>
        <v>6.7915572790322565E-2</v>
      </c>
      <c r="Y10" s="55">
        <f>FleetAverage!G10</f>
        <v>6.9117909836022423E-3</v>
      </c>
      <c r="AA10" s="41">
        <f>FleetAverage!B10</f>
        <v>4</v>
      </c>
      <c r="AB10" s="47">
        <f>0</f>
        <v>0</v>
      </c>
      <c r="AC10" s="47">
        <f>FleetAverage!G10</f>
        <v>6.9117909836022423E-3</v>
      </c>
      <c r="AD10" s="47">
        <f t="shared" si="1"/>
        <v>6.9117909836022423E-3</v>
      </c>
      <c r="AE10" s="47">
        <f t="shared" si="2"/>
        <v>0</v>
      </c>
      <c r="AF10" s="51">
        <f>100</f>
        <v>100</v>
      </c>
      <c r="AG10" s="49">
        <f>FleetAverage!H10</f>
        <v>26.179534677419372</v>
      </c>
    </row>
    <row r="11" spans="1:33" x14ac:dyDescent="0.25">
      <c r="A11" s="41">
        <f>FleetAverage!B11</f>
        <v>4.5</v>
      </c>
      <c r="B11" s="43">
        <f>FleetAverage!I11</f>
        <v>14.435499666666663</v>
      </c>
      <c r="C11" s="43">
        <f>FleetAverage!J11</f>
        <v>22.181703017949971</v>
      </c>
      <c r="D11" s="44">
        <f>FleetAverage!K11</f>
        <v>3.1796648716691411E-2</v>
      </c>
      <c r="F11" s="41">
        <f>FleetAverage!B11</f>
        <v>4.5</v>
      </c>
      <c r="G11" s="47">
        <f>FleetAverage!E11</f>
        <v>8.3451612903225794E-2</v>
      </c>
      <c r="H11" s="47">
        <f>FleetAverage!F11</f>
        <v>2.0725806451612903E-2</v>
      </c>
      <c r="I11" s="49">
        <f>FleetAverage!H11</f>
        <v>25.330334677419341</v>
      </c>
      <c r="K11" s="4" t="str">
        <f>ProsumerMetrics!A11</f>
        <v>BES_TR8_one423_B</v>
      </c>
      <c r="L11" s="51">
        <f>ProsumerMetrics!J11</f>
        <v>29.2</v>
      </c>
      <c r="M11" s="49">
        <f>ProsumerMetrics!K11</f>
        <v>100</v>
      </c>
      <c r="O11" s="54">
        <v>10</v>
      </c>
      <c r="P11" s="20" t="str">
        <f>INDEX(ProsumerMetrics!$A$2:$A$125,MATCH(Q11,ProsumerMetrics!$H$2:$H$125,0))</f>
        <v>BES_TR8_five750_B</v>
      </c>
      <c r="Q11" s="45">
        <f>LARGE(ProsumerMetrics!$H$2:$H$125,O11)</f>
        <v>26.6</v>
      </c>
      <c r="R11" s="7" t="str">
        <f t="shared" si="0"/>
        <v>five750_B</v>
      </c>
      <c r="T11" s="41">
        <f>FleetAverage!B11</f>
        <v>4.5</v>
      </c>
      <c r="U11" s="47">
        <f>FleetAverage!C11</f>
        <v>0.11641531989247308</v>
      </c>
      <c r="V11" s="47">
        <f>FleetAverage!D11</f>
        <v>0.17888470175766105</v>
      </c>
      <c r="W11" s="47">
        <f>FleetAverage!E11</f>
        <v>8.3451612903225794E-2</v>
      </c>
      <c r="X11" s="47">
        <f>FleetAverage!F11</f>
        <v>2.0725806451612903E-2</v>
      </c>
      <c r="Y11" s="55">
        <f>FleetAverage!G11</f>
        <v>2.5642458642492413E-4</v>
      </c>
      <c r="AA11" s="41">
        <f>FleetAverage!B11</f>
        <v>4.5</v>
      </c>
      <c r="AB11" s="47">
        <f>0</f>
        <v>0</v>
      </c>
      <c r="AC11" s="47">
        <f>FleetAverage!G11</f>
        <v>2.5642458642492413E-4</v>
      </c>
      <c r="AD11" s="47">
        <f t="shared" si="1"/>
        <v>2.5642458642492413E-4</v>
      </c>
      <c r="AE11" s="47">
        <f t="shared" si="2"/>
        <v>0</v>
      </c>
      <c r="AF11" s="51">
        <f>100</f>
        <v>100</v>
      </c>
      <c r="AG11" s="49">
        <f>FleetAverage!H11</f>
        <v>25.330334677419341</v>
      </c>
    </row>
    <row r="12" spans="1:33" x14ac:dyDescent="0.25">
      <c r="A12" s="41">
        <f>FleetAverage!B12</f>
        <v>5</v>
      </c>
      <c r="B12" s="43">
        <f>FleetAverage!I12</f>
        <v>14.085673999999996</v>
      </c>
      <c r="C12" s="43">
        <f>FleetAverage!J12</f>
        <v>44.000329993433468</v>
      </c>
      <c r="D12" s="44">
        <f>FleetAverage!K12</f>
        <v>-2.6559934334731139E-3</v>
      </c>
      <c r="F12" s="41">
        <f>FleetAverage!B12</f>
        <v>5</v>
      </c>
      <c r="G12" s="47">
        <f>FleetAverage!E12</f>
        <v>0.24564516129032257</v>
      </c>
      <c r="H12" s="47">
        <f>FleetAverage!F12</f>
        <v>4.4193548387096776E-3</v>
      </c>
      <c r="I12" s="49">
        <f>FleetAverage!H12</f>
        <v>26.012711290322596</v>
      </c>
      <c r="K12" s="4" t="str">
        <f>ProsumerMetrics!A12</f>
        <v>BES_TR8_one446_B</v>
      </c>
      <c r="L12" s="51">
        <f>ProsumerMetrics!J12</f>
        <v>15</v>
      </c>
      <c r="M12" s="49">
        <f>ProsumerMetrics!K12</f>
        <v>100</v>
      </c>
      <c r="T12" s="41">
        <f>FleetAverage!B12</f>
        <v>5</v>
      </c>
      <c r="U12" s="47">
        <f>FleetAverage!C12</f>
        <v>0.11359414516129028</v>
      </c>
      <c r="V12" s="47">
        <f>FleetAverage!D12</f>
        <v>0.35484137091478601</v>
      </c>
      <c r="W12" s="47">
        <f>FleetAverage!E12</f>
        <v>0.24564516129032257</v>
      </c>
      <c r="X12" s="47">
        <f>FleetAverage!F12</f>
        <v>4.4193548387096776E-3</v>
      </c>
      <c r="Y12" s="55">
        <f>FleetAverage!G12</f>
        <v>-2.1419301882825113E-5</v>
      </c>
      <c r="AA12" s="41">
        <f>FleetAverage!B12</f>
        <v>5</v>
      </c>
      <c r="AB12" s="47">
        <f>0</f>
        <v>0</v>
      </c>
      <c r="AC12" s="47">
        <f>FleetAverage!G12</f>
        <v>-2.1419301882825113E-5</v>
      </c>
      <c r="AD12" s="47">
        <f t="shared" si="1"/>
        <v>0</v>
      </c>
      <c r="AE12" s="47">
        <f t="shared" si="2"/>
        <v>-2.1419301882825113E-5</v>
      </c>
      <c r="AF12" s="51">
        <f>100</f>
        <v>100</v>
      </c>
      <c r="AG12" s="49">
        <f>FleetAverage!H12</f>
        <v>26.012711290322596</v>
      </c>
    </row>
    <row r="13" spans="1:33" x14ac:dyDescent="0.25">
      <c r="A13" s="41">
        <f>FleetAverage!B13</f>
        <v>5.5</v>
      </c>
      <c r="B13" s="43">
        <f>FleetAverage!I13</f>
        <v>13.488794800000001</v>
      </c>
      <c r="C13" s="43">
        <f>FleetAverage!J13</f>
        <v>70.754704511866592</v>
      </c>
      <c r="D13" s="44">
        <f>FleetAverage!K13</f>
        <v>-1.9097118666002721E-3</v>
      </c>
      <c r="F13" s="41">
        <f>FleetAverage!B13</f>
        <v>5.5</v>
      </c>
      <c r="G13" s="47">
        <f>FleetAverage!E13</f>
        <v>0.46278225806451606</v>
      </c>
      <c r="H13" s="47">
        <f>FleetAverage!F13</f>
        <v>9.7580645161290318E-4</v>
      </c>
      <c r="I13" s="49">
        <f>FleetAverage!H13</f>
        <v>28.731836290322583</v>
      </c>
      <c r="K13" s="4" t="str">
        <f>ProsumerMetrics!A13</f>
        <v>BES_TR8_one469_A</v>
      </c>
      <c r="L13" s="51">
        <f>ProsumerMetrics!J13</f>
        <v>25.5</v>
      </c>
      <c r="M13" s="49">
        <f>ProsumerMetrics!K13</f>
        <v>100</v>
      </c>
      <c r="T13" s="41">
        <f>FleetAverage!B13</f>
        <v>5.5</v>
      </c>
      <c r="U13" s="47">
        <f>FleetAverage!C13</f>
        <v>0.10878060322580646</v>
      </c>
      <c r="V13" s="47">
        <f>FleetAverage!D13</f>
        <v>0.57060245574085966</v>
      </c>
      <c r="W13" s="47">
        <f>FleetAverage!E13</f>
        <v>0.46278225806451606</v>
      </c>
      <c r="X13" s="47">
        <f>FleetAverage!F13</f>
        <v>9.7580645161290318E-4</v>
      </c>
      <c r="Y13" s="55">
        <f>FleetAverage!G13</f>
        <v>-1.5400902150041569E-5</v>
      </c>
      <c r="AA13" s="41">
        <f>FleetAverage!B13</f>
        <v>5.5</v>
      </c>
      <c r="AB13" s="47">
        <f>0</f>
        <v>0</v>
      </c>
      <c r="AC13" s="47">
        <f>FleetAverage!G13</f>
        <v>-1.5400902150041569E-5</v>
      </c>
      <c r="AD13" s="47">
        <f t="shared" si="1"/>
        <v>0</v>
      </c>
      <c r="AE13" s="47">
        <f t="shared" si="2"/>
        <v>-1.5400902150041569E-5</v>
      </c>
      <c r="AF13" s="51">
        <f>100</f>
        <v>100</v>
      </c>
      <c r="AG13" s="49">
        <f>FleetAverage!H13</f>
        <v>28.731836290322583</v>
      </c>
    </row>
    <row r="14" spans="1:33" x14ac:dyDescent="0.25">
      <c r="A14" s="41">
        <f>FleetAverage!B14</f>
        <v>6</v>
      </c>
      <c r="B14" s="43">
        <f>FleetAverage!I14</f>
        <v>15.43113743333334</v>
      </c>
      <c r="C14" s="43">
        <f>FleetAverage!J14</f>
        <v>99.945235775583384</v>
      </c>
      <c r="D14" s="44">
        <f>FleetAverage!K14</f>
        <v>0.93390165774992462</v>
      </c>
      <c r="F14" s="41">
        <f>FleetAverage!B14</f>
        <v>6</v>
      </c>
      <c r="G14" s="47">
        <f>FleetAverage!E14</f>
        <v>0.69041129032258031</v>
      </c>
      <c r="H14" s="47">
        <f>FleetAverage!F14</f>
        <v>1.3145161290322581E-3</v>
      </c>
      <c r="I14" s="49">
        <f>FleetAverage!H14</f>
        <v>33.946454838709684</v>
      </c>
      <c r="K14" s="4" t="str">
        <f>ProsumerMetrics!A14</f>
        <v>BES_TR8_one477_A</v>
      </c>
      <c r="L14" s="51">
        <f>ProsumerMetrics!J14</f>
        <v>30.3</v>
      </c>
      <c r="M14" s="49">
        <f>ProsumerMetrics!K14</f>
        <v>97.3</v>
      </c>
      <c r="T14" s="41">
        <f>FleetAverage!B14</f>
        <v>6</v>
      </c>
      <c r="U14" s="47">
        <f>FleetAverage!C14</f>
        <v>0.12444465672043016</v>
      </c>
      <c r="V14" s="47">
        <f>FleetAverage!D14</f>
        <v>0.80600996593212404</v>
      </c>
      <c r="W14" s="47">
        <f>FleetAverage!E14</f>
        <v>0.69041129032258031</v>
      </c>
      <c r="X14" s="47">
        <f>FleetAverage!F14</f>
        <v>1.3145161290322581E-3</v>
      </c>
      <c r="Y14" s="55">
        <f>FleetAverage!G14</f>
        <v>7.531464981854156E-3</v>
      </c>
      <c r="AA14" s="41">
        <f>FleetAverage!B14</f>
        <v>6</v>
      </c>
      <c r="AB14" s="47">
        <f>0</f>
        <v>0</v>
      </c>
      <c r="AC14" s="47">
        <f>FleetAverage!G14</f>
        <v>7.531464981854156E-3</v>
      </c>
      <c r="AD14" s="47">
        <f t="shared" si="1"/>
        <v>7.531464981854156E-3</v>
      </c>
      <c r="AE14" s="47">
        <f t="shared" si="2"/>
        <v>0</v>
      </c>
      <c r="AF14" s="51">
        <f>100</f>
        <v>100</v>
      </c>
      <c r="AG14" s="49">
        <f>FleetAverage!H14</f>
        <v>33.946454838709684</v>
      </c>
    </row>
    <row r="15" spans="1:33" x14ac:dyDescent="0.25">
      <c r="A15" s="41">
        <f>FleetAverage!B15</f>
        <v>6.5</v>
      </c>
      <c r="B15" s="43">
        <f>FleetAverage!I15</f>
        <v>18.157529666666676</v>
      </c>
      <c r="C15" s="43">
        <f>FleetAverage!J15</f>
        <v>129.49456387256663</v>
      </c>
      <c r="D15" s="44">
        <f>FleetAverage!K15</f>
        <v>9.6579410005881439E-4</v>
      </c>
      <c r="F15" s="41">
        <f>FleetAverage!B15</f>
        <v>6.5</v>
      </c>
      <c r="G15" s="47">
        <f>FleetAverage!E15</f>
        <v>0.9039435483870969</v>
      </c>
      <c r="H15" s="47">
        <f>FleetAverage!F15</f>
        <v>6.0564516129032256E-3</v>
      </c>
      <c r="I15" s="49">
        <f>FleetAverage!H15</f>
        <v>41.726845161290314</v>
      </c>
      <c r="K15" s="4" t="str">
        <f>ProsumerMetrics!A15</f>
        <v>BES_TR8_one482_B</v>
      </c>
      <c r="L15" s="51">
        <f>ProsumerMetrics!J15</f>
        <v>23.6</v>
      </c>
      <c r="M15" s="49">
        <f>ProsumerMetrics!K15</f>
        <v>100</v>
      </c>
      <c r="T15" s="41">
        <f>FleetAverage!B15</f>
        <v>6.5</v>
      </c>
      <c r="U15" s="47">
        <f>FleetAverage!C15</f>
        <v>0.14643169086021512</v>
      </c>
      <c r="V15" s="47">
        <f>FleetAverage!D15</f>
        <v>1.0443109989723116</v>
      </c>
      <c r="W15" s="47">
        <f>FleetAverage!E15</f>
        <v>0.9039435483870969</v>
      </c>
      <c r="X15" s="47">
        <f>FleetAverage!F15</f>
        <v>6.0564516129032256E-3</v>
      </c>
      <c r="Y15" s="55">
        <f>FleetAverage!G15</f>
        <v>7.7886620971842624E-6</v>
      </c>
      <c r="AA15" s="41">
        <f>FleetAverage!B15</f>
        <v>6.5</v>
      </c>
      <c r="AB15" s="47">
        <f>0</f>
        <v>0</v>
      </c>
      <c r="AC15" s="47">
        <f>FleetAverage!G15</f>
        <v>7.7886620971842624E-6</v>
      </c>
      <c r="AD15" s="47">
        <f t="shared" si="1"/>
        <v>7.7886620971842624E-6</v>
      </c>
      <c r="AE15" s="47">
        <f t="shared" si="2"/>
        <v>0</v>
      </c>
      <c r="AF15" s="51">
        <f>100</f>
        <v>100</v>
      </c>
      <c r="AG15" s="49">
        <f>FleetAverage!H15</f>
        <v>41.726845161290314</v>
      </c>
    </row>
    <row r="16" spans="1:33" x14ac:dyDescent="0.25">
      <c r="A16" s="41">
        <f>FleetAverage!B16</f>
        <v>7</v>
      </c>
      <c r="B16" s="43">
        <f>FleetAverage!I16</f>
        <v>18.777768200000008</v>
      </c>
      <c r="C16" s="43">
        <f>FleetAverage!J16</f>
        <v>158.89088300154998</v>
      </c>
      <c r="D16" s="44">
        <f>FleetAverage!K16</f>
        <v>-6.9114801549978677E-2</v>
      </c>
      <c r="F16" s="41">
        <f>FleetAverage!B16</f>
        <v>7</v>
      </c>
      <c r="G16" s="47">
        <f>FleetAverage!E16</f>
        <v>1.1330241935483871</v>
      </c>
      <c r="H16" s="47">
        <f>FleetAverage!F16</f>
        <v>3.6370967741935485E-3</v>
      </c>
      <c r="I16" s="49">
        <f>FleetAverage!H16</f>
        <v>51.859936290322551</v>
      </c>
      <c r="K16" s="4" t="str">
        <f>ProsumerMetrics!A16</f>
        <v>BES_TR8_one61_A</v>
      </c>
      <c r="L16" s="51">
        <f>ProsumerMetrics!J16</f>
        <v>60.1</v>
      </c>
      <c r="M16" s="49">
        <f>ProsumerMetrics!K16</f>
        <v>100</v>
      </c>
      <c r="T16" s="41">
        <f>FleetAverage!B16</f>
        <v>7</v>
      </c>
      <c r="U16" s="47">
        <f>FleetAverage!C16</f>
        <v>0.15143361451612911</v>
      </c>
      <c r="V16" s="47">
        <f>FleetAverage!D16</f>
        <v>1.2813780887221773</v>
      </c>
      <c r="W16" s="47">
        <f>FleetAverage!E16</f>
        <v>1.1330241935483871</v>
      </c>
      <c r="X16" s="47">
        <f>FleetAverage!F16</f>
        <v>3.6370967741935485E-3</v>
      </c>
      <c r="Y16" s="55">
        <f>FleetAverage!G16</f>
        <v>-5.5737743185468825E-4</v>
      </c>
      <c r="AA16" s="41">
        <f>FleetAverage!B16</f>
        <v>7</v>
      </c>
      <c r="AB16" s="47">
        <f>0</f>
        <v>0</v>
      </c>
      <c r="AC16" s="47">
        <f>FleetAverage!G16</f>
        <v>-5.5737743185468825E-4</v>
      </c>
      <c r="AD16" s="47">
        <f t="shared" si="1"/>
        <v>0</v>
      </c>
      <c r="AE16" s="47">
        <f t="shared" si="2"/>
        <v>-5.5737743185468825E-4</v>
      </c>
      <c r="AF16" s="51">
        <f>100</f>
        <v>100</v>
      </c>
      <c r="AG16" s="49">
        <f>FleetAverage!H16</f>
        <v>51.859936290322551</v>
      </c>
    </row>
    <row r="17" spans="1:33" x14ac:dyDescent="0.25">
      <c r="A17" s="41">
        <f>FleetAverage!B17</f>
        <v>7.5</v>
      </c>
      <c r="B17" s="43">
        <f>FleetAverage!I17</f>
        <v>22.534144433333338</v>
      </c>
      <c r="C17" s="43">
        <f>FleetAverage!J17</f>
        <v>188.32996333374984</v>
      </c>
      <c r="D17" s="44">
        <f>FleetAverage!K17</f>
        <v>-12.937818900416504</v>
      </c>
      <c r="F17" s="41">
        <f>FleetAverage!B17</f>
        <v>7.5</v>
      </c>
      <c r="G17" s="47">
        <f>FleetAverage!E17</f>
        <v>1.234475806451613</v>
      </c>
      <c r="H17" s="47">
        <f>FleetAverage!F17</f>
        <v>1.75E-3</v>
      </c>
      <c r="I17" s="49">
        <f>FleetAverage!H17</f>
        <v>64.610875806451659</v>
      </c>
      <c r="K17" s="4" t="str">
        <f>ProsumerMetrics!A17</f>
        <v>BES_TR8_one552_B</v>
      </c>
      <c r="L17" s="51">
        <f>ProsumerMetrics!J17</f>
        <v>97.4</v>
      </c>
      <c r="M17" s="49">
        <f>ProsumerMetrics!K17</f>
        <v>95.6</v>
      </c>
      <c r="T17" s="41">
        <f>FleetAverage!B17</f>
        <v>7.5</v>
      </c>
      <c r="U17" s="47">
        <f>FleetAverage!C17</f>
        <v>0.18172697123655918</v>
      </c>
      <c r="V17" s="47">
        <f>FleetAverage!D17</f>
        <v>1.5187900268850794</v>
      </c>
      <c r="W17" s="47">
        <f>FleetAverage!E17</f>
        <v>1.234475806451613</v>
      </c>
      <c r="X17" s="47">
        <f>FleetAverage!F17</f>
        <v>1.75E-3</v>
      </c>
      <c r="Y17" s="55">
        <f>FleetAverage!G17</f>
        <v>-0.10433724919690709</v>
      </c>
      <c r="AA17" s="41">
        <f>FleetAverage!B17</f>
        <v>7.5</v>
      </c>
      <c r="AB17" s="47">
        <f>0</f>
        <v>0</v>
      </c>
      <c r="AC17" s="47">
        <f>FleetAverage!G17</f>
        <v>-0.10433724919690709</v>
      </c>
      <c r="AD17" s="47">
        <f t="shared" si="1"/>
        <v>0</v>
      </c>
      <c r="AE17" s="47">
        <f t="shared" si="2"/>
        <v>-0.10433724919690709</v>
      </c>
      <c r="AF17" s="51">
        <f>100</f>
        <v>100</v>
      </c>
      <c r="AG17" s="49">
        <f>FleetAverage!H17</f>
        <v>64.610875806451659</v>
      </c>
    </row>
    <row r="18" spans="1:33" x14ac:dyDescent="0.25">
      <c r="A18" s="41">
        <f>FleetAverage!B18</f>
        <v>8</v>
      </c>
      <c r="B18" s="43">
        <f>FleetAverage!I18</f>
        <v>30.580284833333327</v>
      </c>
      <c r="C18" s="43">
        <f>FleetAverage!J18</f>
        <v>215.96041635968402</v>
      </c>
      <c r="D18" s="44">
        <f>FleetAverage!K18</f>
        <v>-97.190131526350683</v>
      </c>
      <c r="F18" s="41">
        <f>FleetAverage!B18</f>
        <v>8</v>
      </c>
      <c r="G18" s="47">
        <f>FleetAverage!E18</f>
        <v>0.71991129032258061</v>
      </c>
      <c r="H18" s="47">
        <f>FleetAverage!F18</f>
        <v>8.7016129032258058E-3</v>
      </c>
      <c r="I18" s="49">
        <f>FleetAverage!H18</f>
        <v>78.530950000000018</v>
      </c>
      <c r="K18" s="4" t="str">
        <f>ProsumerMetrics!A18</f>
        <v>BES_TR8_one560_C</v>
      </c>
      <c r="L18" s="51">
        <f>ProsumerMetrics!J18</f>
        <v>46.1</v>
      </c>
      <c r="M18" s="49">
        <f>ProsumerMetrics!K18</f>
        <v>84</v>
      </c>
      <c r="T18" s="41">
        <f>FleetAverage!B18</f>
        <v>8</v>
      </c>
      <c r="U18" s="47">
        <f>FleetAverage!C18</f>
        <v>0.24661520026881714</v>
      </c>
      <c r="V18" s="47">
        <f>FleetAverage!D18</f>
        <v>1.7416162609651937</v>
      </c>
      <c r="W18" s="47">
        <f>FleetAverage!E18</f>
        <v>0.71991129032258061</v>
      </c>
      <c r="X18" s="47">
        <f>FleetAverage!F18</f>
        <v>8.7016129032258058E-3</v>
      </c>
      <c r="Y18" s="55">
        <f>FleetAverage!G18</f>
        <v>-0.7837913832770218</v>
      </c>
      <c r="AA18" s="41">
        <f>FleetAverage!B18</f>
        <v>8</v>
      </c>
      <c r="AB18" s="47">
        <f>0</f>
        <v>0</v>
      </c>
      <c r="AC18" s="47">
        <f>FleetAverage!G18</f>
        <v>-0.7837913832770218</v>
      </c>
      <c r="AD18" s="47">
        <f t="shared" si="1"/>
        <v>0</v>
      </c>
      <c r="AE18" s="47">
        <f t="shared" si="2"/>
        <v>-0.7837913832770218</v>
      </c>
      <c r="AF18" s="51">
        <f>100</f>
        <v>100</v>
      </c>
      <c r="AG18" s="49">
        <f>FleetAverage!H18</f>
        <v>78.530950000000018</v>
      </c>
    </row>
    <row r="19" spans="1:33" x14ac:dyDescent="0.25">
      <c r="A19" s="41">
        <f>FleetAverage!B19</f>
        <v>8.5</v>
      </c>
      <c r="B19" s="43">
        <f>FleetAverage!I19</f>
        <v>37.009505166666678</v>
      </c>
      <c r="C19" s="43">
        <f>FleetAverage!J19</f>
        <v>241.93308279209978</v>
      </c>
      <c r="D19" s="44">
        <f>FleetAverage!K19</f>
        <v>-158.08557762543313</v>
      </c>
      <c r="F19" s="41">
        <f>FleetAverage!B19</f>
        <v>8.5</v>
      </c>
      <c r="G19" s="47">
        <f>FleetAverage!E19</f>
        <v>0.38551612903225796</v>
      </c>
      <c r="H19" s="47">
        <f>FleetAverage!F19</f>
        <v>7.7903225806451601E-3</v>
      </c>
      <c r="I19" s="49">
        <f>FleetAverage!H19</f>
        <v>86.552554838709696</v>
      </c>
      <c r="K19" s="4" t="str">
        <f>ProsumerMetrics!A19</f>
        <v>BES_TR8_one73_A</v>
      </c>
      <c r="L19" s="51">
        <f>ProsumerMetrics!J19</f>
        <v>98</v>
      </c>
      <c r="M19" s="49">
        <f>ProsumerMetrics!K19</f>
        <v>98.3</v>
      </c>
      <c r="T19" s="41">
        <f>FleetAverage!B19</f>
        <v>8.5</v>
      </c>
      <c r="U19" s="47">
        <f>FleetAverage!C19</f>
        <v>0.29846375134408609</v>
      </c>
      <c r="V19" s="47">
        <f>FleetAverage!D19</f>
        <v>1.9510732483233852</v>
      </c>
      <c r="W19" s="47">
        <f>FleetAverage!E19</f>
        <v>0.38551612903225796</v>
      </c>
      <c r="X19" s="47">
        <f>FleetAverage!F19</f>
        <v>7.7903225806451601E-3</v>
      </c>
      <c r="Y19" s="55">
        <f>FleetAverage!G19</f>
        <v>-1.2748836905276864</v>
      </c>
      <c r="AA19" s="41">
        <f>FleetAverage!B19</f>
        <v>8.5</v>
      </c>
      <c r="AB19" s="47">
        <f>0</f>
        <v>0</v>
      </c>
      <c r="AC19" s="47">
        <f>FleetAverage!G19</f>
        <v>-1.2748836905276864</v>
      </c>
      <c r="AD19" s="47">
        <f t="shared" si="1"/>
        <v>0</v>
      </c>
      <c r="AE19" s="47">
        <f t="shared" si="2"/>
        <v>-1.2748836905276864</v>
      </c>
      <c r="AF19" s="51">
        <f>100</f>
        <v>100</v>
      </c>
      <c r="AG19" s="49">
        <f>FleetAverage!H19</f>
        <v>86.552554838709696</v>
      </c>
    </row>
    <row r="20" spans="1:33" x14ac:dyDescent="0.25">
      <c r="A20" s="41">
        <f>FleetAverage!B20</f>
        <v>9</v>
      </c>
      <c r="B20" s="43">
        <f>FleetAverage!I20</f>
        <v>40.686142166666677</v>
      </c>
      <c r="C20" s="43">
        <f>FleetAverage!J20</f>
        <v>264.05287521433348</v>
      </c>
      <c r="D20" s="44">
        <f>FleetAverage!K20</f>
        <v>-192.99173304766677</v>
      </c>
      <c r="F20" s="41">
        <f>FleetAverage!B20</f>
        <v>9</v>
      </c>
      <c r="G20" s="47">
        <f>FleetAverage!E20</f>
        <v>0.25962903225806455</v>
      </c>
      <c r="H20" s="47">
        <f>FleetAverage!F20</f>
        <v>1.4669354838709677E-2</v>
      </c>
      <c r="I20" s="49">
        <f>FleetAverage!H20</f>
        <v>90.809050000000013</v>
      </c>
      <c r="K20" s="4" t="str">
        <f>ProsumerMetrics!A20</f>
        <v>BES_TR8_one137_A</v>
      </c>
      <c r="L20" s="51">
        <f>ProsumerMetrics!J20</f>
        <v>26.8</v>
      </c>
      <c r="M20" s="49">
        <f>ProsumerMetrics!K20</f>
        <v>100</v>
      </c>
      <c r="T20" s="41">
        <f>FleetAverage!B20</f>
        <v>9</v>
      </c>
      <c r="U20" s="47">
        <f>FleetAverage!C20</f>
        <v>0.32811404973118286</v>
      </c>
      <c r="V20" s="47">
        <f>FleetAverage!D20</f>
        <v>2.1294586710833348</v>
      </c>
      <c r="W20" s="47">
        <f>FleetAverage!E20</f>
        <v>0.25962903225806455</v>
      </c>
      <c r="X20" s="47">
        <f>FleetAverage!F20</f>
        <v>1.4669354838709677E-2</v>
      </c>
      <c r="Y20" s="55">
        <f>FleetAverage!G20</f>
        <v>-1.5563849439327968</v>
      </c>
      <c r="AA20" s="41">
        <f>FleetAverage!B20</f>
        <v>9</v>
      </c>
      <c r="AB20" s="47">
        <f>0</f>
        <v>0</v>
      </c>
      <c r="AC20" s="47">
        <f>FleetAverage!G20</f>
        <v>-1.5563849439327968</v>
      </c>
      <c r="AD20" s="47">
        <f t="shared" si="1"/>
        <v>0</v>
      </c>
      <c r="AE20" s="47">
        <f t="shared" si="2"/>
        <v>-1.5563849439327968</v>
      </c>
      <c r="AF20" s="51">
        <f>100</f>
        <v>100</v>
      </c>
      <c r="AG20" s="49">
        <f>FleetAverage!H20</f>
        <v>90.809050000000013</v>
      </c>
    </row>
    <row r="21" spans="1:33" x14ac:dyDescent="0.25">
      <c r="A21" s="41">
        <f>FleetAverage!B21</f>
        <v>9.5</v>
      </c>
      <c r="B21" s="43">
        <f>FleetAverage!I21</f>
        <v>41.661213333333365</v>
      </c>
      <c r="C21" s="43">
        <f>FleetAverage!J21</f>
        <v>282.91881735996617</v>
      </c>
      <c r="D21" s="44">
        <f>FleetAverage!K21</f>
        <v>-220.2276040266328</v>
      </c>
      <c r="F21" s="41">
        <f>FleetAverage!B21</f>
        <v>9.5</v>
      </c>
      <c r="G21" s="47">
        <f>FleetAverage!E21</f>
        <v>0.19473387096774186</v>
      </c>
      <c r="H21" s="47">
        <f>FleetAverage!F21</f>
        <v>2.5137096774193547E-2</v>
      </c>
      <c r="I21" s="49">
        <f>FleetAverage!H21</f>
        <v>93.557691129032236</v>
      </c>
      <c r="K21" s="4" t="str">
        <f>ProsumerMetrics!A21</f>
        <v>BES_TR8_four50_C</v>
      </c>
      <c r="L21" s="51">
        <f>ProsumerMetrics!J21</f>
        <v>22.5</v>
      </c>
      <c r="M21" s="49">
        <f>ProsumerMetrics!K21</f>
        <v>100</v>
      </c>
      <c r="T21" s="41">
        <f>FleetAverage!B21</f>
        <v>9.5</v>
      </c>
      <c r="U21" s="47">
        <f>FleetAverage!C21</f>
        <v>0.33597752688172067</v>
      </c>
      <c r="V21" s="47">
        <f>FleetAverage!D21</f>
        <v>2.2816033658061787</v>
      </c>
      <c r="W21" s="47">
        <f>FleetAverage!E21</f>
        <v>0.19473387096774186</v>
      </c>
      <c r="X21" s="47">
        <f>FleetAverage!F21</f>
        <v>2.5137096774193547E-2</v>
      </c>
      <c r="Y21" s="55">
        <f>FleetAverage!G21</f>
        <v>-1.7760290647309098</v>
      </c>
      <c r="AA21" s="41">
        <f>FleetAverage!B21</f>
        <v>9.5</v>
      </c>
      <c r="AB21" s="47">
        <f>0</f>
        <v>0</v>
      </c>
      <c r="AC21" s="47">
        <f>FleetAverage!G21</f>
        <v>-1.7760290647309098</v>
      </c>
      <c r="AD21" s="47">
        <f t="shared" si="1"/>
        <v>0</v>
      </c>
      <c r="AE21" s="47">
        <f t="shared" si="2"/>
        <v>-1.7760290647309098</v>
      </c>
      <c r="AF21" s="51">
        <f>100</f>
        <v>100</v>
      </c>
      <c r="AG21" s="49">
        <f>FleetAverage!H21</f>
        <v>93.557691129032236</v>
      </c>
    </row>
    <row r="22" spans="1:33" x14ac:dyDescent="0.25">
      <c r="A22" s="41">
        <f>FleetAverage!B22</f>
        <v>10</v>
      </c>
      <c r="B22" s="43">
        <f>FleetAverage!I22</f>
        <v>44.838113966666661</v>
      </c>
      <c r="C22" s="43">
        <f>FleetAverage!J22</f>
        <v>299.47835294498344</v>
      </c>
      <c r="D22" s="44">
        <f>FleetAverage!K22</f>
        <v>-241.6812389783168</v>
      </c>
      <c r="F22" s="41">
        <f>FleetAverage!B22</f>
        <v>10</v>
      </c>
      <c r="G22" s="47">
        <f>FleetAverage!E22</f>
        <v>0.11648387096774195</v>
      </c>
      <c r="H22" s="47">
        <f>FleetAverage!F22</f>
        <v>1.1975806451612904E-2</v>
      </c>
      <c r="I22" s="49">
        <f>FleetAverage!H22</f>
        <v>95.441881451612915</v>
      </c>
      <c r="K22" s="4" t="str">
        <f>ProsumerMetrics!A22</f>
        <v>BES_TR8_four171_A</v>
      </c>
      <c r="L22" s="51">
        <f>ProsumerMetrics!J22</f>
        <v>56.3</v>
      </c>
      <c r="M22" s="49">
        <f>ProsumerMetrics!K22</f>
        <v>100</v>
      </c>
      <c r="T22" s="41">
        <f>FleetAverage!B22</f>
        <v>10</v>
      </c>
      <c r="U22" s="47">
        <f>FleetAverage!C22</f>
        <v>0.36159769327956987</v>
      </c>
      <c r="V22" s="47">
        <f>FleetAverage!D22</f>
        <v>2.415148007620834</v>
      </c>
      <c r="W22" s="47">
        <f>FleetAverage!E22</f>
        <v>0.11648387096774195</v>
      </c>
      <c r="X22" s="47">
        <f>FleetAverage!F22</f>
        <v>1.1975806451612904E-2</v>
      </c>
      <c r="Y22" s="55">
        <f>FleetAverage!G22</f>
        <v>-1.949042249825135</v>
      </c>
      <c r="AA22" s="41">
        <f>FleetAverage!B22</f>
        <v>10</v>
      </c>
      <c r="AB22" s="47">
        <f>0</f>
        <v>0</v>
      </c>
      <c r="AC22" s="47">
        <f>FleetAverage!G22</f>
        <v>-1.949042249825135</v>
      </c>
      <c r="AD22" s="47">
        <f t="shared" si="1"/>
        <v>0</v>
      </c>
      <c r="AE22" s="47">
        <f t="shared" si="2"/>
        <v>-1.949042249825135</v>
      </c>
      <c r="AF22" s="51">
        <f>100</f>
        <v>100</v>
      </c>
      <c r="AG22" s="49">
        <f>FleetAverage!H22</f>
        <v>95.441881451612915</v>
      </c>
    </row>
    <row r="23" spans="1:33" x14ac:dyDescent="0.25">
      <c r="A23" s="41">
        <f>FleetAverage!B23</f>
        <v>10.5</v>
      </c>
      <c r="B23" s="43">
        <f>FleetAverage!I23</f>
        <v>47.066098766666641</v>
      </c>
      <c r="C23" s="43">
        <f>FleetAverage!J23</f>
        <v>313.14522593444968</v>
      </c>
      <c r="D23" s="44">
        <f>FleetAverage!K23</f>
        <v>-261.25512716778303</v>
      </c>
      <c r="F23" s="41">
        <f>FleetAverage!B23</f>
        <v>10.5</v>
      </c>
      <c r="G23" s="47">
        <f>FleetAverage!E23</f>
        <v>6.9266129032258067E-2</v>
      </c>
      <c r="H23" s="47">
        <f>FleetAverage!F23</f>
        <v>3.0362903225806454E-2</v>
      </c>
      <c r="I23" s="49">
        <f>FleetAverage!H23</f>
        <v>96.607210483870972</v>
      </c>
      <c r="K23" s="4" t="str">
        <f>ProsumerMetrics!A23</f>
        <v>BES_TR8_four180_A</v>
      </c>
      <c r="L23" s="51">
        <f>ProsumerMetrics!J23</f>
        <v>31.1</v>
      </c>
      <c r="M23" s="49">
        <f>ProsumerMetrics!K23</f>
        <v>100</v>
      </c>
      <c r="T23" s="41">
        <f>FleetAverage!B23</f>
        <v>10.5</v>
      </c>
      <c r="U23" s="47">
        <f>FleetAverage!C23</f>
        <v>0.3795653126344084</v>
      </c>
      <c r="V23" s="47">
        <f>FleetAverage!D23</f>
        <v>2.5253647252778202</v>
      </c>
      <c r="W23" s="47">
        <f>FleetAverage!E23</f>
        <v>6.9266129032258067E-2</v>
      </c>
      <c r="X23" s="47">
        <f>FleetAverage!F23</f>
        <v>3.0362903225806454E-2</v>
      </c>
      <c r="Y23" s="55">
        <f>FleetAverage!G23</f>
        <v>-2.10689618683696</v>
      </c>
      <c r="AA23" s="41">
        <f>FleetAverage!B23</f>
        <v>10.5</v>
      </c>
      <c r="AB23" s="47">
        <f>0</f>
        <v>0</v>
      </c>
      <c r="AC23" s="47">
        <f>FleetAverage!G23</f>
        <v>-2.10689618683696</v>
      </c>
      <c r="AD23" s="47">
        <f t="shared" si="1"/>
        <v>0</v>
      </c>
      <c r="AE23" s="47">
        <f t="shared" si="2"/>
        <v>-2.10689618683696</v>
      </c>
      <c r="AF23" s="51">
        <f>100</f>
        <v>100</v>
      </c>
      <c r="AG23" s="49">
        <f>FleetAverage!H23</f>
        <v>96.607210483870972</v>
      </c>
    </row>
    <row r="24" spans="1:33" x14ac:dyDescent="0.25">
      <c r="A24" s="41">
        <f>FleetAverage!B24</f>
        <v>11</v>
      </c>
      <c r="B24" s="43">
        <f>FleetAverage!I24</f>
        <v>42.693619866666637</v>
      </c>
      <c r="C24" s="43">
        <f>FleetAverage!J24</f>
        <v>322.84226956508331</v>
      </c>
      <c r="D24" s="44">
        <f>FleetAverage!K24</f>
        <v>-271.47764969841666</v>
      </c>
      <c r="F24" s="41">
        <f>FleetAverage!B24</f>
        <v>11</v>
      </c>
      <c r="G24" s="47">
        <f>FleetAverage!E24</f>
        <v>7.8475806451612909E-2</v>
      </c>
      <c r="H24" s="47">
        <f>FleetAverage!F24</f>
        <v>8.5483870967741939E-3</v>
      </c>
      <c r="I24" s="49">
        <f>FleetAverage!H24</f>
        <v>97.008322580645171</v>
      </c>
      <c r="K24" s="4" t="str">
        <f>ProsumerMetrics!A24</f>
        <v>BES_TR8_four200_A</v>
      </c>
      <c r="L24" s="51">
        <f>ProsumerMetrics!J24</f>
        <v>19</v>
      </c>
      <c r="M24" s="49">
        <f>ProsumerMetrics!K24</f>
        <v>100</v>
      </c>
      <c r="T24" s="41">
        <f>FleetAverage!B24</f>
        <v>11</v>
      </c>
      <c r="U24" s="47">
        <f>FleetAverage!C24</f>
        <v>0.34430338602150512</v>
      </c>
      <c r="V24" s="47">
        <f>FleetAverage!D24</f>
        <v>2.6035666900409944</v>
      </c>
      <c r="W24" s="47">
        <f>FleetAverage!E24</f>
        <v>7.8475806451612909E-2</v>
      </c>
      <c r="X24" s="47">
        <f>FleetAverage!F24</f>
        <v>8.5483870967741939E-3</v>
      </c>
      <c r="Y24" s="55">
        <f>FleetAverage!G24</f>
        <v>-2.1893358846646507</v>
      </c>
      <c r="AA24" s="41">
        <f>FleetAverage!B24</f>
        <v>11</v>
      </c>
      <c r="AB24" s="47">
        <f>0</f>
        <v>0</v>
      </c>
      <c r="AC24" s="47">
        <f>FleetAverage!G24</f>
        <v>-2.1893358846646507</v>
      </c>
      <c r="AD24" s="47">
        <f t="shared" si="1"/>
        <v>0</v>
      </c>
      <c r="AE24" s="47">
        <f t="shared" si="2"/>
        <v>-2.1893358846646507</v>
      </c>
      <c r="AF24" s="51">
        <f>100</f>
        <v>100</v>
      </c>
      <c r="AG24" s="49">
        <f>FleetAverage!H24</f>
        <v>97.008322580645171</v>
      </c>
    </row>
    <row r="25" spans="1:33" x14ac:dyDescent="0.25">
      <c r="A25" s="41">
        <f>FleetAverage!B25</f>
        <v>11.5</v>
      </c>
      <c r="B25" s="43">
        <f>FleetAverage!I25</f>
        <v>54.35274233333331</v>
      </c>
      <c r="C25" s="43">
        <f>FleetAverage!J25</f>
        <v>327.09492485180016</v>
      </c>
      <c r="D25" s="44">
        <f>FleetAverage!K25</f>
        <v>-272.54218251846686</v>
      </c>
      <c r="F25" s="41">
        <f>FleetAverage!B25</f>
        <v>11.5</v>
      </c>
      <c r="G25" s="47">
        <f>FleetAverage!E25</f>
        <v>4.4693548387096771E-2</v>
      </c>
      <c r="H25" s="47">
        <f>FleetAverage!F25</f>
        <v>4.3080645161290329E-2</v>
      </c>
      <c r="I25" s="49">
        <f>FleetAverage!H25</f>
        <v>97.787419354838718</v>
      </c>
      <c r="K25" s="4" t="str">
        <f>ProsumerMetrics!A25</f>
        <v>BES_TR8_four239_A</v>
      </c>
      <c r="L25" s="51">
        <f>ProsumerMetrics!J25</f>
        <v>15</v>
      </c>
      <c r="M25" s="49">
        <f>ProsumerMetrics!K25</f>
        <v>99.9</v>
      </c>
      <c r="T25" s="41">
        <f>FleetAverage!B25</f>
        <v>11.5</v>
      </c>
      <c r="U25" s="47">
        <f>FleetAverage!C25</f>
        <v>0.43832856720430091</v>
      </c>
      <c r="V25" s="47">
        <f>FleetAverage!D25</f>
        <v>2.6378622971919365</v>
      </c>
      <c r="W25" s="47">
        <f>FleetAverage!E25</f>
        <v>4.4693548387096771E-2</v>
      </c>
      <c r="X25" s="47">
        <f>FleetAverage!F25</f>
        <v>4.3080645161290329E-2</v>
      </c>
      <c r="Y25" s="55">
        <f>FleetAverage!G25</f>
        <v>-2.1979208267618291</v>
      </c>
      <c r="AA25" s="41">
        <f>FleetAverage!B25</f>
        <v>11.5</v>
      </c>
      <c r="AB25" s="47">
        <f>0</f>
        <v>0</v>
      </c>
      <c r="AC25" s="47">
        <f>FleetAverage!G25</f>
        <v>-2.1979208267618291</v>
      </c>
      <c r="AD25" s="47">
        <f t="shared" si="1"/>
        <v>0</v>
      </c>
      <c r="AE25" s="47">
        <f t="shared" si="2"/>
        <v>-2.1979208267618291</v>
      </c>
      <c r="AF25" s="51">
        <f>100</f>
        <v>100</v>
      </c>
      <c r="AG25" s="49">
        <f>FleetAverage!H25</f>
        <v>97.787419354838718</v>
      </c>
    </row>
    <row r="26" spans="1:33" x14ac:dyDescent="0.25">
      <c r="A26" s="41">
        <f>FleetAverage!B26</f>
        <v>12</v>
      </c>
      <c r="B26" s="43">
        <f>FleetAverage!I26</f>
        <v>50.733500333333318</v>
      </c>
      <c r="C26" s="43">
        <f>FleetAverage!J26</f>
        <v>328.32665675973357</v>
      </c>
      <c r="D26" s="44">
        <f>FleetAverage!K26</f>
        <v>-273.23415642640026</v>
      </c>
      <c r="F26" s="41">
        <f>FleetAverage!B26</f>
        <v>12</v>
      </c>
      <c r="G26" s="47">
        <f>FleetAverage!E26</f>
        <v>5.3387096774193551E-2</v>
      </c>
      <c r="H26" s="47">
        <f>FleetAverage!F26</f>
        <v>1.8233870967741938E-2</v>
      </c>
      <c r="I26" s="49">
        <f>FleetAverage!H26</f>
        <v>97.751525806451639</v>
      </c>
      <c r="K26" s="4" t="str">
        <f>ProsumerMetrics!A26</f>
        <v>BES_TR8_four259_B</v>
      </c>
      <c r="L26" s="51">
        <f>ProsumerMetrics!J26</f>
        <v>20.2</v>
      </c>
      <c r="M26" s="49">
        <f>ProsumerMetrics!K26</f>
        <v>100</v>
      </c>
      <c r="T26" s="41">
        <f>FleetAverage!B26</f>
        <v>12</v>
      </c>
      <c r="U26" s="47">
        <f>FleetAverage!C26</f>
        <v>0.40914113172042998</v>
      </c>
      <c r="V26" s="47">
        <f>FleetAverage!D26</f>
        <v>2.6477956190301093</v>
      </c>
      <c r="W26" s="47">
        <f>FleetAverage!E26</f>
        <v>5.3387096774193551E-2</v>
      </c>
      <c r="X26" s="47">
        <f>FleetAverage!F26</f>
        <v>1.8233870967741938E-2</v>
      </c>
      <c r="Y26" s="55">
        <f>FleetAverage!G26</f>
        <v>-2.2035012615032277</v>
      </c>
      <c r="AA26" s="41">
        <f>FleetAverage!B26</f>
        <v>12</v>
      </c>
      <c r="AB26" s="47">
        <f>0</f>
        <v>0</v>
      </c>
      <c r="AC26" s="47">
        <f>FleetAverage!G26</f>
        <v>-2.2035012615032277</v>
      </c>
      <c r="AD26" s="47">
        <f t="shared" si="1"/>
        <v>0</v>
      </c>
      <c r="AE26" s="47">
        <f t="shared" si="2"/>
        <v>-2.2035012615032277</v>
      </c>
      <c r="AF26" s="51">
        <f>100</f>
        <v>100</v>
      </c>
      <c r="AG26" s="49">
        <f>FleetAverage!H26</f>
        <v>97.751525806451639</v>
      </c>
    </row>
    <row r="27" spans="1:33" x14ac:dyDescent="0.25">
      <c r="A27" s="41">
        <f>FleetAverage!B27</f>
        <v>12.5</v>
      </c>
      <c r="B27" s="43">
        <f>FleetAverage!I27</f>
        <v>37.989170099999981</v>
      </c>
      <c r="C27" s="43">
        <f>FleetAverage!J27</f>
        <v>326.02242946699999</v>
      </c>
      <c r="D27" s="44">
        <f>FleetAverage!K27</f>
        <v>-283.93725936700002</v>
      </c>
      <c r="F27" s="41">
        <f>FleetAverage!B27</f>
        <v>12.5</v>
      </c>
      <c r="G27" s="47">
        <f>FleetAverage!E27</f>
        <v>3.7967741935483863E-2</v>
      </c>
      <c r="H27" s="47">
        <f>FleetAverage!F27</f>
        <v>4.9354838709677416E-3</v>
      </c>
      <c r="I27" s="49">
        <f>FleetAverage!H27</f>
        <v>98.125580645161293</v>
      </c>
      <c r="K27" s="4" t="str">
        <f>ProsumerMetrics!A27</f>
        <v>BES_TR8_four265_C</v>
      </c>
      <c r="L27" s="51">
        <f>ProsumerMetrics!J27</f>
        <v>44.2</v>
      </c>
      <c r="M27" s="49">
        <f>ProsumerMetrics!K27</f>
        <v>81</v>
      </c>
      <c r="T27" s="41">
        <f>FleetAverage!B27</f>
        <v>12.5</v>
      </c>
      <c r="U27" s="47">
        <f>FleetAverage!C27</f>
        <v>0.30636427499999985</v>
      </c>
      <c r="V27" s="47">
        <f>FleetAverage!D27</f>
        <v>2.6292131408629031</v>
      </c>
      <c r="W27" s="47">
        <f>FleetAverage!E27</f>
        <v>3.7967741935483863E-2</v>
      </c>
      <c r="X27" s="47">
        <f>FleetAverage!F27</f>
        <v>4.9354838709677416E-3</v>
      </c>
      <c r="Y27" s="55">
        <f>FleetAverage!G27</f>
        <v>-2.2898166077983872</v>
      </c>
      <c r="AA27" s="41">
        <f>FleetAverage!B27</f>
        <v>12.5</v>
      </c>
      <c r="AB27" s="47">
        <f>0</f>
        <v>0</v>
      </c>
      <c r="AC27" s="47">
        <f>FleetAverage!G27</f>
        <v>-2.2898166077983872</v>
      </c>
      <c r="AD27" s="47">
        <f t="shared" si="1"/>
        <v>0</v>
      </c>
      <c r="AE27" s="47">
        <f t="shared" si="2"/>
        <v>-2.2898166077983872</v>
      </c>
      <c r="AF27" s="51">
        <f>100</f>
        <v>100</v>
      </c>
      <c r="AG27" s="49">
        <f>FleetAverage!H27</f>
        <v>98.125580645161293</v>
      </c>
    </row>
    <row r="28" spans="1:33" x14ac:dyDescent="0.25">
      <c r="A28" s="41">
        <f>FleetAverage!B28</f>
        <v>13</v>
      </c>
      <c r="B28" s="43">
        <f>FleetAverage!I28</f>
        <v>31.134782866666658</v>
      </c>
      <c r="C28" s="43">
        <f>FleetAverage!J28</f>
        <v>318.28149022075013</v>
      </c>
      <c r="D28" s="44">
        <f>FleetAverage!K28</f>
        <v>-282.91170735408349</v>
      </c>
      <c r="F28" s="41">
        <f>FleetAverage!B28</f>
        <v>13</v>
      </c>
      <c r="G28" s="47">
        <f>FleetAverage!E28</f>
        <v>3.6782258064516127E-2</v>
      </c>
      <c r="H28" s="47">
        <f>FleetAverage!F28</f>
        <v>2.6290322580645163E-3</v>
      </c>
      <c r="I28" s="49">
        <f>FleetAverage!H28</f>
        <v>98.492450806451629</v>
      </c>
      <c r="K28" s="4" t="str">
        <f>ProsumerMetrics!A28</f>
        <v>BES_TR8_four54_C</v>
      </c>
      <c r="L28" s="51">
        <f>ProsumerMetrics!J28</f>
        <v>22.9</v>
      </c>
      <c r="M28" s="49">
        <f>ProsumerMetrics!K28</f>
        <v>100</v>
      </c>
      <c r="T28" s="41">
        <f>FleetAverage!B28</f>
        <v>13</v>
      </c>
      <c r="U28" s="47">
        <f>FleetAverage!C28</f>
        <v>0.25108695860215047</v>
      </c>
      <c r="V28" s="47">
        <f>FleetAverage!D28</f>
        <v>2.5667862114576625</v>
      </c>
      <c r="W28" s="47">
        <f>FleetAverage!E28</f>
        <v>3.6782258064516127E-2</v>
      </c>
      <c r="X28" s="47">
        <f>FleetAverage!F28</f>
        <v>2.6290322580645163E-3</v>
      </c>
      <c r="Y28" s="55">
        <f>FleetAverage!G28</f>
        <v>-2.2815460270490604</v>
      </c>
      <c r="AA28" s="41">
        <f>FleetAverage!B28</f>
        <v>13</v>
      </c>
      <c r="AB28" s="47">
        <f>0</f>
        <v>0</v>
      </c>
      <c r="AC28" s="47">
        <f>FleetAverage!G28</f>
        <v>-2.2815460270490604</v>
      </c>
      <c r="AD28" s="47">
        <f t="shared" si="1"/>
        <v>0</v>
      </c>
      <c r="AE28" s="47">
        <f t="shared" si="2"/>
        <v>-2.2815460270490604</v>
      </c>
      <c r="AF28" s="51">
        <f>100</f>
        <v>100</v>
      </c>
      <c r="AG28" s="49">
        <f>FleetAverage!H28</f>
        <v>98.492450806451629</v>
      </c>
    </row>
    <row r="29" spans="1:33" x14ac:dyDescent="0.25">
      <c r="A29" s="41">
        <f>FleetAverage!B29</f>
        <v>13.5</v>
      </c>
      <c r="B29" s="43">
        <f>FleetAverage!I29</f>
        <v>34.636476266666683</v>
      </c>
      <c r="C29" s="43">
        <f>FleetAverage!J29</f>
        <v>306.47176148213322</v>
      </c>
      <c r="D29" s="44">
        <f>FleetAverage!K29</f>
        <v>-270.37728521546654</v>
      </c>
      <c r="F29" s="41">
        <f>FleetAverage!B29</f>
        <v>13.5</v>
      </c>
      <c r="G29" s="47">
        <f>FleetAverage!E29</f>
        <v>1.4870967741935482E-2</v>
      </c>
      <c r="H29" s="47">
        <f>FleetAverage!F29</f>
        <v>3.1129032258064519E-3</v>
      </c>
      <c r="I29" s="49">
        <f>FleetAverage!H29</f>
        <v>98.874781451612904</v>
      </c>
      <c r="K29" s="4" t="str">
        <f>ProsumerMetrics!A29</f>
        <v>BES_TR8_four288_B</v>
      </c>
      <c r="L29" s="51">
        <f>ProsumerMetrics!J29</f>
        <v>23.2</v>
      </c>
      <c r="M29" s="49">
        <f>ProsumerMetrics!K29</f>
        <v>100</v>
      </c>
      <c r="T29" s="41">
        <f>FleetAverage!B29</f>
        <v>13.5</v>
      </c>
      <c r="U29" s="47">
        <f>FleetAverage!C29</f>
        <v>0.27932642150537645</v>
      </c>
      <c r="V29" s="47">
        <f>FleetAverage!D29</f>
        <v>2.4715464635655904</v>
      </c>
      <c r="W29" s="47">
        <f>FleetAverage!E29</f>
        <v>1.4870967741935482E-2</v>
      </c>
      <c r="X29" s="47">
        <f>FleetAverage!F29</f>
        <v>3.1129032258064519E-3</v>
      </c>
      <c r="Y29" s="55">
        <f>FleetAverage!G29</f>
        <v>-2.1804619775440846</v>
      </c>
      <c r="AA29" s="41">
        <f>FleetAverage!B29</f>
        <v>13.5</v>
      </c>
      <c r="AB29" s="47">
        <f>0</f>
        <v>0</v>
      </c>
      <c r="AC29" s="47">
        <f>FleetAverage!G29</f>
        <v>-2.1804619775440846</v>
      </c>
      <c r="AD29" s="47">
        <f t="shared" si="1"/>
        <v>0</v>
      </c>
      <c r="AE29" s="47">
        <f t="shared" si="2"/>
        <v>-2.1804619775440846</v>
      </c>
      <c r="AF29" s="51">
        <f>100</f>
        <v>100</v>
      </c>
      <c r="AG29" s="49">
        <f>FleetAverage!H29</f>
        <v>98.874781451612904</v>
      </c>
    </row>
    <row r="30" spans="1:33" x14ac:dyDescent="0.25">
      <c r="A30" s="41">
        <f>FleetAverage!B30</f>
        <v>14</v>
      </c>
      <c r="B30" s="43">
        <f>FleetAverage!I30</f>
        <v>37.60095013333332</v>
      </c>
      <c r="C30" s="43">
        <f>FleetAverage!J30</f>
        <v>292.37281531394962</v>
      </c>
      <c r="D30" s="44">
        <f>FleetAverage!K30</f>
        <v>-254.3218651806163</v>
      </c>
      <c r="F30" s="41">
        <f>FleetAverage!B30</f>
        <v>14</v>
      </c>
      <c r="G30" s="47">
        <f>FleetAverage!E30</f>
        <v>1.5548387096774193E-2</v>
      </c>
      <c r="H30" s="47">
        <f>FleetAverage!F30</f>
        <v>1.1919354838709676E-2</v>
      </c>
      <c r="I30" s="49">
        <f>FleetAverage!H30</f>
        <v>99.00372741935486</v>
      </c>
      <c r="K30" s="4" t="str">
        <f>ProsumerMetrics!A30</f>
        <v>BES_TR8_four289_B</v>
      </c>
      <c r="L30" s="51">
        <f>ProsumerMetrics!J30</f>
        <v>19</v>
      </c>
      <c r="M30" s="49">
        <f>ProsumerMetrics!K30</f>
        <v>100</v>
      </c>
      <c r="T30" s="41">
        <f>FleetAverage!B30</f>
        <v>14</v>
      </c>
      <c r="U30" s="47">
        <f>FleetAverage!C30</f>
        <v>0.3032334688172042</v>
      </c>
      <c r="V30" s="47">
        <f>FleetAverage!D30</f>
        <v>2.3578452847899163</v>
      </c>
      <c r="W30" s="47">
        <f>FleetAverage!E30</f>
        <v>1.5548387096774193E-2</v>
      </c>
      <c r="X30" s="47">
        <f>FleetAverage!F30</f>
        <v>1.1919354838709676E-2</v>
      </c>
      <c r="Y30" s="55">
        <f>FleetAverage!G30</f>
        <v>-2.0509827837146477</v>
      </c>
      <c r="AA30" s="41">
        <f>FleetAverage!B30</f>
        <v>14</v>
      </c>
      <c r="AB30" s="47">
        <f>0</f>
        <v>0</v>
      </c>
      <c r="AC30" s="47">
        <f>FleetAverage!G30</f>
        <v>-2.0509827837146477</v>
      </c>
      <c r="AD30" s="47">
        <f t="shared" si="1"/>
        <v>0</v>
      </c>
      <c r="AE30" s="47">
        <f t="shared" si="2"/>
        <v>-2.0509827837146477</v>
      </c>
      <c r="AF30" s="51">
        <f>100</f>
        <v>100</v>
      </c>
      <c r="AG30" s="49">
        <f>FleetAverage!H30</f>
        <v>99.00372741935486</v>
      </c>
    </row>
    <row r="31" spans="1:33" x14ac:dyDescent="0.25">
      <c r="A31" s="41">
        <f>FleetAverage!B31</f>
        <v>14.5</v>
      </c>
      <c r="B31" s="43">
        <f>FleetAverage!I31</f>
        <v>38.68536716666668</v>
      </c>
      <c r="C31" s="43">
        <f>FleetAverage!J31</f>
        <v>274.50738775623347</v>
      </c>
      <c r="D31" s="44">
        <f>FleetAverage!K31</f>
        <v>-235.54502058956678</v>
      </c>
      <c r="F31" s="41">
        <f>FleetAverage!B31</f>
        <v>14.5</v>
      </c>
      <c r="G31" s="47">
        <f>FleetAverage!E31</f>
        <v>3.1258064516129037E-2</v>
      </c>
      <c r="H31" s="47">
        <f>FleetAverage!F31</f>
        <v>2.9024193548387096E-2</v>
      </c>
      <c r="I31" s="49">
        <f>FleetAverage!H31</f>
        <v>99.029862903225819</v>
      </c>
      <c r="K31" s="4" t="str">
        <f>ProsumerMetrics!A31</f>
        <v>BES_TR8_four292_C</v>
      </c>
      <c r="L31" s="51">
        <f>ProsumerMetrics!J31</f>
        <v>23.5</v>
      </c>
      <c r="M31" s="49">
        <f>ProsumerMetrics!K31</f>
        <v>100</v>
      </c>
      <c r="T31" s="41">
        <f>FleetAverage!B31</f>
        <v>14.5</v>
      </c>
      <c r="U31" s="47">
        <f>FleetAverage!C31</f>
        <v>0.31197876747311837</v>
      </c>
      <c r="V31" s="47">
        <f>FleetAverage!D31</f>
        <v>2.213769256098657</v>
      </c>
      <c r="W31" s="47">
        <f>FleetAverage!E31</f>
        <v>3.1258064516129037E-2</v>
      </c>
      <c r="X31" s="47">
        <f>FleetAverage!F31</f>
        <v>2.9024193548387096E-2</v>
      </c>
      <c r="Y31" s="55">
        <f>FleetAverage!G31</f>
        <v>-1.8995566176577967</v>
      </c>
      <c r="AA31" s="41">
        <f>FleetAverage!B31</f>
        <v>14.5</v>
      </c>
      <c r="AB31" s="47">
        <f>0</f>
        <v>0</v>
      </c>
      <c r="AC31" s="47">
        <f>FleetAverage!G31</f>
        <v>-1.8995566176577967</v>
      </c>
      <c r="AD31" s="47">
        <f t="shared" si="1"/>
        <v>0</v>
      </c>
      <c r="AE31" s="47">
        <f t="shared" si="2"/>
        <v>-1.8995566176577967</v>
      </c>
      <c r="AF31" s="51">
        <f>100</f>
        <v>100</v>
      </c>
      <c r="AG31" s="49">
        <f>FleetAverage!H31</f>
        <v>99.029862903225819</v>
      </c>
    </row>
    <row r="32" spans="1:33" x14ac:dyDescent="0.25">
      <c r="A32" s="41">
        <f>FleetAverage!B32</f>
        <v>15</v>
      </c>
      <c r="B32" s="43">
        <f>FleetAverage!I32</f>
        <v>36.497482833333308</v>
      </c>
      <c r="C32" s="43">
        <f>FleetAverage!J32</f>
        <v>255.5218801915502</v>
      </c>
      <c r="D32" s="44">
        <f>FleetAverage!K32</f>
        <v>-219.69839735821691</v>
      </c>
      <c r="F32" s="41">
        <f>FleetAverage!B32</f>
        <v>15</v>
      </c>
      <c r="G32" s="47">
        <f>FleetAverage!E32</f>
        <v>1.7217741935483873E-2</v>
      </c>
      <c r="H32" s="47">
        <f>FleetAverage!F32</f>
        <v>2.2653225806451613E-2</v>
      </c>
      <c r="I32" s="49">
        <f>FleetAverage!H32</f>
        <v>99.018552419354862</v>
      </c>
      <c r="K32" s="4" t="str">
        <f>ProsumerMetrics!A32</f>
        <v>BES_TR8_four301_C</v>
      </c>
      <c r="L32" s="51">
        <f>ProsumerMetrics!J32</f>
        <v>39.5</v>
      </c>
      <c r="M32" s="49">
        <f>ProsumerMetrics!K32</f>
        <v>96</v>
      </c>
      <c r="T32" s="41">
        <f>FleetAverage!B32</f>
        <v>15</v>
      </c>
      <c r="U32" s="47">
        <f>FleetAverage!C32</f>
        <v>0.29433453897849443</v>
      </c>
      <c r="V32" s="47">
        <f>FleetAverage!D32</f>
        <v>2.0606603241254047</v>
      </c>
      <c r="W32" s="47">
        <f>FleetAverage!E32</f>
        <v>1.7217741935483873E-2</v>
      </c>
      <c r="X32" s="47">
        <f>FleetAverage!F32</f>
        <v>2.2653225806451613E-2</v>
      </c>
      <c r="Y32" s="55">
        <f>FleetAverage!G32</f>
        <v>-1.7717612690178779</v>
      </c>
      <c r="AA32" s="41">
        <f>FleetAverage!B32</f>
        <v>15</v>
      </c>
      <c r="AB32" s="47">
        <f>0</f>
        <v>0</v>
      </c>
      <c r="AC32" s="47">
        <f>FleetAverage!G32</f>
        <v>-1.7717612690178779</v>
      </c>
      <c r="AD32" s="47">
        <f t="shared" si="1"/>
        <v>0</v>
      </c>
      <c r="AE32" s="47">
        <f t="shared" si="2"/>
        <v>-1.7717612690178779</v>
      </c>
      <c r="AF32" s="51">
        <f>100</f>
        <v>100</v>
      </c>
      <c r="AG32" s="49">
        <f>FleetAverage!H32</f>
        <v>99.018552419354862</v>
      </c>
    </row>
    <row r="33" spans="1:33" x14ac:dyDescent="0.25">
      <c r="A33" s="41">
        <f>FleetAverage!B33</f>
        <v>15.5</v>
      </c>
      <c r="B33" s="43">
        <f>FleetAverage!I33</f>
        <v>35.767746766666669</v>
      </c>
      <c r="C33" s="43">
        <f>FleetAverage!J33</f>
        <v>232.67531006253392</v>
      </c>
      <c r="D33" s="44">
        <f>FleetAverage!K33</f>
        <v>-194.01156329586723</v>
      </c>
      <c r="F33" s="41">
        <f>FleetAverage!B33</f>
        <v>15.5</v>
      </c>
      <c r="G33" s="47">
        <f>FleetAverage!E33</f>
        <v>3.558870967741936E-2</v>
      </c>
      <c r="H33" s="47">
        <f>FleetAverage!F33</f>
        <v>1.2233870967741934E-2</v>
      </c>
      <c r="I33" s="49">
        <f>FleetAverage!H33</f>
        <v>98.928673387096779</v>
      </c>
      <c r="K33" s="4" t="str">
        <f>ProsumerMetrics!A33</f>
        <v>BES_TR8_four326_A</v>
      </c>
      <c r="L33" s="51">
        <f>ProsumerMetrics!J33</f>
        <v>18.399999999999999</v>
      </c>
      <c r="M33" s="49">
        <f>ProsumerMetrics!K33</f>
        <v>100</v>
      </c>
      <c r="T33" s="41">
        <f>FleetAverage!B33</f>
        <v>15.5</v>
      </c>
      <c r="U33" s="47">
        <f>FleetAverage!C33</f>
        <v>0.28844957069892474</v>
      </c>
      <c r="V33" s="47">
        <f>FleetAverage!D33</f>
        <v>1.8764137908268865</v>
      </c>
      <c r="W33" s="47">
        <f>FleetAverage!E33</f>
        <v>3.558870967741936E-2</v>
      </c>
      <c r="X33" s="47">
        <f>FleetAverage!F33</f>
        <v>1.2233870967741934E-2</v>
      </c>
      <c r="Y33" s="55">
        <f>FleetAverage!G33</f>
        <v>-1.5646093814182842</v>
      </c>
      <c r="AA33" s="41">
        <f>FleetAverage!B33</f>
        <v>15.5</v>
      </c>
      <c r="AB33" s="47">
        <f>0</f>
        <v>0</v>
      </c>
      <c r="AC33" s="47">
        <f>FleetAverage!G33</f>
        <v>-1.5646093814182842</v>
      </c>
      <c r="AD33" s="47">
        <f t="shared" si="1"/>
        <v>0</v>
      </c>
      <c r="AE33" s="47">
        <f t="shared" si="2"/>
        <v>-1.5646093814182842</v>
      </c>
      <c r="AF33" s="51">
        <f>100</f>
        <v>100</v>
      </c>
      <c r="AG33" s="49">
        <f>FleetAverage!H33</f>
        <v>98.928673387096779</v>
      </c>
    </row>
    <row r="34" spans="1:33" x14ac:dyDescent="0.25">
      <c r="A34" s="41">
        <f>FleetAverage!B34</f>
        <v>16</v>
      </c>
      <c r="B34" s="43">
        <f>FleetAverage!I34</f>
        <v>40.627656799999997</v>
      </c>
      <c r="C34" s="43">
        <f>FleetAverage!J34</f>
        <v>206.94468046816655</v>
      </c>
      <c r="D34" s="44">
        <f>FleetAverage!K34</f>
        <v>-168.98402366816654</v>
      </c>
      <c r="F34" s="41">
        <f>FleetAverage!B34</f>
        <v>16</v>
      </c>
      <c r="G34" s="47">
        <f>FleetAverage!E34</f>
        <v>1.0951612903225808E-2</v>
      </c>
      <c r="H34" s="47">
        <f>FleetAverage!F34</f>
        <v>3.2459677419354842E-2</v>
      </c>
      <c r="I34" s="49">
        <f>FleetAverage!H34</f>
        <v>99.177141129032265</v>
      </c>
      <c r="K34" s="4" t="str">
        <f>ProsumerMetrics!A34</f>
        <v>BES_TR8_four352_A</v>
      </c>
      <c r="L34" s="51">
        <f>ProsumerMetrics!J34</f>
        <v>28.2</v>
      </c>
      <c r="M34" s="49">
        <f>ProsumerMetrics!K34</f>
        <v>100</v>
      </c>
      <c r="T34" s="41">
        <f>FleetAverage!B34</f>
        <v>16</v>
      </c>
      <c r="U34" s="47">
        <f>FleetAverage!C34</f>
        <v>0.32764239354838709</v>
      </c>
      <c r="V34" s="47">
        <f>FleetAverage!D34</f>
        <v>1.6689087134529561</v>
      </c>
      <c r="W34" s="47">
        <f>FleetAverage!E34</f>
        <v>1.0951612903225808E-2</v>
      </c>
      <c r="X34" s="47">
        <f>FleetAverage!F34</f>
        <v>3.2459677419354842E-2</v>
      </c>
      <c r="Y34" s="55">
        <f>FleetAverage!G34</f>
        <v>-1.3627743844206981</v>
      </c>
      <c r="AA34" s="41">
        <f>FleetAverage!B34</f>
        <v>16</v>
      </c>
      <c r="AB34" s="47">
        <f>0</f>
        <v>0</v>
      </c>
      <c r="AC34" s="47">
        <f>FleetAverage!G34</f>
        <v>-1.3627743844206981</v>
      </c>
      <c r="AD34" s="47">
        <f t="shared" si="1"/>
        <v>0</v>
      </c>
      <c r="AE34" s="47">
        <f t="shared" si="2"/>
        <v>-1.3627743844206981</v>
      </c>
      <c r="AF34" s="51">
        <f>100</f>
        <v>100</v>
      </c>
      <c r="AG34" s="49">
        <f>FleetAverage!H34</f>
        <v>99.177141129032265</v>
      </c>
    </row>
    <row r="35" spans="1:33" x14ac:dyDescent="0.25">
      <c r="A35" s="41">
        <f>FleetAverage!B35</f>
        <v>16.5</v>
      </c>
      <c r="B35" s="43">
        <f>FleetAverage!I35</f>
        <v>42.355652466666662</v>
      </c>
      <c r="C35" s="43">
        <f>FleetAverage!J35</f>
        <v>175.87829765601651</v>
      </c>
      <c r="D35" s="44">
        <f>FleetAverage!K35</f>
        <v>-133.68264518934984</v>
      </c>
      <c r="F35" s="41">
        <f>FleetAverage!B35</f>
        <v>16.5</v>
      </c>
      <c r="G35" s="47">
        <f>FleetAverage!E35</f>
        <v>1.9548387096774193E-2</v>
      </c>
      <c r="H35" s="47">
        <f>FleetAverage!F35</f>
        <v>2.0838709677419357E-2</v>
      </c>
      <c r="I35" s="49">
        <f>FleetAverage!H35</f>
        <v>98.893501612903222</v>
      </c>
      <c r="K35" s="4" t="str">
        <f>ProsumerMetrics!A35</f>
        <v>BES_TR8_four358_C</v>
      </c>
      <c r="L35" s="51">
        <f>ProsumerMetrics!J35</f>
        <v>24.8</v>
      </c>
      <c r="M35" s="49">
        <f>ProsumerMetrics!K35</f>
        <v>100</v>
      </c>
      <c r="T35" s="41">
        <f>FleetAverage!B35</f>
        <v>16.5</v>
      </c>
      <c r="U35" s="47">
        <f>FleetAverage!C35</f>
        <v>0.34157784247311823</v>
      </c>
      <c r="V35" s="47">
        <f>FleetAverage!D35</f>
        <v>1.4183733681936816</v>
      </c>
      <c r="W35" s="47">
        <f>FleetAverage!E35</f>
        <v>1.9548387096774193E-2</v>
      </c>
      <c r="X35" s="47">
        <f>FleetAverage!F35</f>
        <v>2.0838709677419357E-2</v>
      </c>
      <c r="Y35" s="55">
        <f>FleetAverage!G35</f>
        <v>-1.0780858483012088</v>
      </c>
      <c r="AA35" s="41">
        <f>FleetAverage!B35</f>
        <v>16.5</v>
      </c>
      <c r="AB35" s="47">
        <f>0</f>
        <v>0</v>
      </c>
      <c r="AC35" s="47">
        <f>FleetAverage!G35</f>
        <v>-1.0780858483012088</v>
      </c>
      <c r="AD35" s="47">
        <f t="shared" si="1"/>
        <v>0</v>
      </c>
      <c r="AE35" s="47">
        <f t="shared" si="2"/>
        <v>-1.0780858483012088</v>
      </c>
      <c r="AF35" s="51">
        <f>100</f>
        <v>100</v>
      </c>
      <c r="AG35" s="49">
        <f>FleetAverage!H35</f>
        <v>98.893501612903222</v>
      </c>
    </row>
    <row r="36" spans="1:33" x14ac:dyDescent="0.25">
      <c r="A36" s="41">
        <f>FleetAverage!B36</f>
        <v>17</v>
      </c>
      <c r="B36" s="43">
        <f>FleetAverage!I36</f>
        <v>33.780741299999995</v>
      </c>
      <c r="C36" s="43">
        <f>FleetAverage!J36</f>
        <v>146.80231849441665</v>
      </c>
      <c r="D36" s="44">
        <f>FleetAverage!K36</f>
        <v>-114.62857719441666</v>
      </c>
      <c r="F36" s="41">
        <f>FleetAverage!B36</f>
        <v>17</v>
      </c>
      <c r="G36" s="47">
        <f>FleetAverage!E36</f>
        <v>1.6459677419354841E-2</v>
      </c>
      <c r="H36" s="47">
        <f>FleetAverage!F36</f>
        <v>2.9419354838709676E-2</v>
      </c>
      <c r="I36" s="49">
        <f>FleetAverage!H36</f>
        <v>98.852770161290323</v>
      </c>
      <c r="K36" s="4" t="str">
        <f>ProsumerMetrics!A36</f>
        <v>BES_TR8_four368_C</v>
      </c>
      <c r="L36" s="51">
        <f>ProsumerMetrics!J36</f>
        <v>41</v>
      </c>
      <c r="M36" s="49">
        <f>ProsumerMetrics!K36</f>
        <v>98.3</v>
      </c>
      <c r="T36" s="41">
        <f>FleetAverage!B36</f>
        <v>17</v>
      </c>
      <c r="U36" s="47">
        <f>FleetAverage!C36</f>
        <v>0.27242533306451611</v>
      </c>
      <c r="V36" s="47">
        <f>FleetAverage!D36</f>
        <v>1.1838896652775537</v>
      </c>
      <c r="W36" s="47">
        <f>FleetAverage!E36</f>
        <v>1.6459677419354841E-2</v>
      </c>
      <c r="X36" s="47">
        <f>FleetAverage!F36</f>
        <v>2.9419354838709676E-2</v>
      </c>
      <c r="Y36" s="55">
        <f>FleetAverage!G36</f>
        <v>-0.92442400963239246</v>
      </c>
      <c r="AA36" s="41">
        <f>FleetAverage!B36</f>
        <v>17</v>
      </c>
      <c r="AB36" s="47">
        <f>0</f>
        <v>0</v>
      </c>
      <c r="AC36" s="47">
        <f>FleetAverage!G36</f>
        <v>-0.92442400963239246</v>
      </c>
      <c r="AD36" s="47">
        <f t="shared" si="1"/>
        <v>0</v>
      </c>
      <c r="AE36" s="47">
        <f t="shared" si="2"/>
        <v>-0.92442400963239246</v>
      </c>
      <c r="AF36" s="51">
        <f>100</f>
        <v>100</v>
      </c>
      <c r="AG36" s="49">
        <f>FleetAverage!H36</f>
        <v>98.852770161290323</v>
      </c>
    </row>
    <row r="37" spans="1:33" x14ac:dyDescent="0.25">
      <c r="A37" s="41">
        <f>FleetAverage!B37</f>
        <v>17.5</v>
      </c>
      <c r="B37" s="43">
        <f>FleetAverage!I37</f>
        <v>41.850102800000023</v>
      </c>
      <c r="C37" s="43">
        <f>FleetAverage!J37</f>
        <v>116.92494512194999</v>
      </c>
      <c r="D37" s="44">
        <f>FleetAverage!K37</f>
        <v>-80.835842321949983</v>
      </c>
      <c r="F37" s="41">
        <f>FleetAverage!B37</f>
        <v>17.5</v>
      </c>
      <c r="G37" s="47">
        <f>FleetAverage!E37</f>
        <v>6.5887096774193557E-3</v>
      </c>
      <c r="H37" s="47">
        <f>FleetAverage!F37</f>
        <v>5.3048387096774195E-2</v>
      </c>
      <c r="I37" s="49">
        <f>FleetAverage!H37</f>
        <v>98.669604032258079</v>
      </c>
      <c r="K37" s="4" t="str">
        <f>ProsumerMetrics!A37</f>
        <v>BES_TR8_four372_C</v>
      </c>
      <c r="L37" s="51">
        <f>ProsumerMetrics!J37</f>
        <v>39.700000000000003</v>
      </c>
      <c r="M37" s="49">
        <f>ProsumerMetrics!K37</f>
        <v>94.9</v>
      </c>
      <c r="T37" s="41">
        <f>FleetAverage!B37</f>
        <v>17.5</v>
      </c>
      <c r="U37" s="47">
        <f>FleetAverage!C37</f>
        <v>0.33750082903225825</v>
      </c>
      <c r="V37" s="47">
        <f>FleetAverage!D37</f>
        <v>0.94294310582217733</v>
      </c>
      <c r="W37" s="47">
        <f>FleetAverage!E37</f>
        <v>6.5887096774193557E-3</v>
      </c>
      <c r="X37" s="47">
        <f>FleetAverage!F37</f>
        <v>5.3048387096774195E-2</v>
      </c>
      <c r="Y37" s="55">
        <f>FleetAverage!G37</f>
        <v>-0.65190195420927388</v>
      </c>
      <c r="AA37" s="41">
        <f>FleetAverage!B37</f>
        <v>17.5</v>
      </c>
      <c r="AB37" s="47">
        <f>0</f>
        <v>0</v>
      </c>
      <c r="AC37" s="47">
        <f>FleetAverage!G37</f>
        <v>-0.65190195420927388</v>
      </c>
      <c r="AD37" s="47">
        <f t="shared" si="1"/>
        <v>0</v>
      </c>
      <c r="AE37" s="47">
        <f t="shared" si="2"/>
        <v>-0.65190195420927388</v>
      </c>
      <c r="AF37" s="51">
        <f>100</f>
        <v>100</v>
      </c>
      <c r="AG37" s="49">
        <f>FleetAverage!H37</f>
        <v>98.669604032258079</v>
      </c>
    </row>
    <row r="38" spans="1:33" x14ac:dyDescent="0.25">
      <c r="A38" s="41">
        <f>FleetAverage!B38</f>
        <v>18</v>
      </c>
      <c r="B38" s="43">
        <f>FleetAverage!I38</f>
        <v>42.629411033333319</v>
      </c>
      <c r="C38" s="43">
        <f>FleetAverage!J38</f>
        <v>88.023202643833457</v>
      </c>
      <c r="D38" s="44">
        <f>FleetAverage!K38</f>
        <v>-53.933791610500137</v>
      </c>
      <c r="F38" s="41">
        <f>FleetAverage!B38</f>
        <v>18</v>
      </c>
      <c r="G38" s="47">
        <f>FleetAverage!E38</f>
        <v>1.204032258064516E-2</v>
      </c>
      <c r="H38" s="47">
        <f>FleetAverage!F38</f>
        <v>8.091129032258064E-2</v>
      </c>
      <c r="I38" s="49">
        <f>FleetAverage!H38</f>
        <v>98.078334677419349</v>
      </c>
      <c r="K38" s="4" t="str">
        <f>ProsumerMetrics!A38</f>
        <v>BES_TR8_four381_A</v>
      </c>
      <c r="L38" s="51">
        <f>ProsumerMetrics!J38</f>
        <v>50.1</v>
      </c>
      <c r="M38" s="49">
        <f>ProsumerMetrics!K38</f>
        <v>100</v>
      </c>
      <c r="T38" s="41">
        <f>FleetAverage!B38</f>
        <v>18</v>
      </c>
      <c r="U38" s="47">
        <f>FleetAverage!C38</f>
        <v>0.34378557284946226</v>
      </c>
      <c r="V38" s="47">
        <f>FleetAverage!D38</f>
        <v>0.70986453745026978</v>
      </c>
      <c r="W38" s="47">
        <f>FleetAverage!E38</f>
        <v>1.204032258064516E-2</v>
      </c>
      <c r="X38" s="47">
        <f>FleetAverage!F38</f>
        <v>8.091129032258064E-2</v>
      </c>
      <c r="Y38" s="55">
        <f>FleetAverage!G38</f>
        <v>-0.43494993234274304</v>
      </c>
      <c r="AA38" s="41">
        <f>FleetAverage!B38</f>
        <v>18</v>
      </c>
      <c r="AB38" s="47">
        <f>0</f>
        <v>0</v>
      </c>
      <c r="AC38" s="47">
        <f>FleetAverage!G38</f>
        <v>-0.43494993234274304</v>
      </c>
      <c r="AD38" s="47">
        <f t="shared" si="1"/>
        <v>0</v>
      </c>
      <c r="AE38" s="47">
        <f t="shared" si="2"/>
        <v>-0.43494993234274304</v>
      </c>
      <c r="AF38" s="51">
        <f>100</f>
        <v>100</v>
      </c>
      <c r="AG38" s="49">
        <f>FleetAverage!H38</f>
        <v>98.078334677419349</v>
      </c>
    </row>
    <row r="39" spans="1:33" x14ac:dyDescent="0.25">
      <c r="A39" s="41">
        <f>FleetAverage!B39</f>
        <v>18.5</v>
      </c>
      <c r="B39" s="43">
        <f>FleetAverage!I39</f>
        <v>46.905293233333346</v>
      </c>
      <c r="C39" s="43">
        <f>FleetAverage!J39</f>
        <v>60.157850492250027</v>
      </c>
      <c r="D39" s="44">
        <f>FleetAverage!K39</f>
        <v>-28.115557258916681</v>
      </c>
      <c r="F39" s="41">
        <f>FleetAverage!B39</f>
        <v>18.5</v>
      </c>
      <c r="G39" s="47">
        <f>FleetAverage!E39</f>
        <v>1.0508064516129033E-2</v>
      </c>
      <c r="H39" s="47">
        <f>FleetAverage!F39</f>
        <v>0.13037096774193549</v>
      </c>
      <c r="I39" s="49">
        <f>FleetAverage!H39</f>
        <v>97.199092741935502</v>
      </c>
      <c r="K39" s="4" t="str">
        <f>ProsumerMetrics!A39</f>
        <v>BES_TR8_four385_A</v>
      </c>
      <c r="L39" s="51">
        <f>ProsumerMetrics!J39</f>
        <v>15</v>
      </c>
      <c r="M39" s="49">
        <f>ProsumerMetrics!K39</f>
        <v>99.9</v>
      </c>
      <c r="T39" s="41">
        <f>FleetAverage!B39</f>
        <v>18.5</v>
      </c>
      <c r="U39" s="47">
        <f>FleetAverage!C39</f>
        <v>0.3782684938172044</v>
      </c>
      <c r="V39" s="47">
        <f>FleetAverage!D39</f>
        <v>0.48514395558266149</v>
      </c>
      <c r="W39" s="47">
        <f>FleetAverage!E39</f>
        <v>1.0508064516129033E-2</v>
      </c>
      <c r="X39" s="47">
        <f>FleetAverage!F39</f>
        <v>0.13037096774193549</v>
      </c>
      <c r="Y39" s="55">
        <f>FleetAverage!G39</f>
        <v>-0.22673836499126354</v>
      </c>
      <c r="AA39" s="41">
        <f>FleetAverage!B39</f>
        <v>18.5</v>
      </c>
      <c r="AB39" s="47">
        <f>0</f>
        <v>0</v>
      </c>
      <c r="AC39" s="47">
        <f>FleetAverage!G39</f>
        <v>-0.22673836499126354</v>
      </c>
      <c r="AD39" s="47">
        <f t="shared" si="1"/>
        <v>0</v>
      </c>
      <c r="AE39" s="47">
        <f t="shared" si="2"/>
        <v>-0.22673836499126354</v>
      </c>
      <c r="AF39" s="51">
        <f>100</f>
        <v>100</v>
      </c>
      <c r="AG39" s="49">
        <f>FleetAverage!H39</f>
        <v>97.199092741935502</v>
      </c>
    </row>
    <row r="40" spans="1:33" x14ac:dyDescent="0.25">
      <c r="A40" s="41">
        <f>FleetAverage!B40</f>
        <v>19</v>
      </c>
      <c r="B40" s="43">
        <f>FleetAverage!I40</f>
        <v>50.49349136666666</v>
      </c>
      <c r="C40" s="43">
        <f>FleetAverage!J40</f>
        <v>35.128591315066657</v>
      </c>
      <c r="D40" s="44">
        <f>FleetAverage!K40</f>
        <v>-9.8010999483999974</v>
      </c>
      <c r="F40" s="41">
        <f>FleetAverage!B40</f>
        <v>19</v>
      </c>
      <c r="G40" s="47">
        <f>FleetAverage!E40</f>
        <v>5.1854838709677418E-3</v>
      </c>
      <c r="H40" s="47">
        <f>FleetAverage!F40</f>
        <v>0.20813709677419356</v>
      </c>
      <c r="I40" s="49">
        <f>FleetAverage!H40</f>
        <v>95.681901612903232</v>
      </c>
      <c r="K40" s="4" t="str">
        <f>ProsumerMetrics!A40</f>
        <v>BES_TR8_four423_C</v>
      </c>
      <c r="L40" s="51">
        <f>ProsumerMetrics!J40</f>
        <v>32.5</v>
      </c>
      <c r="M40" s="49">
        <f>ProsumerMetrics!K40</f>
        <v>100</v>
      </c>
      <c r="T40" s="41">
        <f>FleetAverage!B40</f>
        <v>19</v>
      </c>
      <c r="U40" s="47">
        <f>FleetAverage!C40</f>
        <v>0.40720557553763437</v>
      </c>
      <c r="V40" s="47">
        <f>FleetAverage!D40</f>
        <v>0.28329509125053753</v>
      </c>
      <c r="W40" s="47">
        <f>FleetAverage!E40</f>
        <v>5.1854838709677418E-3</v>
      </c>
      <c r="X40" s="47">
        <f>FleetAverage!F40</f>
        <v>0.20813709677419356</v>
      </c>
      <c r="Y40" s="55">
        <f>FleetAverage!G40</f>
        <v>-7.9041128616128997E-2</v>
      </c>
      <c r="AA40" s="41">
        <f>FleetAverage!B40</f>
        <v>19</v>
      </c>
      <c r="AB40" s="47">
        <f>0</f>
        <v>0</v>
      </c>
      <c r="AC40" s="47">
        <f>FleetAverage!G40</f>
        <v>-7.9041128616128997E-2</v>
      </c>
      <c r="AD40" s="47">
        <f t="shared" si="1"/>
        <v>0</v>
      </c>
      <c r="AE40" s="47">
        <f t="shared" si="2"/>
        <v>-7.9041128616128997E-2</v>
      </c>
      <c r="AF40" s="51">
        <f>100</f>
        <v>100</v>
      </c>
      <c r="AG40" s="49">
        <f>FleetAverage!H40</f>
        <v>95.681901612903232</v>
      </c>
    </row>
    <row r="41" spans="1:33" x14ac:dyDescent="0.25">
      <c r="A41" s="41">
        <f>FleetAverage!B41</f>
        <v>19.5</v>
      </c>
      <c r="B41" s="43">
        <f>FleetAverage!I41</f>
        <v>57.690245566666661</v>
      </c>
      <c r="C41" s="43">
        <f>FleetAverage!J41</f>
        <v>10.220380078649992</v>
      </c>
      <c r="D41" s="44">
        <f>FleetAverage!K41</f>
        <v>0.2658654880166722</v>
      </c>
      <c r="F41" s="41">
        <f>FleetAverage!B41</f>
        <v>19.5</v>
      </c>
      <c r="G41" s="47">
        <f>FleetAverage!E41</f>
        <v>4.1935483870967743E-4</v>
      </c>
      <c r="H41" s="47">
        <f>FleetAverage!F41</f>
        <v>0.38109677419354832</v>
      </c>
      <c r="I41" s="49">
        <f>FleetAverage!H41</f>
        <v>93.128699193548371</v>
      </c>
      <c r="K41" s="4" t="str">
        <f>ProsumerMetrics!A41</f>
        <v>BES_TR8_four437_A</v>
      </c>
      <c r="L41" s="51">
        <f>ProsumerMetrics!J41</f>
        <v>18.100000000000001</v>
      </c>
      <c r="M41" s="49">
        <f>ProsumerMetrics!K41</f>
        <v>100</v>
      </c>
      <c r="T41" s="41">
        <f>FleetAverage!B41</f>
        <v>19.5</v>
      </c>
      <c r="U41" s="47">
        <f>FleetAverage!C41</f>
        <v>0.46524391586021502</v>
      </c>
      <c r="V41" s="47">
        <f>FleetAverage!D41</f>
        <v>8.2422419989112844E-2</v>
      </c>
      <c r="W41" s="47">
        <f>FleetAverage!E41</f>
        <v>4.1935483870967743E-4</v>
      </c>
      <c r="X41" s="47">
        <f>FleetAverage!F41</f>
        <v>0.38109677419354832</v>
      </c>
      <c r="Y41" s="55">
        <f>FleetAverage!G41</f>
        <v>2.1440765162635267E-3</v>
      </c>
      <c r="AA41" s="41">
        <f>FleetAverage!B41</f>
        <v>19.5</v>
      </c>
      <c r="AB41" s="47">
        <f>0</f>
        <v>0</v>
      </c>
      <c r="AC41" s="47">
        <f>FleetAverage!G41</f>
        <v>2.1440765162635267E-3</v>
      </c>
      <c r="AD41" s="47">
        <f t="shared" si="1"/>
        <v>2.1440765162635267E-3</v>
      </c>
      <c r="AE41" s="47">
        <f t="shared" si="2"/>
        <v>0</v>
      </c>
      <c r="AF41" s="51">
        <f>100</f>
        <v>100</v>
      </c>
      <c r="AG41" s="49">
        <f>FleetAverage!H41</f>
        <v>93.128699193548371</v>
      </c>
    </row>
    <row r="42" spans="1:33" x14ac:dyDescent="0.25">
      <c r="A42" s="41">
        <f>FleetAverage!B42</f>
        <v>20</v>
      </c>
      <c r="B42" s="43">
        <f>FleetAverage!I42</f>
        <v>58.926951133333297</v>
      </c>
      <c r="C42" s="43">
        <f>FleetAverage!J42</f>
        <v>1.8849701614333347</v>
      </c>
      <c r="D42" s="44">
        <f>FleetAverage!K42</f>
        <v>2.1709809718999651</v>
      </c>
      <c r="F42" s="41">
        <f>FleetAverage!B42</f>
        <v>20</v>
      </c>
      <c r="G42" s="47">
        <f>FleetAverage!E42</f>
        <v>0</v>
      </c>
      <c r="H42" s="47">
        <f>FleetAverage!F42</f>
        <v>0.44250806451612901</v>
      </c>
      <c r="I42" s="49">
        <f>FleetAverage!H42</f>
        <v>88.351295967741919</v>
      </c>
      <c r="K42" s="4" t="str">
        <f>ProsumerMetrics!A42</f>
        <v>BES_TR8_four446_B</v>
      </c>
      <c r="L42" s="51">
        <f>ProsumerMetrics!J42</f>
        <v>32.5</v>
      </c>
      <c r="M42" s="49">
        <f>ProsumerMetrics!K42</f>
        <v>100</v>
      </c>
      <c r="T42" s="41">
        <f>FleetAverage!B42</f>
        <v>20</v>
      </c>
      <c r="U42" s="47">
        <f>FleetAverage!C42</f>
        <v>0.47521734784946207</v>
      </c>
      <c r="V42" s="47">
        <f>FleetAverage!D42</f>
        <v>1.5201372269623667E-2</v>
      </c>
      <c r="W42" s="47">
        <f>FleetAverage!E42</f>
        <v>0</v>
      </c>
      <c r="X42" s="47">
        <f>FleetAverage!F42</f>
        <v>0.44250806451612901</v>
      </c>
      <c r="Y42" s="55">
        <f>FleetAverage!G42</f>
        <v>1.7507911063709414E-2</v>
      </c>
      <c r="AA42" s="41">
        <f>FleetAverage!B42</f>
        <v>20</v>
      </c>
      <c r="AB42" s="47">
        <f>0</f>
        <v>0</v>
      </c>
      <c r="AC42" s="47">
        <f>FleetAverage!G42</f>
        <v>1.7507911063709414E-2</v>
      </c>
      <c r="AD42" s="47">
        <f t="shared" si="1"/>
        <v>1.7507911063709414E-2</v>
      </c>
      <c r="AE42" s="47">
        <f t="shared" si="2"/>
        <v>0</v>
      </c>
      <c r="AF42" s="51">
        <f>100</f>
        <v>100</v>
      </c>
      <c r="AG42" s="49">
        <f>FleetAverage!H42</f>
        <v>88.351295967741919</v>
      </c>
    </row>
    <row r="43" spans="1:33" x14ac:dyDescent="0.25">
      <c r="A43" s="41">
        <f>FleetAverage!B43</f>
        <v>20.5</v>
      </c>
      <c r="B43" s="43">
        <f>FleetAverage!I43</f>
        <v>67.892713933333326</v>
      </c>
      <c r="C43" s="43">
        <f>FleetAverage!J43</f>
        <v>0</v>
      </c>
      <c r="D43" s="44">
        <f>FleetAverage!K43</f>
        <v>2.9687139333333334</v>
      </c>
      <c r="F43" s="41">
        <f>FleetAverage!B43</f>
        <v>20.5</v>
      </c>
      <c r="G43" s="47">
        <f>FleetAverage!E43</f>
        <v>0</v>
      </c>
      <c r="H43" s="47">
        <f>FleetAverage!F43</f>
        <v>0.52358064516129021</v>
      </c>
      <c r="I43" s="49">
        <f>FleetAverage!H43</f>
        <v>82.798939516129053</v>
      </c>
      <c r="K43" s="4" t="str">
        <f>ProsumerMetrics!A43</f>
        <v>BES_TR8_four466_C</v>
      </c>
      <c r="L43" s="51">
        <f>ProsumerMetrics!J43</f>
        <v>26.8</v>
      </c>
      <c r="M43" s="49">
        <f>ProsumerMetrics!K43</f>
        <v>96.7</v>
      </c>
      <c r="T43" s="41">
        <f>FleetAverage!B43</f>
        <v>20.5</v>
      </c>
      <c r="U43" s="47">
        <f>FleetAverage!C43</f>
        <v>0.54752188655913969</v>
      </c>
      <c r="V43" s="47">
        <f>FleetAverage!D43</f>
        <v>0</v>
      </c>
      <c r="W43" s="47">
        <f>FleetAverage!E43</f>
        <v>0</v>
      </c>
      <c r="X43" s="47">
        <f>FleetAverage!F43</f>
        <v>0.52358064516129021</v>
      </c>
      <c r="Y43" s="55">
        <f>FleetAverage!G43</f>
        <v>2.3941241397849478E-2</v>
      </c>
      <c r="AA43" s="41">
        <f>FleetAverage!B43</f>
        <v>20.5</v>
      </c>
      <c r="AB43" s="47">
        <f>0</f>
        <v>0</v>
      </c>
      <c r="AC43" s="47">
        <f>FleetAverage!G43</f>
        <v>2.3941241397849478E-2</v>
      </c>
      <c r="AD43" s="47">
        <f t="shared" si="1"/>
        <v>2.3941241397849478E-2</v>
      </c>
      <c r="AE43" s="47">
        <f t="shared" si="2"/>
        <v>0</v>
      </c>
      <c r="AF43" s="51">
        <f>100</f>
        <v>100</v>
      </c>
      <c r="AG43" s="49">
        <f>FleetAverage!H43</f>
        <v>82.798939516129053</v>
      </c>
    </row>
    <row r="44" spans="1:33" x14ac:dyDescent="0.25">
      <c r="A44" s="41">
        <f>FleetAverage!B44</f>
        <v>21</v>
      </c>
      <c r="B44" s="43">
        <f>FleetAverage!I44</f>
        <v>67.554234066666623</v>
      </c>
      <c r="C44" s="43">
        <f>FleetAverage!J44</f>
        <v>0</v>
      </c>
      <c r="D44" s="44">
        <f>FleetAverage!K44</f>
        <v>5.1392340666666172</v>
      </c>
      <c r="F44" s="41">
        <f>FleetAverage!B44</f>
        <v>21</v>
      </c>
      <c r="G44" s="47">
        <f>FleetAverage!E44</f>
        <v>0</v>
      </c>
      <c r="H44" s="47">
        <f>FleetAverage!F44</f>
        <v>0.50334677419354845</v>
      </c>
      <c r="I44" s="49">
        <f>FleetAverage!H44</f>
        <v>76.228954032258059</v>
      </c>
      <c r="K44" s="4" t="str">
        <f>ProsumerMetrics!A44</f>
        <v>BES_TR8_four467_C</v>
      </c>
      <c r="L44" s="51">
        <f>ProsumerMetrics!J44</f>
        <v>19.399999999999999</v>
      </c>
      <c r="M44" s="49">
        <f>ProsumerMetrics!K44</f>
        <v>100</v>
      </c>
      <c r="T44" s="41">
        <f>FleetAverage!B44</f>
        <v>21</v>
      </c>
      <c r="U44" s="47">
        <f>FleetAverage!C44</f>
        <v>0.54479221021505342</v>
      </c>
      <c r="V44" s="47">
        <f>FleetAverage!D44</f>
        <v>0</v>
      </c>
      <c r="W44" s="47">
        <f>FleetAverage!E44</f>
        <v>0</v>
      </c>
      <c r="X44" s="47">
        <f>FleetAverage!F44</f>
        <v>0.50334677419354845</v>
      </c>
      <c r="Y44" s="55">
        <f>FleetAverage!G44</f>
        <v>4.1445436021504967E-2</v>
      </c>
      <c r="AA44" s="41">
        <f>FleetAverage!B44</f>
        <v>21</v>
      </c>
      <c r="AB44" s="47">
        <f>0</f>
        <v>0</v>
      </c>
      <c r="AC44" s="47">
        <f>FleetAverage!G44</f>
        <v>4.1445436021504967E-2</v>
      </c>
      <c r="AD44" s="47">
        <f t="shared" si="1"/>
        <v>4.1445436021504967E-2</v>
      </c>
      <c r="AE44" s="47">
        <f t="shared" si="2"/>
        <v>0</v>
      </c>
      <c r="AF44" s="51">
        <f>100</f>
        <v>100</v>
      </c>
      <c r="AG44" s="49">
        <f>FleetAverage!H44</f>
        <v>76.228954032258059</v>
      </c>
    </row>
    <row r="45" spans="1:33" x14ac:dyDescent="0.25">
      <c r="A45" s="41">
        <f>FleetAverage!B45</f>
        <v>21.5</v>
      </c>
      <c r="B45" s="43">
        <f>FleetAverage!I45</f>
        <v>60.599059033333319</v>
      </c>
      <c r="C45" s="43">
        <f>FleetAverage!J45</f>
        <v>0</v>
      </c>
      <c r="D45" s="44">
        <f>FleetAverage!K45</f>
        <v>4.7220590333333377</v>
      </c>
      <c r="F45" s="41">
        <f>FleetAverage!B45</f>
        <v>21.5</v>
      </c>
      <c r="G45" s="47">
        <f>FleetAverage!E45</f>
        <v>0</v>
      </c>
      <c r="H45" s="47">
        <f>FleetAverage!F45</f>
        <v>0.45062096774193533</v>
      </c>
      <c r="I45" s="49">
        <f>FleetAverage!H45</f>
        <v>69.912295967741969</v>
      </c>
      <c r="K45" s="4" t="str">
        <f>ProsumerMetrics!A45</f>
        <v>BES_TR8_four548_B</v>
      </c>
      <c r="L45" s="51">
        <f>ProsumerMetrics!J45</f>
        <v>66.900000000000006</v>
      </c>
      <c r="M45" s="49">
        <f>ProsumerMetrics!K45</f>
        <v>100</v>
      </c>
      <c r="T45" s="41">
        <f>FleetAverage!B45</f>
        <v>21.5</v>
      </c>
      <c r="U45" s="47">
        <f>FleetAverage!C45</f>
        <v>0.48870208897849449</v>
      </c>
      <c r="V45" s="47">
        <f>FleetAverage!D45</f>
        <v>0</v>
      </c>
      <c r="W45" s="47">
        <f>FleetAverage!E45</f>
        <v>0</v>
      </c>
      <c r="X45" s="47">
        <f>FleetAverage!F45</f>
        <v>0.45062096774193533</v>
      </c>
      <c r="Y45" s="55">
        <f>FleetAverage!G45</f>
        <v>3.8081121236559157E-2</v>
      </c>
      <c r="AA45" s="41">
        <f>FleetAverage!B45</f>
        <v>21.5</v>
      </c>
      <c r="AB45" s="47">
        <f>0</f>
        <v>0</v>
      </c>
      <c r="AC45" s="47">
        <f>FleetAverage!G45</f>
        <v>3.8081121236559157E-2</v>
      </c>
      <c r="AD45" s="47">
        <f t="shared" si="1"/>
        <v>3.8081121236559157E-2</v>
      </c>
      <c r="AE45" s="47">
        <f t="shared" si="2"/>
        <v>0</v>
      </c>
      <c r="AF45" s="51">
        <f>100</f>
        <v>100</v>
      </c>
      <c r="AG45" s="49">
        <f>FleetAverage!H45</f>
        <v>69.912295967741969</v>
      </c>
    </row>
    <row r="46" spans="1:33" x14ac:dyDescent="0.25">
      <c r="A46" s="41">
        <f>FleetAverage!B46</f>
        <v>22</v>
      </c>
      <c r="B46" s="43">
        <f>FleetAverage!I46</f>
        <v>55.478494866666693</v>
      </c>
      <c r="C46" s="43">
        <f>FleetAverage!J46</f>
        <v>0</v>
      </c>
      <c r="D46" s="44">
        <f>FleetAverage!K46</f>
        <v>6.9204948666667008</v>
      </c>
      <c r="F46" s="41">
        <f>FleetAverage!B46</f>
        <v>22</v>
      </c>
      <c r="G46" s="47">
        <f>FleetAverage!E46</f>
        <v>0</v>
      </c>
      <c r="H46" s="47">
        <f>FleetAverage!F46</f>
        <v>0.39159677419354832</v>
      </c>
      <c r="I46" s="49">
        <f>FleetAverage!H46</f>
        <v>64.257661290322574</v>
      </c>
      <c r="K46" s="4" t="str">
        <f>ProsumerMetrics!A46</f>
        <v>BES_TR8_four558_C</v>
      </c>
      <c r="L46" s="51">
        <f>ProsumerMetrics!J46</f>
        <v>21</v>
      </c>
      <c r="M46" s="49">
        <f>ProsumerMetrics!K46</f>
        <v>100</v>
      </c>
      <c r="T46" s="41">
        <f>FleetAverage!B46</f>
        <v>22</v>
      </c>
      <c r="U46" s="47">
        <f>FleetAverage!C46</f>
        <v>0.44740721666666688</v>
      </c>
      <c r="V46" s="47">
        <f>FleetAverage!D46</f>
        <v>0</v>
      </c>
      <c r="W46" s="47">
        <f>FleetAverage!E46</f>
        <v>0</v>
      </c>
      <c r="X46" s="47">
        <f>FleetAverage!F46</f>
        <v>0.39159677419354832</v>
      </c>
      <c r="Y46" s="55">
        <f>FleetAverage!G46</f>
        <v>5.581044247311856E-2</v>
      </c>
      <c r="AA46" s="41">
        <f>FleetAverage!B46</f>
        <v>22</v>
      </c>
      <c r="AB46" s="47">
        <f>0</f>
        <v>0</v>
      </c>
      <c r="AC46" s="47">
        <f>FleetAverage!G46</f>
        <v>5.581044247311856E-2</v>
      </c>
      <c r="AD46" s="47">
        <f t="shared" si="1"/>
        <v>5.581044247311856E-2</v>
      </c>
      <c r="AE46" s="47">
        <f t="shared" si="2"/>
        <v>0</v>
      </c>
      <c r="AF46" s="51">
        <f>100</f>
        <v>100</v>
      </c>
      <c r="AG46" s="49">
        <f>FleetAverage!H46</f>
        <v>64.257661290322574</v>
      </c>
    </row>
    <row r="47" spans="1:33" x14ac:dyDescent="0.25">
      <c r="A47" s="41">
        <f>FleetAverage!B47</f>
        <v>22.5</v>
      </c>
      <c r="B47" s="43">
        <f>FleetAverage!I47</f>
        <v>52.654557333333329</v>
      </c>
      <c r="C47" s="43">
        <f>FleetAverage!J47</f>
        <v>0</v>
      </c>
      <c r="D47" s="44">
        <f>FleetAverage!K47</f>
        <v>7.067557333333319</v>
      </c>
      <c r="F47" s="41">
        <f>FleetAverage!B47</f>
        <v>22.5</v>
      </c>
      <c r="G47" s="47">
        <f>FleetAverage!E47</f>
        <v>0</v>
      </c>
      <c r="H47" s="47">
        <f>FleetAverage!F47</f>
        <v>0.36763709677419365</v>
      </c>
      <c r="I47" s="49">
        <f>FleetAverage!H47</f>
        <v>59.343408064516112</v>
      </c>
      <c r="K47" s="4" t="str">
        <f>ProsumerMetrics!A47</f>
        <v>BES_TR8_four562_C</v>
      </c>
      <c r="L47" s="51">
        <f>ProsumerMetrics!J47</f>
        <v>21.4</v>
      </c>
      <c r="M47" s="49">
        <f>ProsumerMetrics!K47</f>
        <v>81.5</v>
      </c>
      <c r="T47" s="41">
        <f>FleetAverage!B47</f>
        <v>22.5</v>
      </c>
      <c r="U47" s="47">
        <f>FleetAverage!C47</f>
        <v>0.4246335268817204</v>
      </c>
      <c r="V47" s="47">
        <f>FleetAverage!D47</f>
        <v>0</v>
      </c>
      <c r="W47" s="47">
        <f>FleetAverage!E47</f>
        <v>0</v>
      </c>
      <c r="X47" s="47">
        <f>FleetAverage!F47</f>
        <v>0.36763709677419365</v>
      </c>
      <c r="Y47" s="55">
        <f>FleetAverage!G47</f>
        <v>5.6996430107526752E-2</v>
      </c>
      <c r="AA47" s="41">
        <f>FleetAverage!B47</f>
        <v>22.5</v>
      </c>
      <c r="AB47" s="47">
        <f>0</f>
        <v>0</v>
      </c>
      <c r="AC47" s="47">
        <f>FleetAverage!G47</f>
        <v>5.6996430107526752E-2</v>
      </c>
      <c r="AD47" s="47">
        <f t="shared" si="1"/>
        <v>5.6996430107526752E-2</v>
      </c>
      <c r="AE47" s="47">
        <f t="shared" si="2"/>
        <v>0</v>
      </c>
      <c r="AF47" s="51">
        <f>100</f>
        <v>100</v>
      </c>
      <c r="AG47" s="49">
        <f>FleetAverage!H47</f>
        <v>59.343408064516112</v>
      </c>
    </row>
    <row r="48" spans="1:33" x14ac:dyDescent="0.25">
      <c r="A48" s="41">
        <f>FleetAverage!B48</f>
        <v>23</v>
      </c>
      <c r="B48" s="43">
        <f>FleetAverage!I48</f>
        <v>37.428887133333312</v>
      </c>
      <c r="C48" s="43">
        <f>FleetAverage!J48</f>
        <v>0</v>
      </c>
      <c r="D48" s="44">
        <f>FleetAverage!K48</f>
        <v>7.2468871333333063</v>
      </c>
      <c r="F48" s="41">
        <f>FleetAverage!B48</f>
        <v>23</v>
      </c>
      <c r="G48" s="47">
        <f>FleetAverage!E48</f>
        <v>0</v>
      </c>
      <c r="H48" s="47">
        <f>FleetAverage!F48</f>
        <v>0.24340322580645166</v>
      </c>
      <c r="I48" s="49">
        <f>FleetAverage!H48</f>
        <v>54.730375000000024</v>
      </c>
      <c r="K48" s="4" t="str">
        <f>ProsumerMetrics!A48</f>
        <v>BES_TR8_four590_A</v>
      </c>
      <c r="L48" s="51">
        <f>ProsumerMetrics!J48</f>
        <v>15.3</v>
      </c>
      <c r="M48" s="49">
        <f>ProsumerMetrics!K48</f>
        <v>100</v>
      </c>
      <c r="T48" s="41">
        <f>FleetAverage!B48</f>
        <v>23</v>
      </c>
      <c r="U48" s="47">
        <f>FleetAverage!C48</f>
        <v>0.30184586397849444</v>
      </c>
      <c r="V48" s="47">
        <f>FleetAverage!D48</f>
        <v>0</v>
      </c>
      <c r="W48" s="47">
        <f>FleetAverage!E48</f>
        <v>0</v>
      </c>
      <c r="X48" s="47">
        <f>FleetAverage!F48</f>
        <v>0.24340322580645166</v>
      </c>
      <c r="Y48" s="55">
        <f>FleetAverage!G48</f>
        <v>5.8442638172042788E-2</v>
      </c>
      <c r="AA48" s="41">
        <f>FleetAverage!B48</f>
        <v>23</v>
      </c>
      <c r="AB48" s="47">
        <f>0</f>
        <v>0</v>
      </c>
      <c r="AC48" s="47">
        <f>FleetAverage!G48</f>
        <v>5.8442638172042788E-2</v>
      </c>
      <c r="AD48" s="47">
        <f t="shared" si="1"/>
        <v>5.8442638172042788E-2</v>
      </c>
      <c r="AE48" s="47">
        <f t="shared" si="2"/>
        <v>0</v>
      </c>
      <c r="AF48" s="51">
        <f>100</f>
        <v>100</v>
      </c>
      <c r="AG48" s="49">
        <f>FleetAverage!H48</f>
        <v>54.730375000000024</v>
      </c>
    </row>
    <row r="49" spans="1:33" x14ac:dyDescent="0.25">
      <c r="A49" s="42">
        <f>FleetAverage!B49</f>
        <v>23.5</v>
      </c>
      <c r="B49" s="45">
        <f>FleetAverage!I49</f>
        <v>28.876278066666671</v>
      </c>
      <c r="C49" s="45">
        <f>FleetAverage!J49</f>
        <v>0</v>
      </c>
      <c r="D49" s="46">
        <f>FleetAverage!K49</f>
        <v>5.3502780666666752</v>
      </c>
      <c r="F49" s="42">
        <f>FleetAverage!B49</f>
        <v>23.5</v>
      </c>
      <c r="G49" s="48">
        <f>FleetAverage!E49</f>
        <v>0</v>
      </c>
      <c r="H49" s="48">
        <f>FleetAverage!F49</f>
        <v>0.18972580645161288</v>
      </c>
      <c r="I49" s="50">
        <f>FleetAverage!H49</f>
        <v>51.675613709677421</v>
      </c>
      <c r="K49" s="4" t="str">
        <f>ProsumerMetrics!A49</f>
        <v>BES_TR8_four604_A</v>
      </c>
      <c r="L49" s="51">
        <f>ProsumerMetrics!J49</f>
        <v>34.5</v>
      </c>
      <c r="M49" s="49">
        <f>ProsumerMetrics!K49</f>
        <v>100</v>
      </c>
      <c r="T49" s="42">
        <f>FleetAverage!B49</f>
        <v>23.5</v>
      </c>
      <c r="U49" s="48">
        <f>FleetAverage!C49</f>
        <v>0.23287321021505381</v>
      </c>
      <c r="V49" s="48">
        <f>FleetAverage!D49</f>
        <v>0</v>
      </c>
      <c r="W49" s="48">
        <f>FleetAverage!E49</f>
        <v>0</v>
      </c>
      <c r="X49" s="48">
        <f>FleetAverage!F49</f>
        <v>0.18972580645161288</v>
      </c>
      <c r="Y49" s="56">
        <f>FleetAverage!G49</f>
        <v>4.3147403763440922E-2</v>
      </c>
      <c r="AA49" s="42">
        <f>FleetAverage!B49</f>
        <v>23.5</v>
      </c>
      <c r="AB49" s="48">
        <f>0</f>
        <v>0</v>
      </c>
      <c r="AC49" s="48">
        <f>FleetAverage!G49</f>
        <v>4.3147403763440922E-2</v>
      </c>
      <c r="AD49" s="48">
        <f t="shared" si="1"/>
        <v>4.3147403763440922E-2</v>
      </c>
      <c r="AE49" s="48">
        <f t="shared" si="2"/>
        <v>0</v>
      </c>
      <c r="AF49" s="52">
        <f>100</f>
        <v>100</v>
      </c>
      <c r="AG49" s="50">
        <f>FleetAverage!H49</f>
        <v>51.675613709677421</v>
      </c>
    </row>
    <row r="50" spans="1:33" x14ac:dyDescent="0.25">
      <c r="K50" s="4" t="str">
        <f>ProsumerMetrics!A50</f>
        <v>BES_TR8_four78_B</v>
      </c>
      <c r="L50" s="51">
        <f>ProsumerMetrics!J50</f>
        <v>28</v>
      </c>
      <c r="M50" s="49">
        <f>ProsumerMetrics!K50</f>
        <v>93.4</v>
      </c>
    </row>
    <row r="51" spans="1:33" x14ac:dyDescent="0.25">
      <c r="K51" s="4" t="str">
        <f>ProsumerMetrics!A51</f>
        <v>BES_TR8_four734_A</v>
      </c>
      <c r="L51" s="51">
        <f>ProsumerMetrics!J51</f>
        <v>38.299999999999997</v>
      </c>
      <c r="M51" s="49">
        <f>ProsumerMetrics!K51</f>
        <v>86.7</v>
      </c>
    </row>
    <row r="52" spans="1:33" x14ac:dyDescent="0.25">
      <c r="K52" s="4" t="str">
        <f>ProsumerMetrics!A52</f>
        <v>BES_TR8_four797_C</v>
      </c>
      <c r="L52" s="51">
        <f>ProsumerMetrics!J52</f>
        <v>23.7</v>
      </c>
      <c r="M52" s="49">
        <f>ProsumerMetrics!K52</f>
        <v>100</v>
      </c>
    </row>
    <row r="53" spans="1:33" x14ac:dyDescent="0.25">
      <c r="K53" s="4" t="str">
        <f>ProsumerMetrics!A53</f>
        <v>BES_TR8_four846_C</v>
      </c>
      <c r="L53" s="51">
        <f>ProsumerMetrics!J53</f>
        <v>20.2</v>
      </c>
      <c r="M53" s="49">
        <f>ProsumerMetrics!K53</f>
        <v>100</v>
      </c>
    </row>
    <row r="54" spans="1:33" x14ac:dyDescent="0.25">
      <c r="K54" s="4" t="str">
        <f>ProsumerMetrics!A54</f>
        <v>BES_TR8_four854_A</v>
      </c>
      <c r="L54" s="51">
        <f>ProsumerMetrics!J54</f>
        <v>15.8</v>
      </c>
      <c r="M54" s="49">
        <f>ProsumerMetrics!K54</f>
        <v>99.9</v>
      </c>
    </row>
    <row r="55" spans="1:33" x14ac:dyDescent="0.25">
      <c r="K55" s="4" t="str">
        <f>ProsumerMetrics!A55</f>
        <v>BES_TR8_four936_C</v>
      </c>
      <c r="L55" s="51">
        <f>ProsumerMetrics!J55</f>
        <v>81.900000000000006</v>
      </c>
      <c r="M55" s="49">
        <f>ProsumerMetrics!K55</f>
        <v>99.7</v>
      </c>
    </row>
    <row r="56" spans="1:33" x14ac:dyDescent="0.25">
      <c r="K56" s="4" t="str">
        <f>ProsumerMetrics!A56</f>
        <v>BES_TR8_four950_B</v>
      </c>
      <c r="L56" s="51">
        <f>ProsumerMetrics!J56</f>
        <v>26.2</v>
      </c>
      <c r="M56" s="49">
        <f>ProsumerMetrics!K56</f>
        <v>100</v>
      </c>
    </row>
    <row r="57" spans="1:33" x14ac:dyDescent="0.25">
      <c r="K57" s="4" t="str">
        <f>ProsumerMetrics!A57</f>
        <v>BES_TR8_four978_A</v>
      </c>
      <c r="L57" s="51">
        <f>ProsumerMetrics!J57</f>
        <v>44.8</v>
      </c>
      <c r="M57" s="49">
        <f>ProsumerMetrics!K57</f>
        <v>100</v>
      </c>
    </row>
    <row r="58" spans="1:33" x14ac:dyDescent="0.25">
      <c r="K58" s="4" t="str">
        <f>ProsumerMetrics!A58</f>
        <v>BES_TR8_four104_A</v>
      </c>
      <c r="L58" s="51">
        <f>ProsumerMetrics!J58</f>
        <v>72.3</v>
      </c>
      <c r="M58" s="49">
        <f>ProsumerMetrics!K58</f>
        <v>100</v>
      </c>
    </row>
    <row r="59" spans="1:33" x14ac:dyDescent="0.25">
      <c r="K59" s="4" t="str">
        <f>ProsumerMetrics!A59</f>
        <v>BES_TR8_four988_A</v>
      </c>
      <c r="L59" s="51">
        <f>ProsumerMetrics!J59</f>
        <v>39.299999999999997</v>
      </c>
      <c r="M59" s="49">
        <f>ProsumerMetrics!K59</f>
        <v>100</v>
      </c>
    </row>
    <row r="60" spans="1:33" x14ac:dyDescent="0.25">
      <c r="K60" s="4" t="str">
        <f>ProsumerMetrics!A60</f>
        <v>BES_TR8_four1013_B</v>
      </c>
      <c r="L60" s="51">
        <f>ProsumerMetrics!J60</f>
        <v>26.7</v>
      </c>
      <c r="M60" s="49">
        <f>ProsumerMetrics!K60</f>
        <v>100</v>
      </c>
    </row>
    <row r="61" spans="1:33" x14ac:dyDescent="0.25">
      <c r="K61" s="4" t="str">
        <f>ProsumerMetrics!A61</f>
        <v>BES_TR8_four1027_A</v>
      </c>
      <c r="L61" s="51">
        <f>ProsumerMetrics!J61</f>
        <v>29.1</v>
      </c>
      <c r="M61" s="49">
        <f>ProsumerMetrics!K61</f>
        <v>100</v>
      </c>
    </row>
    <row r="62" spans="1:33" x14ac:dyDescent="0.25">
      <c r="K62" s="4" t="str">
        <f>ProsumerMetrics!A62</f>
        <v>BES_TR8_four1132_C</v>
      </c>
      <c r="L62" s="51">
        <f>ProsumerMetrics!J62</f>
        <v>27.2</v>
      </c>
      <c r="M62" s="49">
        <f>ProsumerMetrics!K62</f>
        <v>100</v>
      </c>
    </row>
    <row r="63" spans="1:33" x14ac:dyDescent="0.25">
      <c r="K63" s="4" t="str">
        <f>ProsumerMetrics!A63</f>
        <v>BES_TR8_four126_A</v>
      </c>
      <c r="L63" s="51">
        <f>ProsumerMetrics!J63</f>
        <v>19.600000000000001</v>
      </c>
      <c r="M63" s="49">
        <f>ProsumerMetrics!K63</f>
        <v>100</v>
      </c>
    </row>
    <row r="64" spans="1:33" x14ac:dyDescent="0.25">
      <c r="K64" s="4" t="str">
        <f>ProsumerMetrics!A64</f>
        <v>BES_TR8_four1187_A</v>
      </c>
      <c r="L64" s="51">
        <f>ProsumerMetrics!J64</f>
        <v>65.7</v>
      </c>
      <c r="M64" s="49">
        <f>ProsumerMetrics!K64</f>
        <v>100</v>
      </c>
    </row>
    <row r="65" spans="11:13" x14ac:dyDescent="0.25">
      <c r="K65" s="4" t="str">
        <f>ProsumerMetrics!A65</f>
        <v>BES_TR8_four1207_B</v>
      </c>
      <c r="L65" s="51">
        <f>ProsumerMetrics!J65</f>
        <v>46.6</v>
      </c>
      <c r="M65" s="49">
        <f>ProsumerMetrics!K65</f>
        <v>100</v>
      </c>
    </row>
    <row r="66" spans="11:13" x14ac:dyDescent="0.25">
      <c r="K66" s="4" t="str">
        <f>ProsumerMetrics!A66</f>
        <v>BES_TR8_five168_A</v>
      </c>
      <c r="L66" s="51">
        <f>ProsumerMetrics!J66</f>
        <v>24.8</v>
      </c>
      <c r="M66" s="49">
        <f>ProsumerMetrics!K66</f>
        <v>93.6</v>
      </c>
    </row>
    <row r="67" spans="11:13" x14ac:dyDescent="0.25">
      <c r="K67" s="4" t="str">
        <f>ProsumerMetrics!A67</f>
        <v>BES_TR8_five186_C</v>
      </c>
      <c r="L67" s="51">
        <f>ProsumerMetrics!J67</f>
        <v>45.5</v>
      </c>
      <c r="M67" s="49">
        <f>ProsumerMetrics!K67</f>
        <v>75.400000000000006</v>
      </c>
    </row>
    <row r="68" spans="11:13" x14ac:dyDescent="0.25">
      <c r="K68" s="4" t="str">
        <f>ProsumerMetrics!A68</f>
        <v>BES_TR8_five194_C</v>
      </c>
      <c r="L68" s="51">
        <f>ProsumerMetrics!J68</f>
        <v>18.7</v>
      </c>
      <c r="M68" s="49">
        <f>ProsumerMetrics!K68</f>
        <v>100</v>
      </c>
    </row>
    <row r="69" spans="11:13" x14ac:dyDescent="0.25">
      <c r="K69" s="4" t="str">
        <f>ProsumerMetrics!A69</f>
        <v>BES_TR8_five223_A</v>
      </c>
      <c r="L69" s="51">
        <f>ProsumerMetrics!J69</f>
        <v>24.7</v>
      </c>
      <c r="M69" s="49">
        <f>ProsumerMetrics!K69</f>
        <v>100</v>
      </c>
    </row>
    <row r="70" spans="11:13" x14ac:dyDescent="0.25">
      <c r="K70" s="4" t="str">
        <f>ProsumerMetrics!A70</f>
        <v>BES_TR8_five303_B</v>
      </c>
      <c r="L70" s="51">
        <f>ProsumerMetrics!J70</f>
        <v>72</v>
      </c>
      <c r="M70" s="49">
        <f>ProsumerMetrics!K70</f>
        <v>89.4</v>
      </c>
    </row>
    <row r="71" spans="11:13" x14ac:dyDescent="0.25">
      <c r="K71" s="4" t="str">
        <f>ProsumerMetrics!A71</f>
        <v>BES_TR8_five324_B</v>
      </c>
      <c r="L71" s="51">
        <f>ProsumerMetrics!J71</f>
        <v>28.5</v>
      </c>
      <c r="M71" s="49">
        <f>ProsumerMetrics!K71</f>
        <v>100</v>
      </c>
    </row>
    <row r="72" spans="11:13" x14ac:dyDescent="0.25">
      <c r="K72" s="4" t="str">
        <f>ProsumerMetrics!A72</f>
        <v>BES_TR8_five345_A</v>
      </c>
      <c r="L72" s="51">
        <f>ProsumerMetrics!J72</f>
        <v>14.2</v>
      </c>
      <c r="M72" s="49">
        <f>ProsumerMetrics!K72</f>
        <v>100</v>
      </c>
    </row>
    <row r="73" spans="11:13" x14ac:dyDescent="0.25">
      <c r="K73" s="4" t="str">
        <f>ProsumerMetrics!A73</f>
        <v>BES_TR8_five421_A</v>
      </c>
      <c r="L73" s="51">
        <f>ProsumerMetrics!J73</f>
        <v>21.4</v>
      </c>
      <c r="M73" s="49">
        <f>ProsumerMetrics!K73</f>
        <v>100</v>
      </c>
    </row>
    <row r="74" spans="11:13" x14ac:dyDescent="0.25">
      <c r="K74" s="4" t="str">
        <f>ProsumerMetrics!A74</f>
        <v>BES_TR8_five488_B</v>
      </c>
      <c r="L74" s="51">
        <f>ProsumerMetrics!J74</f>
        <v>23.9</v>
      </c>
      <c r="M74" s="49">
        <f>ProsumerMetrics!K74</f>
        <v>100</v>
      </c>
    </row>
    <row r="75" spans="11:13" x14ac:dyDescent="0.25">
      <c r="K75" s="4" t="str">
        <f>ProsumerMetrics!A75</f>
        <v>BES_TR8_five513_B</v>
      </c>
      <c r="L75" s="51">
        <f>ProsumerMetrics!J75</f>
        <v>17</v>
      </c>
      <c r="M75" s="49">
        <f>ProsumerMetrics!K75</f>
        <v>100</v>
      </c>
    </row>
    <row r="76" spans="11:13" x14ac:dyDescent="0.25">
      <c r="K76" s="4" t="str">
        <f>ProsumerMetrics!A76</f>
        <v>BES_TR8_five537_C</v>
      </c>
      <c r="L76" s="51">
        <f>ProsumerMetrics!J76</f>
        <v>45.3</v>
      </c>
      <c r="M76" s="49">
        <f>ProsumerMetrics!K76</f>
        <v>100</v>
      </c>
    </row>
    <row r="77" spans="11:13" x14ac:dyDescent="0.25">
      <c r="K77" s="4" t="str">
        <f>ProsumerMetrics!A77</f>
        <v>BES_TR8_five540_A</v>
      </c>
      <c r="L77" s="51">
        <f>ProsumerMetrics!J77</f>
        <v>26.3</v>
      </c>
      <c r="M77" s="49">
        <f>ProsumerMetrics!K77</f>
        <v>100</v>
      </c>
    </row>
    <row r="78" spans="11:13" x14ac:dyDescent="0.25">
      <c r="K78" s="4" t="str">
        <f>ProsumerMetrics!A78</f>
        <v>BES_TR8_five551_C</v>
      </c>
      <c r="L78" s="51">
        <f>ProsumerMetrics!J78</f>
        <v>16.899999999999999</v>
      </c>
      <c r="M78" s="49">
        <f>ProsumerMetrics!K78</f>
        <v>100</v>
      </c>
    </row>
    <row r="79" spans="11:13" x14ac:dyDescent="0.25">
      <c r="K79" s="4" t="str">
        <f>ProsumerMetrics!A79</f>
        <v>BES_TR8_five631_B</v>
      </c>
      <c r="L79" s="51">
        <f>ProsumerMetrics!J79</f>
        <v>27.7</v>
      </c>
      <c r="M79" s="49">
        <f>ProsumerMetrics!K79</f>
        <v>100</v>
      </c>
    </row>
    <row r="80" spans="11:13" x14ac:dyDescent="0.25">
      <c r="K80" s="4" t="str">
        <f>ProsumerMetrics!A80</f>
        <v>BES_TR8_five649_A</v>
      </c>
      <c r="L80" s="51">
        <f>ProsumerMetrics!J80</f>
        <v>19.399999999999999</v>
      </c>
      <c r="M80" s="49">
        <f>ProsumerMetrics!K80</f>
        <v>100</v>
      </c>
    </row>
    <row r="81" spans="11:13" x14ac:dyDescent="0.25">
      <c r="K81" s="4" t="str">
        <f>ProsumerMetrics!A81</f>
        <v>BES_TR8_five663_C</v>
      </c>
      <c r="L81" s="51">
        <f>ProsumerMetrics!J81</f>
        <v>28</v>
      </c>
      <c r="M81" s="49">
        <f>ProsumerMetrics!K81</f>
        <v>100</v>
      </c>
    </row>
    <row r="82" spans="11:13" x14ac:dyDescent="0.25">
      <c r="K82" s="4" t="str">
        <f>ProsumerMetrics!A82</f>
        <v>BES_TR8_five670_C</v>
      </c>
      <c r="L82" s="51">
        <f>ProsumerMetrics!J82</f>
        <v>18.2</v>
      </c>
      <c r="M82" s="49">
        <f>ProsumerMetrics!K82</f>
        <v>100</v>
      </c>
    </row>
    <row r="83" spans="11:13" x14ac:dyDescent="0.25">
      <c r="K83" s="4" t="str">
        <f>ProsumerMetrics!A83</f>
        <v>BES_TR8_five704_A</v>
      </c>
      <c r="L83" s="51">
        <f>ProsumerMetrics!J83</f>
        <v>25.1</v>
      </c>
      <c r="M83" s="49">
        <f>ProsumerMetrics!K83</f>
        <v>97.2</v>
      </c>
    </row>
    <row r="84" spans="11:13" x14ac:dyDescent="0.25">
      <c r="K84" s="4" t="str">
        <f>ProsumerMetrics!A84</f>
        <v>BES_TR8_five719_A</v>
      </c>
      <c r="L84" s="51">
        <f>ProsumerMetrics!J84</f>
        <v>23.8</v>
      </c>
      <c r="M84" s="49">
        <f>ProsumerMetrics!K84</f>
        <v>100</v>
      </c>
    </row>
    <row r="85" spans="11:13" x14ac:dyDescent="0.25">
      <c r="K85" s="4" t="str">
        <f>ProsumerMetrics!A85</f>
        <v>BES_TR8_five750_B</v>
      </c>
      <c r="L85" s="51">
        <f>ProsumerMetrics!J85</f>
        <v>17.7</v>
      </c>
      <c r="M85" s="49">
        <f>ProsumerMetrics!K85</f>
        <v>100</v>
      </c>
    </row>
    <row r="86" spans="11:13" x14ac:dyDescent="0.25">
      <c r="K86" s="4" t="str">
        <f>ProsumerMetrics!A86</f>
        <v>BES_TR8_five793_A</v>
      </c>
      <c r="L86" s="51">
        <f>ProsumerMetrics!J86</f>
        <v>68.7</v>
      </c>
      <c r="M86" s="49">
        <f>ProsumerMetrics!K86</f>
        <v>100</v>
      </c>
    </row>
    <row r="87" spans="11:13" x14ac:dyDescent="0.25">
      <c r="K87" s="4" t="str">
        <f>ProsumerMetrics!A87</f>
        <v>BES_TR8_five801_C</v>
      </c>
      <c r="L87" s="51">
        <f>ProsumerMetrics!J87</f>
        <v>21.9</v>
      </c>
      <c r="M87" s="49">
        <f>ProsumerMetrics!K87</f>
        <v>100</v>
      </c>
    </row>
    <row r="88" spans="11:13" x14ac:dyDescent="0.25">
      <c r="K88" s="4" t="str">
        <f>ProsumerMetrics!A88</f>
        <v>BES_TR8_five905_B</v>
      </c>
      <c r="L88" s="51">
        <f>ProsumerMetrics!J88</f>
        <v>31.2</v>
      </c>
      <c r="M88" s="49">
        <f>ProsumerMetrics!K88</f>
        <v>100</v>
      </c>
    </row>
    <row r="89" spans="11:13" x14ac:dyDescent="0.25">
      <c r="K89" s="4" t="str">
        <f>ProsumerMetrics!A89</f>
        <v>BES_TR8_five118_B</v>
      </c>
      <c r="L89" s="51">
        <f>ProsumerMetrics!J89</f>
        <v>25.2</v>
      </c>
      <c r="M89" s="49">
        <f>ProsumerMetrics!K89</f>
        <v>100</v>
      </c>
    </row>
    <row r="90" spans="11:13" x14ac:dyDescent="0.25">
      <c r="K90" s="4" t="str">
        <f>ProsumerMetrics!A90</f>
        <v>BES_TR8_five123_B</v>
      </c>
      <c r="L90" s="51">
        <f>ProsumerMetrics!J90</f>
        <v>30.2</v>
      </c>
      <c r="M90" s="49">
        <f>ProsumerMetrics!K90</f>
        <v>100</v>
      </c>
    </row>
    <row r="91" spans="11:13" x14ac:dyDescent="0.25">
      <c r="K91" s="4" t="str">
        <f>ProsumerMetrics!A91</f>
        <v>BES_TR8_six64_A</v>
      </c>
      <c r="L91" s="51">
        <f>ProsumerMetrics!J91</f>
        <v>53.3</v>
      </c>
      <c r="M91" s="49">
        <f>ProsumerMetrics!K91</f>
        <v>100</v>
      </c>
    </row>
    <row r="92" spans="11:13" x14ac:dyDescent="0.25">
      <c r="K92" s="4" t="str">
        <f>ProsumerMetrics!A92</f>
        <v>BES_TR8_six154_C</v>
      </c>
      <c r="L92" s="51">
        <f>ProsumerMetrics!J92</f>
        <v>26.8</v>
      </c>
      <c r="M92" s="49">
        <f>ProsumerMetrics!K92</f>
        <v>100</v>
      </c>
    </row>
    <row r="93" spans="11:13" x14ac:dyDescent="0.25">
      <c r="K93" s="4" t="str">
        <f>ProsumerMetrics!A93</f>
        <v>BES_TR8_six173_C</v>
      </c>
      <c r="L93" s="51">
        <f>ProsumerMetrics!J93</f>
        <v>13.8</v>
      </c>
      <c r="M93" s="49">
        <f>ProsumerMetrics!K93</f>
        <v>88</v>
      </c>
    </row>
    <row r="94" spans="11:13" x14ac:dyDescent="0.25">
      <c r="K94" s="4" t="str">
        <f>ProsumerMetrics!A94</f>
        <v>BES_TR8_six232_C</v>
      </c>
      <c r="L94" s="51">
        <f>ProsumerMetrics!J94</f>
        <v>40.9</v>
      </c>
      <c r="M94" s="49">
        <f>ProsumerMetrics!K94</f>
        <v>99.2</v>
      </c>
    </row>
    <row r="95" spans="11:13" x14ac:dyDescent="0.25">
      <c r="K95" s="4" t="str">
        <f>ProsumerMetrics!A95</f>
        <v>BES_TR8_six238_A</v>
      </c>
      <c r="L95" s="51">
        <f>ProsumerMetrics!J95</f>
        <v>57.8</v>
      </c>
      <c r="M95" s="49">
        <f>ProsumerMetrics!K95</f>
        <v>100</v>
      </c>
    </row>
    <row r="96" spans="11:13" x14ac:dyDescent="0.25">
      <c r="K96" s="4" t="str">
        <f>ProsumerMetrics!A96</f>
        <v>BES_TR8_six269_C</v>
      </c>
      <c r="L96" s="51">
        <f>ProsumerMetrics!J96</f>
        <v>20.100000000000001</v>
      </c>
      <c r="M96" s="49">
        <f>ProsumerMetrics!K96</f>
        <v>99.8</v>
      </c>
    </row>
    <row r="97" spans="11:13" x14ac:dyDescent="0.25">
      <c r="K97" s="4" t="str">
        <f>ProsumerMetrics!A97</f>
        <v>BES_TR8_six289_C</v>
      </c>
      <c r="L97" s="51">
        <f>ProsumerMetrics!J97</f>
        <v>29.5</v>
      </c>
      <c r="M97" s="49">
        <f>ProsumerMetrics!K97</f>
        <v>100</v>
      </c>
    </row>
    <row r="98" spans="11:13" x14ac:dyDescent="0.25">
      <c r="K98" s="4" t="str">
        <f>ProsumerMetrics!A98</f>
        <v>BES_TR8_six317_C</v>
      </c>
      <c r="L98" s="51">
        <f>ProsumerMetrics!J98</f>
        <v>37.299999999999997</v>
      </c>
      <c r="M98" s="49">
        <f>ProsumerMetrics!K98</f>
        <v>98.5</v>
      </c>
    </row>
    <row r="99" spans="11:13" x14ac:dyDescent="0.25">
      <c r="K99" s="4" t="str">
        <f>ProsumerMetrics!A99</f>
        <v>BES_TR8_six326_A</v>
      </c>
      <c r="L99" s="51">
        <f>ProsumerMetrics!J99</f>
        <v>29.7</v>
      </c>
      <c r="M99" s="49">
        <f>ProsumerMetrics!K99</f>
        <v>100</v>
      </c>
    </row>
    <row r="100" spans="11:13" x14ac:dyDescent="0.25">
      <c r="K100" s="4" t="str">
        <f>ProsumerMetrics!A100</f>
        <v>BES_TR8_six329_A</v>
      </c>
      <c r="L100" s="51">
        <f>ProsumerMetrics!J100</f>
        <v>49.4</v>
      </c>
      <c r="M100" s="49">
        <f>ProsumerMetrics!K100</f>
        <v>100</v>
      </c>
    </row>
    <row r="101" spans="11:13" x14ac:dyDescent="0.25">
      <c r="K101" s="4" t="str">
        <f>ProsumerMetrics!A101</f>
        <v>BES_TR8_six342_A</v>
      </c>
      <c r="L101" s="51">
        <f>ProsumerMetrics!J101</f>
        <v>69.7</v>
      </c>
      <c r="M101" s="49">
        <f>ProsumerMetrics!K101</f>
        <v>78.5</v>
      </c>
    </row>
    <row r="102" spans="11:13" x14ac:dyDescent="0.25">
      <c r="K102" s="4" t="str">
        <f>ProsumerMetrics!A102</f>
        <v>BES_TR8_six350_B</v>
      </c>
      <c r="L102" s="51">
        <f>ProsumerMetrics!J102</f>
        <v>24.1</v>
      </c>
      <c r="M102" s="49">
        <f>ProsumerMetrics!K102</f>
        <v>100</v>
      </c>
    </row>
    <row r="103" spans="11:13" x14ac:dyDescent="0.25">
      <c r="K103" s="4" t="str">
        <f>ProsumerMetrics!A103</f>
        <v>BES_TR8_six365_C</v>
      </c>
      <c r="L103" s="51">
        <f>ProsumerMetrics!J103</f>
        <v>37.9</v>
      </c>
      <c r="M103" s="49">
        <f>ProsumerMetrics!K103</f>
        <v>99.8</v>
      </c>
    </row>
    <row r="104" spans="11:13" x14ac:dyDescent="0.25">
      <c r="K104" s="4" t="str">
        <f>ProsumerMetrics!A104</f>
        <v>BES_TR8_six75_A</v>
      </c>
      <c r="L104" s="51">
        <f>ProsumerMetrics!J104</f>
        <v>23.1</v>
      </c>
      <c r="M104" s="49">
        <f>ProsumerMetrics!K104</f>
        <v>100</v>
      </c>
    </row>
    <row r="105" spans="11:13" x14ac:dyDescent="0.25">
      <c r="K105" s="4" t="str">
        <f>ProsumerMetrics!A105</f>
        <v>BES_TR8_six385_B</v>
      </c>
      <c r="L105" s="51">
        <f>ProsumerMetrics!J105</f>
        <v>33.4</v>
      </c>
      <c r="M105" s="49">
        <f>ProsumerMetrics!K105</f>
        <v>100</v>
      </c>
    </row>
    <row r="106" spans="11:13" x14ac:dyDescent="0.25">
      <c r="K106" s="4" t="str">
        <f>ProsumerMetrics!A106</f>
        <v>BES_TR8_six431_C</v>
      </c>
      <c r="L106" s="51">
        <f>ProsumerMetrics!J106</f>
        <v>68.3</v>
      </c>
      <c r="M106" s="49">
        <f>ProsumerMetrics!K106</f>
        <v>100</v>
      </c>
    </row>
    <row r="107" spans="11:13" x14ac:dyDescent="0.25">
      <c r="K107" s="4" t="str">
        <f>ProsumerMetrics!A107</f>
        <v>BES_TR8_six571_C</v>
      </c>
      <c r="L107" s="51">
        <f>ProsumerMetrics!J107</f>
        <v>27.1</v>
      </c>
      <c r="M107" s="49">
        <f>ProsumerMetrics!K107</f>
        <v>100</v>
      </c>
    </row>
    <row r="108" spans="11:13" x14ac:dyDescent="0.25">
      <c r="K108" s="4" t="str">
        <f>ProsumerMetrics!A108</f>
        <v>BES_TR8_six595_B</v>
      </c>
      <c r="L108" s="51">
        <f>ProsumerMetrics!J108</f>
        <v>71.400000000000006</v>
      </c>
      <c r="M108" s="49">
        <f>ProsumerMetrics!K108</f>
        <v>100</v>
      </c>
    </row>
    <row r="109" spans="11:13" x14ac:dyDescent="0.25">
      <c r="K109" s="4" t="str">
        <f>ProsumerMetrics!A109</f>
        <v>BES_TR8_six643_A</v>
      </c>
      <c r="L109" s="51">
        <f>ProsumerMetrics!J109</f>
        <v>38.200000000000003</v>
      </c>
      <c r="M109" s="49">
        <f>ProsumerMetrics!K109</f>
        <v>92.5</v>
      </c>
    </row>
    <row r="110" spans="11:13" x14ac:dyDescent="0.25">
      <c r="K110" s="4" t="str">
        <f>ProsumerMetrics!A110</f>
        <v>BES_TR8_six652_A</v>
      </c>
      <c r="L110" s="51">
        <f>ProsumerMetrics!J110</f>
        <v>35.799999999999997</v>
      </c>
      <c r="M110" s="49">
        <f>ProsumerMetrics!K110</f>
        <v>100</v>
      </c>
    </row>
    <row r="111" spans="11:13" x14ac:dyDescent="0.25">
      <c r="K111" s="4" t="str">
        <f>ProsumerMetrics!A111</f>
        <v>BES_TR8_six667_A</v>
      </c>
      <c r="L111" s="51">
        <f>ProsumerMetrics!J111</f>
        <v>20.5</v>
      </c>
      <c r="M111" s="49">
        <f>ProsumerMetrics!K111</f>
        <v>100</v>
      </c>
    </row>
    <row r="112" spans="11:13" x14ac:dyDescent="0.25">
      <c r="K112" s="4" t="str">
        <f>ProsumerMetrics!A112</f>
        <v>BES_TR8_six699_C</v>
      </c>
      <c r="L112" s="51">
        <f>ProsumerMetrics!J112</f>
        <v>26.6</v>
      </c>
      <c r="M112" s="49">
        <f>ProsumerMetrics!K112</f>
        <v>100</v>
      </c>
    </row>
    <row r="113" spans="11:13" x14ac:dyDescent="0.25">
      <c r="K113" s="4" t="str">
        <f>ProsumerMetrics!A113</f>
        <v>BES_TR8_six723_B</v>
      </c>
      <c r="L113" s="51">
        <f>ProsumerMetrics!J113</f>
        <v>24.3</v>
      </c>
      <c r="M113" s="49">
        <f>ProsumerMetrics!K113</f>
        <v>100</v>
      </c>
    </row>
    <row r="114" spans="11:13" x14ac:dyDescent="0.25">
      <c r="K114" s="4" t="str">
        <f>ProsumerMetrics!A114</f>
        <v>BES_TR8_six740_A</v>
      </c>
      <c r="L114" s="51">
        <f>ProsumerMetrics!J114</f>
        <v>20.8</v>
      </c>
      <c r="M114" s="49">
        <f>ProsumerMetrics!K114</f>
        <v>85.9</v>
      </c>
    </row>
    <row r="115" spans="11:13" x14ac:dyDescent="0.25">
      <c r="K115" s="4" t="str">
        <f>ProsumerMetrics!A115</f>
        <v>BES_TR8_six90_B</v>
      </c>
      <c r="L115" s="51">
        <f>ProsumerMetrics!J115</f>
        <v>18.5</v>
      </c>
      <c r="M115" s="49">
        <f>ProsumerMetrics!K115</f>
        <v>100</v>
      </c>
    </row>
    <row r="116" spans="11:13" x14ac:dyDescent="0.25">
      <c r="K116" s="4" t="str">
        <f>ProsumerMetrics!A116</f>
        <v>BES_TR8_six801_C</v>
      </c>
      <c r="L116" s="51">
        <f>ProsumerMetrics!J116</f>
        <v>20.7</v>
      </c>
      <c r="M116" s="49">
        <f>ProsumerMetrics!K116</f>
        <v>100</v>
      </c>
    </row>
    <row r="117" spans="11:13" x14ac:dyDescent="0.25">
      <c r="K117" s="4" t="str">
        <f>ProsumerMetrics!A117</f>
        <v>BES_TR8_six807_A</v>
      </c>
      <c r="L117" s="51">
        <f>ProsumerMetrics!J117</f>
        <v>30</v>
      </c>
      <c r="M117" s="49">
        <f>ProsumerMetrics!K117</f>
        <v>100</v>
      </c>
    </row>
    <row r="118" spans="11:13" x14ac:dyDescent="0.25">
      <c r="K118" s="4" t="str">
        <f>ProsumerMetrics!A118</f>
        <v>BES_TR8_six844_C</v>
      </c>
      <c r="L118" s="51">
        <f>ProsumerMetrics!J118</f>
        <v>17.899999999999999</v>
      </c>
      <c r="M118" s="49">
        <f>ProsumerMetrics!K118</f>
        <v>100</v>
      </c>
    </row>
    <row r="119" spans="11:13" x14ac:dyDescent="0.25">
      <c r="K119" s="4" t="str">
        <f>ProsumerMetrics!A119</f>
        <v>BES_TR8_six860_C</v>
      </c>
      <c r="L119" s="51">
        <f>ProsumerMetrics!J119</f>
        <v>44.2</v>
      </c>
      <c r="M119" s="49">
        <f>ProsumerMetrics!K119</f>
        <v>100</v>
      </c>
    </row>
    <row r="120" spans="11:13" x14ac:dyDescent="0.25">
      <c r="K120" s="4" t="str">
        <f>ProsumerMetrics!A120</f>
        <v>BES_TR8_six909_C</v>
      </c>
      <c r="L120" s="51">
        <f>ProsumerMetrics!J120</f>
        <v>30.3</v>
      </c>
      <c r="M120" s="49">
        <f>ProsumerMetrics!K120</f>
        <v>99.9</v>
      </c>
    </row>
    <row r="121" spans="11:13" x14ac:dyDescent="0.25">
      <c r="K121" s="4" t="str">
        <f>ProsumerMetrics!A121</f>
        <v>BES_TR8_six914_A</v>
      </c>
      <c r="L121" s="51">
        <f>ProsumerMetrics!J121</f>
        <v>17.8</v>
      </c>
      <c r="M121" s="49">
        <f>ProsumerMetrics!K121</f>
        <v>96.7</v>
      </c>
    </row>
    <row r="122" spans="11:13" x14ac:dyDescent="0.25">
      <c r="K122" s="4" t="str">
        <f>ProsumerMetrics!A122</f>
        <v>BES_TR8_six111_C</v>
      </c>
      <c r="L122" s="51">
        <f>ProsumerMetrics!J122</f>
        <v>40.4</v>
      </c>
      <c r="M122" s="49">
        <f>ProsumerMetrics!K122</f>
        <v>88.5</v>
      </c>
    </row>
    <row r="123" spans="11:13" x14ac:dyDescent="0.25">
      <c r="K123" s="4" t="str">
        <f>ProsumerMetrics!A123</f>
        <v>BES_TR8_six1006_C</v>
      </c>
      <c r="L123" s="51">
        <f>ProsumerMetrics!J123</f>
        <v>69.400000000000006</v>
      </c>
      <c r="M123" s="49">
        <f>ProsumerMetrics!K123</f>
        <v>82.4</v>
      </c>
    </row>
    <row r="124" spans="11:13" x14ac:dyDescent="0.25">
      <c r="K124" s="4" t="str">
        <f>ProsumerMetrics!A124</f>
        <v>BES_TR8_six1020_A</v>
      </c>
      <c r="L124" s="51">
        <f>ProsumerMetrics!J124</f>
        <v>58.3</v>
      </c>
      <c r="M124" s="49">
        <f>ProsumerMetrics!K124</f>
        <v>100</v>
      </c>
    </row>
    <row r="125" spans="11:13" x14ac:dyDescent="0.25">
      <c r="K125" s="6" t="str">
        <f>ProsumerMetrics!A125</f>
        <v>BES_TR8_six1064_C</v>
      </c>
      <c r="L125" s="52">
        <f>ProsumerMetrics!J125</f>
        <v>100</v>
      </c>
      <c r="M125" s="50">
        <f>ProsumerMetrics!K125</f>
        <v>92.5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6:F74"/>
  <sheetViews>
    <sheetView showGridLines="0" workbookViewId="0"/>
  </sheetViews>
  <sheetFormatPr defaultRowHeight="15" x14ac:dyDescent="0.25"/>
  <cols>
    <col min="1" max="13" width="13" customWidth="1"/>
  </cols>
  <sheetData>
    <row r="26" spans="1:6" x14ac:dyDescent="0.25">
      <c r="A26" s="38" t="s">
        <v>307</v>
      </c>
      <c r="B26" s="39" t="s">
        <v>320</v>
      </c>
      <c r="C26" s="39" t="s">
        <v>321</v>
      </c>
      <c r="D26" s="39" t="s">
        <v>322</v>
      </c>
      <c r="E26" s="39" t="s">
        <v>323</v>
      </c>
      <c r="F26" s="40" t="s">
        <v>324</v>
      </c>
    </row>
    <row r="27" spans="1:6" x14ac:dyDescent="0.25">
      <c r="A27" s="41">
        <f>ChartData!T2</f>
        <v>0</v>
      </c>
      <c r="B27" s="47">
        <f>ChartData!U2</f>
        <v>0.23955601881720429</v>
      </c>
      <c r="C27" s="47">
        <f>ChartData!V2</f>
        <v>0</v>
      </c>
      <c r="D27" s="47">
        <f>ChartData!W2</f>
        <v>0</v>
      </c>
      <c r="E27" s="47">
        <f>ChartData!X2</f>
        <v>0.23916129032258066</v>
      </c>
      <c r="F27" s="55">
        <f>ChartData!Y2</f>
        <v>3.9472849462363069E-4</v>
      </c>
    </row>
    <row r="28" spans="1:6" x14ac:dyDescent="0.25">
      <c r="A28" s="41">
        <f>ChartData!T3</f>
        <v>0.5</v>
      </c>
      <c r="B28" s="47">
        <f>ChartData!U3</f>
        <v>0.16206497903225803</v>
      </c>
      <c r="C28" s="47">
        <f>ChartData!V3</f>
        <v>0</v>
      </c>
      <c r="D28" s="47">
        <f>ChartData!W3</f>
        <v>0</v>
      </c>
      <c r="E28" s="47">
        <f>ChartData!X3</f>
        <v>0.15999193548387095</v>
      </c>
      <c r="F28" s="55">
        <f>ChartData!Y3</f>
        <v>2.0730435483870824E-3</v>
      </c>
    </row>
    <row r="29" spans="1:6" x14ac:dyDescent="0.25">
      <c r="A29" s="41">
        <f>ChartData!T4</f>
        <v>1</v>
      </c>
      <c r="B29" s="47">
        <f>ChartData!U4</f>
        <v>0.12509534059139787</v>
      </c>
      <c r="C29" s="47">
        <f>ChartData!V4</f>
        <v>0</v>
      </c>
      <c r="D29" s="47">
        <f>ChartData!W4</f>
        <v>0</v>
      </c>
      <c r="E29" s="47">
        <f>ChartData!X4</f>
        <v>0.12145967741935486</v>
      </c>
      <c r="F29" s="55">
        <f>ChartData!Y4</f>
        <v>3.635663172043016E-3</v>
      </c>
    </row>
    <row r="30" spans="1:6" x14ac:dyDescent="0.25">
      <c r="A30" s="41">
        <f>ChartData!T5</f>
        <v>1.5</v>
      </c>
      <c r="B30" s="47">
        <f>ChartData!U5</f>
        <v>0.13857774946236556</v>
      </c>
      <c r="C30" s="47">
        <f>ChartData!V5</f>
        <v>0</v>
      </c>
      <c r="D30" s="47">
        <f>ChartData!W5</f>
        <v>0</v>
      </c>
      <c r="E30" s="47">
        <f>ChartData!X5</f>
        <v>0.12979838709677419</v>
      </c>
      <c r="F30" s="55">
        <f>ChartData!Y5</f>
        <v>8.7793623655913755E-3</v>
      </c>
    </row>
    <row r="31" spans="1:6" x14ac:dyDescent="0.25">
      <c r="A31" s="41">
        <f>ChartData!T6</f>
        <v>2</v>
      </c>
      <c r="B31" s="47">
        <f>ChartData!U6</f>
        <v>0.11135693548387104</v>
      </c>
      <c r="C31" s="47">
        <f>ChartData!V6</f>
        <v>0</v>
      </c>
      <c r="D31" s="47">
        <f>ChartData!W6</f>
        <v>0</v>
      </c>
      <c r="E31" s="47">
        <f>ChartData!X6</f>
        <v>0.10301612903225814</v>
      </c>
      <c r="F31" s="55">
        <f>ChartData!Y6</f>
        <v>8.340806451612906E-3</v>
      </c>
    </row>
    <row r="32" spans="1:6" x14ac:dyDescent="0.25">
      <c r="A32" s="41">
        <f>ChartData!T7</f>
        <v>2.5</v>
      </c>
      <c r="B32" s="47">
        <f>ChartData!U7</f>
        <v>0.12965302096774203</v>
      </c>
      <c r="C32" s="47">
        <f>ChartData!V7</f>
        <v>0</v>
      </c>
      <c r="D32" s="47">
        <f>ChartData!W7</f>
        <v>0</v>
      </c>
      <c r="E32" s="47">
        <f>ChartData!X7</f>
        <v>0.1226935483870968</v>
      </c>
      <c r="F32" s="55">
        <f>ChartData!Y7</f>
        <v>6.9594725806452346E-3</v>
      </c>
    </row>
    <row r="33" spans="1:6" x14ac:dyDescent="0.25">
      <c r="A33" s="41">
        <f>ChartData!T8</f>
        <v>3</v>
      </c>
      <c r="B33" s="47">
        <f>ChartData!U8</f>
        <v>0.1092712983870968</v>
      </c>
      <c r="C33" s="47">
        <f>ChartData!V8</f>
        <v>0</v>
      </c>
      <c r="D33" s="47">
        <f>ChartData!W8</f>
        <v>0</v>
      </c>
      <c r="E33" s="47">
        <f>ChartData!X8</f>
        <v>0.10104032258064513</v>
      </c>
      <c r="F33" s="55">
        <f>ChartData!Y8</f>
        <v>8.2309758064516708E-3</v>
      </c>
    </row>
    <row r="34" spans="1:6" x14ac:dyDescent="0.25">
      <c r="A34" s="41">
        <f>ChartData!T9</f>
        <v>3.5</v>
      </c>
      <c r="B34" s="47">
        <f>ChartData!U9</f>
        <v>0.14391196827956984</v>
      </c>
      <c r="C34" s="47">
        <f>ChartData!V9</f>
        <v>2.6465050857526883E-3</v>
      </c>
      <c r="D34" s="47">
        <f>ChartData!W9</f>
        <v>0</v>
      </c>
      <c r="E34" s="47">
        <f>ChartData!X9</f>
        <v>0.12418548387096784</v>
      </c>
      <c r="F34" s="55">
        <f>ChartData!Y9</f>
        <v>1.7079979322849326E-2</v>
      </c>
    </row>
    <row r="35" spans="1:6" x14ac:dyDescent="0.25">
      <c r="A35" s="41">
        <f>ChartData!T10</f>
        <v>4</v>
      </c>
      <c r="B35" s="47">
        <f>ChartData!U10</f>
        <v>0.11276629301075269</v>
      </c>
      <c r="C35" s="47">
        <f>ChartData!V10</f>
        <v>3.8253445365860152E-2</v>
      </c>
      <c r="D35" s="47">
        <f>ChartData!W10</f>
        <v>3.1451612903225811E-4</v>
      </c>
      <c r="E35" s="47">
        <f>ChartData!X10</f>
        <v>6.7915572790322565E-2</v>
      </c>
      <c r="F35" s="55">
        <f>ChartData!Y10</f>
        <v>6.9117909836022423E-3</v>
      </c>
    </row>
    <row r="36" spans="1:6" x14ac:dyDescent="0.25">
      <c r="A36" s="41">
        <f>ChartData!T11</f>
        <v>4.5</v>
      </c>
      <c r="B36" s="47">
        <f>ChartData!U11</f>
        <v>0.11641531989247308</v>
      </c>
      <c r="C36" s="47">
        <f>ChartData!V11</f>
        <v>0.17888470175766105</v>
      </c>
      <c r="D36" s="47">
        <f>ChartData!W11</f>
        <v>8.3451612903225794E-2</v>
      </c>
      <c r="E36" s="47">
        <f>ChartData!X11</f>
        <v>2.0725806451612903E-2</v>
      </c>
      <c r="F36" s="55">
        <f>ChartData!Y11</f>
        <v>2.5642458642492413E-4</v>
      </c>
    </row>
    <row r="37" spans="1:6" x14ac:dyDescent="0.25">
      <c r="A37" s="41">
        <f>ChartData!T12</f>
        <v>5</v>
      </c>
      <c r="B37" s="47">
        <f>ChartData!U12</f>
        <v>0.11359414516129028</v>
      </c>
      <c r="C37" s="47">
        <f>ChartData!V12</f>
        <v>0.35484137091478601</v>
      </c>
      <c r="D37" s="47">
        <f>ChartData!W12</f>
        <v>0.24564516129032257</v>
      </c>
      <c r="E37" s="47">
        <f>ChartData!X12</f>
        <v>4.4193548387096776E-3</v>
      </c>
      <c r="F37" s="55">
        <f>ChartData!Y12</f>
        <v>-2.1419301882825113E-5</v>
      </c>
    </row>
    <row r="38" spans="1:6" x14ac:dyDescent="0.25">
      <c r="A38" s="41">
        <f>ChartData!T13</f>
        <v>5.5</v>
      </c>
      <c r="B38" s="47">
        <f>ChartData!U13</f>
        <v>0.10878060322580646</v>
      </c>
      <c r="C38" s="47">
        <f>ChartData!V13</f>
        <v>0.57060245574085966</v>
      </c>
      <c r="D38" s="47">
        <f>ChartData!W13</f>
        <v>0.46278225806451606</v>
      </c>
      <c r="E38" s="47">
        <f>ChartData!X13</f>
        <v>9.7580645161290318E-4</v>
      </c>
      <c r="F38" s="55">
        <f>ChartData!Y13</f>
        <v>-1.5400902150041569E-5</v>
      </c>
    </row>
    <row r="39" spans="1:6" x14ac:dyDescent="0.25">
      <c r="A39" s="41">
        <f>ChartData!T14</f>
        <v>6</v>
      </c>
      <c r="B39" s="47">
        <f>ChartData!U14</f>
        <v>0.12444465672043016</v>
      </c>
      <c r="C39" s="47">
        <f>ChartData!V14</f>
        <v>0.80600996593212404</v>
      </c>
      <c r="D39" s="47">
        <f>ChartData!W14</f>
        <v>0.69041129032258031</v>
      </c>
      <c r="E39" s="47">
        <f>ChartData!X14</f>
        <v>1.3145161290322581E-3</v>
      </c>
      <c r="F39" s="55">
        <f>ChartData!Y14</f>
        <v>7.531464981854156E-3</v>
      </c>
    </row>
    <row r="40" spans="1:6" x14ac:dyDescent="0.25">
      <c r="A40" s="41">
        <f>ChartData!T15</f>
        <v>6.5</v>
      </c>
      <c r="B40" s="47">
        <f>ChartData!U15</f>
        <v>0.14643169086021512</v>
      </c>
      <c r="C40" s="47">
        <f>ChartData!V15</f>
        <v>1.0443109989723116</v>
      </c>
      <c r="D40" s="47">
        <f>ChartData!W15</f>
        <v>0.9039435483870969</v>
      </c>
      <c r="E40" s="47">
        <f>ChartData!X15</f>
        <v>6.0564516129032256E-3</v>
      </c>
      <c r="F40" s="55">
        <f>ChartData!Y15</f>
        <v>7.7886620971842624E-6</v>
      </c>
    </row>
    <row r="41" spans="1:6" x14ac:dyDescent="0.25">
      <c r="A41" s="41">
        <f>ChartData!T16</f>
        <v>7</v>
      </c>
      <c r="B41" s="47">
        <f>ChartData!U16</f>
        <v>0.15143361451612911</v>
      </c>
      <c r="C41" s="47">
        <f>ChartData!V16</f>
        <v>1.2813780887221773</v>
      </c>
      <c r="D41" s="47">
        <f>ChartData!W16</f>
        <v>1.1330241935483871</v>
      </c>
      <c r="E41" s="47">
        <f>ChartData!X16</f>
        <v>3.6370967741935485E-3</v>
      </c>
      <c r="F41" s="55">
        <f>ChartData!Y16</f>
        <v>-5.5737743185468825E-4</v>
      </c>
    </row>
    <row r="42" spans="1:6" x14ac:dyDescent="0.25">
      <c r="A42" s="41">
        <f>ChartData!T17</f>
        <v>7.5</v>
      </c>
      <c r="B42" s="47">
        <f>ChartData!U17</f>
        <v>0.18172697123655918</v>
      </c>
      <c r="C42" s="47">
        <f>ChartData!V17</f>
        <v>1.5187900268850794</v>
      </c>
      <c r="D42" s="47">
        <f>ChartData!W17</f>
        <v>1.234475806451613</v>
      </c>
      <c r="E42" s="47">
        <f>ChartData!X17</f>
        <v>1.75E-3</v>
      </c>
      <c r="F42" s="55">
        <f>ChartData!Y17</f>
        <v>-0.10433724919690709</v>
      </c>
    </row>
    <row r="43" spans="1:6" x14ac:dyDescent="0.25">
      <c r="A43" s="41">
        <f>ChartData!T18</f>
        <v>8</v>
      </c>
      <c r="B43" s="47">
        <f>ChartData!U18</f>
        <v>0.24661520026881714</v>
      </c>
      <c r="C43" s="47">
        <f>ChartData!V18</f>
        <v>1.7416162609651937</v>
      </c>
      <c r="D43" s="47">
        <f>ChartData!W18</f>
        <v>0.71991129032258061</v>
      </c>
      <c r="E43" s="47">
        <f>ChartData!X18</f>
        <v>8.7016129032258058E-3</v>
      </c>
      <c r="F43" s="55">
        <f>ChartData!Y18</f>
        <v>-0.7837913832770218</v>
      </c>
    </row>
    <row r="44" spans="1:6" x14ac:dyDescent="0.25">
      <c r="A44" s="41">
        <f>ChartData!T19</f>
        <v>8.5</v>
      </c>
      <c r="B44" s="47">
        <f>ChartData!U19</f>
        <v>0.29846375134408609</v>
      </c>
      <c r="C44" s="47">
        <f>ChartData!V19</f>
        <v>1.9510732483233852</v>
      </c>
      <c r="D44" s="47">
        <f>ChartData!W19</f>
        <v>0.38551612903225796</v>
      </c>
      <c r="E44" s="47">
        <f>ChartData!X19</f>
        <v>7.7903225806451601E-3</v>
      </c>
      <c r="F44" s="55">
        <f>ChartData!Y19</f>
        <v>-1.2748836905276864</v>
      </c>
    </row>
    <row r="45" spans="1:6" x14ac:dyDescent="0.25">
      <c r="A45" s="41">
        <f>ChartData!T20</f>
        <v>9</v>
      </c>
      <c r="B45" s="47">
        <f>ChartData!U20</f>
        <v>0.32811404973118286</v>
      </c>
      <c r="C45" s="47">
        <f>ChartData!V20</f>
        <v>2.1294586710833348</v>
      </c>
      <c r="D45" s="47">
        <f>ChartData!W20</f>
        <v>0.25962903225806455</v>
      </c>
      <c r="E45" s="47">
        <f>ChartData!X20</f>
        <v>1.4669354838709677E-2</v>
      </c>
      <c r="F45" s="55">
        <f>ChartData!Y20</f>
        <v>-1.5563849439327968</v>
      </c>
    </row>
    <row r="46" spans="1:6" x14ac:dyDescent="0.25">
      <c r="A46" s="41">
        <f>ChartData!T21</f>
        <v>9.5</v>
      </c>
      <c r="B46" s="47">
        <f>ChartData!U21</f>
        <v>0.33597752688172067</v>
      </c>
      <c r="C46" s="47">
        <f>ChartData!V21</f>
        <v>2.2816033658061787</v>
      </c>
      <c r="D46" s="47">
        <f>ChartData!W21</f>
        <v>0.19473387096774186</v>
      </c>
      <c r="E46" s="47">
        <f>ChartData!X21</f>
        <v>2.5137096774193547E-2</v>
      </c>
      <c r="F46" s="55">
        <f>ChartData!Y21</f>
        <v>-1.7760290647309098</v>
      </c>
    </row>
    <row r="47" spans="1:6" x14ac:dyDescent="0.25">
      <c r="A47" s="41">
        <f>ChartData!T22</f>
        <v>10</v>
      </c>
      <c r="B47" s="47">
        <f>ChartData!U22</f>
        <v>0.36159769327956987</v>
      </c>
      <c r="C47" s="47">
        <f>ChartData!V22</f>
        <v>2.415148007620834</v>
      </c>
      <c r="D47" s="47">
        <f>ChartData!W22</f>
        <v>0.11648387096774195</v>
      </c>
      <c r="E47" s="47">
        <f>ChartData!X22</f>
        <v>1.1975806451612904E-2</v>
      </c>
      <c r="F47" s="55">
        <f>ChartData!Y22</f>
        <v>-1.949042249825135</v>
      </c>
    </row>
    <row r="48" spans="1:6" x14ac:dyDescent="0.25">
      <c r="A48" s="41">
        <f>ChartData!T23</f>
        <v>10.5</v>
      </c>
      <c r="B48" s="47">
        <f>ChartData!U23</f>
        <v>0.3795653126344084</v>
      </c>
      <c r="C48" s="47">
        <f>ChartData!V23</f>
        <v>2.5253647252778202</v>
      </c>
      <c r="D48" s="47">
        <f>ChartData!W23</f>
        <v>6.9266129032258067E-2</v>
      </c>
      <c r="E48" s="47">
        <f>ChartData!X23</f>
        <v>3.0362903225806454E-2</v>
      </c>
      <c r="F48" s="55">
        <f>ChartData!Y23</f>
        <v>-2.10689618683696</v>
      </c>
    </row>
    <row r="49" spans="1:6" x14ac:dyDescent="0.25">
      <c r="A49" s="41">
        <f>ChartData!T24</f>
        <v>11</v>
      </c>
      <c r="B49" s="47">
        <f>ChartData!U24</f>
        <v>0.34430338602150512</v>
      </c>
      <c r="C49" s="47">
        <f>ChartData!V24</f>
        <v>2.6035666900409944</v>
      </c>
      <c r="D49" s="47">
        <f>ChartData!W24</f>
        <v>7.8475806451612909E-2</v>
      </c>
      <c r="E49" s="47">
        <f>ChartData!X24</f>
        <v>8.5483870967741939E-3</v>
      </c>
      <c r="F49" s="55">
        <f>ChartData!Y24</f>
        <v>-2.1893358846646507</v>
      </c>
    </row>
    <row r="50" spans="1:6" x14ac:dyDescent="0.25">
      <c r="A50" s="41">
        <f>ChartData!T25</f>
        <v>11.5</v>
      </c>
      <c r="B50" s="47">
        <f>ChartData!U25</f>
        <v>0.43832856720430091</v>
      </c>
      <c r="C50" s="47">
        <f>ChartData!V25</f>
        <v>2.6378622971919365</v>
      </c>
      <c r="D50" s="47">
        <f>ChartData!W25</f>
        <v>4.4693548387096771E-2</v>
      </c>
      <c r="E50" s="47">
        <f>ChartData!X25</f>
        <v>4.3080645161290329E-2</v>
      </c>
      <c r="F50" s="55">
        <f>ChartData!Y25</f>
        <v>-2.1979208267618291</v>
      </c>
    </row>
    <row r="51" spans="1:6" x14ac:dyDescent="0.25">
      <c r="A51" s="41">
        <f>ChartData!T26</f>
        <v>12</v>
      </c>
      <c r="B51" s="47">
        <f>ChartData!U26</f>
        <v>0.40914113172042998</v>
      </c>
      <c r="C51" s="47">
        <f>ChartData!V26</f>
        <v>2.6477956190301093</v>
      </c>
      <c r="D51" s="47">
        <f>ChartData!W26</f>
        <v>5.3387096774193551E-2</v>
      </c>
      <c r="E51" s="47">
        <f>ChartData!X26</f>
        <v>1.8233870967741938E-2</v>
      </c>
      <c r="F51" s="55">
        <f>ChartData!Y26</f>
        <v>-2.2035012615032277</v>
      </c>
    </row>
    <row r="52" spans="1:6" x14ac:dyDescent="0.25">
      <c r="A52" s="41">
        <f>ChartData!T27</f>
        <v>12.5</v>
      </c>
      <c r="B52" s="47">
        <f>ChartData!U27</f>
        <v>0.30636427499999985</v>
      </c>
      <c r="C52" s="47">
        <f>ChartData!V27</f>
        <v>2.6292131408629031</v>
      </c>
      <c r="D52" s="47">
        <f>ChartData!W27</f>
        <v>3.7967741935483863E-2</v>
      </c>
      <c r="E52" s="47">
        <f>ChartData!X27</f>
        <v>4.9354838709677416E-3</v>
      </c>
      <c r="F52" s="55">
        <f>ChartData!Y27</f>
        <v>-2.2898166077983872</v>
      </c>
    </row>
    <row r="53" spans="1:6" x14ac:dyDescent="0.25">
      <c r="A53" s="41">
        <f>ChartData!T28</f>
        <v>13</v>
      </c>
      <c r="B53" s="47">
        <f>ChartData!U28</f>
        <v>0.25108695860215047</v>
      </c>
      <c r="C53" s="47">
        <f>ChartData!V28</f>
        <v>2.5667862114576625</v>
      </c>
      <c r="D53" s="47">
        <f>ChartData!W28</f>
        <v>3.6782258064516127E-2</v>
      </c>
      <c r="E53" s="47">
        <f>ChartData!X28</f>
        <v>2.6290322580645163E-3</v>
      </c>
      <c r="F53" s="55">
        <f>ChartData!Y28</f>
        <v>-2.2815460270490604</v>
      </c>
    </row>
    <row r="54" spans="1:6" x14ac:dyDescent="0.25">
      <c r="A54" s="41">
        <f>ChartData!T29</f>
        <v>13.5</v>
      </c>
      <c r="B54" s="47">
        <f>ChartData!U29</f>
        <v>0.27932642150537645</v>
      </c>
      <c r="C54" s="47">
        <f>ChartData!V29</f>
        <v>2.4715464635655904</v>
      </c>
      <c r="D54" s="47">
        <f>ChartData!W29</f>
        <v>1.4870967741935482E-2</v>
      </c>
      <c r="E54" s="47">
        <f>ChartData!X29</f>
        <v>3.1129032258064519E-3</v>
      </c>
      <c r="F54" s="55">
        <f>ChartData!Y29</f>
        <v>-2.1804619775440846</v>
      </c>
    </row>
    <row r="55" spans="1:6" x14ac:dyDescent="0.25">
      <c r="A55" s="41">
        <f>ChartData!T30</f>
        <v>14</v>
      </c>
      <c r="B55" s="47">
        <f>ChartData!U30</f>
        <v>0.3032334688172042</v>
      </c>
      <c r="C55" s="47">
        <f>ChartData!V30</f>
        <v>2.3578452847899163</v>
      </c>
      <c r="D55" s="47">
        <f>ChartData!W30</f>
        <v>1.5548387096774193E-2</v>
      </c>
      <c r="E55" s="47">
        <f>ChartData!X30</f>
        <v>1.1919354838709676E-2</v>
      </c>
      <c r="F55" s="55">
        <f>ChartData!Y30</f>
        <v>-2.0509827837146477</v>
      </c>
    </row>
    <row r="56" spans="1:6" x14ac:dyDescent="0.25">
      <c r="A56" s="41">
        <f>ChartData!T31</f>
        <v>14.5</v>
      </c>
      <c r="B56" s="47">
        <f>ChartData!U31</f>
        <v>0.31197876747311837</v>
      </c>
      <c r="C56" s="47">
        <f>ChartData!V31</f>
        <v>2.213769256098657</v>
      </c>
      <c r="D56" s="47">
        <f>ChartData!W31</f>
        <v>3.1258064516129037E-2</v>
      </c>
      <c r="E56" s="47">
        <f>ChartData!X31</f>
        <v>2.9024193548387096E-2</v>
      </c>
      <c r="F56" s="55">
        <f>ChartData!Y31</f>
        <v>-1.8995566176577967</v>
      </c>
    </row>
    <row r="57" spans="1:6" x14ac:dyDescent="0.25">
      <c r="A57" s="41">
        <f>ChartData!T32</f>
        <v>15</v>
      </c>
      <c r="B57" s="47">
        <f>ChartData!U32</f>
        <v>0.29433453897849443</v>
      </c>
      <c r="C57" s="47">
        <f>ChartData!V32</f>
        <v>2.0606603241254047</v>
      </c>
      <c r="D57" s="47">
        <f>ChartData!W32</f>
        <v>1.7217741935483873E-2</v>
      </c>
      <c r="E57" s="47">
        <f>ChartData!X32</f>
        <v>2.2653225806451613E-2</v>
      </c>
      <c r="F57" s="55">
        <f>ChartData!Y32</f>
        <v>-1.7717612690178779</v>
      </c>
    </row>
    <row r="58" spans="1:6" x14ac:dyDescent="0.25">
      <c r="A58" s="41">
        <f>ChartData!T33</f>
        <v>15.5</v>
      </c>
      <c r="B58" s="47">
        <f>ChartData!U33</f>
        <v>0.28844957069892474</v>
      </c>
      <c r="C58" s="47">
        <f>ChartData!V33</f>
        <v>1.8764137908268865</v>
      </c>
      <c r="D58" s="47">
        <f>ChartData!W33</f>
        <v>3.558870967741936E-2</v>
      </c>
      <c r="E58" s="47">
        <f>ChartData!X33</f>
        <v>1.2233870967741934E-2</v>
      </c>
      <c r="F58" s="55">
        <f>ChartData!Y33</f>
        <v>-1.5646093814182842</v>
      </c>
    </row>
    <row r="59" spans="1:6" x14ac:dyDescent="0.25">
      <c r="A59" s="41">
        <f>ChartData!T34</f>
        <v>16</v>
      </c>
      <c r="B59" s="47">
        <f>ChartData!U34</f>
        <v>0.32764239354838709</v>
      </c>
      <c r="C59" s="47">
        <f>ChartData!V34</f>
        <v>1.6689087134529561</v>
      </c>
      <c r="D59" s="47">
        <f>ChartData!W34</f>
        <v>1.0951612903225808E-2</v>
      </c>
      <c r="E59" s="47">
        <f>ChartData!X34</f>
        <v>3.2459677419354842E-2</v>
      </c>
      <c r="F59" s="55">
        <f>ChartData!Y34</f>
        <v>-1.3627743844206981</v>
      </c>
    </row>
    <row r="60" spans="1:6" x14ac:dyDescent="0.25">
      <c r="A60" s="41">
        <f>ChartData!T35</f>
        <v>16.5</v>
      </c>
      <c r="B60" s="47">
        <f>ChartData!U35</f>
        <v>0.34157784247311823</v>
      </c>
      <c r="C60" s="47">
        <f>ChartData!V35</f>
        <v>1.4183733681936816</v>
      </c>
      <c r="D60" s="47">
        <f>ChartData!W35</f>
        <v>1.9548387096774193E-2</v>
      </c>
      <c r="E60" s="47">
        <f>ChartData!X35</f>
        <v>2.0838709677419357E-2</v>
      </c>
      <c r="F60" s="55">
        <f>ChartData!Y35</f>
        <v>-1.0780858483012088</v>
      </c>
    </row>
    <row r="61" spans="1:6" x14ac:dyDescent="0.25">
      <c r="A61" s="41">
        <f>ChartData!T36</f>
        <v>17</v>
      </c>
      <c r="B61" s="47">
        <f>ChartData!U36</f>
        <v>0.27242533306451611</v>
      </c>
      <c r="C61" s="47">
        <f>ChartData!V36</f>
        <v>1.1838896652775537</v>
      </c>
      <c r="D61" s="47">
        <f>ChartData!W36</f>
        <v>1.6459677419354841E-2</v>
      </c>
      <c r="E61" s="47">
        <f>ChartData!X36</f>
        <v>2.9419354838709676E-2</v>
      </c>
      <c r="F61" s="55">
        <f>ChartData!Y36</f>
        <v>-0.92442400963239246</v>
      </c>
    </row>
    <row r="62" spans="1:6" x14ac:dyDescent="0.25">
      <c r="A62" s="41">
        <f>ChartData!T37</f>
        <v>17.5</v>
      </c>
      <c r="B62" s="47">
        <f>ChartData!U37</f>
        <v>0.33750082903225825</v>
      </c>
      <c r="C62" s="47">
        <f>ChartData!V37</f>
        <v>0.94294310582217733</v>
      </c>
      <c r="D62" s="47">
        <f>ChartData!W37</f>
        <v>6.5887096774193557E-3</v>
      </c>
      <c r="E62" s="47">
        <f>ChartData!X37</f>
        <v>5.3048387096774195E-2</v>
      </c>
      <c r="F62" s="55">
        <f>ChartData!Y37</f>
        <v>-0.65190195420927388</v>
      </c>
    </row>
    <row r="63" spans="1:6" x14ac:dyDescent="0.25">
      <c r="A63" s="41">
        <f>ChartData!T38</f>
        <v>18</v>
      </c>
      <c r="B63" s="47">
        <f>ChartData!U38</f>
        <v>0.34378557284946226</v>
      </c>
      <c r="C63" s="47">
        <f>ChartData!V38</f>
        <v>0.70986453745026978</v>
      </c>
      <c r="D63" s="47">
        <f>ChartData!W38</f>
        <v>1.204032258064516E-2</v>
      </c>
      <c r="E63" s="47">
        <f>ChartData!X38</f>
        <v>8.091129032258064E-2</v>
      </c>
      <c r="F63" s="55">
        <f>ChartData!Y38</f>
        <v>-0.43494993234274304</v>
      </c>
    </row>
    <row r="64" spans="1:6" x14ac:dyDescent="0.25">
      <c r="A64" s="41">
        <f>ChartData!T39</f>
        <v>18.5</v>
      </c>
      <c r="B64" s="47">
        <f>ChartData!U39</f>
        <v>0.3782684938172044</v>
      </c>
      <c r="C64" s="47">
        <f>ChartData!V39</f>
        <v>0.48514395558266149</v>
      </c>
      <c r="D64" s="47">
        <f>ChartData!W39</f>
        <v>1.0508064516129033E-2</v>
      </c>
      <c r="E64" s="47">
        <f>ChartData!X39</f>
        <v>0.13037096774193549</v>
      </c>
      <c r="F64" s="55">
        <f>ChartData!Y39</f>
        <v>-0.22673836499126354</v>
      </c>
    </row>
    <row r="65" spans="1:6" x14ac:dyDescent="0.25">
      <c r="A65" s="41">
        <f>ChartData!T40</f>
        <v>19</v>
      </c>
      <c r="B65" s="47">
        <f>ChartData!U40</f>
        <v>0.40720557553763437</v>
      </c>
      <c r="C65" s="47">
        <f>ChartData!V40</f>
        <v>0.28329509125053753</v>
      </c>
      <c r="D65" s="47">
        <f>ChartData!W40</f>
        <v>5.1854838709677418E-3</v>
      </c>
      <c r="E65" s="47">
        <f>ChartData!X40</f>
        <v>0.20813709677419356</v>
      </c>
      <c r="F65" s="55">
        <f>ChartData!Y40</f>
        <v>-7.9041128616128997E-2</v>
      </c>
    </row>
    <row r="66" spans="1:6" x14ac:dyDescent="0.25">
      <c r="A66" s="41">
        <f>ChartData!T41</f>
        <v>19.5</v>
      </c>
      <c r="B66" s="47">
        <f>ChartData!U41</f>
        <v>0.46524391586021502</v>
      </c>
      <c r="C66" s="47">
        <f>ChartData!V41</f>
        <v>8.2422419989112844E-2</v>
      </c>
      <c r="D66" s="47">
        <f>ChartData!W41</f>
        <v>4.1935483870967743E-4</v>
      </c>
      <c r="E66" s="47">
        <f>ChartData!X41</f>
        <v>0.38109677419354832</v>
      </c>
      <c r="F66" s="55">
        <f>ChartData!Y41</f>
        <v>2.1440765162635267E-3</v>
      </c>
    </row>
    <row r="67" spans="1:6" x14ac:dyDescent="0.25">
      <c r="A67" s="41">
        <f>ChartData!T42</f>
        <v>20</v>
      </c>
      <c r="B67" s="47">
        <f>ChartData!U42</f>
        <v>0.47521734784946207</v>
      </c>
      <c r="C67" s="47">
        <f>ChartData!V42</f>
        <v>1.5201372269623667E-2</v>
      </c>
      <c r="D67" s="47">
        <f>ChartData!W42</f>
        <v>0</v>
      </c>
      <c r="E67" s="47">
        <f>ChartData!X42</f>
        <v>0.44250806451612901</v>
      </c>
      <c r="F67" s="55">
        <f>ChartData!Y42</f>
        <v>1.7507911063709414E-2</v>
      </c>
    </row>
    <row r="68" spans="1:6" x14ac:dyDescent="0.25">
      <c r="A68" s="41">
        <f>ChartData!T43</f>
        <v>20.5</v>
      </c>
      <c r="B68" s="47">
        <f>ChartData!U43</f>
        <v>0.54752188655913969</v>
      </c>
      <c r="C68" s="47">
        <f>ChartData!V43</f>
        <v>0</v>
      </c>
      <c r="D68" s="47">
        <f>ChartData!W43</f>
        <v>0</v>
      </c>
      <c r="E68" s="47">
        <f>ChartData!X43</f>
        <v>0.52358064516129021</v>
      </c>
      <c r="F68" s="55">
        <f>ChartData!Y43</f>
        <v>2.3941241397849478E-2</v>
      </c>
    </row>
    <row r="69" spans="1:6" x14ac:dyDescent="0.25">
      <c r="A69" s="41">
        <f>ChartData!T44</f>
        <v>21</v>
      </c>
      <c r="B69" s="47">
        <f>ChartData!U44</f>
        <v>0.54479221021505342</v>
      </c>
      <c r="C69" s="47">
        <f>ChartData!V44</f>
        <v>0</v>
      </c>
      <c r="D69" s="47">
        <f>ChartData!W44</f>
        <v>0</v>
      </c>
      <c r="E69" s="47">
        <f>ChartData!X44</f>
        <v>0.50334677419354845</v>
      </c>
      <c r="F69" s="55">
        <f>ChartData!Y44</f>
        <v>4.1445436021504967E-2</v>
      </c>
    </row>
    <row r="70" spans="1:6" x14ac:dyDescent="0.25">
      <c r="A70" s="41">
        <f>ChartData!T45</f>
        <v>21.5</v>
      </c>
      <c r="B70" s="47">
        <f>ChartData!U45</f>
        <v>0.48870208897849449</v>
      </c>
      <c r="C70" s="47">
        <f>ChartData!V45</f>
        <v>0</v>
      </c>
      <c r="D70" s="47">
        <f>ChartData!W45</f>
        <v>0</v>
      </c>
      <c r="E70" s="47">
        <f>ChartData!X45</f>
        <v>0.45062096774193533</v>
      </c>
      <c r="F70" s="55">
        <f>ChartData!Y45</f>
        <v>3.8081121236559157E-2</v>
      </c>
    </row>
    <row r="71" spans="1:6" x14ac:dyDescent="0.25">
      <c r="A71" s="41">
        <f>ChartData!T46</f>
        <v>22</v>
      </c>
      <c r="B71" s="47">
        <f>ChartData!U46</f>
        <v>0.44740721666666688</v>
      </c>
      <c r="C71" s="47">
        <f>ChartData!V46</f>
        <v>0</v>
      </c>
      <c r="D71" s="47">
        <f>ChartData!W46</f>
        <v>0</v>
      </c>
      <c r="E71" s="47">
        <f>ChartData!X46</f>
        <v>0.39159677419354832</v>
      </c>
      <c r="F71" s="55">
        <f>ChartData!Y46</f>
        <v>5.581044247311856E-2</v>
      </c>
    </row>
    <row r="72" spans="1:6" x14ac:dyDescent="0.25">
      <c r="A72" s="41">
        <f>ChartData!T47</f>
        <v>22.5</v>
      </c>
      <c r="B72" s="47">
        <f>ChartData!U47</f>
        <v>0.4246335268817204</v>
      </c>
      <c r="C72" s="47">
        <f>ChartData!V47</f>
        <v>0</v>
      </c>
      <c r="D72" s="47">
        <f>ChartData!W47</f>
        <v>0</v>
      </c>
      <c r="E72" s="47">
        <f>ChartData!X47</f>
        <v>0.36763709677419365</v>
      </c>
      <c r="F72" s="55">
        <f>ChartData!Y47</f>
        <v>5.6996430107526752E-2</v>
      </c>
    </row>
    <row r="73" spans="1:6" x14ac:dyDescent="0.25">
      <c r="A73" s="41">
        <f>ChartData!T48</f>
        <v>23</v>
      </c>
      <c r="B73" s="47">
        <f>ChartData!U48</f>
        <v>0.30184586397849444</v>
      </c>
      <c r="C73" s="47">
        <f>ChartData!V48</f>
        <v>0</v>
      </c>
      <c r="D73" s="47">
        <f>ChartData!W48</f>
        <v>0</v>
      </c>
      <c r="E73" s="47">
        <f>ChartData!X48</f>
        <v>0.24340322580645166</v>
      </c>
      <c r="F73" s="55">
        <f>ChartData!Y48</f>
        <v>5.8442638172042788E-2</v>
      </c>
    </row>
    <row r="74" spans="1:6" x14ac:dyDescent="0.25">
      <c r="A74" s="42">
        <f>ChartData!T49</f>
        <v>23.5</v>
      </c>
      <c r="B74" s="48">
        <f>ChartData!U49</f>
        <v>0.23287321021505381</v>
      </c>
      <c r="C74" s="48">
        <f>ChartData!V49</f>
        <v>0</v>
      </c>
      <c r="D74" s="48">
        <f>ChartData!W49</f>
        <v>0</v>
      </c>
      <c r="E74" s="48">
        <f>ChartData!X49</f>
        <v>0.18972580645161288</v>
      </c>
      <c r="F74" s="56">
        <f>ChartData!Y49</f>
        <v>4.3147403763440922E-2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4:M84"/>
  <sheetViews>
    <sheetView showGridLines="0" topLeftCell="A22" workbookViewId="0"/>
  </sheetViews>
  <sheetFormatPr defaultRowHeight="15" x14ac:dyDescent="0.25"/>
  <cols>
    <col min="1" max="13" width="13" customWidth="1"/>
  </cols>
  <sheetData>
    <row r="34" spans="1:13" x14ac:dyDescent="0.25">
      <c r="A34" s="90" t="s">
        <v>331</v>
      </c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2"/>
    </row>
    <row r="36" spans="1:13" x14ac:dyDescent="0.25">
      <c r="A36" s="38" t="s">
        <v>307</v>
      </c>
      <c r="B36" s="39" t="s">
        <v>325</v>
      </c>
      <c r="C36" s="39" t="s">
        <v>326</v>
      </c>
      <c r="D36" s="39" t="s">
        <v>327</v>
      </c>
      <c r="E36" s="39" t="s">
        <v>328</v>
      </c>
      <c r="F36" s="39" t="s">
        <v>329</v>
      </c>
      <c r="G36" s="40" t="s">
        <v>330</v>
      </c>
    </row>
    <row r="37" spans="1:13" x14ac:dyDescent="0.25">
      <c r="A37" s="41">
        <f>ChartData!AA2</f>
        <v>0</v>
      </c>
      <c r="B37" s="47">
        <f>ChartData!AB2</f>
        <v>0</v>
      </c>
      <c r="C37" s="47">
        <f>ChartData!AC2</f>
        <v>3.9472849462363069E-4</v>
      </c>
      <c r="D37" s="47">
        <f>ChartData!AD2</f>
        <v>3.9472849462363069E-4</v>
      </c>
      <c r="E37" s="47">
        <f>ChartData!AE2</f>
        <v>0</v>
      </c>
      <c r="F37" s="51">
        <f>ChartData!AF2</f>
        <v>100</v>
      </c>
      <c r="G37" s="49">
        <f>ChartData!AG2</f>
        <v>40</v>
      </c>
    </row>
    <row r="38" spans="1:13" x14ac:dyDescent="0.25">
      <c r="A38" s="41">
        <f>ChartData!AA3</f>
        <v>0.5</v>
      </c>
      <c r="B38" s="47">
        <f>ChartData!AB3</f>
        <v>0</v>
      </c>
      <c r="C38" s="47">
        <f>ChartData!AC3</f>
        <v>2.0730435483870824E-3</v>
      </c>
      <c r="D38" s="47">
        <f>ChartData!AD3</f>
        <v>2.0730435483870824E-3</v>
      </c>
      <c r="E38" s="47">
        <f>ChartData!AE3</f>
        <v>0</v>
      </c>
      <c r="F38" s="51">
        <f>ChartData!AF3</f>
        <v>100</v>
      </c>
      <c r="G38" s="49">
        <f>ChartData!AG3</f>
        <v>36.998768548387091</v>
      </c>
    </row>
    <row r="39" spans="1:13" x14ac:dyDescent="0.25">
      <c r="A39" s="41">
        <f>ChartData!AA4</f>
        <v>1</v>
      </c>
      <c r="B39" s="47">
        <f>ChartData!AB4</f>
        <v>0</v>
      </c>
      <c r="C39" s="47">
        <f>ChartData!AC4</f>
        <v>3.635663172043016E-3</v>
      </c>
      <c r="D39" s="47">
        <f>ChartData!AD4</f>
        <v>3.635663172043016E-3</v>
      </c>
      <c r="E39" s="47">
        <f>ChartData!AE4</f>
        <v>0</v>
      </c>
      <c r="F39" s="51">
        <f>ChartData!AF4</f>
        <v>100</v>
      </c>
      <c r="G39" s="49">
        <f>ChartData!AG4</f>
        <v>34.991258064516146</v>
      </c>
    </row>
    <row r="40" spans="1:13" x14ac:dyDescent="0.25">
      <c r="A40" s="41">
        <f>ChartData!AA5</f>
        <v>1.5</v>
      </c>
      <c r="B40" s="47">
        <f>ChartData!AB5</f>
        <v>0</v>
      </c>
      <c r="C40" s="47">
        <f>ChartData!AC5</f>
        <v>8.7793623655913755E-3</v>
      </c>
      <c r="D40" s="47">
        <f>ChartData!AD5</f>
        <v>8.7793623655913755E-3</v>
      </c>
      <c r="E40" s="47">
        <f>ChartData!AE5</f>
        <v>0</v>
      </c>
      <c r="F40" s="51">
        <f>ChartData!AF5</f>
        <v>100</v>
      </c>
      <c r="G40" s="49">
        <f>ChartData!AG5</f>
        <v>33.467017741935486</v>
      </c>
    </row>
    <row r="41" spans="1:13" x14ac:dyDescent="0.25">
      <c r="A41" s="41">
        <f>ChartData!AA6</f>
        <v>2</v>
      </c>
      <c r="B41" s="47">
        <f>ChartData!AB6</f>
        <v>0</v>
      </c>
      <c r="C41" s="47">
        <f>ChartData!AC6</f>
        <v>8.340806451612906E-3</v>
      </c>
      <c r="D41" s="47">
        <f>ChartData!AD6</f>
        <v>8.340806451612906E-3</v>
      </c>
      <c r="E41" s="47">
        <f>ChartData!AE6</f>
        <v>0</v>
      </c>
      <c r="F41" s="51">
        <f>ChartData!AF6</f>
        <v>100</v>
      </c>
      <c r="G41" s="49">
        <f>ChartData!AG6</f>
        <v>31.8379241935484</v>
      </c>
    </row>
    <row r="42" spans="1:13" x14ac:dyDescent="0.25">
      <c r="A42" s="41">
        <f>ChartData!AA7</f>
        <v>2.5</v>
      </c>
      <c r="B42" s="47">
        <f>ChartData!AB7</f>
        <v>0</v>
      </c>
      <c r="C42" s="47">
        <f>ChartData!AC7</f>
        <v>6.9594725806452346E-3</v>
      </c>
      <c r="D42" s="47">
        <f>ChartData!AD7</f>
        <v>6.9594725806452346E-3</v>
      </c>
      <c r="E42" s="47">
        <f>ChartData!AE7</f>
        <v>0</v>
      </c>
      <c r="F42" s="51">
        <f>ChartData!AF7</f>
        <v>100</v>
      </c>
      <c r="G42" s="49">
        <f>ChartData!AG7</f>
        <v>30.54495080645161</v>
      </c>
    </row>
    <row r="43" spans="1:13" x14ac:dyDescent="0.25">
      <c r="A43" s="41">
        <f>ChartData!AA8</f>
        <v>3</v>
      </c>
      <c r="B43" s="47">
        <f>ChartData!AB8</f>
        <v>0</v>
      </c>
      <c r="C43" s="47">
        <f>ChartData!AC8</f>
        <v>8.2309758064516708E-3</v>
      </c>
      <c r="D43" s="47">
        <f>ChartData!AD8</f>
        <v>8.2309758064516708E-3</v>
      </c>
      <c r="E43" s="47">
        <f>ChartData!AE8</f>
        <v>0</v>
      </c>
      <c r="F43" s="51">
        <f>ChartData!AF8</f>
        <v>100</v>
      </c>
      <c r="G43" s="49">
        <f>ChartData!AG8</f>
        <v>29.005632258064516</v>
      </c>
    </row>
    <row r="44" spans="1:13" x14ac:dyDescent="0.25">
      <c r="A44" s="41">
        <f>ChartData!AA9</f>
        <v>3.5</v>
      </c>
      <c r="B44" s="47">
        <f>ChartData!AB9</f>
        <v>0</v>
      </c>
      <c r="C44" s="47">
        <f>ChartData!AC9</f>
        <v>1.7079979322849326E-2</v>
      </c>
      <c r="D44" s="47">
        <f>ChartData!AD9</f>
        <v>1.7079979322849326E-2</v>
      </c>
      <c r="E44" s="47">
        <f>ChartData!AE9</f>
        <v>0</v>
      </c>
      <c r="F44" s="51">
        <f>ChartData!AF9</f>
        <v>100</v>
      </c>
      <c r="G44" s="49">
        <f>ChartData!AG9</f>
        <v>27.73796370967743</v>
      </c>
    </row>
    <row r="45" spans="1:13" x14ac:dyDescent="0.25">
      <c r="A45" s="41">
        <f>ChartData!AA10</f>
        <v>4</v>
      </c>
      <c r="B45" s="47">
        <f>ChartData!AB10</f>
        <v>0</v>
      </c>
      <c r="C45" s="47">
        <f>ChartData!AC10</f>
        <v>6.9117909836022423E-3</v>
      </c>
      <c r="D45" s="47">
        <f>ChartData!AD10</f>
        <v>6.9117909836022423E-3</v>
      </c>
      <c r="E45" s="47">
        <f>ChartData!AE10</f>
        <v>0</v>
      </c>
      <c r="F45" s="51">
        <f>ChartData!AF10</f>
        <v>100</v>
      </c>
      <c r="G45" s="49">
        <f>ChartData!AG10</f>
        <v>26.179534677419372</v>
      </c>
    </row>
    <row r="46" spans="1:13" x14ac:dyDescent="0.25">
      <c r="A46" s="41">
        <f>ChartData!AA11</f>
        <v>4.5</v>
      </c>
      <c r="B46" s="47">
        <f>ChartData!AB11</f>
        <v>0</v>
      </c>
      <c r="C46" s="47">
        <f>ChartData!AC11</f>
        <v>2.5642458642492413E-4</v>
      </c>
      <c r="D46" s="47">
        <f>ChartData!AD11</f>
        <v>2.5642458642492413E-4</v>
      </c>
      <c r="E46" s="47">
        <f>ChartData!AE11</f>
        <v>0</v>
      </c>
      <c r="F46" s="51">
        <f>ChartData!AF11</f>
        <v>100</v>
      </c>
      <c r="G46" s="49">
        <f>ChartData!AG11</f>
        <v>25.330334677419341</v>
      </c>
    </row>
    <row r="47" spans="1:13" x14ac:dyDescent="0.25">
      <c r="A47" s="41">
        <f>ChartData!AA12</f>
        <v>5</v>
      </c>
      <c r="B47" s="47">
        <f>ChartData!AB12</f>
        <v>0</v>
      </c>
      <c r="C47" s="47">
        <f>ChartData!AC12</f>
        <v>-2.1419301882825113E-5</v>
      </c>
      <c r="D47" s="47">
        <f>ChartData!AD12</f>
        <v>0</v>
      </c>
      <c r="E47" s="47">
        <f>ChartData!AE12</f>
        <v>-2.1419301882825113E-5</v>
      </c>
      <c r="F47" s="51">
        <f>ChartData!AF12</f>
        <v>100</v>
      </c>
      <c r="G47" s="49">
        <f>ChartData!AG12</f>
        <v>26.012711290322596</v>
      </c>
    </row>
    <row r="48" spans="1:13" x14ac:dyDescent="0.25">
      <c r="A48" s="41">
        <f>ChartData!AA13</f>
        <v>5.5</v>
      </c>
      <c r="B48" s="47">
        <f>ChartData!AB13</f>
        <v>0</v>
      </c>
      <c r="C48" s="47">
        <f>ChartData!AC13</f>
        <v>-1.5400902150041569E-5</v>
      </c>
      <c r="D48" s="47">
        <f>ChartData!AD13</f>
        <v>0</v>
      </c>
      <c r="E48" s="47">
        <f>ChartData!AE13</f>
        <v>-1.5400902150041569E-5</v>
      </c>
      <c r="F48" s="51">
        <f>ChartData!AF13</f>
        <v>100</v>
      </c>
      <c r="G48" s="49">
        <f>ChartData!AG13</f>
        <v>28.731836290322583</v>
      </c>
    </row>
    <row r="49" spans="1:7" x14ac:dyDescent="0.25">
      <c r="A49" s="41">
        <f>ChartData!AA14</f>
        <v>6</v>
      </c>
      <c r="B49" s="47">
        <f>ChartData!AB14</f>
        <v>0</v>
      </c>
      <c r="C49" s="47">
        <f>ChartData!AC14</f>
        <v>7.531464981854156E-3</v>
      </c>
      <c r="D49" s="47">
        <f>ChartData!AD14</f>
        <v>7.531464981854156E-3</v>
      </c>
      <c r="E49" s="47">
        <f>ChartData!AE14</f>
        <v>0</v>
      </c>
      <c r="F49" s="51">
        <f>ChartData!AF14</f>
        <v>100</v>
      </c>
      <c r="G49" s="49">
        <f>ChartData!AG14</f>
        <v>33.946454838709684</v>
      </c>
    </row>
    <row r="50" spans="1:7" x14ac:dyDescent="0.25">
      <c r="A50" s="41">
        <f>ChartData!AA15</f>
        <v>6.5</v>
      </c>
      <c r="B50" s="47">
        <f>ChartData!AB15</f>
        <v>0</v>
      </c>
      <c r="C50" s="47">
        <f>ChartData!AC15</f>
        <v>7.7886620971842624E-6</v>
      </c>
      <c r="D50" s="47">
        <f>ChartData!AD15</f>
        <v>7.7886620971842624E-6</v>
      </c>
      <c r="E50" s="47">
        <f>ChartData!AE15</f>
        <v>0</v>
      </c>
      <c r="F50" s="51">
        <f>ChartData!AF15</f>
        <v>100</v>
      </c>
      <c r="G50" s="49">
        <f>ChartData!AG15</f>
        <v>41.726845161290314</v>
      </c>
    </row>
    <row r="51" spans="1:7" x14ac:dyDescent="0.25">
      <c r="A51" s="41">
        <f>ChartData!AA16</f>
        <v>7</v>
      </c>
      <c r="B51" s="47">
        <f>ChartData!AB16</f>
        <v>0</v>
      </c>
      <c r="C51" s="47">
        <f>ChartData!AC16</f>
        <v>-5.5737743185468825E-4</v>
      </c>
      <c r="D51" s="47">
        <f>ChartData!AD16</f>
        <v>0</v>
      </c>
      <c r="E51" s="47">
        <f>ChartData!AE16</f>
        <v>-5.5737743185468825E-4</v>
      </c>
      <c r="F51" s="51">
        <f>ChartData!AF16</f>
        <v>100</v>
      </c>
      <c r="G51" s="49">
        <f>ChartData!AG16</f>
        <v>51.859936290322551</v>
      </c>
    </row>
    <row r="52" spans="1:7" x14ac:dyDescent="0.25">
      <c r="A52" s="41">
        <f>ChartData!AA17</f>
        <v>7.5</v>
      </c>
      <c r="B52" s="47">
        <f>ChartData!AB17</f>
        <v>0</v>
      </c>
      <c r="C52" s="47">
        <f>ChartData!AC17</f>
        <v>-0.10433724919690709</v>
      </c>
      <c r="D52" s="47">
        <f>ChartData!AD17</f>
        <v>0</v>
      </c>
      <c r="E52" s="47">
        <f>ChartData!AE17</f>
        <v>-0.10433724919690709</v>
      </c>
      <c r="F52" s="51">
        <f>ChartData!AF17</f>
        <v>100</v>
      </c>
      <c r="G52" s="49">
        <f>ChartData!AG17</f>
        <v>64.610875806451659</v>
      </c>
    </row>
    <row r="53" spans="1:7" x14ac:dyDescent="0.25">
      <c r="A53" s="41">
        <f>ChartData!AA18</f>
        <v>8</v>
      </c>
      <c r="B53" s="47">
        <f>ChartData!AB18</f>
        <v>0</v>
      </c>
      <c r="C53" s="47">
        <f>ChartData!AC18</f>
        <v>-0.7837913832770218</v>
      </c>
      <c r="D53" s="47">
        <f>ChartData!AD18</f>
        <v>0</v>
      </c>
      <c r="E53" s="47">
        <f>ChartData!AE18</f>
        <v>-0.7837913832770218</v>
      </c>
      <c r="F53" s="51">
        <f>ChartData!AF18</f>
        <v>100</v>
      </c>
      <c r="G53" s="49">
        <f>ChartData!AG18</f>
        <v>78.530950000000018</v>
      </c>
    </row>
    <row r="54" spans="1:7" x14ac:dyDescent="0.25">
      <c r="A54" s="41">
        <f>ChartData!AA19</f>
        <v>8.5</v>
      </c>
      <c r="B54" s="47">
        <f>ChartData!AB19</f>
        <v>0</v>
      </c>
      <c r="C54" s="47">
        <f>ChartData!AC19</f>
        <v>-1.2748836905276864</v>
      </c>
      <c r="D54" s="47">
        <f>ChartData!AD19</f>
        <v>0</v>
      </c>
      <c r="E54" s="47">
        <f>ChartData!AE19</f>
        <v>-1.2748836905276864</v>
      </c>
      <c r="F54" s="51">
        <f>ChartData!AF19</f>
        <v>100</v>
      </c>
      <c r="G54" s="49">
        <f>ChartData!AG19</f>
        <v>86.552554838709696</v>
      </c>
    </row>
    <row r="55" spans="1:7" x14ac:dyDescent="0.25">
      <c r="A55" s="41">
        <f>ChartData!AA20</f>
        <v>9</v>
      </c>
      <c r="B55" s="47">
        <f>ChartData!AB20</f>
        <v>0</v>
      </c>
      <c r="C55" s="47">
        <f>ChartData!AC20</f>
        <v>-1.5563849439327968</v>
      </c>
      <c r="D55" s="47">
        <f>ChartData!AD20</f>
        <v>0</v>
      </c>
      <c r="E55" s="47">
        <f>ChartData!AE20</f>
        <v>-1.5563849439327968</v>
      </c>
      <c r="F55" s="51">
        <f>ChartData!AF20</f>
        <v>100</v>
      </c>
      <c r="G55" s="49">
        <f>ChartData!AG20</f>
        <v>90.809050000000013</v>
      </c>
    </row>
    <row r="56" spans="1:7" x14ac:dyDescent="0.25">
      <c r="A56" s="41">
        <f>ChartData!AA21</f>
        <v>9.5</v>
      </c>
      <c r="B56" s="47">
        <f>ChartData!AB21</f>
        <v>0</v>
      </c>
      <c r="C56" s="47">
        <f>ChartData!AC21</f>
        <v>-1.7760290647309098</v>
      </c>
      <c r="D56" s="47">
        <f>ChartData!AD21</f>
        <v>0</v>
      </c>
      <c r="E56" s="47">
        <f>ChartData!AE21</f>
        <v>-1.7760290647309098</v>
      </c>
      <c r="F56" s="51">
        <f>ChartData!AF21</f>
        <v>100</v>
      </c>
      <c r="G56" s="49">
        <f>ChartData!AG21</f>
        <v>93.557691129032236</v>
      </c>
    </row>
    <row r="57" spans="1:7" x14ac:dyDescent="0.25">
      <c r="A57" s="41">
        <f>ChartData!AA22</f>
        <v>10</v>
      </c>
      <c r="B57" s="47">
        <f>ChartData!AB22</f>
        <v>0</v>
      </c>
      <c r="C57" s="47">
        <f>ChartData!AC22</f>
        <v>-1.949042249825135</v>
      </c>
      <c r="D57" s="47">
        <f>ChartData!AD22</f>
        <v>0</v>
      </c>
      <c r="E57" s="47">
        <f>ChartData!AE22</f>
        <v>-1.949042249825135</v>
      </c>
      <c r="F57" s="51">
        <f>ChartData!AF22</f>
        <v>100</v>
      </c>
      <c r="G57" s="49">
        <f>ChartData!AG22</f>
        <v>95.441881451612915</v>
      </c>
    </row>
    <row r="58" spans="1:7" x14ac:dyDescent="0.25">
      <c r="A58" s="41">
        <f>ChartData!AA23</f>
        <v>10.5</v>
      </c>
      <c r="B58" s="47">
        <f>ChartData!AB23</f>
        <v>0</v>
      </c>
      <c r="C58" s="47">
        <f>ChartData!AC23</f>
        <v>-2.10689618683696</v>
      </c>
      <c r="D58" s="47">
        <f>ChartData!AD23</f>
        <v>0</v>
      </c>
      <c r="E58" s="47">
        <f>ChartData!AE23</f>
        <v>-2.10689618683696</v>
      </c>
      <c r="F58" s="51">
        <f>ChartData!AF23</f>
        <v>100</v>
      </c>
      <c r="G58" s="49">
        <f>ChartData!AG23</f>
        <v>96.607210483870972</v>
      </c>
    </row>
    <row r="59" spans="1:7" x14ac:dyDescent="0.25">
      <c r="A59" s="41">
        <f>ChartData!AA24</f>
        <v>11</v>
      </c>
      <c r="B59" s="47">
        <f>ChartData!AB24</f>
        <v>0</v>
      </c>
      <c r="C59" s="47">
        <f>ChartData!AC24</f>
        <v>-2.1893358846646507</v>
      </c>
      <c r="D59" s="47">
        <f>ChartData!AD24</f>
        <v>0</v>
      </c>
      <c r="E59" s="47">
        <f>ChartData!AE24</f>
        <v>-2.1893358846646507</v>
      </c>
      <c r="F59" s="51">
        <f>ChartData!AF24</f>
        <v>100</v>
      </c>
      <c r="G59" s="49">
        <f>ChartData!AG24</f>
        <v>97.008322580645171</v>
      </c>
    </row>
    <row r="60" spans="1:7" x14ac:dyDescent="0.25">
      <c r="A60" s="41">
        <f>ChartData!AA25</f>
        <v>11.5</v>
      </c>
      <c r="B60" s="47">
        <f>ChartData!AB25</f>
        <v>0</v>
      </c>
      <c r="C60" s="47">
        <f>ChartData!AC25</f>
        <v>-2.1979208267618291</v>
      </c>
      <c r="D60" s="47">
        <f>ChartData!AD25</f>
        <v>0</v>
      </c>
      <c r="E60" s="47">
        <f>ChartData!AE25</f>
        <v>-2.1979208267618291</v>
      </c>
      <c r="F60" s="51">
        <f>ChartData!AF25</f>
        <v>100</v>
      </c>
      <c r="G60" s="49">
        <f>ChartData!AG25</f>
        <v>97.787419354838718</v>
      </c>
    </row>
    <row r="61" spans="1:7" x14ac:dyDescent="0.25">
      <c r="A61" s="41">
        <f>ChartData!AA26</f>
        <v>12</v>
      </c>
      <c r="B61" s="47">
        <f>ChartData!AB26</f>
        <v>0</v>
      </c>
      <c r="C61" s="47">
        <f>ChartData!AC26</f>
        <v>-2.2035012615032277</v>
      </c>
      <c r="D61" s="47">
        <f>ChartData!AD26</f>
        <v>0</v>
      </c>
      <c r="E61" s="47">
        <f>ChartData!AE26</f>
        <v>-2.2035012615032277</v>
      </c>
      <c r="F61" s="51">
        <f>ChartData!AF26</f>
        <v>100</v>
      </c>
      <c r="G61" s="49">
        <f>ChartData!AG26</f>
        <v>97.751525806451639</v>
      </c>
    </row>
    <row r="62" spans="1:7" x14ac:dyDescent="0.25">
      <c r="A62" s="41">
        <f>ChartData!AA27</f>
        <v>12.5</v>
      </c>
      <c r="B62" s="47">
        <f>ChartData!AB27</f>
        <v>0</v>
      </c>
      <c r="C62" s="47">
        <f>ChartData!AC27</f>
        <v>-2.2898166077983872</v>
      </c>
      <c r="D62" s="47">
        <f>ChartData!AD27</f>
        <v>0</v>
      </c>
      <c r="E62" s="47">
        <f>ChartData!AE27</f>
        <v>-2.2898166077983872</v>
      </c>
      <c r="F62" s="51">
        <f>ChartData!AF27</f>
        <v>100</v>
      </c>
      <c r="G62" s="49">
        <f>ChartData!AG27</f>
        <v>98.125580645161293</v>
      </c>
    </row>
    <row r="63" spans="1:7" x14ac:dyDescent="0.25">
      <c r="A63" s="41">
        <f>ChartData!AA28</f>
        <v>13</v>
      </c>
      <c r="B63" s="47">
        <f>ChartData!AB28</f>
        <v>0</v>
      </c>
      <c r="C63" s="47">
        <f>ChartData!AC28</f>
        <v>-2.2815460270490604</v>
      </c>
      <c r="D63" s="47">
        <f>ChartData!AD28</f>
        <v>0</v>
      </c>
      <c r="E63" s="47">
        <f>ChartData!AE28</f>
        <v>-2.2815460270490604</v>
      </c>
      <c r="F63" s="51">
        <f>ChartData!AF28</f>
        <v>100</v>
      </c>
      <c r="G63" s="49">
        <f>ChartData!AG28</f>
        <v>98.492450806451629</v>
      </c>
    </row>
    <row r="64" spans="1:7" x14ac:dyDescent="0.25">
      <c r="A64" s="41">
        <f>ChartData!AA29</f>
        <v>13.5</v>
      </c>
      <c r="B64" s="47">
        <f>ChartData!AB29</f>
        <v>0</v>
      </c>
      <c r="C64" s="47">
        <f>ChartData!AC29</f>
        <v>-2.1804619775440846</v>
      </c>
      <c r="D64" s="47">
        <f>ChartData!AD29</f>
        <v>0</v>
      </c>
      <c r="E64" s="47">
        <f>ChartData!AE29</f>
        <v>-2.1804619775440846</v>
      </c>
      <c r="F64" s="51">
        <f>ChartData!AF29</f>
        <v>100</v>
      </c>
      <c r="G64" s="49">
        <f>ChartData!AG29</f>
        <v>98.874781451612904</v>
      </c>
    </row>
    <row r="65" spans="1:7" x14ac:dyDescent="0.25">
      <c r="A65" s="41">
        <f>ChartData!AA30</f>
        <v>14</v>
      </c>
      <c r="B65" s="47">
        <f>ChartData!AB30</f>
        <v>0</v>
      </c>
      <c r="C65" s="47">
        <f>ChartData!AC30</f>
        <v>-2.0509827837146477</v>
      </c>
      <c r="D65" s="47">
        <f>ChartData!AD30</f>
        <v>0</v>
      </c>
      <c r="E65" s="47">
        <f>ChartData!AE30</f>
        <v>-2.0509827837146477</v>
      </c>
      <c r="F65" s="51">
        <f>ChartData!AF30</f>
        <v>100</v>
      </c>
      <c r="G65" s="49">
        <f>ChartData!AG30</f>
        <v>99.00372741935486</v>
      </c>
    </row>
    <row r="66" spans="1:7" x14ac:dyDescent="0.25">
      <c r="A66" s="41">
        <f>ChartData!AA31</f>
        <v>14.5</v>
      </c>
      <c r="B66" s="47">
        <f>ChartData!AB31</f>
        <v>0</v>
      </c>
      <c r="C66" s="47">
        <f>ChartData!AC31</f>
        <v>-1.8995566176577967</v>
      </c>
      <c r="D66" s="47">
        <f>ChartData!AD31</f>
        <v>0</v>
      </c>
      <c r="E66" s="47">
        <f>ChartData!AE31</f>
        <v>-1.8995566176577967</v>
      </c>
      <c r="F66" s="51">
        <f>ChartData!AF31</f>
        <v>100</v>
      </c>
      <c r="G66" s="49">
        <f>ChartData!AG31</f>
        <v>99.029862903225819</v>
      </c>
    </row>
    <row r="67" spans="1:7" x14ac:dyDescent="0.25">
      <c r="A67" s="41">
        <f>ChartData!AA32</f>
        <v>15</v>
      </c>
      <c r="B67" s="47">
        <f>ChartData!AB32</f>
        <v>0</v>
      </c>
      <c r="C67" s="47">
        <f>ChartData!AC32</f>
        <v>-1.7717612690178779</v>
      </c>
      <c r="D67" s="47">
        <f>ChartData!AD32</f>
        <v>0</v>
      </c>
      <c r="E67" s="47">
        <f>ChartData!AE32</f>
        <v>-1.7717612690178779</v>
      </c>
      <c r="F67" s="51">
        <f>ChartData!AF32</f>
        <v>100</v>
      </c>
      <c r="G67" s="49">
        <f>ChartData!AG32</f>
        <v>99.018552419354862</v>
      </c>
    </row>
    <row r="68" spans="1:7" x14ac:dyDescent="0.25">
      <c r="A68" s="41">
        <f>ChartData!AA33</f>
        <v>15.5</v>
      </c>
      <c r="B68" s="47">
        <f>ChartData!AB33</f>
        <v>0</v>
      </c>
      <c r="C68" s="47">
        <f>ChartData!AC33</f>
        <v>-1.5646093814182842</v>
      </c>
      <c r="D68" s="47">
        <f>ChartData!AD33</f>
        <v>0</v>
      </c>
      <c r="E68" s="47">
        <f>ChartData!AE33</f>
        <v>-1.5646093814182842</v>
      </c>
      <c r="F68" s="51">
        <f>ChartData!AF33</f>
        <v>100</v>
      </c>
      <c r="G68" s="49">
        <f>ChartData!AG33</f>
        <v>98.928673387096779</v>
      </c>
    </row>
    <row r="69" spans="1:7" x14ac:dyDescent="0.25">
      <c r="A69" s="41">
        <f>ChartData!AA34</f>
        <v>16</v>
      </c>
      <c r="B69" s="47">
        <f>ChartData!AB34</f>
        <v>0</v>
      </c>
      <c r="C69" s="47">
        <f>ChartData!AC34</f>
        <v>-1.3627743844206981</v>
      </c>
      <c r="D69" s="47">
        <f>ChartData!AD34</f>
        <v>0</v>
      </c>
      <c r="E69" s="47">
        <f>ChartData!AE34</f>
        <v>-1.3627743844206981</v>
      </c>
      <c r="F69" s="51">
        <f>ChartData!AF34</f>
        <v>100</v>
      </c>
      <c r="G69" s="49">
        <f>ChartData!AG34</f>
        <v>99.177141129032265</v>
      </c>
    </row>
    <row r="70" spans="1:7" x14ac:dyDescent="0.25">
      <c r="A70" s="41">
        <f>ChartData!AA35</f>
        <v>16.5</v>
      </c>
      <c r="B70" s="47">
        <f>ChartData!AB35</f>
        <v>0</v>
      </c>
      <c r="C70" s="47">
        <f>ChartData!AC35</f>
        <v>-1.0780858483012088</v>
      </c>
      <c r="D70" s="47">
        <f>ChartData!AD35</f>
        <v>0</v>
      </c>
      <c r="E70" s="47">
        <f>ChartData!AE35</f>
        <v>-1.0780858483012088</v>
      </c>
      <c r="F70" s="51">
        <f>ChartData!AF35</f>
        <v>100</v>
      </c>
      <c r="G70" s="49">
        <f>ChartData!AG35</f>
        <v>98.893501612903222</v>
      </c>
    </row>
    <row r="71" spans="1:7" x14ac:dyDescent="0.25">
      <c r="A71" s="41">
        <f>ChartData!AA36</f>
        <v>17</v>
      </c>
      <c r="B71" s="47">
        <f>ChartData!AB36</f>
        <v>0</v>
      </c>
      <c r="C71" s="47">
        <f>ChartData!AC36</f>
        <v>-0.92442400963239246</v>
      </c>
      <c r="D71" s="47">
        <f>ChartData!AD36</f>
        <v>0</v>
      </c>
      <c r="E71" s="47">
        <f>ChartData!AE36</f>
        <v>-0.92442400963239246</v>
      </c>
      <c r="F71" s="51">
        <f>ChartData!AF36</f>
        <v>100</v>
      </c>
      <c r="G71" s="49">
        <f>ChartData!AG36</f>
        <v>98.852770161290323</v>
      </c>
    </row>
    <row r="72" spans="1:7" x14ac:dyDescent="0.25">
      <c r="A72" s="41">
        <f>ChartData!AA37</f>
        <v>17.5</v>
      </c>
      <c r="B72" s="47">
        <f>ChartData!AB37</f>
        <v>0</v>
      </c>
      <c r="C72" s="47">
        <f>ChartData!AC37</f>
        <v>-0.65190195420927388</v>
      </c>
      <c r="D72" s="47">
        <f>ChartData!AD37</f>
        <v>0</v>
      </c>
      <c r="E72" s="47">
        <f>ChartData!AE37</f>
        <v>-0.65190195420927388</v>
      </c>
      <c r="F72" s="51">
        <f>ChartData!AF37</f>
        <v>100</v>
      </c>
      <c r="G72" s="49">
        <f>ChartData!AG37</f>
        <v>98.669604032258079</v>
      </c>
    </row>
    <row r="73" spans="1:7" x14ac:dyDescent="0.25">
      <c r="A73" s="41">
        <f>ChartData!AA38</f>
        <v>18</v>
      </c>
      <c r="B73" s="47">
        <f>ChartData!AB38</f>
        <v>0</v>
      </c>
      <c r="C73" s="47">
        <f>ChartData!AC38</f>
        <v>-0.43494993234274304</v>
      </c>
      <c r="D73" s="47">
        <f>ChartData!AD38</f>
        <v>0</v>
      </c>
      <c r="E73" s="47">
        <f>ChartData!AE38</f>
        <v>-0.43494993234274304</v>
      </c>
      <c r="F73" s="51">
        <f>ChartData!AF38</f>
        <v>100</v>
      </c>
      <c r="G73" s="49">
        <f>ChartData!AG38</f>
        <v>98.078334677419349</v>
      </c>
    </row>
    <row r="74" spans="1:7" x14ac:dyDescent="0.25">
      <c r="A74" s="41">
        <f>ChartData!AA39</f>
        <v>18.5</v>
      </c>
      <c r="B74" s="47">
        <f>ChartData!AB39</f>
        <v>0</v>
      </c>
      <c r="C74" s="47">
        <f>ChartData!AC39</f>
        <v>-0.22673836499126354</v>
      </c>
      <c r="D74" s="47">
        <f>ChartData!AD39</f>
        <v>0</v>
      </c>
      <c r="E74" s="47">
        <f>ChartData!AE39</f>
        <v>-0.22673836499126354</v>
      </c>
      <c r="F74" s="51">
        <f>ChartData!AF39</f>
        <v>100</v>
      </c>
      <c r="G74" s="49">
        <f>ChartData!AG39</f>
        <v>97.199092741935502</v>
      </c>
    </row>
    <row r="75" spans="1:7" x14ac:dyDescent="0.25">
      <c r="A75" s="41">
        <f>ChartData!AA40</f>
        <v>19</v>
      </c>
      <c r="B75" s="47">
        <f>ChartData!AB40</f>
        <v>0</v>
      </c>
      <c r="C75" s="47">
        <f>ChartData!AC40</f>
        <v>-7.9041128616128997E-2</v>
      </c>
      <c r="D75" s="47">
        <f>ChartData!AD40</f>
        <v>0</v>
      </c>
      <c r="E75" s="47">
        <f>ChartData!AE40</f>
        <v>-7.9041128616128997E-2</v>
      </c>
      <c r="F75" s="51">
        <f>ChartData!AF40</f>
        <v>100</v>
      </c>
      <c r="G75" s="49">
        <f>ChartData!AG40</f>
        <v>95.681901612903232</v>
      </c>
    </row>
    <row r="76" spans="1:7" x14ac:dyDescent="0.25">
      <c r="A76" s="41">
        <f>ChartData!AA41</f>
        <v>19.5</v>
      </c>
      <c r="B76" s="47">
        <f>ChartData!AB41</f>
        <v>0</v>
      </c>
      <c r="C76" s="47">
        <f>ChartData!AC41</f>
        <v>2.1440765162635267E-3</v>
      </c>
      <c r="D76" s="47">
        <f>ChartData!AD41</f>
        <v>2.1440765162635267E-3</v>
      </c>
      <c r="E76" s="47">
        <f>ChartData!AE41</f>
        <v>0</v>
      </c>
      <c r="F76" s="51">
        <f>ChartData!AF41</f>
        <v>100</v>
      </c>
      <c r="G76" s="49">
        <f>ChartData!AG41</f>
        <v>93.128699193548371</v>
      </c>
    </row>
    <row r="77" spans="1:7" x14ac:dyDescent="0.25">
      <c r="A77" s="41">
        <f>ChartData!AA42</f>
        <v>20</v>
      </c>
      <c r="B77" s="47">
        <f>ChartData!AB42</f>
        <v>0</v>
      </c>
      <c r="C77" s="47">
        <f>ChartData!AC42</f>
        <v>1.7507911063709414E-2</v>
      </c>
      <c r="D77" s="47">
        <f>ChartData!AD42</f>
        <v>1.7507911063709414E-2</v>
      </c>
      <c r="E77" s="47">
        <f>ChartData!AE42</f>
        <v>0</v>
      </c>
      <c r="F77" s="51">
        <f>ChartData!AF42</f>
        <v>100</v>
      </c>
      <c r="G77" s="49">
        <f>ChartData!AG42</f>
        <v>88.351295967741919</v>
      </c>
    </row>
    <row r="78" spans="1:7" x14ac:dyDescent="0.25">
      <c r="A78" s="41">
        <f>ChartData!AA43</f>
        <v>20.5</v>
      </c>
      <c r="B78" s="47">
        <f>ChartData!AB43</f>
        <v>0</v>
      </c>
      <c r="C78" s="47">
        <f>ChartData!AC43</f>
        <v>2.3941241397849478E-2</v>
      </c>
      <c r="D78" s="47">
        <f>ChartData!AD43</f>
        <v>2.3941241397849478E-2</v>
      </c>
      <c r="E78" s="47">
        <f>ChartData!AE43</f>
        <v>0</v>
      </c>
      <c r="F78" s="51">
        <f>ChartData!AF43</f>
        <v>100</v>
      </c>
      <c r="G78" s="49">
        <f>ChartData!AG43</f>
        <v>82.798939516129053</v>
      </c>
    </row>
    <row r="79" spans="1:7" x14ac:dyDescent="0.25">
      <c r="A79" s="41">
        <f>ChartData!AA44</f>
        <v>21</v>
      </c>
      <c r="B79" s="47">
        <f>ChartData!AB44</f>
        <v>0</v>
      </c>
      <c r="C79" s="47">
        <f>ChartData!AC44</f>
        <v>4.1445436021504967E-2</v>
      </c>
      <c r="D79" s="47">
        <f>ChartData!AD44</f>
        <v>4.1445436021504967E-2</v>
      </c>
      <c r="E79" s="47">
        <f>ChartData!AE44</f>
        <v>0</v>
      </c>
      <c r="F79" s="51">
        <f>ChartData!AF44</f>
        <v>100</v>
      </c>
      <c r="G79" s="49">
        <f>ChartData!AG44</f>
        <v>76.228954032258059</v>
      </c>
    </row>
    <row r="80" spans="1:7" x14ac:dyDescent="0.25">
      <c r="A80" s="41">
        <f>ChartData!AA45</f>
        <v>21.5</v>
      </c>
      <c r="B80" s="47">
        <f>ChartData!AB45</f>
        <v>0</v>
      </c>
      <c r="C80" s="47">
        <f>ChartData!AC45</f>
        <v>3.8081121236559157E-2</v>
      </c>
      <c r="D80" s="47">
        <f>ChartData!AD45</f>
        <v>3.8081121236559157E-2</v>
      </c>
      <c r="E80" s="47">
        <f>ChartData!AE45</f>
        <v>0</v>
      </c>
      <c r="F80" s="51">
        <f>ChartData!AF45</f>
        <v>100</v>
      </c>
      <c r="G80" s="49">
        <f>ChartData!AG45</f>
        <v>69.912295967741969</v>
      </c>
    </row>
    <row r="81" spans="1:7" x14ac:dyDescent="0.25">
      <c r="A81" s="41">
        <f>ChartData!AA46</f>
        <v>22</v>
      </c>
      <c r="B81" s="47">
        <f>ChartData!AB46</f>
        <v>0</v>
      </c>
      <c r="C81" s="47">
        <f>ChartData!AC46</f>
        <v>5.581044247311856E-2</v>
      </c>
      <c r="D81" s="47">
        <f>ChartData!AD46</f>
        <v>5.581044247311856E-2</v>
      </c>
      <c r="E81" s="47">
        <f>ChartData!AE46</f>
        <v>0</v>
      </c>
      <c r="F81" s="51">
        <f>ChartData!AF46</f>
        <v>100</v>
      </c>
      <c r="G81" s="49">
        <f>ChartData!AG46</f>
        <v>64.257661290322574</v>
      </c>
    </row>
    <row r="82" spans="1:7" x14ac:dyDescent="0.25">
      <c r="A82" s="41">
        <f>ChartData!AA47</f>
        <v>22.5</v>
      </c>
      <c r="B82" s="47">
        <f>ChartData!AB47</f>
        <v>0</v>
      </c>
      <c r="C82" s="47">
        <f>ChartData!AC47</f>
        <v>5.6996430107526752E-2</v>
      </c>
      <c r="D82" s="47">
        <f>ChartData!AD47</f>
        <v>5.6996430107526752E-2</v>
      </c>
      <c r="E82" s="47">
        <f>ChartData!AE47</f>
        <v>0</v>
      </c>
      <c r="F82" s="51">
        <f>ChartData!AF47</f>
        <v>100</v>
      </c>
      <c r="G82" s="49">
        <f>ChartData!AG47</f>
        <v>59.343408064516112</v>
      </c>
    </row>
    <row r="83" spans="1:7" x14ac:dyDescent="0.25">
      <c r="A83" s="41">
        <f>ChartData!AA48</f>
        <v>23</v>
      </c>
      <c r="B83" s="47">
        <f>ChartData!AB48</f>
        <v>0</v>
      </c>
      <c r="C83" s="47">
        <f>ChartData!AC48</f>
        <v>5.8442638172042788E-2</v>
      </c>
      <c r="D83" s="47">
        <f>ChartData!AD48</f>
        <v>5.8442638172042788E-2</v>
      </c>
      <c r="E83" s="47">
        <f>ChartData!AE48</f>
        <v>0</v>
      </c>
      <c r="F83" s="51">
        <f>ChartData!AF48</f>
        <v>100</v>
      </c>
      <c r="G83" s="49">
        <f>ChartData!AG48</f>
        <v>54.730375000000024</v>
      </c>
    </row>
    <row r="84" spans="1:7" x14ac:dyDescent="0.25">
      <c r="A84" s="42">
        <f>ChartData!AA49</f>
        <v>23.5</v>
      </c>
      <c r="B84" s="48">
        <f>ChartData!AB49</f>
        <v>0</v>
      </c>
      <c r="C84" s="48">
        <f>ChartData!AC49</f>
        <v>4.3147403763440922E-2</v>
      </c>
      <c r="D84" s="48">
        <f>ChartData!AD49</f>
        <v>4.3147403763440922E-2</v>
      </c>
      <c r="E84" s="48">
        <f>ChartData!AE49</f>
        <v>0</v>
      </c>
      <c r="F84" s="52">
        <f>ChartData!AF49</f>
        <v>100</v>
      </c>
      <c r="G84" s="50">
        <f>ChartData!AG49</f>
        <v>51.675613709677421</v>
      </c>
    </row>
  </sheetData>
  <mergeCells count="1">
    <mergeCell ref="A34:M3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6:C74"/>
  <sheetViews>
    <sheetView showGridLines="0" workbookViewId="0"/>
  </sheetViews>
  <sheetFormatPr defaultRowHeight="15" x14ac:dyDescent="0.25"/>
  <cols>
    <col min="1" max="13" width="13" customWidth="1"/>
  </cols>
  <sheetData>
    <row r="26" spans="1:3" x14ac:dyDescent="0.25">
      <c r="A26" s="38" t="s">
        <v>307</v>
      </c>
      <c r="B26" s="39" t="s">
        <v>332</v>
      </c>
      <c r="C26" s="40" t="s">
        <v>333</v>
      </c>
    </row>
    <row r="27" spans="1:3" x14ac:dyDescent="0.25">
      <c r="A27" s="41">
        <f>ChartData!AA2</f>
        <v>0</v>
      </c>
      <c r="B27" s="47">
        <f>ChartData!AB2</f>
        <v>0</v>
      </c>
      <c r="C27" s="55">
        <f>ChartData!AC2</f>
        <v>3.9472849462363069E-4</v>
      </c>
    </row>
    <row r="28" spans="1:3" x14ac:dyDescent="0.25">
      <c r="A28" s="41">
        <f>ChartData!AA3</f>
        <v>0.5</v>
      </c>
      <c r="B28" s="47">
        <f>ChartData!AB3</f>
        <v>0</v>
      </c>
      <c r="C28" s="55">
        <f>ChartData!AC3</f>
        <v>2.0730435483870824E-3</v>
      </c>
    </row>
    <row r="29" spans="1:3" x14ac:dyDescent="0.25">
      <c r="A29" s="41">
        <f>ChartData!AA4</f>
        <v>1</v>
      </c>
      <c r="B29" s="47">
        <f>ChartData!AB4</f>
        <v>0</v>
      </c>
      <c r="C29" s="55">
        <f>ChartData!AC4</f>
        <v>3.635663172043016E-3</v>
      </c>
    </row>
    <row r="30" spans="1:3" x14ac:dyDescent="0.25">
      <c r="A30" s="41">
        <f>ChartData!AA5</f>
        <v>1.5</v>
      </c>
      <c r="B30" s="47">
        <f>ChartData!AB5</f>
        <v>0</v>
      </c>
      <c r="C30" s="55">
        <f>ChartData!AC5</f>
        <v>8.7793623655913755E-3</v>
      </c>
    </row>
    <row r="31" spans="1:3" x14ac:dyDescent="0.25">
      <c r="A31" s="41">
        <f>ChartData!AA6</f>
        <v>2</v>
      </c>
      <c r="B31" s="47">
        <f>ChartData!AB6</f>
        <v>0</v>
      </c>
      <c r="C31" s="55">
        <f>ChartData!AC6</f>
        <v>8.340806451612906E-3</v>
      </c>
    </row>
    <row r="32" spans="1:3" x14ac:dyDescent="0.25">
      <c r="A32" s="41">
        <f>ChartData!AA7</f>
        <v>2.5</v>
      </c>
      <c r="B32" s="47">
        <f>ChartData!AB7</f>
        <v>0</v>
      </c>
      <c r="C32" s="55">
        <f>ChartData!AC7</f>
        <v>6.9594725806452346E-3</v>
      </c>
    </row>
    <row r="33" spans="1:3" x14ac:dyDescent="0.25">
      <c r="A33" s="41">
        <f>ChartData!AA8</f>
        <v>3</v>
      </c>
      <c r="B33" s="47">
        <f>ChartData!AB8</f>
        <v>0</v>
      </c>
      <c r="C33" s="55">
        <f>ChartData!AC8</f>
        <v>8.2309758064516708E-3</v>
      </c>
    </row>
    <row r="34" spans="1:3" x14ac:dyDescent="0.25">
      <c r="A34" s="41">
        <f>ChartData!AA9</f>
        <v>3.5</v>
      </c>
      <c r="B34" s="47">
        <f>ChartData!AB9</f>
        <v>0</v>
      </c>
      <c r="C34" s="55">
        <f>ChartData!AC9</f>
        <v>1.7079979322849326E-2</v>
      </c>
    </row>
    <row r="35" spans="1:3" x14ac:dyDescent="0.25">
      <c r="A35" s="41">
        <f>ChartData!AA10</f>
        <v>4</v>
      </c>
      <c r="B35" s="47">
        <f>ChartData!AB10</f>
        <v>0</v>
      </c>
      <c r="C35" s="55">
        <f>ChartData!AC10</f>
        <v>6.9117909836022423E-3</v>
      </c>
    </row>
    <row r="36" spans="1:3" x14ac:dyDescent="0.25">
      <c r="A36" s="41">
        <f>ChartData!AA11</f>
        <v>4.5</v>
      </c>
      <c r="B36" s="47">
        <f>ChartData!AB11</f>
        <v>0</v>
      </c>
      <c r="C36" s="55">
        <f>ChartData!AC11</f>
        <v>2.5642458642492413E-4</v>
      </c>
    </row>
    <row r="37" spans="1:3" x14ac:dyDescent="0.25">
      <c r="A37" s="41">
        <f>ChartData!AA12</f>
        <v>5</v>
      </c>
      <c r="B37" s="47">
        <f>ChartData!AB12</f>
        <v>0</v>
      </c>
      <c r="C37" s="55">
        <f>ChartData!AC12</f>
        <v>-2.1419301882825113E-5</v>
      </c>
    </row>
    <row r="38" spans="1:3" x14ac:dyDescent="0.25">
      <c r="A38" s="41">
        <f>ChartData!AA13</f>
        <v>5.5</v>
      </c>
      <c r="B38" s="47">
        <f>ChartData!AB13</f>
        <v>0</v>
      </c>
      <c r="C38" s="55">
        <f>ChartData!AC13</f>
        <v>-1.5400902150041569E-5</v>
      </c>
    </row>
    <row r="39" spans="1:3" x14ac:dyDescent="0.25">
      <c r="A39" s="41">
        <f>ChartData!AA14</f>
        <v>6</v>
      </c>
      <c r="B39" s="47">
        <f>ChartData!AB14</f>
        <v>0</v>
      </c>
      <c r="C39" s="55">
        <f>ChartData!AC14</f>
        <v>7.531464981854156E-3</v>
      </c>
    </row>
    <row r="40" spans="1:3" x14ac:dyDescent="0.25">
      <c r="A40" s="41">
        <f>ChartData!AA15</f>
        <v>6.5</v>
      </c>
      <c r="B40" s="47">
        <f>ChartData!AB15</f>
        <v>0</v>
      </c>
      <c r="C40" s="55">
        <f>ChartData!AC15</f>
        <v>7.7886620971842624E-6</v>
      </c>
    </row>
    <row r="41" spans="1:3" x14ac:dyDescent="0.25">
      <c r="A41" s="41">
        <f>ChartData!AA16</f>
        <v>7</v>
      </c>
      <c r="B41" s="47">
        <f>ChartData!AB16</f>
        <v>0</v>
      </c>
      <c r="C41" s="55">
        <f>ChartData!AC16</f>
        <v>-5.5737743185468825E-4</v>
      </c>
    </row>
    <row r="42" spans="1:3" x14ac:dyDescent="0.25">
      <c r="A42" s="41">
        <f>ChartData!AA17</f>
        <v>7.5</v>
      </c>
      <c r="B42" s="47">
        <f>ChartData!AB17</f>
        <v>0</v>
      </c>
      <c r="C42" s="55">
        <f>ChartData!AC17</f>
        <v>-0.10433724919690709</v>
      </c>
    </row>
    <row r="43" spans="1:3" x14ac:dyDescent="0.25">
      <c r="A43" s="41">
        <f>ChartData!AA18</f>
        <v>8</v>
      </c>
      <c r="B43" s="47">
        <f>ChartData!AB18</f>
        <v>0</v>
      </c>
      <c r="C43" s="55">
        <f>ChartData!AC18</f>
        <v>-0.7837913832770218</v>
      </c>
    </row>
    <row r="44" spans="1:3" x14ac:dyDescent="0.25">
      <c r="A44" s="41">
        <f>ChartData!AA19</f>
        <v>8.5</v>
      </c>
      <c r="B44" s="47">
        <f>ChartData!AB19</f>
        <v>0</v>
      </c>
      <c r="C44" s="55">
        <f>ChartData!AC19</f>
        <v>-1.2748836905276864</v>
      </c>
    </row>
    <row r="45" spans="1:3" x14ac:dyDescent="0.25">
      <c r="A45" s="41">
        <f>ChartData!AA20</f>
        <v>9</v>
      </c>
      <c r="B45" s="47">
        <f>ChartData!AB20</f>
        <v>0</v>
      </c>
      <c r="C45" s="55">
        <f>ChartData!AC20</f>
        <v>-1.5563849439327968</v>
      </c>
    </row>
    <row r="46" spans="1:3" x14ac:dyDescent="0.25">
      <c r="A46" s="41">
        <f>ChartData!AA21</f>
        <v>9.5</v>
      </c>
      <c r="B46" s="47">
        <f>ChartData!AB21</f>
        <v>0</v>
      </c>
      <c r="C46" s="55">
        <f>ChartData!AC21</f>
        <v>-1.7760290647309098</v>
      </c>
    </row>
    <row r="47" spans="1:3" x14ac:dyDescent="0.25">
      <c r="A47" s="41">
        <f>ChartData!AA22</f>
        <v>10</v>
      </c>
      <c r="B47" s="47">
        <f>ChartData!AB22</f>
        <v>0</v>
      </c>
      <c r="C47" s="55">
        <f>ChartData!AC22</f>
        <v>-1.949042249825135</v>
      </c>
    </row>
    <row r="48" spans="1:3" x14ac:dyDescent="0.25">
      <c r="A48" s="41">
        <f>ChartData!AA23</f>
        <v>10.5</v>
      </c>
      <c r="B48" s="47">
        <f>ChartData!AB23</f>
        <v>0</v>
      </c>
      <c r="C48" s="55">
        <f>ChartData!AC23</f>
        <v>-2.10689618683696</v>
      </c>
    </row>
    <row r="49" spans="1:3" x14ac:dyDescent="0.25">
      <c r="A49" s="41">
        <f>ChartData!AA24</f>
        <v>11</v>
      </c>
      <c r="B49" s="47">
        <f>ChartData!AB24</f>
        <v>0</v>
      </c>
      <c r="C49" s="55">
        <f>ChartData!AC24</f>
        <v>-2.1893358846646507</v>
      </c>
    </row>
    <row r="50" spans="1:3" x14ac:dyDescent="0.25">
      <c r="A50" s="41">
        <f>ChartData!AA25</f>
        <v>11.5</v>
      </c>
      <c r="B50" s="47">
        <f>ChartData!AB25</f>
        <v>0</v>
      </c>
      <c r="C50" s="55">
        <f>ChartData!AC25</f>
        <v>-2.1979208267618291</v>
      </c>
    </row>
    <row r="51" spans="1:3" x14ac:dyDescent="0.25">
      <c r="A51" s="41">
        <f>ChartData!AA26</f>
        <v>12</v>
      </c>
      <c r="B51" s="47">
        <f>ChartData!AB26</f>
        <v>0</v>
      </c>
      <c r="C51" s="55">
        <f>ChartData!AC26</f>
        <v>-2.2035012615032277</v>
      </c>
    </row>
    <row r="52" spans="1:3" x14ac:dyDescent="0.25">
      <c r="A52" s="41">
        <f>ChartData!AA27</f>
        <v>12.5</v>
      </c>
      <c r="B52" s="47">
        <f>ChartData!AB27</f>
        <v>0</v>
      </c>
      <c r="C52" s="55">
        <f>ChartData!AC27</f>
        <v>-2.2898166077983872</v>
      </c>
    </row>
    <row r="53" spans="1:3" x14ac:dyDescent="0.25">
      <c r="A53" s="41">
        <f>ChartData!AA28</f>
        <v>13</v>
      </c>
      <c r="B53" s="47">
        <f>ChartData!AB28</f>
        <v>0</v>
      </c>
      <c r="C53" s="55">
        <f>ChartData!AC28</f>
        <v>-2.2815460270490604</v>
      </c>
    </row>
    <row r="54" spans="1:3" x14ac:dyDescent="0.25">
      <c r="A54" s="41">
        <f>ChartData!AA29</f>
        <v>13.5</v>
      </c>
      <c r="B54" s="47">
        <f>ChartData!AB29</f>
        <v>0</v>
      </c>
      <c r="C54" s="55">
        <f>ChartData!AC29</f>
        <v>-2.1804619775440846</v>
      </c>
    </row>
    <row r="55" spans="1:3" x14ac:dyDescent="0.25">
      <c r="A55" s="41">
        <f>ChartData!AA30</f>
        <v>14</v>
      </c>
      <c r="B55" s="47">
        <f>ChartData!AB30</f>
        <v>0</v>
      </c>
      <c r="C55" s="55">
        <f>ChartData!AC30</f>
        <v>-2.0509827837146477</v>
      </c>
    </row>
    <row r="56" spans="1:3" x14ac:dyDescent="0.25">
      <c r="A56" s="41">
        <f>ChartData!AA31</f>
        <v>14.5</v>
      </c>
      <c r="B56" s="47">
        <f>ChartData!AB31</f>
        <v>0</v>
      </c>
      <c r="C56" s="55">
        <f>ChartData!AC31</f>
        <v>-1.8995566176577967</v>
      </c>
    </row>
    <row r="57" spans="1:3" x14ac:dyDescent="0.25">
      <c r="A57" s="41">
        <f>ChartData!AA32</f>
        <v>15</v>
      </c>
      <c r="B57" s="47">
        <f>ChartData!AB32</f>
        <v>0</v>
      </c>
      <c r="C57" s="55">
        <f>ChartData!AC32</f>
        <v>-1.7717612690178779</v>
      </c>
    </row>
    <row r="58" spans="1:3" x14ac:dyDescent="0.25">
      <c r="A58" s="41">
        <f>ChartData!AA33</f>
        <v>15.5</v>
      </c>
      <c r="B58" s="47">
        <f>ChartData!AB33</f>
        <v>0</v>
      </c>
      <c r="C58" s="55">
        <f>ChartData!AC33</f>
        <v>-1.5646093814182842</v>
      </c>
    </row>
    <row r="59" spans="1:3" x14ac:dyDescent="0.25">
      <c r="A59" s="41">
        <f>ChartData!AA34</f>
        <v>16</v>
      </c>
      <c r="B59" s="47">
        <f>ChartData!AB34</f>
        <v>0</v>
      </c>
      <c r="C59" s="55">
        <f>ChartData!AC34</f>
        <v>-1.3627743844206981</v>
      </c>
    </row>
    <row r="60" spans="1:3" x14ac:dyDescent="0.25">
      <c r="A60" s="41">
        <f>ChartData!AA35</f>
        <v>16.5</v>
      </c>
      <c r="B60" s="47">
        <f>ChartData!AB35</f>
        <v>0</v>
      </c>
      <c r="C60" s="55">
        <f>ChartData!AC35</f>
        <v>-1.0780858483012088</v>
      </c>
    </row>
    <row r="61" spans="1:3" x14ac:dyDescent="0.25">
      <c r="A61" s="41">
        <f>ChartData!AA36</f>
        <v>17</v>
      </c>
      <c r="B61" s="47">
        <f>ChartData!AB36</f>
        <v>0</v>
      </c>
      <c r="C61" s="55">
        <f>ChartData!AC36</f>
        <v>-0.92442400963239246</v>
      </c>
    </row>
    <row r="62" spans="1:3" x14ac:dyDescent="0.25">
      <c r="A62" s="41">
        <f>ChartData!AA37</f>
        <v>17.5</v>
      </c>
      <c r="B62" s="47">
        <f>ChartData!AB37</f>
        <v>0</v>
      </c>
      <c r="C62" s="55">
        <f>ChartData!AC37</f>
        <v>-0.65190195420927388</v>
      </c>
    </row>
    <row r="63" spans="1:3" x14ac:dyDescent="0.25">
      <c r="A63" s="41">
        <f>ChartData!AA38</f>
        <v>18</v>
      </c>
      <c r="B63" s="47">
        <f>ChartData!AB38</f>
        <v>0</v>
      </c>
      <c r="C63" s="55">
        <f>ChartData!AC38</f>
        <v>-0.43494993234274304</v>
      </c>
    </row>
    <row r="64" spans="1:3" x14ac:dyDescent="0.25">
      <c r="A64" s="41">
        <f>ChartData!AA39</f>
        <v>18.5</v>
      </c>
      <c r="B64" s="47">
        <f>ChartData!AB39</f>
        <v>0</v>
      </c>
      <c r="C64" s="55">
        <f>ChartData!AC39</f>
        <v>-0.22673836499126354</v>
      </c>
    </row>
    <row r="65" spans="1:3" x14ac:dyDescent="0.25">
      <c r="A65" s="41">
        <f>ChartData!AA40</f>
        <v>19</v>
      </c>
      <c r="B65" s="47">
        <f>ChartData!AB40</f>
        <v>0</v>
      </c>
      <c r="C65" s="55">
        <f>ChartData!AC40</f>
        <v>-7.9041128616128997E-2</v>
      </c>
    </row>
    <row r="66" spans="1:3" x14ac:dyDescent="0.25">
      <c r="A66" s="41">
        <f>ChartData!AA41</f>
        <v>19.5</v>
      </c>
      <c r="B66" s="47">
        <f>ChartData!AB41</f>
        <v>0</v>
      </c>
      <c r="C66" s="55">
        <f>ChartData!AC41</f>
        <v>2.1440765162635267E-3</v>
      </c>
    </row>
    <row r="67" spans="1:3" x14ac:dyDescent="0.25">
      <c r="A67" s="41">
        <f>ChartData!AA42</f>
        <v>20</v>
      </c>
      <c r="B67" s="47">
        <f>ChartData!AB42</f>
        <v>0</v>
      </c>
      <c r="C67" s="55">
        <f>ChartData!AC42</f>
        <v>1.7507911063709414E-2</v>
      </c>
    </row>
    <row r="68" spans="1:3" x14ac:dyDescent="0.25">
      <c r="A68" s="41">
        <f>ChartData!AA43</f>
        <v>20.5</v>
      </c>
      <c r="B68" s="47">
        <f>ChartData!AB43</f>
        <v>0</v>
      </c>
      <c r="C68" s="55">
        <f>ChartData!AC43</f>
        <v>2.3941241397849478E-2</v>
      </c>
    </row>
    <row r="69" spans="1:3" x14ac:dyDescent="0.25">
      <c r="A69" s="41">
        <f>ChartData!AA44</f>
        <v>21</v>
      </c>
      <c r="B69" s="47">
        <f>ChartData!AB44</f>
        <v>0</v>
      </c>
      <c r="C69" s="55">
        <f>ChartData!AC44</f>
        <v>4.1445436021504967E-2</v>
      </c>
    </row>
    <row r="70" spans="1:3" x14ac:dyDescent="0.25">
      <c r="A70" s="41">
        <f>ChartData!AA45</f>
        <v>21.5</v>
      </c>
      <c r="B70" s="47">
        <f>ChartData!AB45</f>
        <v>0</v>
      </c>
      <c r="C70" s="55">
        <f>ChartData!AC45</f>
        <v>3.8081121236559157E-2</v>
      </c>
    </row>
    <row r="71" spans="1:3" x14ac:dyDescent="0.25">
      <c r="A71" s="41">
        <f>ChartData!AA46</f>
        <v>22</v>
      </c>
      <c r="B71" s="47">
        <f>ChartData!AB46</f>
        <v>0</v>
      </c>
      <c r="C71" s="55">
        <f>ChartData!AC46</f>
        <v>5.581044247311856E-2</v>
      </c>
    </row>
    <row r="72" spans="1:3" x14ac:dyDescent="0.25">
      <c r="A72" s="41">
        <f>ChartData!AA47</f>
        <v>22.5</v>
      </c>
      <c r="B72" s="47">
        <f>ChartData!AB47</f>
        <v>0</v>
      </c>
      <c r="C72" s="55">
        <f>ChartData!AC47</f>
        <v>5.6996430107526752E-2</v>
      </c>
    </row>
    <row r="73" spans="1:3" x14ac:dyDescent="0.25">
      <c r="A73" s="41">
        <f>ChartData!AA48</f>
        <v>23</v>
      </c>
      <c r="B73" s="47">
        <f>ChartData!AB48</f>
        <v>0</v>
      </c>
      <c r="C73" s="55">
        <f>ChartData!AC48</f>
        <v>5.8442638172042788E-2</v>
      </c>
    </row>
    <row r="74" spans="1:3" x14ac:dyDescent="0.25">
      <c r="A74" s="42">
        <f>ChartData!AA49</f>
        <v>23.5</v>
      </c>
      <c r="B74" s="48">
        <f>ChartData!AB49</f>
        <v>0</v>
      </c>
      <c r="C74" s="56">
        <f>ChartData!AC49</f>
        <v>4.3147403763440922E-2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85"/>
  <sheetViews>
    <sheetView showGridLines="0" tabSelected="1" workbookViewId="0">
      <selection sqref="A1:M1"/>
    </sheetView>
  </sheetViews>
  <sheetFormatPr defaultRowHeight="15" x14ac:dyDescent="0.25"/>
  <cols>
    <col min="1" max="13" width="13" customWidth="1"/>
  </cols>
  <sheetData>
    <row r="1" spans="1:13" ht="27.95" customHeight="1" x14ac:dyDescent="0.25">
      <c r="A1" s="93" t="s">
        <v>334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37" spans="1:5" x14ac:dyDescent="0.25">
      <c r="A37" s="38" t="s">
        <v>307</v>
      </c>
      <c r="B37" s="39" t="s">
        <v>335</v>
      </c>
      <c r="C37" s="39" t="s">
        <v>336</v>
      </c>
      <c r="D37" s="39" t="s">
        <v>311</v>
      </c>
      <c r="E37" s="40" t="s">
        <v>337</v>
      </c>
    </row>
    <row r="38" spans="1:5" x14ac:dyDescent="0.25">
      <c r="A38" s="41">
        <f>ChartData!T2</f>
        <v>0</v>
      </c>
      <c r="B38" s="47">
        <f>ChartData!U2</f>
        <v>0.23955601881720429</v>
      </c>
      <c r="C38" s="47">
        <f>ChartData!V2</f>
        <v>0</v>
      </c>
      <c r="D38" s="47">
        <f>ChartData!W2</f>
        <v>0</v>
      </c>
      <c r="E38" s="55">
        <f>ChartData!X2</f>
        <v>0.23916129032258066</v>
      </c>
    </row>
    <row r="39" spans="1:5" x14ac:dyDescent="0.25">
      <c r="A39" s="41">
        <f>ChartData!T3</f>
        <v>0.5</v>
      </c>
      <c r="B39" s="47">
        <f>ChartData!U3</f>
        <v>0.16206497903225803</v>
      </c>
      <c r="C39" s="47">
        <f>ChartData!V3</f>
        <v>0</v>
      </c>
      <c r="D39" s="47">
        <f>ChartData!W3</f>
        <v>0</v>
      </c>
      <c r="E39" s="55">
        <f>ChartData!X3</f>
        <v>0.15999193548387095</v>
      </c>
    </row>
    <row r="40" spans="1:5" x14ac:dyDescent="0.25">
      <c r="A40" s="41">
        <f>ChartData!T4</f>
        <v>1</v>
      </c>
      <c r="B40" s="47">
        <f>ChartData!U4</f>
        <v>0.12509534059139787</v>
      </c>
      <c r="C40" s="47">
        <f>ChartData!V4</f>
        <v>0</v>
      </c>
      <c r="D40" s="47">
        <f>ChartData!W4</f>
        <v>0</v>
      </c>
      <c r="E40" s="55">
        <f>ChartData!X4</f>
        <v>0.12145967741935486</v>
      </c>
    </row>
    <row r="41" spans="1:5" x14ac:dyDescent="0.25">
      <c r="A41" s="41">
        <f>ChartData!T5</f>
        <v>1.5</v>
      </c>
      <c r="B41" s="47">
        <f>ChartData!U5</f>
        <v>0.13857774946236556</v>
      </c>
      <c r="C41" s="47">
        <f>ChartData!V5</f>
        <v>0</v>
      </c>
      <c r="D41" s="47">
        <f>ChartData!W5</f>
        <v>0</v>
      </c>
      <c r="E41" s="55">
        <f>ChartData!X5</f>
        <v>0.12979838709677419</v>
      </c>
    </row>
    <row r="42" spans="1:5" x14ac:dyDescent="0.25">
      <c r="A42" s="41">
        <f>ChartData!T6</f>
        <v>2</v>
      </c>
      <c r="B42" s="47">
        <f>ChartData!U6</f>
        <v>0.11135693548387104</v>
      </c>
      <c r="C42" s="47">
        <f>ChartData!V6</f>
        <v>0</v>
      </c>
      <c r="D42" s="47">
        <f>ChartData!W6</f>
        <v>0</v>
      </c>
      <c r="E42" s="55">
        <f>ChartData!X6</f>
        <v>0.10301612903225814</v>
      </c>
    </row>
    <row r="43" spans="1:5" x14ac:dyDescent="0.25">
      <c r="A43" s="41">
        <f>ChartData!T7</f>
        <v>2.5</v>
      </c>
      <c r="B43" s="47">
        <f>ChartData!U7</f>
        <v>0.12965302096774203</v>
      </c>
      <c r="C43" s="47">
        <f>ChartData!V7</f>
        <v>0</v>
      </c>
      <c r="D43" s="47">
        <f>ChartData!W7</f>
        <v>0</v>
      </c>
      <c r="E43" s="55">
        <f>ChartData!X7</f>
        <v>0.1226935483870968</v>
      </c>
    </row>
    <row r="44" spans="1:5" x14ac:dyDescent="0.25">
      <c r="A44" s="41">
        <f>ChartData!T8</f>
        <v>3</v>
      </c>
      <c r="B44" s="47">
        <f>ChartData!U8</f>
        <v>0.1092712983870968</v>
      </c>
      <c r="C44" s="47">
        <f>ChartData!V8</f>
        <v>0</v>
      </c>
      <c r="D44" s="47">
        <f>ChartData!W8</f>
        <v>0</v>
      </c>
      <c r="E44" s="55">
        <f>ChartData!X8</f>
        <v>0.10104032258064513</v>
      </c>
    </row>
    <row r="45" spans="1:5" x14ac:dyDescent="0.25">
      <c r="A45" s="41">
        <f>ChartData!T9</f>
        <v>3.5</v>
      </c>
      <c r="B45" s="47">
        <f>ChartData!U9</f>
        <v>0.14391196827956984</v>
      </c>
      <c r="C45" s="47">
        <f>ChartData!V9</f>
        <v>2.6465050857526883E-3</v>
      </c>
      <c r="D45" s="47">
        <f>ChartData!W9</f>
        <v>0</v>
      </c>
      <c r="E45" s="55">
        <f>ChartData!X9</f>
        <v>0.12418548387096784</v>
      </c>
    </row>
    <row r="46" spans="1:5" x14ac:dyDescent="0.25">
      <c r="A46" s="41">
        <f>ChartData!T10</f>
        <v>4</v>
      </c>
      <c r="B46" s="47">
        <f>ChartData!U10</f>
        <v>0.11276629301075269</v>
      </c>
      <c r="C46" s="47">
        <f>ChartData!V10</f>
        <v>3.8253445365860152E-2</v>
      </c>
      <c r="D46" s="47">
        <f>ChartData!W10</f>
        <v>3.1451612903225811E-4</v>
      </c>
      <c r="E46" s="55">
        <f>ChartData!X10</f>
        <v>6.7915572790322565E-2</v>
      </c>
    </row>
    <row r="47" spans="1:5" x14ac:dyDescent="0.25">
      <c r="A47" s="41">
        <f>ChartData!T11</f>
        <v>4.5</v>
      </c>
      <c r="B47" s="47">
        <f>ChartData!U11</f>
        <v>0.11641531989247308</v>
      </c>
      <c r="C47" s="47">
        <f>ChartData!V11</f>
        <v>0.17888470175766105</v>
      </c>
      <c r="D47" s="47">
        <f>ChartData!W11</f>
        <v>8.3451612903225794E-2</v>
      </c>
      <c r="E47" s="55">
        <f>ChartData!X11</f>
        <v>2.0725806451612903E-2</v>
      </c>
    </row>
    <row r="48" spans="1:5" x14ac:dyDescent="0.25">
      <c r="A48" s="41">
        <f>ChartData!T12</f>
        <v>5</v>
      </c>
      <c r="B48" s="47">
        <f>ChartData!U12</f>
        <v>0.11359414516129028</v>
      </c>
      <c r="C48" s="47">
        <f>ChartData!V12</f>
        <v>0.35484137091478601</v>
      </c>
      <c r="D48" s="47">
        <f>ChartData!W12</f>
        <v>0.24564516129032257</v>
      </c>
      <c r="E48" s="55">
        <f>ChartData!X12</f>
        <v>4.4193548387096776E-3</v>
      </c>
    </row>
    <row r="49" spans="1:5" x14ac:dyDescent="0.25">
      <c r="A49" s="41">
        <f>ChartData!T13</f>
        <v>5.5</v>
      </c>
      <c r="B49" s="47">
        <f>ChartData!U13</f>
        <v>0.10878060322580646</v>
      </c>
      <c r="C49" s="47">
        <f>ChartData!V13</f>
        <v>0.57060245574085966</v>
      </c>
      <c r="D49" s="47">
        <f>ChartData!W13</f>
        <v>0.46278225806451606</v>
      </c>
      <c r="E49" s="55">
        <f>ChartData!X13</f>
        <v>9.7580645161290318E-4</v>
      </c>
    </row>
    <row r="50" spans="1:5" x14ac:dyDescent="0.25">
      <c r="A50" s="41">
        <f>ChartData!T14</f>
        <v>6</v>
      </c>
      <c r="B50" s="47">
        <f>ChartData!U14</f>
        <v>0.12444465672043016</v>
      </c>
      <c r="C50" s="47">
        <f>ChartData!V14</f>
        <v>0.80600996593212404</v>
      </c>
      <c r="D50" s="47">
        <f>ChartData!W14</f>
        <v>0.69041129032258031</v>
      </c>
      <c r="E50" s="55">
        <f>ChartData!X14</f>
        <v>1.3145161290322581E-3</v>
      </c>
    </row>
    <row r="51" spans="1:5" x14ac:dyDescent="0.25">
      <c r="A51" s="41">
        <f>ChartData!T15</f>
        <v>6.5</v>
      </c>
      <c r="B51" s="47">
        <f>ChartData!U15</f>
        <v>0.14643169086021512</v>
      </c>
      <c r="C51" s="47">
        <f>ChartData!V15</f>
        <v>1.0443109989723116</v>
      </c>
      <c r="D51" s="47">
        <f>ChartData!W15</f>
        <v>0.9039435483870969</v>
      </c>
      <c r="E51" s="55">
        <f>ChartData!X15</f>
        <v>6.0564516129032256E-3</v>
      </c>
    </row>
    <row r="52" spans="1:5" x14ac:dyDescent="0.25">
      <c r="A52" s="41">
        <f>ChartData!T16</f>
        <v>7</v>
      </c>
      <c r="B52" s="47">
        <f>ChartData!U16</f>
        <v>0.15143361451612911</v>
      </c>
      <c r="C52" s="47">
        <f>ChartData!V16</f>
        <v>1.2813780887221773</v>
      </c>
      <c r="D52" s="47">
        <f>ChartData!W16</f>
        <v>1.1330241935483871</v>
      </c>
      <c r="E52" s="55">
        <f>ChartData!X16</f>
        <v>3.6370967741935485E-3</v>
      </c>
    </row>
    <row r="53" spans="1:5" x14ac:dyDescent="0.25">
      <c r="A53" s="41">
        <f>ChartData!T17</f>
        <v>7.5</v>
      </c>
      <c r="B53" s="47">
        <f>ChartData!U17</f>
        <v>0.18172697123655918</v>
      </c>
      <c r="C53" s="47">
        <f>ChartData!V17</f>
        <v>1.5187900268850794</v>
      </c>
      <c r="D53" s="47">
        <f>ChartData!W17</f>
        <v>1.234475806451613</v>
      </c>
      <c r="E53" s="55">
        <f>ChartData!X17</f>
        <v>1.75E-3</v>
      </c>
    </row>
    <row r="54" spans="1:5" x14ac:dyDescent="0.25">
      <c r="A54" s="41">
        <f>ChartData!T18</f>
        <v>8</v>
      </c>
      <c r="B54" s="47">
        <f>ChartData!U18</f>
        <v>0.24661520026881714</v>
      </c>
      <c r="C54" s="47">
        <f>ChartData!V18</f>
        <v>1.7416162609651937</v>
      </c>
      <c r="D54" s="47">
        <f>ChartData!W18</f>
        <v>0.71991129032258061</v>
      </c>
      <c r="E54" s="55">
        <f>ChartData!X18</f>
        <v>8.7016129032258058E-3</v>
      </c>
    </row>
    <row r="55" spans="1:5" x14ac:dyDescent="0.25">
      <c r="A55" s="41">
        <f>ChartData!T19</f>
        <v>8.5</v>
      </c>
      <c r="B55" s="47">
        <f>ChartData!U19</f>
        <v>0.29846375134408609</v>
      </c>
      <c r="C55" s="47">
        <f>ChartData!V19</f>
        <v>1.9510732483233852</v>
      </c>
      <c r="D55" s="47">
        <f>ChartData!W19</f>
        <v>0.38551612903225796</v>
      </c>
      <c r="E55" s="55">
        <f>ChartData!X19</f>
        <v>7.7903225806451601E-3</v>
      </c>
    </row>
    <row r="56" spans="1:5" x14ac:dyDescent="0.25">
      <c r="A56" s="41">
        <f>ChartData!T20</f>
        <v>9</v>
      </c>
      <c r="B56" s="47">
        <f>ChartData!U20</f>
        <v>0.32811404973118286</v>
      </c>
      <c r="C56" s="47">
        <f>ChartData!V20</f>
        <v>2.1294586710833348</v>
      </c>
      <c r="D56" s="47">
        <f>ChartData!W20</f>
        <v>0.25962903225806455</v>
      </c>
      <c r="E56" s="55">
        <f>ChartData!X20</f>
        <v>1.4669354838709677E-2</v>
      </c>
    </row>
    <row r="57" spans="1:5" x14ac:dyDescent="0.25">
      <c r="A57" s="41">
        <f>ChartData!T21</f>
        <v>9.5</v>
      </c>
      <c r="B57" s="47">
        <f>ChartData!U21</f>
        <v>0.33597752688172067</v>
      </c>
      <c r="C57" s="47">
        <f>ChartData!V21</f>
        <v>2.2816033658061787</v>
      </c>
      <c r="D57" s="47">
        <f>ChartData!W21</f>
        <v>0.19473387096774186</v>
      </c>
      <c r="E57" s="55">
        <f>ChartData!X21</f>
        <v>2.5137096774193547E-2</v>
      </c>
    </row>
    <row r="58" spans="1:5" x14ac:dyDescent="0.25">
      <c r="A58" s="41">
        <f>ChartData!T22</f>
        <v>10</v>
      </c>
      <c r="B58" s="47">
        <f>ChartData!U22</f>
        <v>0.36159769327956987</v>
      </c>
      <c r="C58" s="47">
        <f>ChartData!V22</f>
        <v>2.415148007620834</v>
      </c>
      <c r="D58" s="47">
        <f>ChartData!W22</f>
        <v>0.11648387096774195</v>
      </c>
      <c r="E58" s="55">
        <f>ChartData!X22</f>
        <v>1.1975806451612904E-2</v>
      </c>
    </row>
    <row r="59" spans="1:5" x14ac:dyDescent="0.25">
      <c r="A59" s="41">
        <f>ChartData!T23</f>
        <v>10.5</v>
      </c>
      <c r="B59" s="47">
        <f>ChartData!U23</f>
        <v>0.3795653126344084</v>
      </c>
      <c r="C59" s="47">
        <f>ChartData!V23</f>
        <v>2.5253647252778202</v>
      </c>
      <c r="D59" s="47">
        <f>ChartData!W23</f>
        <v>6.9266129032258067E-2</v>
      </c>
      <c r="E59" s="55">
        <f>ChartData!X23</f>
        <v>3.0362903225806454E-2</v>
      </c>
    </row>
    <row r="60" spans="1:5" x14ac:dyDescent="0.25">
      <c r="A60" s="41">
        <f>ChartData!T24</f>
        <v>11</v>
      </c>
      <c r="B60" s="47">
        <f>ChartData!U24</f>
        <v>0.34430338602150512</v>
      </c>
      <c r="C60" s="47">
        <f>ChartData!V24</f>
        <v>2.6035666900409944</v>
      </c>
      <c r="D60" s="47">
        <f>ChartData!W24</f>
        <v>7.8475806451612909E-2</v>
      </c>
      <c r="E60" s="55">
        <f>ChartData!X24</f>
        <v>8.5483870967741939E-3</v>
      </c>
    </row>
    <row r="61" spans="1:5" x14ac:dyDescent="0.25">
      <c r="A61" s="41">
        <f>ChartData!T25</f>
        <v>11.5</v>
      </c>
      <c r="B61" s="47">
        <f>ChartData!U25</f>
        <v>0.43832856720430091</v>
      </c>
      <c r="C61" s="47">
        <f>ChartData!V25</f>
        <v>2.6378622971919365</v>
      </c>
      <c r="D61" s="47">
        <f>ChartData!W25</f>
        <v>4.4693548387096771E-2</v>
      </c>
      <c r="E61" s="55">
        <f>ChartData!X25</f>
        <v>4.3080645161290329E-2</v>
      </c>
    </row>
    <row r="62" spans="1:5" x14ac:dyDescent="0.25">
      <c r="A62" s="41">
        <f>ChartData!T26</f>
        <v>12</v>
      </c>
      <c r="B62" s="47">
        <f>ChartData!U26</f>
        <v>0.40914113172042998</v>
      </c>
      <c r="C62" s="47">
        <f>ChartData!V26</f>
        <v>2.6477956190301093</v>
      </c>
      <c r="D62" s="47">
        <f>ChartData!W26</f>
        <v>5.3387096774193551E-2</v>
      </c>
      <c r="E62" s="55">
        <f>ChartData!X26</f>
        <v>1.8233870967741938E-2</v>
      </c>
    </row>
    <row r="63" spans="1:5" x14ac:dyDescent="0.25">
      <c r="A63" s="41">
        <f>ChartData!T27</f>
        <v>12.5</v>
      </c>
      <c r="B63" s="47">
        <f>ChartData!U27</f>
        <v>0.30636427499999985</v>
      </c>
      <c r="C63" s="47">
        <f>ChartData!V27</f>
        <v>2.6292131408629031</v>
      </c>
      <c r="D63" s="47">
        <f>ChartData!W27</f>
        <v>3.7967741935483863E-2</v>
      </c>
      <c r="E63" s="55">
        <f>ChartData!X27</f>
        <v>4.9354838709677416E-3</v>
      </c>
    </row>
    <row r="64" spans="1:5" x14ac:dyDescent="0.25">
      <c r="A64" s="41">
        <f>ChartData!T28</f>
        <v>13</v>
      </c>
      <c r="B64" s="47">
        <f>ChartData!U28</f>
        <v>0.25108695860215047</v>
      </c>
      <c r="C64" s="47">
        <f>ChartData!V28</f>
        <v>2.5667862114576625</v>
      </c>
      <c r="D64" s="47">
        <f>ChartData!W28</f>
        <v>3.6782258064516127E-2</v>
      </c>
      <c r="E64" s="55">
        <f>ChartData!X28</f>
        <v>2.6290322580645163E-3</v>
      </c>
    </row>
    <row r="65" spans="1:5" x14ac:dyDescent="0.25">
      <c r="A65" s="41">
        <f>ChartData!T29</f>
        <v>13.5</v>
      </c>
      <c r="B65" s="47">
        <f>ChartData!U29</f>
        <v>0.27932642150537645</v>
      </c>
      <c r="C65" s="47">
        <f>ChartData!V29</f>
        <v>2.4715464635655904</v>
      </c>
      <c r="D65" s="47">
        <f>ChartData!W29</f>
        <v>1.4870967741935482E-2</v>
      </c>
      <c r="E65" s="55">
        <f>ChartData!X29</f>
        <v>3.1129032258064519E-3</v>
      </c>
    </row>
    <row r="66" spans="1:5" x14ac:dyDescent="0.25">
      <c r="A66" s="41">
        <f>ChartData!T30</f>
        <v>14</v>
      </c>
      <c r="B66" s="47">
        <f>ChartData!U30</f>
        <v>0.3032334688172042</v>
      </c>
      <c r="C66" s="47">
        <f>ChartData!V30</f>
        <v>2.3578452847899163</v>
      </c>
      <c r="D66" s="47">
        <f>ChartData!W30</f>
        <v>1.5548387096774193E-2</v>
      </c>
      <c r="E66" s="55">
        <f>ChartData!X30</f>
        <v>1.1919354838709676E-2</v>
      </c>
    </row>
    <row r="67" spans="1:5" x14ac:dyDescent="0.25">
      <c r="A67" s="41">
        <f>ChartData!T31</f>
        <v>14.5</v>
      </c>
      <c r="B67" s="47">
        <f>ChartData!U31</f>
        <v>0.31197876747311837</v>
      </c>
      <c r="C67" s="47">
        <f>ChartData!V31</f>
        <v>2.213769256098657</v>
      </c>
      <c r="D67" s="47">
        <f>ChartData!W31</f>
        <v>3.1258064516129037E-2</v>
      </c>
      <c r="E67" s="55">
        <f>ChartData!X31</f>
        <v>2.9024193548387096E-2</v>
      </c>
    </row>
    <row r="68" spans="1:5" x14ac:dyDescent="0.25">
      <c r="A68" s="41">
        <f>ChartData!T32</f>
        <v>15</v>
      </c>
      <c r="B68" s="47">
        <f>ChartData!U32</f>
        <v>0.29433453897849443</v>
      </c>
      <c r="C68" s="47">
        <f>ChartData!V32</f>
        <v>2.0606603241254047</v>
      </c>
      <c r="D68" s="47">
        <f>ChartData!W32</f>
        <v>1.7217741935483873E-2</v>
      </c>
      <c r="E68" s="55">
        <f>ChartData!X32</f>
        <v>2.2653225806451613E-2</v>
      </c>
    </row>
    <row r="69" spans="1:5" x14ac:dyDescent="0.25">
      <c r="A69" s="41">
        <f>ChartData!T33</f>
        <v>15.5</v>
      </c>
      <c r="B69" s="47">
        <f>ChartData!U33</f>
        <v>0.28844957069892474</v>
      </c>
      <c r="C69" s="47">
        <f>ChartData!V33</f>
        <v>1.8764137908268865</v>
      </c>
      <c r="D69" s="47">
        <f>ChartData!W33</f>
        <v>3.558870967741936E-2</v>
      </c>
      <c r="E69" s="55">
        <f>ChartData!X33</f>
        <v>1.2233870967741934E-2</v>
      </c>
    </row>
    <row r="70" spans="1:5" x14ac:dyDescent="0.25">
      <c r="A70" s="41">
        <f>ChartData!T34</f>
        <v>16</v>
      </c>
      <c r="B70" s="47">
        <f>ChartData!U34</f>
        <v>0.32764239354838709</v>
      </c>
      <c r="C70" s="47">
        <f>ChartData!V34</f>
        <v>1.6689087134529561</v>
      </c>
      <c r="D70" s="47">
        <f>ChartData!W34</f>
        <v>1.0951612903225808E-2</v>
      </c>
      <c r="E70" s="55">
        <f>ChartData!X34</f>
        <v>3.2459677419354842E-2</v>
      </c>
    </row>
    <row r="71" spans="1:5" x14ac:dyDescent="0.25">
      <c r="A71" s="41">
        <f>ChartData!T35</f>
        <v>16.5</v>
      </c>
      <c r="B71" s="47">
        <f>ChartData!U35</f>
        <v>0.34157784247311823</v>
      </c>
      <c r="C71" s="47">
        <f>ChartData!V35</f>
        <v>1.4183733681936816</v>
      </c>
      <c r="D71" s="47">
        <f>ChartData!W35</f>
        <v>1.9548387096774193E-2</v>
      </c>
      <c r="E71" s="55">
        <f>ChartData!X35</f>
        <v>2.0838709677419357E-2</v>
      </c>
    </row>
    <row r="72" spans="1:5" x14ac:dyDescent="0.25">
      <c r="A72" s="41">
        <f>ChartData!T36</f>
        <v>17</v>
      </c>
      <c r="B72" s="47">
        <f>ChartData!U36</f>
        <v>0.27242533306451611</v>
      </c>
      <c r="C72" s="47">
        <f>ChartData!V36</f>
        <v>1.1838896652775537</v>
      </c>
      <c r="D72" s="47">
        <f>ChartData!W36</f>
        <v>1.6459677419354841E-2</v>
      </c>
      <c r="E72" s="55">
        <f>ChartData!X36</f>
        <v>2.9419354838709676E-2</v>
      </c>
    </row>
    <row r="73" spans="1:5" x14ac:dyDescent="0.25">
      <c r="A73" s="41">
        <f>ChartData!T37</f>
        <v>17.5</v>
      </c>
      <c r="B73" s="47">
        <f>ChartData!U37</f>
        <v>0.33750082903225825</v>
      </c>
      <c r="C73" s="47">
        <f>ChartData!V37</f>
        <v>0.94294310582217733</v>
      </c>
      <c r="D73" s="47">
        <f>ChartData!W37</f>
        <v>6.5887096774193557E-3</v>
      </c>
      <c r="E73" s="55">
        <f>ChartData!X37</f>
        <v>5.3048387096774195E-2</v>
      </c>
    </row>
    <row r="74" spans="1:5" x14ac:dyDescent="0.25">
      <c r="A74" s="41">
        <f>ChartData!T38</f>
        <v>18</v>
      </c>
      <c r="B74" s="47">
        <f>ChartData!U38</f>
        <v>0.34378557284946226</v>
      </c>
      <c r="C74" s="47">
        <f>ChartData!V38</f>
        <v>0.70986453745026978</v>
      </c>
      <c r="D74" s="47">
        <f>ChartData!W38</f>
        <v>1.204032258064516E-2</v>
      </c>
      <c r="E74" s="55">
        <f>ChartData!X38</f>
        <v>8.091129032258064E-2</v>
      </c>
    </row>
    <row r="75" spans="1:5" x14ac:dyDescent="0.25">
      <c r="A75" s="41">
        <f>ChartData!T39</f>
        <v>18.5</v>
      </c>
      <c r="B75" s="47">
        <f>ChartData!U39</f>
        <v>0.3782684938172044</v>
      </c>
      <c r="C75" s="47">
        <f>ChartData!V39</f>
        <v>0.48514395558266149</v>
      </c>
      <c r="D75" s="47">
        <f>ChartData!W39</f>
        <v>1.0508064516129033E-2</v>
      </c>
      <c r="E75" s="55">
        <f>ChartData!X39</f>
        <v>0.13037096774193549</v>
      </c>
    </row>
    <row r="76" spans="1:5" x14ac:dyDescent="0.25">
      <c r="A76" s="41">
        <f>ChartData!T40</f>
        <v>19</v>
      </c>
      <c r="B76" s="47">
        <f>ChartData!U40</f>
        <v>0.40720557553763437</v>
      </c>
      <c r="C76" s="47">
        <f>ChartData!V40</f>
        <v>0.28329509125053753</v>
      </c>
      <c r="D76" s="47">
        <f>ChartData!W40</f>
        <v>5.1854838709677418E-3</v>
      </c>
      <c r="E76" s="55">
        <f>ChartData!X40</f>
        <v>0.20813709677419356</v>
      </c>
    </row>
    <row r="77" spans="1:5" x14ac:dyDescent="0.25">
      <c r="A77" s="41">
        <f>ChartData!T41</f>
        <v>19.5</v>
      </c>
      <c r="B77" s="47">
        <f>ChartData!U41</f>
        <v>0.46524391586021502</v>
      </c>
      <c r="C77" s="47">
        <f>ChartData!V41</f>
        <v>8.2422419989112844E-2</v>
      </c>
      <c r="D77" s="47">
        <f>ChartData!W41</f>
        <v>4.1935483870967743E-4</v>
      </c>
      <c r="E77" s="55">
        <f>ChartData!X41</f>
        <v>0.38109677419354832</v>
      </c>
    </row>
    <row r="78" spans="1:5" x14ac:dyDescent="0.25">
      <c r="A78" s="41">
        <f>ChartData!T42</f>
        <v>20</v>
      </c>
      <c r="B78" s="47">
        <f>ChartData!U42</f>
        <v>0.47521734784946207</v>
      </c>
      <c r="C78" s="47">
        <f>ChartData!V42</f>
        <v>1.5201372269623667E-2</v>
      </c>
      <c r="D78" s="47">
        <f>ChartData!W42</f>
        <v>0</v>
      </c>
      <c r="E78" s="55">
        <f>ChartData!X42</f>
        <v>0.44250806451612901</v>
      </c>
    </row>
    <row r="79" spans="1:5" x14ac:dyDescent="0.25">
      <c r="A79" s="41">
        <f>ChartData!T43</f>
        <v>20.5</v>
      </c>
      <c r="B79" s="47">
        <f>ChartData!U43</f>
        <v>0.54752188655913969</v>
      </c>
      <c r="C79" s="47">
        <f>ChartData!V43</f>
        <v>0</v>
      </c>
      <c r="D79" s="47">
        <f>ChartData!W43</f>
        <v>0</v>
      </c>
      <c r="E79" s="55">
        <f>ChartData!X43</f>
        <v>0.52358064516129021</v>
      </c>
    </row>
    <row r="80" spans="1:5" x14ac:dyDescent="0.25">
      <c r="A80" s="41">
        <f>ChartData!T44</f>
        <v>21</v>
      </c>
      <c r="B80" s="47">
        <f>ChartData!U44</f>
        <v>0.54479221021505342</v>
      </c>
      <c r="C80" s="47">
        <f>ChartData!V44</f>
        <v>0</v>
      </c>
      <c r="D80" s="47">
        <f>ChartData!W44</f>
        <v>0</v>
      </c>
      <c r="E80" s="55">
        <f>ChartData!X44</f>
        <v>0.50334677419354845</v>
      </c>
    </row>
    <row r="81" spans="1:5" x14ac:dyDescent="0.25">
      <c r="A81" s="41">
        <f>ChartData!T45</f>
        <v>21.5</v>
      </c>
      <c r="B81" s="47">
        <f>ChartData!U45</f>
        <v>0.48870208897849449</v>
      </c>
      <c r="C81" s="47">
        <f>ChartData!V45</f>
        <v>0</v>
      </c>
      <c r="D81" s="47">
        <f>ChartData!W45</f>
        <v>0</v>
      </c>
      <c r="E81" s="55">
        <f>ChartData!X45</f>
        <v>0.45062096774193533</v>
      </c>
    </row>
    <row r="82" spans="1:5" x14ac:dyDescent="0.25">
      <c r="A82" s="41">
        <f>ChartData!T46</f>
        <v>22</v>
      </c>
      <c r="B82" s="47">
        <f>ChartData!U46</f>
        <v>0.44740721666666688</v>
      </c>
      <c r="C82" s="47">
        <f>ChartData!V46</f>
        <v>0</v>
      </c>
      <c r="D82" s="47">
        <f>ChartData!W46</f>
        <v>0</v>
      </c>
      <c r="E82" s="55">
        <f>ChartData!X46</f>
        <v>0.39159677419354832</v>
      </c>
    </row>
    <row r="83" spans="1:5" x14ac:dyDescent="0.25">
      <c r="A83" s="41">
        <f>ChartData!T47</f>
        <v>22.5</v>
      </c>
      <c r="B83" s="47">
        <f>ChartData!U47</f>
        <v>0.4246335268817204</v>
      </c>
      <c r="C83" s="47">
        <f>ChartData!V47</f>
        <v>0</v>
      </c>
      <c r="D83" s="47">
        <f>ChartData!W47</f>
        <v>0</v>
      </c>
      <c r="E83" s="55">
        <f>ChartData!X47</f>
        <v>0.36763709677419365</v>
      </c>
    </row>
    <row r="84" spans="1:5" x14ac:dyDescent="0.25">
      <c r="A84" s="41">
        <f>ChartData!T48</f>
        <v>23</v>
      </c>
      <c r="B84" s="47">
        <f>ChartData!U48</f>
        <v>0.30184586397849444</v>
      </c>
      <c r="C84" s="47">
        <f>ChartData!V48</f>
        <v>0</v>
      </c>
      <c r="D84" s="47">
        <f>ChartData!W48</f>
        <v>0</v>
      </c>
      <c r="E84" s="55">
        <f>ChartData!X48</f>
        <v>0.24340322580645166</v>
      </c>
    </row>
    <row r="85" spans="1:5" x14ac:dyDescent="0.25">
      <c r="A85" s="42">
        <f>ChartData!T49</f>
        <v>23.5</v>
      </c>
      <c r="B85" s="48">
        <f>ChartData!U49</f>
        <v>0.23287321021505381</v>
      </c>
      <c r="C85" s="48">
        <f>ChartData!V49</f>
        <v>0</v>
      </c>
      <c r="D85" s="48">
        <f>ChartData!W49</f>
        <v>0</v>
      </c>
      <c r="E85" s="56">
        <f>ChartData!X49</f>
        <v>0.18972580645161288</v>
      </c>
    </row>
  </sheetData>
  <mergeCells count="1">
    <mergeCell ref="A1:M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ReadMe</vt:lpstr>
      <vt:lpstr>Summary</vt:lpstr>
      <vt:lpstr>FleetAverage</vt:lpstr>
      <vt:lpstr>SOC_pct</vt:lpstr>
      <vt:lpstr>Demand_kW</vt:lpstr>
      <vt:lpstr>PV_kW</vt:lpstr>
      <vt:lpstr>Charge_kW</vt:lpstr>
      <vt:lpstr>Discharge_kW</vt:lpstr>
      <vt:lpstr>Net_kW</vt:lpstr>
      <vt:lpstr>ProsumerMetrics</vt:lpstr>
      <vt:lpstr>Dashboard</vt:lpstr>
      <vt:lpstr>ChartData</vt:lpstr>
      <vt:lpstr>Fleet Avg Figure</vt:lpstr>
      <vt:lpstr>Self Consumption Figure</vt:lpstr>
      <vt:lpstr>Net Per Prosumer Figure</vt:lpstr>
      <vt:lpstr>Demand PV Dispatch Figure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Tulio Coelho Coura</dc:creator>
  <cp:lastModifiedBy>Tulio</cp:lastModifiedBy>
  <dcterms:created xsi:type="dcterms:W3CDTF">2026-07-10T18:36:08Z</dcterms:created>
  <dcterms:modified xsi:type="dcterms:W3CDTF">2026-07-10T18:36:08Z</dcterms:modified>
</cp:coreProperties>
</file>