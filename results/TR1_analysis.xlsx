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c22\projects\UAI-SFU-colab\results\TR1_analysis\"/>
    </mc:Choice>
  </mc:AlternateContent>
  <xr:revisionPtr revIDLastSave="0" documentId="13_ncr:1_{FC8244E8-E85C-4DB9-A2E8-B03D9E639119}" xr6:coauthVersionLast="47" xr6:coauthVersionMax="47" xr10:uidLastSave="{00000000-0000-0000-0000-000000000000}"/>
  <bookViews>
    <workbookView xWindow="-120" yWindow="-120" windowWidth="38640" windowHeight="21120" firstSheet="5" activeTab="10" xr2:uid="{00000000-000D-0000-FFFF-FFFF00000000}"/>
  </bookViews>
  <sheets>
    <sheet name="ReadMe" sheetId="1" r:id="rId1"/>
    <sheet name="Summary" sheetId="2" r:id="rId2"/>
    <sheet name="FleetAverage" sheetId="3" r:id="rId3"/>
    <sheet name="SOC_pct" sheetId="4" r:id="rId4"/>
    <sheet name="Demand_kW" sheetId="5" r:id="rId5"/>
    <sheet name="PV_kW" sheetId="6" r:id="rId6"/>
    <sheet name="Charge_kW" sheetId="7" r:id="rId7"/>
    <sheet name="Discharge_kW" sheetId="8" r:id="rId8"/>
    <sheet name="Net_kW" sheetId="9" r:id="rId9"/>
    <sheet name="ProsumerMetrics" sheetId="10" r:id="rId10"/>
    <sheet name="Dashboard" sheetId="11" r:id="rId11"/>
    <sheet name="ChartData" sheetId="12" r:id="rId12"/>
    <sheet name="Fleet Avg Figure" sheetId="13" r:id="rId13"/>
    <sheet name="Self Consumption Figure" sheetId="14" r:id="rId14"/>
    <sheet name="Net Per Prosumer Figure" sheetId="15" r:id="rId15"/>
    <sheet name="Demand PV Dispatch Figur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8" i="16" l="1"/>
  <c r="E74" i="16"/>
  <c r="D74" i="16"/>
  <c r="C74" i="16"/>
  <c r="A74" i="16"/>
  <c r="B73" i="16"/>
  <c r="C68" i="16"/>
  <c r="B67" i="16"/>
  <c r="E66" i="16"/>
  <c r="D65" i="16"/>
  <c r="D62" i="16"/>
  <c r="B62" i="16"/>
  <c r="A61" i="16"/>
  <c r="E60" i="16"/>
  <c r="E56" i="16"/>
  <c r="C54" i="16"/>
  <c r="C52" i="16"/>
  <c r="B52" i="16"/>
  <c r="E50" i="16"/>
  <c r="D50" i="16"/>
  <c r="C50" i="16"/>
  <c r="B49" i="16"/>
  <c r="B43" i="16"/>
  <c r="A43" i="16"/>
  <c r="D42" i="16"/>
  <c r="C42" i="16"/>
  <c r="C41" i="16"/>
  <c r="B41" i="16"/>
  <c r="D39" i="16"/>
  <c r="B74" i="15"/>
  <c r="B73" i="15"/>
  <c r="A73" i="15"/>
  <c r="B70" i="15"/>
  <c r="A70" i="15"/>
  <c r="B62" i="15"/>
  <c r="A61" i="15"/>
  <c r="B60" i="15"/>
  <c r="A60" i="15"/>
  <c r="B57" i="15"/>
  <c r="B56" i="15"/>
  <c r="B50" i="15"/>
  <c r="B49" i="15"/>
  <c r="B46" i="15"/>
  <c r="B45" i="15"/>
  <c r="B42" i="15"/>
  <c r="B41" i="15"/>
  <c r="B39" i="15"/>
  <c r="A39" i="15"/>
  <c r="B38" i="15"/>
  <c r="B28" i="15"/>
  <c r="A28" i="15"/>
  <c r="B27" i="15"/>
  <c r="B84" i="14"/>
  <c r="F83" i="14"/>
  <c r="F82" i="14"/>
  <c r="A82" i="14"/>
  <c r="F79" i="14"/>
  <c r="G76" i="14"/>
  <c r="F76" i="14"/>
  <c r="B76" i="14"/>
  <c r="A76" i="14"/>
  <c r="G75" i="14"/>
  <c r="A75" i="14"/>
  <c r="F74" i="14"/>
  <c r="B72" i="14"/>
  <c r="F71" i="14"/>
  <c r="B70" i="14"/>
  <c r="A70" i="14"/>
  <c r="G68" i="14"/>
  <c r="F68" i="14"/>
  <c r="B68" i="14"/>
  <c r="F67" i="14"/>
  <c r="B67" i="14"/>
  <c r="B64" i="14"/>
  <c r="F63" i="14"/>
  <c r="F62" i="14"/>
  <c r="B62" i="14"/>
  <c r="G59" i="14"/>
  <c r="F59" i="14"/>
  <c r="B59" i="14"/>
  <c r="G58" i="14"/>
  <c r="F58" i="14"/>
  <c r="B54" i="14"/>
  <c r="G53" i="14"/>
  <c r="F53" i="14"/>
  <c r="B53" i="14"/>
  <c r="B52" i="14"/>
  <c r="F51" i="14"/>
  <c r="B49" i="14"/>
  <c r="F47" i="14"/>
  <c r="B47" i="14"/>
  <c r="B46" i="14"/>
  <c r="G45" i="14"/>
  <c r="A45" i="14"/>
  <c r="G44" i="14"/>
  <c r="F44" i="14"/>
  <c r="B44" i="14"/>
  <c r="B43" i="14"/>
  <c r="A41" i="14"/>
  <c r="G39" i="14"/>
  <c r="F39" i="14"/>
  <c r="B38" i="14"/>
  <c r="A38" i="14"/>
  <c r="C74" i="13"/>
  <c r="B74" i="13"/>
  <c r="C69" i="13"/>
  <c r="A69" i="13"/>
  <c r="C68" i="13"/>
  <c r="B68" i="13"/>
  <c r="A67" i="13"/>
  <c r="B66" i="13"/>
  <c r="A66" i="13"/>
  <c r="E65" i="13"/>
  <c r="E63" i="13"/>
  <c r="D63" i="13"/>
  <c r="C63" i="13"/>
  <c r="A63" i="13"/>
  <c r="B62" i="13"/>
  <c r="B60" i="13"/>
  <c r="C58" i="13"/>
  <c r="E57" i="13"/>
  <c r="C57" i="13"/>
  <c r="B57" i="13"/>
  <c r="D52" i="13"/>
  <c r="E51" i="13"/>
  <c r="D51" i="13"/>
  <c r="B51" i="13"/>
  <c r="A50" i="13"/>
  <c r="E49" i="13"/>
  <c r="C48" i="13"/>
  <c r="A48" i="13"/>
  <c r="C44" i="13"/>
  <c r="B44" i="13"/>
  <c r="B42" i="13"/>
  <c r="C41" i="13"/>
  <c r="B41" i="13"/>
  <c r="C36" i="13"/>
  <c r="B36" i="13"/>
  <c r="E35" i="13"/>
  <c r="B34" i="13"/>
  <c r="C32" i="13"/>
  <c r="B32" i="13"/>
  <c r="A32" i="13"/>
  <c r="D31" i="13"/>
  <c r="C31" i="13"/>
  <c r="M78" i="12"/>
  <c r="L78" i="12"/>
  <c r="K78" i="12"/>
  <c r="M77" i="12"/>
  <c r="L77" i="12"/>
  <c r="K77" i="12"/>
  <c r="M76" i="12"/>
  <c r="L76" i="12"/>
  <c r="K76" i="12"/>
  <c r="M75" i="12"/>
  <c r="L75" i="12"/>
  <c r="K75" i="12"/>
  <c r="M74" i="12"/>
  <c r="L74" i="12"/>
  <c r="K74" i="12"/>
  <c r="M73" i="12"/>
  <c r="L73" i="12"/>
  <c r="K73" i="12"/>
  <c r="M72" i="12"/>
  <c r="L72" i="12"/>
  <c r="K72" i="12"/>
  <c r="M71" i="12"/>
  <c r="L71" i="12"/>
  <c r="K71" i="12"/>
  <c r="M70" i="12"/>
  <c r="L70" i="12"/>
  <c r="K70" i="12"/>
  <c r="M69" i="12"/>
  <c r="L69" i="12"/>
  <c r="K69" i="12"/>
  <c r="M68" i="12"/>
  <c r="L68" i="12"/>
  <c r="K68" i="12"/>
  <c r="M67" i="12"/>
  <c r="L67" i="12"/>
  <c r="K67" i="12"/>
  <c r="M66" i="12"/>
  <c r="L66" i="12"/>
  <c r="K66" i="12"/>
  <c r="M65" i="12"/>
  <c r="L65" i="12"/>
  <c r="K65" i="12"/>
  <c r="M64" i="12"/>
  <c r="L64" i="12"/>
  <c r="K64" i="12"/>
  <c r="M63" i="12"/>
  <c r="L63" i="12"/>
  <c r="K63" i="12"/>
  <c r="M62" i="12"/>
  <c r="L62" i="12"/>
  <c r="K62" i="12"/>
  <c r="M61" i="12"/>
  <c r="L61" i="12"/>
  <c r="K61" i="12"/>
  <c r="M60" i="12"/>
  <c r="L60" i="12"/>
  <c r="K60" i="12"/>
  <c r="M59" i="12"/>
  <c r="L59" i="12"/>
  <c r="K59" i="12"/>
  <c r="M58" i="12"/>
  <c r="L58" i="12"/>
  <c r="K58" i="12"/>
  <c r="M57" i="12"/>
  <c r="L57" i="12"/>
  <c r="K57" i="12"/>
  <c r="M56" i="12"/>
  <c r="L56" i="12"/>
  <c r="K56" i="12"/>
  <c r="M55" i="12"/>
  <c r="L55" i="12"/>
  <c r="K55" i="12"/>
  <c r="M54" i="12"/>
  <c r="L54" i="12"/>
  <c r="K54" i="12"/>
  <c r="M53" i="12"/>
  <c r="L53" i="12"/>
  <c r="K53" i="12"/>
  <c r="M52" i="12"/>
  <c r="L52" i="12"/>
  <c r="K52" i="12"/>
  <c r="M51" i="12"/>
  <c r="L51" i="12"/>
  <c r="K51" i="12"/>
  <c r="M50" i="12"/>
  <c r="L50" i="12"/>
  <c r="K50" i="12"/>
  <c r="AG49" i="12"/>
  <c r="G84" i="14" s="1"/>
  <c r="AF49" i="12"/>
  <c r="F84" i="14" s="1"/>
  <c r="AB49" i="12"/>
  <c r="V49" i="12"/>
  <c r="C85" i="16" s="1"/>
  <c r="M49" i="12"/>
  <c r="L49" i="12"/>
  <c r="K49" i="12"/>
  <c r="I49" i="12"/>
  <c r="H49" i="12"/>
  <c r="G49" i="12"/>
  <c r="C49" i="12"/>
  <c r="B49" i="12"/>
  <c r="AF48" i="12"/>
  <c r="AB48" i="12"/>
  <c r="B83" i="14" s="1"/>
  <c r="AA48" i="12"/>
  <c r="A83" i="14" s="1"/>
  <c r="M48" i="12"/>
  <c r="L48" i="12"/>
  <c r="K48" i="12"/>
  <c r="A48" i="12"/>
  <c r="AG47" i="12"/>
  <c r="G82" i="14" s="1"/>
  <c r="AF47" i="12"/>
  <c r="AB47" i="12"/>
  <c r="B82" i="14" s="1"/>
  <c r="AA47" i="12"/>
  <c r="A72" i="15" s="1"/>
  <c r="X47" i="12"/>
  <c r="M47" i="12"/>
  <c r="L47" i="12"/>
  <c r="K47" i="12"/>
  <c r="I47" i="12"/>
  <c r="H47" i="12"/>
  <c r="AG46" i="12"/>
  <c r="G81" i="14" s="1"/>
  <c r="AF46" i="12"/>
  <c r="F81" i="14" s="1"/>
  <c r="AC46" i="12"/>
  <c r="AE46" i="12" s="1"/>
  <c r="E81" i="14" s="1"/>
  <c r="AB46" i="12"/>
  <c r="B71" i="15" s="1"/>
  <c r="AA46" i="12"/>
  <c r="Y46" i="12"/>
  <c r="F71" i="13" s="1"/>
  <c r="X46" i="12"/>
  <c r="W46" i="12"/>
  <c r="V46" i="12"/>
  <c r="U46" i="12"/>
  <c r="M46" i="12"/>
  <c r="L46" i="12"/>
  <c r="K46" i="12"/>
  <c r="C46" i="12"/>
  <c r="B46" i="12"/>
  <c r="AF45" i="12"/>
  <c r="F80" i="14" s="1"/>
  <c r="AB45" i="12"/>
  <c r="B80" i="14" s="1"/>
  <c r="T45" i="12"/>
  <c r="A70" i="13" s="1"/>
  <c r="M45" i="12"/>
  <c r="L45" i="12"/>
  <c r="K45" i="12"/>
  <c r="F45" i="12"/>
  <c r="A45" i="12"/>
  <c r="AG44" i="12"/>
  <c r="G79" i="14" s="1"/>
  <c r="AF44" i="12"/>
  <c r="AB44" i="12"/>
  <c r="AA44" i="12"/>
  <c r="X44" i="12"/>
  <c r="W44" i="12"/>
  <c r="M44" i="12"/>
  <c r="L44" i="12"/>
  <c r="K44" i="12"/>
  <c r="C44" i="12"/>
  <c r="B44" i="12"/>
  <c r="A44" i="12"/>
  <c r="AF43" i="12"/>
  <c r="F78" i="14" s="1"/>
  <c r="AB43" i="12"/>
  <c r="B68" i="15" s="1"/>
  <c r="AA43" i="12"/>
  <c r="X43" i="12"/>
  <c r="M43" i="12"/>
  <c r="L43" i="12"/>
  <c r="K43" i="12"/>
  <c r="I43" i="12"/>
  <c r="H43" i="12"/>
  <c r="AF42" i="12"/>
  <c r="F77" i="14" s="1"/>
  <c r="AB42" i="12"/>
  <c r="B67" i="15" s="1"/>
  <c r="AA42" i="12"/>
  <c r="A67" i="15" s="1"/>
  <c r="T42" i="12"/>
  <c r="M42" i="12"/>
  <c r="L42" i="12"/>
  <c r="K42" i="12"/>
  <c r="AG41" i="12"/>
  <c r="AF41" i="12"/>
  <c r="AB41" i="12"/>
  <c r="B66" i="15" s="1"/>
  <c r="W41" i="12"/>
  <c r="V41" i="12"/>
  <c r="T41" i="12"/>
  <c r="A77" i="16" s="1"/>
  <c r="M41" i="12"/>
  <c r="L41" i="12"/>
  <c r="K41" i="12"/>
  <c r="I41" i="12"/>
  <c r="H41" i="12"/>
  <c r="G41" i="12"/>
  <c r="F41" i="12"/>
  <c r="D41" i="12"/>
  <c r="C41" i="12"/>
  <c r="B41" i="12"/>
  <c r="A41" i="12"/>
  <c r="AG40" i="12"/>
  <c r="AF40" i="12"/>
  <c r="F75" i="14" s="1"/>
  <c r="AB40" i="12"/>
  <c r="AA40" i="12"/>
  <c r="A65" i="15" s="1"/>
  <c r="X40" i="12"/>
  <c r="E76" i="16" s="1"/>
  <c r="M40" i="12"/>
  <c r="L40" i="12"/>
  <c r="K40" i="12"/>
  <c r="B40" i="12"/>
  <c r="AF39" i="12"/>
  <c r="AB39" i="12"/>
  <c r="AA39" i="12"/>
  <c r="M39" i="12"/>
  <c r="L39" i="12"/>
  <c r="K39" i="12"/>
  <c r="I39" i="12"/>
  <c r="AG38" i="12"/>
  <c r="G73" i="14" s="1"/>
  <c r="AF38" i="12"/>
  <c r="F73" i="14" s="1"/>
  <c r="AB38" i="12"/>
  <c r="AA38" i="12"/>
  <c r="A63" i="15" s="1"/>
  <c r="X38" i="12"/>
  <c r="W38" i="12"/>
  <c r="V38" i="12"/>
  <c r="T38" i="12"/>
  <c r="M38" i="12"/>
  <c r="L38" i="12"/>
  <c r="K38" i="12"/>
  <c r="I38" i="12"/>
  <c r="C38" i="12"/>
  <c r="B38" i="12"/>
  <c r="AG37" i="12"/>
  <c r="G72" i="14" s="1"/>
  <c r="AF37" i="12"/>
  <c r="F72" i="14" s="1"/>
  <c r="AB37" i="12"/>
  <c r="V37" i="12"/>
  <c r="C62" i="13" s="1"/>
  <c r="T37" i="12"/>
  <c r="M37" i="12"/>
  <c r="L37" i="12"/>
  <c r="K37" i="12"/>
  <c r="I37" i="12"/>
  <c r="H37" i="12"/>
  <c r="G37" i="12"/>
  <c r="F37" i="12"/>
  <c r="D37" i="12"/>
  <c r="C37" i="12"/>
  <c r="B37" i="12"/>
  <c r="A37" i="12"/>
  <c r="AG36" i="12"/>
  <c r="G71" i="14" s="1"/>
  <c r="AF36" i="12"/>
  <c r="AB36" i="12"/>
  <c r="AA36" i="12"/>
  <c r="A71" i="14" s="1"/>
  <c r="M36" i="12"/>
  <c r="L36" i="12"/>
  <c r="K36" i="12"/>
  <c r="A36" i="12"/>
  <c r="AG35" i="12"/>
  <c r="G70" i="14" s="1"/>
  <c r="AF35" i="12"/>
  <c r="F70" i="14" s="1"/>
  <c r="AB35" i="12"/>
  <c r="AA35" i="12"/>
  <c r="X35" i="12"/>
  <c r="M35" i="12"/>
  <c r="L35" i="12"/>
  <c r="K35" i="12"/>
  <c r="I35" i="12"/>
  <c r="H35" i="12"/>
  <c r="AG34" i="12"/>
  <c r="G69" i="14" s="1"/>
  <c r="AF34" i="12"/>
  <c r="F69" i="14" s="1"/>
  <c r="AB34" i="12"/>
  <c r="B69" i="14" s="1"/>
  <c r="M34" i="12"/>
  <c r="L34" i="12"/>
  <c r="K34" i="12"/>
  <c r="B34" i="12"/>
  <c r="AF33" i="12"/>
  <c r="AB33" i="12"/>
  <c r="B58" i="15" s="1"/>
  <c r="X33" i="12"/>
  <c r="E69" i="16" s="1"/>
  <c r="W33" i="12"/>
  <c r="V33" i="12"/>
  <c r="C69" i="16" s="1"/>
  <c r="M33" i="12"/>
  <c r="L33" i="12"/>
  <c r="K33" i="12"/>
  <c r="G33" i="12"/>
  <c r="AG32" i="12"/>
  <c r="G67" i="14" s="1"/>
  <c r="AF32" i="12"/>
  <c r="AB32" i="12"/>
  <c r="X32" i="12"/>
  <c r="E68" i="16" s="1"/>
  <c r="M32" i="12"/>
  <c r="L32" i="12"/>
  <c r="K32" i="12"/>
  <c r="I32" i="12"/>
  <c r="H32" i="12"/>
  <c r="C32" i="12"/>
  <c r="B32" i="12"/>
  <c r="A32" i="12"/>
  <c r="AG31" i="12"/>
  <c r="G66" i="14" s="1"/>
  <c r="AF31" i="12"/>
  <c r="F66" i="14" s="1"/>
  <c r="AB31" i="12"/>
  <c r="B66" i="14" s="1"/>
  <c r="AA31" i="12"/>
  <c r="A66" i="14" s="1"/>
  <c r="X31" i="12"/>
  <c r="M31" i="12"/>
  <c r="L31" i="12"/>
  <c r="K31" i="12"/>
  <c r="I31" i="12"/>
  <c r="H31" i="12"/>
  <c r="AF30" i="12"/>
  <c r="F65" i="14" s="1"/>
  <c r="AB30" i="12"/>
  <c r="X30" i="12"/>
  <c r="E55" i="13" s="1"/>
  <c r="W30" i="12"/>
  <c r="D66" i="16" s="1"/>
  <c r="V30" i="12"/>
  <c r="C66" i="16" s="1"/>
  <c r="M30" i="12"/>
  <c r="L30" i="12"/>
  <c r="K30" i="12"/>
  <c r="AG29" i="12"/>
  <c r="G64" i="14" s="1"/>
  <c r="AF29" i="12"/>
  <c r="F64" i="14" s="1"/>
  <c r="AB29" i="12"/>
  <c r="B54" i="15" s="1"/>
  <c r="X29" i="12"/>
  <c r="W29" i="12"/>
  <c r="D54" i="13" s="1"/>
  <c r="V29" i="12"/>
  <c r="T29" i="12"/>
  <c r="M29" i="12"/>
  <c r="L29" i="12"/>
  <c r="K29" i="12"/>
  <c r="I29" i="12"/>
  <c r="H29" i="12"/>
  <c r="G29" i="12"/>
  <c r="F29" i="12"/>
  <c r="D29" i="12"/>
  <c r="C29" i="12"/>
  <c r="B29" i="12"/>
  <c r="AF28" i="12"/>
  <c r="AB28" i="12"/>
  <c r="B53" i="15" s="1"/>
  <c r="M28" i="12"/>
  <c r="L28" i="12"/>
  <c r="K28" i="12"/>
  <c r="D28" i="12"/>
  <c r="C28" i="12"/>
  <c r="B28" i="12"/>
  <c r="A28" i="12"/>
  <c r="AF27" i="12"/>
  <c r="AB27" i="12"/>
  <c r="B52" i="15" s="1"/>
  <c r="X27" i="12"/>
  <c r="M27" i="12"/>
  <c r="L27" i="12"/>
  <c r="K27" i="12"/>
  <c r="I27" i="12"/>
  <c r="H27" i="12"/>
  <c r="AG26" i="12"/>
  <c r="G61" i="14" s="1"/>
  <c r="AF26" i="12"/>
  <c r="F61" i="14" s="1"/>
  <c r="AB26" i="12"/>
  <c r="B61" i="14" s="1"/>
  <c r="X26" i="12"/>
  <c r="E62" i="16" s="1"/>
  <c r="W26" i="12"/>
  <c r="U26" i="12"/>
  <c r="M26" i="12"/>
  <c r="L26" i="12"/>
  <c r="K26" i="12"/>
  <c r="I26" i="12"/>
  <c r="C26" i="12"/>
  <c r="B26" i="12"/>
  <c r="AG25" i="12"/>
  <c r="G60" i="14" s="1"/>
  <c r="AF25" i="12"/>
  <c r="F60" i="14" s="1"/>
  <c r="AB25" i="12"/>
  <c r="B60" i="14" s="1"/>
  <c r="T25" i="12"/>
  <c r="M25" i="12"/>
  <c r="L25" i="12"/>
  <c r="K25" i="12"/>
  <c r="I25" i="12"/>
  <c r="H25" i="12"/>
  <c r="F25" i="12"/>
  <c r="D25" i="12"/>
  <c r="AG24" i="12"/>
  <c r="AF24" i="12"/>
  <c r="AB24" i="12"/>
  <c r="X24" i="12"/>
  <c r="M24" i="12"/>
  <c r="L24" i="12"/>
  <c r="K24" i="12"/>
  <c r="I24" i="12"/>
  <c r="H24" i="12"/>
  <c r="D24" i="12"/>
  <c r="C24" i="12"/>
  <c r="B24" i="12"/>
  <c r="AG23" i="12"/>
  <c r="AF23" i="12"/>
  <c r="AB23" i="12"/>
  <c r="AA23" i="12"/>
  <c r="X23" i="12"/>
  <c r="M23" i="12"/>
  <c r="L23" i="12"/>
  <c r="K23" i="12"/>
  <c r="I23" i="12"/>
  <c r="H23" i="12"/>
  <c r="AF22" i="12"/>
  <c r="F57" i="14" s="1"/>
  <c r="AB22" i="12"/>
  <c r="M22" i="12"/>
  <c r="L22" i="12"/>
  <c r="K22" i="12"/>
  <c r="I22" i="12"/>
  <c r="C22" i="12"/>
  <c r="B22" i="12"/>
  <c r="AG21" i="12"/>
  <c r="G56" i="14" s="1"/>
  <c r="AF21" i="12"/>
  <c r="F56" i="14" s="1"/>
  <c r="AB21" i="12"/>
  <c r="B56" i="14" s="1"/>
  <c r="X21" i="12"/>
  <c r="W21" i="12"/>
  <c r="V21" i="12"/>
  <c r="M21" i="12"/>
  <c r="L21" i="12"/>
  <c r="K21" i="12"/>
  <c r="I21" i="12"/>
  <c r="H21" i="12"/>
  <c r="G21" i="12"/>
  <c r="B21" i="12"/>
  <c r="AG20" i="12"/>
  <c r="G55" i="14" s="1"/>
  <c r="AF20" i="12"/>
  <c r="F55" i="14" s="1"/>
  <c r="AB20" i="12"/>
  <c r="B55" i="14" s="1"/>
  <c r="AA20" i="12"/>
  <c r="A45" i="15" s="1"/>
  <c r="X20" i="12"/>
  <c r="E45" i="13" s="1"/>
  <c r="W20" i="12"/>
  <c r="M20" i="12"/>
  <c r="L20" i="12"/>
  <c r="K20" i="12"/>
  <c r="I20" i="12"/>
  <c r="H20" i="12"/>
  <c r="G20" i="12"/>
  <c r="C20" i="12"/>
  <c r="A20" i="12"/>
  <c r="AG19" i="12"/>
  <c r="G54" i="14" s="1"/>
  <c r="AF19" i="12"/>
  <c r="F54" i="14" s="1"/>
  <c r="AB19" i="12"/>
  <c r="B44" i="15" s="1"/>
  <c r="X19" i="12"/>
  <c r="M19" i="12"/>
  <c r="L19" i="12"/>
  <c r="K19" i="12"/>
  <c r="AG18" i="12"/>
  <c r="AF18" i="12"/>
  <c r="AB18" i="12"/>
  <c r="B43" i="15" s="1"/>
  <c r="M18" i="12"/>
  <c r="L18" i="12"/>
  <c r="K18" i="12"/>
  <c r="I18" i="12"/>
  <c r="C18" i="12"/>
  <c r="B18" i="12"/>
  <c r="AG17" i="12"/>
  <c r="G52" i="14" s="1"/>
  <c r="AF17" i="12"/>
  <c r="F52" i="14" s="1"/>
  <c r="AB17" i="12"/>
  <c r="X17" i="12"/>
  <c r="W17" i="12"/>
  <c r="V17" i="12"/>
  <c r="T17" i="12"/>
  <c r="A53" i="16" s="1"/>
  <c r="M17" i="12"/>
  <c r="L17" i="12"/>
  <c r="K17" i="12"/>
  <c r="I17" i="12"/>
  <c r="B17" i="12"/>
  <c r="A17" i="12"/>
  <c r="AF16" i="12"/>
  <c r="AB16" i="12"/>
  <c r="B51" i="14" s="1"/>
  <c r="M16" i="12"/>
  <c r="L16" i="12"/>
  <c r="K16" i="12"/>
  <c r="I16" i="12"/>
  <c r="H16" i="12"/>
  <c r="G16" i="12"/>
  <c r="C16" i="12"/>
  <c r="B16" i="12"/>
  <c r="AG15" i="12"/>
  <c r="G50" i="14" s="1"/>
  <c r="AF15" i="12"/>
  <c r="F50" i="14" s="1"/>
  <c r="AB15" i="12"/>
  <c r="B50" i="14" s="1"/>
  <c r="AA15" i="12"/>
  <c r="A50" i="14" s="1"/>
  <c r="X15" i="12"/>
  <c r="E51" i="16" s="1"/>
  <c r="M15" i="12"/>
  <c r="L15" i="12"/>
  <c r="K15" i="12"/>
  <c r="AF14" i="12"/>
  <c r="F49" i="14" s="1"/>
  <c r="AB14" i="12"/>
  <c r="AA14" i="12"/>
  <c r="A49" i="14" s="1"/>
  <c r="X14" i="12"/>
  <c r="E39" i="13" s="1"/>
  <c r="W14" i="12"/>
  <c r="D39" i="13" s="1"/>
  <c r="V14" i="12"/>
  <c r="C39" i="13" s="1"/>
  <c r="U14" i="12"/>
  <c r="T14" i="12"/>
  <c r="M14" i="12"/>
  <c r="L14" i="12"/>
  <c r="K14" i="12"/>
  <c r="C14" i="12"/>
  <c r="B14" i="12"/>
  <c r="A14" i="12"/>
  <c r="AG13" i="12"/>
  <c r="G48" i="14" s="1"/>
  <c r="AF13" i="12"/>
  <c r="F48" i="14" s="1"/>
  <c r="AB13" i="12"/>
  <c r="B48" i="14" s="1"/>
  <c r="X13" i="12"/>
  <c r="E38" i="13" s="1"/>
  <c r="W13" i="12"/>
  <c r="D38" i="13" s="1"/>
  <c r="V13" i="12"/>
  <c r="C38" i="13" s="1"/>
  <c r="T13" i="12"/>
  <c r="A38" i="13" s="1"/>
  <c r="M13" i="12"/>
  <c r="L13" i="12"/>
  <c r="K13" i="12"/>
  <c r="AF12" i="12"/>
  <c r="AB12" i="12"/>
  <c r="B37" i="15" s="1"/>
  <c r="AA12" i="12"/>
  <c r="X12" i="12"/>
  <c r="E37" i="13" s="1"/>
  <c r="W12" i="12"/>
  <c r="M12" i="12"/>
  <c r="L12" i="12"/>
  <c r="K12" i="12"/>
  <c r="I12" i="12"/>
  <c r="D12" i="12"/>
  <c r="C12" i="12"/>
  <c r="B12" i="12"/>
  <c r="A12" i="12"/>
  <c r="AG11" i="12"/>
  <c r="G46" i="14" s="1"/>
  <c r="AF11" i="12"/>
  <c r="F46" i="14" s="1"/>
  <c r="AC11" i="12"/>
  <c r="AD11" i="12" s="1"/>
  <c r="D46" i="14" s="1"/>
  <c r="AB11" i="12"/>
  <c r="B36" i="15" s="1"/>
  <c r="X11" i="12"/>
  <c r="E47" i="16" s="1"/>
  <c r="Q11" i="12"/>
  <c r="P11" i="12"/>
  <c r="R11" i="12" s="1"/>
  <c r="M11" i="12"/>
  <c r="L11" i="12"/>
  <c r="K11" i="12"/>
  <c r="C11" i="12"/>
  <c r="A11" i="12"/>
  <c r="AF10" i="12"/>
  <c r="F45" i="14" s="1"/>
  <c r="AC10" i="12"/>
  <c r="AD10" i="12" s="1"/>
  <c r="D45" i="14" s="1"/>
  <c r="AB10" i="12"/>
  <c r="B35" i="15" s="1"/>
  <c r="AA10" i="12"/>
  <c r="A35" i="15" s="1"/>
  <c r="X10" i="12"/>
  <c r="E46" i="16" s="1"/>
  <c r="W10" i="12"/>
  <c r="D46" i="16" s="1"/>
  <c r="V10" i="12"/>
  <c r="U10" i="12"/>
  <c r="T10" i="12"/>
  <c r="Q10" i="12"/>
  <c r="P10" i="12" s="1"/>
  <c r="R10" i="12" s="1"/>
  <c r="M10" i="12"/>
  <c r="L10" i="12"/>
  <c r="K10" i="12"/>
  <c r="I10" i="12"/>
  <c r="H10" i="12"/>
  <c r="F10" i="12"/>
  <c r="AF9" i="12"/>
  <c r="AB9" i="12"/>
  <c r="B34" i="15" s="1"/>
  <c r="V9" i="12"/>
  <c r="U9" i="12"/>
  <c r="B45" i="16" s="1"/>
  <c r="Q9" i="12"/>
  <c r="P9" i="12"/>
  <c r="R9" i="12" s="1"/>
  <c r="M9" i="12"/>
  <c r="L9" i="12"/>
  <c r="K9" i="12"/>
  <c r="I9" i="12"/>
  <c r="C9" i="12"/>
  <c r="B9" i="12"/>
  <c r="AF8" i="12"/>
  <c r="F43" i="14" s="1"/>
  <c r="AB8" i="12"/>
  <c r="B33" i="15" s="1"/>
  <c r="W8" i="12"/>
  <c r="D44" i="16" s="1"/>
  <c r="U8" i="12"/>
  <c r="Q8" i="12"/>
  <c r="P8" i="12"/>
  <c r="R8" i="12" s="1"/>
  <c r="M8" i="12"/>
  <c r="L8" i="12"/>
  <c r="K8" i="12"/>
  <c r="F8" i="12"/>
  <c r="AF7" i="12"/>
  <c r="F42" i="14" s="1"/>
  <c r="AB7" i="12"/>
  <c r="T7" i="12"/>
  <c r="Q7" i="12"/>
  <c r="P7" i="12" s="1"/>
  <c r="R7" i="12" s="1"/>
  <c r="M7" i="12"/>
  <c r="L7" i="12"/>
  <c r="K7" i="12"/>
  <c r="I7" i="12"/>
  <c r="H7" i="12"/>
  <c r="G7" i="12"/>
  <c r="F7" i="12"/>
  <c r="D7" i="12"/>
  <c r="C7" i="12"/>
  <c r="B7" i="12"/>
  <c r="A7" i="12"/>
  <c r="AF6" i="12"/>
  <c r="F41" i="14" s="1"/>
  <c r="AB6" i="12"/>
  <c r="B31" i="15" s="1"/>
  <c r="AA6" i="12"/>
  <c r="A31" i="15" s="1"/>
  <c r="W6" i="12"/>
  <c r="V6" i="12"/>
  <c r="Q6" i="12"/>
  <c r="P6" i="12" s="1"/>
  <c r="R6" i="12" s="1"/>
  <c r="M6" i="12"/>
  <c r="L6" i="12"/>
  <c r="K6" i="12"/>
  <c r="G6" i="12"/>
  <c r="F6" i="12"/>
  <c r="A6" i="12"/>
  <c r="AG5" i="12"/>
  <c r="G40" i="14" s="1"/>
  <c r="AF5" i="12"/>
  <c r="F40" i="14" s="1"/>
  <c r="AB5" i="12"/>
  <c r="AA5" i="12"/>
  <c r="A30" i="15" s="1"/>
  <c r="U5" i="12"/>
  <c r="B30" i="13" s="1"/>
  <c r="T5" i="12"/>
  <c r="Q5" i="12"/>
  <c r="P5" i="12" s="1"/>
  <c r="R5" i="12" s="1"/>
  <c r="M5" i="12"/>
  <c r="L5" i="12"/>
  <c r="K5" i="12"/>
  <c r="I5" i="12"/>
  <c r="F5" i="12"/>
  <c r="A5" i="12"/>
  <c r="AG4" i="12"/>
  <c r="AF4" i="12"/>
  <c r="AB4" i="12"/>
  <c r="B39" i="14" s="1"/>
  <c r="AA4" i="12"/>
  <c r="X4" i="12"/>
  <c r="W4" i="12"/>
  <c r="V4" i="12"/>
  <c r="U4" i="12"/>
  <c r="T4" i="12"/>
  <c r="A29" i="13" s="1"/>
  <c r="Q4" i="12"/>
  <c r="P4" i="12" s="1"/>
  <c r="R4" i="12" s="1"/>
  <c r="M4" i="12"/>
  <c r="L4" i="12"/>
  <c r="K4" i="12"/>
  <c r="I4" i="12"/>
  <c r="H4" i="12"/>
  <c r="C4" i="12"/>
  <c r="AG3" i="12"/>
  <c r="G38" i="14" s="1"/>
  <c r="AF3" i="12"/>
  <c r="F38" i="14" s="1"/>
  <c r="AB3" i="12"/>
  <c r="AA3" i="12"/>
  <c r="X3" i="12"/>
  <c r="E39" i="16" s="1"/>
  <c r="W3" i="12"/>
  <c r="D28" i="13" s="1"/>
  <c r="U3" i="12"/>
  <c r="B39" i="16" s="1"/>
  <c r="T3" i="12"/>
  <c r="R3" i="12"/>
  <c r="Q3" i="12"/>
  <c r="P3" i="12"/>
  <c r="M3" i="12"/>
  <c r="L3" i="12"/>
  <c r="K3" i="12"/>
  <c r="G3" i="12"/>
  <c r="F3" i="12"/>
  <c r="AF2" i="12"/>
  <c r="F37" i="14" s="1"/>
  <c r="AB2" i="12"/>
  <c r="B37" i="14" s="1"/>
  <c r="AA2" i="12"/>
  <c r="A27" i="15" s="1"/>
  <c r="W2" i="12"/>
  <c r="V2" i="12"/>
  <c r="U2" i="12"/>
  <c r="T2" i="12"/>
  <c r="A27" i="13" s="1"/>
  <c r="Q2" i="12"/>
  <c r="P2" i="12" s="1"/>
  <c r="R2" i="12" s="1"/>
  <c r="M2" i="12"/>
  <c r="L2" i="12"/>
  <c r="K2" i="12"/>
  <c r="G2" i="12"/>
  <c r="F2" i="12"/>
  <c r="A2" i="12"/>
  <c r="P5" i="11"/>
  <c r="M5" i="11"/>
  <c r="J5" i="11"/>
  <c r="G5" i="11"/>
  <c r="D5" i="11"/>
  <c r="A5" i="11"/>
  <c r="J49" i="3"/>
  <c r="I49" i="3"/>
  <c r="K49" i="3" s="1"/>
  <c r="D49" i="12" s="1"/>
  <c r="H49" i="3"/>
  <c r="F49" i="3"/>
  <c r="X49" i="12" s="1"/>
  <c r="E85" i="16" s="1"/>
  <c r="E49" i="3"/>
  <c r="W49" i="12" s="1"/>
  <c r="D49" i="3"/>
  <c r="C49" i="3"/>
  <c r="U49" i="12" s="1"/>
  <c r="B85" i="16" s="1"/>
  <c r="B49" i="3"/>
  <c r="A49" i="3"/>
  <c r="J48" i="3"/>
  <c r="C48" i="12" s="1"/>
  <c r="I48" i="3"/>
  <c r="B48" i="12" s="1"/>
  <c r="H48" i="3"/>
  <c r="I48" i="12" s="1"/>
  <c r="F48" i="3"/>
  <c r="H48" i="12" s="1"/>
  <c r="E48" i="3"/>
  <c r="G48" i="12" s="1"/>
  <c r="D48" i="3"/>
  <c r="V48" i="12" s="1"/>
  <c r="C48" i="3"/>
  <c r="U48" i="12" s="1"/>
  <c r="B48" i="3"/>
  <c r="A48" i="3"/>
  <c r="J47" i="3"/>
  <c r="C47" i="12" s="1"/>
  <c r="I47" i="3"/>
  <c r="K47" i="3" s="1"/>
  <c r="D47" i="12" s="1"/>
  <c r="H47" i="3"/>
  <c r="F47" i="3"/>
  <c r="E47" i="3"/>
  <c r="D47" i="3"/>
  <c r="V47" i="12" s="1"/>
  <c r="C83" i="16" s="1"/>
  <c r="C47" i="3"/>
  <c r="U47" i="12" s="1"/>
  <c r="B47" i="3"/>
  <c r="T47" i="12" s="1"/>
  <c r="A47" i="3"/>
  <c r="K46" i="3"/>
  <c r="D46" i="12" s="1"/>
  <c r="J46" i="3"/>
  <c r="I46" i="3"/>
  <c r="H46" i="3"/>
  <c r="I46" i="12" s="1"/>
  <c r="G46" i="3"/>
  <c r="F46" i="3"/>
  <c r="H46" i="12" s="1"/>
  <c r="E46" i="3"/>
  <c r="G46" i="12" s="1"/>
  <c r="D46" i="3"/>
  <c r="C46" i="3"/>
  <c r="B46" i="3"/>
  <c r="A46" i="3"/>
  <c r="J45" i="3"/>
  <c r="C45" i="12" s="1"/>
  <c r="I45" i="3"/>
  <c r="B45" i="12" s="1"/>
  <c r="H45" i="3"/>
  <c r="AG45" i="12" s="1"/>
  <c r="G80" i="14" s="1"/>
  <c r="F45" i="3"/>
  <c r="E45" i="3"/>
  <c r="D45" i="3"/>
  <c r="V45" i="12" s="1"/>
  <c r="C45" i="3"/>
  <c r="U45" i="12" s="1"/>
  <c r="B45" i="3"/>
  <c r="AA45" i="12" s="1"/>
  <c r="A80" i="14" s="1"/>
  <c r="A45" i="3"/>
  <c r="J44" i="3"/>
  <c r="I44" i="3"/>
  <c r="K44" i="3" s="1"/>
  <c r="D44" i="12" s="1"/>
  <c r="H44" i="3"/>
  <c r="I44" i="12" s="1"/>
  <c r="F44" i="3"/>
  <c r="H44" i="12" s="1"/>
  <c r="E44" i="3"/>
  <c r="G44" i="3" s="1"/>
  <c r="D44" i="3"/>
  <c r="V44" i="12" s="1"/>
  <c r="C80" i="16" s="1"/>
  <c r="C44" i="3"/>
  <c r="U44" i="12" s="1"/>
  <c r="B69" i="13" s="1"/>
  <c r="B44" i="3"/>
  <c r="T44" i="12" s="1"/>
  <c r="A80" i="16" s="1"/>
  <c r="A44" i="3"/>
  <c r="J43" i="3"/>
  <c r="C43" i="12" s="1"/>
  <c r="I43" i="3"/>
  <c r="H43" i="3"/>
  <c r="AG43" i="12" s="1"/>
  <c r="G78" i="14" s="1"/>
  <c r="F43" i="3"/>
  <c r="E43" i="3"/>
  <c r="D43" i="3"/>
  <c r="V43" i="12" s="1"/>
  <c r="C79" i="16" s="1"/>
  <c r="C43" i="3"/>
  <c r="U43" i="12" s="1"/>
  <c r="B79" i="16" s="1"/>
  <c r="B43" i="3"/>
  <c r="A43" i="3"/>
  <c r="J42" i="3"/>
  <c r="C42" i="12" s="1"/>
  <c r="I42" i="3"/>
  <c r="B42" i="12" s="1"/>
  <c r="H42" i="3"/>
  <c r="I42" i="12" s="1"/>
  <c r="F42" i="3"/>
  <c r="H42" i="12" s="1"/>
  <c r="E42" i="3"/>
  <c r="G42" i="12" s="1"/>
  <c r="D42" i="3"/>
  <c r="V42" i="12" s="1"/>
  <c r="C78" i="16" s="1"/>
  <c r="C42" i="3"/>
  <c r="U42" i="12" s="1"/>
  <c r="B78" i="16" s="1"/>
  <c r="B42" i="3"/>
  <c r="F42" i="12" s="1"/>
  <c r="A42" i="3"/>
  <c r="J41" i="3"/>
  <c r="I41" i="3"/>
  <c r="K41" i="3" s="1"/>
  <c r="H41" i="3"/>
  <c r="F41" i="3"/>
  <c r="G41" i="3" s="1"/>
  <c r="E41" i="3"/>
  <c r="D41" i="3"/>
  <c r="C41" i="3"/>
  <c r="U41" i="12" s="1"/>
  <c r="B77" i="16" s="1"/>
  <c r="B41" i="3"/>
  <c r="AA41" i="12" s="1"/>
  <c r="A66" i="15" s="1"/>
  <c r="A41" i="3"/>
  <c r="J40" i="3"/>
  <c r="C40" i="12" s="1"/>
  <c r="I40" i="3"/>
  <c r="H40" i="3"/>
  <c r="I40" i="12" s="1"/>
  <c r="F40" i="3"/>
  <c r="H40" i="12" s="1"/>
  <c r="E40" i="3"/>
  <c r="D40" i="3"/>
  <c r="V40" i="12" s="1"/>
  <c r="C65" i="13" s="1"/>
  <c r="C40" i="3"/>
  <c r="B40" i="3"/>
  <c r="A40" i="3"/>
  <c r="J39" i="3"/>
  <c r="C39" i="12" s="1"/>
  <c r="I39" i="3"/>
  <c r="H39" i="3"/>
  <c r="AG39" i="12" s="1"/>
  <c r="G74" i="14" s="1"/>
  <c r="F39" i="3"/>
  <c r="X39" i="12" s="1"/>
  <c r="E39" i="3"/>
  <c r="D39" i="3"/>
  <c r="V39" i="12" s="1"/>
  <c r="C39" i="3"/>
  <c r="U39" i="12" s="1"/>
  <c r="B39" i="3"/>
  <c r="T39" i="12" s="1"/>
  <c r="A39" i="3"/>
  <c r="K38" i="3"/>
  <c r="D38" i="12" s="1"/>
  <c r="J38" i="3"/>
  <c r="I38" i="3"/>
  <c r="H38" i="3"/>
  <c r="F38" i="3"/>
  <c r="H38" i="12" s="1"/>
  <c r="E38" i="3"/>
  <c r="G38" i="12" s="1"/>
  <c r="D38" i="3"/>
  <c r="C38" i="3"/>
  <c r="B38" i="3"/>
  <c r="F38" i="12" s="1"/>
  <c r="A38" i="3"/>
  <c r="J37" i="3"/>
  <c r="I37" i="3"/>
  <c r="K37" i="3" s="1"/>
  <c r="H37" i="3"/>
  <c r="F37" i="3"/>
  <c r="X37" i="12" s="1"/>
  <c r="E62" i="13" s="1"/>
  <c r="E37" i="3"/>
  <c r="W37" i="12" s="1"/>
  <c r="D37" i="3"/>
  <c r="C37" i="3"/>
  <c r="U37" i="12" s="1"/>
  <c r="B37" i="3"/>
  <c r="AA37" i="12" s="1"/>
  <c r="A72" i="14" s="1"/>
  <c r="A37" i="3"/>
  <c r="J36" i="3"/>
  <c r="C36" i="12" s="1"/>
  <c r="I36" i="3"/>
  <c r="B36" i="12" s="1"/>
  <c r="H36" i="3"/>
  <c r="I36" i="12" s="1"/>
  <c r="F36" i="3"/>
  <c r="E36" i="3"/>
  <c r="D36" i="3"/>
  <c r="V36" i="12" s="1"/>
  <c r="C36" i="3"/>
  <c r="U36" i="12" s="1"/>
  <c r="B36" i="3"/>
  <c r="T36" i="12" s="1"/>
  <c r="A61" i="13" s="1"/>
  <c r="A36" i="3"/>
  <c r="J35" i="3"/>
  <c r="C35" i="12" s="1"/>
  <c r="I35" i="3"/>
  <c r="B35" i="12" s="1"/>
  <c r="H35" i="3"/>
  <c r="F35" i="3"/>
  <c r="E35" i="3"/>
  <c r="W35" i="12" s="1"/>
  <c r="D60" i="13" s="1"/>
  <c r="D35" i="3"/>
  <c r="C35" i="3"/>
  <c r="U35" i="12" s="1"/>
  <c r="B71" i="16" s="1"/>
  <c r="B35" i="3"/>
  <c r="T35" i="12" s="1"/>
  <c r="A35" i="3"/>
  <c r="J34" i="3"/>
  <c r="K34" i="3" s="1"/>
  <c r="D34" i="12" s="1"/>
  <c r="I34" i="3"/>
  <c r="H34" i="3"/>
  <c r="I34" i="12" s="1"/>
  <c r="F34" i="3"/>
  <c r="E34" i="3"/>
  <c r="D34" i="3"/>
  <c r="C34" i="3"/>
  <c r="U34" i="12" s="1"/>
  <c r="B34" i="3"/>
  <c r="A34" i="3"/>
  <c r="J33" i="3"/>
  <c r="C33" i="12" s="1"/>
  <c r="I33" i="3"/>
  <c r="B33" i="12" s="1"/>
  <c r="H33" i="3"/>
  <c r="AG33" i="12" s="1"/>
  <c r="G33" i="3"/>
  <c r="F33" i="3"/>
  <c r="H33" i="12" s="1"/>
  <c r="E33" i="3"/>
  <c r="D33" i="3"/>
  <c r="C33" i="3"/>
  <c r="U33" i="12" s="1"/>
  <c r="B69" i="16" s="1"/>
  <c r="B33" i="3"/>
  <c r="A33" i="3"/>
  <c r="J32" i="3"/>
  <c r="I32" i="3"/>
  <c r="K32" i="3" s="1"/>
  <c r="D32" i="12" s="1"/>
  <c r="H32" i="3"/>
  <c r="F32" i="3"/>
  <c r="E32" i="3"/>
  <c r="G32" i="3" s="1"/>
  <c r="D32" i="3"/>
  <c r="V32" i="12" s="1"/>
  <c r="C32" i="3"/>
  <c r="U32" i="12" s="1"/>
  <c r="B68" i="16" s="1"/>
  <c r="B32" i="3"/>
  <c r="A32" i="3"/>
  <c r="J31" i="3"/>
  <c r="C31" i="12" s="1"/>
  <c r="I31" i="3"/>
  <c r="B31" i="12" s="1"/>
  <c r="H31" i="3"/>
  <c r="F31" i="3"/>
  <c r="E31" i="3"/>
  <c r="D31" i="3"/>
  <c r="C31" i="3"/>
  <c r="U31" i="12" s="1"/>
  <c r="B56" i="13" s="1"/>
  <c r="B31" i="3"/>
  <c r="A31" i="3"/>
  <c r="J30" i="3"/>
  <c r="C30" i="12" s="1"/>
  <c r="I30" i="3"/>
  <c r="B30" i="12" s="1"/>
  <c r="H30" i="3"/>
  <c r="I30" i="12" s="1"/>
  <c r="G30" i="3"/>
  <c r="F30" i="3"/>
  <c r="H30" i="12" s="1"/>
  <c r="E30" i="3"/>
  <c r="G30" i="12" s="1"/>
  <c r="D30" i="3"/>
  <c r="C30" i="3"/>
  <c r="U30" i="12" s="1"/>
  <c r="B30" i="3"/>
  <c r="A30" i="3"/>
  <c r="J29" i="3"/>
  <c r="K29" i="3" s="1"/>
  <c r="I29" i="3"/>
  <c r="H29" i="3"/>
  <c r="F29" i="3"/>
  <c r="E29" i="3"/>
  <c r="D29" i="3"/>
  <c r="C29" i="3"/>
  <c r="B29" i="3"/>
  <c r="AA29" i="12" s="1"/>
  <c r="A29" i="3"/>
  <c r="J28" i="3"/>
  <c r="I28" i="3"/>
  <c r="K28" i="3" s="1"/>
  <c r="H28" i="3"/>
  <c r="AG28" i="12" s="1"/>
  <c r="G63" i="14" s="1"/>
  <c r="F28" i="3"/>
  <c r="X28" i="12" s="1"/>
  <c r="E28" i="3"/>
  <c r="D28" i="3"/>
  <c r="V28" i="12" s="1"/>
  <c r="C28" i="3"/>
  <c r="B28" i="3"/>
  <c r="A28" i="3"/>
  <c r="J27" i="3"/>
  <c r="C27" i="12" s="1"/>
  <c r="I27" i="3"/>
  <c r="H27" i="3"/>
  <c r="AG27" i="12" s="1"/>
  <c r="G62" i="14" s="1"/>
  <c r="F27" i="3"/>
  <c r="E27" i="3"/>
  <c r="W27" i="12" s="1"/>
  <c r="D63" i="16" s="1"/>
  <c r="D27" i="3"/>
  <c r="V27" i="12" s="1"/>
  <c r="C63" i="16" s="1"/>
  <c r="C27" i="3"/>
  <c r="B27" i="3"/>
  <c r="A27" i="3"/>
  <c r="K26" i="3"/>
  <c r="D26" i="12" s="1"/>
  <c r="J26" i="3"/>
  <c r="I26" i="3"/>
  <c r="H26" i="3"/>
  <c r="F26" i="3"/>
  <c r="H26" i="12" s="1"/>
  <c r="E26" i="3"/>
  <c r="G26" i="12" s="1"/>
  <c r="D26" i="3"/>
  <c r="V26" i="12" s="1"/>
  <c r="C62" i="16" s="1"/>
  <c r="C26" i="3"/>
  <c r="G26" i="3" s="1"/>
  <c r="B26" i="3"/>
  <c r="AA26" i="12" s="1"/>
  <c r="A26" i="3"/>
  <c r="K25" i="3"/>
  <c r="J25" i="3"/>
  <c r="C25" i="12" s="1"/>
  <c r="I25" i="3"/>
  <c r="B25" i="12" s="1"/>
  <c r="H25" i="3"/>
  <c r="F25" i="3"/>
  <c r="X25" i="12" s="1"/>
  <c r="E50" i="13" s="1"/>
  <c r="E25" i="3"/>
  <c r="G25" i="12" s="1"/>
  <c r="D25" i="3"/>
  <c r="V25" i="12" s="1"/>
  <c r="C25" i="3"/>
  <c r="B25" i="3"/>
  <c r="AA25" i="12" s="1"/>
  <c r="A60" i="14" s="1"/>
  <c r="A25" i="3"/>
  <c r="J24" i="3"/>
  <c r="I24" i="3"/>
  <c r="K24" i="3" s="1"/>
  <c r="H24" i="3"/>
  <c r="F24" i="3"/>
  <c r="E24" i="3"/>
  <c r="D24" i="3"/>
  <c r="V24" i="12" s="1"/>
  <c r="C24" i="3"/>
  <c r="B24" i="3"/>
  <c r="A24" i="3"/>
  <c r="K23" i="3"/>
  <c r="D23" i="12" s="1"/>
  <c r="J23" i="3"/>
  <c r="C23" i="12" s="1"/>
  <c r="I23" i="3"/>
  <c r="B23" i="12" s="1"/>
  <c r="H23" i="3"/>
  <c r="F23" i="3"/>
  <c r="E23" i="3"/>
  <c r="D23" i="3"/>
  <c r="V23" i="12" s="1"/>
  <c r="C59" i="16" s="1"/>
  <c r="C23" i="3"/>
  <c r="B23" i="3"/>
  <c r="T23" i="12" s="1"/>
  <c r="A59" i="16" s="1"/>
  <c r="A23" i="3"/>
  <c r="J22" i="3"/>
  <c r="I22" i="3"/>
  <c r="K22" i="3" s="1"/>
  <c r="D22" i="12" s="1"/>
  <c r="H22" i="3"/>
  <c r="AG22" i="12" s="1"/>
  <c r="G57" i="14" s="1"/>
  <c r="F22" i="3"/>
  <c r="H22" i="12" s="1"/>
  <c r="E22" i="3"/>
  <c r="G22" i="12" s="1"/>
  <c r="D22" i="3"/>
  <c r="V22" i="12" s="1"/>
  <c r="C22" i="3"/>
  <c r="B22" i="3"/>
  <c r="A22" i="3"/>
  <c r="J21" i="3"/>
  <c r="C21" i="12" s="1"/>
  <c r="I21" i="3"/>
  <c r="H21" i="3"/>
  <c r="F21" i="3"/>
  <c r="E21" i="3"/>
  <c r="D21" i="3"/>
  <c r="C21" i="3"/>
  <c r="B21" i="3"/>
  <c r="T21" i="12" s="1"/>
  <c r="A21" i="3"/>
  <c r="J20" i="3"/>
  <c r="I20" i="3"/>
  <c r="H20" i="3"/>
  <c r="F20" i="3"/>
  <c r="E20" i="3"/>
  <c r="D20" i="3"/>
  <c r="C20" i="3"/>
  <c r="U20" i="12" s="1"/>
  <c r="B45" i="13" s="1"/>
  <c r="B20" i="3"/>
  <c r="A20" i="3"/>
  <c r="J19" i="3"/>
  <c r="C19" i="12" s="1"/>
  <c r="I19" i="3"/>
  <c r="B19" i="12" s="1"/>
  <c r="H19" i="3"/>
  <c r="I19" i="12" s="1"/>
  <c r="F19" i="3"/>
  <c r="H19" i="12" s="1"/>
  <c r="E19" i="3"/>
  <c r="D19" i="3"/>
  <c r="V19" i="12" s="1"/>
  <c r="C55" i="16" s="1"/>
  <c r="C19" i="3"/>
  <c r="U19" i="12" s="1"/>
  <c r="B55" i="16" s="1"/>
  <c r="B19" i="3"/>
  <c r="A19" i="3"/>
  <c r="K18" i="3"/>
  <c r="D18" i="12" s="1"/>
  <c r="J18" i="3"/>
  <c r="I18" i="3"/>
  <c r="H18" i="3"/>
  <c r="G18" i="3"/>
  <c r="F18" i="3"/>
  <c r="E18" i="3"/>
  <c r="D18" i="3"/>
  <c r="V18" i="12" s="1"/>
  <c r="C43" i="13" s="1"/>
  <c r="C18" i="3"/>
  <c r="U18" i="12" s="1"/>
  <c r="B18" i="3"/>
  <c r="A18" i="3"/>
  <c r="J17" i="3"/>
  <c r="C17" i="12" s="1"/>
  <c r="I17" i="3"/>
  <c r="K17" i="3" s="1"/>
  <c r="D17" i="12" s="1"/>
  <c r="H17" i="3"/>
  <c r="G17" i="3"/>
  <c r="F17" i="3"/>
  <c r="H17" i="12" s="1"/>
  <c r="E17" i="3"/>
  <c r="G17" i="12" s="1"/>
  <c r="D17" i="3"/>
  <c r="C17" i="3"/>
  <c r="U17" i="12" s="1"/>
  <c r="B53" i="16" s="1"/>
  <c r="B17" i="3"/>
  <c r="AA17" i="12" s="1"/>
  <c r="A17" i="3"/>
  <c r="J16" i="3"/>
  <c r="K16" i="3" s="1"/>
  <c r="D16" i="12" s="1"/>
  <c r="I16" i="3"/>
  <c r="H16" i="3"/>
  <c r="AG16" i="12" s="1"/>
  <c r="G51" i="14" s="1"/>
  <c r="F16" i="3"/>
  <c r="X16" i="12" s="1"/>
  <c r="E52" i="16" s="1"/>
  <c r="E16" i="3"/>
  <c r="W16" i="12" s="1"/>
  <c r="D52" i="16" s="1"/>
  <c r="D16" i="3"/>
  <c r="V16" i="12" s="1"/>
  <c r="C16" i="3"/>
  <c r="U16" i="12" s="1"/>
  <c r="B16" i="3"/>
  <c r="A16" i="12" s="1"/>
  <c r="A16" i="3"/>
  <c r="J15" i="3"/>
  <c r="C15" i="12" s="1"/>
  <c r="I15" i="3"/>
  <c r="K15" i="3" s="1"/>
  <c r="D15" i="12" s="1"/>
  <c r="H15" i="3"/>
  <c r="I15" i="12" s="1"/>
  <c r="F15" i="3"/>
  <c r="H15" i="12" s="1"/>
  <c r="E15" i="3"/>
  <c r="D15" i="3"/>
  <c r="V15" i="12" s="1"/>
  <c r="C15" i="3"/>
  <c r="B15" i="3"/>
  <c r="T15" i="12" s="1"/>
  <c r="A15" i="3"/>
  <c r="K14" i="3"/>
  <c r="D14" i="12" s="1"/>
  <c r="J14" i="3"/>
  <c r="I14" i="3"/>
  <c r="H14" i="3"/>
  <c r="G14" i="3"/>
  <c r="F14" i="3"/>
  <c r="H14" i="12" s="1"/>
  <c r="E14" i="3"/>
  <c r="G14" i="12" s="1"/>
  <c r="D14" i="3"/>
  <c r="C14" i="3"/>
  <c r="B14" i="3"/>
  <c r="F14" i="12" s="1"/>
  <c r="A14" i="3"/>
  <c r="J13" i="3"/>
  <c r="C13" i="12" s="1"/>
  <c r="I13" i="3"/>
  <c r="B13" i="12" s="1"/>
  <c r="H13" i="3"/>
  <c r="I13" i="12" s="1"/>
  <c r="F13" i="3"/>
  <c r="H13" i="12" s="1"/>
  <c r="E13" i="3"/>
  <c r="G13" i="12" s="1"/>
  <c r="D13" i="3"/>
  <c r="C13" i="3"/>
  <c r="U13" i="12" s="1"/>
  <c r="B38" i="13" s="1"/>
  <c r="B13" i="3"/>
  <c r="A13" i="3"/>
  <c r="J12" i="3"/>
  <c r="I12" i="3"/>
  <c r="K12" i="3" s="1"/>
  <c r="H12" i="3"/>
  <c r="AG12" i="12" s="1"/>
  <c r="G47" i="14" s="1"/>
  <c r="F12" i="3"/>
  <c r="H12" i="12" s="1"/>
  <c r="E12" i="3"/>
  <c r="G12" i="12" s="1"/>
  <c r="D12" i="3"/>
  <c r="V12" i="12" s="1"/>
  <c r="C12" i="3"/>
  <c r="U12" i="12" s="1"/>
  <c r="B12" i="3"/>
  <c r="T12" i="12" s="1"/>
  <c r="A12" i="3"/>
  <c r="J11" i="3"/>
  <c r="I11" i="3"/>
  <c r="H11" i="3"/>
  <c r="I11" i="12" s="1"/>
  <c r="G11" i="3"/>
  <c r="Y11" i="12" s="1"/>
  <c r="F36" i="13" s="1"/>
  <c r="F11" i="3"/>
  <c r="H11" i="12" s="1"/>
  <c r="E11" i="3"/>
  <c r="D11" i="3"/>
  <c r="V11" i="12" s="1"/>
  <c r="C47" i="16" s="1"/>
  <c r="C11" i="3"/>
  <c r="U11" i="12" s="1"/>
  <c r="B47" i="16" s="1"/>
  <c r="B11" i="3"/>
  <c r="A11" i="3"/>
  <c r="J10" i="3"/>
  <c r="C10" i="12" s="1"/>
  <c r="I10" i="3"/>
  <c r="B10" i="12" s="1"/>
  <c r="H10" i="3"/>
  <c r="AG10" i="12" s="1"/>
  <c r="F10" i="3"/>
  <c r="E10" i="3"/>
  <c r="G10" i="12" s="1"/>
  <c r="D10" i="3"/>
  <c r="C10" i="3"/>
  <c r="G10" i="3" s="1"/>
  <c r="Y10" i="12" s="1"/>
  <c r="F35" i="13" s="1"/>
  <c r="B10" i="3"/>
  <c r="A10" i="12" s="1"/>
  <c r="A10" i="3"/>
  <c r="J9" i="3"/>
  <c r="I9" i="3"/>
  <c r="K9" i="3" s="1"/>
  <c r="D9" i="12" s="1"/>
  <c r="H9" i="3"/>
  <c r="AG9" i="12" s="1"/>
  <c r="F9" i="3"/>
  <c r="H9" i="12" s="1"/>
  <c r="E9" i="3"/>
  <c r="D9" i="3"/>
  <c r="C9" i="3"/>
  <c r="B9" i="3"/>
  <c r="A9" i="12" s="1"/>
  <c r="A9" i="3"/>
  <c r="J8" i="3"/>
  <c r="C8" i="12" s="1"/>
  <c r="I8" i="3"/>
  <c r="H8" i="3"/>
  <c r="I8" i="12" s="1"/>
  <c r="F8" i="3"/>
  <c r="H8" i="12" s="1"/>
  <c r="E8" i="3"/>
  <c r="G8" i="12" s="1"/>
  <c r="D8" i="3"/>
  <c r="V8" i="12" s="1"/>
  <c r="C8" i="3"/>
  <c r="B8" i="3"/>
  <c r="A8" i="3"/>
  <c r="J7" i="3"/>
  <c r="I7" i="3"/>
  <c r="K7" i="3" s="1"/>
  <c r="H7" i="3"/>
  <c r="AG7" i="12" s="1"/>
  <c r="G42" i="14" s="1"/>
  <c r="F7" i="3"/>
  <c r="X7" i="12" s="1"/>
  <c r="E7" i="3"/>
  <c r="W7" i="12" s="1"/>
  <c r="D7" i="3"/>
  <c r="V7" i="12" s="1"/>
  <c r="C43" i="16" s="1"/>
  <c r="C7" i="3"/>
  <c r="U7" i="12" s="1"/>
  <c r="B7" i="3"/>
  <c r="AA7" i="12" s="1"/>
  <c r="A42" i="14" s="1"/>
  <c r="A7" i="3"/>
  <c r="J6" i="3"/>
  <c r="C6" i="12" s="1"/>
  <c r="I6" i="3"/>
  <c r="H6" i="3"/>
  <c r="F6" i="3"/>
  <c r="H6" i="12" s="1"/>
  <c r="E6" i="3"/>
  <c r="D6" i="3"/>
  <c r="C6" i="3"/>
  <c r="B6" i="3"/>
  <c r="T6" i="12" s="1"/>
  <c r="A6" i="3"/>
  <c r="J5" i="3"/>
  <c r="C5" i="12" s="1"/>
  <c r="I5" i="3"/>
  <c r="B5" i="12" s="1"/>
  <c r="H5" i="3"/>
  <c r="F5" i="3"/>
  <c r="E5" i="3"/>
  <c r="D5" i="3"/>
  <c r="V5" i="12" s="1"/>
  <c r="C30" i="13" s="1"/>
  <c r="C5" i="3"/>
  <c r="B5" i="3"/>
  <c r="A5" i="3"/>
  <c r="J4" i="3"/>
  <c r="I4" i="3"/>
  <c r="B4" i="12" s="1"/>
  <c r="H4" i="3"/>
  <c r="F4" i="3"/>
  <c r="E4" i="3"/>
  <c r="G4" i="12" s="1"/>
  <c r="D4" i="3"/>
  <c r="C4" i="3"/>
  <c r="B4" i="3"/>
  <c r="F4" i="12" s="1"/>
  <c r="A4" i="3"/>
  <c r="J3" i="3"/>
  <c r="C3" i="12" s="1"/>
  <c r="I3" i="3"/>
  <c r="B3" i="12" s="1"/>
  <c r="H3" i="3"/>
  <c r="I3" i="12" s="1"/>
  <c r="F3" i="3"/>
  <c r="H3" i="12" s="1"/>
  <c r="E3" i="3"/>
  <c r="D3" i="3"/>
  <c r="C3" i="3"/>
  <c r="B3" i="3"/>
  <c r="A3" i="12" s="1"/>
  <c r="A3" i="3"/>
  <c r="J2" i="3"/>
  <c r="C2" i="12" s="1"/>
  <c r="I2" i="3"/>
  <c r="B2" i="12" s="1"/>
  <c r="H2" i="3"/>
  <c r="F2" i="3"/>
  <c r="G2" i="3" s="1"/>
  <c r="E2" i="3"/>
  <c r="D2" i="3"/>
  <c r="C2" i="3"/>
  <c r="B2" i="3"/>
  <c r="A2" i="3"/>
  <c r="A57" i="16" l="1"/>
  <c r="A46" i="13"/>
  <c r="D62" i="13"/>
  <c r="D73" i="16"/>
  <c r="AC2" i="12"/>
  <c r="Y2" i="12"/>
  <c r="F27" i="13" s="1"/>
  <c r="C50" i="13"/>
  <c r="C61" i="16"/>
  <c r="F22" i="12"/>
  <c r="A22" i="12"/>
  <c r="AA22" i="12"/>
  <c r="T22" i="12"/>
  <c r="W45" i="12"/>
  <c r="G45" i="12"/>
  <c r="W5" i="12"/>
  <c r="G5" i="12"/>
  <c r="B58" i="14"/>
  <c r="B48" i="15"/>
  <c r="B61" i="13"/>
  <c r="B72" i="16"/>
  <c r="K45" i="3"/>
  <c r="D45" i="12" s="1"/>
  <c r="E64" i="13"/>
  <c r="E75" i="16"/>
  <c r="W36" i="12"/>
  <c r="G36" i="12"/>
  <c r="G39" i="3"/>
  <c r="K42" i="3"/>
  <c r="D42" i="12" s="1"/>
  <c r="D33" i="13"/>
  <c r="H36" i="12"/>
  <c r="X36" i="12"/>
  <c r="B45" i="14"/>
  <c r="B39" i="12"/>
  <c r="K39" i="3"/>
  <c r="D39" i="12" s="1"/>
  <c r="B69" i="15"/>
  <c r="B79" i="14"/>
  <c r="F30" i="12"/>
  <c r="A30" i="12"/>
  <c r="AA30" i="12"/>
  <c r="T30" i="12"/>
  <c r="AC18" i="12"/>
  <c r="Y18" i="12"/>
  <c r="F43" i="13" s="1"/>
  <c r="C70" i="13"/>
  <c r="C81" i="16"/>
  <c r="E59" i="16"/>
  <c r="E48" i="13"/>
  <c r="X45" i="12"/>
  <c r="H45" i="12"/>
  <c r="E71" i="13"/>
  <c r="E82" i="16"/>
  <c r="X5" i="12"/>
  <c r="H5" i="12"/>
  <c r="T19" i="12"/>
  <c r="F19" i="12"/>
  <c r="A19" i="12"/>
  <c r="A39" i="14"/>
  <c r="A29" i="15"/>
  <c r="A73" i="14"/>
  <c r="AA33" i="12"/>
  <c r="T33" i="12"/>
  <c r="F46" i="12"/>
  <c r="A46" i="12"/>
  <c r="T46" i="12"/>
  <c r="E80" i="16"/>
  <c r="E69" i="13"/>
  <c r="C51" i="13"/>
  <c r="E61" i="16"/>
  <c r="K2" i="3"/>
  <c r="D2" i="12" s="1"/>
  <c r="A31" i="13"/>
  <c r="A42" i="16"/>
  <c r="A69" i="15"/>
  <c r="A79" i="14"/>
  <c r="U6" i="12"/>
  <c r="G6" i="3"/>
  <c r="AA13" i="12"/>
  <c r="F13" i="12"/>
  <c r="A13" i="12"/>
  <c r="G36" i="3"/>
  <c r="D85" i="16"/>
  <c r="D74" i="13"/>
  <c r="C45" i="14"/>
  <c r="A38" i="16"/>
  <c r="B66" i="16"/>
  <c r="B55" i="13"/>
  <c r="G49" i="3"/>
  <c r="A74" i="14"/>
  <c r="A64" i="15"/>
  <c r="D35" i="13"/>
  <c r="C52" i="13"/>
  <c r="A40" i="15"/>
  <c r="B8" i="12"/>
  <c r="K8" i="3"/>
  <c r="D8" i="12" s="1"/>
  <c r="G9" i="12"/>
  <c r="W9" i="12"/>
  <c r="G9" i="3"/>
  <c r="A48" i="16"/>
  <c r="A37" i="13"/>
  <c r="E40" i="16"/>
  <c r="E29" i="13"/>
  <c r="G37" i="3"/>
  <c r="A41" i="16"/>
  <c r="A30" i="13"/>
  <c r="I45" i="12"/>
  <c r="E40" i="13"/>
  <c r="A72" i="16"/>
  <c r="B71" i="14"/>
  <c r="B61" i="15"/>
  <c r="D69" i="13"/>
  <c r="D80" i="16"/>
  <c r="T27" i="12"/>
  <c r="F27" i="12"/>
  <c r="A27" i="12"/>
  <c r="C36" i="15"/>
  <c r="C46" i="14"/>
  <c r="T24" i="12"/>
  <c r="F24" i="12"/>
  <c r="AA24" i="12"/>
  <c r="A24" i="12"/>
  <c r="AE11" i="12"/>
  <c r="E46" i="14" s="1"/>
  <c r="A77" i="14"/>
  <c r="A48" i="15"/>
  <c r="A58" i="14"/>
  <c r="B64" i="13"/>
  <c r="B75" i="16"/>
  <c r="G12" i="3"/>
  <c r="H39" i="12"/>
  <c r="AC30" i="12"/>
  <c r="Y30" i="12"/>
  <c r="F55" i="13" s="1"/>
  <c r="K3" i="3"/>
  <c r="D3" i="12" s="1"/>
  <c r="K20" i="3"/>
  <c r="D20" i="12" s="1"/>
  <c r="B20" i="12"/>
  <c r="E63" i="16"/>
  <c r="E52" i="13"/>
  <c r="B58" i="13"/>
  <c r="B77" i="14"/>
  <c r="C73" i="16"/>
  <c r="D48" i="16"/>
  <c r="D37" i="13"/>
  <c r="B63" i="15"/>
  <c r="B73" i="14"/>
  <c r="W40" i="12"/>
  <c r="G40" i="12"/>
  <c r="K33" i="3"/>
  <c r="D33" i="12" s="1"/>
  <c r="G24" i="3"/>
  <c r="U24" i="12"/>
  <c r="K30" i="3"/>
  <c r="D30" i="12" s="1"/>
  <c r="B70" i="16"/>
  <c r="B59" i="13"/>
  <c r="AC17" i="12"/>
  <c r="Y17" i="12"/>
  <c r="F42" i="13" s="1"/>
  <c r="C49" i="13"/>
  <c r="C60" i="16"/>
  <c r="G34" i="3"/>
  <c r="V34" i="12"/>
  <c r="A50" i="16"/>
  <c r="A39" i="13"/>
  <c r="E71" i="16"/>
  <c r="E60" i="13"/>
  <c r="E74" i="13"/>
  <c r="E48" i="16"/>
  <c r="C82" i="16"/>
  <c r="C71" i="13"/>
  <c r="C38" i="16"/>
  <c r="C27" i="13"/>
  <c r="A64" i="13"/>
  <c r="A75" i="16"/>
  <c r="F9" i="12"/>
  <c r="AA9" i="12"/>
  <c r="T9" i="12"/>
  <c r="B67" i="13"/>
  <c r="B81" i="14"/>
  <c r="A49" i="16"/>
  <c r="E73" i="16"/>
  <c r="W25" i="12"/>
  <c r="W15" i="12"/>
  <c r="G15" i="12"/>
  <c r="C67" i="13"/>
  <c r="C37" i="13"/>
  <c r="C48" i="16"/>
  <c r="AG6" i="12"/>
  <c r="G41" i="14" s="1"/>
  <c r="I6" i="12"/>
  <c r="B27" i="12"/>
  <c r="K27" i="3"/>
  <c r="D27" i="12" s="1"/>
  <c r="AC14" i="12"/>
  <c r="Y14" i="12"/>
  <c r="F39" i="13" s="1"/>
  <c r="G21" i="3"/>
  <c r="U21" i="12"/>
  <c r="V31" i="12"/>
  <c r="G31" i="3"/>
  <c r="X48" i="12"/>
  <c r="E41" i="13"/>
  <c r="C49" i="16"/>
  <c r="B37" i="13"/>
  <c r="B48" i="16"/>
  <c r="A81" i="14"/>
  <c r="A71" i="15"/>
  <c r="AG2" i="12"/>
  <c r="G37" i="14" s="1"/>
  <c r="I2" i="12"/>
  <c r="G27" i="3"/>
  <c r="U27" i="12"/>
  <c r="A56" i="15"/>
  <c r="A42" i="13"/>
  <c r="E49" i="16"/>
  <c r="U15" i="12"/>
  <c r="G15" i="3"/>
  <c r="C46" i="16"/>
  <c r="C35" i="13"/>
  <c r="D82" i="16"/>
  <c r="D71" i="13"/>
  <c r="G45" i="3"/>
  <c r="G5" i="3"/>
  <c r="X2" i="12"/>
  <c r="H2" i="12"/>
  <c r="C64" i="13"/>
  <c r="C75" i="16"/>
  <c r="W39" i="12"/>
  <c r="G39" i="12"/>
  <c r="AC33" i="12"/>
  <c r="Y33" i="12"/>
  <c r="F58" i="13" s="1"/>
  <c r="E44" i="13"/>
  <c r="E55" i="16"/>
  <c r="B40" i="15"/>
  <c r="W42" i="12"/>
  <c r="K6" i="3"/>
  <c r="D6" i="12" s="1"/>
  <c r="B6" i="12"/>
  <c r="E57" i="16"/>
  <c r="E46" i="13"/>
  <c r="A73" i="16"/>
  <c r="A62" i="13"/>
  <c r="G24" i="12"/>
  <c r="W24" i="12"/>
  <c r="B39" i="13"/>
  <c r="B50" i="16"/>
  <c r="AA27" i="12"/>
  <c r="B75" i="14"/>
  <c r="B65" i="15"/>
  <c r="A33" i="12"/>
  <c r="W48" i="12"/>
  <c r="D41" i="13"/>
  <c r="A37" i="14"/>
  <c r="F18" i="12"/>
  <c r="A18" i="12"/>
  <c r="AA18" i="12"/>
  <c r="T18" i="12"/>
  <c r="B43" i="13"/>
  <c r="B54" i="16"/>
  <c r="C64" i="16"/>
  <c r="C53" i="13"/>
  <c r="C53" i="16"/>
  <c r="C42" i="13"/>
  <c r="F33" i="12"/>
  <c r="U22" i="12"/>
  <c r="G22" i="3"/>
  <c r="B33" i="13"/>
  <c r="B44" i="16"/>
  <c r="AD46" i="12"/>
  <c r="D81" i="14" s="1"/>
  <c r="C71" i="15"/>
  <c r="AG8" i="12"/>
  <c r="G43" i="14" s="1"/>
  <c r="V3" i="12"/>
  <c r="G3" i="3"/>
  <c r="W43" i="12"/>
  <c r="G43" i="12"/>
  <c r="U40" i="12"/>
  <c r="G40" i="3"/>
  <c r="D57" i="16"/>
  <c r="D46" i="13"/>
  <c r="A54" i="13"/>
  <c r="A65" i="16"/>
  <c r="U28" i="12"/>
  <c r="G28" i="3"/>
  <c r="G38" i="3"/>
  <c r="U38" i="12"/>
  <c r="W28" i="12"/>
  <c r="G28" i="12"/>
  <c r="D53" i="16"/>
  <c r="D42" i="13"/>
  <c r="E79" i="16"/>
  <c r="E68" i="13"/>
  <c r="AG48" i="12"/>
  <c r="G83" i="14" s="1"/>
  <c r="B59" i="15"/>
  <c r="C51" i="16"/>
  <c r="C40" i="13"/>
  <c r="B38" i="16"/>
  <c r="B27" i="13"/>
  <c r="C58" i="16"/>
  <c r="C47" i="13"/>
  <c r="D38" i="16"/>
  <c r="D27" i="13"/>
  <c r="X8" i="12"/>
  <c r="E56" i="13"/>
  <c r="E67" i="16"/>
  <c r="AE10" i="12"/>
  <c r="E45" i="14" s="1"/>
  <c r="C35" i="15"/>
  <c r="A51" i="15"/>
  <c r="A61" i="14"/>
  <c r="T16" i="12"/>
  <c r="F16" i="12"/>
  <c r="AA16" i="12"/>
  <c r="AC26" i="12"/>
  <c r="Y26" i="12"/>
  <c r="F51" i="13" s="1"/>
  <c r="C61" i="13"/>
  <c r="C72" i="16"/>
  <c r="AA49" i="12"/>
  <c r="T49" i="12"/>
  <c r="F49" i="12"/>
  <c r="A40" i="16"/>
  <c r="K36" i="3"/>
  <c r="D36" i="12" s="1"/>
  <c r="X42" i="12"/>
  <c r="G34" i="12"/>
  <c r="W34" i="12"/>
  <c r="H34" i="12"/>
  <c r="X34" i="12"/>
  <c r="AC44" i="12"/>
  <c r="Y44" i="12"/>
  <c r="F69" i="13" s="1"/>
  <c r="B42" i="14"/>
  <c r="B32" i="15"/>
  <c r="C81" i="14"/>
  <c r="AG14" i="12"/>
  <c r="G49" i="14" s="1"/>
  <c r="I14" i="12"/>
  <c r="AC41" i="12"/>
  <c r="Y41" i="12"/>
  <c r="F66" i="13" s="1"/>
  <c r="K11" i="3"/>
  <c r="D11" i="12" s="1"/>
  <c r="B11" i="12"/>
  <c r="G18" i="12"/>
  <c r="W18" i="12"/>
  <c r="U25" i="12"/>
  <c r="G25" i="3"/>
  <c r="E64" i="16"/>
  <c r="E53" i="13"/>
  <c r="B84" i="16"/>
  <c r="B73" i="13"/>
  <c r="E53" i="16"/>
  <c r="E42" i="13"/>
  <c r="A49" i="12"/>
  <c r="C76" i="16"/>
  <c r="B46" i="16"/>
  <c r="B35" i="13"/>
  <c r="G48" i="3"/>
  <c r="D58" i="13"/>
  <c r="D69" i="16"/>
  <c r="G42" i="3"/>
  <c r="K48" i="3"/>
  <c r="D48" i="12" s="1"/>
  <c r="K5" i="3"/>
  <c r="D5" i="12" s="1"/>
  <c r="C57" i="16"/>
  <c r="C46" i="13"/>
  <c r="B74" i="14"/>
  <c r="B64" i="15"/>
  <c r="E83" i="16"/>
  <c r="E72" i="13"/>
  <c r="G43" i="3"/>
  <c r="AA19" i="12"/>
  <c r="B40" i="14"/>
  <c r="B30" i="15"/>
  <c r="AG42" i="12"/>
  <c r="G77" i="14" s="1"/>
  <c r="E58" i="13"/>
  <c r="AA21" i="12"/>
  <c r="F21" i="12"/>
  <c r="A21" i="12"/>
  <c r="W31" i="12"/>
  <c r="G31" i="12"/>
  <c r="D49" i="16"/>
  <c r="C33" i="13"/>
  <c r="C44" i="16"/>
  <c r="A40" i="13"/>
  <c r="A51" i="16"/>
  <c r="H18" i="12"/>
  <c r="X18" i="12"/>
  <c r="B70" i="13"/>
  <c r="B81" i="16"/>
  <c r="C84" i="16"/>
  <c r="C73" i="13"/>
  <c r="A46" i="16"/>
  <c r="A35" i="13"/>
  <c r="AG30" i="12"/>
  <c r="G65" i="14" s="1"/>
  <c r="I33" i="12"/>
  <c r="A68" i="15"/>
  <c r="A78" i="14"/>
  <c r="B71" i="13"/>
  <c r="B82" i="16"/>
  <c r="A40" i="14"/>
  <c r="C65" i="16"/>
  <c r="C54" i="13"/>
  <c r="K21" i="3"/>
  <c r="D21" i="12" s="1"/>
  <c r="T31" i="12"/>
  <c r="F31" i="12"/>
  <c r="A31" i="12"/>
  <c r="F34" i="12"/>
  <c r="A34" i="12"/>
  <c r="C29" i="13"/>
  <c r="C40" i="16"/>
  <c r="T43" i="12"/>
  <c r="F43" i="12"/>
  <c r="A43" i="12"/>
  <c r="B29" i="13"/>
  <c r="B40" i="16"/>
  <c r="T28" i="12"/>
  <c r="F28" i="12"/>
  <c r="T40" i="12"/>
  <c r="F40" i="12"/>
  <c r="D29" i="13"/>
  <c r="D40" i="16"/>
  <c r="E65" i="16"/>
  <c r="E54" i="13"/>
  <c r="A62" i="15"/>
  <c r="A37" i="15"/>
  <c r="A47" i="14"/>
  <c r="D66" i="13"/>
  <c r="D77" i="16"/>
  <c r="W19" i="12"/>
  <c r="G19" i="12"/>
  <c r="K40" i="3"/>
  <c r="D40" i="12" s="1"/>
  <c r="X41" i="12"/>
  <c r="B28" i="13"/>
  <c r="C34" i="13"/>
  <c r="C45" i="16"/>
  <c r="H28" i="12"/>
  <c r="C34" i="12"/>
  <c r="A55" i="14"/>
  <c r="B29" i="15"/>
  <c r="G13" i="3"/>
  <c r="G16" i="3"/>
  <c r="G19" i="3"/>
  <c r="K31" i="3"/>
  <c r="D31" i="12" s="1"/>
  <c r="A72" i="13"/>
  <c r="A83" i="16"/>
  <c r="D45" i="13"/>
  <c r="D56" i="16"/>
  <c r="T26" i="12"/>
  <c r="I28" i="12"/>
  <c r="G32" i="12"/>
  <c r="A40" i="12"/>
  <c r="E28" i="13"/>
  <c r="E36" i="13"/>
  <c r="B63" i="14"/>
  <c r="C66" i="13"/>
  <c r="C77" i="16"/>
  <c r="D32" i="13"/>
  <c r="D43" i="16"/>
  <c r="X9" i="12"/>
  <c r="W22" i="12"/>
  <c r="B78" i="14"/>
  <c r="A50" i="15"/>
  <c r="B80" i="16"/>
  <c r="G4" i="3"/>
  <c r="E32" i="13"/>
  <c r="E43" i="16"/>
  <c r="A54" i="15"/>
  <c r="A64" i="14"/>
  <c r="T32" i="12"/>
  <c r="F32" i="12"/>
  <c r="A60" i="13"/>
  <c r="A71" i="16"/>
  <c r="A28" i="13"/>
  <c r="A39" i="16"/>
  <c r="X22" i="12"/>
  <c r="C72" i="13"/>
  <c r="B56" i="16"/>
  <c r="K13" i="3"/>
  <c r="D13" i="12" s="1"/>
  <c r="T34" i="12"/>
  <c r="B43" i="12"/>
  <c r="K43" i="3"/>
  <c r="D43" i="12" s="1"/>
  <c r="U23" i="12"/>
  <c r="G23" i="3"/>
  <c r="B47" i="15"/>
  <c r="B57" i="14"/>
  <c r="D55" i="13"/>
  <c r="A32" i="15"/>
  <c r="B51" i="15"/>
  <c r="A81" i="16"/>
  <c r="K4" i="3"/>
  <c r="D4" i="12" s="1"/>
  <c r="A52" i="14"/>
  <c r="A42" i="15"/>
  <c r="T20" i="12"/>
  <c r="F20" i="12"/>
  <c r="AA28" i="12"/>
  <c r="W32" i="12"/>
  <c r="G44" i="12"/>
  <c r="W47" i="12"/>
  <c r="G47" i="12"/>
  <c r="V35" i="12"/>
  <c r="G35" i="3"/>
  <c r="X6" i="12"/>
  <c r="C55" i="13"/>
  <c r="K10" i="3"/>
  <c r="D10" i="12" s="1"/>
  <c r="AC32" i="12"/>
  <c r="Y32" i="12"/>
  <c r="F57" i="13" s="1"/>
  <c r="T11" i="12"/>
  <c r="F11" i="12"/>
  <c r="W23" i="12"/>
  <c r="G23" i="12"/>
  <c r="F17" i="12"/>
  <c r="A25" i="12"/>
  <c r="AA32" i="12"/>
  <c r="G29" i="3"/>
  <c r="U29" i="12"/>
  <c r="B55" i="15"/>
  <c r="B65" i="14"/>
  <c r="B72" i="15"/>
  <c r="B72" i="13"/>
  <c r="B83" i="16"/>
  <c r="G7" i="3"/>
  <c r="F26" i="12"/>
  <c r="A26" i="12"/>
  <c r="K19" i="3"/>
  <c r="D19" i="12" s="1"/>
  <c r="G47" i="3"/>
  <c r="V20" i="12"/>
  <c r="G20" i="3"/>
  <c r="A8" i="12"/>
  <c r="AA8" i="12"/>
  <c r="AA11" i="12"/>
  <c r="G8" i="3"/>
  <c r="W11" i="12"/>
  <c r="G11" i="12"/>
  <c r="K35" i="3"/>
  <c r="D35" i="12" s="1"/>
  <c r="T48" i="12"/>
  <c r="F48" i="12"/>
  <c r="T8" i="12"/>
  <c r="A29" i="12"/>
  <c r="AA34" i="12"/>
  <c r="D71" i="16"/>
  <c r="F12" i="12"/>
  <c r="F36" i="12"/>
  <c r="F44" i="12"/>
  <c r="B41" i="14"/>
  <c r="A4" i="12"/>
  <c r="A15" i="12"/>
  <c r="A23" i="12"/>
  <c r="A35" i="12"/>
  <c r="A39" i="12"/>
  <c r="A47" i="12"/>
  <c r="B15" i="12"/>
  <c r="B47" i="12"/>
  <c r="F15" i="12"/>
  <c r="F23" i="12"/>
  <c r="F35" i="12"/>
  <c r="F39" i="12"/>
  <c r="F47" i="12"/>
  <c r="G27" i="12"/>
  <c r="G35" i="12"/>
  <c r="A38" i="12"/>
  <c r="A42" i="12"/>
  <c r="D34" i="13" l="1"/>
  <c r="D45" i="16"/>
  <c r="C45" i="13"/>
  <c r="C56" i="16"/>
  <c r="C55" i="15"/>
  <c r="C65" i="14"/>
  <c r="AD30" i="12"/>
  <c r="D65" i="14" s="1"/>
  <c r="AE30" i="12"/>
  <c r="E65" i="14" s="1"/>
  <c r="AC43" i="12"/>
  <c r="Y43" i="12"/>
  <c r="F68" i="13" s="1"/>
  <c r="E84" i="16"/>
  <c r="E73" i="13"/>
  <c r="A58" i="15"/>
  <c r="A68" i="14"/>
  <c r="A57" i="13"/>
  <c r="A68" i="16"/>
  <c r="AC8" i="12"/>
  <c r="Y8" i="12"/>
  <c r="F33" i="13" s="1"/>
  <c r="A36" i="15"/>
  <c r="A46" i="14"/>
  <c r="C58" i="15"/>
  <c r="AE33" i="12"/>
  <c r="E68" i="14" s="1"/>
  <c r="AD33" i="12"/>
  <c r="D68" i="14" s="1"/>
  <c r="C68" i="14"/>
  <c r="D64" i="13"/>
  <c r="D75" i="16"/>
  <c r="B64" i="16"/>
  <c r="B53" i="13"/>
  <c r="AC15" i="12"/>
  <c r="Y15" i="12"/>
  <c r="F40" i="13" s="1"/>
  <c r="D76" i="16"/>
  <c r="D65" i="13"/>
  <c r="A58" i="16"/>
  <c r="A47" i="13"/>
  <c r="AE41" i="12"/>
  <c r="E76" i="14" s="1"/>
  <c r="AD41" i="12"/>
  <c r="D76" i="14" s="1"/>
  <c r="C66" i="15"/>
  <c r="C76" i="14"/>
  <c r="AC9" i="12"/>
  <c r="Y9" i="12"/>
  <c r="F34" i="13" s="1"/>
  <c r="A33" i="15"/>
  <c r="A43" i="14"/>
  <c r="AC21" i="12"/>
  <c r="Y21" i="12"/>
  <c r="F46" i="13" s="1"/>
  <c r="E38" i="16"/>
  <c r="E27" i="13"/>
  <c r="AC5" i="12"/>
  <c r="Y5" i="12"/>
  <c r="F30" i="13" s="1"/>
  <c r="AC48" i="12"/>
  <c r="Y48" i="12"/>
  <c r="F73" i="13" s="1"/>
  <c r="B59" i="16"/>
  <c r="B48" i="13"/>
  <c r="A51" i="13"/>
  <c r="A62" i="16"/>
  <c r="B40" i="13"/>
  <c r="B51" i="16"/>
  <c r="A47" i="15"/>
  <c r="A57" i="14"/>
  <c r="Y34" i="12"/>
  <c r="F59" i="13" s="1"/>
  <c r="AC34" i="12"/>
  <c r="D70" i="16"/>
  <c r="D59" i="13"/>
  <c r="A49" i="15"/>
  <c r="A59" i="14"/>
  <c r="AC45" i="12"/>
  <c r="Y45" i="12"/>
  <c r="F70" i="13" s="1"/>
  <c r="A84" i="14"/>
  <c r="A74" i="15"/>
  <c r="D51" i="16"/>
  <c r="D40" i="13"/>
  <c r="AC28" i="12"/>
  <c r="Y28" i="12"/>
  <c r="F53" i="13" s="1"/>
  <c r="AD26" i="12"/>
  <c r="D61" i="14" s="1"/>
  <c r="AE26" i="12"/>
  <c r="E61" i="14" s="1"/>
  <c r="C51" i="15"/>
  <c r="C61" i="14"/>
  <c r="A48" i="14"/>
  <c r="A38" i="15"/>
  <c r="A44" i="15"/>
  <c r="A54" i="14"/>
  <c r="A69" i="16"/>
  <c r="A58" i="13"/>
  <c r="AE44" i="12"/>
  <c r="E79" i="14" s="1"/>
  <c r="AD44" i="12"/>
  <c r="D79" i="14" s="1"/>
  <c r="C79" i="14"/>
  <c r="C69" i="15"/>
  <c r="D84" i="16"/>
  <c r="D73" i="13"/>
  <c r="A45" i="16"/>
  <c r="A34" i="13"/>
  <c r="B42" i="16"/>
  <c r="B31" i="13"/>
  <c r="C43" i="15"/>
  <c r="AD18" i="12"/>
  <c r="D53" i="14" s="1"/>
  <c r="AE18" i="12"/>
  <c r="E53" i="14" s="1"/>
  <c r="C53" i="14"/>
  <c r="D47" i="16"/>
  <c r="D36" i="13"/>
  <c r="A82" i="16"/>
  <c r="A71" i="13"/>
  <c r="AC12" i="12"/>
  <c r="Y12" i="12"/>
  <c r="F37" i="13" s="1"/>
  <c r="Y39" i="12"/>
  <c r="F64" i="13" s="1"/>
  <c r="AC39" i="12"/>
  <c r="A45" i="13"/>
  <c r="A56" i="16"/>
  <c r="AD14" i="12"/>
  <c r="D49" i="14" s="1"/>
  <c r="C49" i="14"/>
  <c r="AE14" i="12"/>
  <c r="E49" i="14" s="1"/>
  <c r="C39" i="15"/>
  <c r="A44" i="13"/>
  <c r="A55" i="16"/>
  <c r="E78" i="16"/>
  <c r="E67" i="13"/>
  <c r="Y23" i="12"/>
  <c r="F48" i="13" s="1"/>
  <c r="AC23" i="12"/>
  <c r="A63" i="16"/>
  <c r="A52" i="13"/>
  <c r="A57" i="15"/>
  <c r="A67" i="14"/>
  <c r="A52" i="16"/>
  <c r="A41" i="13"/>
  <c r="AC40" i="12"/>
  <c r="Y40" i="12"/>
  <c r="F65" i="13" s="1"/>
  <c r="B63" i="16"/>
  <c r="B52" i="13"/>
  <c r="A34" i="15"/>
  <c r="A44" i="14"/>
  <c r="A66" i="16"/>
  <c r="A55" i="13"/>
  <c r="D68" i="16"/>
  <c r="D57" i="13"/>
  <c r="Y47" i="12"/>
  <c r="F72" i="13" s="1"/>
  <c r="AC47" i="12"/>
  <c r="D30" i="13"/>
  <c r="D41" i="16"/>
  <c r="AC36" i="12"/>
  <c r="Y36" i="12"/>
  <c r="F61" i="13" s="1"/>
  <c r="A51" i="14"/>
  <c r="A41" i="15"/>
  <c r="AC25" i="12"/>
  <c r="Y25" i="12"/>
  <c r="F50" i="13" s="1"/>
  <c r="AC27" i="12"/>
  <c r="Y27" i="12"/>
  <c r="F52" i="13" s="1"/>
  <c r="A55" i="15"/>
  <c r="A65" i="14"/>
  <c r="AC31" i="12"/>
  <c r="Y31" i="12"/>
  <c r="F56" i="13" s="1"/>
  <c r="E66" i="13"/>
  <c r="E77" i="16"/>
  <c r="A53" i="15"/>
  <c r="A63" i="14"/>
  <c r="B57" i="16"/>
  <c r="B46" i="13"/>
  <c r="A54" i="16"/>
  <c r="A43" i="13"/>
  <c r="E43" i="13"/>
  <c r="E54" i="16"/>
  <c r="A64" i="16"/>
  <c r="A53" i="13"/>
  <c r="AE2" i="12"/>
  <c r="E37" i="14" s="1"/>
  <c r="C37" i="14"/>
  <c r="AD2" i="12"/>
  <c r="D37" i="14" s="1"/>
  <c r="C27" i="15"/>
  <c r="A56" i="13"/>
  <c r="A67" i="16"/>
  <c r="E72" i="16"/>
  <c r="E61" i="13"/>
  <c r="B58" i="16"/>
  <c r="B47" i="13"/>
  <c r="AE17" i="12"/>
  <c r="E52" i="14" s="1"/>
  <c r="AD17" i="12"/>
  <c r="D52" i="14" s="1"/>
  <c r="C42" i="15"/>
  <c r="C52" i="14"/>
  <c r="A43" i="15"/>
  <c r="A53" i="14"/>
  <c r="D64" i="16"/>
  <c r="D53" i="13"/>
  <c r="AC24" i="12"/>
  <c r="Y24" i="12"/>
  <c r="F49" i="13" s="1"/>
  <c r="D50" i="13"/>
  <c r="D61" i="16"/>
  <c r="A70" i="16"/>
  <c r="A59" i="13"/>
  <c r="A62" i="14"/>
  <c r="A52" i="15"/>
  <c r="A69" i="14"/>
  <c r="A59" i="15"/>
  <c r="D60" i="16"/>
  <c r="D49" i="13"/>
  <c r="C71" i="16"/>
  <c r="C60" i="13"/>
  <c r="D78" i="16"/>
  <c r="D67" i="13"/>
  <c r="D83" i="16"/>
  <c r="D72" i="13"/>
  <c r="AC4" i="12"/>
  <c r="Y4" i="12"/>
  <c r="F29" i="13" s="1"/>
  <c r="C56" i="13"/>
  <c r="C67" i="16"/>
  <c r="C70" i="16"/>
  <c r="C59" i="13"/>
  <c r="D47" i="13"/>
  <c r="D58" i="16"/>
  <c r="E30" i="13"/>
  <c r="E41" i="16"/>
  <c r="B63" i="13"/>
  <c r="B74" i="16"/>
  <c r="B54" i="13"/>
  <c r="B65" i="16"/>
  <c r="E70" i="13"/>
  <c r="E81" i="16"/>
  <c r="AC29" i="12"/>
  <c r="Y29" i="12"/>
  <c r="F54" i="13" s="1"/>
  <c r="A65" i="13"/>
  <c r="A76" i="16"/>
  <c r="AC6" i="12"/>
  <c r="Y6" i="12"/>
  <c r="F31" i="13" s="1"/>
  <c r="D59" i="16"/>
  <c r="D48" i="13"/>
  <c r="A47" i="16"/>
  <c r="A36" i="13"/>
  <c r="A79" i="16"/>
  <c r="A68" i="13"/>
  <c r="D56" i="13"/>
  <c r="D67" i="16"/>
  <c r="Y19" i="12"/>
  <c r="F44" i="13" s="1"/>
  <c r="AC19" i="12"/>
  <c r="AE32" i="12"/>
  <c r="E67" i="14" s="1"/>
  <c r="AD32" i="12"/>
  <c r="D67" i="14" s="1"/>
  <c r="C57" i="15"/>
  <c r="C67" i="14"/>
  <c r="AC16" i="12"/>
  <c r="Y16" i="12"/>
  <c r="F41" i="13" s="1"/>
  <c r="D43" i="13"/>
  <c r="D54" i="16"/>
  <c r="AC37" i="12"/>
  <c r="Y37" i="12"/>
  <c r="F62" i="13" s="1"/>
  <c r="Y35" i="12"/>
  <c r="F60" i="13" s="1"/>
  <c r="AC35" i="12"/>
  <c r="E44" i="16"/>
  <c r="E33" i="13"/>
  <c r="Y22" i="12"/>
  <c r="F47" i="13" s="1"/>
  <c r="AC22" i="12"/>
  <c r="D44" i="13"/>
  <c r="D55" i="16"/>
  <c r="E34" i="13"/>
  <c r="E45" i="16"/>
  <c r="Y7" i="12"/>
  <c r="F32" i="13" s="1"/>
  <c r="AC7" i="12"/>
  <c r="Y42" i="12"/>
  <c r="F67" i="13" s="1"/>
  <c r="AC42" i="12"/>
  <c r="A60" i="16"/>
  <c r="A49" i="13"/>
  <c r="B60" i="16"/>
  <c r="B49" i="13"/>
  <c r="AC38" i="12"/>
  <c r="Y38" i="12"/>
  <c r="F63" i="13" s="1"/>
  <c r="B65" i="13"/>
  <c r="B76" i="16"/>
  <c r="B50" i="13"/>
  <c r="B61" i="16"/>
  <c r="A33" i="13"/>
  <c r="A44" i="16"/>
  <c r="D79" i="16"/>
  <c r="D68" i="13"/>
  <c r="AC13" i="12"/>
  <c r="Y13" i="12"/>
  <c r="F38" i="13" s="1"/>
  <c r="A46" i="15"/>
  <c r="A56" i="14"/>
  <c r="AC3" i="12"/>
  <c r="Y3" i="12"/>
  <c r="F28" i="13" s="1"/>
  <c r="A84" i="16"/>
  <c r="A73" i="13"/>
  <c r="C28" i="13"/>
  <c r="C39" i="16"/>
  <c r="AC20" i="12"/>
  <c r="Y20" i="12"/>
  <c r="F45" i="13" s="1"/>
  <c r="D61" i="13"/>
  <c r="D72" i="16"/>
  <c r="E70" i="16"/>
  <c r="E59" i="13"/>
  <c r="AC49" i="12"/>
  <c r="Y49" i="12"/>
  <c r="F74" i="13" s="1"/>
  <c r="A85" i="16"/>
  <c r="A74" i="13"/>
  <c r="D70" i="13"/>
  <c r="D81" i="16"/>
  <c r="E47" i="13"/>
  <c r="E58" i="16"/>
  <c r="E31" i="13"/>
  <c r="E42" i="16"/>
  <c r="C42" i="14" l="1"/>
  <c r="C32" i="15"/>
  <c r="AE7" i="12"/>
  <c r="E42" i="14" s="1"/>
  <c r="AD7" i="12"/>
  <c r="D42" i="14" s="1"/>
  <c r="AD42" i="12"/>
  <c r="D77" i="14" s="1"/>
  <c r="C77" i="14"/>
  <c r="C67" i="15"/>
  <c r="AE42" i="12"/>
  <c r="E77" i="14" s="1"/>
  <c r="AE20" i="12"/>
  <c r="E55" i="14" s="1"/>
  <c r="AD20" i="12"/>
  <c r="D55" i="14" s="1"/>
  <c r="C55" i="14"/>
  <c r="C45" i="15"/>
  <c r="C48" i="15"/>
  <c r="C58" i="14"/>
  <c r="AE23" i="12"/>
  <c r="E58" i="14" s="1"/>
  <c r="AD23" i="12"/>
  <c r="D58" i="14" s="1"/>
  <c r="C66" i="14"/>
  <c r="C56" i="15"/>
  <c r="AD31" i="12"/>
  <c r="D66" i="14" s="1"/>
  <c r="AE31" i="12"/>
  <c r="E66" i="14" s="1"/>
  <c r="AE24" i="12"/>
  <c r="E59" i="14" s="1"/>
  <c r="AD24" i="12"/>
  <c r="D59" i="14" s="1"/>
  <c r="C49" i="15"/>
  <c r="C59" i="14"/>
  <c r="C43" i="14"/>
  <c r="AE8" i="12"/>
  <c r="E43" i="14" s="1"/>
  <c r="C33" i="15"/>
  <c r="AD8" i="12"/>
  <c r="D43" i="14" s="1"/>
  <c r="C30" i="15"/>
  <c r="C40" i="14"/>
  <c r="AE5" i="12"/>
  <c r="E40" i="14" s="1"/>
  <c r="AD5" i="12"/>
  <c r="D40" i="14" s="1"/>
  <c r="AD6" i="12"/>
  <c r="D41" i="14" s="1"/>
  <c r="AE6" i="12"/>
  <c r="E41" i="14" s="1"/>
  <c r="C41" i="14"/>
  <c r="C31" i="15"/>
  <c r="C50" i="14"/>
  <c r="AD15" i="12"/>
  <c r="D50" i="14" s="1"/>
  <c r="C40" i="15"/>
  <c r="AE15" i="12"/>
  <c r="E50" i="14" s="1"/>
  <c r="AE40" i="12"/>
  <c r="E75" i="14" s="1"/>
  <c r="AD40" i="12"/>
  <c r="D75" i="14" s="1"/>
  <c r="C75" i="14"/>
  <c r="C65" i="15"/>
  <c r="C70" i="14"/>
  <c r="AE35" i="12"/>
  <c r="E70" i="14" s="1"/>
  <c r="AD35" i="12"/>
  <c r="D70" i="14" s="1"/>
  <c r="C60" i="15"/>
  <c r="C68" i="15"/>
  <c r="C78" i="14"/>
  <c r="AE43" i="12"/>
  <c r="E78" i="14" s="1"/>
  <c r="AD43" i="12"/>
  <c r="D78" i="14" s="1"/>
  <c r="C47" i="15"/>
  <c r="C57" i="14"/>
  <c r="AD22" i="12"/>
  <c r="D57" i="14" s="1"/>
  <c r="AE22" i="12"/>
  <c r="E57" i="14" s="1"/>
  <c r="AE37" i="12"/>
  <c r="E72" i="14" s="1"/>
  <c r="AD37" i="12"/>
  <c r="D72" i="14" s="1"/>
  <c r="C72" i="14"/>
  <c r="C62" i="15"/>
  <c r="AE29" i="12"/>
  <c r="E64" i="14" s="1"/>
  <c r="AD29" i="12"/>
  <c r="D64" i="14" s="1"/>
  <c r="C54" i="15"/>
  <c r="C64" i="14"/>
  <c r="C34" i="15"/>
  <c r="AE9" i="12"/>
  <c r="E44" i="14" s="1"/>
  <c r="AD9" i="12"/>
  <c r="D44" i="14" s="1"/>
  <c r="C44" i="14"/>
  <c r="C69" i="14"/>
  <c r="AD34" i="12"/>
  <c r="D69" i="14" s="1"/>
  <c r="C59" i="15"/>
  <c r="AE34" i="12"/>
  <c r="E69" i="14" s="1"/>
  <c r="C84" i="14"/>
  <c r="AE49" i="12"/>
  <c r="E84" i="14" s="1"/>
  <c r="AD49" i="12"/>
  <c r="D84" i="14" s="1"/>
  <c r="C74" i="15"/>
  <c r="C38" i="14"/>
  <c r="AD3" i="12"/>
  <c r="D38" i="14" s="1"/>
  <c r="C28" i="15"/>
  <c r="AE3" i="12"/>
  <c r="E38" i="14" s="1"/>
  <c r="C52" i="15"/>
  <c r="AE27" i="12"/>
  <c r="E62" i="14" s="1"/>
  <c r="AD27" i="12"/>
  <c r="D62" i="14" s="1"/>
  <c r="C62" i="14"/>
  <c r="AE25" i="12"/>
  <c r="E60" i="14" s="1"/>
  <c r="AD25" i="12"/>
  <c r="D60" i="14" s="1"/>
  <c r="C60" i="14"/>
  <c r="C50" i="15"/>
  <c r="C74" i="14"/>
  <c r="C64" i="15"/>
  <c r="AD39" i="12"/>
  <c r="D74" i="14" s="1"/>
  <c r="AE39" i="12"/>
  <c r="E74" i="14" s="1"/>
  <c r="C82" i="14"/>
  <c r="C72" i="15"/>
  <c r="AE47" i="12"/>
  <c r="E82" i="14" s="1"/>
  <c r="AD47" i="12"/>
  <c r="D82" i="14" s="1"/>
  <c r="AE12" i="12"/>
  <c r="E47" i="14" s="1"/>
  <c r="AD12" i="12"/>
  <c r="D47" i="14" s="1"/>
  <c r="C37" i="15"/>
  <c r="C47" i="14"/>
  <c r="AE48" i="12"/>
  <c r="E83" i="14" s="1"/>
  <c r="AD48" i="12"/>
  <c r="D83" i="14" s="1"/>
  <c r="C83" i="14"/>
  <c r="C73" i="15"/>
  <c r="AE16" i="12"/>
  <c r="E51" i="14" s="1"/>
  <c r="AD16" i="12"/>
  <c r="D51" i="14" s="1"/>
  <c r="C51" i="14"/>
  <c r="C41" i="15"/>
  <c r="C29" i="15"/>
  <c r="AE4" i="12"/>
  <c r="E39" i="14" s="1"/>
  <c r="AD4" i="12"/>
  <c r="D39" i="14" s="1"/>
  <c r="C39" i="14"/>
  <c r="C48" i="14"/>
  <c r="AE13" i="12"/>
  <c r="E48" i="14" s="1"/>
  <c r="AD13" i="12"/>
  <c r="D48" i="14" s="1"/>
  <c r="C38" i="15"/>
  <c r="C46" i="15"/>
  <c r="AE21" i="12"/>
  <c r="E56" i="14" s="1"/>
  <c r="AD21" i="12"/>
  <c r="D56" i="14" s="1"/>
  <c r="C56" i="14"/>
  <c r="AE36" i="12"/>
  <c r="E71" i="14" s="1"/>
  <c r="AD36" i="12"/>
  <c r="D71" i="14" s="1"/>
  <c r="C71" i="14"/>
  <c r="C61" i="15"/>
  <c r="AE28" i="12"/>
  <c r="E63" i="14" s="1"/>
  <c r="AD28" i="12"/>
  <c r="D63" i="14" s="1"/>
  <c r="C53" i="15"/>
  <c r="C63" i="14"/>
  <c r="C44" i="15"/>
  <c r="AE19" i="12"/>
  <c r="E54" i="14" s="1"/>
  <c r="AD19" i="12"/>
  <c r="D54" i="14" s="1"/>
  <c r="C54" i="14"/>
  <c r="AD38" i="12"/>
  <c r="D73" i="14" s="1"/>
  <c r="C63" i="15"/>
  <c r="C73" i="14"/>
  <c r="AE38" i="12"/>
  <c r="E73" i="14" s="1"/>
  <c r="C80" i="14"/>
  <c r="AE45" i="12"/>
  <c r="E80" i="14" s="1"/>
  <c r="AD45" i="12"/>
  <c r="D80" i="14" s="1"/>
  <c r="C70" i="15"/>
</calcChain>
</file>

<file path=xl/sharedStrings.xml><?xml version="1.0" encoding="utf-8"?>
<sst xmlns="http://schemas.openxmlformats.org/spreadsheetml/2006/main" count="754" uniqueCount="244">
  <si>
    <t>README</t>
  </si>
  <si>
    <t>Data behind the TR1 rolling-dispatch figures (SOC, demand/PV/dispatch, net, self-consumption, metrics histogram).</t>
  </si>
  <si>
    <t>Each quantity sheet: rows = 48 half-hour periods (with hour of day), columns = prosumers, plus fleet_average / fleet_total.</t>
  </si>
  <si>
    <t>Dispatch is the committed slot-1 execution of the rolling horizon (self-consumption baseline, Term 2 + Term 3).</t>
  </si>
  <si>
    <t>SOC is the realised state at the START of each step (fraction of capacity).</t>
  </si>
  <si>
    <t>net_kW = (demand - PV) + (charge - discharge); positive = import, negative = export.</t>
  </si>
  <si>
    <t>Regenerate: python build_workbook.py --force   (see README.md for other transformers).</t>
  </si>
  <si>
    <t>quantity</t>
  </si>
  <si>
    <t>value</t>
  </si>
  <si>
    <t>run</t>
  </si>
  <si>
    <t>TR1 exact-QCP rolling (FOR_PolyS=0, FOR_LinearizeVmax=0), 48 steps, all Optimal</t>
  </si>
  <si>
    <t>source dispatch</t>
  </si>
  <si>
    <t>FOR_rolling_soc_TR1.csv</t>
  </si>
  <si>
    <t>source load/PV</t>
  </si>
  <si>
    <t>TR1_load_PV_48periods.xlsx</t>
  </si>
  <si>
    <t>prosumers</t>
  </si>
  <si>
    <t>PV generated kWh/day</t>
  </si>
  <si>
    <t>demand kWh/day</t>
  </si>
  <si>
    <t>exported kWh/day</t>
  </si>
  <si>
    <t>imported kWh/day</t>
  </si>
  <si>
    <t>SCR % (PV used locally)</t>
  </si>
  <si>
    <t>SSR % (demand met locally)</t>
  </si>
  <si>
    <t>prosumer-periods |net|&lt;50W %</t>
  </si>
  <si>
    <t>SOC min/max over day</t>
  </si>
  <si>
    <t>0.10 / 1.00</t>
  </si>
  <si>
    <t>simultaneous chg+dis rows</t>
  </si>
  <si>
    <t>period</t>
  </si>
  <si>
    <t>hour</t>
  </si>
  <si>
    <t>demand_avg_kW</t>
  </si>
  <si>
    <t>PV_avg_kW</t>
  </si>
  <si>
    <t>charge_avg_kW</t>
  </si>
  <si>
    <t>discharge_avg_kW</t>
  </si>
  <si>
    <t>net_avg_kW</t>
  </si>
  <si>
    <t>SOC_avg_pct</t>
  </si>
  <si>
    <t>demand_total_kW</t>
  </si>
  <si>
    <t>PV_total_kW</t>
  </si>
  <si>
    <t>net_total_kW</t>
  </si>
  <si>
    <t>BES_TR1_one223_B</t>
  </si>
  <si>
    <t>BES_TR1_one313_A</t>
  </si>
  <si>
    <t>BES_TR1_one320_B</t>
  </si>
  <si>
    <t>BES_TR1_one321_C</t>
  </si>
  <si>
    <t>BES_TR1_one346_C</t>
  </si>
  <si>
    <t>BES_TR1_one366_B</t>
  </si>
  <si>
    <t>BES_TR1_one375_C</t>
  </si>
  <si>
    <t>BES_TR1_one410_B</t>
  </si>
  <si>
    <t>BES_TR1_one50_A</t>
  </si>
  <si>
    <t>BES_TR1_one423_B</t>
  </si>
  <si>
    <t>BES_TR1_one469_A</t>
  </si>
  <si>
    <t>BES_TR1_one480_A</t>
  </si>
  <si>
    <t>BES_TR1_one482_B</t>
  </si>
  <si>
    <t>BES_TR1_one521_C</t>
  </si>
  <si>
    <t>BES_TR1_one528_C</t>
  </si>
  <si>
    <t>BES_TR1_one537_A</t>
  </si>
  <si>
    <t>BES_TR1_one61_A</t>
  </si>
  <si>
    <t>BES_TR1_one544_A</t>
  </si>
  <si>
    <t>BES_TR1_one552_B</t>
  </si>
  <si>
    <t>BES_TR1_one559_C</t>
  </si>
  <si>
    <t>BES_TR1_one560_C</t>
  </si>
  <si>
    <t>BES_TR1_one605_A</t>
  </si>
  <si>
    <t>BES_TR1_one617_A</t>
  </si>
  <si>
    <t>BES_TR1_one73_A</t>
  </si>
  <si>
    <t>BES_TR1_one76_A</t>
  </si>
  <si>
    <t>BES_TR1_six64_A</t>
  </si>
  <si>
    <t>BES_TR1_six154_C</t>
  </si>
  <si>
    <t>BES_TR1_six173_C</t>
  </si>
  <si>
    <t>BES_TR1_six186_A</t>
  </si>
  <si>
    <t>BES_TR1_six191_B</t>
  </si>
  <si>
    <t>BES_TR1_six249_B</t>
  </si>
  <si>
    <t>BES_TR1_six254_B</t>
  </si>
  <si>
    <t>BES_TR1_six269_C</t>
  </si>
  <si>
    <t>BES_TR1_six68_C</t>
  </si>
  <si>
    <t>BES_TR1_six289_C</t>
  </si>
  <si>
    <t>BES_TR1_six317_C</t>
  </si>
  <si>
    <t>BES_TR1_six326_A</t>
  </si>
  <si>
    <t>BES_TR1_six329_A</t>
  </si>
  <si>
    <t>BES_TR1_six342_A</t>
  </si>
  <si>
    <t>BES_TR1_six349_A</t>
  </si>
  <si>
    <t>BES_TR1_six350_B</t>
  </si>
  <si>
    <t>BES_TR1_six378_A</t>
  </si>
  <si>
    <t>BES_TR1_six75_A</t>
  </si>
  <si>
    <t>BES_TR1_six385_B</t>
  </si>
  <si>
    <t>BES_TR1_six387_A</t>
  </si>
  <si>
    <t>BES_TR1_six410_A</t>
  </si>
  <si>
    <t>BES_TR1_six431_C</t>
  </si>
  <si>
    <t>BES_TR1_six441_A</t>
  </si>
  <si>
    <t>BES_TR1_six484_B</t>
  </si>
  <si>
    <t>BES_TR1_six501_A</t>
  </si>
  <si>
    <t>BES_TR1_six512_B</t>
  </si>
  <si>
    <t>BES_TR1_six518_B</t>
  </si>
  <si>
    <t>BES_TR1_six595_B</t>
  </si>
  <si>
    <t>BES_TR1_six646_B</t>
  </si>
  <si>
    <t>BES_TR1_six699_C</t>
  </si>
  <si>
    <t>BES_TR1_six718_C</t>
  </si>
  <si>
    <t>BES_TR1_six721_A</t>
  </si>
  <si>
    <t>BES_TR1_six723_B</t>
  </si>
  <si>
    <t>BES_TR1_six784_B</t>
  </si>
  <si>
    <t>BES_TR1_six90_B</t>
  </si>
  <si>
    <t>BES_TR1_six807_A</t>
  </si>
  <si>
    <t>BES_TR1_six852_B</t>
  </si>
  <si>
    <t>BES_TR1_six860_C</t>
  </si>
  <si>
    <t>BES_TR1_six869_C</t>
  </si>
  <si>
    <t>BES_TR1_six885_A</t>
  </si>
  <si>
    <t>BES_TR1_six909_C</t>
  </si>
  <si>
    <t>BES_TR1_six105_A</t>
  </si>
  <si>
    <t>BES_TR1_six914_A</t>
  </si>
  <si>
    <t>BES_TR1_six945_C</t>
  </si>
  <si>
    <t>BES_TR1_six952_A</t>
  </si>
  <si>
    <t>BES_TR1_six967_B</t>
  </si>
  <si>
    <t>BES_TR1_six990_B</t>
  </si>
  <si>
    <t>BES_TR1_six1006_C</t>
  </si>
  <si>
    <t>BES_TR1_six1020_A</t>
  </si>
  <si>
    <t>BES_TR1_six1025_B</t>
  </si>
  <si>
    <t>BES_TR1_six1064_C</t>
  </si>
  <si>
    <t>BES_TR1_six128_B</t>
  </si>
  <si>
    <t>fleet_average</t>
  </si>
  <si>
    <t>fleet_total</t>
  </si>
  <si>
    <t>battery</t>
  </si>
  <si>
    <t>bus</t>
  </si>
  <si>
    <t>phase</t>
  </si>
  <si>
    <t>BattMaxP_kW</t>
  </si>
  <si>
    <t>BattEcap_kWh</t>
  </si>
  <si>
    <t>PV_kWh</t>
  </si>
  <si>
    <t>demand_kWh</t>
  </si>
  <si>
    <t>export_kWh</t>
  </si>
  <si>
    <t>import_kWh</t>
  </si>
  <si>
    <t>SCR_pct</t>
  </si>
  <si>
    <t>SSR_pct</t>
  </si>
  <si>
    <t>TR1_one223</t>
  </si>
  <si>
    <t>TR1_one313</t>
  </si>
  <si>
    <t>TR1_one320</t>
  </si>
  <si>
    <t>TR1_one321</t>
  </si>
  <si>
    <t>TR1_one346</t>
  </si>
  <si>
    <t>TR1_one366</t>
  </si>
  <si>
    <t>TR1_one375</t>
  </si>
  <si>
    <t>TR1_one410</t>
  </si>
  <si>
    <t>TR1_one50</t>
  </si>
  <si>
    <t>TR1_one423</t>
  </si>
  <si>
    <t>TR1_one469</t>
  </si>
  <si>
    <t>TR1_one480</t>
  </si>
  <si>
    <t>TR1_one482</t>
  </si>
  <si>
    <t>TR1_one521</t>
  </si>
  <si>
    <t>TR1_one528</t>
  </si>
  <si>
    <t>TR1_one537</t>
  </si>
  <si>
    <t>TR1_one61</t>
  </si>
  <si>
    <t>TR1_one544</t>
  </si>
  <si>
    <t>TR1_one552</t>
  </si>
  <si>
    <t>TR1_one559</t>
  </si>
  <si>
    <t>TR1_one560</t>
  </si>
  <si>
    <t>TR1_one605</t>
  </si>
  <si>
    <t>TR1_one617</t>
  </si>
  <si>
    <t>TR1_one73</t>
  </si>
  <si>
    <t>TR1_one76</t>
  </si>
  <si>
    <t>TR1_six64</t>
  </si>
  <si>
    <t>TR1_six154</t>
  </si>
  <si>
    <t>TR1_six173</t>
  </si>
  <si>
    <t>TR1_six186</t>
  </si>
  <si>
    <t>TR1_six191</t>
  </si>
  <si>
    <t>TR1_six249</t>
  </si>
  <si>
    <t>TR1_six254</t>
  </si>
  <si>
    <t>TR1_six269</t>
  </si>
  <si>
    <t>TR1_six68</t>
  </si>
  <si>
    <t>TR1_six289</t>
  </si>
  <si>
    <t>TR1_six317</t>
  </si>
  <si>
    <t>TR1_six326</t>
  </si>
  <si>
    <t>TR1_six329</t>
  </si>
  <si>
    <t>TR1_six342</t>
  </si>
  <si>
    <t>TR1_six349</t>
  </si>
  <si>
    <t>TR1_six350</t>
  </si>
  <si>
    <t>TR1_six378</t>
  </si>
  <si>
    <t>TR1_six75</t>
  </si>
  <si>
    <t>TR1_six385</t>
  </si>
  <si>
    <t>TR1_six387</t>
  </si>
  <si>
    <t>TR1_six410</t>
  </si>
  <si>
    <t>TR1_six431</t>
  </si>
  <si>
    <t>TR1_six441</t>
  </si>
  <si>
    <t>TR1_six484</t>
  </si>
  <si>
    <t>TR1_six501</t>
  </si>
  <si>
    <t>TR1_six512</t>
  </si>
  <si>
    <t>TR1_six518</t>
  </si>
  <si>
    <t>TR1_six595</t>
  </si>
  <si>
    <t>TR1_six646</t>
  </si>
  <si>
    <t>TR1_six699</t>
  </si>
  <si>
    <t>TR1_six718</t>
  </si>
  <si>
    <t>TR1_six721</t>
  </si>
  <si>
    <t>TR1_six723</t>
  </si>
  <si>
    <t>TR1_six784</t>
  </si>
  <si>
    <t>TR1_six90</t>
  </si>
  <si>
    <t>TR1_six807</t>
  </si>
  <si>
    <t>TR1_six852</t>
  </si>
  <si>
    <t>TR1_six860</t>
  </si>
  <si>
    <t>TR1_six869</t>
  </si>
  <si>
    <t>TR1_six885</t>
  </si>
  <si>
    <t>TR1_six909</t>
  </si>
  <si>
    <t>TR1_six105</t>
  </si>
  <si>
    <t>TR1_six914</t>
  </si>
  <si>
    <t>TR1_six945</t>
  </si>
  <si>
    <t>TR1_six952</t>
  </si>
  <si>
    <t>TR1_six967</t>
  </si>
  <si>
    <t>TR1_six990</t>
  </si>
  <si>
    <t>TR1_six1006</t>
  </si>
  <si>
    <t>TR1_six1020</t>
  </si>
  <si>
    <t>TR1_six1025</t>
  </si>
  <si>
    <t>TR1_six1064</t>
  </si>
  <si>
    <t>TR1_six128</t>
  </si>
  <si>
    <t>TR1 Rolling Dispatch Analysis</t>
  </si>
  <si>
    <t>Data behind TR1 rolling-dispatch figures: SOC, demand/PV/dispatch, net power, self-consumption, and prosumer metrics.</t>
  </si>
  <si>
    <t>Prosumers</t>
  </si>
  <si>
    <t>PV Generated (kWh/day)</t>
  </si>
  <si>
    <t>Demand (kWh/day)</t>
  </si>
  <si>
    <t>Imported (kWh/day)</t>
  </si>
  <si>
    <t>SCR (%)</t>
  </si>
  <si>
    <t>SSR (%)</t>
  </si>
  <si>
    <t>Notes: positive net power indicates fleet import; negative net power indicates export. SCR and SSR values are stored on a 0-100 percentage scale in the source workbook.</t>
  </si>
  <si>
    <t>Hour</t>
  </si>
  <si>
    <t>Demand total kW</t>
  </si>
  <si>
    <t>PV total kW</t>
  </si>
  <si>
    <t>Net total kW</t>
  </si>
  <si>
    <t>Charge avg kW</t>
  </si>
  <si>
    <t>Discharge avg kW</t>
  </si>
  <si>
    <t>SOC avg %</t>
  </si>
  <si>
    <t>Battery</t>
  </si>
  <si>
    <t>SCR %</t>
  </si>
  <si>
    <t>SSR %</t>
  </si>
  <si>
    <t>Rank</t>
  </si>
  <si>
    <t>Export kWh/day</t>
  </si>
  <si>
    <t>Chart label</t>
  </si>
  <si>
    <t>demand</t>
  </si>
  <si>
    <t>PV generation</t>
  </si>
  <si>
    <t>charging</t>
  </si>
  <si>
    <t>discharging</t>
  </si>
  <si>
    <t>net exchange</t>
  </si>
  <si>
    <t>Net target kW</t>
  </si>
  <si>
    <t>Fleet avg net kW</t>
  </si>
  <si>
    <t>Import only kW</t>
  </si>
  <si>
    <t>Export only kW</t>
  </si>
  <si>
    <t>SOC max %</t>
  </si>
  <si>
    <t>Fleet avg SOC %</t>
  </si>
  <si>
    <t>Legend: very light thin lines = individual prosumers; bold black = fleet-average net; bold muted green = fleet-average SOC; dashed gray targets show net = 0 and SOC max = 100%.</t>
  </si>
  <si>
    <t>Net zero target</t>
  </si>
  <si>
    <t>Fleet average net</t>
  </si>
  <si>
    <t>Demand, PV and battery dispatch -  TR1</t>
  </si>
  <si>
    <t>Demand avg kW</t>
  </si>
  <si>
    <t>PV avg kW</t>
  </si>
  <si>
    <t>Disch. avg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</si>
</sst>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#,##0.000"/>
  </numFmts>
  <fonts count="6" x14ac:knownFonts="1">
    <font>
      <sz val="11"/>
      <color theme="1"/>
      <name val="Calibri"/>
    </font>
    <font>
      <b/>
      <sz val="11"/>
      <color rgb="FFFFFFFF"/>
      <name val="Calibri"/>
    </font>
    <font>
      <sz val="11"/>
      <color rgb="FF172033"/>
      <name val="Calibri"/>
    </font>
    <font>
      <b/>
      <sz val="11"/>
      <color rgb="FF172033"/>
      <name val="Calibri"/>
    </font>
    <font>
      <b/>
      <sz val="18"/>
      <color rgb="FFFFFFFF"/>
      <name val="Calibri"/>
    </font>
    <font>
      <b/>
      <sz val="15"/>
      <color rgb="FF17203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rgb="FFF8FAFC"/>
      </patternFill>
    </fill>
    <fill>
      <patternFill patternType="solid">
        <fgColor rgb="FFEAF2FF"/>
      </patternFill>
    </fill>
    <fill>
      <patternFill patternType="solid">
        <fgColor rgb="FFEAF6EA"/>
      </patternFill>
    </fill>
    <fill>
      <patternFill patternType="solid">
        <fgColor rgb="FFFFF4E0"/>
      </patternFill>
    </fill>
    <fill>
      <patternFill patternType="solid">
        <fgColor rgb="FFFDECEC"/>
      </patternFill>
    </fill>
    <fill>
      <patternFill patternType="solid">
        <fgColor rgb="FFE6F4F3"/>
      </patternFill>
    </fill>
  </fills>
  <borders count="23">
    <border>
      <left/>
      <right/>
      <top/>
      <bottom/>
      <diagonal/>
    </border>
    <border>
      <left style="thin">
        <color rgb="FFC8D3DF"/>
      </left>
      <right style="thin">
        <color rgb="FFC8D3DF"/>
      </right>
      <top/>
      <bottom/>
      <diagonal/>
    </border>
    <border>
      <left style="thin">
        <color rgb="FFC8D3DF"/>
      </left>
      <right style="thin">
        <color rgb="FFC8D3DF"/>
      </right>
      <top/>
      <bottom style="thin">
        <color rgb="FFE5EAF0"/>
      </bottom>
      <diagonal/>
    </border>
    <border>
      <left style="thin">
        <color rgb="FFC8D3DF"/>
      </left>
      <right/>
      <top style="thin">
        <color rgb="FFC8D3DF"/>
      </top>
      <bottom style="thin">
        <color rgb="FFE5EAF0"/>
      </bottom>
      <diagonal/>
    </border>
    <border>
      <left/>
      <right style="thin">
        <color rgb="FFC8D3DF"/>
      </right>
      <top style="thin">
        <color rgb="FFC8D3DF"/>
      </top>
      <bottom style="thin">
        <color rgb="FFE5EAF0"/>
      </bottom>
      <diagonal/>
    </border>
    <border>
      <left style="thin">
        <color rgb="FFC8D3DF"/>
      </left>
      <right/>
      <top style="thin">
        <color rgb="FFE5EAF0"/>
      </top>
      <bottom style="thin">
        <color rgb="FFE5EAF0"/>
      </bottom>
      <diagonal/>
    </border>
    <border>
      <left/>
      <right style="thin">
        <color rgb="FFC8D3DF"/>
      </right>
      <top style="thin">
        <color rgb="FFE5EAF0"/>
      </top>
      <bottom style="thin">
        <color rgb="FFE5EAF0"/>
      </bottom>
      <diagonal/>
    </border>
    <border>
      <left style="thin">
        <color rgb="FFC8D3DF"/>
      </left>
      <right/>
      <top style="thin">
        <color rgb="FFE5EAF0"/>
      </top>
      <bottom style="thin">
        <color rgb="FFC8D3DF"/>
      </bottom>
      <diagonal/>
    </border>
    <border>
      <left/>
      <right style="thin">
        <color rgb="FFC8D3DF"/>
      </right>
      <top style="thin">
        <color rgb="FFE5EAF0"/>
      </top>
      <bottom style="thin">
        <color rgb="FFC8D3DF"/>
      </bottom>
      <diagonal/>
    </border>
    <border>
      <left/>
      <right/>
      <top style="thin">
        <color rgb="FFC8D3DF"/>
      </top>
      <bottom style="thin">
        <color rgb="FFE5EAF0"/>
      </bottom>
      <diagonal/>
    </border>
    <border>
      <left/>
      <right/>
      <top style="thin">
        <color rgb="FFE5EAF0"/>
      </top>
      <bottom style="thin">
        <color rgb="FFE5EAF0"/>
      </bottom>
      <diagonal/>
    </border>
    <border>
      <left/>
      <right/>
      <top style="thin">
        <color rgb="FFE5EAF0"/>
      </top>
      <bottom style="thin">
        <color rgb="FFC8D3DF"/>
      </bottom>
      <diagonal/>
    </border>
    <border>
      <left style="thin">
        <color rgb="FFC8D3DF"/>
      </left>
      <right/>
      <top style="thin">
        <color rgb="FFC8D3DF"/>
      </top>
      <bottom/>
      <diagonal/>
    </border>
    <border>
      <left/>
      <right style="thin">
        <color rgb="FFC8D3DF"/>
      </right>
      <top style="thin">
        <color rgb="FFC8D3DF"/>
      </top>
      <bottom/>
      <diagonal/>
    </border>
    <border>
      <left style="thin">
        <color rgb="FFC8D3DF"/>
      </left>
      <right/>
      <top/>
      <bottom style="thin">
        <color rgb="FFC8D3DF"/>
      </bottom>
      <diagonal/>
    </border>
    <border>
      <left/>
      <right style="thin">
        <color rgb="FFC8D3DF"/>
      </right>
      <top/>
      <bottom style="thin">
        <color rgb="FFC8D3DF"/>
      </bottom>
      <diagonal/>
    </border>
    <border>
      <left/>
      <right/>
      <top style="thin">
        <color rgb="FFC8D3DF"/>
      </top>
      <bottom/>
      <diagonal/>
    </border>
    <border>
      <left style="thin">
        <color rgb="FFC8D3DF"/>
      </left>
      <right/>
      <top/>
      <bottom/>
      <diagonal/>
    </border>
    <border>
      <left/>
      <right style="thin">
        <color rgb="FFC8D3DF"/>
      </right>
      <top/>
      <bottom/>
      <diagonal/>
    </border>
    <border>
      <left/>
      <right/>
      <top/>
      <bottom style="thin">
        <color rgb="FFC8D3DF"/>
      </bottom>
      <diagonal/>
    </border>
    <border>
      <left style="thin">
        <color rgb="FFC8D3DF"/>
      </left>
      <right/>
      <top style="thin">
        <color rgb="FFC8D3DF"/>
      </top>
      <bottom style="thin">
        <color rgb="FFC8D3DF"/>
      </bottom>
      <diagonal/>
    </border>
    <border>
      <left/>
      <right/>
      <top style="thin">
        <color rgb="FFC8D3DF"/>
      </top>
      <bottom style="thin">
        <color rgb="FFC8D3DF"/>
      </bottom>
      <diagonal/>
    </border>
    <border>
      <left/>
      <right style="thin">
        <color rgb="FFC8D3DF"/>
      </right>
      <top style="thin">
        <color rgb="FFC8D3DF"/>
      </top>
      <bottom style="thin">
        <color rgb="FFC8D3DF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0" xfId="0" applyNumberFormat="1" applyFont="1" applyFill="1" applyBorder="1" applyAlignment="1">
      <alignment horizontal="left"/>
    </xf>
    <xf numFmtId="0" fontId="2" fillId="3" borderId="1" xfId="0" applyNumberFormat="1" applyFont="1" applyFill="1" applyBorder="1" applyAlignment="1">
      <alignment vertical="top" wrapText="1"/>
    </xf>
    <xf numFmtId="0" fontId="2" fillId="3" borderId="2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vertical="center"/>
    </xf>
    <xf numFmtId="0" fontId="2" fillId="0" borderId="7" xfId="0" applyNumberFormat="1" applyFont="1" applyFill="1" applyBorder="1" applyAlignment="1">
      <alignment vertical="center"/>
    </xf>
    <xf numFmtId="0" fontId="2" fillId="0" borderId="6" xfId="0" applyNumberFormat="1" applyFont="1" applyFill="1" applyBorder="1" applyAlignment="1">
      <alignment vertical="center" wrapText="1"/>
    </xf>
    <xf numFmtId="0" fontId="3" fillId="3" borderId="5" xfId="0" applyNumberFormat="1" applyFont="1" applyFill="1" applyBorder="1" applyAlignment="1">
      <alignment vertical="center"/>
    </xf>
    <xf numFmtId="0" fontId="3" fillId="3" borderId="7" xfId="0" applyNumberFormat="1" applyFont="1" applyFill="1" applyBorder="1" applyAlignment="1">
      <alignment vertical="center"/>
    </xf>
    <xf numFmtId="164" fontId="2" fillId="0" borderId="6" xfId="0" applyNumberFormat="1" applyFont="1" applyFill="1" applyBorder="1" applyAlignment="1">
      <alignment vertical="center"/>
    </xf>
    <xf numFmtId="165" fontId="2" fillId="0" borderId="6" xfId="0" applyNumberFormat="1" applyFont="1" applyFill="1" applyBorder="1" applyAlignment="1">
      <alignment vertical="center"/>
    </xf>
    <xf numFmtId="3" fontId="2" fillId="0" borderId="8" xfId="0" applyNumberFormat="1" applyFont="1" applyFill="1" applyBorder="1" applyAlignment="1">
      <alignment vertical="center"/>
    </xf>
    <xf numFmtId="0" fontId="0" fillId="0" borderId="10" xfId="0" applyNumberFormat="1" applyFont="1" applyFill="1" applyBorder="1"/>
    <xf numFmtId="0" fontId="0" fillId="0" borderId="11" xfId="0" applyNumberFormat="1" applyFont="1" applyFill="1" applyBorder="1"/>
    <xf numFmtId="0" fontId="1" fillId="2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1" fontId="2" fillId="0" borderId="5" xfId="0" applyNumberFormat="1" applyFont="1" applyFill="1" applyBorder="1" applyAlignment="1">
      <alignment vertical="center"/>
    </xf>
    <xf numFmtId="1" fontId="2" fillId="0" borderId="7" xfId="0" applyNumberFormat="1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5" fontId="2" fillId="0" borderId="11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166" fontId="2" fillId="0" borderId="11" xfId="0" applyNumberFormat="1" applyFont="1" applyFill="1" applyBorder="1" applyAlignment="1">
      <alignment vertical="center"/>
    </xf>
    <xf numFmtId="164" fontId="2" fillId="0" borderId="10" xfId="0" applyNumberFormat="1" applyFont="1" applyFill="1" applyBorder="1" applyAlignment="1">
      <alignment vertical="center"/>
    </xf>
    <xf numFmtId="164" fontId="2" fillId="0" borderId="11" xfId="0" applyNumberFormat="1" applyFont="1" applyFill="1" applyBorder="1" applyAlignment="1">
      <alignment vertical="center"/>
    </xf>
    <xf numFmtId="164" fontId="2" fillId="0" borderId="8" xfId="0" applyNumberFormat="1" applyFont="1" applyFill="1" applyBorder="1" applyAlignment="1">
      <alignment vertical="center"/>
    </xf>
    <xf numFmtId="165" fontId="2" fillId="0" borderId="8" xfId="0" applyNumberFormat="1" applyFont="1" applyFill="1" applyBorder="1" applyAlignment="1">
      <alignment vertical="center"/>
    </xf>
    <xf numFmtId="166" fontId="2" fillId="0" borderId="6" xfId="0" applyNumberFormat="1" applyFont="1" applyFill="1" applyBorder="1" applyAlignment="1">
      <alignment vertical="center"/>
    </xf>
    <xf numFmtId="166" fontId="2" fillId="0" borderId="8" xfId="0" applyNumberFormat="1" applyFont="1" applyFill="1" applyBorder="1" applyAlignment="1">
      <alignment vertical="center"/>
    </xf>
    <xf numFmtId="1" fontId="2" fillId="0" borderId="10" xfId="0" applyNumberFormat="1" applyFont="1" applyFill="1" applyBorder="1" applyAlignment="1">
      <alignment vertical="center"/>
    </xf>
    <xf numFmtId="1" fontId="2" fillId="0" borderId="11" xfId="0" applyNumberFormat="1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horizontal="center"/>
    </xf>
    <xf numFmtId="0" fontId="1" fillId="2" borderId="9" xfId="0" applyNumberFormat="1" applyFont="1" applyFill="1" applyBorder="1" applyAlignment="1">
      <alignment horizontal="center"/>
    </xf>
    <xf numFmtId="0" fontId="1" fillId="2" borderId="4" xfId="0" applyNumberFormat="1" applyFont="1" applyFill="1" applyBorder="1" applyAlignment="1">
      <alignment horizontal="center"/>
    </xf>
    <xf numFmtId="165" fontId="0" fillId="0" borderId="5" xfId="0" applyNumberFormat="1" applyFont="1" applyFill="1" applyBorder="1"/>
    <xf numFmtId="165" fontId="0" fillId="0" borderId="7" xfId="0" applyNumberFormat="1" applyFont="1" applyFill="1" applyBorder="1"/>
    <xf numFmtId="164" fontId="0" fillId="0" borderId="10" xfId="0" applyNumberFormat="1" applyFont="1" applyFill="1" applyBorder="1"/>
    <xf numFmtId="164" fontId="0" fillId="0" borderId="6" xfId="0" applyNumberFormat="1" applyFont="1" applyFill="1" applyBorder="1"/>
    <xf numFmtId="164" fontId="0" fillId="0" borderId="11" xfId="0" applyNumberFormat="1" applyFont="1" applyFill="1" applyBorder="1"/>
    <xf numFmtId="164" fontId="0" fillId="0" borderId="8" xfId="0" applyNumberFormat="1" applyFont="1" applyFill="1" applyBorder="1"/>
    <xf numFmtId="166" fontId="0" fillId="0" borderId="10" xfId="0" applyNumberFormat="1" applyFont="1" applyFill="1" applyBorder="1"/>
    <xf numFmtId="166" fontId="0" fillId="0" borderId="11" xfId="0" applyNumberFormat="1" applyFont="1" applyFill="1" applyBorder="1"/>
    <xf numFmtId="165" fontId="0" fillId="0" borderId="6" xfId="0" applyNumberFormat="1" applyFont="1" applyFill="1" applyBorder="1"/>
    <xf numFmtId="165" fontId="0" fillId="0" borderId="8" xfId="0" applyNumberFormat="1" applyFont="1" applyFill="1" applyBorder="1"/>
    <xf numFmtId="165" fontId="0" fillId="0" borderId="10" xfId="0" applyNumberFormat="1" applyFont="1" applyFill="1" applyBorder="1"/>
    <xf numFmtId="165" fontId="0" fillId="0" borderId="11" xfId="0" applyNumberFormat="1" applyFont="1" applyFill="1" applyBorder="1"/>
    <xf numFmtId="1" fontId="0" fillId="0" borderId="5" xfId="0" applyNumberFormat="1" applyFont="1" applyFill="1" applyBorder="1"/>
    <xf numFmtId="1" fontId="0" fillId="0" borderId="7" xfId="0" applyNumberFormat="1" applyFont="1" applyFill="1" applyBorder="1"/>
    <xf numFmtId="166" fontId="0" fillId="0" borderId="6" xfId="0" applyNumberFormat="1" applyFont="1" applyFill="1" applyBorder="1"/>
    <xf numFmtId="166" fontId="0" fillId="0" borderId="8" xfId="0" applyNumberFormat="1" applyFont="1" applyFill="1" applyBorder="1"/>
    <xf numFmtId="0" fontId="2" fillId="0" borderId="6" xfId="0" applyNumberFormat="1" applyFont="1" applyFill="1" applyBorder="1" applyAlignment="1">
      <alignment horizontal="right" vertical="center"/>
    </xf>
    <xf numFmtId="0" fontId="2" fillId="3" borderId="12" xfId="0" applyNumberFormat="1" applyFont="1" applyFill="1" applyBorder="1" applyAlignment="1">
      <alignment vertical="top" wrapText="1"/>
    </xf>
    <xf numFmtId="0" fontId="0" fillId="0" borderId="16" xfId="0" applyNumberFormat="1" applyFont="1" applyFill="1" applyBorder="1"/>
    <xf numFmtId="0" fontId="0" fillId="0" borderId="13" xfId="0" applyNumberFormat="1" applyFont="1" applyFill="1" applyBorder="1"/>
    <xf numFmtId="0" fontId="0" fillId="0" borderId="17" xfId="0" applyNumberFormat="1" applyFont="1" applyFill="1" applyBorder="1"/>
    <xf numFmtId="0" fontId="0" fillId="0" borderId="0" xfId="0" applyNumberFormat="1" applyFont="1" applyFill="1" applyBorder="1"/>
    <xf numFmtId="0" fontId="0" fillId="0" borderId="18" xfId="0" applyNumberFormat="1" applyFont="1" applyFill="1" applyBorder="1"/>
    <xf numFmtId="0" fontId="0" fillId="0" borderId="14" xfId="0" applyNumberFormat="1" applyFont="1" applyFill="1" applyBorder="1"/>
    <xf numFmtId="0" fontId="0" fillId="0" borderId="19" xfId="0" applyNumberFormat="1" applyFont="1" applyFill="1" applyBorder="1"/>
    <xf numFmtId="0" fontId="0" fillId="0" borderId="15" xfId="0" applyNumberFormat="1" applyFont="1" applyFill="1" applyBorder="1"/>
    <xf numFmtId="0" fontId="4" fillId="2" borderId="0" xfId="0" applyNumberFormat="1" applyFont="1" applyFill="1" applyBorder="1" applyAlignment="1">
      <alignment horizontal="left" vertical="center"/>
    </xf>
    <xf numFmtId="0" fontId="0" fillId="0" borderId="0" xfId="0"/>
    <xf numFmtId="0" fontId="2" fillId="3" borderId="0" xfId="0" applyNumberFormat="1" applyFont="1" applyFill="1" applyBorder="1" applyAlignment="1">
      <alignment horizontal="left"/>
    </xf>
    <xf numFmtId="0" fontId="3" fillId="4" borderId="12" xfId="0" applyNumberFormat="1" applyFont="1" applyFill="1" applyBorder="1" applyAlignment="1">
      <alignment horizontal="center" vertical="center"/>
    </xf>
    <xf numFmtId="0" fontId="3" fillId="4" borderId="13" xfId="0" applyNumberFormat="1" applyFont="1" applyFill="1" applyBorder="1" applyAlignment="1">
      <alignment horizontal="center" vertical="center"/>
    </xf>
    <xf numFmtId="3" fontId="5" fillId="4" borderId="14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vertical="center"/>
    </xf>
    <xf numFmtId="0" fontId="3" fillId="5" borderId="12" xfId="0" applyNumberFormat="1" applyFont="1" applyFill="1" applyBorder="1" applyAlignment="1">
      <alignment horizontal="center" vertical="center"/>
    </xf>
    <xf numFmtId="0" fontId="3" fillId="5" borderId="13" xfId="0" applyNumberFormat="1" applyFont="1" applyFill="1" applyBorder="1" applyAlignment="1">
      <alignment horizontal="center" vertical="center"/>
    </xf>
    <xf numFmtId="164" fontId="5" fillId="5" borderId="14" xfId="0" applyNumberFormat="1" applyFont="1" applyFill="1" applyBorder="1" applyAlignment="1">
      <alignment horizontal="center" vertical="center"/>
    </xf>
    <xf numFmtId="0" fontId="2" fillId="5" borderId="15" xfId="0" applyNumberFormat="1" applyFont="1" applyFill="1" applyBorder="1" applyAlignment="1">
      <alignment vertical="center"/>
    </xf>
    <xf numFmtId="0" fontId="3" fillId="6" borderId="12" xfId="0" applyNumberFormat="1" applyFont="1" applyFill="1" applyBorder="1" applyAlignment="1">
      <alignment horizontal="center" vertical="center"/>
    </xf>
    <xf numFmtId="0" fontId="3" fillId="6" borderId="13" xfId="0" applyNumberFormat="1" applyFont="1" applyFill="1" applyBorder="1" applyAlignment="1">
      <alignment horizontal="center" vertical="center"/>
    </xf>
    <xf numFmtId="164" fontId="5" fillId="6" borderId="14" xfId="0" applyNumberFormat="1" applyFont="1" applyFill="1" applyBorder="1" applyAlignment="1">
      <alignment horizontal="center" vertical="center"/>
    </xf>
    <xf numFmtId="0" fontId="2" fillId="6" borderId="15" xfId="0" applyNumberFormat="1" applyFont="1" applyFill="1" applyBorder="1" applyAlignment="1">
      <alignment vertical="center"/>
    </xf>
    <xf numFmtId="0" fontId="3" fillId="7" borderId="12" xfId="0" applyNumberFormat="1" applyFont="1" applyFill="1" applyBorder="1" applyAlignment="1">
      <alignment horizontal="center" vertical="center"/>
    </xf>
    <xf numFmtId="0" fontId="3" fillId="7" borderId="13" xfId="0" applyNumberFormat="1" applyFont="1" applyFill="1" applyBorder="1" applyAlignment="1">
      <alignment horizontal="center" vertical="center"/>
    </xf>
    <xf numFmtId="164" fontId="5" fillId="7" borderId="14" xfId="0" applyNumberFormat="1" applyFont="1" applyFill="1" applyBorder="1" applyAlignment="1">
      <alignment horizontal="center" vertical="center"/>
    </xf>
    <xf numFmtId="0" fontId="2" fillId="7" borderId="15" xfId="0" applyNumberFormat="1" applyFont="1" applyFill="1" applyBorder="1" applyAlignment="1">
      <alignment vertical="center"/>
    </xf>
    <xf numFmtId="0" fontId="3" fillId="8" borderId="12" xfId="0" applyNumberFormat="1" applyFont="1" applyFill="1" applyBorder="1" applyAlignment="1">
      <alignment horizontal="center" vertical="center"/>
    </xf>
    <xf numFmtId="0" fontId="3" fillId="8" borderId="13" xfId="0" applyNumberFormat="1" applyFont="1" applyFill="1" applyBorder="1" applyAlignment="1">
      <alignment horizontal="center" vertical="center"/>
    </xf>
    <xf numFmtId="165" fontId="5" fillId="8" borderId="14" xfId="0" applyNumberFormat="1" applyFont="1" applyFill="1" applyBorder="1" applyAlignment="1">
      <alignment horizontal="center" vertical="center"/>
    </xf>
    <xf numFmtId="0" fontId="2" fillId="8" borderId="15" xfId="0" applyNumberFormat="1" applyFont="1" applyFill="1" applyBorder="1" applyAlignment="1">
      <alignment vertical="center"/>
    </xf>
    <xf numFmtId="165" fontId="5" fillId="5" borderId="14" xfId="0" applyNumberFormat="1" applyFont="1" applyFill="1" applyBorder="1" applyAlignment="1">
      <alignment horizontal="center" vertical="center"/>
    </xf>
    <xf numFmtId="0" fontId="2" fillId="3" borderId="20" xfId="0" applyNumberFormat="1" applyFont="1" applyFill="1" applyBorder="1" applyAlignment="1">
      <alignment vertical="top" wrapText="1"/>
    </xf>
    <xf numFmtId="0" fontId="0" fillId="0" borderId="21" xfId="0" applyNumberFormat="1" applyFont="1" applyFill="1" applyBorder="1"/>
    <xf numFmtId="0" fontId="0" fillId="0" borderId="22" xfId="0" applyNumberFormat="1" applyFont="1" applyFill="1" applyBorder="1"/>
    <xf numFmtId="0" fontId="5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Fleet Power Profile by Half-Hour (kW)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Demand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ChartData!$B$2:$B$49</c:f>
              <c:numCache>
                <c:formatCode>#,##0.0</c:formatCode>
                <c:ptCount val="48"/>
                <c:pt idx="0">
                  <c:v>21.0711145</c:v>
                </c:pt>
                <c:pt idx="1">
                  <c:v>13.699607266666666</c:v>
                </c:pt>
                <c:pt idx="2">
                  <c:v>9.6826190000000025</c:v>
                </c:pt>
                <c:pt idx="3">
                  <c:v>10.92359793333333</c:v>
                </c:pt>
                <c:pt idx="4">
                  <c:v>8.1916243333333352</c:v>
                </c:pt>
                <c:pt idx="5">
                  <c:v>9.5868432666666763</c:v>
                </c:pt>
                <c:pt idx="6">
                  <c:v>10.167341999999996</c:v>
                </c:pt>
                <c:pt idx="7">
                  <c:v>7.8747996666666689</c:v>
                </c:pt>
                <c:pt idx="8">
                  <c:v>10.001936266666666</c:v>
                </c:pt>
                <c:pt idx="9">
                  <c:v>8.988642666666669</c:v>
                </c:pt>
                <c:pt idx="10">
                  <c:v>8.3605240666666703</c:v>
                </c:pt>
                <c:pt idx="11">
                  <c:v>9.6716268666666689</c:v>
                </c:pt>
                <c:pt idx="12">
                  <c:v>9.6461932666666677</c:v>
                </c:pt>
                <c:pt idx="13">
                  <c:v>13.653674666666673</c:v>
                </c:pt>
                <c:pt idx="14">
                  <c:v>11.759789833333341</c:v>
                </c:pt>
                <c:pt idx="15">
                  <c:v>15.640839600000001</c:v>
                </c:pt>
                <c:pt idx="16">
                  <c:v>18.510998433333331</c:v>
                </c:pt>
                <c:pt idx="17">
                  <c:v>32.906772266666692</c:v>
                </c:pt>
                <c:pt idx="18">
                  <c:v>29.688349466666676</c:v>
                </c:pt>
                <c:pt idx="19">
                  <c:v>28.466893033333353</c:v>
                </c:pt>
                <c:pt idx="20">
                  <c:v>30.752340033333347</c:v>
                </c:pt>
                <c:pt idx="21">
                  <c:v>29.534400433333325</c:v>
                </c:pt>
                <c:pt idx="22">
                  <c:v>29.767853299999985</c:v>
                </c:pt>
                <c:pt idx="23">
                  <c:v>34.921772199999992</c:v>
                </c:pt>
                <c:pt idx="24">
                  <c:v>29.943523299999999</c:v>
                </c:pt>
                <c:pt idx="25">
                  <c:v>27.55971379999999</c:v>
                </c:pt>
                <c:pt idx="26">
                  <c:v>23.546068299999984</c:v>
                </c:pt>
                <c:pt idx="27">
                  <c:v>21.434842899999996</c:v>
                </c:pt>
                <c:pt idx="28">
                  <c:v>26.250720166666657</c:v>
                </c:pt>
                <c:pt idx="29">
                  <c:v>25.221247299999995</c:v>
                </c:pt>
                <c:pt idx="30">
                  <c:v>20.841529466666675</c:v>
                </c:pt>
                <c:pt idx="31">
                  <c:v>23.325556866666673</c:v>
                </c:pt>
                <c:pt idx="32">
                  <c:v>24.146372000000003</c:v>
                </c:pt>
                <c:pt idx="33">
                  <c:v>26.50469196666668</c:v>
                </c:pt>
                <c:pt idx="34">
                  <c:v>31.831095400000013</c:v>
                </c:pt>
                <c:pt idx="35">
                  <c:v>28.888782666666678</c:v>
                </c:pt>
                <c:pt idx="36">
                  <c:v>34.964330099999998</c:v>
                </c:pt>
                <c:pt idx="37">
                  <c:v>28.41183143333334</c:v>
                </c:pt>
                <c:pt idx="38">
                  <c:v>29.141797500000003</c:v>
                </c:pt>
                <c:pt idx="39">
                  <c:v>31.621640400000008</c:v>
                </c:pt>
                <c:pt idx="40">
                  <c:v>41.636477499999984</c:v>
                </c:pt>
                <c:pt idx="41">
                  <c:v>44.623832766666645</c:v>
                </c:pt>
                <c:pt idx="42">
                  <c:v>43.797683833333338</c:v>
                </c:pt>
                <c:pt idx="43">
                  <c:v>44.536529333333334</c:v>
                </c:pt>
                <c:pt idx="44">
                  <c:v>40.84922300000003</c:v>
                </c:pt>
                <c:pt idx="45">
                  <c:v>32.752122666666658</c:v>
                </c:pt>
                <c:pt idx="46">
                  <c:v>28.491681333333329</c:v>
                </c:pt>
                <c:pt idx="47">
                  <c:v>21.891819466666664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E5-45D4-BF88-7B9C24E2ED4B}"/>
            </c:ext>
          </c:extLst>
        </c:ser>
        <c:ser>
          <c:idx val="1"/>
          <c:order val="1"/>
          <c:tx>
            <c:v>PV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ChartData!$C$2:$C$49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0.19139469283333341</c:v>
                </c:pt>
                <c:pt idx="8">
                  <c:v>2.7664811471666608</c:v>
                </c:pt>
                <c:pt idx="9">
                  <c:v>12.936904119250006</c:v>
                </c:pt>
                <c:pt idx="10">
                  <c:v>25.662053534833415</c:v>
                </c:pt>
                <c:pt idx="11">
                  <c:v>41.265849944666606</c:v>
                </c:pt>
                <c:pt idx="12">
                  <c:v>58.290471717083406</c:v>
                </c:pt>
                <c:pt idx="13">
                  <c:v>75.524352455166579</c:v>
                </c:pt>
                <c:pt idx="14">
                  <c:v>92.668994673250026</c:v>
                </c:pt>
                <c:pt idx="15">
                  <c:v>109.83857625624997</c:v>
                </c:pt>
                <c:pt idx="16">
                  <c:v>125.95332277858343</c:v>
                </c:pt>
                <c:pt idx="17">
                  <c:v>141.10120818149991</c:v>
                </c:pt>
                <c:pt idx="18">
                  <c:v>154.00200454833342</c:v>
                </c:pt>
                <c:pt idx="19">
                  <c:v>165.00507696616654</c:v>
                </c:pt>
                <c:pt idx="20">
                  <c:v>174.6629974580834</c:v>
                </c:pt>
                <c:pt idx="21">
                  <c:v>182.63384736674993</c:v>
                </c:pt>
                <c:pt idx="22">
                  <c:v>188.28939705958334</c:v>
                </c:pt>
                <c:pt idx="23">
                  <c:v>190.76964817700002</c:v>
                </c:pt>
                <c:pt idx="24">
                  <c:v>191.48802392933354</c:v>
                </c:pt>
                <c:pt idx="25">
                  <c:v>190.14414300500002</c:v>
                </c:pt>
                <c:pt idx="26">
                  <c:v>185.62944056125011</c:v>
                </c:pt>
                <c:pt idx="27">
                  <c:v>178.74172196533337</c:v>
                </c:pt>
                <c:pt idx="28">
                  <c:v>170.51887655924983</c:v>
                </c:pt>
                <c:pt idx="29">
                  <c:v>160.09932837683334</c:v>
                </c:pt>
                <c:pt idx="30">
                  <c:v>149.02652252325007</c:v>
                </c:pt>
                <c:pt idx="31">
                  <c:v>135.70185187133347</c:v>
                </c:pt>
                <c:pt idx="32">
                  <c:v>120.69512818916657</c:v>
                </c:pt>
                <c:pt idx="33">
                  <c:v>102.57646455691665</c:v>
                </c:pt>
                <c:pt idx="34">
                  <c:v>85.618652332916639</c:v>
                </c:pt>
                <c:pt idx="35">
                  <c:v>68.193447679250042</c:v>
                </c:pt>
                <c:pt idx="36">
                  <c:v>51.337254490833402</c:v>
                </c:pt>
                <c:pt idx="37">
                  <c:v>35.085509133750023</c:v>
                </c:pt>
                <c:pt idx="38">
                  <c:v>20.487841592666651</c:v>
                </c:pt>
                <c:pt idx="39">
                  <c:v>5.9607721297499987</c:v>
                </c:pt>
                <c:pt idx="40">
                  <c:v>1.0993600548333335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E5-45D4-BF88-7B9C24E2ED4B}"/>
            </c:ext>
          </c:extLst>
        </c:ser>
        <c:ser>
          <c:idx val="2"/>
          <c:order val="2"/>
          <c:tx>
            <c:v>Net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ChartData!$D$2:$D$49</c:f>
              <c:numCache>
                <c:formatCode>#,##0.0</c:formatCode>
                <c:ptCount val="48"/>
                <c:pt idx="0">
                  <c:v>4.811450000000761E-2</c:v>
                </c:pt>
                <c:pt idx="1">
                  <c:v>0.1476072666666699</c:v>
                </c:pt>
                <c:pt idx="2">
                  <c:v>0.13361900000000304</c:v>
                </c:pt>
                <c:pt idx="3">
                  <c:v>0.20159793333333198</c:v>
                </c:pt>
                <c:pt idx="4">
                  <c:v>0.369624333333336</c:v>
                </c:pt>
                <c:pt idx="5">
                  <c:v>0.25284326666667845</c:v>
                </c:pt>
                <c:pt idx="6">
                  <c:v>0.43134200000000078</c:v>
                </c:pt>
                <c:pt idx="7">
                  <c:v>0.41340497383333652</c:v>
                </c:pt>
                <c:pt idx="8">
                  <c:v>0.49718960300001047</c:v>
                </c:pt>
                <c:pt idx="9">
                  <c:v>-2.2614525833393184E-3</c:v>
                </c:pt>
                <c:pt idx="10">
                  <c:v>5.1470531833253397E-2</c:v>
                </c:pt>
                <c:pt idx="11">
                  <c:v>2.7769220000674298E-3</c:v>
                </c:pt>
                <c:pt idx="12">
                  <c:v>3.7215495832754186E-3</c:v>
                </c:pt>
                <c:pt idx="13">
                  <c:v>3.3222115000945962E-3</c:v>
                </c:pt>
                <c:pt idx="14">
                  <c:v>1.7951600833088222E-3</c:v>
                </c:pt>
                <c:pt idx="15">
                  <c:v>-5.5027366562499447</c:v>
                </c:pt>
                <c:pt idx="16">
                  <c:v>-44.324324345250098</c:v>
                </c:pt>
                <c:pt idx="17">
                  <c:v>-71.936435914833211</c:v>
                </c:pt>
                <c:pt idx="18">
                  <c:v>-98.585655081666744</c:v>
                </c:pt>
                <c:pt idx="19">
                  <c:v>-118.9931839328332</c:v>
                </c:pt>
                <c:pt idx="20">
                  <c:v>-133.89565742475006</c:v>
                </c:pt>
                <c:pt idx="21">
                  <c:v>-145.32044693341658</c:v>
                </c:pt>
                <c:pt idx="22">
                  <c:v>-149.65354375958336</c:v>
                </c:pt>
                <c:pt idx="23">
                  <c:v>-153.93987597700001</c:v>
                </c:pt>
                <c:pt idx="24">
                  <c:v>-160.32350062933352</c:v>
                </c:pt>
                <c:pt idx="25">
                  <c:v>-162.54742920500001</c:v>
                </c:pt>
                <c:pt idx="26">
                  <c:v>-162.66637226125013</c:v>
                </c:pt>
                <c:pt idx="27">
                  <c:v>-154.04487906533336</c:v>
                </c:pt>
                <c:pt idx="28">
                  <c:v>-139.51315639258317</c:v>
                </c:pt>
                <c:pt idx="29">
                  <c:v>-130.76508107683335</c:v>
                </c:pt>
                <c:pt idx="30">
                  <c:v>-128.58999305658338</c:v>
                </c:pt>
                <c:pt idx="31">
                  <c:v>-113.56929500466681</c:v>
                </c:pt>
                <c:pt idx="32">
                  <c:v>-96.633756189166576</c:v>
                </c:pt>
                <c:pt idx="33">
                  <c:v>-78.024772590249967</c:v>
                </c:pt>
                <c:pt idx="34">
                  <c:v>-59.35755693291663</c:v>
                </c:pt>
                <c:pt idx="35">
                  <c:v>-43.253665012583369</c:v>
                </c:pt>
                <c:pt idx="36">
                  <c:v>-28.329924390833405</c:v>
                </c:pt>
                <c:pt idx="37">
                  <c:v>-15.432677700416683</c:v>
                </c:pt>
                <c:pt idx="38">
                  <c:v>-3.2170440926666508</c:v>
                </c:pt>
                <c:pt idx="39">
                  <c:v>1.4898682702500068</c:v>
                </c:pt>
                <c:pt idx="40">
                  <c:v>1.1031174451666459</c:v>
                </c:pt>
                <c:pt idx="41">
                  <c:v>3.3508327666666347</c:v>
                </c:pt>
                <c:pt idx="42">
                  <c:v>3.9406838333333525</c:v>
                </c:pt>
                <c:pt idx="43">
                  <c:v>4.4805293333333509</c:v>
                </c:pt>
                <c:pt idx="44">
                  <c:v>6.3562230000000213</c:v>
                </c:pt>
                <c:pt idx="45">
                  <c:v>5.8471226666666567</c:v>
                </c:pt>
                <c:pt idx="46">
                  <c:v>6.8156813333333339</c:v>
                </c:pt>
                <c:pt idx="47">
                  <c:v>5.1668194666666558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E5-45D4-BF88-7B9C24E2E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Battery Dispatch (kW)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Charge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5.1948051948051951E-5</c:v>
                </c:pt>
                <c:pt idx="9">
                  <c:v>7.4155844155844114E-2</c:v>
                </c:pt>
                <c:pt idx="10">
                  <c:v>0.22951948051948048</c:v>
                </c:pt>
                <c:pt idx="11">
                  <c:v>0.41070129870129873</c:v>
                </c:pt>
                <c:pt idx="12">
                  <c:v>0.6317922077922079</c:v>
                </c:pt>
                <c:pt idx="13">
                  <c:v>0.8201688311688311</c:v>
                </c:pt>
                <c:pt idx="14">
                  <c:v>1.0652987012987012</c:v>
                </c:pt>
                <c:pt idx="15">
                  <c:v>1.1604415584415586</c:v>
                </c:pt>
                <c:pt idx="16">
                  <c:v>0.81971428571428573</c:v>
                </c:pt>
                <c:pt idx="17">
                  <c:v>0.50855844155844154</c:v>
                </c:pt>
                <c:pt idx="18">
                  <c:v>0.34736363636363637</c:v>
                </c:pt>
                <c:pt idx="19">
                  <c:v>0.2324285714285714</c:v>
                </c:pt>
                <c:pt idx="20">
                  <c:v>0.16262337662337661</c:v>
                </c:pt>
                <c:pt idx="21">
                  <c:v>0.10880519480519481</c:v>
                </c:pt>
                <c:pt idx="22">
                  <c:v>0.12266233766233767</c:v>
                </c:pt>
                <c:pt idx="23">
                  <c:v>6.8194805194805197E-2</c:v>
                </c:pt>
                <c:pt idx="24">
                  <c:v>4.987012987012987E-2</c:v>
                </c:pt>
                <c:pt idx="25">
                  <c:v>2.294805194805195E-2</c:v>
                </c:pt>
                <c:pt idx="26">
                  <c:v>3.5896103896103898E-2</c:v>
                </c:pt>
                <c:pt idx="27">
                  <c:v>5.2584415584415588E-2</c:v>
                </c:pt>
                <c:pt idx="28">
                  <c:v>7.8623376623376623E-2</c:v>
                </c:pt>
                <c:pt idx="29">
                  <c:v>5.3415584415584423E-2</c:v>
                </c:pt>
                <c:pt idx="30">
                  <c:v>1.5103896103896102E-2</c:v>
                </c:pt>
                <c:pt idx="31">
                  <c:v>2.6493506493506492E-3</c:v>
                </c:pt>
                <c:pt idx="32">
                  <c:v>7.4805194805194816E-3</c:v>
                </c:pt>
                <c:pt idx="33">
                  <c:v>1.8051948051948055E-2</c:v>
                </c:pt>
                <c:pt idx="34">
                  <c:v>1.7012987012987014E-2</c:v>
                </c:pt>
                <c:pt idx="35">
                  <c:v>2.179220779220779E-2</c:v>
                </c:pt>
                <c:pt idx="36">
                  <c:v>8.2077922077922073E-3</c:v>
                </c:pt>
                <c:pt idx="37">
                  <c:v>1.0792207792207792E-2</c:v>
                </c:pt>
                <c:pt idx="38">
                  <c:v>7.9610389610389604E-3</c:v>
                </c:pt>
                <c:pt idx="39">
                  <c:v>2.7272727272727274E-4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A3-4D69-AD6F-CDDCC24BEBF9}"/>
            </c:ext>
          </c:extLst>
        </c:ser>
        <c:ser>
          <c:idx val="1"/>
          <c:order val="1"/>
          <c:tx>
            <c:v>Discharge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ChartData!$H$2:$H$49</c:f>
              <c:numCache>
                <c:formatCode>#,##0.000</c:formatCode>
                <c:ptCount val="48"/>
                <c:pt idx="0">
                  <c:v>0.27302597402597395</c:v>
                </c:pt>
                <c:pt idx="1">
                  <c:v>0.17599999999999996</c:v>
                </c:pt>
                <c:pt idx="2">
                  <c:v>0.12401298701298701</c:v>
                </c:pt>
                <c:pt idx="3">
                  <c:v>0.13924675324675323</c:v>
                </c:pt>
                <c:pt idx="4">
                  <c:v>0.10158441558441557</c:v>
                </c:pt>
                <c:pt idx="5">
                  <c:v>0.12122077922077919</c:v>
                </c:pt>
                <c:pt idx="6">
                  <c:v>0.12644155844155838</c:v>
                </c:pt>
                <c:pt idx="7">
                  <c:v>9.4415584415584397E-2</c:v>
                </c:pt>
                <c:pt idx="8">
                  <c:v>8.7561889824675249E-2</c:v>
                </c:pt>
                <c:pt idx="9">
                  <c:v>2.290909090909091E-2</c:v>
                </c:pt>
                <c:pt idx="10">
                  <c:v>4.1558441558441558E-3</c:v>
                </c:pt>
                <c:pt idx="11">
                  <c:v>3.5064935064935067E-4</c:v>
                </c:pt>
                <c:pt idx="12">
                  <c:v>0</c:v>
                </c:pt>
                <c:pt idx="13">
                  <c:v>1.661038961038961E-2</c:v>
                </c:pt>
                <c:pt idx="14">
                  <c:v>1.4506493506493506E-2</c:v>
                </c:pt>
                <c:pt idx="15">
                  <c:v>8.5584415584415586E-3</c:v>
                </c:pt>
                <c:pt idx="16">
                  <c:v>0</c:v>
                </c:pt>
                <c:pt idx="17">
                  <c:v>3.7675324675324674E-2</c:v>
                </c:pt>
                <c:pt idx="18">
                  <c:v>1.3233766233766233E-2</c:v>
                </c:pt>
                <c:pt idx="19">
                  <c:v>4.5714285714285709E-3</c:v>
                </c:pt>
                <c:pt idx="20">
                  <c:v>3.2558441558441557E-2</c:v>
                </c:pt>
                <c:pt idx="21">
                  <c:v>7.7792207792207789E-3</c:v>
                </c:pt>
                <c:pt idx="22">
                  <c:v>7.4935064935064948E-3</c:v>
                </c:pt>
                <c:pt idx="23">
                  <c:v>4.3415584415584421E-2</c:v>
                </c:pt>
                <c:pt idx="24">
                  <c:v>3.4012987012987009E-2</c:v>
                </c:pt>
                <c:pt idx="25">
                  <c:v>2.2467532467532466E-2</c:v>
                </c:pt>
                <c:pt idx="26">
                  <c:v>4.3467532467532474E-2</c:v>
                </c:pt>
                <c:pt idx="27">
                  <c:v>1.0220779220779221E-2</c:v>
                </c:pt>
                <c:pt idx="28">
                  <c:v>1.6870129870129872E-2</c:v>
                </c:pt>
                <c:pt idx="29">
                  <c:v>0</c:v>
                </c:pt>
                <c:pt idx="30">
                  <c:v>2.0363636363636365E-2</c:v>
                </c:pt>
                <c:pt idx="31">
                  <c:v>1.8142857142857145E-2</c:v>
                </c:pt>
                <c:pt idx="32">
                  <c:v>8.5844155844155851E-3</c:v>
                </c:pt>
                <c:pt idx="33">
                  <c:v>4.3415584415584414E-2</c:v>
                </c:pt>
                <c:pt idx="34">
                  <c:v>8.9350649350649361E-2</c:v>
                </c:pt>
                <c:pt idx="35">
                  <c:v>7.3077922077922075E-2</c:v>
                </c:pt>
                <c:pt idx="36">
                  <c:v>0.16349350649350652</c:v>
                </c:pt>
                <c:pt idx="37">
                  <c:v>0.12454545454545454</c:v>
                </c:pt>
                <c:pt idx="38">
                  <c:v>0.16212987012987015</c:v>
                </c:pt>
                <c:pt idx="39">
                  <c:v>0.31418181818181823</c:v>
                </c:pt>
                <c:pt idx="40">
                  <c:v>0.51212987012987021</c:v>
                </c:pt>
                <c:pt idx="41">
                  <c:v>0.53601298701298716</c:v>
                </c:pt>
                <c:pt idx="42">
                  <c:v>0.51762337662337643</c:v>
                </c:pt>
                <c:pt idx="43">
                  <c:v>0.52020779220779201</c:v>
                </c:pt>
                <c:pt idx="44">
                  <c:v>0.44796103896103906</c:v>
                </c:pt>
                <c:pt idx="45">
                  <c:v>0.34941558441558446</c:v>
                </c:pt>
                <c:pt idx="46">
                  <c:v>0.28150649350649343</c:v>
                </c:pt>
                <c:pt idx="47">
                  <c:v>0.21720779220779232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A3-4D69-AD6F-CDDCC24BE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State of Charge (%)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ChartData!$I$2:$I$49</c:f>
              <c:numCache>
                <c:formatCode>0.0</c:formatCode>
                <c:ptCount val="48"/>
                <c:pt idx="0">
                  <c:v>40</c:v>
                </c:pt>
                <c:pt idx="1">
                  <c:v>36.573880519480525</c:v>
                </c:pt>
                <c:pt idx="2">
                  <c:v>34.364816883116895</c:v>
                </c:pt>
                <c:pt idx="3">
                  <c:v>32.808424675324666</c:v>
                </c:pt>
                <c:pt idx="4">
                  <c:v>31.061216883116892</c:v>
                </c:pt>
                <c:pt idx="5">
                  <c:v>29.7866909090909</c:v>
                </c:pt>
                <c:pt idx="6">
                  <c:v>28.265666233766233</c:v>
                </c:pt>
                <c:pt idx="7">
                  <c:v>26.67901688311688</c:v>
                </c:pt>
                <c:pt idx="8">
                  <c:v>25.494477922077916</c:v>
                </c:pt>
                <c:pt idx="9">
                  <c:v>24.396470129870128</c:v>
                </c:pt>
                <c:pt idx="10">
                  <c:v>24.946828571428572</c:v>
                </c:pt>
                <c:pt idx="11">
                  <c:v>27.486579220779216</c:v>
                </c:pt>
                <c:pt idx="12">
                  <c:v>32.120254545454557</c:v>
                </c:pt>
                <c:pt idx="13">
                  <c:v>39.255199999999995</c:v>
                </c:pt>
                <c:pt idx="14">
                  <c:v>48.309303896103891</c:v>
                </c:pt>
                <c:pt idx="15">
                  <c:v>60.158535064935066</c:v>
                </c:pt>
                <c:pt idx="16">
                  <c:v>73.156985714285739</c:v>
                </c:pt>
                <c:pt idx="17">
                  <c:v>82.415048051948077</c:v>
                </c:pt>
                <c:pt idx="18">
                  <c:v>87.685548051948061</c:v>
                </c:pt>
                <c:pt idx="19">
                  <c:v>91.442580519480543</c:v>
                </c:pt>
                <c:pt idx="20">
                  <c:v>94.010220779220774</c:v>
                </c:pt>
                <c:pt idx="21">
                  <c:v>95.438800000000001</c:v>
                </c:pt>
                <c:pt idx="22">
                  <c:v>96.5696948051948</c:v>
                </c:pt>
                <c:pt idx="23">
                  <c:v>97.860992207792194</c:v>
                </c:pt>
                <c:pt idx="24">
                  <c:v>98.086123376623391</c:v>
                </c:pt>
                <c:pt idx="25">
                  <c:v>98.222411688311681</c:v>
                </c:pt>
                <c:pt idx="26">
                  <c:v>98.199619480519488</c:v>
                </c:pt>
                <c:pt idx="27">
                  <c:v>98.059544155844165</c:v>
                </c:pt>
                <c:pt idx="28">
                  <c:v>98.525183116883099</c:v>
                </c:pt>
                <c:pt idx="29">
                  <c:v>99.201398701298686</c:v>
                </c:pt>
                <c:pt idx="30">
                  <c:v>99.804535064935067</c:v>
                </c:pt>
                <c:pt idx="31">
                  <c:v>99.719503896103888</c:v>
                </c:pt>
                <c:pt idx="32">
                  <c:v>99.52173636363635</c:v>
                </c:pt>
                <c:pt idx="33">
                  <c:v>99.498601298701288</c:v>
                </c:pt>
                <c:pt idx="34">
                  <c:v>99.157610389610383</c:v>
                </c:pt>
                <c:pt idx="35">
                  <c:v>98.228785714285706</c:v>
                </c:pt>
                <c:pt idx="36">
                  <c:v>97.557605194805205</c:v>
                </c:pt>
                <c:pt idx="37">
                  <c:v>95.599067532467515</c:v>
                </c:pt>
                <c:pt idx="38">
                  <c:v>94.158225974025996</c:v>
                </c:pt>
                <c:pt idx="39">
                  <c:v>92.214076623376599</c:v>
                </c:pt>
                <c:pt idx="40">
                  <c:v>88.273620779220778</c:v>
                </c:pt>
                <c:pt idx="41">
                  <c:v>81.847402597402564</c:v>
                </c:pt>
                <c:pt idx="42">
                  <c:v>75.120500000000007</c:v>
                </c:pt>
                <c:pt idx="43">
                  <c:v>68.624637662337648</c:v>
                </c:pt>
                <c:pt idx="44">
                  <c:v>62.097371428571435</c:v>
                </c:pt>
                <c:pt idx="45">
                  <c:v>56.475854545454538</c:v>
                </c:pt>
                <c:pt idx="46">
                  <c:v>52.091388311688313</c:v>
                </c:pt>
                <c:pt idx="47">
                  <c:v>48.559493506493517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F-45C9-978D-8C8A947E5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10 Prosumers by Exported Energy (kWh/day)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Export kWh/day</c:v>
          </c:tx>
          <c:spPr>
            <a:solidFill>
              <a:srgbClr val="2E7D32"/>
            </a:solidFill>
          </c:spPr>
          <c:invertIfNegative val="1"/>
          <c:cat>
            <c:strRef>
              <c:f>ChartData!$R$2:$R$11</c:f>
              <c:strCache>
                <c:ptCount val="10"/>
                <c:pt idx="0">
                  <c:v>six441_A</c:v>
                </c:pt>
                <c:pt idx="1">
                  <c:v>six350_B</c:v>
                </c:pt>
                <c:pt idx="2">
                  <c:v>one313_A</c:v>
                </c:pt>
                <c:pt idx="3">
                  <c:v>six723_B</c:v>
                </c:pt>
                <c:pt idx="4">
                  <c:v>six173_C</c:v>
                </c:pt>
                <c:pt idx="5">
                  <c:v>one321_C</c:v>
                </c:pt>
                <c:pt idx="6">
                  <c:v>six154_C</c:v>
                </c:pt>
                <c:pt idx="7">
                  <c:v>six860_C</c:v>
                </c:pt>
                <c:pt idx="8">
                  <c:v>six191_B</c:v>
                </c:pt>
                <c:pt idx="9">
                  <c:v>six249_B</c:v>
                </c:pt>
              </c:strCache>
            </c:strRef>
          </c:cat>
          <c:val>
            <c:numRef>
              <c:f>ChartData!$Q$2:$Q$11</c:f>
              <c:numCache>
                <c:formatCode>#,##0.0</c:formatCode>
                <c:ptCount val="10"/>
                <c:pt idx="0">
                  <c:v>27.2</c:v>
                </c:pt>
                <c:pt idx="1">
                  <c:v>27.04</c:v>
                </c:pt>
                <c:pt idx="2">
                  <c:v>26.93</c:v>
                </c:pt>
                <c:pt idx="3">
                  <c:v>26.45</c:v>
                </c:pt>
                <c:pt idx="4">
                  <c:v>26.22</c:v>
                </c:pt>
                <c:pt idx="5">
                  <c:v>26</c:v>
                </c:pt>
                <c:pt idx="6">
                  <c:v>25.52</c:v>
                </c:pt>
                <c:pt idx="7">
                  <c:v>25.51</c:v>
                </c:pt>
                <c:pt idx="8">
                  <c:v>25.39</c:v>
                </c:pt>
                <c:pt idx="9">
                  <c:v>25.32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A329-491A-8A09-AFD96FE7D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Self-Consumption vs Self-Sufficiency by Prosumer (%)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Prosumer</c:v>
          </c:tx>
          <c:xVal>
            <c:numLit>
              <c:ptCount val="0"/>
            </c:numLit>
          </c:xVal>
          <c:yVal>
            <c:numRef>
              <c:f>ChartData!$M$2:$M$78</c:f>
              <c:numCache>
                <c:formatCode>0.0</c:formatCode>
                <c:ptCount val="77"/>
                <c:pt idx="0">
                  <c:v>100</c:v>
                </c:pt>
                <c:pt idx="1">
                  <c:v>99.9</c:v>
                </c:pt>
                <c:pt idx="2">
                  <c:v>100</c:v>
                </c:pt>
                <c:pt idx="3">
                  <c:v>100</c:v>
                </c:pt>
                <c:pt idx="4">
                  <c:v>99.9</c:v>
                </c:pt>
                <c:pt idx="5">
                  <c:v>79.5</c:v>
                </c:pt>
                <c:pt idx="6">
                  <c:v>97</c:v>
                </c:pt>
                <c:pt idx="7">
                  <c:v>100</c:v>
                </c:pt>
                <c:pt idx="8">
                  <c:v>100</c:v>
                </c:pt>
                <c:pt idx="9">
                  <c:v>95.1</c:v>
                </c:pt>
                <c:pt idx="10">
                  <c:v>100</c:v>
                </c:pt>
                <c:pt idx="11">
                  <c:v>95.2</c:v>
                </c:pt>
                <c:pt idx="12">
                  <c:v>100</c:v>
                </c:pt>
                <c:pt idx="13">
                  <c:v>100</c:v>
                </c:pt>
                <c:pt idx="14">
                  <c:v>98.1</c:v>
                </c:pt>
                <c:pt idx="15">
                  <c:v>94.9</c:v>
                </c:pt>
                <c:pt idx="16">
                  <c:v>100</c:v>
                </c:pt>
                <c:pt idx="17">
                  <c:v>100</c:v>
                </c:pt>
                <c:pt idx="18">
                  <c:v>99.9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96.6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82</c:v>
                </c:pt>
                <c:pt idx="28">
                  <c:v>72.099999999999994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95.3</c:v>
                </c:pt>
                <c:pt idx="35">
                  <c:v>100</c:v>
                </c:pt>
                <c:pt idx="36">
                  <c:v>93.2</c:v>
                </c:pt>
                <c:pt idx="37">
                  <c:v>100</c:v>
                </c:pt>
                <c:pt idx="38">
                  <c:v>100</c:v>
                </c:pt>
                <c:pt idx="39">
                  <c:v>86.7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99.9</c:v>
                </c:pt>
                <c:pt idx="48">
                  <c:v>99.6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78.099999999999994</c:v>
                </c:pt>
                <c:pt idx="61">
                  <c:v>97.6</c:v>
                </c:pt>
                <c:pt idx="62">
                  <c:v>95.6</c:v>
                </c:pt>
                <c:pt idx="63">
                  <c:v>93.7</c:v>
                </c:pt>
                <c:pt idx="64">
                  <c:v>100</c:v>
                </c:pt>
                <c:pt idx="65">
                  <c:v>72.3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82.6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4B-44E2-8BBD-73B55683E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/>
              <a:t>Fleet-average prosumer profile -  TR1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demand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ChartData!$U$2:$U$49</c:f>
              <c:numCache>
                <c:formatCode>#,##0.000</c:formatCode>
                <c:ptCount val="48"/>
                <c:pt idx="0">
                  <c:v>0.27365083766233766</c:v>
                </c:pt>
                <c:pt idx="1">
                  <c:v>0.17791697748917748</c:v>
                </c:pt>
                <c:pt idx="2">
                  <c:v>0.12574829870129872</c:v>
                </c:pt>
                <c:pt idx="3">
                  <c:v>0.14186490822510817</c:v>
                </c:pt>
                <c:pt idx="4">
                  <c:v>0.10638473160173162</c:v>
                </c:pt>
                <c:pt idx="5">
                  <c:v>0.12450445800865813</c:v>
                </c:pt>
                <c:pt idx="6">
                  <c:v>0.13204340259740255</c:v>
                </c:pt>
                <c:pt idx="7">
                  <c:v>0.10227012554112556</c:v>
                </c:pt>
                <c:pt idx="8">
                  <c:v>0.12989527619047619</c:v>
                </c:pt>
                <c:pt idx="9">
                  <c:v>0.11673561904761907</c:v>
                </c:pt>
                <c:pt idx="10">
                  <c:v>0.10857823463203468</c:v>
                </c:pt>
                <c:pt idx="11">
                  <c:v>0.12560554372294375</c:v>
                </c:pt>
                <c:pt idx="12">
                  <c:v>0.12527523722943723</c:v>
                </c:pt>
                <c:pt idx="13">
                  <c:v>0.17732045021645029</c:v>
                </c:pt>
                <c:pt idx="14">
                  <c:v>0.1527245432900434</c:v>
                </c:pt>
                <c:pt idx="15">
                  <c:v>0.20312778701298703</c:v>
                </c:pt>
                <c:pt idx="16">
                  <c:v>0.24040257705627702</c:v>
                </c:pt>
                <c:pt idx="17">
                  <c:v>0.42736067878787914</c:v>
                </c:pt>
                <c:pt idx="18">
                  <c:v>0.38556298008658019</c:v>
                </c:pt>
                <c:pt idx="19">
                  <c:v>0.36969990952380977</c:v>
                </c:pt>
                <c:pt idx="20">
                  <c:v>0.3993810393939396</c:v>
                </c:pt>
                <c:pt idx="21">
                  <c:v>0.38356364199134185</c:v>
                </c:pt>
                <c:pt idx="22">
                  <c:v>0.38659549740259719</c:v>
                </c:pt>
                <c:pt idx="23">
                  <c:v>0.453529509090909</c:v>
                </c:pt>
                <c:pt idx="24">
                  <c:v>0.38887692597402596</c:v>
                </c:pt>
                <c:pt idx="25">
                  <c:v>0.35791836103896091</c:v>
                </c:pt>
                <c:pt idx="26">
                  <c:v>0.30579309480519462</c:v>
                </c:pt>
                <c:pt idx="27">
                  <c:v>0.27837458311688307</c:v>
                </c:pt>
                <c:pt idx="28">
                  <c:v>0.34091844372294361</c:v>
                </c:pt>
                <c:pt idx="29">
                  <c:v>0.32754866623376616</c:v>
                </c:pt>
                <c:pt idx="30">
                  <c:v>0.27066921385281395</c:v>
                </c:pt>
                <c:pt idx="31">
                  <c:v>0.30292930995671002</c:v>
                </c:pt>
                <c:pt idx="32">
                  <c:v>0.31358924675324679</c:v>
                </c:pt>
                <c:pt idx="33">
                  <c:v>0.34421677878787899</c:v>
                </c:pt>
                <c:pt idx="34">
                  <c:v>0.41339084935064951</c:v>
                </c:pt>
                <c:pt idx="35">
                  <c:v>0.37517899567099583</c:v>
                </c:pt>
                <c:pt idx="36">
                  <c:v>0.45408220909090907</c:v>
                </c:pt>
                <c:pt idx="37">
                  <c:v>0.36898482380952391</c:v>
                </c:pt>
                <c:pt idx="38">
                  <c:v>0.37846490259740262</c:v>
                </c:pt>
                <c:pt idx="39">
                  <c:v>0.41067065454545465</c:v>
                </c:pt>
                <c:pt idx="40">
                  <c:v>0.54073347402597383</c:v>
                </c:pt>
                <c:pt idx="41">
                  <c:v>0.57953029567099534</c:v>
                </c:pt>
                <c:pt idx="42">
                  <c:v>0.56880108874458879</c:v>
                </c:pt>
                <c:pt idx="43">
                  <c:v>0.57839648484848483</c:v>
                </c:pt>
                <c:pt idx="44">
                  <c:v>0.53050938961038996</c:v>
                </c:pt>
                <c:pt idx="45">
                  <c:v>0.4253522424242423</c:v>
                </c:pt>
                <c:pt idx="46">
                  <c:v>0.37002183549783546</c:v>
                </c:pt>
                <c:pt idx="47">
                  <c:v>0.2843093437229437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D0-46A8-A38F-D0312FBA1E18}"/>
            </c:ext>
          </c:extLst>
        </c:ser>
        <c:ser>
          <c:idx val="1"/>
          <c:order val="1"/>
          <c:tx>
            <c:v>PV generation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2.4856453614718623E-3</c:v>
                </c:pt>
                <c:pt idx="8">
                  <c:v>3.592832658658001E-2</c:v>
                </c:pt>
                <c:pt idx="9">
                  <c:v>0.16801174180844164</c:v>
                </c:pt>
                <c:pt idx="10">
                  <c:v>0.33327342253030412</c:v>
                </c:pt>
                <c:pt idx="11">
                  <c:v>0.53592012915151432</c:v>
                </c:pt>
                <c:pt idx="12">
                  <c:v>0.75701911320887538</c:v>
                </c:pt>
                <c:pt idx="13">
                  <c:v>0.98083574617099456</c:v>
                </c:pt>
                <c:pt idx="14">
                  <c:v>1.2034934373149353</c:v>
                </c:pt>
                <c:pt idx="15">
                  <c:v>1.4264750163149347</c:v>
                </c:pt>
                <c:pt idx="16">
                  <c:v>1.6357574386829017</c:v>
                </c:pt>
                <c:pt idx="17">
                  <c:v>1.8324832231363626</c:v>
                </c:pt>
                <c:pt idx="18">
                  <c:v>2.0000260330952391</c:v>
                </c:pt>
                <c:pt idx="19">
                  <c:v>2.1429230774826822</c:v>
                </c:pt>
                <c:pt idx="20">
                  <c:v>2.2683506163387452</c:v>
                </c:pt>
                <c:pt idx="21">
                  <c:v>2.3718681476201291</c:v>
                </c:pt>
                <c:pt idx="22">
                  <c:v>2.4453168449296538</c:v>
                </c:pt>
                <c:pt idx="23">
                  <c:v>2.4775278984025979</c:v>
                </c:pt>
                <c:pt idx="24">
                  <c:v>2.4868574536277084</c:v>
                </c:pt>
                <c:pt idx="25">
                  <c:v>2.4694044546103897</c:v>
                </c:pt>
                <c:pt idx="26">
                  <c:v>2.4107719553409104</c:v>
                </c:pt>
                <c:pt idx="27">
                  <c:v>2.3213210644848488</c:v>
                </c:pt>
                <c:pt idx="28">
                  <c:v>2.2145308644058419</c:v>
                </c:pt>
                <c:pt idx="29">
                  <c:v>2.0792120568419916</c:v>
                </c:pt>
                <c:pt idx="30">
                  <c:v>1.935409383418832</c:v>
                </c:pt>
                <c:pt idx="31">
                  <c:v>1.7623617126147204</c:v>
                </c:pt>
                <c:pt idx="32">
                  <c:v>1.5674691972619035</c:v>
                </c:pt>
                <c:pt idx="33">
                  <c:v>1.3321618773625539</c:v>
                </c:pt>
                <c:pt idx="34">
                  <c:v>1.1119305497781382</c:v>
                </c:pt>
                <c:pt idx="35">
                  <c:v>0.88562919063961099</c:v>
                </c:pt>
                <c:pt idx="36">
                  <c:v>0.66671759079004422</c:v>
                </c:pt>
                <c:pt idx="37">
                  <c:v>0.45565596277597431</c:v>
                </c:pt>
                <c:pt idx="38">
                  <c:v>0.26607586483982665</c:v>
                </c:pt>
                <c:pt idx="39">
                  <c:v>7.7412625061688292E-2</c:v>
                </c:pt>
                <c:pt idx="40">
                  <c:v>1.4277403309523812E-2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D0-46A8-A38F-D0312FBA1E18}"/>
            </c:ext>
          </c:extLst>
        </c:ser>
        <c:ser>
          <c:idx val="2"/>
          <c:order val="2"/>
          <c:tx>
            <c:v>charging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5.1948051948051951E-5</c:v>
                </c:pt>
                <c:pt idx="9">
                  <c:v>7.4155844155844114E-2</c:v>
                </c:pt>
                <c:pt idx="10">
                  <c:v>0.22951948051948048</c:v>
                </c:pt>
                <c:pt idx="11">
                  <c:v>0.41070129870129873</c:v>
                </c:pt>
                <c:pt idx="12">
                  <c:v>0.6317922077922079</c:v>
                </c:pt>
                <c:pt idx="13">
                  <c:v>0.8201688311688311</c:v>
                </c:pt>
                <c:pt idx="14">
                  <c:v>1.0652987012987012</c:v>
                </c:pt>
                <c:pt idx="15">
                  <c:v>1.1604415584415586</c:v>
                </c:pt>
                <c:pt idx="16">
                  <c:v>0.81971428571428573</c:v>
                </c:pt>
                <c:pt idx="17">
                  <c:v>0.50855844155844154</c:v>
                </c:pt>
                <c:pt idx="18">
                  <c:v>0.34736363636363637</c:v>
                </c:pt>
                <c:pt idx="19">
                  <c:v>0.2324285714285714</c:v>
                </c:pt>
                <c:pt idx="20">
                  <c:v>0.16262337662337661</c:v>
                </c:pt>
                <c:pt idx="21">
                  <c:v>0.10880519480519481</c:v>
                </c:pt>
                <c:pt idx="22">
                  <c:v>0.12266233766233767</c:v>
                </c:pt>
                <c:pt idx="23">
                  <c:v>6.8194805194805197E-2</c:v>
                </c:pt>
                <c:pt idx="24">
                  <c:v>4.987012987012987E-2</c:v>
                </c:pt>
                <c:pt idx="25">
                  <c:v>2.294805194805195E-2</c:v>
                </c:pt>
                <c:pt idx="26">
                  <c:v>3.5896103896103898E-2</c:v>
                </c:pt>
                <c:pt idx="27">
                  <c:v>5.2584415584415588E-2</c:v>
                </c:pt>
                <c:pt idx="28">
                  <c:v>7.8623376623376623E-2</c:v>
                </c:pt>
                <c:pt idx="29">
                  <c:v>5.3415584415584423E-2</c:v>
                </c:pt>
                <c:pt idx="30">
                  <c:v>1.5103896103896102E-2</c:v>
                </c:pt>
                <c:pt idx="31">
                  <c:v>2.6493506493506492E-3</c:v>
                </c:pt>
                <c:pt idx="32">
                  <c:v>7.4805194805194816E-3</c:v>
                </c:pt>
                <c:pt idx="33">
                  <c:v>1.8051948051948055E-2</c:v>
                </c:pt>
                <c:pt idx="34">
                  <c:v>1.7012987012987014E-2</c:v>
                </c:pt>
                <c:pt idx="35">
                  <c:v>2.179220779220779E-2</c:v>
                </c:pt>
                <c:pt idx="36">
                  <c:v>8.2077922077922073E-3</c:v>
                </c:pt>
                <c:pt idx="37">
                  <c:v>1.0792207792207792E-2</c:v>
                </c:pt>
                <c:pt idx="38">
                  <c:v>7.9610389610389604E-3</c:v>
                </c:pt>
                <c:pt idx="39">
                  <c:v>2.7272727272727274E-4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D0-46A8-A38F-D0312FBA1E18}"/>
            </c:ext>
          </c:extLst>
        </c:ser>
        <c:ser>
          <c:idx val="3"/>
          <c:order val="3"/>
          <c:tx>
            <c:v>discharging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ChartData!$X$2:$X$49</c:f>
              <c:numCache>
                <c:formatCode>#,##0.000</c:formatCode>
                <c:ptCount val="48"/>
                <c:pt idx="0">
                  <c:v>0.27302597402597395</c:v>
                </c:pt>
                <c:pt idx="1">
                  <c:v>0.17599999999999996</c:v>
                </c:pt>
                <c:pt idx="2">
                  <c:v>0.12401298701298701</c:v>
                </c:pt>
                <c:pt idx="3">
                  <c:v>0.13924675324675323</c:v>
                </c:pt>
                <c:pt idx="4">
                  <c:v>0.10158441558441557</c:v>
                </c:pt>
                <c:pt idx="5">
                  <c:v>0.12122077922077919</c:v>
                </c:pt>
                <c:pt idx="6">
                  <c:v>0.12644155844155838</c:v>
                </c:pt>
                <c:pt idx="7">
                  <c:v>9.4415584415584397E-2</c:v>
                </c:pt>
                <c:pt idx="8">
                  <c:v>8.7561889824675249E-2</c:v>
                </c:pt>
                <c:pt idx="9">
                  <c:v>2.290909090909091E-2</c:v>
                </c:pt>
                <c:pt idx="10">
                  <c:v>4.1558441558441558E-3</c:v>
                </c:pt>
                <c:pt idx="11">
                  <c:v>3.5064935064935067E-4</c:v>
                </c:pt>
                <c:pt idx="12">
                  <c:v>0</c:v>
                </c:pt>
                <c:pt idx="13">
                  <c:v>1.661038961038961E-2</c:v>
                </c:pt>
                <c:pt idx="14">
                  <c:v>1.4506493506493506E-2</c:v>
                </c:pt>
                <c:pt idx="15">
                  <c:v>8.5584415584415586E-3</c:v>
                </c:pt>
                <c:pt idx="16">
                  <c:v>0</c:v>
                </c:pt>
                <c:pt idx="17">
                  <c:v>3.7675324675324674E-2</c:v>
                </c:pt>
                <c:pt idx="18">
                  <c:v>1.3233766233766233E-2</c:v>
                </c:pt>
                <c:pt idx="19">
                  <c:v>4.5714285714285709E-3</c:v>
                </c:pt>
                <c:pt idx="20">
                  <c:v>3.2558441558441557E-2</c:v>
                </c:pt>
                <c:pt idx="21">
                  <c:v>7.7792207792207789E-3</c:v>
                </c:pt>
                <c:pt idx="22">
                  <c:v>7.4935064935064948E-3</c:v>
                </c:pt>
                <c:pt idx="23">
                  <c:v>4.3415584415584421E-2</c:v>
                </c:pt>
                <c:pt idx="24">
                  <c:v>3.4012987012987009E-2</c:v>
                </c:pt>
                <c:pt idx="25">
                  <c:v>2.2467532467532466E-2</c:v>
                </c:pt>
                <c:pt idx="26">
                  <c:v>4.3467532467532474E-2</c:v>
                </c:pt>
                <c:pt idx="27">
                  <c:v>1.0220779220779221E-2</c:v>
                </c:pt>
                <c:pt idx="28">
                  <c:v>1.6870129870129872E-2</c:v>
                </c:pt>
                <c:pt idx="29">
                  <c:v>0</c:v>
                </c:pt>
                <c:pt idx="30">
                  <c:v>2.0363636363636365E-2</c:v>
                </c:pt>
                <c:pt idx="31">
                  <c:v>1.8142857142857145E-2</c:v>
                </c:pt>
                <c:pt idx="32">
                  <c:v>8.5844155844155851E-3</c:v>
                </c:pt>
                <c:pt idx="33">
                  <c:v>4.3415584415584414E-2</c:v>
                </c:pt>
                <c:pt idx="34">
                  <c:v>8.9350649350649361E-2</c:v>
                </c:pt>
                <c:pt idx="35">
                  <c:v>7.3077922077922075E-2</c:v>
                </c:pt>
                <c:pt idx="36">
                  <c:v>0.16349350649350652</c:v>
                </c:pt>
                <c:pt idx="37">
                  <c:v>0.12454545454545454</c:v>
                </c:pt>
                <c:pt idx="38">
                  <c:v>0.16212987012987015</c:v>
                </c:pt>
                <c:pt idx="39">
                  <c:v>0.31418181818181823</c:v>
                </c:pt>
                <c:pt idx="40">
                  <c:v>0.51212987012987021</c:v>
                </c:pt>
                <c:pt idx="41">
                  <c:v>0.53601298701298716</c:v>
                </c:pt>
                <c:pt idx="42">
                  <c:v>0.51762337662337643</c:v>
                </c:pt>
                <c:pt idx="43">
                  <c:v>0.52020779220779201</c:v>
                </c:pt>
                <c:pt idx="44">
                  <c:v>0.44796103896103906</c:v>
                </c:pt>
                <c:pt idx="45">
                  <c:v>0.34941558441558446</c:v>
                </c:pt>
                <c:pt idx="46">
                  <c:v>0.28150649350649343</c:v>
                </c:pt>
                <c:pt idx="47">
                  <c:v>0.21720779220779232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D0-46A8-A38F-D0312FBA1E18}"/>
            </c:ext>
          </c:extLst>
        </c:ser>
        <c:ser>
          <c:idx val="4"/>
          <c:order val="4"/>
          <c:tx>
            <c:v>net exchange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ChartData!$Y$2:$Y$49</c:f>
              <c:numCache>
                <c:formatCode>#,##0.000</c:formatCode>
                <c:ptCount val="48"/>
                <c:pt idx="0">
                  <c:v>6.24863636363715E-4</c:v>
                </c:pt>
                <c:pt idx="1">
                  <c:v>1.9169774891775182E-3</c:v>
                </c:pt>
                <c:pt idx="2">
                  <c:v>1.7353116883117164E-3</c:v>
                </c:pt>
                <c:pt idx="3">
                  <c:v>2.6181549783549363E-3</c:v>
                </c:pt>
                <c:pt idx="4">
                  <c:v>4.8003160173160503E-3</c:v>
                </c:pt>
                <c:pt idx="5">
                  <c:v>3.2836787878789409E-3</c:v>
                </c:pt>
                <c:pt idx="6">
                  <c:v>5.6018441558441656E-3</c:v>
                </c:pt>
                <c:pt idx="7">
                  <c:v>5.3688957640693064E-3</c:v>
                </c:pt>
                <c:pt idx="8">
                  <c:v>6.4570078311689816E-3</c:v>
                </c:pt>
                <c:pt idx="9">
                  <c:v>-2.9369514069361308E-5</c:v>
                </c:pt>
                <c:pt idx="10">
                  <c:v>6.6844846536690677E-4</c:v>
                </c:pt>
                <c:pt idx="11">
                  <c:v>3.6063922078805695E-5</c:v>
                </c:pt>
                <c:pt idx="12">
                  <c:v>4.8331812769752958E-5</c:v>
                </c:pt>
                <c:pt idx="13">
                  <c:v>4.3145603897197515E-5</c:v>
                </c:pt>
                <c:pt idx="14">
                  <c:v>2.3313767315864126E-5</c:v>
                </c:pt>
                <c:pt idx="15">
                  <c:v>-7.1464112418830564E-2</c:v>
                </c:pt>
                <c:pt idx="16">
                  <c:v>-0.57564057591233897</c:v>
                </c:pt>
                <c:pt idx="17">
                  <c:v>-0.93423942746536648</c:v>
                </c:pt>
                <c:pt idx="18">
                  <c:v>-1.2803331828787889</c:v>
                </c:pt>
                <c:pt idx="19">
                  <c:v>-1.5453660251017296</c:v>
                </c:pt>
                <c:pt idx="20">
                  <c:v>-1.7389046418798704</c:v>
                </c:pt>
                <c:pt idx="21">
                  <c:v>-1.8872785316028131</c:v>
                </c:pt>
                <c:pt idx="22">
                  <c:v>-1.9435525163582255</c:v>
                </c:pt>
                <c:pt idx="23">
                  <c:v>-1.9992191685324681</c:v>
                </c:pt>
                <c:pt idx="24">
                  <c:v>-2.0821233847965392</c:v>
                </c:pt>
                <c:pt idx="25">
                  <c:v>-2.1110055740909095</c:v>
                </c:pt>
                <c:pt idx="26">
                  <c:v>-2.1125502891071442</c:v>
                </c:pt>
                <c:pt idx="27">
                  <c:v>-2.0005828450043293</c:v>
                </c:pt>
                <c:pt idx="28">
                  <c:v>-1.8118591739296517</c:v>
                </c:pt>
                <c:pt idx="29">
                  <c:v>-1.6982478061926412</c:v>
                </c:pt>
                <c:pt idx="30">
                  <c:v>-1.6699999098257583</c:v>
                </c:pt>
                <c:pt idx="31">
                  <c:v>-1.474925909151517</c:v>
                </c:pt>
                <c:pt idx="32">
                  <c:v>-1.2549838466125529</c:v>
                </c:pt>
                <c:pt idx="33">
                  <c:v>-1.0133087349383112</c:v>
                </c:pt>
                <c:pt idx="34">
                  <c:v>-0.77087736276515106</c:v>
                </c:pt>
                <c:pt idx="35">
                  <c:v>-0.56173590925432937</c:v>
                </c:pt>
                <c:pt idx="36">
                  <c:v>-0.36792109598484946</c:v>
                </c:pt>
                <c:pt idx="37">
                  <c:v>-0.20042438571969715</c:v>
                </c:pt>
                <c:pt idx="38">
                  <c:v>-4.177979341125522E-2</c:v>
                </c:pt>
                <c:pt idx="39">
                  <c:v>1.9348938574675401E-2</c:v>
                </c:pt>
                <c:pt idx="40">
                  <c:v>1.4326200586579851E-2</c:v>
                </c:pt>
                <c:pt idx="41">
                  <c:v>4.351730865800818E-2</c:v>
                </c:pt>
                <c:pt idx="42">
                  <c:v>5.117771212121236E-2</c:v>
                </c:pt>
                <c:pt idx="43">
                  <c:v>5.8188692640692818E-2</c:v>
                </c:pt>
                <c:pt idx="44">
                  <c:v>8.2548350649350899E-2</c:v>
                </c:pt>
                <c:pt idx="45">
                  <c:v>7.5936658008657842E-2</c:v>
                </c:pt>
                <c:pt idx="46">
                  <c:v>8.8515341991342034E-2</c:v>
                </c:pt>
                <c:pt idx="47">
                  <c:v>6.7101551515151375E-2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D0-46A8-A38F-D0312FBA1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Hour of day</a:t>
                </a:r>
              </a:p>
            </c:rich>
          </c:tx>
          <c:overlay val="0"/>
        </c:title>
        <c:numFmt formatCode="0.0" sourceLinked="1"/>
        <c:majorTickMark val="cross"/>
        <c:minorTickMark val="none"/>
        <c:tickLblPos val="low"/>
        <c:spPr>
          <a:ln/>
        </c:spPr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10"/>
        <c:tickLblSkip val="2"/>
        <c:noMultiLvlLbl val="0"/>
      </c:catAx>
      <c:valAx>
        <c:axId val="48672768"/>
        <c:scaling>
          <c:orientation val="minMax"/>
          <c:max val="2.7"/>
          <c:min val="-2.2999999999999998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Average per prosumer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75"/>
              <a:t>Self-consumption residual per prosumer -  TR1
net is driven to zero except when storage saturates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BES_TR1_one223_B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Net_kW!$C$2:$C$49</c:f>
              <c:numCache>
                <c:formatCode>#,##0.000</c:formatCode>
                <c:ptCount val="48"/>
                <c:pt idx="0">
                  <c:v>3.0066666666700442E-4</c:v>
                </c:pt>
                <c:pt idx="1">
                  <c:v>4.019999999999857E-4</c:v>
                </c:pt>
                <c:pt idx="2">
                  <c:v>-3.4699999999998621E-4</c:v>
                </c:pt>
                <c:pt idx="3">
                  <c:v>1.5666666666996901E-5</c:v>
                </c:pt>
                <c:pt idx="4">
                  <c:v>-9.8000000000014742E-5</c:v>
                </c:pt>
                <c:pt idx="5">
                  <c:v>3.6266666666701092E-4</c:v>
                </c:pt>
                <c:pt idx="6">
                  <c:v>-1.3600000000002499E-4</c:v>
                </c:pt>
                <c:pt idx="7">
                  <c:v>-4.4080346666667408E-4</c:v>
                </c:pt>
                <c:pt idx="8">
                  <c:v>-2.5382586666619628E-4</c:v>
                </c:pt>
                <c:pt idx="9">
                  <c:v>2.964428000000012E-4</c:v>
                </c:pt>
                <c:pt idx="10">
                  <c:v>-4.8288266667972923E-5</c:v>
                </c:pt>
                <c:pt idx="11">
                  <c:v>2.3035680000105249E-4</c:v>
                </c:pt>
                <c:pt idx="12">
                  <c:v>-6.8592666668143565E-5</c:v>
                </c:pt>
                <c:pt idx="13">
                  <c:v>-4.9650106666510041E-4</c:v>
                </c:pt>
                <c:pt idx="14">
                  <c:v>4.375452000000557E-4</c:v>
                </c:pt>
                <c:pt idx="15">
                  <c:v>-3.4423333332922468E-5</c:v>
                </c:pt>
                <c:pt idx="16">
                  <c:v>-0.86417253160000118</c:v>
                </c:pt>
                <c:pt idx="17">
                  <c:v>-1.4137242669333301</c:v>
                </c:pt>
                <c:pt idx="18">
                  <c:v>-2.388895362666668</c:v>
                </c:pt>
                <c:pt idx="19">
                  <c:v>-2.6550327394666651</c:v>
                </c:pt>
                <c:pt idx="20">
                  <c:v>-2.7080849430666678</c:v>
                </c:pt>
                <c:pt idx="21">
                  <c:v>-2.14202945453333</c:v>
                </c:pt>
                <c:pt idx="22">
                  <c:v>-2.9365429246666679</c:v>
                </c:pt>
                <c:pt idx="23">
                  <c:v>-3.3525107088000001</c:v>
                </c:pt>
                <c:pt idx="24">
                  <c:v>-3.1443043290666681</c:v>
                </c:pt>
                <c:pt idx="25">
                  <c:v>-3.3203280053333328</c:v>
                </c:pt>
                <c:pt idx="26">
                  <c:v>-3.283573482</c:v>
                </c:pt>
                <c:pt idx="27">
                  <c:v>-2.8979226608000008</c:v>
                </c:pt>
                <c:pt idx="28">
                  <c:v>-2.9612778932000001</c:v>
                </c:pt>
                <c:pt idx="29">
                  <c:v>-2.7470478397333351</c:v>
                </c:pt>
                <c:pt idx="30">
                  <c:v>-2.3830424948000002</c:v>
                </c:pt>
                <c:pt idx="31">
                  <c:v>-2.3935838538666681</c:v>
                </c:pt>
                <c:pt idx="32">
                  <c:v>-1.699426390666666</c:v>
                </c:pt>
                <c:pt idx="33">
                  <c:v>-1.665474972933332</c:v>
                </c:pt>
                <c:pt idx="34">
                  <c:v>-1.426886893999999</c:v>
                </c:pt>
                <c:pt idx="35">
                  <c:v>-0.97699555453333309</c:v>
                </c:pt>
                <c:pt idx="36">
                  <c:v>-0.64004426800000103</c:v>
                </c:pt>
                <c:pt idx="37">
                  <c:v>-0.43401839266666697</c:v>
                </c:pt>
                <c:pt idx="38">
                  <c:v>-0.1105757477333332</c:v>
                </c:pt>
                <c:pt idx="39">
                  <c:v>4.727182666670604E-4</c:v>
                </c:pt>
                <c:pt idx="40">
                  <c:v>-3.244429333365551E-4</c:v>
                </c:pt>
                <c:pt idx="41">
                  <c:v>2.7633333333298982E-4</c:v>
                </c:pt>
                <c:pt idx="42">
                  <c:v>3.3566666666706713E-4</c:v>
                </c:pt>
                <c:pt idx="43">
                  <c:v>-2.8633333333294431E-4</c:v>
                </c:pt>
                <c:pt idx="44">
                  <c:v>3.3666666670040257E-5</c:v>
                </c:pt>
                <c:pt idx="45">
                  <c:v>9.3333333330836155E-6</c:v>
                </c:pt>
                <c:pt idx="46">
                  <c:v>3.219999999999335E-4</c:v>
                </c:pt>
                <c:pt idx="47">
                  <c:v>6.7666666667021147E-5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C-416A-AF76-2639CB973406}"/>
            </c:ext>
          </c:extLst>
        </c:ser>
        <c:ser>
          <c:idx val="1"/>
          <c:order val="1"/>
          <c:tx>
            <c:v>BES_TR1_one313_A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Net_kW!$D$2:$D$49</c:f>
              <c:numCache>
                <c:formatCode>#,##0.000</c:formatCode>
                <c:ptCount val="48"/>
                <c:pt idx="0">
                  <c:v>4.2666666666670022E-4</c:v>
                </c:pt>
                <c:pt idx="1">
                  <c:v>0</c:v>
                </c:pt>
                <c:pt idx="2">
                  <c:v>0</c:v>
                </c:pt>
                <c:pt idx="3">
                  <c:v>4.2666666666670022E-4</c:v>
                </c:pt>
                <c:pt idx="4">
                  <c:v>2.4666666666697812E-4</c:v>
                </c:pt>
                <c:pt idx="5">
                  <c:v>0</c:v>
                </c:pt>
                <c:pt idx="6">
                  <c:v>-3.2666666666700261E-4</c:v>
                </c:pt>
                <c:pt idx="7">
                  <c:v>-4.4080346666666709E-4</c:v>
                </c:pt>
                <c:pt idx="8">
                  <c:v>-9.4492533333212503E-5</c:v>
                </c:pt>
                <c:pt idx="9">
                  <c:v>4.597761333329925E-4</c:v>
                </c:pt>
                <c:pt idx="10">
                  <c:v>4.6304506666527972E-4</c:v>
                </c:pt>
                <c:pt idx="11">
                  <c:v>1.20234666680652E-5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4.2354520000009721E-4</c:v>
                </c:pt>
                <c:pt idx="15">
                  <c:v>-0.36091709000000011</c:v>
                </c:pt>
                <c:pt idx="16">
                  <c:v>-2.2243293982666681</c:v>
                </c:pt>
                <c:pt idx="17">
                  <c:v>-2.2935509336000002</c:v>
                </c:pt>
                <c:pt idx="18">
                  <c:v>-2.4985766960000011</c:v>
                </c:pt>
                <c:pt idx="19">
                  <c:v>-2.7127734061333322</c:v>
                </c:pt>
                <c:pt idx="20">
                  <c:v>-2.7133076097333348</c:v>
                </c:pt>
                <c:pt idx="21">
                  <c:v>-3.0354184545333331</c:v>
                </c:pt>
                <c:pt idx="22">
                  <c:v>-3.1771159246666678</c:v>
                </c:pt>
                <c:pt idx="23">
                  <c:v>-2.9990110421333331</c:v>
                </c:pt>
                <c:pt idx="24">
                  <c:v>-3.3522779957333348</c:v>
                </c:pt>
                <c:pt idx="25">
                  <c:v>-3.2830750053333331</c:v>
                </c:pt>
                <c:pt idx="26">
                  <c:v>-3.2427318153333329</c:v>
                </c:pt>
                <c:pt idx="27">
                  <c:v>-3.139317660800002</c:v>
                </c:pt>
                <c:pt idx="28">
                  <c:v>-2.9098512265333332</c:v>
                </c:pt>
                <c:pt idx="29">
                  <c:v>-2.8381901730666681</c:v>
                </c:pt>
                <c:pt idx="30">
                  <c:v>-2.5166684948000002</c:v>
                </c:pt>
                <c:pt idx="31">
                  <c:v>-2.3723705205333339</c:v>
                </c:pt>
                <c:pt idx="32">
                  <c:v>-2.0957833906666652</c:v>
                </c:pt>
                <c:pt idx="33">
                  <c:v>-1.688414606266665</c:v>
                </c:pt>
                <c:pt idx="34">
                  <c:v>-1.4992117273333321</c:v>
                </c:pt>
                <c:pt idx="35">
                  <c:v>-1.1859496212</c:v>
                </c:pt>
                <c:pt idx="36">
                  <c:v>-0.88291693466666799</c:v>
                </c:pt>
                <c:pt idx="37">
                  <c:v>-0.44107739266666701</c:v>
                </c:pt>
                <c:pt idx="38">
                  <c:v>-0.3283207477333332</c:v>
                </c:pt>
                <c:pt idx="39">
                  <c:v>-6.7159948400000002E-2</c:v>
                </c:pt>
                <c:pt idx="40">
                  <c:v>-9.044293333368425E-5</c:v>
                </c:pt>
                <c:pt idx="41">
                  <c:v>0</c:v>
                </c:pt>
                <c:pt idx="42">
                  <c:v>0</c:v>
                </c:pt>
                <c:pt idx="43">
                  <c:v>4.099999999999937E-4</c:v>
                </c:pt>
                <c:pt idx="44">
                  <c:v>2.6333333333300463E-4</c:v>
                </c:pt>
                <c:pt idx="45">
                  <c:v>0</c:v>
                </c:pt>
                <c:pt idx="46">
                  <c:v>-3.5999999999999921E-4</c:v>
                </c:pt>
                <c:pt idx="47">
                  <c:v>3.3333333332996602E-5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8C-416A-AF76-2639CB973406}"/>
            </c:ext>
          </c:extLst>
        </c:ser>
        <c:ser>
          <c:idx val="2"/>
          <c:order val="2"/>
          <c:tx>
            <c:v>BES_TR1_one320_B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Net_kW!$E$2:$E$49</c:f>
              <c:numCache>
                <c:formatCode>#,##0.000</c:formatCode>
                <c:ptCount val="48"/>
                <c:pt idx="0">
                  <c:v>0</c:v>
                </c:pt>
                <c:pt idx="1">
                  <c:v>2.19999999999998E-4</c:v>
                </c:pt>
                <c:pt idx="2">
                  <c:v>0</c:v>
                </c:pt>
                <c:pt idx="3">
                  <c:v>2.19999999999998E-4</c:v>
                </c:pt>
                <c:pt idx="4">
                  <c:v>0</c:v>
                </c:pt>
                <c:pt idx="5">
                  <c:v>-1.3000000000000511E-4</c:v>
                </c:pt>
                <c:pt idx="6">
                  <c:v>3.4999999999998921E-4</c:v>
                </c:pt>
                <c:pt idx="7">
                  <c:v>2.7959826666666693E-4</c:v>
                </c:pt>
                <c:pt idx="8">
                  <c:v>1.3275373333340029E-4</c:v>
                </c:pt>
                <c:pt idx="9">
                  <c:v>-2.8677859999999561E-4</c:v>
                </c:pt>
                <c:pt idx="10">
                  <c:v>3.298558666660345E-4</c:v>
                </c:pt>
                <c:pt idx="11">
                  <c:v>2.9101173333404012E-4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-1.09727400000037E-4</c:v>
                </c:pt>
                <c:pt idx="15">
                  <c:v>3.6955000000005178E-5</c:v>
                </c:pt>
                <c:pt idx="16">
                  <c:v>-1.646991333339454E-4</c:v>
                </c:pt>
                <c:pt idx="17">
                  <c:v>-3.2546679999989608E-4</c:v>
                </c:pt>
                <c:pt idx="18">
                  <c:v>-0.71606768133333409</c:v>
                </c:pt>
                <c:pt idx="19">
                  <c:v>-1.4331917030666661</c:v>
                </c:pt>
                <c:pt idx="20">
                  <c:v>-1.436784471533334</c:v>
                </c:pt>
                <c:pt idx="21">
                  <c:v>-1.5132125606</c:v>
                </c:pt>
                <c:pt idx="22">
                  <c:v>-1.559268962333334</c:v>
                </c:pt>
                <c:pt idx="23">
                  <c:v>-1.6647833543999999</c:v>
                </c:pt>
                <c:pt idx="24">
                  <c:v>-1.4656036645333339</c:v>
                </c:pt>
                <c:pt idx="25">
                  <c:v>-1.3652815026666669</c:v>
                </c:pt>
                <c:pt idx="26">
                  <c:v>-1.1525422409999999</c:v>
                </c:pt>
                <c:pt idx="27">
                  <c:v>-1.3900928304000011</c:v>
                </c:pt>
                <c:pt idx="28">
                  <c:v>-1.2798739466</c:v>
                </c:pt>
                <c:pt idx="29">
                  <c:v>-1.2590390865333341</c:v>
                </c:pt>
                <c:pt idx="30">
                  <c:v>-1.0691165807333329</c:v>
                </c:pt>
                <c:pt idx="31">
                  <c:v>-0.72891259360000094</c:v>
                </c:pt>
                <c:pt idx="32">
                  <c:v>-0.79879969533333295</c:v>
                </c:pt>
                <c:pt idx="33">
                  <c:v>-0.79642376979999896</c:v>
                </c:pt>
                <c:pt idx="34">
                  <c:v>-0.54712086366666601</c:v>
                </c:pt>
                <c:pt idx="35">
                  <c:v>-0.5236921439333333</c:v>
                </c:pt>
                <c:pt idx="36">
                  <c:v>-0.19061746733333401</c:v>
                </c:pt>
                <c:pt idx="37">
                  <c:v>-8.2882363000000014E-2</c:v>
                </c:pt>
                <c:pt idx="38">
                  <c:v>4.1329280000043661E-4</c:v>
                </c:pt>
                <c:pt idx="39">
                  <c:v>-9.3307533330255765E-5</c:v>
                </c:pt>
                <c:pt idx="40">
                  <c:v>-4.9388813333339776E-4</c:v>
                </c:pt>
                <c:pt idx="41">
                  <c:v>2.2999999999995249E-4</c:v>
                </c:pt>
                <c:pt idx="42">
                  <c:v>-8.7000000000003741E-5</c:v>
                </c:pt>
                <c:pt idx="43">
                  <c:v>4.443333333329913E-4</c:v>
                </c:pt>
                <c:pt idx="44">
                  <c:v>3.6999999999953743E-5</c:v>
                </c:pt>
                <c:pt idx="45">
                  <c:v>2.699999999999925E-5</c:v>
                </c:pt>
                <c:pt idx="46">
                  <c:v>-1.3966666666703759E-4</c:v>
                </c:pt>
                <c:pt idx="47">
                  <c:v>4.9599999999982991E-5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8C-416A-AF76-2639CB973406}"/>
            </c:ext>
          </c:extLst>
        </c:ser>
        <c:ser>
          <c:idx val="3"/>
          <c:order val="3"/>
          <c:tx>
            <c:v>BES_TR1_one321_C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4.533333333330003E-4</c:v>
                </c:pt>
                <c:pt idx="4">
                  <c:v>0</c:v>
                </c:pt>
                <c:pt idx="5">
                  <c:v>4.533333333330003E-4</c:v>
                </c:pt>
                <c:pt idx="6">
                  <c:v>0</c:v>
                </c:pt>
                <c:pt idx="7">
                  <c:v>1.6719653333333029E-4</c:v>
                </c:pt>
                <c:pt idx="8">
                  <c:v>1.108408000000984E-4</c:v>
                </c:pt>
                <c:pt idx="9">
                  <c:v>3.4442799999992453E-5</c:v>
                </c:pt>
                <c:pt idx="10">
                  <c:v>-4.9495493333467921E-4</c:v>
                </c:pt>
                <c:pt idx="11">
                  <c:v>1.420234666680287E-4</c:v>
                </c:pt>
                <c:pt idx="12">
                  <c:v>-4.5992600000144268E-4</c:v>
                </c:pt>
                <c:pt idx="13">
                  <c:v>2.5349893333492801E-4</c:v>
                </c:pt>
                <c:pt idx="14">
                  <c:v>4.0545199999852948E-5</c:v>
                </c:pt>
                <c:pt idx="15">
                  <c:v>-0.59801275666666687</c:v>
                </c:pt>
                <c:pt idx="16">
                  <c:v>-1.9521453982666681</c:v>
                </c:pt>
                <c:pt idx="17">
                  <c:v>-1.8103849336</c:v>
                </c:pt>
                <c:pt idx="18">
                  <c:v>-2.486674696000001</c:v>
                </c:pt>
                <c:pt idx="19">
                  <c:v>-2.6476717394666651</c:v>
                </c:pt>
                <c:pt idx="20">
                  <c:v>-2.8735226097333348</c:v>
                </c:pt>
                <c:pt idx="21">
                  <c:v>-3.0802411878666671</c:v>
                </c:pt>
                <c:pt idx="22">
                  <c:v>-3.2648519246666678</c:v>
                </c:pt>
                <c:pt idx="23">
                  <c:v>-3.213879375466667</c:v>
                </c:pt>
                <c:pt idx="24">
                  <c:v>-3.3854813290666681</c:v>
                </c:pt>
                <c:pt idx="25">
                  <c:v>-3.2428683386666668</c:v>
                </c:pt>
                <c:pt idx="26">
                  <c:v>-3.229429482</c:v>
                </c:pt>
                <c:pt idx="27">
                  <c:v>-2.848938327466668</c:v>
                </c:pt>
                <c:pt idx="28">
                  <c:v>-2.7619902265333329</c:v>
                </c:pt>
                <c:pt idx="29">
                  <c:v>-2.510871173066668</c:v>
                </c:pt>
                <c:pt idx="30">
                  <c:v>-2.2882841614666658</c:v>
                </c:pt>
                <c:pt idx="31">
                  <c:v>-2.294301853866668</c:v>
                </c:pt>
                <c:pt idx="32">
                  <c:v>-1.9711095906666649</c:v>
                </c:pt>
                <c:pt idx="33">
                  <c:v>-1.5420119395999989</c:v>
                </c:pt>
                <c:pt idx="34">
                  <c:v>-1.482211727333332</c:v>
                </c:pt>
                <c:pt idx="35">
                  <c:v>-0.93864762120000012</c:v>
                </c:pt>
                <c:pt idx="36">
                  <c:v>-0.69804660133333507</c:v>
                </c:pt>
                <c:pt idx="37">
                  <c:v>-0.55598272600000009</c:v>
                </c:pt>
                <c:pt idx="38">
                  <c:v>-0.31132074773333318</c:v>
                </c:pt>
                <c:pt idx="39">
                  <c:v>4.4805160000000588E-4</c:v>
                </c:pt>
                <c:pt idx="40">
                  <c:v>8.1557066666619604E-5</c:v>
                </c:pt>
                <c:pt idx="41">
                  <c:v>-4.6400000000000607E-4</c:v>
                </c:pt>
                <c:pt idx="42">
                  <c:v>-8.2666666666980637E-5</c:v>
                </c:pt>
                <c:pt idx="43">
                  <c:v>-4.6400000000000607E-4</c:v>
                </c:pt>
                <c:pt idx="44">
                  <c:v>-8.2666666666980637E-5</c:v>
                </c:pt>
                <c:pt idx="45">
                  <c:v>0</c:v>
                </c:pt>
                <c:pt idx="46">
                  <c:v>0</c:v>
                </c:pt>
                <c:pt idx="47">
                  <c:v>-8.2666666666980637E-5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8C-416A-AF76-2639CB973406}"/>
            </c:ext>
          </c:extLst>
        </c:ser>
        <c:ser>
          <c:idx val="4"/>
          <c:order val="4"/>
          <c:tx>
            <c:v>BES_TR1_one346_C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2.5800000000000822E-4</c:v>
                </c:pt>
                <c:pt idx="3">
                  <c:v>0</c:v>
                </c:pt>
                <c:pt idx="4">
                  <c:v>-4.149999999999987E-4</c:v>
                </c:pt>
                <c:pt idx="5">
                  <c:v>-3.2699999999999402E-4</c:v>
                </c:pt>
                <c:pt idx="6">
                  <c:v>-2.8300000000000552E-4</c:v>
                </c:pt>
                <c:pt idx="7">
                  <c:v>-3.9602600000021582E-5</c:v>
                </c:pt>
                <c:pt idx="8">
                  <c:v>-3.0086939999990348E-4</c:v>
                </c:pt>
                <c:pt idx="9">
                  <c:v>-4.3016789999998639E-4</c:v>
                </c:pt>
                <c:pt idx="10">
                  <c:v>-5.2162000009903231E-6</c:v>
                </c:pt>
                <c:pt idx="11">
                  <c:v>4.7451760000100102E-4</c:v>
                </c:pt>
                <c:pt idx="12">
                  <c:v>4.5105549999879813E-4</c:v>
                </c:pt>
                <c:pt idx="13">
                  <c:v>1.721242000010115E-4</c:v>
                </c:pt>
                <c:pt idx="14">
                  <c:v>3.1040890000011418E-4</c:v>
                </c:pt>
                <c:pt idx="15">
                  <c:v>3.0432499999788479E-5</c:v>
                </c:pt>
                <c:pt idx="16">
                  <c:v>-8.6423048700000837E-2</c:v>
                </c:pt>
                <c:pt idx="17">
                  <c:v>-1.8040542002</c:v>
                </c:pt>
                <c:pt idx="18">
                  <c:v>-2.0214315220000012</c:v>
                </c:pt>
                <c:pt idx="19">
                  <c:v>-2.1697875545999992</c:v>
                </c:pt>
                <c:pt idx="20">
                  <c:v>-2.1444410406333341</c:v>
                </c:pt>
                <c:pt idx="21">
                  <c:v>-2.4002398408999999</c:v>
                </c:pt>
                <c:pt idx="22">
                  <c:v>-2.4837334435000011</c:v>
                </c:pt>
                <c:pt idx="23">
                  <c:v>-2.4809800316000001</c:v>
                </c:pt>
                <c:pt idx="24">
                  <c:v>-2.4037979968000012</c:v>
                </c:pt>
                <c:pt idx="25">
                  <c:v>-2.5087412539999998</c:v>
                </c:pt>
                <c:pt idx="26">
                  <c:v>-2.4478688614999999</c:v>
                </c:pt>
                <c:pt idx="27">
                  <c:v>-2.2174597456000011</c:v>
                </c:pt>
                <c:pt idx="28">
                  <c:v>-2.2224139199000001</c:v>
                </c:pt>
                <c:pt idx="29">
                  <c:v>-2.1036426298000008</c:v>
                </c:pt>
                <c:pt idx="30">
                  <c:v>-1.9543463711</c:v>
                </c:pt>
                <c:pt idx="31">
                  <c:v>-1.6154298904000011</c:v>
                </c:pt>
                <c:pt idx="32">
                  <c:v>-1.5618589763333319</c:v>
                </c:pt>
                <c:pt idx="33">
                  <c:v>-1.176034454699999</c:v>
                </c:pt>
                <c:pt idx="34">
                  <c:v>-1.0921697954999989</c:v>
                </c:pt>
                <c:pt idx="35">
                  <c:v>-0.86446221590000005</c:v>
                </c:pt>
                <c:pt idx="36">
                  <c:v>-0.52860270100000106</c:v>
                </c:pt>
                <c:pt idx="37">
                  <c:v>-0.36739004450000001</c:v>
                </c:pt>
                <c:pt idx="38">
                  <c:v>-0.17056756079999991</c:v>
                </c:pt>
                <c:pt idx="39">
                  <c:v>2.1503870000000311E-4</c:v>
                </c:pt>
                <c:pt idx="40">
                  <c:v>1.771677999999888E-4</c:v>
                </c:pt>
                <c:pt idx="41">
                  <c:v>2.390000000000031E-4</c:v>
                </c:pt>
                <c:pt idx="42">
                  <c:v>1.9000000000019002E-5</c:v>
                </c:pt>
                <c:pt idx="43">
                  <c:v>0</c:v>
                </c:pt>
                <c:pt idx="44">
                  <c:v>2.5800000000000822E-4</c:v>
                </c:pt>
                <c:pt idx="45">
                  <c:v>0</c:v>
                </c:pt>
                <c:pt idx="46">
                  <c:v>-4.3999999999988493E-5</c:v>
                </c:pt>
                <c:pt idx="47">
                  <c:v>3.0199999999999672E-4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8C-416A-AF76-2639CB973406}"/>
            </c:ext>
          </c:extLst>
        </c:ser>
        <c:ser>
          <c:idx val="5"/>
          <c:order val="5"/>
          <c:tx>
            <c:v>BES_TR1_one366_B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Net_kW!$H$2:$H$49</c:f>
              <c:numCache>
                <c:formatCode>#,##0.000</c:formatCode>
                <c:ptCount val="48"/>
                <c:pt idx="0">
                  <c:v>-3.7266666666699311E-4</c:v>
                </c:pt>
                <c:pt idx="1">
                  <c:v>-1.2766666666702559E-4</c:v>
                </c:pt>
                <c:pt idx="2">
                  <c:v>1.3333333333340189E-4</c:v>
                </c:pt>
                <c:pt idx="3">
                  <c:v>-3.99333333332974E-4</c:v>
                </c:pt>
                <c:pt idx="4">
                  <c:v>-1.5500000000001621E-4</c:v>
                </c:pt>
                <c:pt idx="5">
                  <c:v>-2.9933333333298512E-4</c:v>
                </c:pt>
                <c:pt idx="6">
                  <c:v>-4.9066666666702785E-4</c:v>
                </c:pt>
                <c:pt idx="7">
                  <c:v>-1.3440173333323371E-4</c:v>
                </c:pt>
                <c:pt idx="8">
                  <c:v>4.8708706666639179E-4</c:v>
                </c:pt>
                <c:pt idx="9">
                  <c:v>-1.711193333299443E-5</c:v>
                </c:pt>
                <c:pt idx="10">
                  <c:v>3.2985586666597899E-4</c:v>
                </c:pt>
                <c:pt idx="11">
                  <c:v>4.6567840000101562E-4</c:v>
                </c:pt>
                <c:pt idx="12">
                  <c:v>-1.4396300000102391E-4</c:v>
                </c:pt>
                <c:pt idx="13">
                  <c:v>-4.0825053333293232E-4</c:v>
                </c:pt>
                <c:pt idx="14">
                  <c:v>-4.739406666709467E-5</c:v>
                </c:pt>
                <c:pt idx="15">
                  <c:v>-1.077116666668987E-4</c:v>
                </c:pt>
                <c:pt idx="16">
                  <c:v>-4.416991333340281E-4</c:v>
                </c:pt>
                <c:pt idx="17">
                  <c:v>4.1286653333316709E-4</c:v>
                </c:pt>
                <c:pt idx="18">
                  <c:v>-1.5934799999994809E-4</c:v>
                </c:pt>
                <c:pt idx="19">
                  <c:v>2.2296933334109429E-5</c:v>
                </c:pt>
                <c:pt idx="20">
                  <c:v>-0.39532980486666691</c:v>
                </c:pt>
                <c:pt idx="21">
                  <c:v>-1.4111438939333329</c:v>
                </c:pt>
                <c:pt idx="22">
                  <c:v>-1.119412295666667</c:v>
                </c:pt>
                <c:pt idx="23">
                  <c:v>-1.4040873544000001</c:v>
                </c:pt>
                <c:pt idx="24">
                  <c:v>-1.394386664533334</c:v>
                </c:pt>
                <c:pt idx="25">
                  <c:v>-1.206587169333333</c:v>
                </c:pt>
                <c:pt idx="26">
                  <c:v>-1.378254241</c:v>
                </c:pt>
                <c:pt idx="27">
                  <c:v>-1.112008497066667</c:v>
                </c:pt>
                <c:pt idx="28">
                  <c:v>-1.3793412799333331</c:v>
                </c:pt>
                <c:pt idx="29">
                  <c:v>-1.103753419866667</c:v>
                </c:pt>
                <c:pt idx="30">
                  <c:v>-0.88267158073333296</c:v>
                </c:pt>
                <c:pt idx="31">
                  <c:v>-0.88432859360000093</c:v>
                </c:pt>
                <c:pt idx="32">
                  <c:v>-0.50164102866666593</c:v>
                </c:pt>
                <c:pt idx="33">
                  <c:v>-0.50017363646666602</c:v>
                </c:pt>
                <c:pt idx="34">
                  <c:v>-0.133696863666666</c:v>
                </c:pt>
                <c:pt idx="35">
                  <c:v>3.2885606666696598E-4</c:v>
                </c:pt>
                <c:pt idx="36">
                  <c:v>-3.704673333337904E-4</c:v>
                </c:pt>
                <c:pt idx="37">
                  <c:v>-2.7336300000002639E-4</c:v>
                </c:pt>
                <c:pt idx="38">
                  <c:v>-4.373738666665627E-4</c:v>
                </c:pt>
                <c:pt idx="39">
                  <c:v>-1.053075333329323E-4</c:v>
                </c:pt>
                <c:pt idx="40">
                  <c:v>-1.8555480000026489E-4</c:v>
                </c:pt>
                <c:pt idx="41">
                  <c:v>2.12000000000101E-4</c:v>
                </c:pt>
                <c:pt idx="42">
                  <c:v>6.8666666670047505E-5</c:v>
                </c:pt>
                <c:pt idx="43">
                  <c:v>-2.2266666666703741E-4</c:v>
                </c:pt>
                <c:pt idx="44">
                  <c:v>1.72913566666667</c:v>
                </c:pt>
                <c:pt idx="45">
                  <c:v>0.75827966666666702</c:v>
                </c:pt>
                <c:pt idx="46">
                  <c:v>2.2277830000000001</c:v>
                </c:pt>
                <c:pt idx="47">
                  <c:v>0.21694833333333399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8C-416A-AF76-2639CB973406}"/>
            </c:ext>
          </c:extLst>
        </c:ser>
        <c:ser>
          <c:idx val="6"/>
          <c:order val="6"/>
          <c:tx>
            <c:v>BES_TR1_one375_C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Net_kW!$I$2:$I$49</c:f>
              <c:numCache>
                <c:formatCode>#,##0.000</c:formatCode>
                <c:ptCount val="48"/>
                <c:pt idx="0">
                  <c:v>-4.0000000000040004E-6</c:v>
                </c:pt>
                <c:pt idx="1">
                  <c:v>-1.7000000000000351E-4</c:v>
                </c:pt>
                <c:pt idx="2">
                  <c:v>-3.2000000000004247E-5</c:v>
                </c:pt>
                <c:pt idx="3">
                  <c:v>2.026666666669896E-4</c:v>
                </c:pt>
                <c:pt idx="4">
                  <c:v>-6.7999999999998617E-5</c:v>
                </c:pt>
                <c:pt idx="5">
                  <c:v>4.0000000000040004E-6</c:v>
                </c:pt>
                <c:pt idx="6">
                  <c:v>1.3266666666703059E-4</c:v>
                </c:pt>
                <c:pt idx="7">
                  <c:v>-1.5050216666666341E-4</c:v>
                </c:pt>
                <c:pt idx="8">
                  <c:v>2.5460883333375262E-4</c:v>
                </c:pt>
                <c:pt idx="9">
                  <c:v>4.3952674999999178E-4</c:v>
                </c:pt>
                <c:pt idx="10">
                  <c:v>-3.3568016666751799E-4</c:v>
                </c:pt>
                <c:pt idx="11">
                  <c:v>4.7343133333452298E-4</c:v>
                </c:pt>
                <c:pt idx="12">
                  <c:v>5.0879583332497091E-5</c:v>
                </c:pt>
                <c:pt idx="13">
                  <c:v>-2.8922983333257157E-4</c:v>
                </c:pt>
                <c:pt idx="14">
                  <c:v>-1.969925833330555E-4</c:v>
                </c:pt>
                <c:pt idx="15">
                  <c:v>1.1869374999995411E-4</c:v>
                </c:pt>
                <c:pt idx="16">
                  <c:v>-2.8420725000111169E-4</c:v>
                </c:pt>
                <c:pt idx="17">
                  <c:v>4.0049983332993139E-4</c:v>
                </c:pt>
                <c:pt idx="18">
                  <c:v>-1.689350000009249E-4</c:v>
                </c:pt>
                <c:pt idx="19">
                  <c:v>4.1470449999786441E-4</c:v>
                </c:pt>
                <c:pt idx="20">
                  <c:v>-0.65950558941666704</c:v>
                </c:pt>
                <c:pt idx="21">
                  <c:v>-1.9332697007499999</c:v>
                </c:pt>
                <c:pt idx="22">
                  <c:v>-1.3380052029166669</c:v>
                </c:pt>
                <c:pt idx="23">
                  <c:v>-0.41993052633333022</c:v>
                </c:pt>
                <c:pt idx="24">
                  <c:v>-0.59310016399999688</c:v>
                </c:pt>
                <c:pt idx="25">
                  <c:v>-0.45264671166666992</c:v>
                </c:pt>
                <c:pt idx="26">
                  <c:v>-0.57187205125000018</c:v>
                </c:pt>
                <c:pt idx="27">
                  <c:v>-1.7087456213333341</c:v>
                </c:pt>
                <c:pt idx="28">
                  <c:v>-1.80549743325</c:v>
                </c:pt>
                <c:pt idx="29">
                  <c:v>-1.6983495248333349</c:v>
                </c:pt>
                <c:pt idx="30">
                  <c:v>-1.472615642583333</c:v>
                </c:pt>
                <c:pt idx="31">
                  <c:v>-1.3824429086666681</c:v>
                </c:pt>
                <c:pt idx="32">
                  <c:v>-1.3031250358333319</c:v>
                </c:pt>
                <c:pt idx="33">
                  <c:v>-0.94653221224999995</c:v>
                </c:pt>
                <c:pt idx="34">
                  <c:v>-0.8238829962499995</c:v>
                </c:pt>
                <c:pt idx="35">
                  <c:v>-0.57038917991666704</c:v>
                </c:pt>
                <c:pt idx="36">
                  <c:v>-0.30542641750000049</c:v>
                </c:pt>
                <c:pt idx="37">
                  <c:v>-6.7898704166670099E-3</c:v>
                </c:pt>
                <c:pt idx="38">
                  <c:v>-2.6113399999921899E-4</c:v>
                </c:pt>
                <c:pt idx="39">
                  <c:v>-2.0730108333300021E-4</c:v>
                </c:pt>
                <c:pt idx="40">
                  <c:v>4.9463983333342121E-4</c:v>
                </c:pt>
                <c:pt idx="41">
                  <c:v>3.2599999999993751E-4</c:v>
                </c:pt>
                <c:pt idx="42">
                  <c:v>2.2366666666695509E-4</c:v>
                </c:pt>
                <c:pt idx="43">
                  <c:v>-1.073333333330151E-4</c:v>
                </c:pt>
                <c:pt idx="44">
                  <c:v>-3.3666666666587458E-4</c:v>
                </c:pt>
                <c:pt idx="45">
                  <c:v>2.3000000000006349E-4</c:v>
                </c:pt>
                <c:pt idx="46">
                  <c:v>1.6333333330065258E-5</c:v>
                </c:pt>
                <c:pt idx="47">
                  <c:v>0.72825733333333298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8C-416A-AF76-2639CB973406}"/>
            </c:ext>
          </c:extLst>
        </c:ser>
        <c:ser>
          <c:idx val="7"/>
          <c:order val="7"/>
          <c:tx>
            <c:v>BES_TR1_one410_B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Net_kW!$J$2:$J$49</c:f>
              <c:numCache>
                <c:formatCode>#,##0.000</c:formatCode>
                <c:ptCount val="48"/>
                <c:pt idx="0">
                  <c:v>1.683333333329928E-4</c:v>
                </c:pt>
                <c:pt idx="1">
                  <c:v>-3.5966666666660541E-4</c:v>
                </c:pt>
                <c:pt idx="2">
                  <c:v>0</c:v>
                </c:pt>
                <c:pt idx="3">
                  <c:v>-1.913333333329881E-4</c:v>
                </c:pt>
                <c:pt idx="4">
                  <c:v>0</c:v>
                </c:pt>
                <c:pt idx="5">
                  <c:v>-1.043333333329982E-4</c:v>
                </c:pt>
                <c:pt idx="6">
                  <c:v>-8.6999999999975985E-5</c:v>
                </c:pt>
                <c:pt idx="7">
                  <c:v>-4.8916883333326167E-4</c:v>
                </c:pt>
                <c:pt idx="8">
                  <c:v>1.25942166666726E-4</c:v>
                </c:pt>
                <c:pt idx="9">
                  <c:v>2.401934166669992E-4</c:v>
                </c:pt>
                <c:pt idx="10">
                  <c:v>-1.7401350000051391E-4</c:v>
                </c:pt>
                <c:pt idx="11">
                  <c:v>3.2243133333448298E-4</c:v>
                </c:pt>
                <c:pt idx="12">
                  <c:v>-2.8912041666750993E-4</c:v>
                </c:pt>
                <c:pt idx="13">
                  <c:v>6.5103500000440739E-5</c:v>
                </c:pt>
                <c:pt idx="14">
                  <c:v>-2.2465925000003659E-4</c:v>
                </c:pt>
                <c:pt idx="15">
                  <c:v>1.813604166669425E-4</c:v>
                </c:pt>
                <c:pt idx="16">
                  <c:v>4.0545941666514368E-4</c:v>
                </c:pt>
                <c:pt idx="17">
                  <c:v>4.678331666669866E-4</c:v>
                </c:pt>
                <c:pt idx="18">
                  <c:v>-1.086491268333335</c:v>
                </c:pt>
                <c:pt idx="19">
                  <c:v>-1.1456826288333319</c:v>
                </c:pt>
                <c:pt idx="20">
                  <c:v>-1.039499256083334</c:v>
                </c:pt>
                <c:pt idx="21">
                  <c:v>-1.4692297007499999</c:v>
                </c:pt>
                <c:pt idx="22">
                  <c:v>-0.71359120291666689</c:v>
                </c:pt>
                <c:pt idx="23">
                  <c:v>-1.932568526333333</c:v>
                </c:pt>
                <c:pt idx="24">
                  <c:v>-1.933157830666667</c:v>
                </c:pt>
                <c:pt idx="25">
                  <c:v>-2.0542793783333329</c:v>
                </c:pt>
                <c:pt idx="26">
                  <c:v>-2.03472405125</c:v>
                </c:pt>
                <c:pt idx="27">
                  <c:v>-1.820178621333334</c:v>
                </c:pt>
                <c:pt idx="28">
                  <c:v>-1.7588717665833331</c:v>
                </c:pt>
                <c:pt idx="29">
                  <c:v>-1.742286191500001</c:v>
                </c:pt>
                <c:pt idx="30">
                  <c:v>-1.6234553092499999</c:v>
                </c:pt>
                <c:pt idx="31">
                  <c:v>-1.3506389086666679</c:v>
                </c:pt>
                <c:pt idx="32">
                  <c:v>-1.179417369166665</c:v>
                </c:pt>
                <c:pt idx="33">
                  <c:v>-1.0680485455833331</c:v>
                </c:pt>
                <c:pt idx="34">
                  <c:v>-0.69824466291666543</c:v>
                </c:pt>
                <c:pt idx="35">
                  <c:v>-0.44875984658333301</c:v>
                </c:pt>
                <c:pt idx="36">
                  <c:v>-0.1636080841666675</c:v>
                </c:pt>
                <c:pt idx="37">
                  <c:v>-0.18915920375</c:v>
                </c:pt>
                <c:pt idx="38">
                  <c:v>3.301993333338013E-4</c:v>
                </c:pt>
                <c:pt idx="39">
                  <c:v>2.5032249999994149E-5</c:v>
                </c:pt>
                <c:pt idx="40">
                  <c:v>2.9097316666631961E-4</c:v>
                </c:pt>
                <c:pt idx="41">
                  <c:v>1.6533333333330211E-4</c:v>
                </c:pt>
                <c:pt idx="42">
                  <c:v>4.0433333333300681E-4</c:v>
                </c:pt>
                <c:pt idx="43">
                  <c:v>-5.900000000003125E-5</c:v>
                </c:pt>
                <c:pt idx="44">
                  <c:v>1.7166666666669489E-4</c:v>
                </c:pt>
                <c:pt idx="45">
                  <c:v>-3.629999999999467E-4</c:v>
                </c:pt>
                <c:pt idx="46">
                  <c:v>0</c:v>
                </c:pt>
                <c:pt idx="47">
                  <c:v>-1.3833333333301831E-4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B8C-416A-AF76-2639CB973406}"/>
            </c:ext>
          </c:extLst>
        </c:ser>
        <c:ser>
          <c:idx val="8"/>
          <c:order val="8"/>
          <c:tx>
            <c:v>BES_TR1_one50_A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Net_kW!$K$2:$K$49</c:f>
              <c:numCache>
                <c:formatCode>#,##0.000</c:formatCode>
                <c:ptCount val="48"/>
                <c:pt idx="0">
                  <c:v>-2.8333333332963839E-5</c:v>
                </c:pt>
                <c:pt idx="1">
                  <c:v>-4.5133333333291498E-4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2.7959826666666693E-4</c:v>
                </c:pt>
                <c:pt idx="8">
                  <c:v>1.327537333333968E-4</c:v>
                </c:pt>
                <c:pt idx="9">
                  <c:v>-2.8677860000000249E-4</c:v>
                </c:pt>
                <c:pt idx="10">
                  <c:v>3.2985586666597899E-4</c:v>
                </c:pt>
                <c:pt idx="11">
                  <c:v>7.1011733334014338E-5</c:v>
                </c:pt>
                <c:pt idx="12">
                  <c:v>2.8430366666598589E-4</c:v>
                </c:pt>
                <c:pt idx="13">
                  <c:v>3.7674946666399478E-4</c:v>
                </c:pt>
                <c:pt idx="14">
                  <c:v>2.02726000000375E-5</c:v>
                </c:pt>
                <c:pt idx="15">
                  <c:v>3.9962166666707161E-4</c:v>
                </c:pt>
                <c:pt idx="16">
                  <c:v>-1.3036580000114209E-4</c:v>
                </c:pt>
                <c:pt idx="17">
                  <c:v>1.8453320000011431E-4</c:v>
                </c:pt>
                <c:pt idx="18">
                  <c:v>2.2231866666588829E-4</c:v>
                </c:pt>
                <c:pt idx="19">
                  <c:v>3.1829693333418341E-4</c:v>
                </c:pt>
                <c:pt idx="20">
                  <c:v>-0.8424944715333339</c:v>
                </c:pt>
                <c:pt idx="21">
                  <c:v>-1.5866525605999999</c:v>
                </c:pt>
                <c:pt idx="22">
                  <c:v>-1.637488962333334</c:v>
                </c:pt>
                <c:pt idx="23">
                  <c:v>-1.6597833544</c:v>
                </c:pt>
                <c:pt idx="24">
                  <c:v>-1.6662406645333341</c:v>
                </c:pt>
                <c:pt idx="25">
                  <c:v>-1.654160836</c:v>
                </c:pt>
                <c:pt idx="26">
                  <c:v>-1.6135792410000001</c:v>
                </c:pt>
                <c:pt idx="27">
                  <c:v>-1.5516671637333339</c:v>
                </c:pt>
                <c:pt idx="28">
                  <c:v>-1.4777539466</c:v>
                </c:pt>
                <c:pt idx="29">
                  <c:v>-1.3840950865333339</c:v>
                </c:pt>
                <c:pt idx="30">
                  <c:v>-1.2845642474000001</c:v>
                </c:pt>
                <c:pt idx="31">
                  <c:v>-1.164791926933334</c:v>
                </c:pt>
                <c:pt idx="32">
                  <c:v>-1.029900028666666</c:v>
                </c:pt>
                <c:pt idx="33">
                  <c:v>-0.69552563646666599</c:v>
                </c:pt>
                <c:pt idx="34">
                  <c:v>-0.54309586366666596</c:v>
                </c:pt>
                <c:pt idx="35">
                  <c:v>-0.29967814393333297</c:v>
                </c:pt>
                <c:pt idx="36">
                  <c:v>-5.9724134000000977E-2</c:v>
                </c:pt>
                <c:pt idx="37">
                  <c:v>-8.602966666704237E-5</c:v>
                </c:pt>
                <c:pt idx="38">
                  <c:v>-9.5040533333597133E-5</c:v>
                </c:pt>
                <c:pt idx="39">
                  <c:v>4.0335913333300327E-4</c:v>
                </c:pt>
                <c:pt idx="40">
                  <c:v>1.8511186666664289E-4</c:v>
                </c:pt>
                <c:pt idx="41">
                  <c:v>8.4999999999890719E-5</c:v>
                </c:pt>
                <c:pt idx="42">
                  <c:v>2.8766666666701912E-4</c:v>
                </c:pt>
                <c:pt idx="43">
                  <c:v>-4.4033333333404201E-4</c:v>
                </c:pt>
                <c:pt idx="44">
                  <c:v>-4.5633333333305881E-4</c:v>
                </c:pt>
                <c:pt idx="45">
                  <c:v>3.7433333333392049E-4</c:v>
                </c:pt>
                <c:pt idx="46">
                  <c:v>2.8666666666699042E-4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8C-416A-AF76-2639CB973406}"/>
            </c:ext>
          </c:extLst>
        </c:ser>
        <c:ser>
          <c:idx val="9"/>
          <c:order val="9"/>
          <c:tx>
            <c:v>BES_TR1_one423_B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Net_kW!$L$2:$L$49</c:f>
              <c:numCache>
                <c:formatCode>#,##0.000</c:formatCode>
                <c:ptCount val="48"/>
                <c:pt idx="0">
                  <c:v>2.8833333333300182E-4</c:v>
                </c:pt>
                <c:pt idx="1">
                  <c:v>1.16000000000005E-4</c:v>
                </c:pt>
                <c:pt idx="2">
                  <c:v>0</c:v>
                </c:pt>
                <c:pt idx="3">
                  <c:v>-1.073333333330151E-4</c:v>
                </c:pt>
                <c:pt idx="4">
                  <c:v>0</c:v>
                </c:pt>
                <c:pt idx="5">
                  <c:v>0</c:v>
                </c:pt>
                <c:pt idx="6">
                  <c:v>-6.6666666670156527E-6</c:v>
                </c:pt>
                <c:pt idx="7">
                  <c:v>1.7893159999997349E-4</c:v>
                </c:pt>
                <c:pt idx="8">
                  <c:v>1.3275373333339341E-4</c:v>
                </c:pt>
                <c:pt idx="9">
                  <c:v>-3.9411193333302452E-4</c:v>
                </c:pt>
                <c:pt idx="10">
                  <c:v>3.2985586666600669E-4</c:v>
                </c:pt>
                <c:pt idx="11">
                  <c:v>7.1011733334014338E-5</c:v>
                </c:pt>
                <c:pt idx="12">
                  <c:v>-6.6629666667095133E-5</c:v>
                </c:pt>
                <c:pt idx="13">
                  <c:v>1.294161333339483E-4</c:v>
                </c:pt>
                <c:pt idx="14">
                  <c:v>-2.347273999999677E-4</c:v>
                </c:pt>
                <c:pt idx="15">
                  <c:v>4.2795500000003539E-4</c:v>
                </c:pt>
                <c:pt idx="16">
                  <c:v>-1.6469913333416741E-4</c:v>
                </c:pt>
                <c:pt idx="17">
                  <c:v>1.8053320000011031E-4</c:v>
                </c:pt>
                <c:pt idx="18">
                  <c:v>-5.5014666667130292E-5</c:v>
                </c:pt>
                <c:pt idx="19">
                  <c:v>-9.1413369733332805E-2</c:v>
                </c:pt>
                <c:pt idx="20">
                  <c:v>-1.064515471533334</c:v>
                </c:pt>
                <c:pt idx="21">
                  <c:v>-1.4431068939333329</c:v>
                </c:pt>
                <c:pt idx="22">
                  <c:v>-1.370578962333334</c:v>
                </c:pt>
                <c:pt idx="23">
                  <c:v>-1.141044687733334</c:v>
                </c:pt>
                <c:pt idx="24">
                  <c:v>-1.424738664533334</c:v>
                </c:pt>
                <c:pt idx="25">
                  <c:v>-1.3835218359999999</c:v>
                </c:pt>
                <c:pt idx="26">
                  <c:v>-1.341459574333334</c:v>
                </c:pt>
                <c:pt idx="27">
                  <c:v>-1.3484781637333341</c:v>
                </c:pt>
                <c:pt idx="28">
                  <c:v>-0.73764427993333292</c:v>
                </c:pt>
                <c:pt idx="29">
                  <c:v>-0.33542941986666408</c:v>
                </c:pt>
                <c:pt idx="30">
                  <c:v>-1.2785642474000001</c:v>
                </c:pt>
                <c:pt idx="31">
                  <c:v>-0.99489926026666697</c:v>
                </c:pt>
                <c:pt idx="32">
                  <c:v>-0.83477002866666594</c:v>
                </c:pt>
                <c:pt idx="33">
                  <c:v>-0.61755296979999896</c:v>
                </c:pt>
                <c:pt idx="34">
                  <c:v>-0.552162863666666</c:v>
                </c:pt>
                <c:pt idx="35">
                  <c:v>-0.55197481059999998</c:v>
                </c:pt>
                <c:pt idx="36">
                  <c:v>-3.7280066666801198E-4</c:v>
                </c:pt>
                <c:pt idx="37">
                  <c:v>-2.0902966666603429E-4</c:v>
                </c:pt>
                <c:pt idx="38">
                  <c:v>-1.8037386666663879E-4</c:v>
                </c:pt>
                <c:pt idx="39">
                  <c:v>3.7435913333294662E-4</c:v>
                </c:pt>
                <c:pt idx="40">
                  <c:v>3.6377853333657839E-4</c:v>
                </c:pt>
                <c:pt idx="41">
                  <c:v>-4.0999999999957737E-5</c:v>
                </c:pt>
                <c:pt idx="42">
                  <c:v>1.173333333340798E-4</c:v>
                </c:pt>
                <c:pt idx="43">
                  <c:v>-3.4466666667021251E-4</c:v>
                </c:pt>
                <c:pt idx="44">
                  <c:v>7.0413333333330108E-3</c:v>
                </c:pt>
                <c:pt idx="45">
                  <c:v>0.67263899999999999</c:v>
                </c:pt>
                <c:pt idx="46">
                  <c:v>6.0999999999999999E-2</c:v>
                </c:pt>
                <c:pt idx="47">
                  <c:v>0.16529533333333299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B8C-416A-AF76-2639CB973406}"/>
            </c:ext>
          </c:extLst>
        </c:ser>
        <c:ser>
          <c:idx val="10"/>
          <c:order val="10"/>
          <c:tx>
            <c:v>BES_TR1_one469_A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Net_kW!$M$2:$M$49</c:f>
              <c:numCache>
                <c:formatCode>#,##0.000</c:formatCode>
                <c:ptCount val="48"/>
                <c:pt idx="0">
                  <c:v>3.7799999999998951E-4</c:v>
                </c:pt>
                <c:pt idx="1">
                  <c:v>3.0900000000000372E-4</c:v>
                </c:pt>
                <c:pt idx="2">
                  <c:v>2.6999999999999252E-4</c:v>
                </c:pt>
                <c:pt idx="3">
                  <c:v>-1.4333333333299561E-4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4.1939739999999342E-4</c:v>
                </c:pt>
                <c:pt idx="8">
                  <c:v>-3.0086939999990348E-4</c:v>
                </c:pt>
                <c:pt idx="9">
                  <c:v>-4.3016790000000032E-4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-2.4704870000080698E-4</c:v>
                </c:pt>
                <c:pt idx="17">
                  <c:v>-1.5614882001999999</c:v>
                </c:pt>
                <c:pt idx="18">
                  <c:v>-2.0304315220000011</c:v>
                </c:pt>
                <c:pt idx="19">
                  <c:v>-2.1787875545999991</c:v>
                </c:pt>
                <c:pt idx="20">
                  <c:v>-2.3050067073000009</c:v>
                </c:pt>
                <c:pt idx="21">
                  <c:v>-2.245494174233333</c:v>
                </c:pt>
                <c:pt idx="22">
                  <c:v>-1.7804851101666681</c:v>
                </c:pt>
                <c:pt idx="23">
                  <c:v>-2.0025950315999999</c:v>
                </c:pt>
                <c:pt idx="24">
                  <c:v>-2.4211943301333338</c:v>
                </c:pt>
                <c:pt idx="25">
                  <c:v>-2.4957412539999999</c:v>
                </c:pt>
                <c:pt idx="26">
                  <c:v>-2.456543694833333</c:v>
                </c:pt>
                <c:pt idx="27">
                  <c:v>-2.3640007456000012</c:v>
                </c:pt>
                <c:pt idx="28">
                  <c:v>-2.1176509199</c:v>
                </c:pt>
                <c:pt idx="29">
                  <c:v>-0.884247296466671</c:v>
                </c:pt>
                <c:pt idx="30">
                  <c:v>-1.9189658710999999</c:v>
                </c:pt>
                <c:pt idx="31">
                  <c:v>-1.753801223733334</c:v>
                </c:pt>
                <c:pt idx="32">
                  <c:v>-1.5813500429999989</c:v>
                </c:pt>
                <c:pt idx="33">
                  <c:v>-1.337053454699999</c:v>
                </c:pt>
                <c:pt idx="34">
                  <c:v>-1.108408795499999</c:v>
                </c:pt>
                <c:pt idx="35">
                  <c:v>-0.87346221590000006</c:v>
                </c:pt>
                <c:pt idx="36">
                  <c:v>-0.646187701000001</c:v>
                </c:pt>
                <c:pt idx="37">
                  <c:v>-0.39880304449999998</c:v>
                </c:pt>
                <c:pt idx="38">
                  <c:v>-0.1536638941333329</c:v>
                </c:pt>
                <c:pt idx="39">
                  <c:v>-4.8562796666701269E-4</c:v>
                </c:pt>
                <c:pt idx="40">
                  <c:v>-4.8949886666704856E-4</c:v>
                </c:pt>
                <c:pt idx="41">
                  <c:v>7.7666666666975637E-5</c:v>
                </c:pt>
                <c:pt idx="42">
                  <c:v>1.6999999999989249E-5</c:v>
                </c:pt>
                <c:pt idx="43">
                  <c:v>-1.7800000000001151E-4</c:v>
                </c:pt>
                <c:pt idx="44">
                  <c:v>3.0766666666703912E-4</c:v>
                </c:pt>
                <c:pt idx="45">
                  <c:v>-3.0200000000002453E-4</c:v>
                </c:pt>
                <c:pt idx="46">
                  <c:v>-4.009999999999847E-4</c:v>
                </c:pt>
                <c:pt idx="47">
                  <c:v>-2.666666666595319E-5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B8C-416A-AF76-2639CB973406}"/>
            </c:ext>
          </c:extLst>
        </c:ser>
        <c:ser>
          <c:idx val="11"/>
          <c:order val="11"/>
          <c:tx>
            <c:v>BES_TR1_one480_A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Net_kW!$N$2:$N$49</c:f>
              <c:numCache>
                <c:formatCode>#,##0.000</c:formatCode>
                <c:ptCount val="48"/>
                <c:pt idx="0">
                  <c:v>1.349999999999407E-4</c:v>
                </c:pt>
                <c:pt idx="1">
                  <c:v>2.246666666659847E-4</c:v>
                </c:pt>
                <c:pt idx="2">
                  <c:v>4.7133333333304611E-4</c:v>
                </c:pt>
                <c:pt idx="3">
                  <c:v>-2.4200000000007549E-4</c:v>
                </c:pt>
                <c:pt idx="4">
                  <c:v>-2.4266666666697409E-4</c:v>
                </c:pt>
                <c:pt idx="5">
                  <c:v>-5.666666666698239E-5</c:v>
                </c:pt>
                <c:pt idx="6">
                  <c:v>0</c:v>
                </c:pt>
                <c:pt idx="7">
                  <c:v>0.14104059826666671</c:v>
                </c:pt>
                <c:pt idx="8">
                  <c:v>0.20634042040000039</c:v>
                </c:pt>
                <c:pt idx="9">
                  <c:v>-1.9244526666660491E-4</c:v>
                </c:pt>
                <c:pt idx="10">
                  <c:v>4.9570189199999018E-2</c:v>
                </c:pt>
                <c:pt idx="11">
                  <c:v>-2.9498826666601857E-4</c:v>
                </c:pt>
                <c:pt idx="12">
                  <c:v>-2.4462966666710662E-4</c:v>
                </c:pt>
                <c:pt idx="13">
                  <c:v>3.8341613333403579E-4</c:v>
                </c:pt>
                <c:pt idx="14">
                  <c:v>3.0593926666699911E-4</c:v>
                </c:pt>
                <c:pt idx="15">
                  <c:v>6.9121666667060211E-5</c:v>
                </c:pt>
                <c:pt idx="16">
                  <c:v>4.9946753333285354E-4</c:v>
                </c:pt>
                <c:pt idx="17">
                  <c:v>2.7453320000003778E-4</c:v>
                </c:pt>
                <c:pt idx="18">
                  <c:v>-2.8768133333501028E-4</c:v>
                </c:pt>
                <c:pt idx="19">
                  <c:v>-3.9936973333287717E-4</c:v>
                </c:pt>
                <c:pt idx="20">
                  <c:v>7.0528466665997769E-5</c:v>
                </c:pt>
                <c:pt idx="21">
                  <c:v>-5.3220227266670077E-2</c:v>
                </c:pt>
                <c:pt idx="22">
                  <c:v>-0.65107262900000396</c:v>
                </c:pt>
                <c:pt idx="23">
                  <c:v>-1.1176296877333329</c:v>
                </c:pt>
                <c:pt idx="24">
                  <c:v>-1.1444796645333339</c:v>
                </c:pt>
                <c:pt idx="25">
                  <c:v>-1.622864836</c:v>
                </c:pt>
                <c:pt idx="26">
                  <c:v>-1.438692574333333</c:v>
                </c:pt>
                <c:pt idx="27">
                  <c:v>-1.4295851637333341</c:v>
                </c:pt>
                <c:pt idx="28">
                  <c:v>-1.4847539465999999</c:v>
                </c:pt>
                <c:pt idx="29">
                  <c:v>-1.296835753200001</c:v>
                </c:pt>
                <c:pt idx="30">
                  <c:v>-1.202175580733333</c:v>
                </c:pt>
                <c:pt idx="31">
                  <c:v>-0.897604593600001</c:v>
                </c:pt>
                <c:pt idx="32">
                  <c:v>-0.7769511953333329</c:v>
                </c:pt>
                <c:pt idx="33">
                  <c:v>-0.5650628031333329</c:v>
                </c:pt>
                <c:pt idx="34">
                  <c:v>-0.45680086366666589</c:v>
                </c:pt>
                <c:pt idx="35">
                  <c:v>1.6852273332967899E-4</c:v>
                </c:pt>
                <c:pt idx="36">
                  <c:v>-2.8380066666701398E-4</c:v>
                </c:pt>
                <c:pt idx="37">
                  <c:v>-2.2402966666001939E-4</c:v>
                </c:pt>
                <c:pt idx="38">
                  <c:v>-4.8170719999951478E-4</c:v>
                </c:pt>
                <c:pt idx="39">
                  <c:v>4.0235913333303008E-4</c:v>
                </c:pt>
                <c:pt idx="40">
                  <c:v>2.2111866666674199E-5</c:v>
                </c:pt>
                <c:pt idx="41">
                  <c:v>-2.5699999999995171E-4</c:v>
                </c:pt>
                <c:pt idx="42">
                  <c:v>-4.1466666666700741E-4</c:v>
                </c:pt>
                <c:pt idx="43">
                  <c:v>-3.7566666666705162E-4</c:v>
                </c:pt>
                <c:pt idx="44">
                  <c:v>-2.076666666669946E-4</c:v>
                </c:pt>
                <c:pt idx="45">
                  <c:v>1.763333333330008E-4</c:v>
                </c:pt>
                <c:pt idx="46">
                  <c:v>-3.7333333332945078E-5</c:v>
                </c:pt>
                <c:pt idx="47">
                  <c:v>0.59633499999999995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B8C-416A-AF76-2639CB973406}"/>
            </c:ext>
          </c:extLst>
        </c:ser>
        <c:ser>
          <c:idx val="12"/>
          <c:order val="12"/>
          <c:tx>
            <c:v>BES_TR1_one482_B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Net_kW!$O$2:$O$49</c:f>
              <c:numCache>
                <c:formatCode>#,##0.000</c:formatCode>
                <c:ptCount val="48"/>
                <c:pt idx="0">
                  <c:v>2.6000000000001022E-4</c:v>
                </c:pt>
                <c:pt idx="1">
                  <c:v>0</c:v>
                </c:pt>
                <c:pt idx="2">
                  <c:v>-4.4000000000000977E-4</c:v>
                </c:pt>
                <c:pt idx="3">
                  <c:v>-3.999999999999837E-4</c:v>
                </c:pt>
                <c:pt idx="4">
                  <c:v>0</c:v>
                </c:pt>
                <c:pt idx="5">
                  <c:v>-3.999999999999837E-4</c:v>
                </c:pt>
                <c:pt idx="6">
                  <c:v>-4.4000000000000977E-4</c:v>
                </c:pt>
                <c:pt idx="7">
                  <c:v>-4.4080346666667408E-4</c:v>
                </c:pt>
                <c:pt idx="8">
                  <c:v>4.2550746666678019E-4</c:v>
                </c:pt>
                <c:pt idx="9">
                  <c:v>4.2644279999998203E-4</c:v>
                </c:pt>
                <c:pt idx="10">
                  <c:v>1.3971173333204859E-4</c:v>
                </c:pt>
                <c:pt idx="11">
                  <c:v>-1.7797653333184729E-4</c:v>
                </c:pt>
                <c:pt idx="12">
                  <c:v>8.140733333206196E-5</c:v>
                </c:pt>
                <c:pt idx="13">
                  <c:v>-3.8116773333185527E-4</c:v>
                </c:pt>
                <c:pt idx="14">
                  <c:v>-1.5945480000012499E-4</c:v>
                </c:pt>
                <c:pt idx="15">
                  <c:v>-0.2823380900000001</c:v>
                </c:pt>
                <c:pt idx="16">
                  <c:v>-2.002990198266668</c:v>
                </c:pt>
                <c:pt idx="17">
                  <c:v>-1.1752690669333301</c:v>
                </c:pt>
                <c:pt idx="18">
                  <c:v>-1.965642029333335</c:v>
                </c:pt>
                <c:pt idx="19">
                  <c:v>-1.675096739466662</c:v>
                </c:pt>
                <c:pt idx="20">
                  <c:v>-2.9489689430666681</c:v>
                </c:pt>
                <c:pt idx="21">
                  <c:v>-3.2323051212</c:v>
                </c:pt>
                <c:pt idx="22">
                  <c:v>-3.1783779246666679</c:v>
                </c:pt>
                <c:pt idx="23">
                  <c:v>-3.3630067088</c:v>
                </c:pt>
                <c:pt idx="24">
                  <c:v>-3.383701329066668</c:v>
                </c:pt>
                <c:pt idx="25">
                  <c:v>-3.203941672</c:v>
                </c:pt>
                <c:pt idx="26">
                  <c:v>-3.2861584819999998</c:v>
                </c:pt>
                <c:pt idx="27">
                  <c:v>-3.1181659941333351</c:v>
                </c:pt>
                <c:pt idx="28">
                  <c:v>-2.9521086265333332</c:v>
                </c:pt>
                <c:pt idx="29">
                  <c:v>-2.8195597730666679</c:v>
                </c:pt>
                <c:pt idx="30">
                  <c:v>-2.4593224947999999</c:v>
                </c:pt>
                <c:pt idx="31">
                  <c:v>-2.353674820533334</c:v>
                </c:pt>
                <c:pt idx="32">
                  <c:v>-2.071144223999998</c:v>
                </c:pt>
                <c:pt idx="33">
                  <c:v>-1.566663206266665</c:v>
                </c:pt>
                <c:pt idx="34">
                  <c:v>-1.4761637273333319</c:v>
                </c:pt>
                <c:pt idx="35">
                  <c:v>-0.9268096212000001</c:v>
                </c:pt>
                <c:pt idx="36">
                  <c:v>-0.52979493466666794</c:v>
                </c:pt>
                <c:pt idx="37">
                  <c:v>-0.42057072600000001</c:v>
                </c:pt>
                <c:pt idx="38">
                  <c:v>-0.1835440810666662</c:v>
                </c:pt>
                <c:pt idx="39">
                  <c:v>3.1671826666701541E-4</c:v>
                </c:pt>
                <c:pt idx="40">
                  <c:v>3.9155706666732509E-4</c:v>
                </c:pt>
                <c:pt idx="41">
                  <c:v>3.2600000000004847E-4</c:v>
                </c:pt>
                <c:pt idx="42">
                  <c:v>2.9999999999974492E-5</c:v>
                </c:pt>
                <c:pt idx="43">
                  <c:v>-4.376666666670026E-4</c:v>
                </c:pt>
                <c:pt idx="44">
                  <c:v>3.7399999999998551E-4</c:v>
                </c:pt>
                <c:pt idx="45">
                  <c:v>-2.6099999999995571E-4</c:v>
                </c:pt>
                <c:pt idx="46">
                  <c:v>-2.8333333333302457E-4</c:v>
                </c:pt>
                <c:pt idx="47">
                  <c:v>2.9833333333301182E-4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B8C-416A-AF76-2639CB973406}"/>
            </c:ext>
          </c:extLst>
        </c:ser>
        <c:ser>
          <c:idx val="13"/>
          <c:order val="13"/>
          <c:tx>
            <c:v>BES_TR1_one521_C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Net_kW!$P$2:$P$49</c:f>
              <c:numCache>
                <c:formatCode>#,##0.000</c:formatCode>
                <c:ptCount val="48"/>
                <c:pt idx="0">
                  <c:v>-2.4533333333301433E-4</c:v>
                </c:pt>
                <c:pt idx="1">
                  <c:v>5.0666666666712712E-5</c:v>
                </c:pt>
                <c:pt idx="2">
                  <c:v>1.7466666666698941E-4</c:v>
                </c:pt>
                <c:pt idx="3">
                  <c:v>0</c:v>
                </c:pt>
                <c:pt idx="4">
                  <c:v>2.9466666666669311E-4</c:v>
                </c:pt>
                <c:pt idx="5">
                  <c:v>-8.2000000000026496E-5</c:v>
                </c:pt>
                <c:pt idx="6">
                  <c:v>1.266666666669553E-5</c:v>
                </c:pt>
                <c:pt idx="7">
                  <c:v>-2.0383549999969391E-4</c:v>
                </c:pt>
                <c:pt idx="8">
                  <c:v>-8.4057833333251591E-5</c:v>
                </c:pt>
                <c:pt idx="9">
                  <c:v>-3.4473250000027773E-5</c:v>
                </c:pt>
                <c:pt idx="10">
                  <c:v>-1.5521350000051451E-4</c:v>
                </c:pt>
                <c:pt idx="11">
                  <c:v>-7.8368666665773468E-5</c:v>
                </c:pt>
                <c:pt idx="12">
                  <c:v>9.8879583332489585E-5</c:v>
                </c:pt>
                <c:pt idx="13">
                  <c:v>-4.1089649999948019E-4</c:v>
                </c:pt>
                <c:pt idx="14">
                  <c:v>1.013407500000119E-4</c:v>
                </c:pt>
                <c:pt idx="15">
                  <c:v>2.2402708333302271E-4</c:v>
                </c:pt>
                <c:pt idx="16">
                  <c:v>-1.7454058333488121E-4</c:v>
                </c:pt>
                <c:pt idx="17">
                  <c:v>1.6183316666684711E-4</c:v>
                </c:pt>
                <c:pt idx="18">
                  <c:v>-0.70502226833333514</c:v>
                </c:pt>
                <c:pt idx="19">
                  <c:v>-1.6333836288333321</c:v>
                </c:pt>
                <c:pt idx="20">
                  <c:v>-1.809670256083334</c:v>
                </c:pt>
                <c:pt idx="21">
                  <c:v>-1.4307740340833339</c:v>
                </c:pt>
                <c:pt idx="22">
                  <c:v>-1.894031869583334</c:v>
                </c:pt>
                <c:pt idx="23">
                  <c:v>-1.857617526333333</c:v>
                </c:pt>
                <c:pt idx="24">
                  <c:v>-1.108895830666667</c:v>
                </c:pt>
                <c:pt idx="25">
                  <c:v>-1.4611771116666661</c:v>
                </c:pt>
                <c:pt idx="26">
                  <c:v>-1.9000213845833329</c:v>
                </c:pt>
                <c:pt idx="27">
                  <c:v>-1.829637288</c:v>
                </c:pt>
                <c:pt idx="28">
                  <c:v>-1.79761643325</c:v>
                </c:pt>
                <c:pt idx="29">
                  <c:v>-1.5884581915000009</c:v>
                </c:pt>
                <c:pt idx="30">
                  <c:v>-1.4789119759166669</c:v>
                </c:pt>
                <c:pt idx="31">
                  <c:v>-1.3061592420000021</c:v>
                </c:pt>
                <c:pt idx="32">
                  <c:v>-0.85353703583333207</c:v>
                </c:pt>
                <c:pt idx="33">
                  <c:v>-0.98989254558333295</c:v>
                </c:pt>
                <c:pt idx="34">
                  <c:v>-0.7417413295833325</c:v>
                </c:pt>
                <c:pt idx="35">
                  <c:v>-0.56417584658333297</c:v>
                </c:pt>
                <c:pt idx="36">
                  <c:v>-0.37495975083333449</c:v>
                </c:pt>
                <c:pt idx="37">
                  <c:v>-1.9970537083333021E-2</c:v>
                </c:pt>
                <c:pt idx="38">
                  <c:v>4.1199333333824528E-5</c:v>
                </c:pt>
                <c:pt idx="39">
                  <c:v>1.1369891666699471E-4</c:v>
                </c:pt>
                <c:pt idx="40">
                  <c:v>-2.1569349999966961E-4</c:v>
                </c:pt>
                <c:pt idx="41">
                  <c:v>0</c:v>
                </c:pt>
                <c:pt idx="42">
                  <c:v>2.7866666666698242E-4</c:v>
                </c:pt>
                <c:pt idx="43">
                  <c:v>0</c:v>
                </c:pt>
                <c:pt idx="44">
                  <c:v>-5.3333333332988841E-5</c:v>
                </c:pt>
                <c:pt idx="45">
                  <c:v>1.2666666666699691E-4</c:v>
                </c:pt>
                <c:pt idx="46">
                  <c:v>9.8666666667024394E-5</c:v>
                </c:pt>
                <c:pt idx="47">
                  <c:v>2.533333333339105E-5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B8C-416A-AF76-2639CB973406}"/>
            </c:ext>
          </c:extLst>
        </c:ser>
        <c:ser>
          <c:idx val="14"/>
          <c:order val="14"/>
          <c:tx>
            <c:v>BES_TR1_one528_C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Net_kW!$Q$2:$Q$49</c:f>
              <c:numCache>
                <c:formatCode>#,##0.000</c:formatCode>
                <c:ptCount val="48"/>
                <c:pt idx="0">
                  <c:v>-2.296666666669889E-4</c:v>
                </c:pt>
                <c:pt idx="1">
                  <c:v>-2.296666666669889E-4</c:v>
                </c:pt>
                <c:pt idx="2">
                  <c:v>2.293333333329983E-4</c:v>
                </c:pt>
                <c:pt idx="3">
                  <c:v>4.6933333333300242E-4</c:v>
                </c:pt>
                <c:pt idx="4">
                  <c:v>7.1333333333006843E-5</c:v>
                </c:pt>
                <c:pt idx="5">
                  <c:v>0</c:v>
                </c:pt>
                <c:pt idx="6">
                  <c:v>-1.326666666666976E-4</c:v>
                </c:pt>
                <c:pt idx="7">
                  <c:v>-4.7716883333367988E-4</c:v>
                </c:pt>
                <c:pt idx="8">
                  <c:v>-8.4057833333251591E-5</c:v>
                </c:pt>
                <c:pt idx="9">
                  <c:v>3.1486008333300042E-4</c:v>
                </c:pt>
                <c:pt idx="10">
                  <c:v>-4.7034683333410649E-4</c:v>
                </c:pt>
                <c:pt idx="11">
                  <c:v>3.3876466666749039E-4</c:v>
                </c:pt>
                <c:pt idx="12">
                  <c:v>3.0621291666588219E-4</c:v>
                </c:pt>
                <c:pt idx="13">
                  <c:v>-4.7563166665431922E-5</c:v>
                </c:pt>
                <c:pt idx="14">
                  <c:v>-2.2465925000003659E-4</c:v>
                </c:pt>
                <c:pt idx="15">
                  <c:v>-1.413062499999729E-4</c:v>
                </c:pt>
                <c:pt idx="16">
                  <c:v>3.3479274999903552E-4</c:v>
                </c:pt>
                <c:pt idx="17">
                  <c:v>-0.36840683350000009</c:v>
                </c:pt>
                <c:pt idx="18">
                  <c:v>-1.359740868333335</c:v>
                </c:pt>
                <c:pt idx="19">
                  <c:v>-1.388864962166666</c:v>
                </c:pt>
                <c:pt idx="20">
                  <c:v>-1.3015722560833329</c:v>
                </c:pt>
                <c:pt idx="21">
                  <c:v>-0.51035470075</c:v>
                </c:pt>
                <c:pt idx="22">
                  <c:v>-1.64898453625</c:v>
                </c:pt>
                <c:pt idx="23">
                  <c:v>-2.0404912596666671</c:v>
                </c:pt>
                <c:pt idx="24">
                  <c:v>-1.5704421639999999</c:v>
                </c:pt>
                <c:pt idx="25">
                  <c:v>-0.74290031166666992</c:v>
                </c:pt>
                <c:pt idx="26">
                  <c:v>-1.1888840512500001</c:v>
                </c:pt>
                <c:pt idx="27">
                  <c:v>-1.9041092879999999</c:v>
                </c:pt>
                <c:pt idx="28">
                  <c:v>-1.1791007665833331</c:v>
                </c:pt>
                <c:pt idx="29">
                  <c:v>-1.0051518581666681</c:v>
                </c:pt>
                <c:pt idx="30">
                  <c:v>-1.0885219759166671</c:v>
                </c:pt>
                <c:pt idx="31">
                  <c:v>-1.4022705753333351</c:v>
                </c:pt>
                <c:pt idx="32">
                  <c:v>-0.91294970249999907</c:v>
                </c:pt>
                <c:pt idx="33">
                  <c:v>-3.8108212250002937E-2</c:v>
                </c:pt>
                <c:pt idx="34">
                  <c:v>-0.20144566291666541</c:v>
                </c:pt>
                <c:pt idx="35">
                  <c:v>-0.56868284658333301</c:v>
                </c:pt>
                <c:pt idx="36">
                  <c:v>-8.8750833334459017E-5</c:v>
                </c:pt>
                <c:pt idx="37">
                  <c:v>-0.16691050374999999</c:v>
                </c:pt>
                <c:pt idx="38">
                  <c:v>4.3259933333372752E-4</c:v>
                </c:pt>
                <c:pt idx="39">
                  <c:v>2.5569891666699101E-4</c:v>
                </c:pt>
                <c:pt idx="40">
                  <c:v>2.2973166663220471E-5</c:v>
                </c:pt>
                <c:pt idx="41">
                  <c:v>-3.9599999999995189E-4</c:v>
                </c:pt>
                <c:pt idx="42">
                  <c:v>-2.5133333333293711E-4</c:v>
                </c:pt>
                <c:pt idx="43">
                  <c:v>-3.0033333333001622E-4</c:v>
                </c:pt>
                <c:pt idx="44">
                  <c:v>3.8266666666703092E-4</c:v>
                </c:pt>
                <c:pt idx="45">
                  <c:v>-4.8599999999998639E-4</c:v>
                </c:pt>
                <c:pt idx="46">
                  <c:v>0.37325233333333302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B8C-416A-AF76-2639CB973406}"/>
            </c:ext>
          </c:extLst>
        </c:ser>
        <c:ser>
          <c:idx val="15"/>
          <c:order val="15"/>
          <c:tx>
            <c:v>BES_TR1_one537_A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Net_kW!$R$2:$R$49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-6.9388939039072284E-18</c:v>
                </c:pt>
                <c:pt idx="2">
                  <c:v>1.3733333333329489E-4</c:v>
                </c:pt>
                <c:pt idx="3">
                  <c:v>3.7333333333300361E-4</c:v>
                </c:pt>
                <c:pt idx="4">
                  <c:v>-6.9388939039072284E-18</c:v>
                </c:pt>
                <c:pt idx="5">
                  <c:v>2.7466666666670081E-4</c:v>
                </c:pt>
                <c:pt idx="6">
                  <c:v>2.3599999999998619E-4</c:v>
                </c:pt>
                <c:pt idx="7">
                  <c:v>-1.505021666666703E-4</c:v>
                </c:pt>
                <c:pt idx="8">
                  <c:v>4.2660883333373029E-4</c:v>
                </c:pt>
                <c:pt idx="9">
                  <c:v>-3.584732500000049E-4</c:v>
                </c:pt>
                <c:pt idx="10">
                  <c:v>-3.3768016666751999E-4</c:v>
                </c:pt>
                <c:pt idx="11">
                  <c:v>-1.5056866666546259E-4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3.4400741666673618E-4</c:v>
                </c:pt>
                <c:pt idx="15">
                  <c:v>-1.7810624999992089E-4</c:v>
                </c:pt>
                <c:pt idx="16">
                  <c:v>-5.0273916668119867E-5</c:v>
                </c:pt>
                <c:pt idx="17">
                  <c:v>-1.581668333300798E-4</c:v>
                </c:pt>
                <c:pt idx="18">
                  <c:v>-0.31315926833333507</c:v>
                </c:pt>
                <c:pt idx="19">
                  <c:v>-1.4572896288333319</c:v>
                </c:pt>
                <c:pt idx="20">
                  <c:v>-1.781464256083334</c:v>
                </c:pt>
                <c:pt idx="21">
                  <c:v>-2.0070657007500001</c:v>
                </c:pt>
                <c:pt idx="22">
                  <c:v>-1.9041005362500001</c:v>
                </c:pt>
                <c:pt idx="23">
                  <c:v>-2.0984791930000002</c:v>
                </c:pt>
                <c:pt idx="24">
                  <c:v>-2.1065508306666669</c:v>
                </c:pt>
                <c:pt idx="25">
                  <c:v>-1.709413311666667</c:v>
                </c:pt>
                <c:pt idx="26">
                  <c:v>-1.97948325125</c:v>
                </c:pt>
                <c:pt idx="27">
                  <c:v>-1.9050439546666671</c:v>
                </c:pt>
                <c:pt idx="28">
                  <c:v>-1.6512704332499999</c:v>
                </c:pt>
                <c:pt idx="29">
                  <c:v>-1.5901195248333351</c:v>
                </c:pt>
                <c:pt idx="30">
                  <c:v>-1.3307089759166659</c:v>
                </c:pt>
                <c:pt idx="31">
                  <c:v>-1.028636908666668</c:v>
                </c:pt>
                <c:pt idx="32">
                  <c:v>-1.123746702499999</c:v>
                </c:pt>
                <c:pt idx="33">
                  <c:v>-0.36808921225000002</c:v>
                </c:pt>
                <c:pt idx="34">
                  <c:v>-1.3199625000259729E-4</c:v>
                </c:pt>
                <c:pt idx="35">
                  <c:v>4.5215341666599018E-4</c:v>
                </c:pt>
                <c:pt idx="36">
                  <c:v>-4.7841750000045079E-4</c:v>
                </c:pt>
                <c:pt idx="37">
                  <c:v>-4.9453708333302426E-4</c:v>
                </c:pt>
                <c:pt idx="38">
                  <c:v>-2.2646733333320229E-4</c:v>
                </c:pt>
                <c:pt idx="39">
                  <c:v>4.1103224999999849E-4</c:v>
                </c:pt>
                <c:pt idx="40">
                  <c:v>-2.4469349999972628E-4</c:v>
                </c:pt>
                <c:pt idx="41">
                  <c:v>2.2133333333007599E-4</c:v>
                </c:pt>
                <c:pt idx="42">
                  <c:v>-1.3499999999999621E-4</c:v>
                </c:pt>
                <c:pt idx="43">
                  <c:v>2.1000000000048761E-5</c:v>
                </c:pt>
                <c:pt idx="44">
                  <c:v>3.7433333333303231E-4</c:v>
                </c:pt>
                <c:pt idx="45">
                  <c:v>0.72793233333333407</c:v>
                </c:pt>
                <c:pt idx="46">
                  <c:v>0.18880466666666701</c:v>
                </c:pt>
                <c:pt idx="47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B8C-416A-AF76-2639CB973406}"/>
            </c:ext>
          </c:extLst>
        </c:ser>
        <c:ser>
          <c:idx val="16"/>
          <c:order val="16"/>
          <c:tx>
            <c:v>BES_TR1_one61_A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Net_kW!$S$2:$S$49</c:f>
              <c:numCache>
                <c:formatCode>#,##0.000</c:formatCode>
                <c:ptCount val="48"/>
                <c:pt idx="0">
                  <c:v>-1.7200000000000551E-4</c:v>
                </c:pt>
                <c:pt idx="1">
                  <c:v>-2.8733333333302857E-4</c:v>
                </c:pt>
                <c:pt idx="2">
                  <c:v>0</c:v>
                </c:pt>
                <c:pt idx="3">
                  <c:v>0</c:v>
                </c:pt>
                <c:pt idx="4">
                  <c:v>-8.0333333333015844E-5</c:v>
                </c:pt>
                <c:pt idx="5">
                  <c:v>-3.7900000000000428E-4</c:v>
                </c:pt>
                <c:pt idx="6">
                  <c:v>1.3333333333298561E-4</c:v>
                </c:pt>
                <c:pt idx="7">
                  <c:v>-4.474701333336828E-4</c:v>
                </c:pt>
                <c:pt idx="8">
                  <c:v>-3.2049253333320428E-4</c:v>
                </c:pt>
                <c:pt idx="9">
                  <c:v>4.1310946666699161E-4</c:v>
                </c:pt>
                <c:pt idx="10">
                  <c:v>2.1371173333195601E-4</c:v>
                </c:pt>
                <c:pt idx="11">
                  <c:v>4.2202346666808671E-4</c:v>
                </c:pt>
                <c:pt idx="12">
                  <c:v>3.0707399999896362E-4</c:v>
                </c:pt>
                <c:pt idx="13">
                  <c:v>2.9383226666790391E-4</c:v>
                </c:pt>
                <c:pt idx="14">
                  <c:v>2.692118666667298E-4</c:v>
                </c:pt>
                <c:pt idx="15">
                  <c:v>-3.1408999999982262E-4</c:v>
                </c:pt>
                <c:pt idx="16">
                  <c:v>-1.8065993982666679</c:v>
                </c:pt>
                <c:pt idx="17">
                  <c:v>-1.16839226693333</c:v>
                </c:pt>
                <c:pt idx="18">
                  <c:v>-2.2139480293333338</c:v>
                </c:pt>
                <c:pt idx="19">
                  <c:v>-2.7795687394666651</c:v>
                </c:pt>
                <c:pt idx="20">
                  <c:v>-2.9602829430666682</c:v>
                </c:pt>
                <c:pt idx="21">
                  <c:v>-3.1338384545333331</c:v>
                </c:pt>
                <c:pt idx="22">
                  <c:v>-2.9898389246666679</c:v>
                </c:pt>
                <c:pt idx="23">
                  <c:v>-2.1467053754666701</c:v>
                </c:pt>
                <c:pt idx="24">
                  <c:v>-3.2432813290666682</c:v>
                </c:pt>
                <c:pt idx="25">
                  <c:v>-3.0552343386666672</c:v>
                </c:pt>
                <c:pt idx="26">
                  <c:v>-2.9786998153333331</c:v>
                </c:pt>
                <c:pt idx="27">
                  <c:v>-2.9291906608000011</c:v>
                </c:pt>
                <c:pt idx="28">
                  <c:v>-2.4170285598666661</c:v>
                </c:pt>
                <c:pt idx="29">
                  <c:v>-2.6959603730666681</c:v>
                </c:pt>
                <c:pt idx="30">
                  <c:v>-2.5130234948000001</c:v>
                </c:pt>
                <c:pt idx="31">
                  <c:v>-2.1773321872000011</c:v>
                </c:pt>
                <c:pt idx="32">
                  <c:v>-1.999862390666665</c:v>
                </c:pt>
                <c:pt idx="33">
                  <c:v>-1.579133606266665</c:v>
                </c:pt>
                <c:pt idx="34">
                  <c:v>-1.3802817273333321</c:v>
                </c:pt>
                <c:pt idx="35">
                  <c:v>-1.0679629545333329</c:v>
                </c:pt>
                <c:pt idx="36">
                  <c:v>-0.63629960133333507</c:v>
                </c:pt>
                <c:pt idx="37">
                  <c:v>-0.28369639266666702</c:v>
                </c:pt>
                <c:pt idx="38">
                  <c:v>-0.2005257477333332</c:v>
                </c:pt>
                <c:pt idx="39">
                  <c:v>7.605160000001554E-5</c:v>
                </c:pt>
                <c:pt idx="40">
                  <c:v>3.4155706666338942E-4</c:v>
                </c:pt>
                <c:pt idx="41">
                  <c:v>1.8266666666699741E-4</c:v>
                </c:pt>
                <c:pt idx="42">
                  <c:v>-3.4633333333300431E-4</c:v>
                </c:pt>
                <c:pt idx="43">
                  <c:v>-4.2800000000009503E-4</c:v>
                </c:pt>
                <c:pt idx="44">
                  <c:v>4.4866666666698579E-4</c:v>
                </c:pt>
                <c:pt idx="45">
                  <c:v>-1.5166666666699411E-4</c:v>
                </c:pt>
                <c:pt idx="46">
                  <c:v>4.399999999999959E-4</c:v>
                </c:pt>
                <c:pt idx="47">
                  <c:v>-2.3333333329933481E-6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B8C-416A-AF76-2639CB973406}"/>
            </c:ext>
          </c:extLst>
        </c:ser>
        <c:ser>
          <c:idx val="17"/>
          <c:order val="17"/>
          <c:tx>
            <c:v>BES_TR1_one544_A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Net_kW!$T$2:$T$49</c:f>
              <c:numCache>
                <c:formatCode>#,##0.000</c:formatCode>
                <c:ptCount val="48"/>
                <c:pt idx="0">
                  <c:v>3.7599999999998751E-4</c:v>
                </c:pt>
                <c:pt idx="1">
                  <c:v>1.2533333333300531E-4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3.2399999999999102E-4</c:v>
                </c:pt>
                <c:pt idx="6">
                  <c:v>4.6799999999996839E-4</c:v>
                </c:pt>
                <c:pt idx="7">
                  <c:v>-4.4080346666666709E-4</c:v>
                </c:pt>
                <c:pt idx="8">
                  <c:v>3.6417413333378329E-4</c:v>
                </c:pt>
                <c:pt idx="9">
                  <c:v>1.197761333329994E-4</c:v>
                </c:pt>
                <c:pt idx="10">
                  <c:v>-4.9362160000132604E-4</c:v>
                </c:pt>
                <c:pt idx="11">
                  <c:v>8.7356800001048285E-5</c:v>
                </c:pt>
                <c:pt idx="12">
                  <c:v>8.140733333206196E-5</c:v>
                </c:pt>
                <c:pt idx="13">
                  <c:v>1.483226666798565E-5</c:v>
                </c:pt>
                <c:pt idx="14">
                  <c:v>4.098785333332966E-4</c:v>
                </c:pt>
                <c:pt idx="15">
                  <c:v>-3.0208999999992159E-4</c:v>
                </c:pt>
                <c:pt idx="16">
                  <c:v>-1.2523573982666669</c:v>
                </c:pt>
                <c:pt idx="17">
                  <c:v>-2.3867476002666672</c:v>
                </c:pt>
                <c:pt idx="18">
                  <c:v>-2.5260590293333349</c:v>
                </c:pt>
                <c:pt idx="19">
                  <c:v>-2.8417780727999991</c:v>
                </c:pt>
                <c:pt idx="20">
                  <c:v>-2.3043772764000008</c:v>
                </c:pt>
                <c:pt idx="21">
                  <c:v>-1.8118741212</c:v>
                </c:pt>
                <c:pt idx="22">
                  <c:v>-1.6870452579999979</c:v>
                </c:pt>
                <c:pt idx="23">
                  <c:v>-3.0996573754666659</c:v>
                </c:pt>
                <c:pt idx="24">
                  <c:v>-3.1322826624000011</c:v>
                </c:pt>
                <c:pt idx="25">
                  <c:v>-2.666508672</c:v>
                </c:pt>
                <c:pt idx="26">
                  <c:v>-3.0437264819999998</c:v>
                </c:pt>
                <c:pt idx="27">
                  <c:v>-2.7989176608000008</c:v>
                </c:pt>
                <c:pt idx="28">
                  <c:v>-2.5581308932</c:v>
                </c:pt>
                <c:pt idx="29">
                  <c:v>-2.5265551730666682</c:v>
                </c:pt>
                <c:pt idx="30">
                  <c:v>-2.389633161466667</c:v>
                </c:pt>
                <c:pt idx="31">
                  <c:v>-1.664399187200001</c:v>
                </c:pt>
                <c:pt idx="32">
                  <c:v>-1.5355230573333321</c:v>
                </c:pt>
                <c:pt idx="33">
                  <c:v>-1.1809556062666651</c:v>
                </c:pt>
                <c:pt idx="34">
                  <c:v>-1.2596647273333319</c:v>
                </c:pt>
                <c:pt idx="35">
                  <c:v>-0.93255362120000007</c:v>
                </c:pt>
                <c:pt idx="36">
                  <c:v>-0.59905426800000106</c:v>
                </c:pt>
                <c:pt idx="37">
                  <c:v>-0.22654872600000001</c:v>
                </c:pt>
                <c:pt idx="38">
                  <c:v>-0.1763840810666662</c:v>
                </c:pt>
                <c:pt idx="39">
                  <c:v>1.0205160000009709E-4</c:v>
                </c:pt>
                <c:pt idx="40">
                  <c:v>-2.8177626666670008E-4</c:v>
                </c:pt>
                <c:pt idx="41">
                  <c:v>4.9666666666697834E-4</c:v>
                </c:pt>
                <c:pt idx="42">
                  <c:v>-3.8600000000010848E-4</c:v>
                </c:pt>
                <c:pt idx="43">
                  <c:v>1.5733333333389779E-4</c:v>
                </c:pt>
                <c:pt idx="44">
                  <c:v>-2.1499999999996519E-4</c:v>
                </c:pt>
                <c:pt idx="45">
                  <c:v>1.1333333333030099E-5</c:v>
                </c:pt>
                <c:pt idx="46">
                  <c:v>3.9966666666590989E-4</c:v>
                </c:pt>
                <c:pt idx="47">
                  <c:v>1.3099999999999221E-4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B8C-416A-AF76-2639CB973406}"/>
            </c:ext>
          </c:extLst>
        </c:ser>
        <c:ser>
          <c:idx val="18"/>
          <c:order val="18"/>
          <c:tx>
            <c:v>BES_TR1_one552_B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Net_kW!$U$2:$U$49</c:f>
              <c:numCache>
                <c:formatCode>#,##0.000</c:formatCode>
                <c:ptCount val="48"/>
                <c:pt idx="0">
                  <c:v>7.2000000000002617E-5</c:v>
                </c:pt>
                <c:pt idx="1">
                  <c:v>0</c:v>
                </c:pt>
                <c:pt idx="2">
                  <c:v>-3.6500000000000421E-4</c:v>
                </c:pt>
                <c:pt idx="3">
                  <c:v>-4.3699999999990968E-4</c:v>
                </c:pt>
                <c:pt idx="4">
                  <c:v>4.8966666666670072E-4</c:v>
                </c:pt>
                <c:pt idx="5">
                  <c:v>-1.960666666669941E-4</c:v>
                </c:pt>
                <c:pt idx="6">
                  <c:v>-3.6500000000000421E-4</c:v>
                </c:pt>
                <c:pt idx="7">
                  <c:v>-1.0703033333329949E-5</c:v>
                </c:pt>
                <c:pt idx="8">
                  <c:v>-3.1968096666654122E-4</c:v>
                </c:pt>
                <c:pt idx="9">
                  <c:v>4.9813745000001908E-4</c:v>
                </c:pt>
                <c:pt idx="10">
                  <c:v>3.8124776666553778E-4</c:v>
                </c:pt>
                <c:pt idx="11">
                  <c:v>1.8270533334474589E-5</c:v>
                </c:pt>
                <c:pt idx="12">
                  <c:v>7.1231416665429315E-5</c:v>
                </c:pt>
                <c:pt idx="13">
                  <c:v>1.7447823333494039E-4</c:v>
                </c:pt>
                <c:pt idx="14">
                  <c:v>2.8547705000003809E-4</c:v>
                </c:pt>
                <c:pt idx="15">
                  <c:v>-1.6282874999995481E-4</c:v>
                </c:pt>
                <c:pt idx="16">
                  <c:v>-1.198725223483335</c:v>
                </c:pt>
                <c:pt idx="17">
                  <c:v>-2.1425335669000001</c:v>
                </c:pt>
                <c:pt idx="18">
                  <c:v>-2.2403414423333352</c:v>
                </c:pt>
                <c:pt idx="19">
                  <c:v>-2.5485854803666652</c:v>
                </c:pt>
                <c:pt idx="20">
                  <c:v>-2.5878728251833341</c:v>
                </c:pt>
                <c:pt idx="21">
                  <c:v>-2.7733289810500001</c:v>
                </c:pt>
                <c:pt idx="22">
                  <c:v>-2.8547836840833338</c:v>
                </c:pt>
                <c:pt idx="23">
                  <c:v>-2.8487448702</c:v>
                </c:pt>
                <c:pt idx="24">
                  <c:v>-2.965171162933335</c:v>
                </c:pt>
                <c:pt idx="25">
                  <c:v>-2.8614324629999999</c:v>
                </c:pt>
                <c:pt idx="26">
                  <c:v>-2.7904146717499998</c:v>
                </c:pt>
                <c:pt idx="27">
                  <c:v>-2.7646675365333349</c:v>
                </c:pt>
                <c:pt idx="28">
                  <c:v>-2.6052834065499999</c:v>
                </c:pt>
                <c:pt idx="29">
                  <c:v>-2.3362544014333348</c:v>
                </c:pt>
                <c:pt idx="30">
                  <c:v>-2.2972374329499998</c:v>
                </c:pt>
                <c:pt idx="31">
                  <c:v>-1.9374558721333339</c:v>
                </c:pt>
                <c:pt idx="32">
                  <c:v>-1.836557050166665</c:v>
                </c:pt>
                <c:pt idx="33">
                  <c:v>-1.566562363816665</c:v>
                </c:pt>
                <c:pt idx="34">
                  <c:v>-1.262265261416665</c:v>
                </c:pt>
                <c:pt idx="35">
                  <c:v>-0.89805291855000013</c:v>
                </c:pt>
                <c:pt idx="36">
                  <c:v>-0.76055231783333443</c:v>
                </c:pt>
                <c:pt idx="37">
                  <c:v>-0.50490688524999994</c:v>
                </c:pt>
                <c:pt idx="38">
                  <c:v>-0.27528065426666648</c:v>
                </c:pt>
                <c:pt idx="39">
                  <c:v>4.3304515000000538E-4</c:v>
                </c:pt>
                <c:pt idx="40">
                  <c:v>-2.9330423333334341E-4</c:v>
                </c:pt>
                <c:pt idx="41">
                  <c:v>2.9599999999999071E-4</c:v>
                </c:pt>
                <c:pt idx="42">
                  <c:v>-3.6983333333298618E-4</c:v>
                </c:pt>
                <c:pt idx="43">
                  <c:v>-2.5433333333302333E-4</c:v>
                </c:pt>
                <c:pt idx="44">
                  <c:v>3.956666666669606E-4</c:v>
                </c:pt>
                <c:pt idx="45">
                  <c:v>2.4566666666697712E-4</c:v>
                </c:pt>
                <c:pt idx="46">
                  <c:v>2.6666666666697042E-4</c:v>
                </c:pt>
                <c:pt idx="47">
                  <c:v>9.666666667018653E-6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B8C-416A-AF76-2639CB973406}"/>
            </c:ext>
          </c:extLst>
        </c:ser>
        <c:ser>
          <c:idx val="19"/>
          <c:order val="19"/>
          <c:tx>
            <c:v>BES_TR1_one559_C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Net_kW!$V$2:$V$49</c:f>
              <c:numCache>
                <c:formatCode>#,##0.000</c:formatCode>
                <c:ptCount val="48"/>
                <c:pt idx="0">
                  <c:v>-1.2433333333300431E-4</c:v>
                </c:pt>
                <c:pt idx="1">
                  <c:v>-2.5666666666993021E-5</c:v>
                </c:pt>
                <c:pt idx="2">
                  <c:v>3.6133333333304712E-4</c:v>
                </c:pt>
                <c:pt idx="3">
                  <c:v>-1.1666666666701461E-5</c:v>
                </c:pt>
                <c:pt idx="4">
                  <c:v>-3.2500000000001972E-4</c:v>
                </c:pt>
                <c:pt idx="5">
                  <c:v>-2.9899999999999372E-4</c:v>
                </c:pt>
                <c:pt idx="6">
                  <c:v>-4.5000000000003371E-5</c:v>
                </c:pt>
                <c:pt idx="7">
                  <c:v>4.5426493333367007E-4</c:v>
                </c:pt>
                <c:pt idx="8">
                  <c:v>1.3808706666640361E-4</c:v>
                </c:pt>
                <c:pt idx="9">
                  <c:v>-1.6677859999999871E-4</c:v>
                </c:pt>
                <c:pt idx="10">
                  <c:v>-4.7681080000100412E-4</c:v>
                </c:pt>
                <c:pt idx="11">
                  <c:v>7.1011733334014338E-5</c:v>
                </c:pt>
                <c:pt idx="12">
                  <c:v>2.837033333297212E-5</c:v>
                </c:pt>
                <c:pt idx="13">
                  <c:v>4.5441613333402348E-4</c:v>
                </c:pt>
                <c:pt idx="14">
                  <c:v>2.02726000000375E-5</c:v>
                </c:pt>
                <c:pt idx="15">
                  <c:v>2.96216666670901E-5</c:v>
                </c:pt>
                <c:pt idx="16">
                  <c:v>-1.9403246666704901E-4</c:v>
                </c:pt>
                <c:pt idx="17">
                  <c:v>1.2119986666708769E-4</c:v>
                </c:pt>
                <c:pt idx="18">
                  <c:v>-4.8768133333412442E-4</c:v>
                </c:pt>
                <c:pt idx="19">
                  <c:v>2.429693333402122E-5</c:v>
                </c:pt>
                <c:pt idx="20">
                  <c:v>4.4561799996040152E-5</c:v>
                </c:pt>
                <c:pt idx="21">
                  <c:v>3.407727333328836E-4</c:v>
                </c:pt>
                <c:pt idx="22">
                  <c:v>2.117043333329516E-4</c:v>
                </c:pt>
                <c:pt idx="23">
                  <c:v>-1.516860021066667</c:v>
                </c:pt>
                <c:pt idx="24">
                  <c:v>-1.533460664533334</c:v>
                </c:pt>
                <c:pt idx="25">
                  <c:v>-1.520904502666667</c:v>
                </c:pt>
                <c:pt idx="26">
                  <c:v>-1.464776574333333</c:v>
                </c:pt>
                <c:pt idx="27">
                  <c:v>-1.397118497066667</c:v>
                </c:pt>
                <c:pt idx="28">
                  <c:v>-0.80527694659999993</c:v>
                </c:pt>
                <c:pt idx="29">
                  <c:v>-0.83878375320000109</c:v>
                </c:pt>
                <c:pt idx="30">
                  <c:v>-1.0346355807333329</c:v>
                </c:pt>
                <c:pt idx="31">
                  <c:v>-0.69203559360000089</c:v>
                </c:pt>
                <c:pt idx="32">
                  <c:v>-0.33038702866666592</c:v>
                </c:pt>
                <c:pt idx="33">
                  <c:v>7.1030200003929789E-5</c:v>
                </c:pt>
                <c:pt idx="34">
                  <c:v>2.8813633333302918E-4</c:v>
                </c:pt>
                <c:pt idx="35">
                  <c:v>-2.2143933333051979E-5</c:v>
                </c:pt>
                <c:pt idx="36">
                  <c:v>1.141993333330024E-4</c:v>
                </c:pt>
                <c:pt idx="37">
                  <c:v>-2.0136299999995441E-4</c:v>
                </c:pt>
                <c:pt idx="38">
                  <c:v>-1.720405333332925E-4</c:v>
                </c:pt>
                <c:pt idx="39">
                  <c:v>3.6359133333996319E-5</c:v>
                </c:pt>
                <c:pt idx="40">
                  <c:v>-4.5588813333330419E-4</c:v>
                </c:pt>
                <c:pt idx="41">
                  <c:v>4.910000000000192E-4</c:v>
                </c:pt>
                <c:pt idx="42">
                  <c:v>2.2366666666695509E-4</c:v>
                </c:pt>
                <c:pt idx="43">
                  <c:v>-1.3933333333330381E-4</c:v>
                </c:pt>
                <c:pt idx="44">
                  <c:v>-3.1066666666701442E-4</c:v>
                </c:pt>
                <c:pt idx="45">
                  <c:v>-3.3333333333299131E-4</c:v>
                </c:pt>
                <c:pt idx="46">
                  <c:v>1.346666666669771E-4</c:v>
                </c:pt>
                <c:pt idx="47">
                  <c:v>-5.0999999999995493E-5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B8C-416A-AF76-2639CB973406}"/>
            </c:ext>
          </c:extLst>
        </c:ser>
        <c:ser>
          <c:idx val="20"/>
          <c:order val="20"/>
          <c:tx>
            <c:v>BES_TR1_one560_C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Net_kW!$W$2:$W$49</c:f>
              <c:numCache>
                <c:formatCode>#,##0.000</c:formatCode>
                <c:ptCount val="48"/>
                <c:pt idx="0">
                  <c:v>1.983333333329951E-4</c:v>
                </c:pt>
                <c:pt idx="1">
                  <c:v>3.1666666666985137E-5</c:v>
                </c:pt>
                <c:pt idx="2">
                  <c:v>-3.4533333333330168E-4</c:v>
                </c:pt>
                <c:pt idx="3">
                  <c:v>7.4000000000018495E-5</c:v>
                </c:pt>
                <c:pt idx="4">
                  <c:v>7.0000000000070006E-6</c:v>
                </c:pt>
                <c:pt idx="5">
                  <c:v>-3.3833333333299631E-4</c:v>
                </c:pt>
                <c:pt idx="6">
                  <c:v>3.0133333333298712E-4</c:v>
                </c:pt>
                <c:pt idx="7">
                  <c:v>4.5119653333333681E-4</c:v>
                </c:pt>
                <c:pt idx="8">
                  <c:v>-4.6049253333321771E-4</c:v>
                </c:pt>
                <c:pt idx="9">
                  <c:v>-3.0589053333299199E-4</c:v>
                </c:pt>
                <c:pt idx="10">
                  <c:v>4.4704506666498611E-4</c:v>
                </c:pt>
                <c:pt idx="11">
                  <c:v>2.863568000009975E-4</c:v>
                </c:pt>
                <c:pt idx="12">
                  <c:v>4.3140733333180142E-4</c:v>
                </c:pt>
                <c:pt idx="13">
                  <c:v>1.5083226666812169E-4</c:v>
                </c:pt>
                <c:pt idx="14">
                  <c:v>3.0621186666679462E-4</c:v>
                </c:pt>
                <c:pt idx="15">
                  <c:v>-4.9089999999862848E-5</c:v>
                </c:pt>
                <c:pt idx="16">
                  <c:v>-1.273329398266668</c:v>
                </c:pt>
                <c:pt idx="17">
                  <c:v>-2.1291079335999998</c:v>
                </c:pt>
                <c:pt idx="18">
                  <c:v>-2.3937196960000011</c:v>
                </c:pt>
                <c:pt idx="19">
                  <c:v>-2.0150557061333312</c:v>
                </c:pt>
                <c:pt idx="20">
                  <c:v>-2.892000243066668</c:v>
                </c:pt>
                <c:pt idx="21">
                  <c:v>-2.6351431212</c:v>
                </c:pt>
                <c:pt idx="22">
                  <c:v>-1.9729445913333381</c:v>
                </c:pt>
                <c:pt idx="23">
                  <c:v>-0.91852730879999989</c:v>
                </c:pt>
                <c:pt idx="24">
                  <c:v>-2.9841843290666681</c:v>
                </c:pt>
                <c:pt idx="25">
                  <c:v>-3.2652443386666672</c:v>
                </c:pt>
                <c:pt idx="26">
                  <c:v>-3.2102664820000002</c:v>
                </c:pt>
                <c:pt idx="27">
                  <c:v>-3.0032286608000009</c:v>
                </c:pt>
                <c:pt idx="28">
                  <c:v>-2.7584782265333332</c:v>
                </c:pt>
                <c:pt idx="29">
                  <c:v>-1.4123076730666679</c:v>
                </c:pt>
                <c:pt idx="30">
                  <c:v>-2.4162624948000002</c:v>
                </c:pt>
                <c:pt idx="31">
                  <c:v>-2.2089331872000009</c:v>
                </c:pt>
                <c:pt idx="32">
                  <c:v>-1.2457903906666661</c:v>
                </c:pt>
                <c:pt idx="33">
                  <c:v>-1.3641359395999979</c:v>
                </c:pt>
                <c:pt idx="34">
                  <c:v>-1.1893560606666651</c:v>
                </c:pt>
                <c:pt idx="35">
                  <c:v>-0.98302862120000012</c:v>
                </c:pt>
                <c:pt idx="36">
                  <c:v>-0.73092493466666797</c:v>
                </c:pt>
                <c:pt idx="37">
                  <c:v>-0.38859705933333311</c:v>
                </c:pt>
                <c:pt idx="38">
                  <c:v>-0.24289574773333319</c:v>
                </c:pt>
                <c:pt idx="39">
                  <c:v>-2.7628173333293932E-4</c:v>
                </c:pt>
                <c:pt idx="40">
                  <c:v>-4.3844293333361589E-4</c:v>
                </c:pt>
                <c:pt idx="41">
                  <c:v>1.9199999999997E-4</c:v>
                </c:pt>
                <c:pt idx="42">
                  <c:v>-2.8800000000001052E-4</c:v>
                </c:pt>
                <c:pt idx="43">
                  <c:v>-4.0666666666699941E-4</c:v>
                </c:pt>
                <c:pt idx="44">
                  <c:v>-3.4533333333330168E-4</c:v>
                </c:pt>
                <c:pt idx="45">
                  <c:v>4.7600000000003201E-4</c:v>
                </c:pt>
                <c:pt idx="46">
                  <c:v>-2.8233333333302363E-4</c:v>
                </c:pt>
                <c:pt idx="47">
                  <c:v>-1.7999999999997182E-5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B8C-416A-AF76-2639CB973406}"/>
            </c:ext>
          </c:extLst>
        </c:ser>
        <c:ser>
          <c:idx val="21"/>
          <c:order val="21"/>
          <c:tx>
            <c:v>BES_TR1_one605_A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Net_kW!$X$2:$X$49</c:f>
              <c:numCache>
                <c:formatCode>#,##0.000</c:formatCode>
                <c:ptCount val="48"/>
                <c:pt idx="0">
                  <c:v>0</c:v>
                </c:pt>
                <c:pt idx="1">
                  <c:v>-2.4666666666697812E-4</c:v>
                </c:pt>
                <c:pt idx="2">
                  <c:v>2.7000000000000629E-4</c:v>
                </c:pt>
                <c:pt idx="3">
                  <c:v>0</c:v>
                </c:pt>
                <c:pt idx="4">
                  <c:v>-3.3833333333299631E-4</c:v>
                </c:pt>
                <c:pt idx="5">
                  <c:v>3.616666666667046E-4</c:v>
                </c:pt>
                <c:pt idx="6">
                  <c:v>0</c:v>
                </c:pt>
                <c:pt idx="7">
                  <c:v>4.8449783333333329E-4</c:v>
                </c:pt>
                <c:pt idx="8">
                  <c:v>4.6660883333374259E-4</c:v>
                </c:pt>
                <c:pt idx="9">
                  <c:v>2.2526749999987609E-5</c:v>
                </c:pt>
                <c:pt idx="10">
                  <c:v>3.8898649999910551E-4</c:v>
                </c:pt>
                <c:pt idx="11">
                  <c:v>2.4543133333460032E-4</c:v>
                </c:pt>
                <c:pt idx="12">
                  <c:v>4.142129166657682E-4</c:v>
                </c:pt>
                <c:pt idx="13">
                  <c:v>-1.3489649999909309E-4</c:v>
                </c:pt>
                <c:pt idx="14">
                  <c:v>3.4534074999992281E-4</c:v>
                </c:pt>
                <c:pt idx="15">
                  <c:v>-3.6797291666657023E-4</c:v>
                </c:pt>
                <c:pt idx="16">
                  <c:v>-3.5754058333808958E-4</c:v>
                </c:pt>
                <c:pt idx="17">
                  <c:v>1.3183316666709471E-4</c:v>
                </c:pt>
                <c:pt idx="18">
                  <c:v>-0.83917760166666799</c:v>
                </c:pt>
                <c:pt idx="19">
                  <c:v>-1.5945362954999991</c:v>
                </c:pt>
                <c:pt idx="20">
                  <c:v>-1.777655589416667</c:v>
                </c:pt>
                <c:pt idx="21">
                  <c:v>-1.68279070075</c:v>
                </c:pt>
                <c:pt idx="22">
                  <c:v>-1.8657738695833339</c:v>
                </c:pt>
                <c:pt idx="23">
                  <c:v>-1.8880515263333331</c:v>
                </c:pt>
                <c:pt idx="24">
                  <c:v>-1.9971051639999999</c:v>
                </c:pt>
                <c:pt idx="25">
                  <c:v>-2.0668867116666672</c:v>
                </c:pt>
                <c:pt idx="26">
                  <c:v>-1.834648384583333</c:v>
                </c:pt>
                <c:pt idx="27">
                  <c:v>-1.795901954666667</c:v>
                </c:pt>
                <c:pt idx="28">
                  <c:v>-1.4258810999166669</c:v>
                </c:pt>
                <c:pt idx="29">
                  <c:v>-1.4303808581666679</c:v>
                </c:pt>
                <c:pt idx="30">
                  <c:v>-1.437136642583333</c:v>
                </c:pt>
                <c:pt idx="31">
                  <c:v>-1.356986575333335</c:v>
                </c:pt>
                <c:pt idx="32">
                  <c:v>-1.263763369166665</c:v>
                </c:pt>
                <c:pt idx="33">
                  <c:v>-0.92615887891666593</c:v>
                </c:pt>
                <c:pt idx="34">
                  <c:v>-2.6566291666257902E-4</c:v>
                </c:pt>
                <c:pt idx="35">
                  <c:v>1.8982008333295891E-4</c:v>
                </c:pt>
                <c:pt idx="36">
                  <c:v>-2.975083333733863E-5</c:v>
                </c:pt>
                <c:pt idx="37">
                  <c:v>2.752962499999595E-4</c:v>
                </c:pt>
                <c:pt idx="38">
                  <c:v>-1.809673333331846E-4</c:v>
                </c:pt>
                <c:pt idx="39">
                  <c:v>-2.1344166669934328E-6</c:v>
                </c:pt>
                <c:pt idx="40">
                  <c:v>-1.2602683333268189E-4</c:v>
                </c:pt>
                <c:pt idx="41">
                  <c:v>3.3333333333300519E-4</c:v>
                </c:pt>
                <c:pt idx="42">
                  <c:v>-1.2533333333300531E-4</c:v>
                </c:pt>
                <c:pt idx="43">
                  <c:v>1.486666666669911E-4</c:v>
                </c:pt>
                <c:pt idx="44">
                  <c:v>0</c:v>
                </c:pt>
                <c:pt idx="45">
                  <c:v>2.7000000000000629E-4</c:v>
                </c:pt>
                <c:pt idx="46">
                  <c:v>3.7666666666698318E-4</c:v>
                </c:pt>
                <c:pt idx="47">
                  <c:v>-3.5333333333298361E-4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B8C-416A-AF76-2639CB973406}"/>
            </c:ext>
          </c:extLst>
        </c:ser>
        <c:ser>
          <c:idx val="22"/>
          <c:order val="22"/>
          <c:tx>
            <c:v>BES_TR1_one617_A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Net_kW!$Y$2:$Y$49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-3.0086939999989833E-4</c:v>
                </c:pt>
                <c:pt idx="9">
                  <c:v>-4.3016789999998639E-4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-1.141247048700001</c:v>
                </c:pt>
                <c:pt idx="17">
                  <c:v>-1.727944866866667</c:v>
                </c:pt>
                <c:pt idx="18">
                  <c:v>-1.9921700553333339</c:v>
                </c:pt>
                <c:pt idx="19">
                  <c:v>-2.1330980879333321</c:v>
                </c:pt>
                <c:pt idx="20">
                  <c:v>-2.2759071739666679</c:v>
                </c:pt>
                <c:pt idx="21">
                  <c:v>-2.3619081408999998</c:v>
                </c:pt>
                <c:pt idx="22">
                  <c:v>-2.4523277101666681</c:v>
                </c:pt>
                <c:pt idx="23">
                  <c:v>-2.4248377982666671</c:v>
                </c:pt>
                <c:pt idx="24">
                  <c:v>-2.4032743301333341</c:v>
                </c:pt>
                <c:pt idx="25">
                  <c:v>-2.4855548540000001</c:v>
                </c:pt>
                <c:pt idx="26">
                  <c:v>-1.38296032816667</c:v>
                </c:pt>
                <c:pt idx="27">
                  <c:v>-2.1216107456000008</c:v>
                </c:pt>
                <c:pt idx="28">
                  <c:v>-2.2491309198999998</c:v>
                </c:pt>
                <c:pt idx="29">
                  <c:v>-2.1086426298000012</c:v>
                </c:pt>
                <c:pt idx="30">
                  <c:v>-1.9593463711000001</c:v>
                </c:pt>
                <c:pt idx="31">
                  <c:v>-1.7796878904000011</c:v>
                </c:pt>
                <c:pt idx="32">
                  <c:v>-1.5773500429999989</c:v>
                </c:pt>
                <c:pt idx="33">
                  <c:v>-1.333053454699999</c:v>
                </c:pt>
                <c:pt idx="34">
                  <c:v>-1.104408795499999</c:v>
                </c:pt>
                <c:pt idx="35">
                  <c:v>-0.86946221590000006</c:v>
                </c:pt>
                <c:pt idx="36">
                  <c:v>-0.642187701000001</c:v>
                </c:pt>
                <c:pt idx="37">
                  <c:v>-0.42306304449999999</c:v>
                </c:pt>
                <c:pt idx="38">
                  <c:v>-0.22624056079999991</c:v>
                </c:pt>
                <c:pt idx="39">
                  <c:v>-3.0369961300000001E-2</c:v>
                </c:pt>
                <c:pt idx="40">
                  <c:v>-2.7383219999999042E-4</c:v>
                </c:pt>
                <c:pt idx="41">
                  <c:v>1.963333333330208E-4</c:v>
                </c:pt>
                <c:pt idx="42">
                  <c:v>2.8166666666695761E-4</c:v>
                </c:pt>
                <c:pt idx="43">
                  <c:v>6.3333333332971087E-5</c:v>
                </c:pt>
                <c:pt idx="44">
                  <c:v>-1.4999999999999741E-4</c:v>
                </c:pt>
                <c:pt idx="45">
                  <c:v>1.313333333329281E-4</c:v>
                </c:pt>
                <c:pt idx="46">
                  <c:v>1.013333333330091E-4</c:v>
                </c:pt>
                <c:pt idx="47">
                  <c:v>-1.733333333329701E-4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B8C-416A-AF76-2639CB973406}"/>
            </c:ext>
          </c:extLst>
        </c:ser>
        <c:ser>
          <c:idx val="23"/>
          <c:order val="23"/>
          <c:tx>
            <c:v>BES_TR1_one73_A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Net_kW!$Z$2:$Z$49</c:f>
              <c:numCache>
                <c:formatCode>#,##0.000</c:formatCode>
                <c:ptCount val="48"/>
                <c:pt idx="0">
                  <c:v>4.7516666666670197E-2</c:v>
                </c:pt>
                <c:pt idx="1">
                  <c:v>5.5E-2</c:v>
                </c:pt>
                <c:pt idx="2">
                  <c:v>5.5E-2</c:v>
                </c:pt>
                <c:pt idx="3">
                  <c:v>5.5E-2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5.2419397399999998E-2</c:v>
                </c:pt>
                <c:pt idx="8">
                  <c:v>1.7699130600000099E-2</c:v>
                </c:pt>
                <c:pt idx="9">
                  <c:v>-4.3016789999998639E-4</c:v>
                </c:pt>
                <c:pt idx="10">
                  <c:v>-5.2162000009903231E-6</c:v>
                </c:pt>
                <c:pt idx="11">
                  <c:v>-2.8248239999900671E-4</c:v>
                </c:pt>
                <c:pt idx="12">
                  <c:v>4.3105549999900022E-4</c:v>
                </c:pt>
                <c:pt idx="13">
                  <c:v>4.8412420000110151E-4</c:v>
                </c:pt>
                <c:pt idx="14">
                  <c:v>-4.6959110000011067E-4</c:v>
                </c:pt>
                <c:pt idx="15">
                  <c:v>3.0432499999788479E-5</c:v>
                </c:pt>
                <c:pt idx="16">
                  <c:v>2.112846333319762E-4</c:v>
                </c:pt>
                <c:pt idx="17">
                  <c:v>-2.150820019999999E-2</c:v>
                </c:pt>
                <c:pt idx="18">
                  <c:v>-1.6858148553333341</c:v>
                </c:pt>
                <c:pt idx="19">
                  <c:v>-1.4730408879333321</c:v>
                </c:pt>
                <c:pt idx="20">
                  <c:v>-1.8604650406333341</c:v>
                </c:pt>
                <c:pt idx="21">
                  <c:v>-0.27601350756666992</c:v>
                </c:pt>
                <c:pt idx="22">
                  <c:v>2.9988983332916719E-4</c:v>
                </c:pt>
                <c:pt idx="23">
                  <c:v>-1.726148364933334</c:v>
                </c:pt>
                <c:pt idx="24">
                  <c:v>-2.5268609968000009</c:v>
                </c:pt>
                <c:pt idx="25">
                  <c:v>-2.5087412539999998</c:v>
                </c:pt>
                <c:pt idx="26">
                  <c:v>-2.4478688614999999</c:v>
                </c:pt>
                <c:pt idx="27">
                  <c:v>-2.3550007456000008</c:v>
                </c:pt>
                <c:pt idx="28">
                  <c:v>-2.2441309198999999</c:v>
                </c:pt>
                <c:pt idx="29">
                  <c:v>-2.1036426298000008</c:v>
                </c:pt>
                <c:pt idx="30">
                  <c:v>-1.9543463711</c:v>
                </c:pt>
                <c:pt idx="31">
                  <c:v>-1.774687890400001</c:v>
                </c:pt>
                <c:pt idx="32">
                  <c:v>-1.572350042999999</c:v>
                </c:pt>
                <c:pt idx="33">
                  <c:v>-1.3280534546999989</c:v>
                </c:pt>
                <c:pt idx="34">
                  <c:v>-1.0994087954999989</c:v>
                </c:pt>
                <c:pt idx="35">
                  <c:v>-0.86446221590000005</c:v>
                </c:pt>
                <c:pt idx="36">
                  <c:v>-0.63718770100000099</c:v>
                </c:pt>
                <c:pt idx="37">
                  <c:v>-0.41806304449999998</c:v>
                </c:pt>
                <c:pt idx="38">
                  <c:v>-0.2212405607999999</c:v>
                </c:pt>
                <c:pt idx="39">
                  <c:v>-2.53699613E-2</c:v>
                </c:pt>
                <c:pt idx="40">
                  <c:v>1.771677999999888E-4</c:v>
                </c:pt>
                <c:pt idx="41">
                  <c:v>0</c:v>
                </c:pt>
                <c:pt idx="42">
                  <c:v>0</c:v>
                </c:pt>
                <c:pt idx="43">
                  <c:v>-4.0000000000001151E-4</c:v>
                </c:pt>
                <c:pt idx="44">
                  <c:v>0</c:v>
                </c:pt>
                <c:pt idx="45">
                  <c:v>4.9133333333301055E-4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B8C-416A-AF76-2639CB973406}"/>
            </c:ext>
          </c:extLst>
        </c:ser>
        <c:ser>
          <c:idx val="24"/>
          <c:order val="24"/>
          <c:tx>
            <c:v>BES_TR1_one76_A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Net_kW!$AA$2:$AA$49</c:f>
              <c:numCache>
                <c:formatCode>#,##0.000</c:formatCode>
                <c:ptCount val="48"/>
                <c:pt idx="0">
                  <c:v>1.4133333333339601E-4</c:v>
                </c:pt>
                <c:pt idx="1">
                  <c:v>4.2666666666700548E-4</c:v>
                </c:pt>
                <c:pt idx="2">
                  <c:v>0</c:v>
                </c:pt>
                <c:pt idx="3">
                  <c:v>2.8266666666698642E-4</c:v>
                </c:pt>
                <c:pt idx="4">
                  <c:v>2.8533333333340127E-4</c:v>
                </c:pt>
                <c:pt idx="5">
                  <c:v>-2.1599999999991071E-4</c:v>
                </c:pt>
                <c:pt idx="6">
                  <c:v>-2.16000000000105E-4</c:v>
                </c:pt>
                <c:pt idx="7">
                  <c:v>-1.0703033333329949E-5</c:v>
                </c:pt>
                <c:pt idx="8">
                  <c:v>5.0319033333440233E-5</c:v>
                </c:pt>
                <c:pt idx="9">
                  <c:v>4.9813744999999132E-4</c:v>
                </c:pt>
                <c:pt idx="10">
                  <c:v>3.2724776666553929E-4</c:v>
                </c:pt>
                <c:pt idx="11">
                  <c:v>-1.2572946666533641E-4</c:v>
                </c:pt>
                <c:pt idx="12">
                  <c:v>-3.6076858333455858E-4</c:v>
                </c:pt>
                <c:pt idx="13">
                  <c:v>-2.3521766665091089E-5</c:v>
                </c:pt>
                <c:pt idx="14">
                  <c:v>2.8547705000003809E-4</c:v>
                </c:pt>
                <c:pt idx="15">
                  <c:v>-4.1582875000023561E-4</c:v>
                </c:pt>
                <c:pt idx="16">
                  <c:v>-1.427275556816668</c:v>
                </c:pt>
                <c:pt idx="17">
                  <c:v>-2.0780015668999998</c:v>
                </c:pt>
                <c:pt idx="18">
                  <c:v>-2.3645034423333349</c:v>
                </c:pt>
                <c:pt idx="19">
                  <c:v>-2.5375854803666651</c:v>
                </c:pt>
                <c:pt idx="20">
                  <c:v>-2.5396178251833339</c:v>
                </c:pt>
                <c:pt idx="21">
                  <c:v>-2.6812473143833331</c:v>
                </c:pt>
                <c:pt idx="22">
                  <c:v>-2.9038556840833341</c:v>
                </c:pt>
                <c:pt idx="23">
                  <c:v>-2.9428708702000002</c:v>
                </c:pt>
                <c:pt idx="24">
                  <c:v>-2.9541711629333349</c:v>
                </c:pt>
                <c:pt idx="25">
                  <c:v>-2.692093463</c:v>
                </c:pt>
                <c:pt idx="26">
                  <c:v>-2.70464367175</c:v>
                </c:pt>
                <c:pt idx="27">
                  <c:v>-2.5007572032000018</c:v>
                </c:pt>
                <c:pt idx="28">
                  <c:v>-2.4277624065499999</c:v>
                </c:pt>
                <c:pt idx="29">
                  <c:v>-2.3845622014333352</c:v>
                </c:pt>
                <c:pt idx="30">
                  <c:v>-2.22131843295</c:v>
                </c:pt>
                <c:pt idx="31">
                  <c:v>-1.933217872133334</c:v>
                </c:pt>
                <c:pt idx="32">
                  <c:v>-1.810697050166665</c:v>
                </c:pt>
                <c:pt idx="33">
                  <c:v>-1.5753048333494449E-4</c:v>
                </c:pt>
                <c:pt idx="34">
                  <c:v>-0.6830258614166651</c:v>
                </c:pt>
                <c:pt idx="35">
                  <c:v>-1.01470591855</c:v>
                </c:pt>
                <c:pt idx="36">
                  <c:v>-0.66598431783333445</c:v>
                </c:pt>
                <c:pt idx="37">
                  <c:v>-0.49390688524999998</c:v>
                </c:pt>
                <c:pt idx="38">
                  <c:v>-0.2364246542666664</c:v>
                </c:pt>
                <c:pt idx="39">
                  <c:v>-2.896881833329909E-4</c:v>
                </c:pt>
                <c:pt idx="40">
                  <c:v>4.0029099999644442E-5</c:v>
                </c:pt>
                <c:pt idx="41">
                  <c:v>-3.6066666667022851E-4</c:v>
                </c:pt>
                <c:pt idx="42">
                  <c:v>-2.3433333333011669E-4</c:v>
                </c:pt>
                <c:pt idx="43">
                  <c:v>4.2000000000097508E-5</c:v>
                </c:pt>
                <c:pt idx="44">
                  <c:v>-3.6333333333304912E-4</c:v>
                </c:pt>
                <c:pt idx="45">
                  <c:v>3.5400000000002102E-4</c:v>
                </c:pt>
                <c:pt idx="46">
                  <c:v>-4.320000000000157E-4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B8C-416A-AF76-2639CB973406}"/>
            </c:ext>
          </c:extLst>
        </c:ser>
        <c:ser>
          <c:idx val="25"/>
          <c:order val="25"/>
          <c:tx>
            <c:v>BES_TR1_six64_A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Net_kW!$AB$2:$AB$49</c:f>
              <c:numCache>
                <c:formatCode>#,##0.000</c:formatCode>
                <c:ptCount val="48"/>
                <c:pt idx="0">
                  <c:v>3.1033333333296831E-4</c:v>
                </c:pt>
                <c:pt idx="1">
                  <c:v>-4.2433333333330442E-4</c:v>
                </c:pt>
                <c:pt idx="2">
                  <c:v>4.9766666666703485E-4</c:v>
                </c:pt>
                <c:pt idx="3">
                  <c:v>0</c:v>
                </c:pt>
                <c:pt idx="4">
                  <c:v>0</c:v>
                </c:pt>
                <c:pt idx="5">
                  <c:v>3.0733333333329838E-4</c:v>
                </c:pt>
                <c:pt idx="6">
                  <c:v>-2.34000000000012E-4</c:v>
                </c:pt>
                <c:pt idx="7">
                  <c:v>-1.5050216666666341E-4</c:v>
                </c:pt>
                <c:pt idx="8">
                  <c:v>-1.072450000025316E-5</c:v>
                </c:pt>
                <c:pt idx="9">
                  <c:v>-3.5847325000001867E-4</c:v>
                </c:pt>
                <c:pt idx="10">
                  <c:v>1.5998649999951489E-4</c:v>
                </c:pt>
                <c:pt idx="11">
                  <c:v>-8.5568666665869486E-5</c:v>
                </c:pt>
                <c:pt idx="12">
                  <c:v>5.0879583332497091E-5</c:v>
                </c:pt>
                <c:pt idx="13">
                  <c:v>4.1177016666749111E-4</c:v>
                </c:pt>
                <c:pt idx="14">
                  <c:v>3.9000741666661559E-4</c:v>
                </c:pt>
                <c:pt idx="15">
                  <c:v>3.1736041666707848E-4</c:v>
                </c:pt>
                <c:pt idx="16">
                  <c:v>3.1412608333214459E-4</c:v>
                </c:pt>
                <c:pt idx="17">
                  <c:v>-4.683349999989872E-5</c:v>
                </c:pt>
                <c:pt idx="18">
                  <c:v>3.260649999989873E-4</c:v>
                </c:pt>
                <c:pt idx="19">
                  <c:v>-1.4147992954999991</c:v>
                </c:pt>
                <c:pt idx="20">
                  <c:v>-1.64788392275</c:v>
                </c:pt>
                <c:pt idx="21">
                  <c:v>-1.0709613674166669</c:v>
                </c:pt>
                <c:pt idx="22">
                  <c:v>-1.1901772029166671</c:v>
                </c:pt>
                <c:pt idx="23">
                  <c:v>-1.5849628596666661</c:v>
                </c:pt>
                <c:pt idx="24">
                  <c:v>-1.217371164</c:v>
                </c:pt>
                <c:pt idx="25">
                  <c:v>-0.61957504499999994</c:v>
                </c:pt>
                <c:pt idx="26">
                  <c:v>-1.8710873845833329</c:v>
                </c:pt>
                <c:pt idx="27">
                  <c:v>-1.513265621333334</c:v>
                </c:pt>
                <c:pt idx="28">
                  <c:v>-1.656369766583333</c:v>
                </c:pt>
                <c:pt idx="29">
                  <c:v>-1.662717524833335</c:v>
                </c:pt>
                <c:pt idx="30">
                  <c:v>-1.5835333092499999</c:v>
                </c:pt>
                <c:pt idx="31">
                  <c:v>-1.467739908666668</c:v>
                </c:pt>
                <c:pt idx="32">
                  <c:v>-1.186051702499999</c:v>
                </c:pt>
                <c:pt idx="33">
                  <c:v>-1.095544545583333</c:v>
                </c:pt>
                <c:pt idx="34">
                  <c:v>-0.90500732958333241</c:v>
                </c:pt>
                <c:pt idx="35">
                  <c:v>-0.70921851324999996</c:v>
                </c:pt>
                <c:pt idx="36">
                  <c:v>-0.18757108416666651</c:v>
                </c:pt>
                <c:pt idx="37">
                  <c:v>-0.33156553708333331</c:v>
                </c:pt>
                <c:pt idx="38">
                  <c:v>-0.1295233006666662</c:v>
                </c:pt>
                <c:pt idx="39">
                  <c:v>-2.7096775000001738E-4</c:v>
                </c:pt>
                <c:pt idx="40">
                  <c:v>5.6973166666418613E-5</c:v>
                </c:pt>
                <c:pt idx="41">
                  <c:v>2.376666666670246E-4</c:v>
                </c:pt>
                <c:pt idx="42">
                  <c:v>-4.543333333330013E-4</c:v>
                </c:pt>
                <c:pt idx="43">
                  <c:v>4.9333333333290152E-4</c:v>
                </c:pt>
                <c:pt idx="44">
                  <c:v>-2.666666666928386E-6</c:v>
                </c:pt>
                <c:pt idx="45">
                  <c:v>3.4333333333302912E-4</c:v>
                </c:pt>
                <c:pt idx="46">
                  <c:v>-1.0999999999983249E-4</c:v>
                </c:pt>
                <c:pt idx="47">
                  <c:v>3.3333333332996602E-5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B8C-416A-AF76-2639CB973406}"/>
            </c:ext>
          </c:extLst>
        </c:ser>
        <c:ser>
          <c:idx val="26"/>
          <c:order val="26"/>
          <c:tx>
            <c:v>BES_TR1_six154_C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Net_kW!$AC$2:$AC$49</c:f>
              <c:numCache>
                <c:formatCode>#,##0.000</c:formatCode>
                <c:ptCount val="48"/>
                <c:pt idx="0">
                  <c:v>6.1333333332996842E-5</c:v>
                </c:pt>
                <c:pt idx="1">
                  <c:v>0</c:v>
                </c:pt>
                <c:pt idx="2">
                  <c:v>3.3933333333339982E-4</c:v>
                </c:pt>
                <c:pt idx="3">
                  <c:v>4.8733333333300649E-4</c:v>
                </c:pt>
                <c:pt idx="4">
                  <c:v>0</c:v>
                </c:pt>
                <c:pt idx="5">
                  <c:v>-1.733333333329978E-4</c:v>
                </c:pt>
                <c:pt idx="6">
                  <c:v>0</c:v>
                </c:pt>
                <c:pt idx="7">
                  <c:v>-4.4080346666666709E-4</c:v>
                </c:pt>
                <c:pt idx="8">
                  <c:v>-9.0333331994609488E-9</c:v>
                </c:pt>
                <c:pt idx="9">
                  <c:v>4.2644279999998203E-4</c:v>
                </c:pt>
                <c:pt idx="10">
                  <c:v>2.337117333319205E-4</c:v>
                </c:pt>
                <c:pt idx="11">
                  <c:v>3.9469013333515163E-4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-1.9454800000096029E-5</c:v>
                </c:pt>
                <c:pt idx="15">
                  <c:v>-0.78778942333333291</c:v>
                </c:pt>
                <c:pt idx="16">
                  <c:v>-2.2103327316000012</c:v>
                </c:pt>
                <c:pt idx="17">
                  <c:v>-2.1856409335999998</c:v>
                </c:pt>
                <c:pt idx="18">
                  <c:v>-1.516878695999998</c:v>
                </c:pt>
                <c:pt idx="19">
                  <c:v>-2.6732447394666652</c:v>
                </c:pt>
                <c:pt idx="20">
                  <c:v>-2.8884009430666682</c:v>
                </c:pt>
                <c:pt idx="21">
                  <c:v>-2.9780244545333332</c:v>
                </c:pt>
                <c:pt idx="22">
                  <c:v>-3.1255119246666681</c:v>
                </c:pt>
                <c:pt idx="23">
                  <c:v>-2.3510227088</c:v>
                </c:pt>
                <c:pt idx="24">
                  <c:v>-3.1285773290666681</c:v>
                </c:pt>
                <c:pt idx="25">
                  <c:v>-3.1874790053333331</c:v>
                </c:pt>
                <c:pt idx="26">
                  <c:v>-2.9349178153333328</c:v>
                </c:pt>
                <c:pt idx="27">
                  <c:v>-2.900584994133335</c:v>
                </c:pt>
                <c:pt idx="28">
                  <c:v>-2.9939372265333328</c:v>
                </c:pt>
                <c:pt idx="29">
                  <c:v>-2.7039521730666678</c:v>
                </c:pt>
                <c:pt idx="30">
                  <c:v>-2.5644628281333328</c:v>
                </c:pt>
                <c:pt idx="31">
                  <c:v>-2.2549808538666678</c:v>
                </c:pt>
                <c:pt idx="32">
                  <c:v>-2.0366087906666648</c:v>
                </c:pt>
                <c:pt idx="33">
                  <c:v>-1.5630459395999989</c:v>
                </c:pt>
                <c:pt idx="34">
                  <c:v>-1.380642393999999</c:v>
                </c:pt>
                <c:pt idx="35">
                  <c:v>-1.1439292212000001</c:v>
                </c:pt>
                <c:pt idx="36">
                  <c:v>-0.79504693466666798</c:v>
                </c:pt>
                <c:pt idx="37">
                  <c:v>-0.56581872599999994</c:v>
                </c:pt>
                <c:pt idx="38">
                  <c:v>-0.16604001440000021</c:v>
                </c:pt>
                <c:pt idx="39">
                  <c:v>1.1718493333300049E-4</c:v>
                </c:pt>
                <c:pt idx="40">
                  <c:v>-1.3377626666666309E-4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-3.6466666666698511E-4</c:v>
                </c:pt>
                <c:pt idx="45">
                  <c:v>1.913333333333975E-4</c:v>
                </c:pt>
                <c:pt idx="46">
                  <c:v>-4.260000000000097E-4</c:v>
                </c:pt>
                <c:pt idx="47">
                  <c:v>2.5266666666701187E-4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B8C-416A-AF76-2639CB973406}"/>
            </c:ext>
          </c:extLst>
        </c:ser>
        <c:ser>
          <c:idx val="27"/>
          <c:order val="27"/>
          <c:tx>
            <c:v>BES_TR1_six173_C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Net_kW!$AD$2:$AD$49</c:f>
              <c:numCache>
                <c:formatCode>#,##0.000</c:formatCode>
                <c:ptCount val="48"/>
                <c:pt idx="0">
                  <c:v>-3.5799999999996951E-4</c:v>
                </c:pt>
                <c:pt idx="1">
                  <c:v>0</c:v>
                </c:pt>
                <c:pt idx="2">
                  <c:v>2.5500000000000522E-4</c:v>
                </c:pt>
                <c:pt idx="3">
                  <c:v>-1.1333333333329861E-4</c:v>
                </c:pt>
                <c:pt idx="4">
                  <c:v>2.9466666666699842E-4</c:v>
                </c:pt>
                <c:pt idx="5">
                  <c:v>-3.0533333333299112E-4</c:v>
                </c:pt>
                <c:pt idx="6">
                  <c:v>-1.7600000000000951E-4</c:v>
                </c:pt>
                <c:pt idx="7">
                  <c:v>2.9119653333331552E-4</c:v>
                </c:pt>
                <c:pt idx="8">
                  <c:v>-2.7115920000020388E-4</c:v>
                </c:pt>
                <c:pt idx="9">
                  <c:v>-3.6755720000000708E-4</c:v>
                </c:pt>
                <c:pt idx="10">
                  <c:v>-1.042882666679734E-4</c:v>
                </c:pt>
                <c:pt idx="11">
                  <c:v>-1.046431999989217E-4</c:v>
                </c:pt>
                <c:pt idx="12">
                  <c:v>3.1740733333185389E-4</c:v>
                </c:pt>
                <c:pt idx="13">
                  <c:v>4.6549893333502901E-4</c:v>
                </c:pt>
                <c:pt idx="14">
                  <c:v>-3.8278813333292311E-4</c:v>
                </c:pt>
                <c:pt idx="15">
                  <c:v>-4.2008999999998409E-4</c:v>
                </c:pt>
                <c:pt idx="16">
                  <c:v>-1.652428731600001</c:v>
                </c:pt>
                <c:pt idx="17">
                  <c:v>-2.4405622669333331</c:v>
                </c:pt>
                <c:pt idx="18">
                  <c:v>-2.6838020293333349</c:v>
                </c:pt>
                <c:pt idx="19">
                  <c:v>-2.7101674061333321</c:v>
                </c:pt>
                <c:pt idx="20">
                  <c:v>-3.0850089430666681</c:v>
                </c:pt>
                <c:pt idx="21">
                  <c:v>-3.146428454533333</c:v>
                </c:pt>
                <c:pt idx="22">
                  <c:v>-3.2144832580000009</c:v>
                </c:pt>
                <c:pt idx="23">
                  <c:v>-3.3111753754666671</c:v>
                </c:pt>
                <c:pt idx="24">
                  <c:v>-3.2049419957333352</c:v>
                </c:pt>
                <c:pt idx="25">
                  <c:v>-3.3446450053333332</c:v>
                </c:pt>
                <c:pt idx="26">
                  <c:v>-3.274715148666667</c:v>
                </c:pt>
                <c:pt idx="27">
                  <c:v>-2.9833476608000011</c:v>
                </c:pt>
                <c:pt idx="28">
                  <c:v>-2.9619485598666668</c:v>
                </c:pt>
                <c:pt idx="29">
                  <c:v>-2.823190173066668</c:v>
                </c:pt>
                <c:pt idx="30">
                  <c:v>-2.4118584948000001</c:v>
                </c:pt>
                <c:pt idx="31">
                  <c:v>-2.3845838538666682</c:v>
                </c:pt>
                <c:pt idx="32">
                  <c:v>-2.051518057333332</c:v>
                </c:pt>
                <c:pt idx="33">
                  <c:v>-1.621363939599999</c:v>
                </c:pt>
                <c:pt idx="34">
                  <c:v>-1.484211727333332</c:v>
                </c:pt>
                <c:pt idx="35">
                  <c:v>-0.928796954533333</c:v>
                </c:pt>
                <c:pt idx="36">
                  <c:v>-0.65463760133333504</c:v>
                </c:pt>
                <c:pt idx="37">
                  <c:v>-5.8185392666667002E-2</c:v>
                </c:pt>
                <c:pt idx="38">
                  <c:v>-2.010810666661644E-4</c:v>
                </c:pt>
                <c:pt idx="39">
                  <c:v>-2.5728173333300353E-4</c:v>
                </c:pt>
                <c:pt idx="40">
                  <c:v>1.128904000002873E-4</c:v>
                </c:pt>
                <c:pt idx="41">
                  <c:v>2.8033333333010718E-4</c:v>
                </c:pt>
                <c:pt idx="42">
                  <c:v>3.0333333332999152E-4</c:v>
                </c:pt>
                <c:pt idx="43">
                  <c:v>1.18261066666667</c:v>
                </c:pt>
                <c:pt idx="44">
                  <c:v>0.39623599999999998</c:v>
                </c:pt>
                <c:pt idx="45">
                  <c:v>0.61279300000000003</c:v>
                </c:pt>
                <c:pt idx="46">
                  <c:v>0.406418</c:v>
                </c:pt>
                <c:pt idx="47">
                  <c:v>0.44712333333333298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B8C-416A-AF76-2639CB973406}"/>
            </c:ext>
          </c:extLst>
        </c:ser>
        <c:ser>
          <c:idx val="28"/>
          <c:order val="28"/>
          <c:tx>
            <c:v>BES_TR1_six186_A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Net_kW!$AE$2:$AE$49</c:f>
              <c:numCache>
                <c:formatCode>#,##0.000</c:formatCode>
                <c:ptCount val="48"/>
                <c:pt idx="0">
                  <c:v>-8.6666666667012393E-5</c:v>
                </c:pt>
                <c:pt idx="1">
                  <c:v>1.9166666666692311E-4</c:v>
                </c:pt>
                <c:pt idx="2">
                  <c:v>4.4433333333404601E-4</c:v>
                </c:pt>
                <c:pt idx="3">
                  <c:v>3.2000000000000079E-4</c:v>
                </c:pt>
                <c:pt idx="4">
                  <c:v>1.8666666666700141E-4</c:v>
                </c:pt>
                <c:pt idx="5">
                  <c:v>0</c:v>
                </c:pt>
                <c:pt idx="6">
                  <c:v>-1.5666666666996901E-5</c:v>
                </c:pt>
                <c:pt idx="7">
                  <c:v>0.1173552649333337</c:v>
                </c:pt>
                <c:pt idx="8">
                  <c:v>0.1697527537333334</c:v>
                </c:pt>
                <c:pt idx="9">
                  <c:v>4.212213999999978E-4</c:v>
                </c:pt>
                <c:pt idx="10">
                  <c:v>6.1855866666002401E-5</c:v>
                </c:pt>
                <c:pt idx="11">
                  <c:v>7.1011733334014338E-5</c:v>
                </c:pt>
                <c:pt idx="12">
                  <c:v>1.0070366666598E-4</c:v>
                </c:pt>
                <c:pt idx="13">
                  <c:v>1.294161333340593E-4</c:v>
                </c:pt>
                <c:pt idx="14">
                  <c:v>-1.306073333307012E-5</c:v>
                </c:pt>
                <c:pt idx="15">
                  <c:v>-4.1711666666888192E-5</c:v>
                </c:pt>
                <c:pt idx="16">
                  <c:v>-4.4503246666693919E-4</c:v>
                </c:pt>
                <c:pt idx="17">
                  <c:v>-2.8846680000005342E-4</c:v>
                </c:pt>
                <c:pt idx="18">
                  <c:v>1.7651999999923621E-5</c:v>
                </c:pt>
                <c:pt idx="19">
                  <c:v>-3.2570306666590548E-4</c:v>
                </c:pt>
                <c:pt idx="20">
                  <c:v>-4.9513820000068876E-4</c:v>
                </c:pt>
                <c:pt idx="21">
                  <c:v>-1.1797025606</c:v>
                </c:pt>
                <c:pt idx="22">
                  <c:v>-1.3932222956666671</c:v>
                </c:pt>
                <c:pt idx="23">
                  <c:v>-1.3086963544000001</c:v>
                </c:pt>
                <c:pt idx="24">
                  <c:v>-1.4314583312000011</c:v>
                </c:pt>
                <c:pt idx="25">
                  <c:v>-1.411334969333333</c:v>
                </c:pt>
                <c:pt idx="26">
                  <c:v>-1.5101647743333331</c:v>
                </c:pt>
                <c:pt idx="27">
                  <c:v>-1.3306030304000001</c:v>
                </c:pt>
                <c:pt idx="28">
                  <c:v>-1.3807571465999999</c:v>
                </c:pt>
                <c:pt idx="29">
                  <c:v>-0.19963375320000409</c:v>
                </c:pt>
                <c:pt idx="30">
                  <c:v>-3.2758073332983528E-4</c:v>
                </c:pt>
                <c:pt idx="31">
                  <c:v>1.8739733335992881E-5</c:v>
                </c:pt>
                <c:pt idx="32">
                  <c:v>-3.1536199999881998E-4</c:v>
                </c:pt>
                <c:pt idx="33">
                  <c:v>-1.4896979999934329E-4</c:v>
                </c:pt>
                <c:pt idx="34">
                  <c:v>-4.8456366666593809E-4</c:v>
                </c:pt>
                <c:pt idx="35">
                  <c:v>3.0318939999998679E-4</c:v>
                </c:pt>
                <c:pt idx="36">
                  <c:v>-4.2780066666381339E-4</c:v>
                </c:pt>
                <c:pt idx="37">
                  <c:v>2.0797033332975451E-4</c:v>
                </c:pt>
                <c:pt idx="38">
                  <c:v>2.5927629594666741</c:v>
                </c:pt>
                <c:pt idx="39">
                  <c:v>1.4652060257999999</c:v>
                </c:pt>
                <c:pt idx="40">
                  <c:v>0.60250644519999963</c:v>
                </c:pt>
                <c:pt idx="41">
                  <c:v>0.61244333333333301</c:v>
                </c:pt>
                <c:pt idx="42">
                  <c:v>0.56213633333333302</c:v>
                </c:pt>
                <c:pt idx="43">
                  <c:v>0.79888566666666705</c:v>
                </c:pt>
                <c:pt idx="44">
                  <c:v>0.468121333333334</c:v>
                </c:pt>
                <c:pt idx="45">
                  <c:v>0.76455300000000004</c:v>
                </c:pt>
                <c:pt idx="46">
                  <c:v>0.49905633333333399</c:v>
                </c:pt>
                <c:pt idx="47">
                  <c:v>5.7909200000000001E-2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B8C-416A-AF76-2639CB973406}"/>
            </c:ext>
          </c:extLst>
        </c:ser>
        <c:ser>
          <c:idx val="29"/>
          <c:order val="29"/>
          <c:tx>
            <c:v>BES_TR1_six191_B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Net_kW!$AF$2:$AF$49</c:f>
              <c:numCache>
                <c:formatCode>#,##0.000</c:formatCode>
                <c:ptCount val="48"/>
                <c:pt idx="0">
                  <c:v>1.2833333333300831E-4</c:v>
                </c:pt>
                <c:pt idx="1">
                  <c:v>2.8299999999997771E-4</c:v>
                </c:pt>
                <c:pt idx="2">
                  <c:v>1.226666666670484E-4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2.6550746666679712E-4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1.08690133334699E-4</c:v>
                </c:pt>
                <c:pt idx="12">
                  <c:v>-4.7159266666807481E-4</c:v>
                </c:pt>
                <c:pt idx="13">
                  <c:v>-3.9760106666200667E-4</c:v>
                </c:pt>
                <c:pt idx="14">
                  <c:v>2.5291186666653859E-4</c:v>
                </c:pt>
                <c:pt idx="15">
                  <c:v>4.1057666666710618E-4</c:v>
                </c:pt>
                <c:pt idx="16">
                  <c:v>-1.2939826666791279E-4</c:v>
                </c:pt>
                <c:pt idx="17">
                  <c:v>-2.1436509336</c:v>
                </c:pt>
                <c:pt idx="18">
                  <c:v>-2.7145753626666682</c:v>
                </c:pt>
                <c:pt idx="19">
                  <c:v>-2.912383406133332</c:v>
                </c:pt>
                <c:pt idx="20">
                  <c:v>-3.086008943066668</c:v>
                </c:pt>
                <c:pt idx="21">
                  <c:v>-3.2293051211999999</c:v>
                </c:pt>
                <c:pt idx="22">
                  <c:v>-3.330977924666668</c:v>
                </c:pt>
                <c:pt idx="23">
                  <c:v>-3.3755667088000001</c:v>
                </c:pt>
                <c:pt idx="24">
                  <c:v>-3.3884813290666682</c:v>
                </c:pt>
                <c:pt idx="25">
                  <c:v>-1.1841950053333301</c:v>
                </c:pt>
                <c:pt idx="26">
                  <c:v>-3.2831584820000002</c:v>
                </c:pt>
                <c:pt idx="27">
                  <c:v>-3.1593343274666679</c:v>
                </c:pt>
                <c:pt idx="28">
                  <c:v>-3.0115078932000001</c:v>
                </c:pt>
                <c:pt idx="29">
                  <c:v>-2.8241901730666679</c:v>
                </c:pt>
                <c:pt idx="30">
                  <c:v>-2.6251284948000002</c:v>
                </c:pt>
                <c:pt idx="31">
                  <c:v>-2.385583853866668</c:v>
                </c:pt>
                <c:pt idx="32">
                  <c:v>-2.115800057333332</c:v>
                </c:pt>
                <c:pt idx="33">
                  <c:v>-1.7900712729333319</c:v>
                </c:pt>
                <c:pt idx="34">
                  <c:v>-1.4852117273333321</c:v>
                </c:pt>
                <c:pt idx="35">
                  <c:v>-1.160226087866667</c:v>
                </c:pt>
                <c:pt idx="36">
                  <c:v>-0.77632243466666806</c:v>
                </c:pt>
                <c:pt idx="37">
                  <c:v>-0.52779395933333306</c:v>
                </c:pt>
                <c:pt idx="38">
                  <c:v>-0.25998741440000023</c:v>
                </c:pt>
                <c:pt idx="39">
                  <c:v>2.5738493333302142E-4</c:v>
                </c:pt>
                <c:pt idx="40">
                  <c:v>1.34890400000337E-4</c:v>
                </c:pt>
                <c:pt idx="41">
                  <c:v>-1.4100000000000221E-4</c:v>
                </c:pt>
                <c:pt idx="42">
                  <c:v>-4.3066666666696779E-4</c:v>
                </c:pt>
                <c:pt idx="43">
                  <c:v>4.8999999999999044E-4</c:v>
                </c:pt>
                <c:pt idx="44">
                  <c:v>1.089999999999702E-4</c:v>
                </c:pt>
                <c:pt idx="45">
                  <c:v>3.9400000000000551E-4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B8C-416A-AF76-2639CB973406}"/>
            </c:ext>
          </c:extLst>
        </c:ser>
        <c:ser>
          <c:idx val="30"/>
          <c:order val="30"/>
          <c:tx>
            <c:v>BES_TR1_six249_B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Net_kW!$AG$2:$AG$49</c:f>
              <c:numCache>
                <c:formatCode>#,##0.000</c:formatCode>
                <c:ptCount val="48"/>
                <c:pt idx="0">
                  <c:v>0</c:v>
                </c:pt>
                <c:pt idx="1">
                  <c:v>-1.6000000000002121E-4</c:v>
                </c:pt>
                <c:pt idx="2">
                  <c:v>-7.7333333333012844E-5</c:v>
                </c:pt>
                <c:pt idx="3">
                  <c:v>-1.6000000000002121E-4</c:v>
                </c:pt>
                <c:pt idx="4">
                  <c:v>0</c:v>
                </c:pt>
                <c:pt idx="5">
                  <c:v>3.7866666666697141E-4</c:v>
                </c:pt>
                <c:pt idx="6">
                  <c:v>3.8400000000000928E-4</c:v>
                </c:pt>
                <c:pt idx="7">
                  <c:v>3.2719653333332382E-4</c:v>
                </c:pt>
                <c:pt idx="8">
                  <c:v>3.375074666668032E-4</c:v>
                </c:pt>
                <c:pt idx="9">
                  <c:v>4.2644279999998203E-4</c:v>
                </c:pt>
                <c:pt idx="10">
                  <c:v>-4.1762160000097248E-4</c:v>
                </c:pt>
                <c:pt idx="11">
                  <c:v>1.420234666680287E-4</c:v>
                </c:pt>
                <c:pt idx="12">
                  <c:v>4.0739999989103381E-6</c:v>
                </c:pt>
                <c:pt idx="13">
                  <c:v>9.8832266667958635E-5</c:v>
                </c:pt>
                <c:pt idx="14">
                  <c:v>4.0545199999852948E-5</c:v>
                </c:pt>
                <c:pt idx="15">
                  <c:v>4.7657666666700571E-4</c:v>
                </c:pt>
                <c:pt idx="16">
                  <c:v>-1.846917398266668</c:v>
                </c:pt>
                <c:pt idx="17">
                  <c:v>-2.3357709336000001</c:v>
                </c:pt>
                <c:pt idx="18">
                  <c:v>-2.220357696000002</c:v>
                </c:pt>
                <c:pt idx="19">
                  <c:v>-2.558552406133332</c:v>
                </c:pt>
                <c:pt idx="20">
                  <c:v>-1.8345679430666679</c:v>
                </c:pt>
                <c:pt idx="21">
                  <c:v>-2.9544911211999998</c:v>
                </c:pt>
                <c:pt idx="22">
                  <c:v>-2.8672635913333351</c:v>
                </c:pt>
                <c:pt idx="23">
                  <c:v>-3.1176670421333328</c:v>
                </c:pt>
                <c:pt idx="24">
                  <c:v>-3.1626946624000012</c:v>
                </c:pt>
                <c:pt idx="25">
                  <c:v>-3.3058603386666672</c:v>
                </c:pt>
                <c:pt idx="26">
                  <c:v>-3.2246971486666669</c:v>
                </c:pt>
                <c:pt idx="27">
                  <c:v>-3.0404943274666678</c:v>
                </c:pt>
                <c:pt idx="28">
                  <c:v>-2.8683630265333329</c:v>
                </c:pt>
                <c:pt idx="29">
                  <c:v>-2.819190173066668</c:v>
                </c:pt>
                <c:pt idx="30">
                  <c:v>-2.5441871614666671</c:v>
                </c:pt>
                <c:pt idx="31">
                  <c:v>-2.2357625205333349</c:v>
                </c:pt>
                <c:pt idx="32">
                  <c:v>-2.0766480573333319</c:v>
                </c:pt>
                <c:pt idx="33">
                  <c:v>-1.5984606062666651</c:v>
                </c:pt>
                <c:pt idx="34">
                  <c:v>-1.480211727333332</c:v>
                </c:pt>
                <c:pt idx="35">
                  <c:v>-1.0466486545333329</c:v>
                </c:pt>
                <c:pt idx="36">
                  <c:v>-0.75699426800000102</c:v>
                </c:pt>
                <c:pt idx="37">
                  <c:v>-0.55467472600000001</c:v>
                </c:pt>
                <c:pt idx="38">
                  <c:v>-0.1975860810666662</c:v>
                </c:pt>
                <c:pt idx="39">
                  <c:v>-2.079483999999909E-4</c:v>
                </c:pt>
                <c:pt idx="40">
                  <c:v>-2.3577626666670959E-4</c:v>
                </c:pt>
                <c:pt idx="41">
                  <c:v>1.3200000000002099E-4</c:v>
                </c:pt>
                <c:pt idx="42">
                  <c:v>4.976666666670071E-4</c:v>
                </c:pt>
                <c:pt idx="43">
                  <c:v>3.3700000000003172E-4</c:v>
                </c:pt>
                <c:pt idx="44">
                  <c:v>-1.433333333400455E-5</c:v>
                </c:pt>
                <c:pt idx="45">
                  <c:v>1.666666667010652E-6</c:v>
                </c:pt>
                <c:pt idx="46">
                  <c:v>-3.5200000000001902E-4</c:v>
                </c:pt>
                <c:pt idx="47">
                  <c:v>3.4666666666699491E-4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B8C-416A-AF76-2639CB973406}"/>
            </c:ext>
          </c:extLst>
        </c:ser>
        <c:ser>
          <c:idx val="31"/>
          <c:order val="31"/>
          <c:tx>
            <c:v>BES_TR1_six254_B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Net_kW!$AH$2:$AH$49</c:f>
              <c:numCache>
                <c:formatCode>#,##0.000</c:formatCode>
                <c:ptCount val="48"/>
                <c:pt idx="0">
                  <c:v>3.0666666667011899E-5</c:v>
                </c:pt>
                <c:pt idx="1">
                  <c:v>-2.1999999999997019E-4</c:v>
                </c:pt>
                <c:pt idx="2">
                  <c:v>-4.8466666666660552E-4</c:v>
                </c:pt>
                <c:pt idx="3">
                  <c:v>-4.8466666666660552E-4</c:v>
                </c:pt>
                <c:pt idx="4">
                  <c:v>0</c:v>
                </c:pt>
                <c:pt idx="5">
                  <c:v>-9.3333333330003487E-6</c:v>
                </c:pt>
                <c:pt idx="6">
                  <c:v>-1.8000000000001351E-4</c:v>
                </c:pt>
                <c:pt idx="7">
                  <c:v>-3.6106839999993512E-4</c:v>
                </c:pt>
                <c:pt idx="8">
                  <c:v>-3.7591293333355541E-4</c:v>
                </c:pt>
                <c:pt idx="9">
                  <c:v>-3.267786000000078E-4</c:v>
                </c:pt>
                <c:pt idx="10">
                  <c:v>-2.328108000007045E-4</c:v>
                </c:pt>
                <c:pt idx="11">
                  <c:v>4.4434506666704571E-4</c:v>
                </c:pt>
                <c:pt idx="12">
                  <c:v>4.0703666665975469E-5</c:v>
                </c:pt>
                <c:pt idx="13">
                  <c:v>1.8441613333403109E-4</c:v>
                </c:pt>
                <c:pt idx="14">
                  <c:v>3.5860593333303381E-4</c:v>
                </c:pt>
                <c:pt idx="15">
                  <c:v>2.2495499999999891E-4</c:v>
                </c:pt>
                <c:pt idx="16">
                  <c:v>2.9063419999886259E-4</c:v>
                </c:pt>
                <c:pt idx="17">
                  <c:v>2.5786653333303988E-4</c:v>
                </c:pt>
                <c:pt idx="18">
                  <c:v>-4.0348000001300122E-5</c:v>
                </c:pt>
                <c:pt idx="19">
                  <c:v>-1.137030666658045E-4</c:v>
                </c:pt>
                <c:pt idx="20">
                  <c:v>-0.81519447153333402</c:v>
                </c:pt>
                <c:pt idx="21">
                  <c:v>-1.473651893933333</c:v>
                </c:pt>
                <c:pt idx="22">
                  <c:v>-1.6205289623333341</c:v>
                </c:pt>
                <c:pt idx="23">
                  <c:v>-1.5449633544000001</c:v>
                </c:pt>
                <c:pt idx="24">
                  <c:v>-1.523570931200001</c:v>
                </c:pt>
                <c:pt idx="25">
                  <c:v>-1.4324808360000001</c:v>
                </c:pt>
                <c:pt idx="26">
                  <c:v>-1.434077907666667</c:v>
                </c:pt>
                <c:pt idx="27">
                  <c:v>-1.2961678304000011</c:v>
                </c:pt>
                <c:pt idx="28">
                  <c:v>-1.4347739466</c:v>
                </c:pt>
                <c:pt idx="29">
                  <c:v>-1.2920644198666671</c:v>
                </c:pt>
                <c:pt idx="30">
                  <c:v>-1.1417842474</c:v>
                </c:pt>
                <c:pt idx="31">
                  <c:v>-1.094839260266667</c:v>
                </c:pt>
                <c:pt idx="32">
                  <c:v>-0.87203202866666585</c:v>
                </c:pt>
                <c:pt idx="33">
                  <c:v>-0.871045636466666</c:v>
                </c:pt>
                <c:pt idx="34">
                  <c:v>-0.72560586366666591</c:v>
                </c:pt>
                <c:pt idx="35">
                  <c:v>-0.3489608106</c:v>
                </c:pt>
                <c:pt idx="36">
                  <c:v>-0.31566180066666699</c:v>
                </c:pt>
                <c:pt idx="37">
                  <c:v>-0.180505363</c:v>
                </c:pt>
                <c:pt idx="38">
                  <c:v>-3.8637386666658813E-4</c:v>
                </c:pt>
                <c:pt idx="39">
                  <c:v>-4.1130753333301628E-4</c:v>
                </c:pt>
                <c:pt idx="40">
                  <c:v>-2.9722146666644189E-4</c:v>
                </c:pt>
                <c:pt idx="41">
                  <c:v>-3.4333333333302912E-4</c:v>
                </c:pt>
                <c:pt idx="42">
                  <c:v>1.4333333333299561E-4</c:v>
                </c:pt>
                <c:pt idx="43">
                  <c:v>-1.4633333333302631E-4</c:v>
                </c:pt>
                <c:pt idx="44">
                  <c:v>-3.8466666666703292E-4</c:v>
                </c:pt>
                <c:pt idx="45">
                  <c:v>2.6266666666696642E-4</c:v>
                </c:pt>
                <c:pt idx="46">
                  <c:v>5.3999999999998487E-5</c:v>
                </c:pt>
                <c:pt idx="47">
                  <c:v>-4.0666666666699941E-4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B8C-416A-AF76-2639CB973406}"/>
            </c:ext>
          </c:extLst>
        </c:ser>
        <c:ser>
          <c:idx val="32"/>
          <c:order val="32"/>
          <c:tx>
            <c:v>BES_TR1_six269_C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Net_kW!$AI$2:$AI$49</c:f>
              <c:numCache>
                <c:formatCode>#,##0.000</c:formatCode>
                <c:ptCount val="48"/>
                <c:pt idx="0">
                  <c:v>-4.9999999999997269E-4</c:v>
                </c:pt>
                <c:pt idx="1">
                  <c:v>-4.2599999999999583E-4</c:v>
                </c:pt>
                <c:pt idx="2">
                  <c:v>1.733333333329978E-4</c:v>
                </c:pt>
                <c:pt idx="3">
                  <c:v>-3.8333333333301361E-4</c:v>
                </c:pt>
                <c:pt idx="4">
                  <c:v>4.3199999999998789E-4</c:v>
                </c:pt>
                <c:pt idx="5">
                  <c:v>-4.9999999999997269E-4</c:v>
                </c:pt>
                <c:pt idx="6">
                  <c:v>-4.240000000000077E-4</c:v>
                </c:pt>
                <c:pt idx="7">
                  <c:v>4.7406406666700152E-4</c:v>
                </c:pt>
                <c:pt idx="8">
                  <c:v>-2.7953606666689113E-4</c:v>
                </c:pt>
                <c:pt idx="9">
                  <c:v>-4.3016789999998639E-4</c:v>
                </c:pt>
                <c:pt idx="10">
                  <c:v>-5.2162000009903231E-6</c:v>
                </c:pt>
                <c:pt idx="11">
                  <c:v>-3.1748239999895839E-4</c:v>
                </c:pt>
                <c:pt idx="12">
                  <c:v>6.1055499998907692E-5</c:v>
                </c:pt>
                <c:pt idx="13">
                  <c:v>5.0124200001056003E-5</c:v>
                </c:pt>
                <c:pt idx="14">
                  <c:v>2.504088999999432E-4</c:v>
                </c:pt>
                <c:pt idx="15">
                  <c:v>2.3576583333295709E-4</c:v>
                </c:pt>
                <c:pt idx="16">
                  <c:v>-3.7638203333401071E-4</c:v>
                </c:pt>
                <c:pt idx="17">
                  <c:v>-1.1542828668666669</c:v>
                </c:pt>
                <c:pt idx="18">
                  <c:v>-1.8941328553333341</c:v>
                </c:pt>
                <c:pt idx="19">
                  <c:v>-2.1482868879333319</c:v>
                </c:pt>
                <c:pt idx="20">
                  <c:v>-2.2875422406333339</c:v>
                </c:pt>
                <c:pt idx="21">
                  <c:v>-1.9931408409</c:v>
                </c:pt>
                <c:pt idx="22">
                  <c:v>-2.4570667768333339</c:v>
                </c:pt>
                <c:pt idx="23">
                  <c:v>-2.3393340316</c:v>
                </c:pt>
                <c:pt idx="24">
                  <c:v>-2.4662327968000008</c:v>
                </c:pt>
                <c:pt idx="25">
                  <c:v>-2.3939332539999998</c:v>
                </c:pt>
                <c:pt idx="26">
                  <c:v>-2.316879528166667</c:v>
                </c:pt>
                <c:pt idx="27">
                  <c:v>-2.265148078933334</c:v>
                </c:pt>
                <c:pt idx="28">
                  <c:v>-2.1147355865666668</c:v>
                </c:pt>
                <c:pt idx="29">
                  <c:v>-1.770065263133334</c:v>
                </c:pt>
                <c:pt idx="30">
                  <c:v>-1.6697563711000001</c:v>
                </c:pt>
                <c:pt idx="31">
                  <c:v>-1.600247423733334</c:v>
                </c:pt>
                <c:pt idx="32">
                  <c:v>-1.4348869429999991</c:v>
                </c:pt>
                <c:pt idx="33">
                  <c:v>-1.196638321366666</c:v>
                </c:pt>
                <c:pt idx="34">
                  <c:v>-0.80042879549999912</c:v>
                </c:pt>
                <c:pt idx="35">
                  <c:v>-0.47668488256666708</c:v>
                </c:pt>
                <c:pt idx="36">
                  <c:v>-0.19794503433333399</c:v>
                </c:pt>
                <c:pt idx="37">
                  <c:v>-0.27301937783333302</c:v>
                </c:pt>
                <c:pt idx="38">
                  <c:v>-1.9356079999993669E-4</c:v>
                </c:pt>
                <c:pt idx="39">
                  <c:v>-4.9996130000001804E-4</c:v>
                </c:pt>
                <c:pt idx="40">
                  <c:v>-2.201655333329833E-4</c:v>
                </c:pt>
                <c:pt idx="41">
                  <c:v>-8.7000000000003741E-5</c:v>
                </c:pt>
                <c:pt idx="42">
                  <c:v>3.3800000000000502E-4</c:v>
                </c:pt>
                <c:pt idx="43">
                  <c:v>1.8800000000002151E-4</c:v>
                </c:pt>
                <c:pt idx="44">
                  <c:v>2.5333333333299462E-4</c:v>
                </c:pt>
                <c:pt idx="45">
                  <c:v>1.12000000000001E-4</c:v>
                </c:pt>
                <c:pt idx="46">
                  <c:v>-7.8333333333013844E-5</c:v>
                </c:pt>
                <c:pt idx="47">
                  <c:v>3.5599999999999521E-4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B8C-416A-AF76-2639CB973406}"/>
            </c:ext>
          </c:extLst>
        </c:ser>
        <c:ser>
          <c:idx val="33"/>
          <c:order val="33"/>
          <c:tx>
            <c:v>BES_TR1_six68_C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Net_kW!$AJ$2:$AJ$49</c:f>
              <c:numCache>
                <c:formatCode>#,##0.000</c:formatCode>
                <c:ptCount val="48"/>
                <c:pt idx="0">
                  <c:v>-2.1783333333329211E-4</c:v>
                </c:pt>
                <c:pt idx="1">
                  <c:v>1.035999999999815E-4</c:v>
                </c:pt>
                <c:pt idx="2">
                  <c:v>4.8666666667002152E-5</c:v>
                </c:pt>
                <c:pt idx="3">
                  <c:v>0</c:v>
                </c:pt>
                <c:pt idx="4">
                  <c:v>4.0000000000001151E-4</c:v>
                </c:pt>
                <c:pt idx="5">
                  <c:v>0</c:v>
                </c:pt>
                <c:pt idx="6">
                  <c:v>4.0000000000001151E-4</c:v>
                </c:pt>
                <c:pt idx="7">
                  <c:v>-2.9030129999999682E-4</c:v>
                </c:pt>
                <c:pt idx="8">
                  <c:v>-4.504346999999187E-4</c:v>
                </c:pt>
                <c:pt idx="9">
                  <c:v>-1.5083950000100221E-5</c:v>
                </c:pt>
                <c:pt idx="10">
                  <c:v>-2.6081000005159778E-6</c:v>
                </c:pt>
                <c:pt idx="11">
                  <c:v>2.0325880000052199E-4</c:v>
                </c:pt>
                <c:pt idx="12">
                  <c:v>3.0527749999342817E-5</c:v>
                </c:pt>
                <c:pt idx="13">
                  <c:v>4.4706210000050589E-4</c:v>
                </c:pt>
                <c:pt idx="14">
                  <c:v>3.4120445000002109E-4</c:v>
                </c:pt>
                <c:pt idx="15">
                  <c:v>-7.6450416666928867E-5</c:v>
                </c:pt>
                <c:pt idx="16">
                  <c:v>-3.1952435000059948E-4</c:v>
                </c:pt>
                <c:pt idx="17">
                  <c:v>-3.6743343333001111E-4</c:v>
                </c:pt>
                <c:pt idx="18">
                  <c:v>-4.1909433332976143E-4</c:v>
                </c:pt>
                <c:pt idx="19">
                  <c:v>-2.8177729999896711E-4</c:v>
                </c:pt>
                <c:pt idx="20">
                  <c:v>7.4313016667049148E-5</c:v>
                </c:pt>
                <c:pt idx="21">
                  <c:v>2.1724621666718849E-4</c:v>
                </c:pt>
                <c:pt idx="22">
                  <c:v>4.2061158333295268E-4</c:v>
                </c:pt>
                <c:pt idx="23">
                  <c:v>3.651508666669967E-4</c:v>
                </c:pt>
                <c:pt idx="24">
                  <c:v>-3.7683173333091791E-4</c:v>
                </c:pt>
                <c:pt idx="25">
                  <c:v>-1.976270000000335E-4</c:v>
                </c:pt>
                <c:pt idx="26">
                  <c:v>-1.3743074999994501E-4</c:v>
                </c:pt>
                <c:pt idx="27">
                  <c:v>-0.71936270613333309</c:v>
                </c:pt>
                <c:pt idx="28">
                  <c:v>3.3787338332998129E-4</c:v>
                </c:pt>
                <c:pt idx="29">
                  <c:v>-0.49605731489999999</c:v>
                </c:pt>
                <c:pt idx="30">
                  <c:v>-0.17371518555000101</c:v>
                </c:pt>
                <c:pt idx="31">
                  <c:v>-0.78716061186666741</c:v>
                </c:pt>
                <c:pt idx="32">
                  <c:v>-0.64127502149999949</c:v>
                </c:pt>
                <c:pt idx="33">
                  <c:v>-0.60552672734999946</c:v>
                </c:pt>
                <c:pt idx="34">
                  <c:v>-0.30929906441666638</c:v>
                </c:pt>
                <c:pt idx="35">
                  <c:v>-0.16550144128333311</c:v>
                </c:pt>
                <c:pt idx="36">
                  <c:v>-4.8183833333576009E-5</c:v>
                </c:pt>
                <c:pt idx="37">
                  <c:v>4.4381108333301991E-4</c:v>
                </c:pt>
                <c:pt idx="38">
                  <c:v>-2.2328039999997001E-4</c:v>
                </c:pt>
                <c:pt idx="39">
                  <c:v>4.1268601666699661E-4</c:v>
                </c:pt>
                <c:pt idx="40">
                  <c:v>4.8858389999995033E-4</c:v>
                </c:pt>
                <c:pt idx="41">
                  <c:v>-3.8799999999999951E-4</c:v>
                </c:pt>
                <c:pt idx="42">
                  <c:v>4.0433333333300681E-4</c:v>
                </c:pt>
                <c:pt idx="43">
                  <c:v>1.8666666666999902E-5</c:v>
                </c:pt>
                <c:pt idx="44">
                  <c:v>9.1999999999980986E-5</c:v>
                </c:pt>
                <c:pt idx="45">
                  <c:v>-4.9533333333298679E-4</c:v>
                </c:pt>
                <c:pt idx="46">
                  <c:v>6.6666666667020147E-5</c:v>
                </c:pt>
                <c:pt idx="47">
                  <c:v>3.3333333333010473E-5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B8C-416A-AF76-2639CB973406}"/>
            </c:ext>
          </c:extLst>
        </c:ser>
        <c:ser>
          <c:idx val="34"/>
          <c:order val="34"/>
          <c:tx>
            <c:v>BES_TR1_six289_C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Net_kW!$AK$2:$AK$49</c:f>
              <c:numCache>
                <c:formatCode>#,##0.000</c:formatCode>
                <c:ptCount val="48"/>
                <c:pt idx="0">
                  <c:v>3.7800000000000328E-4</c:v>
                </c:pt>
                <c:pt idx="1">
                  <c:v>2.5400000000003198E-4</c:v>
                </c:pt>
                <c:pt idx="2">
                  <c:v>1.5800000000001921E-4</c:v>
                </c:pt>
                <c:pt idx="3">
                  <c:v>-3.5400000000002102E-4</c:v>
                </c:pt>
                <c:pt idx="4">
                  <c:v>-3.0200000000002453E-4</c:v>
                </c:pt>
                <c:pt idx="5">
                  <c:v>4.4599999999998813E-4</c:v>
                </c:pt>
                <c:pt idx="6">
                  <c:v>-4.0200000000001351E-4</c:v>
                </c:pt>
                <c:pt idx="7">
                  <c:v>4.7159826666665072E-4</c:v>
                </c:pt>
                <c:pt idx="8">
                  <c:v>-2.2124626666664149E-4</c:v>
                </c:pt>
                <c:pt idx="9">
                  <c:v>-2.8677859999999561E-4</c:v>
                </c:pt>
                <c:pt idx="10">
                  <c:v>-1.2614413333401561E-4</c:v>
                </c:pt>
                <c:pt idx="11">
                  <c:v>-2.109882666659624E-4</c:v>
                </c:pt>
                <c:pt idx="12">
                  <c:v>-4.3129633333405248E-4</c:v>
                </c:pt>
                <c:pt idx="13">
                  <c:v>-4.4491719999906199E-4</c:v>
                </c:pt>
                <c:pt idx="14">
                  <c:v>4.626059333330268E-4</c:v>
                </c:pt>
                <c:pt idx="15">
                  <c:v>-2.0131166666692921E-4</c:v>
                </c:pt>
                <c:pt idx="16">
                  <c:v>4.4763419999893639E-4</c:v>
                </c:pt>
                <c:pt idx="17">
                  <c:v>-3.4280013333287668E-4</c:v>
                </c:pt>
                <c:pt idx="18">
                  <c:v>4.2431866666604873E-4</c:v>
                </c:pt>
                <c:pt idx="19">
                  <c:v>4.5896360000410858E-4</c:v>
                </c:pt>
                <c:pt idx="20">
                  <c:v>-4.0680486666699878E-4</c:v>
                </c:pt>
                <c:pt idx="21">
                  <c:v>4.0443940000001183E-4</c:v>
                </c:pt>
                <c:pt idx="22">
                  <c:v>-0.49402829566666712</c:v>
                </c:pt>
                <c:pt idx="23">
                  <c:v>-1.5040620210666671</c:v>
                </c:pt>
                <c:pt idx="24">
                  <c:v>-1.523494664533334</c:v>
                </c:pt>
                <c:pt idx="25">
                  <c:v>-1.6002988359999999</c:v>
                </c:pt>
                <c:pt idx="26">
                  <c:v>-1.2278652409999999</c:v>
                </c:pt>
                <c:pt idx="27">
                  <c:v>-1.3863168304000011</c:v>
                </c:pt>
                <c:pt idx="28">
                  <c:v>-1.3225012799333331</c:v>
                </c:pt>
                <c:pt idx="29">
                  <c:v>-0.85421841986666702</c:v>
                </c:pt>
                <c:pt idx="30">
                  <c:v>-1.2454295807333331</c:v>
                </c:pt>
                <c:pt idx="31">
                  <c:v>-0.28712226026666798</c:v>
                </c:pt>
                <c:pt idx="32">
                  <c:v>-0.67911002866666592</c:v>
                </c:pt>
                <c:pt idx="33">
                  <c:v>-0.86403563646666592</c:v>
                </c:pt>
                <c:pt idx="34">
                  <c:v>-0.50186986366666597</c:v>
                </c:pt>
                <c:pt idx="35">
                  <c:v>-0.41692081060000002</c:v>
                </c:pt>
                <c:pt idx="36">
                  <c:v>-8.8318867333333995E-2</c:v>
                </c:pt>
                <c:pt idx="37">
                  <c:v>-5.5358829666666998E-2</c:v>
                </c:pt>
                <c:pt idx="38">
                  <c:v>-4.0707199999573403E-5</c:v>
                </c:pt>
                <c:pt idx="39">
                  <c:v>-2.8630753333303011E-4</c:v>
                </c:pt>
                <c:pt idx="40">
                  <c:v>-1.3288813333334201E-4</c:v>
                </c:pt>
                <c:pt idx="41">
                  <c:v>-1.953333333299945E-4</c:v>
                </c:pt>
                <c:pt idx="42">
                  <c:v>2.2933333333008399E-4</c:v>
                </c:pt>
                <c:pt idx="43">
                  <c:v>-3.5600000000002302E-4</c:v>
                </c:pt>
                <c:pt idx="44">
                  <c:v>-3.2133333333006497E-4</c:v>
                </c:pt>
                <c:pt idx="45">
                  <c:v>-1.7600000000006499E-4</c:v>
                </c:pt>
                <c:pt idx="46">
                  <c:v>0.70139933333333304</c:v>
                </c:pt>
                <c:pt idx="47">
                  <c:v>0.28571633333333302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B8C-416A-AF76-2639CB973406}"/>
            </c:ext>
          </c:extLst>
        </c:ser>
        <c:ser>
          <c:idx val="35"/>
          <c:order val="35"/>
          <c:tx>
            <c:v>BES_TR1_six317_C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Net_kW!$AL$2:$AL$49</c:f>
              <c:numCache>
                <c:formatCode>#,##0.000</c:formatCode>
                <c:ptCount val="48"/>
                <c:pt idx="0">
                  <c:v>2.2133333333301811E-4</c:v>
                </c:pt>
                <c:pt idx="1">
                  <c:v>3.6866666666698911E-4</c:v>
                </c:pt>
                <c:pt idx="2">
                  <c:v>-3.5600000000002302E-4</c:v>
                </c:pt>
                <c:pt idx="3">
                  <c:v>4.613333333330083E-4</c:v>
                </c:pt>
                <c:pt idx="4">
                  <c:v>-4.8166666666699109E-4</c:v>
                </c:pt>
                <c:pt idx="5">
                  <c:v>1.2600000000001499E-4</c:v>
                </c:pt>
                <c:pt idx="6">
                  <c:v>3.7666666666699711E-4</c:v>
                </c:pt>
                <c:pt idx="7">
                  <c:v>-2.5750216666667319E-4</c:v>
                </c:pt>
                <c:pt idx="8">
                  <c:v>5.3875499999758707E-5</c:v>
                </c:pt>
                <c:pt idx="9">
                  <c:v>1.819341666699226E-5</c:v>
                </c:pt>
                <c:pt idx="10">
                  <c:v>-1.816801666674889E-4</c:v>
                </c:pt>
                <c:pt idx="11">
                  <c:v>2.8043133333449649E-4</c:v>
                </c:pt>
                <c:pt idx="12">
                  <c:v>4.5587958333248579E-4</c:v>
                </c:pt>
                <c:pt idx="13">
                  <c:v>-8.2298333325958595E-6</c:v>
                </c:pt>
                <c:pt idx="14">
                  <c:v>-3.0199258333307721E-4</c:v>
                </c:pt>
                <c:pt idx="15">
                  <c:v>-4.703062499999966E-4</c:v>
                </c:pt>
                <c:pt idx="16">
                  <c:v>-2.9040725000195611E-4</c:v>
                </c:pt>
                <c:pt idx="17">
                  <c:v>2.9183316666989151E-4</c:v>
                </c:pt>
                <c:pt idx="18">
                  <c:v>3.713983333319959E-4</c:v>
                </c:pt>
                <c:pt idx="19">
                  <c:v>-0.26994596216666511</c:v>
                </c:pt>
                <c:pt idx="20">
                  <c:v>-1.5883455894166669</c:v>
                </c:pt>
                <c:pt idx="21">
                  <c:v>-1.670747367416666</c:v>
                </c:pt>
                <c:pt idx="22">
                  <c:v>-1.130388869583334</c:v>
                </c:pt>
                <c:pt idx="23">
                  <c:v>-1.2399161929999989</c:v>
                </c:pt>
                <c:pt idx="24">
                  <c:v>-1.8084404973333339</c:v>
                </c:pt>
                <c:pt idx="25">
                  <c:v>-1.956973378333333</c:v>
                </c:pt>
                <c:pt idx="26">
                  <c:v>-1.4771407179166669</c:v>
                </c:pt>
                <c:pt idx="27">
                  <c:v>-1.775523954666667</c:v>
                </c:pt>
                <c:pt idx="28">
                  <c:v>-1.026405766583333</c:v>
                </c:pt>
                <c:pt idx="29">
                  <c:v>-1.420846024833335</c:v>
                </c:pt>
                <c:pt idx="30">
                  <c:v>-1.418386342583333</c:v>
                </c:pt>
                <c:pt idx="31">
                  <c:v>-1.0505769086666681</c:v>
                </c:pt>
                <c:pt idx="32">
                  <c:v>-1.087085835833332</c:v>
                </c:pt>
                <c:pt idx="33">
                  <c:v>-0.6619762455833329</c:v>
                </c:pt>
                <c:pt idx="34">
                  <c:v>-4.587295833325955E-4</c:v>
                </c:pt>
                <c:pt idx="35">
                  <c:v>2.1808675000012381E-4</c:v>
                </c:pt>
                <c:pt idx="36">
                  <c:v>-3.0208416666752108E-4</c:v>
                </c:pt>
                <c:pt idx="37">
                  <c:v>7.0796250000004779E-5</c:v>
                </c:pt>
                <c:pt idx="38">
                  <c:v>-8.1467333333168357E-5</c:v>
                </c:pt>
                <c:pt idx="39">
                  <c:v>1.1603224999999759E-4</c:v>
                </c:pt>
                <c:pt idx="40">
                  <c:v>4.4497316666636261E-4</c:v>
                </c:pt>
                <c:pt idx="41">
                  <c:v>8.2000000000026496E-5</c:v>
                </c:pt>
                <c:pt idx="42">
                  <c:v>-3.2733333333301312E-4</c:v>
                </c:pt>
                <c:pt idx="43">
                  <c:v>4.3566666666694509E-4</c:v>
                </c:pt>
                <c:pt idx="44">
                  <c:v>-3.0299999999999772E-4</c:v>
                </c:pt>
                <c:pt idx="45">
                  <c:v>-7.7333333332985088E-5</c:v>
                </c:pt>
                <c:pt idx="46">
                  <c:v>-4.200000000000037E-4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B8C-416A-AF76-2639CB973406}"/>
            </c:ext>
          </c:extLst>
        </c:ser>
        <c:ser>
          <c:idx val="36"/>
          <c:order val="36"/>
          <c:tx>
            <c:v>BES_TR1_six326_A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Net_kW!$AM$2:$AM$49</c:f>
              <c:numCache>
                <c:formatCode>#,##0.000</c:formatCode>
                <c:ptCount val="48"/>
                <c:pt idx="0">
                  <c:v>-4.4733333333300818E-4</c:v>
                </c:pt>
                <c:pt idx="1">
                  <c:v>2.2066666666670229E-4</c:v>
                </c:pt>
                <c:pt idx="2">
                  <c:v>0</c:v>
                </c:pt>
                <c:pt idx="3">
                  <c:v>1.4199999999998941E-4</c:v>
                </c:pt>
                <c:pt idx="4">
                  <c:v>0</c:v>
                </c:pt>
                <c:pt idx="5">
                  <c:v>1.4199999999998941E-4</c:v>
                </c:pt>
                <c:pt idx="6">
                  <c:v>-2.266666666669859E-4</c:v>
                </c:pt>
                <c:pt idx="7">
                  <c:v>-1.9816883333326901E-4</c:v>
                </c:pt>
                <c:pt idx="8">
                  <c:v>-1.2105783333324351E-4</c:v>
                </c:pt>
                <c:pt idx="9">
                  <c:v>-3.584732500000049E-4</c:v>
                </c:pt>
                <c:pt idx="10">
                  <c:v>4.3565316666552278E-4</c:v>
                </c:pt>
                <c:pt idx="11">
                  <c:v>3.3876466666749039E-4</c:v>
                </c:pt>
                <c:pt idx="12">
                  <c:v>5.0879583332497091E-5</c:v>
                </c:pt>
                <c:pt idx="13">
                  <c:v>3.2710350000053617E-4</c:v>
                </c:pt>
                <c:pt idx="14">
                  <c:v>-2.2465925000003659E-4</c:v>
                </c:pt>
                <c:pt idx="15">
                  <c:v>-1.8897291666641891E-4</c:v>
                </c:pt>
                <c:pt idx="16">
                  <c:v>2.9045941666483438E-4</c:v>
                </c:pt>
                <c:pt idx="17">
                  <c:v>-0.2166335001666668</c:v>
                </c:pt>
                <c:pt idx="18">
                  <c:v>-1.359143268333334</c:v>
                </c:pt>
                <c:pt idx="19">
                  <c:v>-0.44578096216666202</c:v>
                </c:pt>
                <c:pt idx="20">
                  <c:v>-1.539569589416667</c:v>
                </c:pt>
                <c:pt idx="21">
                  <c:v>-1.3179117007500001</c:v>
                </c:pt>
                <c:pt idx="22">
                  <c:v>-1.462164869583334</c:v>
                </c:pt>
                <c:pt idx="23">
                  <c:v>-1.7312991929999999</c:v>
                </c:pt>
                <c:pt idx="24">
                  <c:v>-1.7809191639999999</c:v>
                </c:pt>
                <c:pt idx="25">
                  <c:v>-1.5829980450000001</c:v>
                </c:pt>
                <c:pt idx="26">
                  <c:v>-1.3921160512499999</c:v>
                </c:pt>
                <c:pt idx="27">
                  <c:v>-1.7045312880000001</c:v>
                </c:pt>
                <c:pt idx="28">
                  <c:v>-1.2645270999166669</c:v>
                </c:pt>
                <c:pt idx="29">
                  <c:v>-1.4536508581666681</c:v>
                </c:pt>
                <c:pt idx="30">
                  <c:v>-1.3414879759166669</c:v>
                </c:pt>
                <c:pt idx="31">
                  <c:v>-0.89614224200000192</c:v>
                </c:pt>
                <c:pt idx="32">
                  <c:v>-0.64692703583333211</c:v>
                </c:pt>
                <c:pt idx="33">
                  <c:v>-0.97392834558333297</c:v>
                </c:pt>
                <c:pt idx="34">
                  <c:v>-0.4009396629166655</c:v>
                </c:pt>
                <c:pt idx="35">
                  <c:v>-0.38089434658333299</c:v>
                </c:pt>
                <c:pt idx="36">
                  <c:v>-0.38281608416666751</c:v>
                </c:pt>
                <c:pt idx="37">
                  <c:v>-4.8317537083334028E-2</c:v>
                </c:pt>
                <c:pt idx="38">
                  <c:v>-3.7717467333333199E-2</c:v>
                </c:pt>
                <c:pt idx="39">
                  <c:v>-2.1530108333300821E-4</c:v>
                </c:pt>
                <c:pt idx="40">
                  <c:v>-3.5369349999969662E-4</c:v>
                </c:pt>
                <c:pt idx="41">
                  <c:v>3.4466666666976842E-4</c:v>
                </c:pt>
                <c:pt idx="42">
                  <c:v>-3.8533333333012898E-4</c:v>
                </c:pt>
                <c:pt idx="43">
                  <c:v>-4.1599999999997189E-4</c:v>
                </c:pt>
                <c:pt idx="44">
                  <c:v>2.5266666666978738E-4</c:v>
                </c:pt>
                <c:pt idx="45">
                  <c:v>3.1599999999976092E-4</c:v>
                </c:pt>
                <c:pt idx="46">
                  <c:v>0.88712799999999992</c:v>
                </c:pt>
                <c:pt idx="47">
                  <c:v>0.54701066666666698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B8C-416A-AF76-2639CB973406}"/>
            </c:ext>
          </c:extLst>
        </c:ser>
        <c:ser>
          <c:idx val="37"/>
          <c:order val="37"/>
          <c:tx>
            <c:v>BES_TR1_six329_A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Net_kW!$AN$2:$AN$49</c:f>
              <c:numCache>
                <c:formatCode>#,##0.000</c:formatCode>
                <c:ptCount val="48"/>
                <c:pt idx="0">
                  <c:v>0</c:v>
                </c:pt>
                <c:pt idx="1">
                  <c:v>5.3333333332961093E-5</c:v>
                </c:pt>
                <c:pt idx="2">
                  <c:v>0</c:v>
                </c:pt>
                <c:pt idx="3">
                  <c:v>-4.099999999999937E-4</c:v>
                </c:pt>
                <c:pt idx="4">
                  <c:v>4.6333333333298249E-4</c:v>
                </c:pt>
                <c:pt idx="5">
                  <c:v>0</c:v>
                </c:pt>
                <c:pt idx="6">
                  <c:v>2.5333333333299462E-4</c:v>
                </c:pt>
                <c:pt idx="7">
                  <c:v>-1.505021666666703E-4</c:v>
                </c:pt>
                <c:pt idx="8">
                  <c:v>-4.5605783333327321E-4</c:v>
                </c:pt>
                <c:pt idx="9">
                  <c:v>6.6860083332981324E-5</c:v>
                </c:pt>
                <c:pt idx="10">
                  <c:v>-3.9968016666747102E-4</c:v>
                </c:pt>
                <c:pt idx="11">
                  <c:v>-3.4590199999945392E-4</c:v>
                </c:pt>
                <c:pt idx="12">
                  <c:v>-2.4912041666769191E-4</c:v>
                </c:pt>
                <c:pt idx="13">
                  <c:v>2.1710350000053719E-4</c:v>
                </c:pt>
                <c:pt idx="14">
                  <c:v>4.2080741666999932E-4</c:v>
                </c:pt>
                <c:pt idx="15">
                  <c:v>-3.1797291666701982E-4</c:v>
                </c:pt>
                <c:pt idx="16">
                  <c:v>2.0079274999895699E-4</c:v>
                </c:pt>
                <c:pt idx="17">
                  <c:v>4.1449983333308182E-4</c:v>
                </c:pt>
                <c:pt idx="18">
                  <c:v>3.1639833333207967E-4</c:v>
                </c:pt>
                <c:pt idx="19">
                  <c:v>-1.002989628833332</c:v>
                </c:pt>
                <c:pt idx="20">
                  <c:v>-1.7310522560833339</c:v>
                </c:pt>
                <c:pt idx="21">
                  <c:v>-1.93146570075</c:v>
                </c:pt>
                <c:pt idx="22">
                  <c:v>-1.9303578695833341</c:v>
                </c:pt>
                <c:pt idx="23">
                  <c:v>-2.084479193</c:v>
                </c:pt>
                <c:pt idx="24">
                  <c:v>-1.8758708306666669</c:v>
                </c:pt>
                <c:pt idx="25">
                  <c:v>-1.6918337116666671</c:v>
                </c:pt>
                <c:pt idx="26">
                  <c:v>-1.68327605125</c:v>
                </c:pt>
                <c:pt idx="27">
                  <c:v>-1.7464212880000001</c:v>
                </c:pt>
                <c:pt idx="28">
                  <c:v>-1.502785099916667</c:v>
                </c:pt>
                <c:pt idx="29">
                  <c:v>-1.292627191500002</c:v>
                </c:pt>
                <c:pt idx="30">
                  <c:v>-1.6154553092499999</c:v>
                </c:pt>
                <c:pt idx="31">
                  <c:v>-8.0647241999997954E-2</c:v>
                </c:pt>
                <c:pt idx="32">
                  <c:v>-1.1715959691666651</c:v>
                </c:pt>
                <c:pt idx="33">
                  <c:v>-0.95703587891666597</c:v>
                </c:pt>
                <c:pt idx="34">
                  <c:v>-0.68887632958333245</c:v>
                </c:pt>
                <c:pt idx="35">
                  <c:v>-0.475001846583333</c:v>
                </c:pt>
                <c:pt idx="36">
                  <c:v>-0.34967108416666748</c:v>
                </c:pt>
                <c:pt idx="37">
                  <c:v>-0.29456853708333341</c:v>
                </c:pt>
                <c:pt idx="38">
                  <c:v>-7.0197800666666199E-2</c:v>
                </c:pt>
                <c:pt idx="39">
                  <c:v>-7.4967750000001776E-5</c:v>
                </c:pt>
                <c:pt idx="40">
                  <c:v>-4.5236016666667928E-4</c:v>
                </c:pt>
                <c:pt idx="41">
                  <c:v>-5.9333333332994842E-5</c:v>
                </c:pt>
                <c:pt idx="42">
                  <c:v>1.126666666669829E-4</c:v>
                </c:pt>
                <c:pt idx="43">
                  <c:v>-3.1000000000000472E-4</c:v>
                </c:pt>
                <c:pt idx="44">
                  <c:v>2.6333333333300463E-4</c:v>
                </c:pt>
                <c:pt idx="45">
                  <c:v>1.0000000000000291E-4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B8C-416A-AF76-2639CB973406}"/>
            </c:ext>
          </c:extLst>
        </c:ser>
        <c:ser>
          <c:idx val="38"/>
          <c:order val="38"/>
          <c:tx>
            <c:v>BES_TR1_six342_A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Net_kW!$AO$2:$AO$49</c:f>
              <c:numCache>
                <c:formatCode>#,##0.000</c:formatCode>
                <c:ptCount val="48"/>
                <c:pt idx="0">
                  <c:v>4.5466666666699179E-4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-4.9199999999999244E-4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-3.0086939999990169E-4</c:v>
                </c:pt>
                <c:pt idx="9">
                  <c:v>-4.3016790000000032E-4</c:v>
                </c:pt>
                <c:pt idx="10">
                  <c:v>3.0345046666568898E-4</c:v>
                </c:pt>
                <c:pt idx="11">
                  <c:v>-1.941490666655388E-4</c:v>
                </c:pt>
                <c:pt idx="12">
                  <c:v>3.1505549999877308E-4</c:v>
                </c:pt>
                <c:pt idx="13">
                  <c:v>-5.1875799999101517E-5</c:v>
                </c:pt>
                <c:pt idx="14">
                  <c:v>-4.6959110000011067E-4</c:v>
                </c:pt>
                <c:pt idx="15">
                  <c:v>3.0432499999788479E-5</c:v>
                </c:pt>
                <c:pt idx="16">
                  <c:v>-0.50857504870000092</c:v>
                </c:pt>
                <c:pt idx="17">
                  <c:v>-1.8286522002000001</c:v>
                </c:pt>
                <c:pt idx="18">
                  <c:v>-2.0294315220000012</c:v>
                </c:pt>
                <c:pt idx="19">
                  <c:v>-2.1777875545999992</c:v>
                </c:pt>
                <c:pt idx="20">
                  <c:v>-2.308006707300001</c:v>
                </c:pt>
                <c:pt idx="21">
                  <c:v>-2.3349708409000001</c:v>
                </c:pt>
                <c:pt idx="22">
                  <c:v>-2.4917334435000011</c:v>
                </c:pt>
                <c:pt idx="23">
                  <c:v>-2.4580850316</c:v>
                </c:pt>
                <c:pt idx="24">
                  <c:v>-2.5214429968000012</c:v>
                </c:pt>
                <c:pt idx="25">
                  <c:v>-2.0558598539999999</c:v>
                </c:pt>
                <c:pt idx="26">
                  <c:v>-2.3969997615</c:v>
                </c:pt>
                <c:pt idx="27">
                  <c:v>-2.262774545600001</c:v>
                </c:pt>
                <c:pt idx="28">
                  <c:v>-2.2363831199000002</c:v>
                </c:pt>
                <c:pt idx="29">
                  <c:v>-2.0311346298000008</c:v>
                </c:pt>
                <c:pt idx="30">
                  <c:v>-1.9568807711</c:v>
                </c:pt>
                <c:pt idx="31">
                  <c:v>-1.7118052237333341</c:v>
                </c:pt>
                <c:pt idx="32">
                  <c:v>-1.401160376333332</c:v>
                </c:pt>
                <c:pt idx="33">
                  <c:v>-1.2323201213666659</c:v>
                </c:pt>
                <c:pt idx="34">
                  <c:v>-0.94776212883333211</c:v>
                </c:pt>
                <c:pt idx="35">
                  <c:v>-0.76932288256666714</c:v>
                </c:pt>
                <c:pt idx="36">
                  <c:v>-0.47455770100000111</c:v>
                </c:pt>
                <c:pt idx="37">
                  <c:v>-0.33474237783333288</c:v>
                </c:pt>
                <c:pt idx="38">
                  <c:v>-0.1532052274666669</c:v>
                </c:pt>
                <c:pt idx="39">
                  <c:v>-2.8897294633333299E-2</c:v>
                </c:pt>
                <c:pt idx="40">
                  <c:v>-2.0549886666701431E-4</c:v>
                </c:pt>
                <c:pt idx="41">
                  <c:v>-2.4899999999966619E-5</c:v>
                </c:pt>
                <c:pt idx="42">
                  <c:v>1.5466666666702489E-4</c:v>
                </c:pt>
                <c:pt idx="43">
                  <c:v>1.023333333330934E-4</c:v>
                </c:pt>
                <c:pt idx="44">
                  <c:v>-2.8199999999994901E-4</c:v>
                </c:pt>
                <c:pt idx="45">
                  <c:v>-3.1666666666602122E-4</c:v>
                </c:pt>
                <c:pt idx="46">
                  <c:v>-3.3933333333302512E-4</c:v>
                </c:pt>
                <c:pt idx="47">
                  <c:v>-4.46666666670259E-5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B8C-416A-AF76-2639CB973406}"/>
            </c:ext>
          </c:extLst>
        </c:ser>
        <c:ser>
          <c:idx val="39"/>
          <c:order val="39"/>
          <c:tx>
            <c:v>BES_TR1_six349_A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Net_kW!$AP$2:$AP$49</c:f>
              <c:numCache>
                <c:formatCode>#,##0.000</c:formatCode>
                <c:ptCount val="48"/>
                <c:pt idx="0">
                  <c:v>3.9999999999928981E-5</c:v>
                </c:pt>
                <c:pt idx="1">
                  <c:v>-3.3666666666698491E-4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-1.505021666666703E-4</c:v>
                </c:pt>
                <c:pt idx="8">
                  <c:v>-8.4057833333251591E-5</c:v>
                </c:pt>
                <c:pt idx="9">
                  <c:v>-3.5847325000001867E-4</c:v>
                </c:pt>
                <c:pt idx="10">
                  <c:v>-3.3768016666751999E-4</c:v>
                </c:pt>
                <c:pt idx="11">
                  <c:v>3.3876466666749039E-4</c:v>
                </c:pt>
                <c:pt idx="12">
                  <c:v>5.0879583332497091E-5</c:v>
                </c:pt>
                <c:pt idx="13">
                  <c:v>8.8436833334482046E-5</c:v>
                </c:pt>
                <c:pt idx="14">
                  <c:v>-2.2465924999992559E-4</c:v>
                </c:pt>
                <c:pt idx="15">
                  <c:v>-1.4130624999975081E-4</c:v>
                </c:pt>
                <c:pt idx="16">
                  <c:v>-2.0587391666793131E-4</c:v>
                </c:pt>
                <c:pt idx="17">
                  <c:v>-0.39940683349999978</c:v>
                </c:pt>
                <c:pt idx="18">
                  <c:v>-1.5786672683333349</c:v>
                </c:pt>
                <c:pt idx="19">
                  <c:v>-1.665949628833332</c:v>
                </c:pt>
                <c:pt idx="20">
                  <c:v>-1.774465589416667</c:v>
                </c:pt>
                <c:pt idx="21">
                  <c:v>-1.8640257007500001</c:v>
                </c:pt>
                <c:pt idx="22">
                  <c:v>-1.8915712029166669</c:v>
                </c:pt>
                <c:pt idx="23">
                  <c:v>-1.9796471929999999</c:v>
                </c:pt>
                <c:pt idx="24">
                  <c:v>-2.0984841639999998</c:v>
                </c:pt>
                <c:pt idx="25">
                  <c:v>-1.8109943783333331</c:v>
                </c:pt>
                <c:pt idx="26">
                  <c:v>-1.1290937179166669</c:v>
                </c:pt>
                <c:pt idx="27">
                  <c:v>1.8271200000297141E-4</c:v>
                </c:pt>
                <c:pt idx="28">
                  <c:v>1.7756675000035749E-4</c:v>
                </c:pt>
                <c:pt idx="29">
                  <c:v>3.248084999989409E-4</c:v>
                </c:pt>
                <c:pt idx="30">
                  <c:v>-0.55809930925000018</c:v>
                </c:pt>
                <c:pt idx="31">
                  <c:v>-1.3066499086666681</c:v>
                </c:pt>
                <c:pt idx="32">
                  <c:v>-0.85703670249999908</c:v>
                </c:pt>
                <c:pt idx="33">
                  <c:v>-0.74106854558333302</c:v>
                </c:pt>
                <c:pt idx="34">
                  <c:v>-0.75181066291666543</c:v>
                </c:pt>
                <c:pt idx="35">
                  <c:v>-0.36576817991666699</c:v>
                </c:pt>
                <c:pt idx="36">
                  <c:v>-0.43193075083333449</c:v>
                </c:pt>
                <c:pt idx="37">
                  <c:v>-0.34221920374999998</c:v>
                </c:pt>
                <c:pt idx="38">
                  <c:v>-0.1782004673333332</c:v>
                </c:pt>
                <c:pt idx="39">
                  <c:v>4.7836558333300139E-4</c:v>
                </c:pt>
                <c:pt idx="40">
                  <c:v>9.3639833333325484E-5</c:v>
                </c:pt>
                <c:pt idx="41">
                  <c:v>-4.1466666666700741E-4</c:v>
                </c:pt>
                <c:pt idx="42">
                  <c:v>2.9399999999990539E-4</c:v>
                </c:pt>
                <c:pt idx="43">
                  <c:v>2.8666666666987689E-4</c:v>
                </c:pt>
                <c:pt idx="44">
                  <c:v>1.9556833333333301</c:v>
                </c:pt>
                <c:pt idx="45">
                  <c:v>0.49304633333333298</c:v>
                </c:pt>
                <c:pt idx="46">
                  <c:v>0.37425966666666699</c:v>
                </c:pt>
                <c:pt idx="47">
                  <c:v>0.27930766666666701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B8C-416A-AF76-2639CB973406}"/>
            </c:ext>
          </c:extLst>
        </c:ser>
        <c:ser>
          <c:idx val="40"/>
          <c:order val="40"/>
          <c:tx>
            <c:v>BES_TR1_six350_B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Net_kW!$AQ$2:$AQ$49</c:f>
              <c:numCache>
                <c:formatCode>#,##0.000</c:formatCode>
                <c:ptCount val="48"/>
                <c:pt idx="0">
                  <c:v>0</c:v>
                </c:pt>
                <c:pt idx="1">
                  <c:v>2.9399999999998871E-4</c:v>
                </c:pt>
                <c:pt idx="2">
                  <c:v>0</c:v>
                </c:pt>
                <c:pt idx="3">
                  <c:v>0</c:v>
                </c:pt>
                <c:pt idx="4">
                  <c:v>2.9399999999998871E-4</c:v>
                </c:pt>
                <c:pt idx="5">
                  <c:v>0</c:v>
                </c:pt>
                <c:pt idx="6">
                  <c:v>1.959999999999879E-4</c:v>
                </c:pt>
                <c:pt idx="7">
                  <c:v>-3.4280346666666628E-4</c:v>
                </c:pt>
                <c:pt idx="8">
                  <c:v>2.6550746666679619E-4</c:v>
                </c:pt>
                <c:pt idx="9">
                  <c:v>1.7477613333330419E-4</c:v>
                </c:pt>
                <c:pt idx="10">
                  <c:v>2.0537839999895671E-4</c:v>
                </c:pt>
                <c:pt idx="11">
                  <c:v>1.420234666681397E-4</c:v>
                </c:pt>
                <c:pt idx="12">
                  <c:v>-3.7292600000105042E-4</c:v>
                </c:pt>
                <c:pt idx="13">
                  <c:v>7.1656000015796204E-6</c:v>
                </c:pt>
                <c:pt idx="14">
                  <c:v>4.0545199999852948E-5</c:v>
                </c:pt>
                <c:pt idx="15">
                  <c:v>-0.82582295666666683</c:v>
                </c:pt>
                <c:pt idx="16">
                  <c:v>-2.2113293982666682</c:v>
                </c:pt>
                <c:pt idx="17">
                  <c:v>-2.392023600266667</c:v>
                </c:pt>
                <c:pt idx="18">
                  <c:v>-2.681553496000002</c:v>
                </c:pt>
                <c:pt idx="19">
                  <c:v>-2.832421606133332</c:v>
                </c:pt>
                <c:pt idx="20">
                  <c:v>-2.752705409733335</c:v>
                </c:pt>
                <c:pt idx="21">
                  <c:v>-3.2303051211999998</c:v>
                </c:pt>
                <c:pt idx="22">
                  <c:v>-3.2841315913333351</c:v>
                </c:pt>
                <c:pt idx="23">
                  <c:v>-3.3461190421333331</c:v>
                </c:pt>
                <c:pt idx="24">
                  <c:v>-3.3459846624000011</c:v>
                </c:pt>
                <c:pt idx="25">
                  <c:v>-3.3305243386666659</c:v>
                </c:pt>
                <c:pt idx="26">
                  <c:v>-3.2406618153333331</c:v>
                </c:pt>
                <c:pt idx="27">
                  <c:v>-3.1255369941333351</c:v>
                </c:pt>
                <c:pt idx="28">
                  <c:v>-3.0125078932</c:v>
                </c:pt>
                <c:pt idx="29">
                  <c:v>-2.7468961730666681</c:v>
                </c:pt>
                <c:pt idx="30">
                  <c:v>-2.6261284948000001</c:v>
                </c:pt>
                <c:pt idx="31">
                  <c:v>-2.3082898538666679</c:v>
                </c:pt>
                <c:pt idx="32">
                  <c:v>-2.0582477906666652</c:v>
                </c:pt>
                <c:pt idx="33">
                  <c:v>-1.6310892729333319</c:v>
                </c:pt>
                <c:pt idx="34">
                  <c:v>-1.279739060666665</c:v>
                </c:pt>
                <c:pt idx="35">
                  <c:v>-0.97688062120000008</c:v>
                </c:pt>
                <c:pt idx="36">
                  <c:v>-0.63617660133333498</c:v>
                </c:pt>
                <c:pt idx="37">
                  <c:v>-0.13414109266666699</c:v>
                </c:pt>
                <c:pt idx="38">
                  <c:v>-7.0383747733333168E-2</c:v>
                </c:pt>
                <c:pt idx="39">
                  <c:v>4.9905160000007776E-4</c:v>
                </c:pt>
                <c:pt idx="40">
                  <c:v>3.1555706666641647E-4</c:v>
                </c:pt>
                <c:pt idx="41">
                  <c:v>2.233333333301335E-5</c:v>
                </c:pt>
                <c:pt idx="42">
                  <c:v>1.449999999999507E-4</c:v>
                </c:pt>
                <c:pt idx="43">
                  <c:v>-2.1533333333301211E-4</c:v>
                </c:pt>
                <c:pt idx="44">
                  <c:v>-4.0866666666700141E-4</c:v>
                </c:pt>
                <c:pt idx="45">
                  <c:v>3.0266666666697861E-4</c:v>
                </c:pt>
                <c:pt idx="46">
                  <c:v>0</c:v>
                </c:pt>
                <c:pt idx="47">
                  <c:v>2.9399999999998871E-4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B8C-416A-AF76-2639CB973406}"/>
            </c:ext>
          </c:extLst>
        </c:ser>
        <c:ser>
          <c:idx val="41"/>
          <c:order val="41"/>
          <c:tx>
            <c:v>BES_TR1_six378_A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Net_kW!$AR$2:$AR$49</c:f>
              <c:numCache>
                <c:formatCode>#,##0.000</c:formatCode>
                <c:ptCount val="48"/>
                <c:pt idx="0">
                  <c:v>-1.000000000000167E-4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2.6550746666679712E-4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4.0545199999852948E-5</c:v>
                </c:pt>
                <c:pt idx="15">
                  <c:v>-1.3396260900000001</c:v>
                </c:pt>
                <c:pt idx="16">
                  <c:v>-1.5685867316000011</c:v>
                </c:pt>
                <c:pt idx="17">
                  <c:v>4.5906640000004112E-4</c:v>
                </c:pt>
                <c:pt idx="18">
                  <c:v>2.0463733333186959E-4</c:v>
                </c:pt>
                <c:pt idx="19">
                  <c:v>-2.5783834061333319</c:v>
                </c:pt>
                <c:pt idx="20">
                  <c:v>-2.9127689430666681</c:v>
                </c:pt>
                <c:pt idx="21">
                  <c:v>-3.0016297878666669</c:v>
                </c:pt>
                <c:pt idx="22">
                  <c:v>-2.5805149246666672</c:v>
                </c:pt>
                <c:pt idx="23">
                  <c:v>-2.7228450421333328</c:v>
                </c:pt>
                <c:pt idx="24">
                  <c:v>-1.6995029957333381</c:v>
                </c:pt>
                <c:pt idx="25">
                  <c:v>-3.267848672</c:v>
                </c:pt>
                <c:pt idx="26">
                  <c:v>-3.2116511486666668</c:v>
                </c:pt>
                <c:pt idx="27">
                  <c:v>-2.843737327466668</c:v>
                </c:pt>
                <c:pt idx="28">
                  <c:v>-2.807795226533333</c:v>
                </c:pt>
                <c:pt idx="29">
                  <c:v>-2.2642371730666682</c:v>
                </c:pt>
                <c:pt idx="30">
                  <c:v>-2.6331284948000002</c:v>
                </c:pt>
                <c:pt idx="31">
                  <c:v>-2.3935838538666681</c:v>
                </c:pt>
                <c:pt idx="32">
                  <c:v>-1.054958390666662</c:v>
                </c:pt>
                <c:pt idx="33">
                  <c:v>-0.61877627293333193</c:v>
                </c:pt>
                <c:pt idx="34">
                  <c:v>-1.176807060666665</c:v>
                </c:pt>
                <c:pt idx="35">
                  <c:v>-0.84361828786666704</c:v>
                </c:pt>
                <c:pt idx="36">
                  <c:v>-0.65432693466666803</c:v>
                </c:pt>
                <c:pt idx="37">
                  <c:v>-0.36754039266666699</c:v>
                </c:pt>
                <c:pt idx="38">
                  <c:v>-3.1908106666620259E-4</c:v>
                </c:pt>
                <c:pt idx="39">
                  <c:v>8.3051599999994785E-5</c:v>
                </c:pt>
                <c:pt idx="40">
                  <c:v>7.8904000003210406E-6</c:v>
                </c:pt>
                <c:pt idx="41">
                  <c:v>4.8366666666699309E-4</c:v>
                </c:pt>
                <c:pt idx="42">
                  <c:v>4.656666666670306E-4</c:v>
                </c:pt>
                <c:pt idx="43">
                  <c:v>-2.469999999998862E-4</c:v>
                </c:pt>
                <c:pt idx="44">
                  <c:v>1.883333333330128E-4</c:v>
                </c:pt>
                <c:pt idx="45">
                  <c:v>4.596666666670246E-4</c:v>
                </c:pt>
                <c:pt idx="46">
                  <c:v>-1.0000000000009999E-5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B8C-416A-AF76-2639CB973406}"/>
            </c:ext>
          </c:extLst>
        </c:ser>
        <c:ser>
          <c:idx val="42"/>
          <c:order val="42"/>
          <c:tx>
            <c:v>BES_TR1_six75_A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Net_kW!$AS$2:$AS$49</c:f>
              <c:numCache>
                <c:formatCode>#,##0.000</c:formatCode>
                <c:ptCount val="48"/>
                <c:pt idx="0">
                  <c:v>6.9388939039072284E-18</c:v>
                </c:pt>
                <c:pt idx="1">
                  <c:v>-2.010000000000067E-4</c:v>
                </c:pt>
                <c:pt idx="2">
                  <c:v>3.9100000000000251E-4</c:v>
                </c:pt>
                <c:pt idx="3">
                  <c:v>-3.4333333333302912E-4</c:v>
                </c:pt>
                <c:pt idx="4">
                  <c:v>1.5666666666702689E-4</c:v>
                </c:pt>
                <c:pt idx="5">
                  <c:v>7.8666666667115415E-5</c:v>
                </c:pt>
                <c:pt idx="6">
                  <c:v>2.5333333333296681E-4</c:v>
                </c:pt>
                <c:pt idx="7">
                  <c:v>2.6439740000000489E-4</c:v>
                </c:pt>
                <c:pt idx="8">
                  <c:v>3.1413060000010101E-4</c:v>
                </c:pt>
                <c:pt idx="9">
                  <c:v>3.2283210000001727E-4</c:v>
                </c:pt>
                <c:pt idx="10">
                  <c:v>-2.9821620000103349E-4</c:v>
                </c:pt>
                <c:pt idx="11">
                  <c:v>-3.9348239999892343E-4</c:v>
                </c:pt>
                <c:pt idx="12">
                  <c:v>3.8305549999884109E-4</c:v>
                </c:pt>
                <c:pt idx="13">
                  <c:v>-1.6787579999888449E-4</c:v>
                </c:pt>
                <c:pt idx="14">
                  <c:v>-4.6959110000011067E-4</c:v>
                </c:pt>
                <c:pt idx="15">
                  <c:v>-1.705675000003293E-4</c:v>
                </c:pt>
                <c:pt idx="16">
                  <c:v>4.139512999989936E-4</c:v>
                </c:pt>
                <c:pt idx="17">
                  <c:v>-0.85348820019999994</c:v>
                </c:pt>
                <c:pt idx="18">
                  <c:v>-1.9039715220000011</c:v>
                </c:pt>
                <c:pt idx="19">
                  <c:v>-2.1827875545999991</c:v>
                </c:pt>
                <c:pt idx="20">
                  <c:v>-2.3130067073000009</c:v>
                </c:pt>
                <c:pt idx="21">
                  <c:v>-2.3878638409000001</c:v>
                </c:pt>
                <c:pt idx="22">
                  <c:v>-2.3844334435000012</c:v>
                </c:pt>
                <c:pt idx="23">
                  <c:v>-2.4868100316000001</c:v>
                </c:pt>
                <c:pt idx="24">
                  <c:v>-2.2673546968000009</c:v>
                </c:pt>
                <c:pt idx="25">
                  <c:v>-2.2993512539999998</c:v>
                </c:pt>
                <c:pt idx="26">
                  <c:v>-2.3135619281666671</c:v>
                </c:pt>
                <c:pt idx="27">
                  <c:v>-2.056902612266668</c:v>
                </c:pt>
                <c:pt idx="28">
                  <c:v>-2.1499005199000001</c:v>
                </c:pt>
                <c:pt idx="29">
                  <c:v>-1.8535606298000009</c:v>
                </c:pt>
                <c:pt idx="30">
                  <c:v>-1.8349783711000001</c:v>
                </c:pt>
                <c:pt idx="31">
                  <c:v>-1.7576878904000011</c:v>
                </c:pt>
                <c:pt idx="32">
                  <c:v>-1.421166042999999</c:v>
                </c:pt>
                <c:pt idx="33">
                  <c:v>-1.1264354546999991</c:v>
                </c:pt>
                <c:pt idx="34">
                  <c:v>-0.90627079549999912</c:v>
                </c:pt>
                <c:pt idx="35">
                  <c:v>-0.62514021590000013</c:v>
                </c:pt>
                <c:pt idx="36">
                  <c:v>-0.65018770100000101</c:v>
                </c:pt>
                <c:pt idx="37">
                  <c:v>-0.40885771116666669</c:v>
                </c:pt>
                <c:pt idx="38">
                  <c:v>-4.6582227466666931E-2</c:v>
                </c:pt>
                <c:pt idx="39">
                  <c:v>2.1970536666693349E-4</c:v>
                </c:pt>
                <c:pt idx="40">
                  <c:v>2.0216779999993051E-4</c:v>
                </c:pt>
                <c:pt idx="41">
                  <c:v>3.4800000000001502E-4</c:v>
                </c:pt>
                <c:pt idx="42">
                  <c:v>-2.4800000000002598E-4</c:v>
                </c:pt>
                <c:pt idx="43">
                  <c:v>4.9799999999999844E-4</c:v>
                </c:pt>
                <c:pt idx="44">
                  <c:v>3.4800000000001502E-4</c:v>
                </c:pt>
                <c:pt idx="45">
                  <c:v>-4.4666666666970389E-5</c:v>
                </c:pt>
                <c:pt idx="46">
                  <c:v>-1.3333333333304109E-4</c:v>
                </c:pt>
                <c:pt idx="47">
                  <c:v>-2.0000000000003351E-4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B8C-416A-AF76-2639CB973406}"/>
            </c:ext>
          </c:extLst>
        </c:ser>
        <c:ser>
          <c:idx val="43"/>
          <c:order val="43"/>
          <c:tx>
            <c:v>BES_TR1_six385_B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Net_kW!$AT$2:$AT$49</c:f>
              <c:numCache>
                <c:formatCode>#,##0.000</c:formatCode>
                <c:ptCount val="48"/>
                <c:pt idx="0">
                  <c:v>-4.8233333333297379E-4</c:v>
                </c:pt>
                <c:pt idx="1">
                  <c:v>0</c:v>
                </c:pt>
                <c:pt idx="2">
                  <c:v>0</c:v>
                </c:pt>
                <c:pt idx="3">
                  <c:v>-8.6666666666984638E-5</c:v>
                </c:pt>
                <c:pt idx="4">
                  <c:v>-2.0866666666669731E-4</c:v>
                </c:pt>
                <c:pt idx="5">
                  <c:v>3.9566666666669692E-4</c:v>
                </c:pt>
                <c:pt idx="6">
                  <c:v>3.0900000000000372E-4</c:v>
                </c:pt>
                <c:pt idx="7">
                  <c:v>-2.9030130000000381E-4</c:v>
                </c:pt>
                <c:pt idx="8">
                  <c:v>5.4231966667039888E-5</c:v>
                </c:pt>
                <c:pt idx="9">
                  <c:v>-2.150839499999932E-4</c:v>
                </c:pt>
                <c:pt idx="10">
                  <c:v>-2.633414333335065E-4</c:v>
                </c:pt>
                <c:pt idx="11">
                  <c:v>3.6425880000051652E-4</c:v>
                </c:pt>
                <c:pt idx="12">
                  <c:v>3.0527749999342817E-5</c:v>
                </c:pt>
                <c:pt idx="13">
                  <c:v>-4.4827123333252011E-4</c:v>
                </c:pt>
                <c:pt idx="14">
                  <c:v>2.6520445000000059E-4</c:v>
                </c:pt>
                <c:pt idx="15">
                  <c:v>7.6216250000094021E-5</c:v>
                </c:pt>
                <c:pt idx="16">
                  <c:v>2.0142316666360571E-5</c:v>
                </c:pt>
                <c:pt idx="17">
                  <c:v>-5.7100099999929377E-5</c:v>
                </c:pt>
                <c:pt idx="18">
                  <c:v>3.0190566666699059E-4</c:v>
                </c:pt>
                <c:pt idx="19">
                  <c:v>-3.937772999991207E-4</c:v>
                </c:pt>
                <c:pt idx="20">
                  <c:v>-8.4798686983332927E-2</c:v>
                </c:pt>
                <c:pt idx="21">
                  <c:v>-1.19423942045</c:v>
                </c:pt>
                <c:pt idx="22">
                  <c:v>-1.2323667217500001</c:v>
                </c:pt>
                <c:pt idx="23">
                  <c:v>-1.1735265157999999</c:v>
                </c:pt>
                <c:pt idx="24">
                  <c:v>-1.1447868317333341</c:v>
                </c:pt>
                <c:pt idx="25">
                  <c:v>-1.1682767603333331</c:v>
                </c:pt>
                <c:pt idx="26">
                  <c:v>-1.1459552974166669</c:v>
                </c:pt>
                <c:pt idx="27">
                  <c:v>-1.100522039466667</c:v>
                </c:pt>
                <c:pt idx="28">
                  <c:v>-0.98663045994999998</c:v>
                </c:pt>
                <c:pt idx="29">
                  <c:v>-1.0423213148999999</c:v>
                </c:pt>
                <c:pt idx="30">
                  <c:v>-0.80815551888333292</c:v>
                </c:pt>
                <c:pt idx="31">
                  <c:v>-0.85265694520000046</c:v>
                </c:pt>
                <c:pt idx="32">
                  <c:v>-0.77232068816666621</c:v>
                </c:pt>
                <c:pt idx="33">
                  <c:v>-0.64445946068333271</c:v>
                </c:pt>
                <c:pt idx="34">
                  <c:v>-0.33823119774999938</c:v>
                </c:pt>
                <c:pt idx="35">
                  <c:v>-0.40657310795000012</c:v>
                </c:pt>
                <c:pt idx="36">
                  <c:v>-0.30909385050000049</c:v>
                </c:pt>
                <c:pt idx="37">
                  <c:v>-6.7476555833329843E-3</c:v>
                </c:pt>
                <c:pt idx="38">
                  <c:v>-8.53200137333332E-2</c:v>
                </c:pt>
                <c:pt idx="39">
                  <c:v>-3.4564731666703041E-4</c:v>
                </c:pt>
                <c:pt idx="40">
                  <c:v>4.4125056666696749E-4</c:v>
                </c:pt>
                <c:pt idx="41">
                  <c:v>-5.6666666699012316E-6</c:v>
                </c:pt>
                <c:pt idx="42">
                  <c:v>-3.6300000000000221E-4</c:v>
                </c:pt>
                <c:pt idx="43">
                  <c:v>-2.9833333333295631E-4</c:v>
                </c:pt>
                <c:pt idx="44">
                  <c:v>2.7999999999994701E-4</c:v>
                </c:pt>
                <c:pt idx="45">
                  <c:v>-2.31000000000009E-4</c:v>
                </c:pt>
                <c:pt idx="46">
                  <c:v>-4.8233333333297379E-4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B8C-416A-AF76-2639CB973406}"/>
            </c:ext>
          </c:extLst>
        </c:ser>
        <c:ser>
          <c:idx val="44"/>
          <c:order val="44"/>
          <c:tx>
            <c:v>BES_TR1_six387_A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Net_kW!$AU$2:$AU$49</c:f>
              <c:numCache>
                <c:formatCode>#,##0.000</c:formatCode>
                <c:ptCount val="48"/>
                <c:pt idx="0">
                  <c:v>-3.5000000000000309E-4</c:v>
                </c:pt>
                <c:pt idx="1">
                  <c:v>-4.6666666667000152E-5</c:v>
                </c:pt>
                <c:pt idx="2">
                  <c:v>0</c:v>
                </c:pt>
                <c:pt idx="3">
                  <c:v>-2.316666666669909E-4</c:v>
                </c:pt>
                <c:pt idx="4">
                  <c:v>-1.6500000000002621E-4</c:v>
                </c:pt>
                <c:pt idx="5">
                  <c:v>0</c:v>
                </c:pt>
                <c:pt idx="6">
                  <c:v>2.9999999999999472E-4</c:v>
                </c:pt>
                <c:pt idx="7">
                  <c:v>-1.6030129999999859E-4</c:v>
                </c:pt>
                <c:pt idx="8">
                  <c:v>2.5956530000006972E-4</c:v>
                </c:pt>
                <c:pt idx="9">
                  <c:v>-2.3908395000001031E-4</c:v>
                </c:pt>
                <c:pt idx="10">
                  <c:v>-2.5274766667110479E-5</c:v>
                </c:pt>
                <c:pt idx="11">
                  <c:v>-2.6741199999499868E-5</c:v>
                </c:pt>
                <c:pt idx="12">
                  <c:v>2.0386108333236841E-4</c:v>
                </c:pt>
                <c:pt idx="13">
                  <c:v>-1.5293789999948351E-4</c:v>
                </c:pt>
                <c:pt idx="14">
                  <c:v>4.1253778333305569E-4</c:v>
                </c:pt>
                <c:pt idx="15">
                  <c:v>-2.8783749999816699E-5</c:v>
                </c:pt>
                <c:pt idx="16">
                  <c:v>-4.7352435000058701E-4</c:v>
                </c:pt>
                <c:pt idx="17">
                  <c:v>-8.1000999998526169E-6</c:v>
                </c:pt>
                <c:pt idx="18">
                  <c:v>-2.3842766666659629E-4</c:v>
                </c:pt>
                <c:pt idx="19">
                  <c:v>-2.2377729999911719E-4</c:v>
                </c:pt>
                <c:pt idx="20">
                  <c:v>4.2664635000000389E-4</c:v>
                </c:pt>
                <c:pt idx="21">
                  <c:v>-0.27796308711666678</c:v>
                </c:pt>
                <c:pt idx="22">
                  <c:v>-0.63609872174999993</c:v>
                </c:pt>
                <c:pt idx="23">
                  <c:v>-3.4218246667028218E-4</c:v>
                </c:pt>
                <c:pt idx="24">
                  <c:v>-9.4523831733334007E-2</c:v>
                </c:pt>
                <c:pt idx="25">
                  <c:v>-0.782811960333333</c:v>
                </c:pt>
                <c:pt idx="26">
                  <c:v>4.8023591666990217E-4</c:v>
                </c:pt>
                <c:pt idx="27">
                  <c:v>-4.4303946666610078E-4</c:v>
                </c:pt>
                <c:pt idx="28">
                  <c:v>-0.60812595994999996</c:v>
                </c:pt>
                <c:pt idx="29">
                  <c:v>-0.94290731490000002</c:v>
                </c:pt>
                <c:pt idx="30">
                  <c:v>-0.71430285221666701</c:v>
                </c:pt>
                <c:pt idx="31">
                  <c:v>-0.32124394520000038</c:v>
                </c:pt>
                <c:pt idx="32">
                  <c:v>-0.63904985483333254</c:v>
                </c:pt>
                <c:pt idx="33">
                  <c:v>-0.622233394016666</c:v>
                </c:pt>
                <c:pt idx="34">
                  <c:v>-0.34148106441666642</c:v>
                </c:pt>
                <c:pt idx="35">
                  <c:v>-0.33185110795000011</c:v>
                </c:pt>
                <c:pt idx="36">
                  <c:v>-0.28851785050000051</c:v>
                </c:pt>
                <c:pt idx="37">
                  <c:v>4.9581108333300594E-4</c:v>
                </c:pt>
                <c:pt idx="38">
                  <c:v>-2.1144470666666082E-3</c:v>
                </c:pt>
                <c:pt idx="39">
                  <c:v>-3.7431398333304111E-4</c:v>
                </c:pt>
                <c:pt idx="40">
                  <c:v>-4.0508276666684218E-4</c:v>
                </c:pt>
                <c:pt idx="41">
                  <c:v>1.200000000003421E-4</c:v>
                </c:pt>
                <c:pt idx="42">
                  <c:v>-2.0600000000003951E-4</c:v>
                </c:pt>
                <c:pt idx="43">
                  <c:v>2.9733333333301082E-4</c:v>
                </c:pt>
                <c:pt idx="44">
                  <c:v>1.1499999999997621E-4</c:v>
                </c:pt>
                <c:pt idx="45">
                  <c:v>3.2400000000001872E-4</c:v>
                </c:pt>
                <c:pt idx="46">
                  <c:v>-1.6500000000002621E-4</c:v>
                </c:pt>
                <c:pt idx="47">
                  <c:v>4.0866666666700141E-4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B8C-416A-AF76-2639CB973406}"/>
            </c:ext>
          </c:extLst>
        </c:ser>
        <c:ser>
          <c:idx val="45"/>
          <c:order val="45"/>
          <c:tx>
            <c:v>BES_TR1_six410_A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Net_kW!$AV$2:$AV$49</c:f>
              <c:numCache>
                <c:formatCode>#,##0.000</c:formatCode>
                <c:ptCount val="48"/>
                <c:pt idx="0">
                  <c:v>-1.2633333333303409E-4</c:v>
                </c:pt>
                <c:pt idx="1">
                  <c:v>1.886666666666981E-4</c:v>
                </c:pt>
                <c:pt idx="2">
                  <c:v>-2.5066666666700987E-4</c:v>
                </c:pt>
                <c:pt idx="3">
                  <c:v>3.8093333333300011E-4</c:v>
                </c:pt>
                <c:pt idx="4">
                  <c:v>-6.2666666666599813E-5</c:v>
                </c:pt>
                <c:pt idx="5">
                  <c:v>-2.193333333329883E-4</c:v>
                </c:pt>
                <c:pt idx="6">
                  <c:v>3.5999999999999921E-4</c:v>
                </c:pt>
                <c:pt idx="7">
                  <c:v>1.229315999999592E-4</c:v>
                </c:pt>
                <c:pt idx="8">
                  <c:v>-2.5257959999991359E-4</c:v>
                </c:pt>
                <c:pt idx="9">
                  <c:v>3.332214E-4</c:v>
                </c:pt>
                <c:pt idx="10">
                  <c:v>4.7855866666002278E-5</c:v>
                </c:pt>
                <c:pt idx="11">
                  <c:v>-4.4898826666600611E-4</c:v>
                </c:pt>
                <c:pt idx="12">
                  <c:v>-3.1429633333407431E-4</c:v>
                </c:pt>
                <c:pt idx="13">
                  <c:v>8.2416133334040076E-5</c:v>
                </c:pt>
                <c:pt idx="14">
                  <c:v>3.0939266666640819E-5</c:v>
                </c:pt>
                <c:pt idx="15">
                  <c:v>-2.8637833333300389E-4</c:v>
                </c:pt>
                <c:pt idx="16">
                  <c:v>-4.4669913333394978E-4</c:v>
                </c:pt>
                <c:pt idx="17">
                  <c:v>5.7199866666968191E-5</c:v>
                </c:pt>
                <c:pt idx="18">
                  <c:v>-1.2968133333401971E-4</c:v>
                </c:pt>
                <c:pt idx="19">
                  <c:v>-0.75443970306666586</c:v>
                </c:pt>
                <c:pt idx="20">
                  <c:v>-0.52980313820000391</c:v>
                </c:pt>
                <c:pt idx="21">
                  <c:v>-1.228905227266667</c:v>
                </c:pt>
                <c:pt idx="22">
                  <c:v>-1.305943295666667</c:v>
                </c:pt>
                <c:pt idx="23">
                  <c:v>-1.5893833544</c:v>
                </c:pt>
                <c:pt idx="24">
                  <c:v>-1.583522664533334</c:v>
                </c:pt>
                <c:pt idx="25">
                  <c:v>-1.6456808359999999</c:v>
                </c:pt>
                <c:pt idx="26">
                  <c:v>-1.4379812409999999</c:v>
                </c:pt>
                <c:pt idx="27">
                  <c:v>-1.558667163733334</c:v>
                </c:pt>
                <c:pt idx="28">
                  <c:v>-1.3475419466</c:v>
                </c:pt>
                <c:pt idx="29">
                  <c:v>-1.3302290865333339</c:v>
                </c:pt>
                <c:pt idx="30">
                  <c:v>-1.256673914066667</c:v>
                </c:pt>
                <c:pt idx="31">
                  <c:v>-1.116964260266667</c:v>
                </c:pt>
                <c:pt idx="32">
                  <c:v>-0.95947922866666591</c:v>
                </c:pt>
                <c:pt idx="33">
                  <c:v>-0.69098096979999901</c:v>
                </c:pt>
                <c:pt idx="34">
                  <c:v>-0.52643719699999891</c:v>
                </c:pt>
                <c:pt idx="35">
                  <c:v>-0.27092327726666698</c:v>
                </c:pt>
                <c:pt idx="36">
                  <c:v>-0.18560046733333399</c:v>
                </c:pt>
                <c:pt idx="37">
                  <c:v>4.5597033333300441E-4</c:v>
                </c:pt>
                <c:pt idx="38">
                  <c:v>-1.67738666665973E-5</c:v>
                </c:pt>
                <c:pt idx="39">
                  <c:v>3.202580000000177E-5</c:v>
                </c:pt>
                <c:pt idx="40">
                  <c:v>-7.2214666666375882E-6</c:v>
                </c:pt>
                <c:pt idx="41">
                  <c:v>1.426666666669851E-4</c:v>
                </c:pt>
                <c:pt idx="42">
                  <c:v>4.0700000000004621E-4</c:v>
                </c:pt>
                <c:pt idx="43">
                  <c:v>-4.7733333333305211E-4</c:v>
                </c:pt>
                <c:pt idx="44">
                  <c:v>-2.9999999999996701E-4</c:v>
                </c:pt>
                <c:pt idx="45">
                  <c:v>-3.1133333333299712E-4</c:v>
                </c:pt>
                <c:pt idx="46">
                  <c:v>3.0600000000000072E-4</c:v>
                </c:pt>
                <c:pt idx="47">
                  <c:v>-3.7333333333300361E-4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B8C-416A-AF76-2639CB973406}"/>
            </c:ext>
          </c:extLst>
        </c:ser>
        <c:ser>
          <c:idx val="46"/>
          <c:order val="46"/>
          <c:tx>
            <c:v>BES_TR1_six431_C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Net_kW!$AW$2:$AW$49</c:f>
              <c:numCache>
                <c:formatCode>#,##0.000</c:formatCode>
                <c:ptCount val="48"/>
                <c:pt idx="0">
                  <c:v>2.6599999999998852E-4</c:v>
                </c:pt>
                <c:pt idx="1">
                  <c:v>2.5333333333329988E-4</c:v>
                </c:pt>
                <c:pt idx="2">
                  <c:v>8.2000000000026496E-5</c:v>
                </c:pt>
                <c:pt idx="3">
                  <c:v>5.2333333333300092E-5</c:v>
                </c:pt>
                <c:pt idx="4">
                  <c:v>3.96333333332971E-4</c:v>
                </c:pt>
                <c:pt idx="5">
                  <c:v>-1.133333333329933E-4</c:v>
                </c:pt>
                <c:pt idx="6">
                  <c:v>-4.946666666670041E-4</c:v>
                </c:pt>
                <c:pt idx="7">
                  <c:v>-3.2050216666668069E-4</c:v>
                </c:pt>
                <c:pt idx="8">
                  <c:v>-1.4205783333325059E-4</c:v>
                </c:pt>
                <c:pt idx="9">
                  <c:v>-9.1806583332999792E-5</c:v>
                </c:pt>
                <c:pt idx="10">
                  <c:v>3.1231983333249169E-4</c:v>
                </c:pt>
                <c:pt idx="11">
                  <c:v>-2.425686666657767E-4</c:v>
                </c:pt>
                <c:pt idx="12">
                  <c:v>-2.0512041666753689E-4</c:v>
                </c:pt>
                <c:pt idx="13">
                  <c:v>-1.1563166665506939E-5</c:v>
                </c:pt>
                <c:pt idx="14">
                  <c:v>-2.8265925000015008E-4</c:v>
                </c:pt>
                <c:pt idx="15">
                  <c:v>2.5202708333305068E-4</c:v>
                </c:pt>
                <c:pt idx="16">
                  <c:v>-2.6387391666782278E-4</c:v>
                </c:pt>
                <c:pt idx="17">
                  <c:v>4.7983316666688758E-4</c:v>
                </c:pt>
                <c:pt idx="18">
                  <c:v>-0.84597793500000107</c:v>
                </c:pt>
                <c:pt idx="19">
                  <c:v>-1.6266979621666651</c:v>
                </c:pt>
                <c:pt idx="20">
                  <c:v>-0.34906692274999701</c:v>
                </c:pt>
                <c:pt idx="21">
                  <c:v>-1.87974570075</c:v>
                </c:pt>
                <c:pt idx="22">
                  <c:v>-1.8113945362499999</c:v>
                </c:pt>
                <c:pt idx="23">
                  <c:v>-1.752483193</c:v>
                </c:pt>
                <c:pt idx="24">
                  <c:v>-1.953374830666667</c:v>
                </c:pt>
                <c:pt idx="25">
                  <c:v>-1.889051045</c:v>
                </c:pt>
                <c:pt idx="26">
                  <c:v>-1.9840340512500001</c:v>
                </c:pt>
                <c:pt idx="27">
                  <c:v>-1.807327621333334</c:v>
                </c:pt>
                <c:pt idx="28">
                  <c:v>-1.58509043325</c:v>
                </c:pt>
                <c:pt idx="29">
                  <c:v>-1.5355838581666681</c:v>
                </c:pt>
                <c:pt idx="30">
                  <c:v>-1.292357642583333</c:v>
                </c:pt>
                <c:pt idx="31">
                  <c:v>-1.223605575333335</c:v>
                </c:pt>
                <c:pt idx="32">
                  <c:v>-1.2080450358333319</c:v>
                </c:pt>
                <c:pt idx="33">
                  <c:v>-1.03915021225</c:v>
                </c:pt>
                <c:pt idx="34">
                  <c:v>-0.51945599624999939</c:v>
                </c:pt>
                <c:pt idx="35">
                  <c:v>-0.53731117991666699</c:v>
                </c:pt>
                <c:pt idx="36">
                  <c:v>-0.28315241750000048</c:v>
                </c:pt>
                <c:pt idx="37">
                  <c:v>-0.21617353708333301</c:v>
                </c:pt>
                <c:pt idx="38">
                  <c:v>-5.7170800666666188E-2</c:v>
                </c:pt>
                <c:pt idx="39">
                  <c:v>4.0403224999990828E-4</c:v>
                </c:pt>
                <c:pt idx="40">
                  <c:v>4.126398333333392E-4</c:v>
                </c:pt>
                <c:pt idx="41">
                  <c:v>2.7200000000004998E-4</c:v>
                </c:pt>
                <c:pt idx="42">
                  <c:v>-1.5766666666705559E-4</c:v>
                </c:pt>
                <c:pt idx="43">
                  <c:v>-9.099999999995223E-5</c:v>
                </c:pt>
                <c:pt idx="44">
                  <c:v>1.966666666669836E-4</c:v>
                </c:pt>
                <c:pt idx="45">
                  <c:v>-4.8533333333300449E-4</c:v>
                </c:pt>
                <c:pt idx="46">
                  <c:v>-4.6999999999963737E-5</c:v>
                </c:pt>
                <c:pt idx="47">
                  <c:v>-4.7666666666669471E-4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B8C-416A-AF76-2639CB973406}"/>
            </c:ext>
          </c:extLst>
        </c:ser>
        <c:ser>
          <c:idx val="47"/>
          <c:order val="47"/>
          <c:tx>
            <c:v>BES_TR1_six441_A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Net_kW!$AX$2:$AX$49</c:f>
              <c:numCache>
                <c:formatCode>#,##0.000</c:formatCode>
                <c:ptCount val="48"/>
                <c:pt idx="0">
                  <c:v>-3.4694469519536142E-18</c:v>
                </c:pt>
                <c:pt idx="1">
                  <c:v>4.399999999999959E-4</c:v>
                </c:pt>
                <c:pt idx="2">
                  <c:v>-3.4694469519536142E-18</c:v>
                </c:pt>
                <c:pt idx="3">
                  <c:v>4.399999999999959E-4</c:v>
                </c:pt>
                <c:pt idx="4">
                  <c:v>-3.4694469519536142E-18</c:v>
                </c:pt>
                <c:pt idx="5">
                  <c:v>4.359999999999919E-4</c:v>
                </c:pt>
                <c:pt idx="6">
                  <c:v>4.0000000000040004E-6</c:v>
                </c:pt>
                <c:pt idx="7">
                  <c:v>1.3519653333332599E-4</c:v>
                </c:pt>
                <c:pt idx="8">
                  <c:v>1.295074666668034E-4</c:v>
                </c:pt>
                <c:pt idx="9">
                  <c:v>6.9776133332921653E-5</c:v>
                </c:pt>
                <c:pt idx="10">
                  <c:v>4.3304506666502762E-4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-1.6116773333196829E-4</c:v>
                </c:pt>
                <c:pt idx="14">
                  <c:v>-9.9454800000176036E-5</c:v>
                </c:pt>
                <c:pt idx="15">
                  <c:v>-1.940899999999246E-4</c:v>
                </c:pt>
                <c:pt idx="16">
                  <c:v>-1.850321398266668</c:v>
                </c:pt>
                <c:pt idx="17">
                  <c:v>-2.5066509336</c:v>
                </c:pt>
                <c:pt idx="18">
                  <c:v>-2.5996353626666679</c:v>
                </c:pt>
                <c:pt idx="19">
                  <c:v>-2.9313834061333321</c:v>
                </c:pt>
                <c:pt idx="20">
                  <c:v>-3.0373382764000012</c:v>
                </c:pt>
                <c:pt idx="21">
                  <c:v>-3.1678691211999999</c:v>
                </c:pt>
                <c:pt idx="22">
                  <c:v>-3.3221179246666681</c:v>
                </c:pt>
                <c:pt idx="23">
                  <c:v>-3.300153375466667</c:v>
                </c:pt>
                <c:pt idx="24">
                  <c:v>-3.4116479957333352</c:v>
                </c:pt>
                <c:pt idx="25">
                  <c:v>-3.0676952386666669</c:v>
                </c:pt>
                <c:pt idx="26">
                  <c:v>-3.1556975820000002</c:v>
                </c:pt>
                <c:pt idx="27">
                  <c:v>-3.1833343274666679</c:v>
                </c:pt>
                <c:pt idx="28">
                  <c:v>-2.9040678932000001</c:v>
                </c:pt>
                <c:pt idx="29">
                  <c:v>-2.8481901730666679</c:v>
                </c:pt>
                <c:pt idx="30">
                  <c:v>-2.6491284947999998</c:v>
                </c:pt>
                <c:pt idx="31">
                  <c:v>-2.2781438538666681</c:v>
                </c:pt>
                <c:pt idx="32">
                  <c:v>-2.139800057333332</c:v>
                </c:pt>
                <c:pt idx="33">
                  <c:v>-1.708919272933332</c:v>
                </c:pt>
                <c:pt idx="34">
                  <c:v>-1.482923727333332</c:v>
                </c:pt>
                <c:pt idx="35">
                  <c:v>-1.1433736212000001</c:v>
                </c:pt>
                <c:pt idx="36">
                  <c:v>-0.81405293466666806</c:v>
                </c:pt>
                <c:pt idx="37">
                  <c:v>-0.60075072600000001</c:v>
                </c:pt>
                <c:pt idx="38">
                  <c:v>-0.3054607477333332</c:v>
                </c:pt>
                <c:pt idx="39">
                  <c:v>4.2005160000000569E-4</c:v>
                </c:pt>
                <c:pt idx="40">
                  <c:v>3.802237333333236E-4</c:v>
                </c:pt>
                <c:pt idx="41">
                  <c:v>1.9199999999997E-4</c:v>
                </c:pt>
                <c:pt idx="42">
                  <c:v>-1.626666666669774E-4</c:v>
                </c:pt>
                <c:pt idx="43">
                  <c:v>2.7333333333301463E-4</c:v>
                </c:pt>
                <c:pt idx="44">
                  <c:v>1.7266666666704289E-4</c:v>
                </c:pt>
                <c:pt idx="45">
                  <c:v>-3.4694469519536142E-18</c:v>
                </c:pt>
                <c:pt idx="46">
                  <c:v>-3.4694469519536142E-18</c:v>
                </c:pt>
                <c:pt idx="47">
                  <c:v>-3.4694469519536142E-18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B8C-416A-AF76-2639CB973406}"/>
            </c:ext>
          </c:extLst>
        </c:ser>
        <c:ser>
          <c:idx val="48"/>
          <c:order val="48"/>
          <c:tx>
            <c:v>BES_TR1_six484_B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Net_kW!$AY$2:$AY$49</c:f>
              <c:numCache>
                <c:formatCode>#,##0.000</c:formatCode>
                <c:ptCount val="48"/>
                <c:pt idx="0">
                  <c:v>3.8066666666700111E-4</c:v>
                </c:pt>
                <c:pt idx="1">
                  <c:v>2.7733333333301863E-4</c:v>
                </c:pt>
                <c:pt idx="2">
                  <c:v>6.4000000000008495E-5</c:v>
                </c:pt>
                <c:pt idx="3">
                  <c:v>9.6666666669908974E-6</c:v>
                </c:pt>
                <c:pt idx="4">
                  <c:v>4.0333333333003603E-5</c:v>
                </c:pt>
                <c:pt idx="5">
                  <c:v>-1.1999999999984251E-5</c:v>
                </c:pt>
                <c:pt idx="6">
                  <c:v>5.9333333332994842E-5</c:v>
                </c:pt>
                <c:pt idx="7">
                  <c:v>3.9806406666698102E-4</c:v>
                </c:pt>
                <c:pt idx="8">
                  <c:v>-2.132027333332093E-4</c:v>
                </c:pt>
                <c:pt idx="9">
                  <c:v>4.5616543333300291E-4</c:v>
                </c:pt>
                <c:pt idx="10">
                  <c:v>5.8783799998990423E-5</c:v>
                </c:pt>
                <c:pt idx="11">
                  <c:v>-2.3614906666596941E-4</c:v>
                </c:pt>
                <c:pt idx="12">
                  <c:v>2.5772216666586362E-4</c:v>
                </c:pt>
                <c:pt idx="13">
                  <c:v>-1.287579999897925E-5</c:v>
                </c:pt>
                <c:pt idx="14">
                  <c:v>-1.0459110000005099E-4</c:v>
                </c:pt>
                <c:pt idx="15">
                  <c:v>3.0432500000010521E-5</c:v>
                </c:pt>
                <c:pt idx="16">
                  <c:v>2.7595129999907758E-4</c:v>
                </c:pt>
                <c:pt idx="17">
                  <c:v>3.6513313333008668E-4</c:v>
                </c:pt>
                <c:pt idx="18">
                  <c:v>2.7381133332912699E-4</c:v>
                </c:pt>
                <c:pt idx="19">
                  <c:v>-7.6887933328939617E-5</c:v>
                </c:pt>
                <c:pt idx="20">
                  <c:v>-4.8004063333129121E-4</c:v>
                </c:pt>
                <c:pt idx="21">
                  <c:v>3.3215910000003462E-4</c:v>
                </c:pt>
                <c:pt idx="22">
                  <c:v>2.8822316666587971E-4</c:v>
                </c:pt>
                <c:pt idx="23">
                  <c:v>2.319683999998379E-4</c:v>
                </c:pt>
                <c:pt idx="24">
                  <c:v>-1.830581330133334</c:v>
                </c:pt>
                <c:pt idx="25">
                  <c:v>-2.2558308206666671</c:v>
                </c:pt>
                <c:pt idx="26">
                  <c:v>-2.4499991948333339</c:v>
                </c:pt>
                <c:pt idx="27">
                  <c:v>-2.024830745600001</c:v>
                </c:pt>
                <c:pt idx="28">
                  <c:v>-2.2511309199</c:v>
                </c:pt>
                <c:pt idx="29">
                  <c:v>-1.8896016298000009</c:v>
                </c:pt>
                <c:pt idx="30">
                  <c:v>-1.8403483710999999</c:v>
                </c:pt>
                <c:pt idx="31">
                  <c:v>-1.7675358904000009</c:v>
                </c:pt>
                <c:pt idx="32">
                  <c:v>-1.3532380429999991</c:v>
                </c:pt>
                <c:pt idx="33">
                  <c:v>-1.233279454699999</c:v>
                </c:pt>
                <c:pt idx="34">
                  <c:v>-0.90850479549999907</c:v>
                </c:pt>
                <c:pt idx="35">
                  <c:v>-0.4687458825666671</c:v>
                </c:pt>
                <c:pt idx="36">
                  <c:v>-0.42560803433333411</c:v>
                </c:pt>
                <c:pt idx="37">
                  <c:v>1.1525550000003949E-4</c:v>
                </c:pt>
                <c:pt idx="38">
                  <c:v>-0.20724056079999989</c:v>
                </c:pt>
                <c:pt idx="39">
                  <c:v>6.8372033332958493E-5</c:v>
                </c:pt>
                <c:pt idx="40">
                  <c:v>-3.0999886666704951E-4</c:v>
                </c:pt>
                <c:pt idx="41">
                  <c:v>1.7266666666698741E-4</c:v>
                </c:pt>
                <c:pt idx="42">
                  <c:v>-4.8266666666596508E-4</c:v>
                </c:pt>
                <c:pt idx="43">
                  <c:v>-4.4399999999988887E-4</c:v>
                </c:pt>
                <c:pt idx="44">
                  <c:v>-2.7466666666997602E-4</c:v>
                </c:pt>
                <c:pt idx="45">
                  <c:v>-1.7166666667001171E-4</c:v>
                </c:pt>
                <c:pt idx="46">
                  <c:v>-2.1399999999993649E-4</c:v>
                </c:pt>
                <c:pt idx="47">
                  <c:v>0.112359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B8C-416A-AF76-2639CB973406}"/>
            </c:ext>
          </c:extLst>
        </c:ser>
        <c:ser>
          <c:idx val="49"/>
          <c:order val="49"/>
          <c:tx>
            <c:v>BES_TR1_six501_A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Net_kW!$AZ$2:$AZ$49</c:f>
              <c:numCache>
                <c:formatCode>#,##0.000</c:formatCode>
                <c:ptCount val="48"/>
                <c:pt idx="0">
                  <c:v>2.4033333333295381E-4</c:v>
                </c:pt>
                <c:pt idx="1">
                  <c:v>4.4999999999990881E-4</c:v>
                </c:pt>
                <c:pt idx="2">
                  <c:v>-1.5299999999998651E-4</c:v>
                </c:pt>
                <c:pt idx="3">
                  <c:v>1.9333333333329539E-4</c:v>
                </c:pt>
                <c:pt idx="4">
                  <c:v>3.4233333333340282E-4</c:v>
                </c:pt>
                <c:pt idx="5">
                  <c:v>-3.1533333333300112E-4</c:v>
                </c:pt>
                <c:pt idx="6">
                  <c:v>0</c:v>
                </c:pt>
                <c:pt idx="7">
                  <c:v>-4.0226926666700469E-4</c:v>
                </c:pt>
                <c:pt idx="8">
                  <c:v>-1.7086939999994E-4</c:v>
                </c:pt>
                <c:pt idx="9">
                  <c:v>2.8483209999999309E-4</c:v>
                </c:pt>
                <c:pt idx="10">
                  <c:v>-1.354953333398967E-5</c:v>
                </c:pt>
                <c:pt idx="11">
                  <c:v>-3.5714906666595159E-4</c:v>
                </c:pt>
                <c:pt idx="12">
                  <c:v>6.1055499998907692E-5</c:v>
                </c:pt>
                <c:pt idx="13">
                  <c:v>1.2457533334009341E-5</c:v>
                </c:pt>
                <c:pt idx="14">
                  <c:v>-2.7659110000000098E-4</c:v>
                </c:pt>
                <c:pt idx="15">
                  <c:v>-1.612341666668016E-4</c:v>
                </c:pt>
                <c:pt idx="16">
                  <c:v>-4.0138203333395239E-4</c:v>
                </c:pt>
                <c:pt idx="17">
                  <c:v>-0.74311820019999986</c:v>
                </c:pt>
                <c:pt idx="18">
                  <c:v>-1.840733188666668</c:v>
                </c:pt>
                <c:pt idx="19">
                  <c:v>-2.107832554599999</c:v>
                </c:pt>
                <c:pt idx="20">
                  <c:v>-2.0315647073000012</c:v>
                </c:pt>
                <c:pt idx="21">
                  <c:v>-2.2443779409000002</c:v>
                </c:pt>
                <c:pt idx="22">
                  <c:v>-2.4249875101666678</c:v>
                </c:pt>
                <c:pt idx="23">
                  <c:v>-1.3044706982666701</c:v>
                </c:pt>
                <c:pt idx="24">
                  <c:v>-1.253357663466671</c:v>
                </c:pt>
                <c:pt idx="25">
                  <c:v>-2.3169029206666671</c:v>
                </c:pt>
                <c:pt idx="26">
                  <c:v>-0.92496652816667013</c:v>
                </c:pt>
                <c:pt idx="27">
                  <c:v>-2.0541897456000009</c:v>
                </c:pt>
                <c:pt idx="28">
                  <c:v>-1.8856095865666671</c:v>
                </c:pt>
                <c:pt idx="29">
                  <c:v>-1.5565482964666679</c:v>
                </c:pt>
                <c:pt idx="30">
                  <c:v>-1.1020053711</c:v>
                </c:pt>
                <c:pt idx="31">
                  <c:v>-1.549642890400001</c:v>
                </c:pt>
                <c:pt idx="32">
                  <c:v>-3.8804299999889441E-4</c:v>
                </c:pt>
                <c:pt idx="33">
                  <c:v>-0.93925612136666614</c:v>
                </c:pt>
                <c:pt idx="34">
                  <c:v>-4.8879549999913258E-4</c:v>
                </c:pt>
                <c:pt idx="35">
                  <c:v>1.144507666697159E-4</c:v>
                </c:pt>
                <c:pt idx="36">
                  <c:v>-2.027010000011098E-4</c:v>
                </c:pt>
                <c:pt idx="37">
                  <c:v>-3.1537783333299152E-4</c:v>
                </c:pt>
                <c:pt idx="38">
                  <c:v>-4.3560799999925459E-5</c:v>
                </c:pt>
                <c:pt idx="39">
                  <c:v>3.5670536666698732E-4</c:v>
                </c:pt>
                <c:pt idx="40">
                  <c:v>-2.3683220000003671E-4</c:v>
                </c:pt>
                <c:pt idx="41">
                  <c:v>-2.9400000000001652E-4</c:v>
                </c:pt>
                <c:pt idx="42">
                  <c:v>7.9999999999968985E-5</c:v>
                </c:pt>
                <c:pt idx="43">
                  <c:v>4.0833333333401001E-4</c:v>
                </c:pt>
                <c:pt idx="44">
                  <c:v>2.666666666706341E-5</c:v>
                </c:pt>
                <c:pt idx="45">
                  <c:v>-1.736666666669606E-4</c:v>
                </c:pt>
                <c:pt idx="46">
                  <c:v>1.9333333333329539E-4</c:v>
                </c:pt>
                <c:pt idx="47">
                  <c:v>2.5833333333299962E-4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B8C-416A-AF76-2639CB973406}"/>
            </c:ext>
          </c:extLst>
        </c:ser>
        <c:ser>
          <c:idx val="50"/>
          <c:order val="50"/>
          <c:tx>
            <c:v>BES_TR1_six512_B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Net_kW!$BA$2:$BA$49</c:f>
              <c:numCache>
                <c:formatCode>#,##0.000</c:formatCode>
                <c:ptCount val="48"/>
                <c:pt idx="0">
                  <c:v>1.0100000000000391E-4</c:v>
                </c:pt>
                <c:pt idx="1">
                  <c:v>3.6000000000008248E-5</c:v>
                </c:pt>
                <c:pt idx="2">
                  <c:v>-1.8000000000001351E-4</c:v>
                </c:pt>
                <c:pt idx="3">
                  <c:v>3.6000000000008248E-5</c:v>
                </c:pt>
                <c:pt idx="4">
                  <c:v>-1.8000000000001351E-4</c:v>
                </c:pt>
                <c:pt idx="5">
                  <c:v>2.399999999999625E-5</c:v>
                </c:pt>
                <c:pt idx="6">
                  <c:v>1.2000000000011999E-5</c:v>
                </c:pt>
                <c:pt idx="7">
                  <c:v>4.7229696666664661E-4</c:v>
                </c:pt>
                <c:pt idx="8">
                  <c:v>-1.8068096666656869E-4</c:v>
                </c:pt>
                <c:pt idx="9">
                  <c:v>4.4413744999999109E-4</c:v>
                </c:pt>
                <c:pt idx="10">
                  <c:v>2.3724776666556041E-4</c:v>
                </c:pt>
                <c:pt idx="11">
                  <c:v>-8.9729466665411373E-5</c:v>
                </c:pt>
                <c:pt idx="12">
                  <c:v>7.1231416665429315E-5</c:v>
                </c:pt>
                <c:pt idx="13">
                  <c:v>-1.6752176666501309E-4</c:v>
                </c:pt>
                <c:pt idx="14">
                  <c:v>2.8547705000026008E-4</c:v>
                </c:pt>
                <c:pt idx="15">
                  <c:v>4.2850458333298919E-4</c:v>
                </c:pt>
                <c:pt idx="16">
                  <c:v>-0.78265855681666818</c:v>
                </c:pt>
                <c:pt idx="17">
                  <c:v>-2.0535522335666672</c:v>
                </c:pt>
                <c:pt idx="18">
                  <c:v>-2.268664775666668</c:v>
                </c:pt>
                <c:pt idx="19">
                  <c:v>-2.4714844803666649</c:v>
                </c:pt>
                <c:pt idx="20">
                  <c:v>-2.3181221585166671</c:v>
                </c:pt>
                <c:pt idx="21">
                  <c:v>-0.98879858104999996</c:v>
                </c:pt>
                <c:pt idx="22">
                  <c:v>-2.705019684083334</c:v>
                </c:pt>
                <c:pt idx="23">
                  <c:v>-1.8271858701999999</c:v>
                </c:pt>
                <c:pt idx="24">
                  <c:v>-1.774433162933335</c:v>
                </c:pt>
                <c:pt idx="25">
                  <c:v>-2.7713414630000002</c:v>
                </c:pt>
                <c:pt idx="26">
                  <c:v>-2.4924676717500001</c:v>
                </c:pt>
                <c:pt idx="27">
                  <c:v>-2.7011042032000021</c:v>
                </c:pt>
                <c:pt idx="28">
                  <c:v>-2.4184634065499999</c:v>
                </c:pt>
                <c:pt idx="29">
                  <c:v>-2.4624164014333352</c:v>
                </c:pt>
                <c:pt idx="30">
                  <c:v>-2.1410740996166671</c:v>
                </c:pt>
                <c:pt idx="31">
                  <c:v>-2.0179432054666671</c:v>
                </c:pt>
                <c:pt idx="32">
                  <c:v>-1.786856050166665</c:v>
                </c:pt>
                <c:pt idx="33">
                  <c:v>-1.1015686971499981</c:v>
                </c:pt>
                <c:pt idx="34">
                  <c:v>-0.958137261416665</c:v>
                </c:pt>
                <c:pt idx="35">
                  <c:v>-0.7150959185500001</c:v>
                </c:pt>
                <c:pt idx="36">
                  <c:v>-0.52414565116666756</c:v>
                </c:pt>
                <c:pt idx="37">
                  <c:v>-0.33220815191666703</c:v>
                </c:pt>
                <c:pt idx="38">
                  <c:v>2.9767906666645401E-4</c:v>
                </c:pt>
                <c:pt idx="39">
                  <c:v>-2.6428818333301679E-4</c:v>
                </c:pt>
                <c:pt idx="40">
                  <c:v>3.1269576666681509E-4</c:v>
                </c:pt>
                <c:pt idx="41">
                  <c:v>-2.8866666666704788E-4</c:v>
                </c:pt>
                <c:pt idx="42">
                  <c:v>4.0299999999993119E-4</c:v>
                </c:pt>
                <c:pt idx="43">
                  <c:v>1.1433333333304981E-4</c:v>
                </c:pt>
                <c:pt idx="44">
                  <c:v>-6.1333333333024598E-5</c:v>
                </c:pt>
                <c:pt idx="45">
                  <c:v>-1.9066666666700541E-4</c:v>
                </c:pt>
                <c:pt idx="46">
                  <c:v>-4.41999999999998E-4</c:v>
                </c:pt>
                <c:pt idx="47">
                  <c:v>6.0000000000060014E-6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B8C-416A-AF76-2639CB973406}"/>
            </c:ext>
          </c:extLst>
        </c:ser>
        <c:ser>
          <c:idx val="51"/>
          <c:order val="51"/>
          <c:tx>
            <c:v>BES_TR1_six518_B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Net_kW!$BB$2:$BB$49</c:f>
              <c:numCache>
                <c:formatCode>#,##0.000</c:formatCode>
                <c:ptCount val="48"/>
                <c:pt idx="0">
                  <c:v>3.8900000000000051E-4</c:v>
                </c:pt>
                <c:pt idx="1">
                  <c:v>3.8899999999990331E-4</c:v>
                </c:pt>
                <c:pt idx="2">
                  <c:v>0</c:v>
                </c:pt>
                <c:pt idx="3">
                  <c:v>-2.22E-4</c:v>
                </c:pt>
                <c:pt idx="4">
                  <c:v>0</c:v>
                </c:pt>
                <c:pt idx="5">
                  <c:v>-2.22E-4</c:v>
                </c:pt>
                <c:pt idx="6">
                  <c:v>0</c:v>
                </c:pt>
                <c:pt idx="7">
                  <c:v>-4.4080346666666709E-4</c:v>
                </c:pt>
                <c:pt idx="8">
                  <c:v>-4.1949253333320452E-4</c:v>
                </c:pt>
                <c:pt idx="9">
                  <c:v>-1.105571999999999E-4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3.683226666795214E-5</c:v>
                </c:pt>
                <c:pt idx="14">
                  <c:v>4.0545200000074999E-5</c:v>
                </c:pt>
                <c:pt idx="15">
                  <c:v>-0.79043082333333281</c:v>
                </c:pt>
                <c:pt idx="16">
                  <c:v>-1.605875398266668</c:v>
                </c:pt>
                <c:pt idx="17">
                  <c:v>-1.3669212669333299</c:v>
                </c:pt>
                <c:pt idx="18">
                  <c:v>-2.433257362666668</c:v>
                </c:pt>
                <c:pt idx="19">
                  <c:v>-2.6699564061333318</c:v>
                </c:pt>
                <c:pt idx="20">
                  <c:v>-2.6330712764000008</c:v>
                </c:pt>
                <c:pt idx="21">
                  <c:v>-2.9147431211999999</c:v>
                </c:pt>
                <c:pt idx="22">
                  <c:v>-3.045757258000001</c:v>
                </c:pt>
                <c:pt idx="23">
                  <c:v>-2.739286375466667</c:v>
                </c:pt>
                <c:pt idx="24">
                  <c:v>-2.9424213290666681</c:v>
                </c:pt>
                <c:pt idx="25">
                  <c:v>-2.799916005333333</c:v>
                </c:pt>
                <c:pt idx="26">
                  <c:v>-3.0319878153333328</c:v>
                </c:pt>
                <c:pt idx="27">
                  <c:v>-1.6391649941333379</c:v>
                </c:pt>
                <c:pt idx="28">
                  <c:v>-1.5492315598666699</c:v>
                </c:pt>
                <c:pt idx="29">
                  <c:v>-0.99955550639999813</c:v>
                </c:pt>
                <c:pt idx="30">
                  <c:v>-2.4132028281333331</c:v>
                </c:pt>
                <c:pt idx="31">
                  <c:v>-2.221838853866668</c:v>
                </c:pt>
                <c:pt idx="32">
                  <c:v>-2.0621443906666652</c:v>
                </c:pt>
                <c:pt idx="33">
                  <c:v>-1.5676619395999991</c:v>
                </c:pt>
                <c:pt idx="34">
                  <c:v>4.8827266666795488E-4</c:v>
                </c:pt>
                <c:pt idx="35">
                  <c:v>-2.0954533333172879E-5</c:v>
                </c:pt>
                <c:pt idx="36">
                  <c:v>-4.1260133333798082E-4</c:v>
                </c:pt>
                <c:pt idx="37">
                  <c:v>1.706073333329616E-4</c:v>
                </c:pt>
                <c:pt idx="38">
                  <c:v>-1.941440000016725E-5</c:v>
                </c:pt>
                <c:pt idx="39">
                  <c:v>1.157182666670087E-4</c:v>
                </c:pt>
                <c:pt idx="40">
                  <c:v>1.81557066666338E-4</c:v>
                </c:pt>
                <c:pt idx="41">
                  <c:v>2.5633333333296981E-4</c:v>
                </c:pt>
                <c:pt idx="42">
                  <c:v>-4.9266666666702985E-4</c:v>
                </c:pt>
                <c:pt idx="43">
                  <c:v>1.9066666666700541E-4</c:v>
                </c:pt>
                <c:pt idx="44">
                  <c:v>-1.736666666669606E-4</c:v>
                </c:pt>
                <c:pt idx="45">
                  <c:v>-4.4200000000005352E-4</c:v>
                </c:pt>
                <c:pt idx="46">
                  <c:v>3.7433333333303231E-4</c:v>
                </c:pt>
                <c:pt idx="47">
                  <c:v>2.8899999999998371E-4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B8C-416A-AF76-2639CB973406}"/>
            </c:ext>
          </c:extLst>
        </c:ser>
        <c:ser>
          <c:idx val="52"/>
          <c:order val="52"/>
          <c:tx>
            <c:v>BES_TR1_six595_B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Net_kW!$BC$2:$BC$49</c:f>
              <c:numCache>
                <c:formatCode>#,##0.000</c:formatCode>
                <c:ptCount val="48"/>
                <c:pt idx="0">
                  <c:v>-4.3433333333330049E-4</c:v>
                </c:pt>
                <c:pt idx="1">
                  <c:v>2.8100000000000352E-4</c:v>
                </c:pt>
                <c:pt idx="2">
                  <c:v>2.8100000000000352E-4</c:v>
                </c:pt>
                <c:pt idx="3">
                  <c:v>-7.3333333330122263E-6</c:v>
                </c:pt>
                <c:pt idx="4">
                  <c:v>-4.3066666666670422E-4</c:v>
                </c:pt>
                <c:pt idx="5">
                  <c:v>-6.9388939039072284E-18</c:v>
                </c:pt>
                <c:pt idx="6">
                  <c:v>-6.9388939039072284E-18</c:v>
                </c:pt>
                <c:pt idx="7">
                  <c:v>4.1149783333332968E-4</c:v>
                </c:pt>
                <c:pt idx="8">
                  <c:v>-8.4057833333255061E-5</c:v>
                </c:pt>
                <c:pt idx="9">
                  <c:v>-3.5847325000001867E-4</c:v>
                </c:pt>
                <c:pt idx="10">
                  <c:v>2.2431983333251471E-4</c:v>
                </c:pt>
                <c:pt idx="11">
                  <c:v>3.3876466666749039E-4</c:v>
                </c:pt>
                <c:pt idx="12">
                  <c:v>-2.4112041666746189E-4</c:v>
                </c:pt>
                <c:pt idx="13">
                  <c:v>2.6577016666740061E-4</c:v>
                </c:pt>
                <c:pt idx="14">
                  <c:v>-2.2465925000003659E-4</c:v>
                </c:pt>
                <c:pt idx="15">
                  <c:v>-1.413062499999729E-4</c:v>
                </c:pt>
                <c:pt idx="16">
                  <c:v>3.6222608333202899E-4</c:v>
                </c:pt>
                <c:pt idx="17">
                  <c:v>-0.77625323350000008</c:v>
                </c:pt>
                <c:pt idx="18">
                  <c:v>-1.503499601666668</c:v>
                </c:pt>
                <c:pt idx="19">
                  <c:v>-1.5325646288333321</c:v>
                </c:pt>
                <c:pt idx="20">
                  <c:v>-1.8987939227499999</c:v>
                </c:pt>
                <c:pt idx="21">
                  <c:v>-1.955215367416667</c:v>
                </c:pt>
                <c:pt idx="22">
                  <c:v>-2.0726112029166668</c:v>
                </c:pt>
                <c:pt idx="23">
                  <c:v>-2.100479193</c:v>
                </c:pt>
                <c:pt idx="24">
                  <c:v>-2.1085508306666672</c:v>
                </c:pt>
                <c:pt idx="25">
                  <c:v>-2.0188890449999999</c:v>
                </c:pt>
                <c:pt idx="26">
                  <c:v>-2.02006505125</c:v>
                </c:pt>
                <c:pt idx="27">
                  <c:v>-1.965333954666667</c:v>
                </c:pt>
                <c:pt idx="28">
                  <c:v>-1.79838043325</c:v>
                </c:pt>
                <c:pt idx="29">
                  <c:v>-1.7558688581666679</c:v>
                </c:pt>
                <c:pt idx="30">
                  <c:v>-1.590031975916667</c:v>
                </c:pt>
                <c:pt idx="31">
                  <c:v>-1.448601242000001</c:v>
                </c:pt>
                <c:pt idx="32">
                  <c:v>-1.313125035833332</c:v>
                </c:pt>
                <c:pt idx="33">
                  <c:v>-1.109544545583333</c:v>
                </c:pt>
                <c:pt idx="34">
                  <c:v>-0.91486499624999917</c:v>
                </c:pt>
                <c:pt idx="35">
                  <c:v>-0.46893584658333398</c:v>
                </c:pt>
                <c:pt idx="36">
                  <c:v>-0.32229308416666752</c:v>
                </c:pt>
                <c:pt idx="37">
                  <c:v>-0.23365220375000001</c:v>
                </c:pt>
                <c:pt idx="38">
                  <c:v>8.7532666666823716E-5</c:v>
                </c:pt>
                <c:pt idx="39">
                  <c:v>-6.8967750000037409E-5</c:v>
                </c:pt>
                <c:pt idx="40">
                  <c:v>4.9797316666627678E-4</c:v>
                </c:pt>
                <c:pt idx="41">
                  <c:v>3.3333333333296361E-4</c:v>
                </c:pt>
                <c:pt idx="42">
                  <c:v>3.3333333333301912E-4</c:v>
                </c:pt>
                <c:pt idx="43">
                  <c:v>-3.3333333330221042E-6</c:v>
                </c:pt>
                <c:pt idx="44">
                  <c:v>-2.8866666666693691E-4</c:v>
                </c:pt>
                <c:pt idx="45">
                  <c:v>2.1133333333400731E-4</c:v>
                </c:pt>
                <c:pt idx="46">
                  <c:v>2.0000000000019998E-5</c:v>
                </c:pt>
                <c:pt idx="47">
                  <c:v>-2.9733333333298312E-4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B8C-416A-AF76-2639CB973406}"/>
            </c:ext>
          </c:extLst>
        </c:ser>
        <c:ser>
          <c:idx val="53"/>
          <c:order val="53"/>
          <c:tx>
            <c:v>BES_TR1_six646_B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Net_kW!$BD$2:$BD$49</c:f>
              <c:numCache>
                <c:formatCode>#,##0.000</c:formatCode>
                <c:ptCount val="48"/>
                <c:pt idx="0">
                  <c:v>-4.123333333329593E-4</c:v>
                </c:pt>
                <c:pt idx="1">
                  <c:v>5.4666666666702828E-5</c:v>
                </c:pt>
                <c:pt idx="2">
                  <c:v>-7.4000000000018495E-5</c:v>
                </c:pt>
                <c:pt idx="3">
                  <c:v>-6.9388939039072284E-18</c:v>
                </c:pt>
                <c:pt idx="4">
                  <c:v>-4.200000000000037E-4</c:v>
                </c:pt>
                <c:pt idx="5">
                  <c:v>3.3400000000000102E-4</c:v>
                </c:pt>
                <c:pt idx="6">
                  <c:v>-6.3999999999980739E-5</c:v>
                </c:pt>
                <c:pt idx="7">
                  <c:v>-1.7250216666667151E-4</c:v>
                </c:pt>
                <c:pt idx="8">
                  <c:v>-1.000578333332502E-4</c:v>
                </c:pt>
                <c:pt idx="9">
                  <c:v>-2.0713991666701509E-4</c:v>
                </c:pt>
                <c:pt idx="10">
                  <c:v>4.4098649999921302E-4</c:v>
                </c:pt>
                <c:pt idx="11">
                  <c:v>3.3876466666749039E-4</c:v>
                </c:pt>
                <c:pt idx="12">
                  <c:v>-3.7120416667535412E-5</c:v>
                </c:pt>
                <c:pt idx="13">
                  <c:v>4.1377016666754862E-4</c:v>
                </c:pt>
                <c:pt idx="14">
                  <c:v>-3.5799258333324419E-4</c:v>
                </c:pt>
                <c:pt idx="15">
                  <c:v>-4.2463958333305302E-4</c:v>
                </c:pt>
                <c:pt idx="16">
                  <c:v>-4.7720725000122138E-4</c:v>
                </c:pt>
                <c:pt idx="17">
                  <c:v>-2.4983350000007398E-4</c:v>
                </c:pt>
                <c:pt idx="18">
                  <c:v>-1.087073301666668</c:v>
                </c:pt>
                <c:pt idx="19">
                  <c:v>-1.634861195499999</c:v>
                </c:pt>
                <c:pt idx="20">
                  <c:v>-1.8985215894166669</c:v>
                </c:pt>
                <c:pt idx="21">
                  <c:v>-1.8021603674166671</c:v>
                </c:pt>
                <c:pt idx="22">
                  <c:v>-2.0796112029166669</c:v>
                </c:pt>
                <c:pt idx="23">
                  <c:v>-2.103589693</c:v>
                </c:pt>
                <c:pt idx="24">
                  <c:v>-1.988946497333334</c:v>
                </c:pt>
                <c:pt idx="25">
                  <c:v>-1.9979790449999999</c:v>
                </c:pt>
                <c:pt idx="26">
                  <c:v>-1.599789384583334</c:v>
                </c:pt>
                <c:pt idx="27">
                  <c:v>-1.637805821333334</c:v>
                </c:pt>
                <c:pt idx="28">
                  <c:v>-1.659154199916667</c:v>
                </c:pt>
                <c:pt idx="29">
                  <c:v>-1.464353858166668</c:v>
                </c:pt>
                <c:pt idx="30">
                  <c:v>-1.483292642583333</c:v>
                </c:pt>
                <c:pt idx="31">
                  <c:v>-1.318820908666668</c:v>
                </c:pt>
                <c:pt idx="32">
                  <c:v>-0.91167136916666602</c:v>
                </c:pt>
                <c:pt idx="33">
                  <c:v>-0.91382254558333298</c:v>
                </c:pt>
                <c:pt idx="34">
                  <c:v>-0.46563566291666553</c:v>
                </c:pt>
                <c:pt idx="35">
                  <c:v>-0.39542251325</c:v>
                </c:pt>
                <c:pt idx="36">
                  <c:v>-0.42069325083333448</c:v>
                </c:pt>
                <c:pt idx="37">
                  <c:v>-5.5605870416667043E-2</c:v>
                </c:pt>
                <c:pt idx="38">
                  <c:v>-9.9926567333333188E-2</c:v>
                </c:pt>
                <c:pt idx="39">
                  <c:v>-3.1363441666698583E-4</c:v>
                </c:pt>
                <c:pt idx="40">
                  <c:v>-4.7693499999668099E-5</c:v>
                </c:pt>
                <c:pt idx="41">
                  <c:v>-3.0866666666606868E-4</c:v>
                </c:pt>
                <c:pt idx="42">
                  <c:v>4.2733333333289098E-4</c:v>
                </c:pt>
                <c:pt idx="43">
                  <c:v>3.5833333333307182E-4</c:v>
                </c:pt>
                <c:pt idx="44">
                  <c:v>-4.9299999999996569E-4</c:v>
                </c:pt>
                <c:pt idx="45">
                  <c:v>3.4100000000000802E-4</c:v>
                </c:pt>
                <c:pt idx="46">
                  <c:v>3.4999999999998921E-4</c:v>
                </c:pt>
                <c:pt idx="47">
                  <c:v>-8.6000000000030496E-5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B8C-416A-AF76-2639CB973406}"/>
            </c:ext>
          </c:extLst>
        </c:ser>
        <c:ser>
          <c:idx val="54"/>
          <c:order val="54"/>
          <c:tx>
            <c:v>BES_TR1_six699_C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Net_kW!$BE$2:$BE$49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-1.199999999999812E-5</c:v>
                </c:pt>
                <c:pt idx="4">
                  <c:v>0</c:v>
                </c:pt>
                <c:pt idx="5">
                  <c:v>0</c:v>
                </c:pt>
                <c:pt idx="6">
                  <c:v>-1.199999999999812E-5</c:v>
                </c:pt>
                <c:pt idx="7">
                  <c:v>-1.0703033333329949E-5</c:v>
                </c:pt>
                <c:pt idx="8">
                  <c:v>4.8231903333344033E-4</c:v>
                </c:pt>
                <c:pt idx="9">
                  <c:v>4.8613745000000708E-4</c:v>
                </c:pt>
                <c:pt idx="10">
                  <c:v>3.2724776666553929E-4</c:v>
                </c:pt>
                <c:pt idx="11">
                  <c:v>1.9827053333454361E-4</c:v>
                </c:pt>
                <c:pt idx="12">
                  <c:v>-2.6476858333468472E-4</c:v>
                </c:pt>
                <c:pt idx="13">
                  <c:v>-2.3521766665091089E-5</c:v>
                </c:pt>
                <c:pt idx="14">
                  <c:v>2.8547705000003809E-4</c:v>
                </c:pt>
                <c:pt idx="15">
                  <c:v>-1.3982875000007061E-4</c:v>
                </c:pt>
                <c:pt idx="16">
                  <c:v>-1.8789582234833351</c:v>
                </c:pt>
                <c:pt idx="17">
                  <c:v>-1.9306919002333329</c:v>
                </c:pt>
                <c:pt idx="18">
                  <c:v>-2.215749442333335</c:v>
                </c:pt>
                <c:pt idx="19">
                  <c:v>-2.4527034803666652</c:v>
                </c:pt>
                <c:pt idx="20">
                  <c:v>-2.493089825183334</c:v>
                </c:pt>
                <c:pt idx="21">
                  <c:v>-2.6264619810499998</c:v>
                </c:pt>
                <c:pt idx="22">
                  <c:v>-2.7154256840833342</c:v>
                </c:pt>
                <c:pt idx="23">
                  <c:v>-2.7544408701999998</c:v>
                </c:pt>
                <c:pt idx="24">
                  <c:v>-2.761741162933335</c:v>
                </c:pt>
                <c:pt idx="25">
                  <c:v>-2.6988694629999999</c:v>
                </c:pt>
                <c:pt idx="26">
                  <c:v>-2.46133467175</c:v>
                </c:pt>
                <c:pt idx="27">
                  <c:v>-2.3376805365333349</c:v>
                </c:pt>
                <c:pt idx="28">
                  <c:v>-1.4380024065499999</c:v>
                </c:pt>
                <c:pt idx="29">
                  <c:v>-2.4530844014333351</c:v>
                </c:pt>
                <c:pt idx="30">
                  <c:v>-2.145471099616667</c:v>
                </c:pt>
                <c:pt idx="31">
                  <c:v>-2.076635872133334</c:v>
                </c:pt>
                <c:pt idx="32">
                  <c:v>-1.774587050166665</c:v>
                </c:pt>
                <c:pt idx="33">
                  <c:v>-1.5555623638166649</c:v>
                </c:pt>
                <c:pt idx="34">
                  <c:v>-1.288810261416665</c:v>
                </c:pt>
                <c:pt idx="35">
                  <c:v>-0.94871791855000009</c:v>
                </c:pt>
                <c:pt idx="36">
                  <c:v>-0.74955231783333442</c:v>
                </c:pt>
                <c:pt idx="37">
                  <c:v>-0.49390688524999998</c:v>
                </c:pt>
                <c:pt idx="38">
                  <c:v>-0.26428065426666653</c:v>
                </c:pt>
                <c:pt idx="39">
                  <c:v>-3.5764954850000003E-2</c:v>
                </c:pt>
                <c:pt idx="40">
                  <c:v>-3.05304233333345E-4</c:v>
                </c:pt>
                <c:pt idx="41">
                  <c:v>0</c:v>
                </c:pt>
                <c:pt idx="42">
                  <c:v>0</c:v>
                </c:pt>
                <c:pt idx="43">
                  <c:v>3.2599999999999302E-4</c:v>
                </c:pt>
                <c:pt idx="44">
                  <c:v>-3.3799999999999109E-4</c:v>
                </c:pt>
                <c:pt idx="45">
                  <c:v>0</c:v>
                </c:pt>
                <c:pt idx="46">
                  <c:v>0</c:v>
                </c:pt>
                <c:pt idx="47">
                  <c:v>-1.199999999999812E-5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B8C-416A-AF76-2639CB973406}"/>
            </c:ext>
          </c:extLst>
        </c:ser>
        <c:ser>
          <c:idx val="55"/>
          <c:order val="55"/>
          <c:tx>
            <c:v>BES_TR1_six718_C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Net_kW!$BF$2:$BF$49</c:f>
              <c:numCache>
                <c:formatCode>#,##0.000</c:formatCode>
                <c:ptCount val="48"/>
                <c:pt idx="0">
                  <c:v>7.7666666667003392E-5</c:v>
                </c:pt>
                <c:pt idx="1">
                  <c:v>4.456666666670106E-4</c:v>
                </c:pt>
                <c:pt idx="2">
                  <c:v>-1.5400000000000141E-4</c:v>
                </c:pt>
                <c:pt idx="3">
                  <c:v>3.3499999999997421E-4</c:v>
                </c:pt>
                <c:pt idx="4">
                  <c:v>-3.5033333333328592E-4</c:v>
                </c:pt>
                <c:pt idx="5">
                  <c:v>1.3666666666700691E-4</c:v>
                </c:pt>
                <c:pt idx="6">
                  <c:v>-3.0600000000000072E-4</c:v>
                </c:pt>
                <c:pt idx="7">
                  <c:v>-2.5196796666659971E-4</c:v>
                </c:pt>
                <c:pt idx="8">
                  <c:v>-1.5076803333295699E-4</c:v>
                </c:pt>
                <c:pt idx="9">
                  <c:v>-2.150839499999932E-4</c:v>
                </c:pt>
                <c:pt idx="10">
                  <c:v>-1.7194143333351669E-4</c:v>
                </c:pt>
                <c:pt idx="11">
                  <c:v>-1.967411999994895E-4</c:v>
                </c:pt>
                <c:pt idx="12">
                  <c:v>3.9986108333235631E-4</c:v>
                </c:pt>
                <c:pt idx="13">
                  <c:v>3.0839543333388558E-4</c:v>
                </c:pt>
                <c:pt idx="14">
                  <c:v>2.6520445000000059E-4</c:v>
                </c:pt>
                <c:pt idx="15">
                  <c:v>5.3216250000098768E-5</c:v>
                </c:pt>
                <c:pt idx="16">
                  <c:v>-1.2352435000062559E-4</c:v>
                </c:pt>
                <c:pt idx="17">
                  <c:v>-4.1343343333288818E-4</c:v>
                </c:pt>
                <c:pt idx="18">
                  <c:v>1.2357233333337711E-4</c:v>
                </c:pt>
                <c:pt idx="19">
                  <c:v>-2.1644396666598009E-4</c:v>
                </c:pt>
                <c:pt idx="20">
                  <c:v>-2.1935364999980939E-4</c:v>
                </c:pt>
                <c:pt idx="21">
                  <c:v>9.2579550000193578E-5</c:v>
                </c:pt>
                <c:pt idx="22">
                  <c:v>-3.2055083332982459E-5</c:v>
                </c:pt>
                <c:pt idx="23">
                  <c:v>4.1248419999995178E-4</c:v>
                </c:pt>
                <c:pt idx="24">
                  <c:v>-4.1049840000106919E-4</c:v>
                </c:pt>
                <c:pt idx="25">
                  <c:v>-0.26072762700000002</c:v>
                </c:pt>
                <c:pt idx="26">
                  <c:v>-1.1867847640833331</c:v>
                </c:pt>
                <c:pt idx="27">
                  <c:v>-3.7279999998141022E-7</c:v>
                </c:pt>
                <c:pt idx="28">
                  <c:v>-2.217932833330494E-4</c:v>
                </c:pt>
                <c:pt idx="29">
                  <c:v>-4.7531490000007892E-4</c:v>
                </c:pt>
                <c:pt idx="30">
                  <c:v>-0.86505285221666695</c:v>
                </c:pt>
                <c:pt idx="31">
                  <c:v>-0.66563361186666747</c:v>
                </c:pt>
                <c:pt idx="32">
                  <c:v>-0.64103902149999947</c:v>
                </c:pt>
                <c:pt idx="33">
                  <c:v>2.7460598333362007E-4</c:v>
                </c:pt>
                <c:pt idx="34">
                  <c:v>5.4602250000646002E-5</c:v>
                </c:pt>
                <c:pt idx="35">
                  <c:v>-1.354412833300955E-4</c:v>
                </c:pt>
                <c:pt idx="36">
                  <c:v>4.2714949999944629E-4</c:v>
                </c:pt>
                <c:pt idx="37">
                  <c:v>1.1381108333299859E-4</c:v>
                </c:pt>
                <c:pt idx="38">
                  <c:v>1.6271960000008301E-4</c:v>
                </c:pt>
                <c:pt idx="39">
                  <c:v>-9.3139833329813904E-6</c:v>
                </c:pt>
                <c:pt idx="40">
                  <c:v>9.1723333295323783E-7</c:v>
                </c:pt>
                <c:pt idx="41">
                  <c:v>3.8766666666700811E-4</c:v>
                </c:pt>
                <c:pt idx="42">
                  <c:v>1.929999999999987E-4</c:v>
                </c:pt>
                <c:pt idx="43">
                  <c:v>1.7200000000006099E-4</c:v>
                </c:pt>
                <c:pt idx="44">
                  <c:v>2.3066666666669841E-4</c:v>
                </c:pt>
                <c:pt idx="45">
                  <c:v>-2.6199999999998452E-4</c:v>
                </c:pt>
                <c:pt idx="46">
                  <c:v>-1.789999999999847E-4</c:v>
                </c:pt>
                <c:pt idx="47">
                  <c:v>2.6900000000000529E-4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B8C-416A-AF76-2639CB973406}"/>
            </c:ext>
          </c:extLst>
        </c:ser>
        <c:ser>
          <c:idx val="56"/>
          <c:order val="56"/>
          <c:tx>
            <c:v>BES_TR1_six721_A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Net_kW!$BG$2:$BG$49</c:f>
              <c:numCache>
                <c:formatCode>#,##0.000</c:formatCode>
                <c:ptCount val="48"/>
                <c:pt idx="0">
                  <c:v>-2.9333333332992592E-5</c:v>
                </c:pt>
                <c:pt idx="1">
                  <c:v>1.7366666666698841E-4</c:v>
                </c:pt>
                <c:pt idx="2">
                  <c:v>5.4999999999999487E-5</c:v>
                </c:pt>
                <c:pt idx="3">
                  <c:v>-2.8600000000000852E-4</c:v>
                </c:pt>
                <c:pt idx="4">
                  <c:v>0</c:v>
                </c:pt>
                <c:pt idx="5">
                  <c:v>0</c:v>
                </c:pt>
                <c:pt idx="6">
                  <c:v>-2.7199999999999452E-4</c:v>
                </c:pt>
                <c:pt idx="7">
                  <c:v>3.1636536666698739E-4</c:v>
                </c:pt>
                <c:pt idx="8">
                  <c:v>-3.043469999995663E-5</c:v>
                </c:pt>
                <c:pt idx="9">
                  <c:v>1.215827166669847E-4</c:v>
                </c:pt>
                <c:pt idx="10">
                  <c:v>-2.608100000495162E-6</c:v>
                </c:pt>
                <c:pt idx="11">
                  <c:v>1.9925880000050761E-4</c:v>
                </c:pt>
                <c:pt idx="12">
                  <c:v>-4.0880558333394879E-4</c:v>
                </c:pt>
                <c:pt idx="13">
                  <c:v>-1.006712333294635E-4</c:v>
                </c:pt>
                <c:pt idx="14">
                  <c:v>-2.2646221666999811E-4</c:v>
                </c:pt>
                <c:pt idx="15">
                  <c:v>-4.4395041666689389E-4</c:v>
                </c:pt>
                <c:pt idx="16">
                  <c:v>4.9597564999942501E-4</c:v>
                </c:pt>
                <c:pt idx="17">
                  <c:v>4.052332333330938E-4</c:v>
                </c:pt>
                <c:pt idx="18">
                  <c:v>4.0090566666702021E-4</c:v>
                </c:pt>
                <c:pt idx="19">
                  <c:v>2.982227000010162E-4</c:v>
                </c:pt>
                <c:pt idx="20">
                  <c:v>-2.1468698333304559E-4</c:v>
                </c:pt>
                <c:pt idx="21">
                  <c:v>-7.2087116666841311E-5</c:v>
                </c:pt>
                <c:pt idx="22">
                  <c:v>-3.4972175000003158E-4</c:v>
                </c:pt>
                <c:pt idx="23">
                  <c:v>1.844842000000568E-4</c:v>
                </c:pt>
                <c:pt idx="24">
                  <c:v>4.3263493333189912E-4</c:v>
                </c:pt>
                <c:pt idx="25">
                  <c:v>-2.5527000000025168E-5</c:v>
                </c:pt>
                <c:pt idx="26">
                  <c:v>-3.9403075000013499E-4</c:v>
                </c:pt>
                <c:pt idx="27">
                  <c:v>6.1827200000030835E-5</c:v>
                </c:pt>
                <c:pt idx="28">
                  <c:v>3.9154005000006931E-4</c:v>
                </c:pt>
                <c:pt idx="29">
                  <c:v>2.9268509999993969E-4</c:v>
                </c:pt>
                <c:pt idx="30">
                  <c:v>4.9048111666996283E-4</c:v>
                </c:pt>
                <c:pt idx="31">
                  <c:v>-3.5710411866666431E-2</c:v>
                </c:pt>
                <c:pt idx="32">
                  <c:v>-0.55551402149999951</c:v>
                </c:pt>
                <c:pt idx="33">
                  <c:v>-0.35143239401666537</c:v>
                </c:pt>
                <c:pt idx="34">
                  <c:v>4.6935583330465207E-5</c:v>
                </c:pt>
                <c:pt idx="35">
                  <c:v>-1.8060795000114649E-4</c:v>
                </c:pt>
                <c:pt idx="36">
                  <c:v>-8.9650500000537647E-5</c:v>
                </c:pt>
                <c:pt idx="37">
                  <c:v>-4.9918891666694831E-4</c:v>
                </c:pt>
                <c:pt idx="38">
                  <c:v>4.3405293332998701E-4</c:v>
                </c:pt>
                <c:pt idx="39">
                  <c:v>3.093526833334026E-4</c:v>
                </c:pt>
                <c:pt idx="40">
                  <c:v>3.6458389999999291E-4</c:v>
                </c:pt>
                <c:pt idx="41">
                  <c:v>4.9866666666659176E-4</c:v>
                </c:pt>
                <c:pt idx="42">
                  <c:v>3.4566666666699391E-4</c:v>
                </c:pt>
                <c:pt idx="43">
                  <c:v>-4.7866666667006902E-4</c:v>
                </c:pt>
                <c:pt idx="44">
                  <c:v>0</c:v>
                </c:pt>
                <c:pt idx="45">
                  <c:v>3.3466666666698291E-4</c:v>
                </c:pt>
                <c:pt idx="46">
                  <c:v>-3.7800000000000328E-4</c:v>
                </c:pt>
                <c:pt idx="47">
                  <c:v>-3.1799999999999878E-4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B8C-416A-AF76-2639CB973406}"/>
            </c:ext>
          </c:extLst>
        </c:ser>
        <c:ser>
          <c:idx val="57"/>
          <c:order val="57"/>
          <c:tx>
            <c:v>BES_TR1_six723_B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Net_kW!$BH$2:$BH$49</c:f>
              <c:numCache>
                <c:formatCode>#,##0.000</c:formatCode>
                <c:ptCount val="48"/>
                <c:pt idx="0">
                  <c:v>2.9466666666699842E-4</c:v>
                </c:pt>
                <c:pt idx="1">
                  <c:v>2.2333333333329761E-4</c:v>
                </c:pt>
                <c:pt idx="2">
                  <c:v>-2.036666666669906E-4</c:v>
                </c:pt>
                <c:pt idx="3">
                  <c:v>0</c:v>
                </c:pt>
                <c:pt idx="4">
                  <c:v>7.299999999998974E-5</c:v>
                </c:pt>
                <c:pt idx="5">
                  <c:v>-4.8333333333011597E-5</c:v>
                </c:pt>
                <c:pt idx="6">
                  <c:v>-4.3200000000000183E-4</c:v>
                </c:pt>
                <c:pt idx="7">
                  <c:v>-2.6580346666668642E-4</c:v>
                </c:pt>
                <c:pt idx="8">
                  <c:v>-4.5282586666619412E-4</c:v>
                </c:pt>
                <c:pt idx="9">
                  <c:v>-6.8557200000013419E-5</c:v>
                </c:pt>
                <c:pt idx="10">
                  <c:v>1.7637839999901089E-4</c:v>
                </c:pt>
                <c:pt idx="11">
                  <c:v>1.420234666681397E-4</c:v>
                </c:pt>
                <c:pt idx="12">
                  <c:v>-1.199260000011027E-4</c:v>
                </c:pt>
                <c:pt idx="13">
                  <c:v>4.8216560000113867E-4</c:v>
                </c:pt>
                <c:pt idx="14">
                  <c:v>4.8721186666655919E-4</c:v>
                </c:pt>
                <c:pt idx="15">
                  <c:v>3.8391000000026493E-4</c:v>
                </c:pt>
                <c:pt idx="16">
                  <c:v>-2.0954747316000009</c:v>
                </c:pt>
                <c:pt idx="17">
                  <c:v>-2.465937600266666</c:v>
                </c:pt>
                <c:pt idx="18">
                  <c:v>-2.5813420293333351</c:v>
                </c:pt>
                <c:pt idx="19">
                  <c:v>-2.8415927394666651</c:v>
                </c:pt>
                <c:pt idx="20">
                  <c:v>-3.0091382764000012</c:v>
                </c:pt>
                <c:pt idx="21">
                  <c:v>-3.1021551212</c:v>
                </c:pt>
                <c:pt idx="22">
                  <c:v>-3.1343779246666679</c:v>
                </c:pt>
                <c:pt idx="23">
                  <c:v>-3.2049487087999999</c:v>
                </c:pt>
                <c:pt idx="24">
                  <c:v>-3.3749106624000009</c:v>
                </c:pt>
                <c:pt idx="25">
                  <c:v>-3.2178650053333331</c:v>
                </c:pt>
                <c:pt idx="26">
                  <c:v>-3.2255904819999999</c:v>
                </c:pt>
                <c:pt idx="27">
                  <c:v>-3.158334327466668</c:v>
                </c:pt>
                <c:pt idx="28">
                  <c:v>-2.8315848932000001</c:v>
                </c:pt>
                <c:pt idx="29">
                  <c:v>-2.7319348397333352</c:v>
                </c:pt>
                <c:pt idx="30">
                  <c:v>-2.6241284947999999</c:v>
                </c:pt>
                <c:pt idx="31">
                  <c:v>-2.2486771872000011</c:v>
                </c:pt>
                <c:pt idx="32">
                  <c:v>-2.0486833906666648</c:v>
                </c:pt>
                <c:pt idx="33">
                  <c:v>-1.7710314395999991</c:v>
                </c:pt>
                <c:pt idx="34">
                  <c:v>-1.1606970606666649</c:v>
                </c:pt>
                <c:pt idx="35">
                  <c:v>-1.070701887866667</c:v>
                </c:pt>
                <c:pt idx="36">
                  <c:v>-0.72736180133333506</c:v>
                </c:pt>
                <c:pt idx="37">
                  <c:v>-0.26294372599999999</c:v>
                </c:pt>
                <c:pt idx="38">
                  <c:v>1.2758559999981499E-4</c:v>
                </c:pt>
                <c:pt idx="39">
                  <c:v>1.847182666669944E-4</c:v>
                </c:pt>
                <c:pt idx="40">
                  <c:v>2.645570666672814E-4</c:v>
                </c:pt>
                <c:pt idx="41">
                  <c:v>-4.3533333333301011E-4</c:v>
                </c:pt>
                <c:pt idx="42">
                  <c:v>6.7333333332975087E-5</c:v>
                </c:pt>
                <c:pt idx="43">
                  <c:v>2.8399999999999259E-4</c:v>
                </c:pt>
                <c:pt idx="44">
                  <c:v>-8.1999999999998741E-5</c:v>
                </c:pt>
                <c:pt idx="45">
                  <c:v>-4.0566666666699841E-4</c:v>
                </c:pt>
                <c:pt idx="46">
                  <c:v>0</c:v>
                </c:pt>
                <c:pt idx="47">
                  <c:v>1.7966666666700831E-4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B8C-416A-AF76-2639CB973406}"/>
            </c:ext>
          </c:extLst>
        </c:ser>
        <c:ser>
          <c:idx val="58"/>
          <c:order val="58"/>
          <c:tx>
            <c:v>BES_TR1_six784_B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Net_kW!$BI$2:$BI$49</c:f>
              <c:numCache>
                <c:formatCode>#,##0.000</c:formatCode>
                <c:ptCount val="48"/>
                <c:pt idx="0">
                  <c:v>6.2000000000006494E-5</c:v>
                </c:pt>
                <c:pt idx="1">
                  <c:v>1.506666666670764E-4</c:v>
                </c:pt>
                <c:pt idx="2">
                  <c:v>0</c:v>
                </c:pt>
                <c:pt idx="3">
                  <c:v>2.58666666667004E-4</c:v>
                </c:pt>
                <c:pt idx="4">
                  <c:v>-3.4266666666659529E-4</c:v>
                </c:pt>
                <c:pt idx="5">
                  <c:v>0</c:v>
                </c:pt>
                <c:pt idx="6">
                  <c:v>-3.566666666666995E-4</c:v>
                </c:pt>
                <c:pt idx="7">
                  <c:v>-3.079359333330034E-4</c:v>
                </c:pt>
                <c:pt idx="8">
                  <c:v>-3.0086939999990429E-4</c:v>
                </c:pt>
                <c:pt idx="9">
                  <c:v>2.131654333333288E-4</c:v>
                </c:pt>
                <c:pt idx="10">
                  <c:v>2.674504666660138E-4</c:v>
                </c:pt>
                <c:pt idx="11">
                  <c:v>2.3585093333439169E-4</c:v>
                </c:pt>
                <c:pt idx="12">
                  <c:v>3.4772216666556499E-4</c:v>
                </c:pt>
                <c:pt idx="13">
                  <c:v>-3.4787579999906448E-4</c:v>
                </c:pt>
                <c:pt idx="14">
                  <c:v>4.8840890000012571E-4</c:v>
                </c:pt>
                <c:pt idx="15">
                  <c:v>3.0432499999788479E-5</c:v>
                </c:pt>
                <c:pt idx="16">
                  <c:v>-3.3104870000122411E-4</c:v>
                </c:pt>
                <c:pt idx="17">
                  <c:v>-1.212754866866667</c:v>
                </c:pt>
                <c:pt idx="18">
                  <c:v>-1.769361522000001</c:v>
                </c:pt>
                <c:pt idx="19">
                  <c:v>-1.300177221266666</c:v>
                </c:pt>
                <c:pt idx="20">
                  <c:v>-2.291777373966668</c:v>
                </c:pt>
                <c:pt idx="21">
                  <c:v>-2.3117215075666668</c:v>
                </c:pt>
                <c:pt idx="22">
                  <c:v>-2.400177176833334</c:v>
                </c:pt>
                <c:pt idx="23">
                  <c:v>-2.1757939649333329</c:v>
                </c:pt>
                <c:pt idx="24">
                  <c:v>-1.560467663466671</c:v>
                </c:pt>
                <c:pt idx="25">
                  <c:v>-2.5151042540000002</c:v>
                </c:pt>
                <c:pt idx="26">
                  <c:v>-2.4533124614999999</c:v>
                </c:pt>
                <c:pt idx="27">
                  <c:v>-2.2184610122666681</c:v>
                </c:pt>
                <c:pt idx="28">
                  <c:v>-2.1216845199000001</c:v>
                </c:pt>
                <c:pt idx="29">
                  <c:v>-1.9061226298000009</c:v>
                </c:pt>
                <c:pt idx="30">
                  <c:v>-1.722199704433333</c:v>
                </c:pt>
                <c:pt idx="31">
                  <c:v>-1.3723032237333339</c:v>
                </c:pt>
                <c:pt idx="32">
                  <c:v>-3.4837633332890361E-4</c:v>
                </c:pt>
                <c:pt idx="33">
                  <c:v>-0.80599678803333208</c:v>
                </c:pt>
                <c:pt idx="34">
                  <c:v>-0.92449779549999911</c:v>
                </c:pt>
                <c:pt idx="35">
                  <c:v>5.5784099999955927E-5</c:v>
                </c:pt>
                <c:pt idx="36">
                  <c:v>-4.1403433333114798E-4</c:v>
                </c:pt>
                <c:pt idx="37">
                  <c:v>-4.5404449999996658E-4</c:v>
                </c:pt>
                <c:pt idx="38">
                  <c:v>4.8439200000090221E-5</c:v>
                </c:pt>
                <c:pt idx="39">
                  <c:v>3.2203869999991591E-4</c:v>
                </c:pt>
                <c:pt idx="40">
                  <c:v>4.3450113333398649E-4</c:v>
                </c:pt>
                <c:pt idx="41">
                  <c:v>-2.8066666666604068E-4</c:v>
                </c:pt>
                <c:pt idx="42">
                  <c:v>2.9999999999996701E-4</c:v>
                </c:pt>
                <c:pt idx="43">
                  <c:v>-8.7999999999976986E-5</c:v>
                </c:pt>
                <c:pt idx="44">
                  <c:v>0</c:v>
                </c:pt>
                <c:pt idx="45">
                  <c:v>-8.4000000000000741E-5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B8C-416A-AF76-2639CB973406}"/>
            </c:ext>
          </c:extLst>
        </c:ser>
        <c:ser>
          <c:idx val="59"/>
          <c:order val="59"/>
          <c:tx>
            <c:v>BES_TR1_six90_B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Net_kW!$BJ$2:$BJ$49</c:f>
              <c:numCache>
                <c:formatCode>#,##0.000</c:formatCode>
                <c:ptCount val="48"/>
                <c:pt idx="0">
                  <c:v>-5.6666666670146526E-6</c:v>
                </c:pt>
                <c:pt idx="1">
                  <c:v>-4.3666666666669629E-4</c:v>
                </c:pt>
                <c:pt idx="2">
                  <c:v>2.64333333333297E-4</c:v>
                </c:pt>
                <c:pt idx="3">
                  <c:v>-4.3500000000001871E-4</c:v>
                </c:pt>
                <c:pt idx="4">
                  <c:v>0</c:v>
                </c:pt>
                <c:pt idx="5">
                  <c:v>-2.4199999999999219E-4</c:v>
                </c:pt>
                <c:pt idx="6">
                  <c:v>5.7333333333298153E-5</c:v>
                </c:pt>
                <c:pt idx="7">
                  <c:v>2.9359826666665312E-4</c:v>
                </c:pt>
                <c:pt idx="8">
                  <c:v>-1.665795999995778E-4</c:v>
                </c:pt>
                <c:pt idx="9">
                  <c:v>-1.721119333330011E-4</c:v>
                </c:pt>
                <c:pt idx="10">
                  <c:v>3.4385586666599299E-4</c:v>
                </c:pt>
                <c:pt idx="11">
                  <c:v>-1.13654933332985E-4</c:v>
                </c:pt>
                <c:pt idx="12">
                  <c:v>4.0703666665975469E-5</c:v>
                </c:pt>
                <c:pt idx="13">
                  <c:v>4.314161333340838E-4</c:v>
                </c:pt>
                <c:pt idx="14">
                  <c:v>-4.523940666669723E-4</c:v>
                </c:pt>
                <c:pt idx="15">
                  <c:v>-3.1304499999984531E-4</c:v>
                </c:pt>
                <c:pt idx="16">
                  <c:v>-3.3536580000104182E-4</c:v>
                </c:pt>
                <c:pt idx="17">
                  <c:v>-3.2546680000011818E-4</c:v>
                </c:pt>
                <c:pt idx="18">
                  <c:v>-4.8681333334021908E-5</c:v>
                </c:pt>
                <c:pt idx="19">
                  <c:v>3.9596360000396241E-4</c:v>
                </c:pt>
                <c:pt idx="20">
                  <c:v>-3.2780486666394992E-4</c:v>
                </c:pt>
                <c:pt idx="21">
                  <c:v>2.7077273332976048E-4</c:v>
                </c:pt>
                <c:pt idx="22">
                  <c:v>-2.6529566666688709E-4</c:v>
                </c:pt>
                <c:pt idx="23">
                  <c:v>-1.354399999931033E-6</c:v>
                </c:pt>
                <c:pt idx="24">
                  <c:v>1.193354666659818E-4</c:v>
                </c:pt>
                <c:pt idx="25">
                  <c:v>2.583066667022349E-5</c:v>
                </c:pt>
                <c:pt idx="26">
                  <c:v>3.5758999999968573E-5</c:v>
                </c:pt>
                <c:pt idx="27">
                  <c:v>-3.9316373333408983E-4</c:v>
                </c:pt>
                <c:pt idx="28">
                  <c:v>3.4720066667048848E-5</c:v>
                </c:pt>
                <c:pt idx="29">
                  <c:v>3.8091346666591091E-4</c:v>
                </c:pt>
                <c:pt idx="30">
                  <c:v>-0.77944091406666705</c:v>
                </c:pt>
                <c:pt idx="31">
                  <c:v>-1.166791926933334</c:v>
                </c:pt>
                <c:pt idx="32">
                  <c:v>-0.97916769533333292</c:v>
                </c:pt>
                <c:pt idx="33">
                  <c:v>-0.68893863646666598</c:v>
                </c:pt>
                <c:pt idx="34">
                  <c:v>-0.64359186366666599</c:v>
                </c:pt>
                <c:pt idx="35">
                  <c:v>-0.48733147726666698</c:v>
                </c:pt>
                <c:pt idx="36">
                  <c:v>-0.32128646733333399</c:v>
                </c:pt>
                <c:pt idx="37">
                  <c:v>-0.189361363</c:v>
                </c:pt>
                <c:pt idx="38">
                  <c:v>-0.1311603738666666</c:v>
                </c:pt>
                <c:pt idx="39">
                  <c:v>2.4935913333298809E-4</c:v>
                </c:pt>
                <c:pt idx="40">
                  <c:v>1.181118666666522E-4</c:v>
                </c:pt>
                <c:pt idx="41">
                  <c:v>4.3633333333301111E-4</c:v>
                </c:pt>
                <c:pt idx="42">
                  <c:v>3.7900000000000428E-4</c:v>
                </c:pt>
                <c:pt idx="43">
                  <c:v>1.3999999999986251E-5</c:v>
                </c:pt>
                <c:pt idx="44">
                  <c:v>-1.8466666666699941E-4</c:v>
                </c:pt>
                <c:pt idx="45">
                  <c:v>0</c:v>
                </c:pt>
                <c:pt idx="46">
                  <c:v>-4.9300000000000732E-4</c:v>
                </c:pt>
                <c:pt idx="47">
                  <c:v>3.2233333333303582E-4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B8C-416A-AF76-2639CB973406}"/>
            </c:ext>
          </c:extLst>
        </c:ser>
        <c:ser>
          <c:idx val="60"/>
          <c:order val="60"/>
          <c:tx>
            <c:v>BES_TR1_six807_A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Net_kW!$BK$2:$BK$49</c:f>
              <c:numCache>
                <c:formatCode>#,##0.000</c:formatCode>
                <c:ptCount val="48"/>
                <c:pt idx="0">
                  <c:v>-4.6666666670136534E-6</c:v>
                </c:pt>
                <c:pt idx="1">
                  <c:v>0</c:v>
                </c:pt>
                <c:pt idx="2">
                  <c:v>0</c:v>
                </c:pt>
                <c:pt idx="3">
                  <c:v>-4.6666666670136534E-6</c:v>
                </c:pt>
                <c:pt idx="4">
                  <c:v>0</c:v>
                </c:pt>
                <c:pt idx="5">
                  <c:v>-4.589999999999872E-4</c:v>
                </c:pt>
                <c:pt idx="6">
                  <c:v>4.5433333333329973E-4</c:v>
                </c:pt>
                <c:pt idx="7">
                  <c:v>-3.9735066666324308E-5</c:v>
                </c:pt>
                <c:pt idx="8">
                  <c:v>3.9087066666387837E-5</c:v>
                </c:pt>
                <c:pt idx="9">
                  <c:v>-2.8677860000000249E-4</c:v>
                </c:pt>
                <c:pt idx="10">
                  <c:v>3.2985586666597899E-4</c:v>
                </c:pt>
                <c:pt idx="11">
                  <c:v>-2.9665493333300152E-4</c:v>
                </c:pt>
                <c:pt idx="12">
                  <c:v>4.0370366666597768E-4</c:v>
                </c:pt>
                <c:pt idx="13">
                  <c:v>3.5749466667067693E-5</c:v>
                </c:pt>
                <c:pt idx="14">
                  <c:v>1.092726000000432E-4</c:v>
                </c:pt>
                <c:pt idx="15">
                  <c:v>-4.5304499999987419E-4</c:v>
                </c:pt>
                <c:pt idx="16">
                  <c:v>-1.6703246666704971E-4</c:v>
                </c:pt>
                <c:pt idx="17">
                  <c:v>2.458665333331389E-4</c:v>
                </c:pt>
                <c:pt idx="18">
                  <c:v>2.698533333300723E-5</c:v>
                </c:pt>
                <c:pt idx="19">
                  <c:v>-0.65121570306666587</c:v>
                </c:pt>
                <c:pt idx="20">
                  <c:v>-1.3779344715333339</c:v>
                </c:pt>
                <c:pt idx="21">
                  <c:v>-1.501437227266667</c:v>
                </c:pt>
                <c:pt idx="22">
                  <c:v>-1.4167182956666671</c:v>
                </c:pt>
                <c:pt idx="23">
                  <c:v>-1.5926943544000001</c:v>
                </c:pt>
                <c:pt idx="24">
                  <c:v>-1.542380664533334</c:v>
                </c:pt>
                <c:pt idx="25">
                  <c:v>-0.77547483599999989</c:v>
                </c:pt>
                <c:pt idx="26">
                  <c:v>-0.906358574333333</c:v>
                </c:pt>
                <c:pt idx="27">
                  <c:v>-1.5143954970666671</c:v>
                </c:pt>
                <c:pt idx="28">
                  <c:v>-1.3510302799333329</c:v>
                </c:pt>
                <c:pt idx="29">
                  <c:v>-1.3840950865333339</c:v>
                </c:pt>
                <c:pt idx="30">
                  <c:v>-1.240375580733333</c:v>
                </c:pt>
                <c:pt idx="31">
                  <c:v>-0.68797159360000093</c:v>
                </c:pt>
                <c:pt idx="32">
                  <c:v>-0.67001669533333286</c:v>
                </c:pt>
                <c:pt idx="33">
                  <c:v>-4.6263646666622188E-4</c:v>
                </c:pt>
                <c:pt idx="34">
                  <c:v>-2.6586366666592198E-4</c:v>
                </c:pt>
                <c:pt idx="35">
                  <c:v>2.5885606666695149E-4</c:v>
                </c:pt>
                <c:pt idx="36">
                  <c:v>-1.6246733333402649E-4</c:v>
                </c:pt>
                <c:pt idx="37">
                  <c:v>-3.1616300000000819E-4</c:v>
                </c:pt>
                <c:pt idx="38">
                  <c:v>-9.4707199996602043E-5</c:v>
                </c:pt>
                <c:pt idx="39">
                  <c:v>3.9235913332991151E-4</c:v>
                </c:pt>
                <c:pt idx="40">
                  <c:v>0.22060244519999969</c:v>
                </c:pt>
                <c:pt idx="41">
                  <c:v>0.83949300000000004</c:v>
                </c:pt>
                <c:pt idx="42">
                  <c:v>0.843878666666666</c:v>
                </c:pt>
                <c:pt idx="43">
                  <c:v>0.83569233333333404</c:v>
                </c:pt>
                <c:pt idx="44">
                  <c:v>0.55227633333333304</c:v>
                </c:pt>
                <c:pt idx="45">
                  <c:v>0.455141666666667</c:v>
                </c:pt>
                <c:pt idx="46">
                  <c:v>0.45371166666666601</c:v>
                </c:pt>
                <c:pt idx="47">
                  <c:v>0.687666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B8C-416A-AF76-2639CB973406}"/>
            </c:ext>
          </c:extLst>
        </c:ser>
        <c:ser>
          <c:idx val="61"/>
          <c:order val="61"/>
          <c:tx>
            <c:v>BES_TR1_six852_B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Net_kW!$BL$2:$BL$49</c:f>
              <c:numCache>
                <c:formatCode>#,##0.000</c:formatCode>
                <c:ptCount val="48"/>
                <c:pt idx="0">
                  <c:v>-1.4533333333299761E-4</c:v>
                </c:pt>
                <c:pt idx="1">
                  <c:v>-2.403333333339808E-4</c:v>
                </c:pt>
                <c:pt idx="2">
                  <c:v>-2.333333333329746E-4</c:v>
                </c:pt>
                <c:pt idx="3">
                  <c:v>1.6299999999999651E-4</c:v>
                </c:pt>
                <c:pt idx="4">
                  <c:v>-3.1633333333300212E-4</c:v>
                </c:pt>
                <c:pt idx="5">
                  <c:v>-6.3333333332998842E-5</c:v>
                </c:pt>
                <c:pt idx="6">
                  <c:v>-4.9733333333301655E-4</c:v>
                </c:pt>
                <c:pt idx="7">
                  <c:v>2.27196533333307E-4</c:v>
                </c:pt>
                <c:pt idx="8">
                  <c:v>-1.6815920000021189E-4</c:v>
                </c:pt>
                <c:pt idx="9">
                  <c:v>-1.878905333329989E-4</c:v>
                </c:pt>
                <c:pt idx="10">
                  <c:v>-8.7288266667984171E-5</c:v>
                </c:pt>
                <c:pt idx="11">
                  <c:v>6.3023466667977424E-5</c:v>
                </c:pt>
                <c:pt idx="12">
                  <c:v>8.6407333331872671E-5</c:v>
                </c:pt>
                <c:pt idx="13">
                  <c:v>-1.268343999987209E-4</c:v>
                </c:pt>
                <c:pt idx="14">
                  <c:v>-1.971214666669496E-4</c:v>
                </c:pt>
                <c:pt idx="15">
                  <c:v>2.8424333333321172E-4</c:v>
                </c:pt>
                <c:pt idx="16">
                  <c:v>-1.0010307316000009</c:v>
                </c:pt>
                <c:pt idx="17">
                  <c:v>-2.454601600266666</c:v>
                </c:pt>
                <c:pt idx="18">
                  <c:v>-2.1883980293333338</c:v>
                </c:pt>
                <c:pt idx="19">
                  <c:v>-2.8735600727999979</c:v>
                </c:pt>
                <c:pt idx="20">
                  <c:v>-3.0106232764000009</c:v>
                </c:pt>
                <c:pt idx="21">
                  <c:v>-2.8982097878666671</c:v>
                </c:pt>
                <c:pt idx="22">
                  <c:v>-3.322839591333334</c:v>
                </c:pt>
                <c:pt idx="23">
                  <c:v>-3.2513407087999999</c:v>
                </c:pt>
                <c:pt idx="24">
                  <c:v>-3.0990899957333351</c:v>
                </c:pt>
                <c:pt idx="25">
                  <c:v>-3.3633216720000001</c:v>
                </c:pt>
                <c:pt idx="26">
                  <c:v>-2.9386798153333329</c:v>
                </c:pt>
                <c:pt idx="27">
                  <c:v>-3.0901946608000008</c:v>
                </c:pt>
                <c:pt idx="28">
                  <c:v>-2.8353888932000002</c:v>
                </c:pt>
                <c:pt idx="29">
                  <c:v>-2.347711173066668</c:v>
                </c:pt>
                <c:pt idx="30">
                  <c:v>-2.5148118281333329</c:v>
                </c:pt>
                <c:pt idx="31">
                  <c:v>-1.2066875205333381</c:v>
                </c:pt>
                <c:pt idx="32">
                  <c:v>-1.7908850573333319</c:v>
                </c:pt>
                <c:pt idx="33">
                  <c:v>-1.480338606266665</c:v>
                </c:pt>
                <c:pt idx="34">
                  <c:v>-0.99801239399999786</c:v>
                </c:pt>
                <c:pt idx="35">
                  <c:v>-0.76037795453333312</c:v>
                </c:pt>
                <c:pt idx="36">
                  <c:v>-0.27582526800000112</c:v>
                </c:pt>
                <c:pt idx="37">
                  <c:v>-0.37669779266666698</c:v>
                </c:pt>
                <c:pt idx="38">
                  <c:v>-8.0548810666661863E-3</c:v>
                </c:pt>
                <c:pt idx="39">
                  <c:v>4.8605159999992598E-4</c:v>
                </c:pt>
                <c:pt idx="40">
                  <c:v>-1.707762666667278E-4</c:v>
                </c:pt>
                <c:pt idx="41">
                  <c:v>-4.5999999999990493E-5</c:v>
                </c:pt>
                <c:pt idx="42">
                  <c:v>-1.8766666666691911E-4</c:v>
                </c:pt>
                <c:pt idx="43">
                  <c:v>3.873333333339612E-4</c:v>
                </c:pt>
                <c:pt idx="44">
                  <c:v>2.7066666666697442E-4</c:v>
                </c:pt>
                <c:pt idx="45">
                  <c:v>1.3766666666703559E-4</c:v>
                </c:pt>
                <c:pt idx="46">
                  <c:v>-3.9899999999992719E-4</c:v>
                </c:pt>
                <c:pt idx="47">
                  <c:v>0.44442733333333312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B8C-416A-AF76-2639CB973406}"/>
            </c:ext>
          </c:extLst>
        </c:ser>
        <c:ser>
          <c:idx val="62"/>
          <c:order val="62"/>
          <c:tx>
            <c:v>BES_TR1_six860_C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Net_kW!$BM$2:$BM$49</c:f>
              <c:numCache>
                <c:formatCode>#,##0.000</c:formatCode>
                <c:ptCount val="48"/>
                <c:pt idx="0">
                  <c:v>-2.24000000000002E-4</c:v>
                </c:pt>
                <c:pt idx="1">
                  <c:v>-3.0533333333299112E-4</c:v>
                </c:pt>
                <c:pt idx="2">
                  <c:v>-4.1333333333298811E-4</c:v>
                </c:pt>
                <c:pt idx="3">
                  <c:v>1.3333333333004351E-5</c:v>
                </c:pt>
                <c:pt idx="4">
                  <c:v>0.1686</c:v>
                </c:pt>
                <c:pt idx="5">
                  <c:v>5.7000000000000002E-2</c:v>
                </c:pt>
                <c:pt idx="6">
                  <c:v>0.223613333333334</c:v>
                </c:pt>
                <c:pt idx="7">
                  <c:v>5.3559196533333332E-2</c:v>
                </c:pt>
                <c:pt idx="8">
                  <c:v>7.2655074666667999E-3</c:v>
                </c:pt>
                <c:pt idx="9">
                  <c:v>-1.3355720000002291E-4</c:v>
                </c:pt>
                <c:pt idx="10">
                  <c:v>-1.6695493333401809E-4</c:v>
                </c:pt>
                <c:pt idx="11">
                  <c:v>1.420234666680287E-4</c:v>
                </c:pt>
                <c:pt idx="12">
                  <c:v>-3.0525933333414018E-4</c:v>
                </c:pt>
                <c:pt idx="13">
                  <c:v>2.5883226666811859E-4</c:v>
                </c:pt>
                <c:pt idx="14">
                  <c:v>4.0545199999852948E-5</c:v>
                </c:pt>
                <c:pt idx="15">
                  <c:v>2.539100000000794E-4</c:v>
                </c:pt>
                <c:pt idx="16">
                  <c:v>-0.82159606493333515</c:v>
                </c:pt>
                <c:pt idx="17">
                  <c:v>-2.4796509335999999</c:v>
                </c:pt>
                <c:pt idx="18">
                  <c:v>-2.5449620293333339</c:v>
                </c:pt>
                <c:pt idx="19">
                  <c:v>-2.9093834061333319</c:v>
                </c:pt>
                <c:pt idx="20">
                  <c:v>-3.0830089430666678</c:v>
                </c:pt>
                <c:pt idx="21">
                  <c:v>-3.1202784545333331</c:v>
                </c:pt>
                <c:pt idx="22">
                  <c:v>-3.2673912580000009</c:v>
                </c:pt>
                <c:pt idx="23">
                  <c:v>-3.3725667088</c:v>
                </c:pt>
                <c:pt idx="24">
                  <c:v>-3.3854813290666681</c:v>
                </c:pt>
                <c:pt idx="25">
                  <c:v>-3.1947083386666661</c:v>
                </c:pt>
                <c:pt idx="26">
                  <c:v>-3.280158482</c:v>
                </c:pt>
                <c:pt idx="27">
                  <c:v>-3.1563343274666682</c:v>
                </c:pt>
                <c:pt idx="28">
                  <c:v>-2.8418945598666658</c:v>
                </c:pt>
                <c:pt idx="29">
                  <c:v>-2.8211901730666682</c:v>
                </c:pt>
                <c:pt idx="30">
                  <c:v>-2.5463951614666671</c:v>
                </c:pt>
                <c:pt idx="31">
                  <c:v>-2.1019718538666678</c:v>
                </c:pt>
                <c:pt idx="32">
                  <c:v>-1.930640057333332</c:v>
                </c:pt>
                <c:pt idx="33">
                  <c:v>-1.318145606266665</c:v>
                </c:pt>
                <c:pt idx="34">
                  <c:v>-1.223717727333332</c:v>
                </c:pt>
                <c:pt idx="35">
                  <c:v>-0.87912962120000004</c:v>
                </c:pt>
                <c:pt idx="36">
                  <c:v>-0.40984893466666811</c:v>
                </c:pt>
                <c:pt idx="37">
                  <c:v>-0.21674072600000011</c:v>
                </c:pt>
                <c:pt idx="38">
                  <c:v>-0.1033594144000002</c:v>
                </c:pt>
                <c:pt idx="39">
                  <c:v>3.1005160000002752E-4</c:v>
                </c:pt>
                <c:pt idx="40">
                  <c:v>-1.14442933333625E-4</c:v>
                </c:pt>
                <c:pt idx="41">
                  <c:v>1.6933333333402081E-4</c:v>
                </c:pt>
                <c:pt idx="42">
                  <c:v>-4.6200000000001801E-4</c:v>
                </c:pt>
                <c:pt idx="43">
                  <c:v>-1.9199999999997E-4</c:v>
                </c:pt>
                <c:pt idx="44">
                  <c:v>1.9333333333293459E-4</c:v>
                </c:pt>
                <c:pt idx="45">
                  <c:v>0</c:v>
                </c:pt>
                <c:pt idx="46">
                  <c:v>-3.8666666666600791E-4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B8C-416A-AF76-2639CB973406}"/>
            </c:ext>
          </c:extLst>
        </c:ser>
        <c:ser>
          <c:idx val="63"/>
          <c:order val="63"/>
          <c:tx>
            <c:v>BES_TR1_six869_C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Net_kW!$BN$2:$BN$49</c:f>
              <c:numCache>
                <c:formatCode>#,##0.000</c:formatCode>
                <c:ptCount val="48"/>
                <c:pt idx="0">
                  <c:v>9.9999999999988987E-5</c:v>
                </c:pt>
                <c:pt idx="1">
                  <c:v>8.8976666666667037E-2</c:v>
                </c:pt>
                <c:pt idx="2">
                  <c:v>7.7342666666666698E-2</c:v>
                </c:pt>
                <c:pt idx="3">
                  <c:v>0.14737066666666701</c:v>
                </c:pt>
                <c:pt idx="4">
                  <c:v>0.146942666666667</c:v>
                </c:pt>
                <c:pt idx="5">
                  <c:v>0.14153499999999999</c:v>
                </c:pt>
                <c:pt idx="6">
                  <c:v>0.15277833333333299</c:v>
                </c:pt>
                <c:pt idx="7">
                  <c:v>5.055919653333333E-2</c:v>
                </c:pt>
                <c:pt idx="8">
                  <c:v>9.7208174133333797E-2</c:v>
                </c:pt>
                <c:pt idx="9">
                  <c:v>-2.028905333329861E-4</c:v>
                </c:pt>
                <c:pt idx="10">
                  <c:v>3.9304506666543171E-4</c:v>
                </c:pt>
                <c:pt idx="11">
                  <c:v>6.0234666680036852E-6</c:v>
                </c:pt>
                <c:pt idx="12">
                  <c:v>1.8274066666534861E-4</c:v>
                </c:pt>
                <c:pt idx="13">
                  <c:v>-2.2916773333192531E-4</c:v>
                </c:pt>
                <c:pt idx="14">
                  <c:v>4.3387853333287651E-4</c:v>
                </c:pt>
                <c:pt idx="15">
                  <c:v>3.4624333333321822E-4</c:v>
                </c:pt>
                <c:pt idx="16">
                  <c:v>-0.41156539826666799</c:v>
                </c:pt>
                <c:pt idx="17">
                  <c:v>-2.201717600266667</c:v>
                </c:pt>
                <c:pt idx="18">
                  <c:v>-2.5121730293333351</c:v>
                </c:pt>
                <c:pt idx="19">
                  <c:v>-2.8785700727999979</c:v>
                </c:pt>
                <c:pt idx="20">
                  <c:v>-3.0304329430666681</c:v>
                </c:pt>
                <c:pt idx="21">
                  <c:v>-3.1527451212000002</c:v>
                </c:pt>
                <c:pt idx="22">
                  <c:v>-3.2776179246666679</c:v>
                </c:pt>
                <c:pt idx="23">
                  <c:v>-3.1568433754666669</c:v>
                </c:pt>
                <c:pt idx="24">
                  <c:v>-3.2784479957333348</c:v>
                </c:pt>
                <c:pt idx="25">
                  <c:v>-3.1982626719999998</c:v>
                </c:pt>
                <c:pt idx="26">
                  <c:v>-3.2831584820000002</c:v>
                </c:pt>
                <c:pt idx="27">
                  <c:v>-3.0426209941333351</c:v>
                </c:pt>
                <c:pt idx="28">
                  <c:v>-2.9615078931999999</c:v>
                </c:pt>
                <c:pt idx="29">
                  <c:v>-2.6670551730666681</c:v>
                </c:pt>
                <c:pt idx="30">
                  <c:v>-2.550503761466667</c:v>
                </c:pt>
                <c:pt idx="31">
                  <c:v>-2.2643489205333349</c:v>
                </c:pt>
                <c:pt idx="32">
                  <c:v>-1.881382057333332</c:v>
                </c:pt>
                <c:pt idx="33">
                  <c:v>-1.604489939599999</c:v>
                </c:pt>
                <c:pt idx="34">
                  <c:v>-1.1278707273333319</c:v>
                </c:pt>
                <c:pt idx="35">
                  <c:v>-0.96843562120000004</c:v>
                </c:pt>
                <c:pt idx="36">
                  <c:v>-0.60451033466666804</c:v>
                </c:pt>
                <c:pt idx="37">
                  <c:v>-0.45574432599999998</c:v>
                </c:pt>
                <c:pt idx="38">
                  <c:v>-4.3241439999919251E-4</c:v>
                </c:pt>
                <c:pt idx="39">
                  <c:v>4.6405160000007051E-4</c:v>
                </c:pt>
                <c:pt idx="40">
                  <c:v>1.662237333333039E-4</c:v>
                </c:pt>
                <c:pt idx="41">
                  <c:v>-1.153333333330231E-4</c:v>
                </c:pt>
                <c:pt idx="42">
                  <c:v>4.8333333333294698E-4</c:v>
                </c:pt>
                <c:pt idx="43">
                  <c:v>4.6733333333298649E-4</c:v>
                </c:pt>
                <c:pt idx="44">
                  <c:v>1.8600000000001951E-4</c:v>
                </c:pt>
                <c:pt idx="45">
                  <c:v>-3.9600000000006302E-4</c:v>
                </c:pt>
                <c:pt idx="46">
                  <c:v>-1.3633333333298861E-4</c:v>
                </c:pt>
                <c:pt idx="47">
                  <c:v>-1.5033333333340501E-4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B8C-416A-AF76-2639CB973406}"/>
            </c:ext>
          </c:extLst>
        </c:ser>
        <c:ser>
          <c:idx val="64"/>
          <c:order val="64"/>
          <c:tx>
            <c:v>BES_TR1_six885_A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Net_kW!$BO$2:$BO$49</c:f>
              <c:numCache>
                <c:formatCode>#,##0.000</c:formatCode>
                <c:ptCount val="48"/>
                <c:pt idx="0">
                  <c:v>4.2333333333402501E-4</c:v>
                </c:pt>
                <c:pt idx="1">
                  <c:v>1.8000000000001351E-4</c:v>
                </c:pt>
                <c:pt idx="2">
                  <c:v>-9.1333333332999089E-5</c:v>
                </c:pt>
                <c:pt idx="3">
                  <c:v>1.8000000000001351E-4</c:v>
                </c:pt>
                <c:pt idx="4">
                  <c:v>-3.6400000000000321E-4</c:v>
                </c:pt>
                <c:pt idx="5">
                  <c:v>-3.3400000000000102E-4</c:v>
                </c:pt>
                <c:pt idx="6">
                  <c:v>4.2266666666659902E-4</c:v>
                </c:pt>
                <c:pt idx="7">
                  <c:v>2.6659826666666769E-4</c:v>
                </c:pt>
                <c:pt idx="8">
                  <c:v>4.1842040000038272E-4</c:v>
                </c:pt>
                <c:pt idx="9">
                  <c:v>-2.8677859999999561E-4</c:v>
                </c:pt>
                <c:pt idx="10">
                  <c:v>4.1852253333299339E-4</c:v>
                </c:pt>
                <c:pt idx="11">
                  <c:v>7.1011733334014338E-5</c:v>
                </c:pt>
                <c:pt idx="12">
                  <c:v>2.2070366666598901E-4</c:v>
                </c:pt>
                <c:pt idx="13">
                  <c:v>3.8082800001060242E-5</c:v>
                </c:pt>
                <c:pt idx="14">
                  <c:v>-4.2394066666728847E-5</c:v>
                </c:pt>
                <c:pt idx="15">
                  <c:v>-1.950449999998938E-4</c:v>
                </c:pt>
                <c:pt idx="16">
                  <c:v>-7.6032466667097509E-5</c:v>
                </c:pt>
                <c:pt idx="17">
                  <c:v>-3.2546679999989608E-4</c:v>
                </c:pt>
                <c:pt idx="18">
                  <c:v>-0.1248223480000008</c:v>
                </c:pt>
                <c:pt idx="19">
                  <c:v>-0.54382803639999888</c:v>
                </c:pt>
                <c:pt idx="20">
                  <c:v>-1.449804471533334</c:v>
                </c:pt>
                <c:pt idx="21">
                  <c:v>-1.4277958939333331</c:v>
                </c:pt>
                <c:pt idx="22">
                  <c:v>-1.5901902956666669</c:v>
                </c:pt>
                <c:pt idx="23">
                  <c:v>-1.6219673543999999</c:v>
                </c:pt>
                <c:pt idx="24">
                  <c:v>-1.4774469978666669</c:v>
                </c:pt>
                <c:pt idx="25">
                  <c:v>-1.668160836</c:v>
                </c:pt>
                <c:pt idx="26">
                  <c:v>-1.575763241</c:v>
                </c:pt>
                <c:pt idx="27">
                  <c:v>-1.4996743637333341</c:v>
                </c:pt>
                <c:pt idx="28">
                  <c:v>-1.3421279466</c:v>
                </c:pt>
                <c:pt idx="29">
                  <c:v>-0.24021068653333399</c:v>
                </c:pt>
                <c:pt idx="30">
                  <c:v>-1.180229980733333</c:v>
                </c:pt>
                <c:pt idx="31">
                  <c:v>-1.010107260266667</c:v>
                </c:pt>
                <c:pt idx="32">
                  <c:v>-0.9017470286666659</c:v>
                </c:pt>
                <c:pt idx="33">
                  <c:v>-0.81288130313333296</c:v>
                </c:pt>
                <c:pt idx="34">
                  <c:v>-0.62133319699999889</c:v>
                </c:pt>
                <c:pt idx="35">
                  <c:v>-0.54030947726666678</c:v>
                </c:pt>
                <c:pt idx="36">
                  <c:v>-0.36965846733333402</c:v>
                </c:pt>
                <c:pt idx="37">
                  <c:v>-0.197752029666667</c:v>
                </c:pt>
                <c:pt idx="38">
                  <c:v>-0.12876704053333329</c:v>
                </c:pt>
                <c:pt idx="39">
                  <c:v>3.4269246666670389E-4</c:v>
                </c:pt>
                <c:pt idx="40">
                  <c:v>-2.7388813333339979E-4</c:v>
                </c:pt>
                <c:pt idx="41">
                  <c:v>-4.1000000000002151E-4</c:v>
                </c:pt>
                <c:pt idx="42">
                  <c:v>-4.7999999999992493E-5</c:v>
                </c:pt>
                <c:pt idx="43">
                  <c:v>2.6666666667007899E-5</c:v>
                </c:pt>
                <c:pt idx="44">
                  <c:v>-6.8666666666994391E-5</c:v>
                </c:pt>
                <c:pt idx="45">
                  <c:v>-4.9733333333301655E-4</c:v>
                </c:pt>
                <c:pt idx="46">
                  <c:v>0</c:v>
                </c:pt>
                <c:pt idx="47">
                  <c:v>1.513333333329758E-4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B8C-416A-AF76-2639CB973406}"/>
            </c:ext>
          </c:extLst>
        </c:ser>
        <c:ser>
          <c:idx val="65"/>
          <c:order val="65"/>
          <c:tx>
            <c:v>BES_TR1_six909_C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Net_kW!$BP$2:$BP$49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-8.4057833333248122E-5</c:v>
                </c:pt>
                <c:pt idx="9">
                  <c:v>-3.584732500000049E-4</c:v>
                </c:pt>
                <c:pt idx="10">
                  <c:v>-3.3768016666749218E-4</c:v>
                </c:pt>
                <c:pt idx="11">
                  <c:v>3.3876466666749039E-4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-2.2465925000014761E-4</c:v>
                </c:pt>
                <c:pt idx="15">
                  <c:v>-2.1330625000004491E-4</c:v>
                </c:pt>
                <c:pt idx="16">
                  <c:v>3.8612608333199461E-4</c:v>
                </c:pt>
                <c:pt idx="17">
                  <c:v>-1.067793500166667</c:v>
                </c:pt>
                <c:pt idx="18">
                  <c:v>-1.680359601666668</c:v>
                </c:pt>
                <c:pt idx="19">
                  <c:v>-1.670194962166665</c:v>
                </c:pt>
                <c:pt idx="20">
                  <c:v>-0.58276558941666701</c:v>
                </c:pt>
                <c:pt idx="21">
                  <c:v>-1.8307463674166671</c:v>
                </c:pt>
                <c:pt idx="22">
                  <c:v>-2.19869583336807E-4</c:v>
                </c:pt>
                <c:pt idx="23">
                  <c:v>-0.52720252633333009</c:v>
                </c:pt>
                <c:pt idx="24">
                  <c:v>-0.43204389733333692</c:v>
                </c:pt>
                <c:pt idx="25">
                  <c:v>-1.9672972449999999</c:v>
                </c:pt>
                <c:pt idx="26">
                  <c:v>-2.0229254845833329</c:v>
                </c:pt>
                <c:pt idx="27">
                  <c:v>-1.7125673546666671</c:v>
                </c:pt>
                <c:pt idx="28">
                  <c:v>-1.7140944332500001</c:v>
                </c:pt>
                <c:pt idx="29">
                  <c:v>-1.6495689915000009</c:v>
                </c:pt>
                <c:pt idx="30">
                  <c:v>-1.4860693092499999</c:v>
                </c:pt>
                <c:pt idx="31">
                  <c:v>-0.91354057533333499</c:v>
                </c:pt>
                <c:pt idx="32">
                  <c:v>4.0163083333780158E-4</c:v>
                </c:pt>
                <c:pt idx="33">
                  <c:v>2.8878775000706902E-4</c:v>
                </c:pt>
                <c:pt idx="34">
                  <c:v>-3.3826291666538832E-4</c:v>
                </c:pt>
                <c:pt idx="35">
                  <c:v>1.5048674999995629E-4</c:v>
                </c:pt>
                <c:pt idx="36">
                  <c:v>4.0249166662231772E-5</c:v>
                </c:pt>
                <c:pt idx="37">
                  <c:v>0.73244746291666996</c:v>
                </c:pt>
                <c:pt idx="38">
                  <c:v>0.42440853266666678</c:v>
                </c:pt>
                <c:pt idx="39">
                  <c:v>0.205915698916666</c:v>
                </c:pt>
                <c:pt idx="40">
                  <c:v>0.28184530650000028</c:v>
                </c:pt>
                <c:pt idx="41">
                  <c:v>1.8943540000000001</c:v>
                </c:pt>
                <c:pt idx="42">
                  <c:v>2.5317813333333299</c:v>
                </c:pt>
                <c:pt idx="43">
                  <c:v>1.14769066666667</c:v>
                </c:pt>
                <c:pt idx="44">
                  <c:v>0.33702666666666697</c:v>
                </c:pt>
                <c:pt idx="45">
                  <c:v>0.54580933333333304</c:v>
                </c:pt>
                <c:pt idx="46">
                  <c:v>0.34061533333333299</c:v>
                </c:pt>
                <c:pt idx="47">
                  <c:v>0.31285800000000002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B8C-416A-AF76-2639CB973406}"/>
            </c:ext>
          </c:extLst>
        </c:ser>
        <c:ser>
          <c:idx val="66"/>
          <c:order val="66"/>
          <c:tx>
            <c:v>BES_TR1_six105_A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Net_kW!$BQ$2:$BQ$49</c:f>
              <c:numCache>
                <c:formatCode>#,##0.000</c:formatCode>
                <c:ptCount val="48"/>
                <c:pt idx="0">
                  <c:v>-2.966666666698314E-5</c:v>
                </c:pt>
                <c:pt idx="1">
                  <c:v>0</c:v>
                </c:pt>
                <c:pt idx="2">
                  <c:v>0</c:v>
                </c:pt>
                <c:pt idx="3">
                  <c:v>2.6533333333300663E-4</c:v>
                </c:pt>
                <c:pt idx="4">
                  <c:v>0</c:v>
                </c:pt>
                <c:pt idx="5">
                  <c:v>-1.2799999999998921E-4</c:v>
                </c:pt>
                <c:pt idx="6">
                  <c:v>3.933333333329958E-4</c:v>
                </c:pt>
                <c:pt idx="7">
                  <c:v>-1.5050216666666341E-4</c:v>
                </c:pt>
                <c:pt idx="8">
                  <c:v>1.812754999997446E-4</c:v>
                </c:pt>
                <c:pt idx="9">
                  <c:v>-3.584732500000049E-4</c:v>
                </c:pt>
                <c:pt idx="10">
                  <c:v>4.0165316666579409E-4</c:v>
                </c:pt>
                <c:pt idx="11">
                  <c:v>-1.3523533333248411E-4</c:v>
                </c:pt>
                <c:pt idx="12">
                  <c:v>5.0879583332497091E-5</c:v>
                </c:pt>
                <c:pt idx="13">
                  <c:v>-3.2289649999950321E-4</c:v>
                </c:pt>
                <c:pt idx="14">
                  <c:v>-2.2465925000014761E-4</c:v>
                </c:pt>
                <c:pt idx="15">
                  <c:v>9.836041666699824E-5</c:v>
                </c:pt>
                <c:pt idx="16">
                  <c:v>3.3912608333208638E-4</c:v>
                </c:pt>
                <c:pt idx="17">
                  <c:v>-1.168335000001353E-4</c:v>
                </c:pt>
                <c:pt idx="18">
                  <c:v>-1.1600942683333351</c:v>
                </c:pt>
                <c:pt idx="19">
                  <c:v>-1.8141861288333321</c:v>
                </c:pt>
                <c:pt idx="20">
                  <c:v>-1.6675924227500001</c:v>
                </c:pt>
                <c:pt idx="21">
                  <c:v>-1.95764620075</c:v>
                </c:pt>
                <c:pt idx="22">
                  <c:v>-1.9352782029166671</c:v>
                </c:pt>
                <c:pt idx="23">
                  <c:v>-1.8631411929999999</c:v>
                </c:pt>
                <c:pt idx="24">
                  <c:v>-2.0395508306666672</c:v>
                </c:pt>
                <c:pt idx="25">
                  <c:v>-1.847696045</c:v>
                </c:pt>
                <c:pt idx="26">
                  <c:v>-1.9551313845833329</c:v>
                </c:pt>
                <c:pt idx="27">
                  <c:v>-1.716338621333334</c:v>
                </c:pt>
                <c:pt idx="28">
                  <c:v>-1.643119099916666</c:v>
                </c:pt>
                <c:pt idx="29">
                  <c:v>-1.482787858166668</c:v>
                </c:pt>
                <c:pt idx="30">
                  <c:v>-1.557040975916667</c:v>
                </c:pt>
                <c:pt idx="31">
                  <c:v>-1.2485899086666681</c:v>
                </c:pt>
                <c:pt idx="32">
                  <c:v>-1.1502383691666651</c:v>
                </c:pt>
                <c:pt idx="33">
                  <c:v>-1.115544545583333</c:v>
                </c:pt>
                <c:pt idx="34">
                  <c:v>-0.7295293295833325</c:v>
                </c:pt>
                <c:pt idx="35">
                  <c:v>-0.56437901324999995</c:v>
                </c:pt>
                <c:pt idx="36">
                  <c:v>-0.46200825083333452</c:v>
                </c:pt>
                <c:pt idx="37">
                  <c:v>-0.21791120375</c:v>
                </c:pt>
                <c:pt idx="38">
                  <c:v>-0.19320046733333321</c:v>
                </c:pt>
                <c:pt idx="39">
                  <c:v>4.1836558333299689E-4</c:v>
                </c:pt>
                <c:pt idx="40">
                  <c:v>-4.8036016666667958E-4</c:v>
                </c:pt>
                <c:pt idx="41">
                  <c:v>0</c:v>
                </c:pt>
                <c:pt idx="42">
                  <c:v>4.760000000000042E-4</c:v>
                </c:pt>
                <c:pt idx="43">
                  <c:v>-3.3333333333299131E-4</c:v>
                </c:pt>
                <c:pt idx="44">
                  <c:v>2.5833333333302733E-4</c:v>
                </c:pt>
                <c:pt idx="45">
                  <c:v>-1.7266666666698741E-4</c:v>
                </c:pt>
                <c:pt idx="46">
                  <c:v>4.3700000000002071E-4</c:v>
                </c:pt>
                <c:pt idx="47">
                  <c:v>-2.7233333333298582E-4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B8C-416A-AF76-2639CB973406}"/>
            </c:ext>
          </c:extLst>
        </c:ser>
        <c:ser>
          <c:idx val="67"/>
          <c:order val="67"/>
          <c:tx>
            <c:v>BES_TR1_six914_A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Net_kW!$BR$2:$BR$49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-1.070303333333689E-5</c:v>
                </c:pt>
                <c:pt idx="8">
                  <c:v>-6.0014299999959497E-5</c:v>
                </c:pt>
                <c:pt idx="9">
                  <c:v>4.9813745000001908E-4</c:v>
                </c:pt>
                <c:pt idx="10">
                  <c:v>3.2724776666548378E-4</c:v>
                </c:pt>
                <c:pt idx="11">
                  <c:v>-1.257294666654474E-4</c:v>
                </c:pt>
                <c:pt idx="12">
                  <c:v>2.495647499987097E-4</c:v>
                </c:pt>
                <c:pt idx="13">
                  <c:v>4.8431156666794978E-4</c:v>
                </c:pt>
                <c:pt idx="14">
                  <c:v>2.8547705000003809E-4</c:v>
                </c:pt>
                <c:pt idx="15">
                  <c:v>-0.1837108954166666</c:v>
                </c:pt>
                <c:pt idx="16">
                  <c:v>-1.916344223483335</c:v>
                </c:pt>
                <c:pt idx="17">
                  <c:v>-1.627894433566667</c:v>
                </c:pt>
                <c:pt idx="18">
                  <c:v>-1.619400642333334</c:v>
                </c:pt>
                <c:pt idx="19">
                  <c:v>-2.4968052803666652</c:v>
                </c:pt>
                <c:pt idx="20">
                  <c:v>-2.6696427585166669</c:v>
                </c:pt>
                <c:pt idx="21">
                  <c:v>-2.7645919810500001</c:v>
                </c:pt>
                <c:pt idx="22">
                  <c:v>-2.8133653840833341</c:v>
                </c:pt>
                <c:pt idx="23">
                  <c:v>-2.864937536866667</c:v>
                </c:pt>
                <c:pt idx="24">
                  <c:v>-2.928961162933335</c:v>
                </c:pt>
                <c:pt idx="25">
                  <c:v>-2.8443820296666669</c:v>
                </c:pt>
                <c:pt idx="26">
                  <c:v>-2.686708638416667</c:v>
                </c:pt>
                <c:pt idx="27">
                  <c:v>-2.6957933698666681</c:v>
                </c:pt>
                <c:pt idx="28">
                  <c:v>-2.0084202398833328</c:v>
                </c:pt>
                <c:pt idx="29">
                  <c:v>-2.1358174681000022</c:v>
                </c:pt>
                <c:pt idx="30">
                  <c:v>-2.2422094329500002</c:v>
                </c:pt>
                <c:pt idx="31">
                  <c:v>-2.0534732054666671</c:v>
                </c:pt>
                <c:pt idx="32">
                  <c:v>-1.7540310501666649</c:v>
                </c:pt>
                <c:pt idx="33">
                  <c:v>-1.464217030483332</c:v>
                </c:pt>
                <c:pt idx="34">
                  <c:v>-1.233848594749998</c:v>
                </c:pt>
                <c:pt idx="35">
                  <c:v>-1.0121709185500001</c:v>
                </c:pt>
                <c:pt idx="36">
                  <c:v>-0.65765865116666744</c:v>
                </c:pt>
                <c:pt idx="37">
                  <c:v>-0.37302688524999988</c:v>
                </c:pt>
                <c:pt idx="38">
                  <c:v>-7.6712654266666513E-2</c:v>
                </c:pt>
                <c:pt idx="39">
                  <c:v>1.617118166669651E-4</c:v>
                </c:pt>
                <c:pt idx="40">
                  <c:v>-3.0063756666343089E-4</c:v>
                </c:pt>
                <c:pt idx="41">
                  <c:v>-1.9866666666690241E-4</c:v>
                </c:pt>
                <c:pt idx="42">
                  <c:v>2.5200000000002998E-4</c:v>
                </c:pt>
                <c:pt idx="43">
                  <c:v>2.1466666666702941E-4</c:v>
                </c:pt>
                <c:pt idx="44">
                  <c:v>-1.1333333333296559E-4</c:v>
                </c:pt>
                <c:pt idx="45">
                  <c:v>2.263333333329953E-4</c:v>
                </c:pt>
                <c:pt idx="46">
                  <c:v>-2.370000000000427E-4</c:v>
                </c:pt>
                <c:pt idx="47">
                  <c:v>1.040000000000207E-4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B8C-416A-AF76-2639CB973406}"/>
            </c:ext>
          </c:extLst>
        </c:ser>
        <c:ser>
          <c:idx val="68"/>
          <c:order val="68"/>
          <c:tx>
            <c:v>BES_TR1_six945_C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Net_kW!$BS$2:$BS$49</c:f>
              <c:numCache>
                <c:formatCode>#,##0.000</c:formatCode>
                <c:ptCount val="48"/>
                <c:pt idx="0">
                  <c:v>-4.8699999999998739E-4</c:v>
                </c:pt>
                <c:pt idx="1">
                  <c:v>3.8499999999999651E-4</c:v>
                </c:pt>
                <c:pt idx="2">
                  <c:v>0</c:v>
                </c:pt>
                <c:pt idx="3">
                  <c:v>-4.099999999999937E-4</c:v>
                </c:pt>
                <c:pt idx="4">
                  <c:v>3.0800000000000272E-4</c:v>
                </c:pt>
                <c:pt idx="5">
                  <c:v>0</c:v>
                </c:pt>
                <c:pt idx="6">
                  <c:v>-1.01999999999991E-4</c:v>
                </c:pt>
                <c:pt idx="7">
                  <c:v>-4.4080346666666709E-4</c:v>
                </c:pt>
                <c:pt idx="8">
                  <c:v>3.1117413333379968E-4</c:v>
                </c:pt>
                <c:pt idx="9">
                  <c:v>-3.4255719999999601E-4</c:v>
                </c:pt>
                <c:pt idx="10">
                  <c:v>-3.4028826666798739E-4</c:v>
                </c:pt>
                <c:pt idx="11">
                  <c:v>4.0023466668093199E-5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-1.644547999999357E-4</c:v>
                </c:pt>
                <c:pt idx="15">
                  <c:v>-0.33452309000000002</c:v>
                </c:pt>
                <c:pt idx="16">
                  <c:v>-1.9813861982666681</c:v>
                </c:pt>
                <c:pt idx="17">
                  <c:v>-2.4422256002666671</c:v>
                </c:pt>
                <c:pt idx="18">
                  <c:v>-2.7185753626666682</c:v>
                </c:pt>
                <c:pt idx="19">
                  <c:v>-2.7544854061333321</c:v>
                </c:pt>
                <c:pt idx="20">
                  <c:v>-3.090008943066668</c:v>
                </c:pt>
                <c:pt idx="21">
                  <c:v>-3.1702037878666669</c:v>
                </c:pt>
                <c:pt idx="22">
                  <c:v>-3.084731524666668</c:v>
                </c:pt>
                <c:pt idx="23">
                  <c:v>-3.150816575466667</c:v>
                </c:pt>
                <c:pt idx="24">
                  <c:v>-3.243699662400001</c:v>
                </c:pt>
                <c:pt idx="25">
                  <c:v>-2.4506356720000002</c:v>
                </c:pt>
                <c:pt idx="26">
                  <c:v>-3.100420282</c:v>
                </c:pt>
                <c:pt idx="27">
                  <c:v>-3.1326721274666678</c:v>
                </c:pt>
                <c:pt idx="28">
                  <c:v>-3.0155078932000001</c:v>
                </c:pt>
                <c:pt idx="29">
                  <c:v>-2.6947245064000009</c:v>
                </c:pt>
                <c:pt idx="30">
                  <c:v>-2.014694828133333</c:v>
                </c:pt>
                <c:pt idx="31">
                  <c:v>-1.4774948538666679</c:v>
                </c:pt>
                <c:pt idx="32">
                  <c:v>-1.758589390666665</c:v>
                </c:pt>
                <c:pt idx="33">
                  <c:v>-1.340869272933332</c:v>
                </c:pt>
                <c:pt idx="34">
                  <c:v>-0.3396110606666618</c:v>
                </c:pt>
                <c:pt idx="35">
                  <c:v>-0.56328895453333305</c:v>
                </c:pt>
                <c:pt idx="36">
                  <c:v>-0.54323493466666806</c:v>
                </c:pt>
                <c:pt idx="37">
                  <c:v>-0.39510872600000002</c:v>
                </c:pt>
                <c:pt idx="38">
                  <c:v>-6.8170747733333203E-2</c:v>
                </c:pt>
                <c:pt idx="39">
                  <c:v>-4.0161506666602792E-4</c:v>
                </c:pt>
                <c:pt idx="40">
                  <c:v>-3.0477626666658431E-4</c:v>
                </c:pt>
                <c:pt idx="41">
                  <c:v>1.6000000000004899E-4</c:v>
                </c:pt>
                <c:pt idx="42">
                  <c:v>3.2633333333298431E-4</c:v>
                </c:pt>
                <c:pt idx="43">
                  <c:v>3.0599999999997301E-4</c:v>
                </c:pt>
                <c:pt idx="44">
                  <c:v>-9.1333333332999089E-5</c:v>
                </c:pt>
                <c:pt idx="45">
                  <c:v>-3.7666666666602572E-4</c:v>
                </c:pt>
                <c:pt idx="46">
                  <c:v>-3.9999999990047996E-6</c:v>
                </c:pt>
                <c:pt idx="47">
                  <c:v>-4.609999999999892E-4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B8C-416A-AF76-2639CB973406}"/>
            </c:ext>
          </c:extLst>
        </c:ser>
        <c:ser>
          <c:idx val="69"/>
          <c:order val="69"/>
          <c:tx>
            <c:v>BES_TR1_six952_A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Net_kW!$BT$2:$BT$49</c:f>
              <c:numCache>
                <c:formatCode>#,##0.000</c:formatCode>
                <c:ptCount val="48"/>
                <c:pt idx="0">
                  <c:v>0</c:v>
                </c:pt>
                <c:pt idx="1">
                  <c:v>3.8099999999999251E-4</c:v>
                </c:pt>
                <c:pt idx="2">
                  <c:v>-9.7000000000013742E-5</c:v>
                </c:pt>
                <c:pt idx="3">
                  <c:v>-1.739999999999936E-4</c:v>
                </c:pt>
                <c:pt idx="4">
                  <c:v>-3.4799999999998721E-4</c:v>
                </c:pt>
                <c:pt idx="5">
                  <c:v>4.146666666669796E-4</c:v>
                </c:pt>
                <c:pt idx="6">
                  <c:v>-1.3066666666700091E-4</c:v>
                </c:pt>
                <c:pt idx="7">
                  <c:v>8.5598266666681022E-5</c:v>
                </c:pt>
                <c:pt idx="8">
                  <c:v>-3.8924626666660128E-4</c:v>
                </c:pt>
                <c:pt idx="9">
                  <c:v>-2.8677860000000249E-4</c:v>
                </c:pt>
                <c:pt idx="10">
                  <c:v>3.2985586666597899E-4</c:v>
                </c:pt>
                <c:pt idx="11">
                  <c:v>-1.2298826666598539E-4</c:v>
                </c:pt>
                <c:pt idx="12">
                  <c:v>4.0703666665975469E-5</c:v>
                </c:pt>
                <c:pt idx="13">
                  <c:v>-4.4891719999889951E-4</c:v>
                </c:pt>
                <c:pt idx="14">
                  <c:v>-1.1739406666710921E-4</c:v>
                </c:pt>
                <c:pt idx="15">
                  <c:v>2.5621666670083702E-5</c:v>
                </c:pt>
                <c:pt idx="16">
                  <c:v>1.2730086666601359E-4</c:v>
                </c:pt>
                <c:pt idx="17">
                  <c:v>3.4386653333307038E-4</c:v>
                </c:pt>
                <c:pt idx="18">
                  <c:v>3.2661866666616751E-4</c:v>
                </c:pt>
                <c:pt idx="19">
                  <c:v>2.0829693333390689E-4</c:v>
                </c:pt>
                <c:pt idx="20">
                  <c:v>-0.98598280486666712</c:v>
                </c:pt>
                <c:pt idx="21">
                  <c:v>-1.438648227266667</c:v>
                </c:pt>
                <c:pt idx="22">
                  <c:v>-1.570383295666667</c:v>
                </c:pt>
                <c:pt idx="23">
                  <c:v>-1.626153021066667</c:v>
                </c:pt>
                <c:pt idx="24">
                  <c:v>-1.508782664533334</c:v>
                </c:pt>
                <c:pt idx="25">
                  <c:v>-1.6253348359999999</c:v>
                </c:pt>
                <c:pt idx="26">
                  <c:v>-1.6135792410000001</c:v>
                </c:pt>
                <c:pt idx="27">
                  <c:v>-1.370187497066667</c:v>
                </c:pt>
                <c:pt idx="28">
                  <c:v>-1.4729496132666671</c:v>
                </c:pt>
                <c:pt idx="29">
                  <c:v>-1.2619720865333339</c:v>
                </c:pt>
                <c:pt idx="30">
                  <c:v>-0.90522911406666706</c:v>
                </c:pt>
                <c:pt idx="31">
                  <c:v>-0.81711302693333399</c:v>
                </c:pt>
                <c:pt idx="32">
                  <c:v>-0.58854309533333293</c:v>
                </c:pt>
                <c:pt idx="33">
                  <c:v>-0.29774196979999901</c:v>
                </c:pt>
                <c:pt idx="34">
                  <c:v>-3.5089530333331953E-2</c:v>
                </c:pt>
                <c:pt idx="35">
                  <c:v>-0.17079381060000001</c:v>
                </c:pt>
                <c:pt idx="36">
                  <c:v>4.4453266666600807E-4</c:v>
                </c:pt>
                <c:pt idx="37">
                  <c:v>2.5630366666695709E-4</c:v>
                </c:pt>
                <c:pt idx="38">
                  <c:v>-3.7937386666664352E-4</c:v>
                </c:pt>
                <c:pt idx="39">
                  <c:v>-1.0197419999999351E-4</c:v>
                </c:pt>
                <c:pt idx="40">
                  <c:v>-7.5888133333340546E-5</c:v>
                </c:pt>
                <c:pt idx="41">
                  <c:v>4.7799999999997839E-4</c:v>
                </c:pt>
                <c:pt idx="42">
                  <c:v>1.6099999999999451E-4</c:v>
                </c:pt>
                <c:pt idx="43">
                  <c:v>-3.5499999999999421E-4</c:v>
                </c:pt>
                <c:pt idx="44">
                  <c:v>4.563333333330033E-4</c:v>
                </c:pt>
                <c:pt idx="45">
                  <c:v>2.1666666666697591E-5</c:v>
                </c:pt>
                <c:pt idx="46">
                  <c:v>-4.6266666666694428E-4</c:v>
                </c:pt>
                <c:pt idx="47">
                  <c:v>-3.8766666666700811E-4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B8C-416A-AF76-2639CB973406}"/>
            </c:ext>
          </c:extLst>
        </c:ser>
        <c:ser>
          <c:idx val="70"/>
          <c:order val="70"/>
          <c:tx>
            <c:v>BES_TR1_six967_B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Net_kW!$BU$2:$BU$49</c:f>
              <c:numCache>
                <c:formatCode>#,##0.000</c:formatCode>
                <c:ptCount val="48"/>
                <c:pt idx="0">
                  <c:v>-2.6999999999999252E-4</c:v>
                </c:pt>
                <c:pt idx="1">
                  <c:v>0</c:v>
                </c:pt>
                <c:pt idx="2">
                  <c:v>0</c:v>
                </c:pt>
                <c:pt idx="3">
                  <c:v>-2.6999999999999252E-4</c:v>
                </c:pt>
                <c:pt idx="4">
                  <c:v>0</c:v>
                </c:pt>
                <c:pt idx="5">
                  <c:v>2.8999999999999859E-4</c:v>
                </c:pt>
                <c:pt idx="6">
                  <c:v>4.399999999999959E-4</c:v>
                </c:pt>
                <c:pt idx="7">
                  <c:v>1.3979913333333341E-4</c:v>
                </c:pt>
                <c:pt idx="8">
                  <c:v>2.9637686666669771E-4</c:v>
                </c:pt>
                <c:pt idx="9">
                  <c:v>-1.4338930000000041E-4</c:v>
                </c:pt>
                <c:pt idx="10">
                  <c:v>-3.3507206666699712E-4</c:v>
                </c:pt>
                <c:pt idx="11">
                  <c:v>-3.7949413333298552E-4</c:v>
                </c:pt>
                <c:pt idx="12">
                  <c:v>-3.3464816666700647E-4</c:v>
                </c:pt>
                <c:pt idx="13">
                  <c:v>-4.3529193333297078E-4</c:v>
                </c:pt>
                <c:pt idx="14">
                  <c:v>3.801363000000002E-4</c:v>
                </c:pt>
                <c:pt idx="15">
                  <c:v>2.0347749999999329E-4</c:v>
                </c:pt>
                <c:pt idx="16">
                  <c:v>-8.2349566667083707E-5</c:v>
                </c:pt>
                <c:pt idx="17">
                  <c:v>-4.3273339999994048E-4</c:v>
                </c:pt>
                <c:pt idx="18">
                  <c:v>-1.4384066666695011E-4</c:v>
                </c:pt>
                <c:pt idx="19">
                  <c:v>4.8914846666714418E-4</c:v>
                </c:pt>
                <c:pt idx="20">
                  <c:v>-3.57235766667019E-4</c:v>
                </c:pt>
                <c:pt idx="21">
                  <c:v>1.7371970000001899E-4</c:v>
                </c:pt>
                <c:pt idx="22">
                  <c:v>-3.7448116666694009E-4</c:v>
                </c:pt>
                <c:pt idx="23">
                  <c:v>-4.3534386666699287E-4</c:v>
                </c:pt>
                <c:pt idx="24">
                  <c:v>-0.1488093322666669</c:v>
                </c:pt>
                <c:pt idx="25">
                  <c:v>-0.58258841799999994</c:v>
                </c:pt>
                <c:pt idx="26">
                  <c:v>-0.550250953833333</c:v>
                </c:pt>
                <c:pt idx="27">
                  <c:v>-0.61465791520000002</c:v>
                </c:pt>
                <c:pt idx="28">
                  <c:v>-0.4351869733</c:v>
                </c:pt>
                <c:pt idx="29">
                  <c:v>-0.64671054326666699</c:v>
                </c:pt>
                <c:pt idx="30">
                  <c:v>-0.47083419036666702</c:v>
                </c:pt>
                <c:pt idx="31">
                  <c:v>-0.32402829679999989</c:v>
                </c:pt>
                <c:pt idx="32">
                  <c:v>-0.42585868100000002</c:v>
                </c:pt>
                <c:pt idx="33">
                  <c:v>-0.26076248489999998</c:v>
                </c:pt>
                <c:pt idx="34">
                  <c:v>-0.32980293183333298</c:v>
                </c:pt>
                <c:pt idx="35">
                  <c:v>-8.9972738633333021E-2</c:v>
                </c:pt>
                <c:pt idx="36">
                  <c:v>-8.5900333337107782E-5</c:v>
                </c:pt>
                <c:pt idx="37">
                  <c:v>-2.5068150000001621E-4</c:v>
                </c:pt>
                <c:pt idx="38">
                  <c:v>9.9813066666065708E-5</c:v>
                </c:pt>
                <c:pt idx="39">
                  <c:v>7.9346233332999727E-5</c:v>
                </c:pt>
                <c:pt idx="40">
                  <c:v>1.190559333333896E-4</c:v>
                </c:pt>
                <c:pt idx="41">
                  <c:v>8.0666666667061904E-5</c:v>
                </c:pt>
                <c:pt idx="42">
                  <c:v>4.463333333299957E-4</c:v>
                </c:pt>
                <c:pt idx="43">
                  <c:v>0.51873466666666701</c:v>
                </c:pt>
                <c:pt idx="44">
                  <c:v>0.91003166666666702</c:v>
                </c:pt>
                <c:pt idx="45">
                  <c:v>0.81796766666666598</c:v>
                </c:pt>
                <c:pt idx="46">
                  <c:v>0.30544500000000002</c:v>
                </c:pt>
                <c:pt idx="47">
                  <c:v>0.19208500000000001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B8C-416A-AF76-2639CB973406}"/>
            </c:ext>
          </c:extLst>
        </c:ser>
        <c:ser>
          <c:idx val="71"/>
          <c:order val="71"/>
          <c:tx>
            <c:v>BES_TR1_six990_B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Net_kW!$BV$2:$BV$49</c:f>
              <c:numCache>
                <c:formatCode>#,##0.000</c:formatCode>
                <c:ptCount val="48"/>
                <c:pt idx="0">
                  <c:v>3.8200000000002121E-4</c:v>
                </c:pt>
                <c:pt idx="1">
                  <c:v>3.5799999999996951E-4</c:v>
                </c:pt>
                <c:pt idx="2">
                  <c:v>3.7966666666700011E-4</c:v>
                </c:pt>
                <c:pt idx="3">
                  <c:v>4.4699999999997519E-4</c:v>
                </c:pt>
                <c:pt idx="4">
                  <c:v>4.6666666667000152E-5</c:v>
                </c:pt>
                <c:pt idx="5">
                  <c:v>0</c:v>
                </c:pt>
                <c:pt idx="6">
                  <c:v>3.0666666666695491E-4</c:v>
                </c:pt>
                <c:pt idx="7">
                  <c:v>-4.4080346666667408E-4</c:v>
                </c:pt>
                <c:pt idx="8">
                  <c:v>3.755074666668134E-4</c:v>
                </c:pt>
                <c:pt idx="9">
                  <c:v>-3.7689053333300748E-4</c:v>
                </c:pt>
                <c:pt idx="10">
                  <c:v>-3.402882666680429E-4</c:v>
                </c:pt>
                <c:pt idx="11">
                  <c:v>4.0535680000103319E-4</c:v>
                </c:pt>
                <c:pt idx="12">
                  <c:v>1.24740666664902E-4</c:v>
                </c:pt>
                <c:pt idx="13">
                  <c:v>-7.4501066664955928E-5</c:v>
                </c:pt>
                <c:pt idx="14">
                  <c:v>3.2387853333393218E-4</c:v>
                </c:pt>
                <c:pt idx="15">
                  <c:v>3.0391000000018492E-4</c:v>
                </c:pt>
                <c:pt idx="16">
                  <c:v>-1.289938064933335</c:v>
                </c:pt>
                <c:pt idx="17">
                  <c:v>-2.2680502669333329</c:v>
                </c:pt>
                <c:pt idx="18">
                  <c:v>-2.058492696000001</c:v>
                </c:pt>
                <c:pt idx="19">
                  <c:v>-2.265219072799999</c:v>
                </c:pt>
                <c:pt idx="20">
                  <c:v>-2.7143089430666678</c:v>
                </c:pt>
                <c:pt idx="21">
                  <c:v>-3.0591317878666668</c:v>
                </c:pt>
                <c:pt idx="22">
                  <c:v>-3.2444979246666681</c:v>
                </c:pt>
                <c:pt idx="23">
                  <c:v>-3.3040000421333331</c:v>
                </c:pt>
                <c:pt idx="24">
                  <c:v>-3.354197995733335</c:v>
                </c:pt>
                <c:pt idx="25">
                  <c:v>-3.1042983386666672</c:v>
                </c:pt>
                <c:pt idx="26">
                  <c:v>-3.2861584819999998</c:v>
                </c:pt>
                <c:pt idx="27">
                  <c:v>-3.1555213274666678</c:v>
                </c:pt>
                <c:pt idx="28">
                  <c:v>-2.8850608931999999</c:v>
                </c:pt>
                <c:pt idx="29">
                  <c:v>-2.827190173066668</c:v>
                </c:pt>
                <c:pt idx="30">
                  <c:v>-1.47475116146667</c:v>
                </c:pt>
                <c:pt idx="31">
                  <c:v>-2.2423448538666682</c:v>
                </c:pt>
                <c:pt idx="32">
                  <c:v>-1.863640057333332</c:v>
                </c:pt>
                <c:pt idx="33">
                  <c:v>-1.6170846062666651</c:v>
                </c:pt>
                <c:pt idx="34">
                  <c:v>-1.397068060666665</c:v>
                </c:pt>
                <c:pt idx="35">
                  <c:v>-1.0195453333008971E-4</c:v>
                </c:pt>
                <c:pt idx="36">
                  <c:v>-0.47715580133333502</c:v>
                </c:pt>
                <c:pt idx="37">
                  <c:v>-0.36088672599999999</c:v>
                </c:pt>
                <c:pt idx="38">
                  <c:v>-8.827444773333315E-2</c:v>
                </c:pt>
                <c:pt idx="39">
                  <c:v>3.9505160000000671E-4</c:v>
                </c:pt>
                <c:pt idx="40">
                  <c:v>-4.8710959999975772E-4</c:v>
                </c:pt>
                <c:pt idx="41">
                  <c:v>1.573333333329541E-4</c:v>
                </c:pt>
                <c:pt idx="42">
                  <c:v>-2.8666666667009899E-5</c:v>
                </c:pt>
                <c:pt idx="43">
                  <c:v>-4.4333333333301811E-4</c:v>
                </c:pt>
                <c:pt idx="44">
                  <c:v>4.3333333333300811E-4</c:v>
                </c:pt>
                <c:pt idx="45">
                  <c:v>-3.0333333333304457E-4</c:v>
                </c:pt>
                <c:pt idx="46">
                  <c:v>-4.0700000000004621E-4</c:v>
                </c:pt>
                <c:pt idx="47">
                  <c:v>3.93333333332968E-4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B8C-416A-AF76-2639CB973406}"/>
            </c:ext>
          </c:extLst>
        </c:ser>
        <c:ser>
          <c:idx val="72"/>
          <c:order val="72"/>
          <c:tx>
            <c:v>BES_TR1_six1006_C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Net_kW!$BW$2:$BW$49</c:f>
              <c:numCache>
                <c:formatCode>#,##0.000</c:formatCode>
                <c:ptCount val="48"/>
                <c:pt idx="0">
                  <c:v>-2.8466666666698842E-4</c:v>
                </c:pt>
                <c:pt idx="1">
                  <c:v>0</c:v>
                </c:pt>
                <c:pt idx="2">
                  <c:v>0</c:v>
                </c:pt>
                <c:pt idx="3">
                  <c:v>-2.8466666666698842E-4</c:v>
                </c:pt>
                <c:pt idx="4">
                  <c:v>0</c:v>
                </c:pt>
                <c:pt idx="5">
                  <c:v>-2.8466666666698842E-4</c:v>
                </c:pt>
                <c:pt idx="6">
                  <c:v>0</c:v>
                </c:pt>
                <c:pt idx="7">
                  <c:v>-1.0703033333329949E-5</c:v>
                </c:pt>
                <c:pt idx="8">
                  <c:v>4.8231903333343859E-4</c:v>
                </c:pt>
                <c:pt idx="9">
                  <c:v>2.1347078333300301E-4</c:v>
                </c:pt>
                <c:pt idx="10">
                  <c:v>3.2724776666548378E-4</c:v>
                </c:pt>
                <c:pt idx="11">
                  <c:v>-1.257294666654474E-4</c:v>
                </c:pt>
                <c:pt idx="12">
                  <c:v>-2.1343525000161459E-4</c:v>
                </c:pt>
                <c:pt idx="13">
                  <c:v>-2.3521766665091089E-5</c:v>
                </c:pt>
                <c:pt idx="14">
                  <c:v>1.024770500002159E-4</c:v>
                </c:pt>
                <c:pt idx="15">
                  <c:v>1.0050458333332731E-4</c:v>
                </c:pt>
                <c:pt idx="16">
                  <c:v>-1.5512882234833349</c:v>
                </c:pt>
                <c:pt idx="17">
                  <c:v>-2.1635695669000001</c:v>
                </c:pt>
                <c:pt idx="18">
                  <c:v>-2.2547881090000019</c:v>
                </c:pt>
                <c:pt idx="19">
                  <c:v>-2.5395854803666649</c:v>
                </c:pt>
                <c:pt idx="20">
                  <c:v>-2.619690825183334</c:v>
                </c:pt>
                <c:pt idx="21">
                  <c:v>-2.776993647716667</c:v>
                </c:pt>
                <c:pt idx="22">
                  <c:v>-2.9058556840833338</c:v>
                </c:pt>
                <c:pt idx="23">
                  <c:v>-2.8331555368666672</c:v>
                </c:pt>
                <c:pt idx="24">
                  <c:v>-2.9561711629333352</c:v>
                </c:pt>
                <c:pt idx="25">
                  <c:v>-3.8780314630000001</c:v>
                </c:pt>
                <c:pt idx="26">
                  <c:v>-5.0640136717500006</c:v>
                </c:pt>
                <c:pt idx="27">
                  <c:v>-1.780952203200002</c:v>
                </c:pt>
                <c:pt idx="28">
                  <c:v>-3.1940655000006762E-4</c:v>
                </c:pt>
                <c:pt idx="29">
                  <c:v>-2.362660401433335</c:v>
                </c:pt>
                <c:pt idx="30">
                  <c:v>-2.272278099616666</c:v>
                </c:pt>
                <c:pt idx="31">
                  <c:v>-2.0786358721333338</c:v>
                </c:pt>
                <c:pt idx="32">
                  <c:v>-1.730859716833332</c:v>
                </c:pt>
                <c:pt idx="33">
                  <c:v>-1.5575623638166649</c:v>
                </c:pt>
                <c:pt idx="34">
                  <c:v>-1.290810261416665</c:v>
                </c:pt>
                <c:pt idx="35">
                  <c:v>-0.90499058521666709</c:v>
                </c:pt>
                <c:pt idx="36">
                  <c:v>-0.75155231783333443</c:v>
                </c:pt>
                <c:pt idx="37">
                  <c:v>-0.49590688524999998</c:v>
                </c:pt>
                <c:pt idx="38">
                  <c:v>-0.26628065426666653</c:v>
                </c:pt>
                <c:pt idx="39">
                  <c:v>3.7671181666698578E-4</c:v>
                </c:pt>
                <c:pt idx="40">
                  <c:v>-2.7663756666632122E-4</c:v>
                </c:pt>
                <c:pt idx="41">
                  <c:v>-2.156666666670026E-4</c:v>
                </c:pt>
                <c:pt idx="42">
                  <c:v>-3.2633333333298431E-4</c:v>
                </c:pt>
                <c:pt idx="43">
                  <c:v>-2.7566666666700712E-4</c:v>
                </c:pt>
                <c:pt idx="44">
                  <c:v>3.909999999999747E-4</c:v>
                </c:pt>
                <c:pt idx="45">
                  <c:v>-2.203333333329893E-4</c:v>
                </c:pt>
                <c:pt idx="46">
                  <c:v>-4.8333333332983841E-5</c:v>
                </c:pt>
                <c:pt idx="47">
                  <c:v>7.3333333340253049E-6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B8C-416A-AF76-2639CB973406}"/>
            </c:ext>
          </c:extLst>
        </c:ser>
        <c:ser>
          <c:idx val="73"/>
          <c:order val="73"/>
          <c:tx>
            <c:v>BES_TR1_six1020_A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Net_kW!$BX$2:$BX$49</c:f>
              <c:numCache>
                <c:formatCode>#,##0.000</c:formatCode>
                <c:ptCount val="48"/>
                <c:pt idx="0">
                  <c:v>-1.0666666666703239E-4</c:v>
                </c:pt>
                <c:pt idx="1">
                  <c:v>0</c:v>
                </c:pt>
                <c:pt idx="2">
                  <c:v>-1.506666666669931E-4</c:v>
                </c:pt>
                <c:pt idx="3">
                  <c:v>-4.119999999999957E-4</c:v>
                </c:pt>
                <c:pt idx="4">
                  <c:v>1.306666666666956E-4</c:v>
                </c:pt>
                <c:pt idx="5">
                  <c:v>3.0666666666701042E-4</c:v>
                </c:pt>
                <c:pt idx="6">
                  <c:v>0</c:v>
                </c:pt>
                <c:pt idx="7">
                  <c:v>4.0852986666634061E-4</c:v>
                </c:pt>
                <c:pt idx="8">
                  <c:v>-1.4649253333319509E-4</c:v>
                </c:pt>
                <c:pt idx="9">
                  <c:v>-1.8155720000001541E-4</c:v>
                </c:pt>
                <c:pt idx="10">
                  <c:v>-2.9495493333503431E-4</c:v>
                </c:pt>
                <c:pt idx="11">
                  <c:v>1.420234666680287E-4</c:v>
                </c:pt>
                <c:pt idx="12">
                  <c:v>3.8807399999896131E-4</c:v>
                </c:pt>
                <c:pt idx="13">
                  <c:v>3.8949893333461988E-4</c:v>
                </c:pt>
                <c:pt idx="14">
                  <c:v>1.2211866666778089E-5</c:v>
                </c:pt>
                <c:pt idx="15">
                  <c:v>3.6524333333298742E-4</c:v>
                </c:pt>
                <c:pt idx="16">
                  <c:v>-0.73067573160000099</c:v>
                </c:pt>
                <c:pt idx="17">
                  <c:v>-2.1731709335999998</c:v>
                </c:pt>
                <c:pt idx="18">
                  <c:v>-2.6203493626666678</c:v>
                </c:pt>
                <c:pt idx="19">
                  <c:v>-2.833730072799999</c:v>
                </c:pt>
                <c:pt idx="20">
                  <c:v>-2.7857506097333351</c:v>
                </c:pt>
                <c:pt idx="21">
                  <c:v>-3.2313051212000001</c:v>
                </c:pt>
                <c:pt idx="22">
                  <c:v>-3.3018639246666681</c:v>
                </c:pt>
                <c:pt idx="23">
                  <c:v>-3.0996307754666672</c:v>
                </c:pt>
                <c:pt idx="24">
                  <c:v>-3.1945589957333338</c:v>
                </c:pt>
                <c:pt idx="25">
                  <c:v>-3.215475005333333</c:v>
                </c:pt>
                <c:pt idx="26">
                  <c:v>-2.8912464820000001</c:v>
                </c:pt>
                <c:pt idx="27">
                  <c:v>-2.9588293274666682</c:v>
                </c:pt>
                <c:pt idx="28">
                  <c:v>-2.0415845598666702</c:v>
                </c:pt>
                <c:pt idx="29">
                  <c:v>-2.4173801730666682</c:v>
                </c:pt>
                <c:pt idx="30">
                  <c:v>-2.4005484948000002</c:v>
                </c:pt>
                <c:pt idx="31">
                  <c:v>-2.154575520533335</c:v>
                </c:pt>
                <c:pt idx="32">
                  <c:v>-1.8061083906666651</c:v>
                </c:pt>
                <c:pt idx="33">
                  <c:v>-1.528324272933332</c:v>
                </c:pt>
                <c:pt idx="34">
                  <c:v>-1.438915727333332</c:v>
                </c:pt>
                <c:pt idx="35">
                  <c:v>-0.92540228786666701</c:v>
                </c:pt>
                <c:pt idx="36">
                  <c:v>-0.74455000133333504</c:v>
                </c:pt>
                <c:pt idx="37">
                  <c:v>-0.17219372599999999</c:v>
                </c:pt>
                <c:pt idx="38">
                  <c:v>-5.474773333315891E-5</c:v>
                </c:pt>
                <c:pt idx="39">
                  <c:v>-1.0444840000001231E-4</c:v>
                </c:pt>
                <c:pt idx="40">
                  <c:v>-3.8610959999973987E-4</c:v>
                </c:pt>
                <c:pt idx="41">
                  <c:v>1.069999999999682E-4</c:v>
                </c:pt>
                <c:pt idx="42">
                  <c:v>2.1866666666703341E-4</c:v>
                </c:pt>
                <c:pt idx="43">
                  <c:v>-4.7733333333299649E-4</c:v>
                </c:pt>
                <c:pt idx="44">
                  <c:v>-8.5333333333020844E-5</c:v>
                </c:pt>
                <c:pt idx="45">
                  <c:v>5.1666666666991268E-5</c:v>
                </c:pt>
                <c:pt idx="46">
                  <c:v>3.7200000000001121E-4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B8C-416A-AF76-2639CB973406}"/>
            </c:ext>
          </c:extLst>
        </c:ser>
        <c:ser>
          <c:idx val="74"/>
          <c:order val="74"/>
          <c:tx>
            <c:v>BES_TR1_six1025_B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Net_kW!$BY$2:$BY$49</c:f>
              <c:numCache>
                <c:formatCode>#,##0.000</c:formatCode>
                <c:ptCount val="48"/>
                <c:pt idx="0">
                  <c:v>-2.096666666669966E-4</c:v>
                </c:pt>
                <c:pt idx="1">
                  <c:v>-1.6666666666997901E-5</c:v>
                </c:pt>
                <c:pt idx="2">
                  <c:v>-4.0333333333300581E-4</c:v>
                </c:pt>
                <c:pt idx="3">
                  <c:v>-7.2333333334007044E-5</c:v>
                </c:pt>
                <c:pt idx="4">
                  <c:v>3.0866666666670711E-4</c:v>
                </c:pt>
                <c:pt idx="5">
                  <c:v>-3.1333333332994602E-5</c:v>
                </c:pt>
                <c:pt idx="6">
                  <c:v>1.8866666666700341E-4</c:v>
                </c:pt>
                <c:pt idx="7">
                  <c:v>2.2039739999998859E-4</c:v>
                </c:pt>
                <c:pt idx="8">
                  <c:v>4.814639333331483E-4</c:v>
                </c:pt>
                <c:pt idx="9">
                  <c:v>2.378321000000138E-4</c:v>
                </c:pt>
                <c:pt idx="10">
                  <c:v>2.7678379999895858E-4</c:v>
                </c:pt>
                <c:pt idx="11">
                  <c:v>1.4351760000103081E-4</c:v>
                </c:pt>
                <c:pt idx="12">
                  <c:v>4.3138883333193601E-4</c:v>
                </c:pt>
                <c:pt idx="13">
                  <c:v>4.1745753333399799E-4</c:v>
                </c:pt>
                <c:pt idx="14">
                  <c:v>-2.9025776666591341E-4</c:v>
                </c:pt>
                <c:pt idx="15">
                  <c:v>4.8376583333298312E-4</c:v>
                </c:pt>
                <c:pt idx="16">
                  <c:v>-3.9048700001043102E-5</c:v>
                </c:pt>
                <c:pt idx="17">
                  <c:v>-0.1188615335333332</c:v>
                </c:pt>
                <c:pt idx="18">
                  <c:v>-1.809531522000001</c:v>
                </c:pt>
                <c:pt idx="19">
                  <c:v>-1.929154887933332</c:v>
                </c:pt>
                <c:pt idx="20">
                  <c:v>-2.1593447073000012</c:v>
                </c:pt>
                <c:pt idx="21">
                  <c:v>-2.2692828408999999</c:v>
                </c:pt>
                <c:pt idx="22">
                  <c:v>-2.3131541101666682</c:v>
                </c:pt>
                <c:pt idx="23">
                  <c:v>-2.0550796982666668</c:v>
                </c:pt>
                <c:pt idx="24">
                  <c:v>-1.9169263301333339</c:v>
                </c:pt>
                <c:pt idx="25">
                  <c:v>-2.3119862539999998</c:v>
                </c:pt>
                <c:pt idx="26">
                  <c:v>-2.0976205281666669</c:v>
                </c:pt>
                <c:pt idx="27">
                  <c:v>-2.016692078933334</c:v>
                </c:pt>
                <c:pt idx="28">
                  <c:v>-1.7864475865666669</c:v>
                </c:pt>
                <c:pt idx="29">
                  <c:v>-1.978781296466668</c:v>
                </c:pt>
                <c:pt idx="30">
                  <c:v>-1.864441704433333</c:v>
                </c:pt>
                <c:pt idx="31">
                  <c:v>-1.5619892237333339</c:v>
                </c:pt>
                <c:pt idx="32">
                  <c:v>-1.2565867096666661</c:v>
                </c:pt>
                <c:pt idx="33">
                  <c:v>-1.206186121366666</c:v>
                </c:pt>
                <c:pt idx="34">
                  <c:v>-0.70889412883333214</c:v>
                </c:pt>
                <c:pt idx="35">
                  <c:v>-0.82406821590000023</c:v>
                </c:pt>
                <c:pt idx="36">
                  <c:v>-0.28158636766666811</c:v>
                </c:pt>
                <c:pt idx="37">
                  <c:v>-8.5822044499999972E-2</c:v>
                </c:pt>
                <c:pt idx="38">
                  <c:v>-4.4822746666690888E-4</c:v>
                </c:pt>
                <c:pt idx="39">
                  <c:v>-4.032946333330234E-4</c:v>
                </c:pt>
                <c:pt idx="40">
                  <c:v>3.4816780000035408E-4</c:v>
                </c:pt>
                <c:pt idx="41">
                  <c:v>-3.3133333333301712E-4</c:v>
                </c:pt>
                <c:pt idx="42">
                  <c:v>-4.336666666669986E-4</c:v>
                </c:pt>
                <c:pt idx="43">
                  <c:v>-1.0666666666603319E-4</c:v>
                </c:pt>
                <c:pt idx="44">
                  <c:v>1.7466666666698941E-4</c:v>
                </c:pt>
                <c:pt idx="45">
                  <c:v>-3.3666666666698491E-4</c:v>
                </c:pt>
                <c:pt idx="46">
                  <c:v>3.1766666666704912E-4</c:v>
                </c:pt>
                <c:pt idx="47">
                  <c:v>4.8033333333297179E-4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B8C-416A-AF76-2639CB973406}"/>
            </c:ext>
          </c:extLst>
        </c:ser>
        <c:ser>
          <c:idx val="75"/>
          <c:order val="75"/>
          <c:tx>
            <c:v>BES_TR1_six1064_C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Net_kW!$BZ$2:$BZ$49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2.6666666666698419E-4</c:v>
                </c:pt>
                <c:pt idx="3">
                  <c:v>-3.8666666666703492E-4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1.397991333333265E-4</c:v>
                </c:pt>
                <c:pt idx="8">
                  <c:v>-4.3362313333330382E-4</c:v>
                </c:pt>
                <c:pt idx="9">
                  <c:v>-1.4338930000000301E-4</c:v>
                </c:pt>
                <c:pt idx="10">
                  <c:v>-3.3507206666699712E-4</c:v>
                </c:pt>
                <c:pt idx="11">
                  <c:v>-4.6449413333299328E-4</c:v>
                </c:pt>
                <c:pt idx="12">
                  <c:v>2.0351833332987731E-5</c:v>
                </c:pt>
                <c:pt idx="13">
                  <c:v>-4.3529193333297078E-4</c:v>
                </c:pt>
                <c:pt idx="14">
                  <c:v>-4.8986370000003721E-4</c:v>
                </c:pt>
                <c:pt idx="15">
                  <c:v>4.7614416666702519E-4</c:v>
                </c:pt>
                <c:pt idx="16">
                  <c:v>-4.2234956666697959E-4</c:v>
                </c:pt>
                <c:pt idx="17">
                  <c:v>4.9726660000004586E-4</c:v>
                </c:pt>
                <c:pt idx="18">
                  <c:v>-1.205073333339635E-4</c:v>
                </c:pt>
                <c:pt idx="19">
                  <c:v>4.0414846666714238E-4</c:v>
                </c:pt>
                <c:pt idx="20">
                  <c:v>-2.2357666669137188E-6</c:v>
                </c:pt>
                <c:pt idx="21">
                  <c:v>1.7371970000001899E-4</c:v>
                </c:pt>
                <c:pt idx="22">
                  <c:v>-2.4448116666697661E-4</c:v>
                </c:pt>
                <c:pt idx="23">
                  <c:v>-0.32339167719999989</c:v>
                </c:pt>
                <c:pt idx="24">
                  <c:v>-0.81662033226666697</c:v>
                </c:pt>
                <c:pt idx="25">
                  <c:v>-1.290580418</c:v>
                </c:pt>
                <c:pt idx="26">
                  <c:v>-1.0634596205</c:v>
                </c:pt>
                <c:pt idx="27">
                  <c:v>-0.506503581866667</c:v>
                </c:pt>
                <c:pt idx="28">
                  <c:v>2.2026700000066232E-5</c:v>
                </c:pt>
                <c:pt idx="29">
                  <c:v>-2.6887543266666921E-2</c:v>
                </c:pt>
                <c:pt idx="30">
                  <c:v>-0.54895879036666706</c:v>
                </c:pt>
                <c:pt idx="31">
                  <c:v>-0.52207196346666684</c:v>
                </c:pt>
                <c:pt idx="32">
                  <c:v>-0.156449014333333</c:v>
                </c:pt>
                <c:pt idx="33">
                  <c:v>-0.36562781823333301</c:v>
                </c:pt>
                <c:pt idx="34">
                  <c:v>-0.34080293183333299</c:v>
                </c:pt>
                <c:pt idx="35">
                  <c:v>-0.26248740529999998</c:v>
                </c:pt>
                <c:pt idx="36">
                  <c:v>-0.18672923366666699</c:v>
                </c:pt>
                <c:pt idx="37">
                  <c:v>-0.1136876815</c:v>
                </c:pt>
                <c:pt idx="38">
                  <c:v>-1.9752026666629291E-4</c:v>
                </c:pt>
                <c:pt idx="39">
                  <c:v>3.6601290000001779E-4</c:v>
                </c:pt>
                <c:pt idx="40">
                  <c:v>-1.4427740000066969E-4</c:v>
                </c:pt>
                <c:pt idx="41">
                  <c:v>3.0666666666695491E-4</c:v>
                </c:pt>
                <c:pt idx="42">
                  <c:v>-6.6666666665993191E-5</c:v>
                </c:pt>
                <c:pt idx="43">
                  <c:v>-1.8766666666703011E-4</c:v>
                </c:pt>
                <c:pt idx="44">
                  <c:v>-2.6166666666699312E-4</c:v>
                </c:pt>
                <c:pt idx="45">
                  <c:v>-1.4133333333304909E-4</c:v>
                </c:pt>
                <c:pt idx="46">
                  <c:v>-4.9999999999994493E-5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B8C-416A-AF76-2639CB973406}"/>
            </c:ext>
          </c:extLst>
        </c:ser>
        <c:ser>
          <c:idx val="76"/>
          <c:order val="76"/>
          <c:tx>
            <c:v>BES_TR1_six128_B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Net_kW!$CA$2:$CA$49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4.1939739999999342E-4</c:v>
                </c:pt>
                <c:pt idx="8">
                  <c:v>-3.0086939999990001E-4</c:v>
                </c:pt>
                <c:pt idx="9">
                  <c:v>-4.3016790000000032E-4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6.1055499999018714E-5</c:v>
                </c:pt>
                <c:pt idx="13">
                  <c:v>-3.0587579999885589E-4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-1.1772470487000011</c:v>
                </c:pt>
                <c:pt idx="17">
                  <c:v>-1.8544882002</c:v>
                </c:pt>
                <c:pt idx="18">
                  <c:v>-1.7390698553333339</c:v>
                </c:pt>
                <c:pt idx="19">
                  <c:v>-1.824869621266666</c:v>
                </c:pt>
                <c:pt idx="20">
                  <c:v>-2.3049175073000008</c:v>
                </c:pt>
                <c:pt idx="21">
                  <c:v>-2.4144788409000002</c:v>
                </c:pt>
                <c:pt idx="22">
                  <c:v>-2.4907334435000008</c:v>
                </c:pt>
                <c:pt idx="23">
                  <c:v>-2.5241750316</c:v>
                </c:pt>
                <c:pt idx="24">
                  <c:v>-2.533860996800001</c:v>
                </c:pt>
                <c:pt idx="25">
                  <c:v>-2.5157412539999999</c:v>
                </c:pt>
                <c:pt idx="26">
                  <c:v>-2.4548688615000001</c:v>
                </c:pt>
                <c:pt idx="27">
                  <c:v>-2.331796478933335</c:v>
                </c:pt>
                <c:pt idx="28">
                  <c:v>-2.0812398532333329</c:v>
                </c:pt>
                <c:pt idx="29">
                  <c:v>-1.649743963133335</c:v>
                </c:pt>
                <c:pt idx="30">
                  <c:v>-1.4946400377666671</c:v>
                </c:pt>
                <c:pt idx="31">
                  <c:v>-1.769631890400001</c:v>
                </c:pt>
                <c:pt idx="32">
                  <c:v>-1.5629100429999989</c:v>
                </c:pt>
                <c:pt idx="33">
                  <c:v>-1.323545454699999</c:v>
                </c:pt>
                <c:pt idx="34">
                  <c:v>-1.0810754621666661</c:v>
                </c:pt>
                <c:pt idx="35">
                  <c:v>-0.7872318825666671</c:v>
                </c:pt>
                <c:pt idx="36">
                  <c:v>-0.14721970100000101</c:v>
                </c:pt>
                <c:pt idx="37">
                  <c:v>-1.1932511166666991E-2</c:v>
                </c:pt>
                <c:pt idx="38">
                  <c:v>3.7970586666707939E-4</c:v>
                </c:pt>
                <c:pt idx="39">
                  <c:v>-1.4396130000005061E-4</c:v>
                </c:pt>
                <c:pt idx="40">
                  <c:v>-5.349886666705661E-5</c:v>
                </c:pt>
                <c:pt idx="41">
                  <c:v>9.6666666667022394E-5</c:v>
                </c:pt>
                <c:pt idx="42">
                  <c:v>1.9666666666706689E-4</c:v>
                </c:pt>
                <c:pt idx="43">
                  <c:v>-2.7466666666597922E-4</c:v>
                </c:pt>
                <c:pt idx="44">
                  <c:v>1.506666666669654E-4</c:v>
                </c:pt>
                <c:pt idx="45">
                  <c:v>1.143333333329943E-4</c:v>
                </c:pt>
                <c:pt idx="46">
                  <c:v>2.543333333339115E-4</c:v>
                </c:pt>
                <c:pt idx="47">
                  <c:v>-2.4966666666703658E-4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B8C-416A-AF76-2639CB973406}"/>
            </c:ext>
          </c:extLst>
        </c:ser>
        <c:ser>
          <c:idx val="77"/>
          <c:order val="77"/>
          <c:tx>
            <c:v>self-consumption target (net = 0)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B8C-416A-AF76-2639CB973406}"/>
            </c:ext>
          </c:extLst>
        </c:ser>
        <c:ser>
          <c:idx val="78"/>
          <c:order val="78"/>
          <c:tx>
            <c:v>fleet average net</c:v>
          </c:tx>
          <c:spPr>
            <a:ln w="28575">
              <a:solidFill>
                <a:srgbClr val="111827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ChartData!$AC$2:$AC$49</c:f>
              <c:numCache>
                <c:formatCode>#,##0.000</c:formatCode>
                <c:ptCount val="48"/>
                <c:pt idx="0">
                  <c:v>6.24863636363715E-4</c:v>
                </c:pt>
                <c:pt idx="1">
                  <c:v>1.9169774891775182E-3</c:v>
                </c:pt>
                <c:pt idx="2">
                  <c:v>1.7353116883117164E-3</c:v>
                </c:pt>
                <c:pt idx="3">
                  <c:v>2.6181549783549363E-3</c:v>
                </c:pt>
                <c:pt idx="4">
                  <c:v>4.8003160173160503E-3</c:v>
                </c:pt>
                <c:pt idx="5">
                  <c:v>3.2836787878789409E-3</c:v>
                </c:pt>
                <c:pt idx="6">
                  <c:v>5.6018441558441656E-3</c:v>
                </c:pt>
                <c:pt idx="7">
                  <c:v>5.3688957640693064E-3</c:v>
                </c:pt>
                <c:pt idx="8">
                  <c:v>6.4570078311689816E-3</c:v>
                </c:pt>
                <c:pt idx="9">
                  <c:v>-2.9369514069361308E-5</c:v>
                </c:pt>
                <c:pt idx="10">
                  <c:v>6.6844846536690677E-4</c:v>
                </c:pt>
                <c:pt idx="11">
                  <c:v>3.6063922078805695E-5</c:v>
                </c:pt>
                <c:pt idx="12">
                  <c:v>4.8331812769752958E-5</c:v>
                </c:pt>
                <c:pt idx="13">
                  <c:v>4.3145603897197515E-5</c:v>
                </c:pt>
                <c:pt idx="14">
                  <c:v>2.3313767315864126E-5</c:v>
                </c:pt>
                <c:pt idx="15">
                  <c:v>-7.1464112418830564E-2</c:v>
                </c:pt>
                <c:pt idx="16">
                  <c:v>-0.57564057591233897</c:v>
                </c:pt>
                <c:pt idx="17">
                  <c:v>-0.93423942746536648</c:v>
                </c:pt>
                <c:pt idx="18">
                  <c:v>-1.2803331828787889</c:v>
                </c:pt>
                <c:pt idx="19">
                  <c:v>-1.5453660251017296</c:v>
                </c:pt>
                <c:pt idx="20">
                  <c:v>-1.7389046418798704</c:v>
                </c:pt>
                <c:pt idx="21">
                  <c:v>-1.8872785316028131</c:v>
                </c:pt>
                <c:pt idx="22">
                  <c:v>-1.9435525163582255</c:v>
                </c:pt>
                <c:pt idx="23">
                  <c:v>-1.9992191685324681</c:v>
                </c:pt>
                <c:pt idx="24">
                  <c:v>-2.0821233847965392</c:v>
                </c:pt>
                <c:pt idx="25">
                  <c:v>-2.1110055740909095</c:v>
                </c:pt>
                <c:pt idx="26">
                  <c:v>-2.1125502891071442</c:v>
                </c:pt>
                <c:pt idx="27">
                  <c:v>-2.0005828450043293</c:v>
                </c:pt>
                <c:pt idx="28">
                  <c:v>-1.8118591739296517</c:v>
                </c:pt>
                <c:pt idx="29">
                  <c:v>-1.6982478061926412</c:v>
                </c:pt>
                <c:pt idx="30">
                  <c:v>-1.6699999098257583</c:v>
                </c:pt>
                <c:pt idx="31">
                  <c:v>-1.474925909151517</c:v>
                </c:pt>
                <c:pt idx="32">
                  <c:v>-1.2549838466125529</c:v>
                </c:pt>
                <c:pt idx="33">
                  <c:v>-1.0133087349383112</c:v>
                </c:pt>
                <c:pt idx="34">
                  <c:v>-0.77087736276515106</c:v>
                </c:pt>
                <c:pt idx="35">
                  <c:v>-0.56173590925432937</c:v>
                </c:pt>
                <c:pt idx="36">
                  <c:v>-0.36792109598484946</c:v>
                </c:pt>
                <c:pt idx="37">
                  <c:v>-0.20042438571969715</c:v>
                </c:pt>
                <c:pt idx="38">
                  <c:v>-4.177979341125522E-2</c:v>
                </c:pt>
                <c:pt idx="39">
                  <c:v>1.9348938574675401E-2</c:v>
                </c:pt>
                <c:pt idx="40">
                  <c:v>1.4326200586579851E-2</c:v>
                </c:pt>
                <c:pt idx="41">
                  <c:v>4.351730865800818E-2</c:v>
                </c:pt>
                <c:pt idx="42">
                  <c:v>5.117771212121236E-2</c:v>
                </c:pt>
                <c:pt idx="43">
                  <c:v>5.8188692640692818E-2</c:v>
                </c:pt>
                <c:pt idx="44">
                  <c:v>8.2548350649350899E-2</c:v>
                </c:pt>
                <c:pt idx="45">
                  <c:v>7.5936658008657842E-2</c:v>
                </c:pt>
                <c:pt idx="46">
                  <c:v>8.8515341991342034E-2</c:v>
                </c:pt>
                <c:pt idx="47">
                  <c:v>6.7101551515151375E-2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B8C-416A-AF76-2639CB973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cross"/>
        <c:minorTickMark val="none"/>
        <c:tickLblPos val="low"/>
        <c:spPr>
          <a:ln/>
        </c:spPr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2"/>
        <c:noMultiLvlLbl val="0"/>
      </c:catAx>
      <c:valAx>
        <c:axId val="48672768"/>
        <c:scaling>
          <c:orientation val="minMax"/>
          <c:max val="3"/>
          <c:min val="-5.5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Net grid exchange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BES_TR1_one223_B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SOC_pct!$C$2:$C$49</c:f>
              <c:numCache>
                <c:formatCode>0.0</c:formatCode>
                <c:ptCount val="48"/>
                <c:pt idx="0">
                  <c:v>40</c:v>
                </c:pt>
                <c:pt idx="1">
                  <c:v>37.6999</c:v>
                </c:pt>
                <c:pt idx="2">
                  <c:v>34.683199999999999</c:v>
                </c:pt>
                <c:pt idx="3">
                  <c:v>32.780099999999997</c:v>
                </c:pt>
                <c:pt idx="4">
                  <c:v>29.9816</c:v>
                </c:pt>
                <c:pt idx="5">
                  <c:v>28.2135</c:v>
                </c:pt>
                <c:pt idx="6">
                  <c:v>26.351800000000001</c:v>
                </c:pt>
                <c:pt idx="7">
                  <c:v>22.852499999999999</c:v>
                </c:pt>
                <c:pt idx="8">
                  <c:v>22.3184</c:v>
                </c:pt>
                <c:pt idx="9">
                  <c:v>21.1295</c:v>
                </c:pt>
                <c:pt idx="10">
                  <c:v>21.352</c:v>
                </c:pt>
                <c:pt idx="11">
                  <c:v>25.779800000000002</c:v>
                </c:pt>
                <c:pt idx="12">
                  <c:v>30.9725</c:v>
                </c:pt>
                <c:pt idx="13">
                  <c:v>41.431600000000003</c:v>
                </c:pt>
                <c:pt idx="14">
                  <c:v>55.046499999999988</c:v>
                </c:pt>
                <c:pt idx="15">
                  <c:v>70.841899999999995</c:v>
                </c:pt>
                <c:pt idx="16">
                  <c:v>89.217699999999994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95.602100000000007</c:v>
                </c:pt>
                <c:pt idx="41">
                  <c:v>83.2333</c:v>
                </c:pt>
                <c:pt idx="42">
                  <c:v>74.107100000000003</c:v>
                </c:pt>
                <c:pt idx="43">
                  <c:v>61.943399999999997</c:v>
                </c:pt>
                <c:pt idx="44">
                  <c:v>54.4681</c:v>
                </c:pt>
                <c:pt idx="45">
                  <c:v>32.8215</c:v>
                </c:pt>
                <c:pt idx="46">
                  <c:v>23.937100000000001</c:v>
                </c:pt>
                <c:pt idx="47">
                  <c:v>17.3325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4-490A-9968-9A153E9F6C5E}"/>
            </c:ext>
          </c:extLst>
        </c:ser>
        <c:ser>
          <c:idx val="1"/>
          <c:order val="1"/>
          <c:tx>
            <c:v>BES_TR1_one313_A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SOC_pct!$D$2:$D$49</c:f>
              <c:numCache>
                <c:formatCode>0.0</c:formatCode>
                <c:ptCount val="48"/>
                <c:pt idx="0">
                  <c:v>40</c:v>
                </c:pt>
                <c:pt idx="1">
                  <c:v>38.815100000000001</c:v>
                </c:pt>
                <c:pt idx="2">
                  <c:v>38.313099999999999</c:v>
                </c:pt>
                <c:pt idx="3">
                  <c:v>37.811199999999999</c:v>
                </c:pt>
                <c:pt idx="4">
                  <c:v>36.626300000000001</c:v>
                </c:pt>
                <c:pt idx="5">
                  <c:v>34.929200000000002</c:v>
                </c:pt>
                <c:pt idx="6">
                  <c:v>34.427199999999999</c:v>
                </c:pt>
                <c:pt idx="7">
                  <c:v>32.0471</c:v>
                </c:pt>
                <c:pt idx="8">
                  <c:v>31.5883</c:v>
                </c:pt>
                <c:pt idx="9">
                  <c:v>30.686</c:v>
                </c:pt>
                <c:pt idx="10">
                  <c:v>32.092599999999997</c:v>
                </c:pt>
                <c:pt idx="11">
                  <c:v>36.7744</c:v>
                </c:pt>
                <c:pt idx="12">
                  <c:v>43.087599999999988</c:v>
                </c:pt>
                <c:pt idx="13">
                  <c:v>54.471099999999993</c:v>
                </c:pt>
                <c:pt idx="14">
                  <c:v>69.353699999999989</c:v>
                </c:pt>
                <c:pt idx="15">
                  <c:v>85.115399999999994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97.867899999999992</c:v>
                </c:pt>
                <c:pt idx="42">
                  <c:v>97.365900000000011</c:v>
                </c:pt>
                <c:pt idx="43">
                  <c:v>96.86399999999999</c:v>
                </c:pt>
                <c:pt idx="44">
                  <c:v>96.105900000000005</c:v>
                </c:pt>
                <c:pt idx="45">
                  <c:v>93.981899999999996</c:v>
                </c:pt>
                <c:pt idx="46">
                  <c:v>93.47999999999999</c:v>
                </c:pt>
                <c:pt idx="47">
                  <c:v>91.953600000000009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A4-490A-9968-9A153E9F6C5E}"/>
            </c:ext>
          </c:extLst>
        </c:ser>
        <c:ser>
          <c:idx val="2"/>
          <c:order val="2"/>
          <c:tx>
            <c:v>BES_TR1_one320_B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SOC_pct!$E$2:$E$49</c:f>
              <c:numCache>
                <c:formatCode>0.0</c:formatCode>
                <c:ptCount val="48"/>
                <c:pt idx="0">
                  <c:v>40</c:v>
                </c:pt>
                <c:pt idx="1">
                  <c:v>39.372600000000013</c:v>
                </c:pt>
                <c:pt idx="2">
                  <c:v>37.700899999999997</c:v>
                </c:pt>
                <c:pt idx="3">
                  <c:v>37.073399999999999</c:v>
                </c:pt>
                <c:pt idx="4">
                  <c:v>35.401700000000012</c:v>
                </c:pt>
                <c:pt idx="5">
                  <c:v>34.774299999999997</c:v>
                </c:pt>
                <c:pt idx="6">
                  <c:v>33.972799999999999</c:v>
                </c:pt>
                <c:pt idx="7">
                  <c:v>32.475200000000001</c:v>
                </c:pt>
                <c:pt idx="8">
                  <c:v>31.869299999999999</c:v>
                </c:pt>
                <c:pt idx="9">
                  <c:v>31.553999999999998</c:v>
                </c:pt>
                <c:pt idx="10">
                  <c:v>32.302599999999998</c:v>
                </c:pt>
                <c:pt idx="11">
                  <c:v>34.3431</c:v>
                </c:pt>
                <c:pt idx="12">
                  <c:v>37.027799999999999</c:v>
                </c:pt>
                <c:pt idx="13">
                  <c:v>42.380699999999997</c:v>
                </c:pt>
                <c:pt idx="14">
                  <c:v>49.483199999999997</c:v>
                </c:pt>
                <c:pt idx="15">
                  <c:v>58.169600000000003</c:v>
                </c:pt>
                <c:pt idx="16">
                  <c:v>67.972399999999993</c:v>
                </c:pt>
                <c:pt idx="17">
                  <c:v>80.194400000000002</c:v>
                </c:pt>
                <c:pt idx="18">
                  <c:v>93.9542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97.623099999999994</c:v>
                </c:pt>
                <c:pt idx="40">
                  <c:v>81.650100000000009</c:v>
                </c:pt>
                <c:pt idx="41">
                  <c:v>75.858899999999991</c:v>
                </c:pt>
                <c:pt idx="42">
                  <c:v>69.581699999999998</c:v>
                </c:pt>
                <c:pt idx="43">
                  <c:v>64.4756</c:v>
                </c:pt>
                <c:pt idx="44">
                  <c:v>58.785499999999999</c:v>
                </c:pt>
                <c:pt idx="45">
                  <c:v>55.359299999999998</c:v>
                </c:pt>
                <c:pt idx="46">
                  <c:v>49.0471</c:v>
                </c:pt>
                <c:pt idx="47">
                  <c:v>43.326700000000002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A4-490A-9968-9A153E9F6C5E}"/>
            </c:ext>
          </c:extLst>
        </c:ser>
        <c:ser>
          <c:idx val="3"/>
          <c:order val="3"/>
          <c:tx>
            <c:v>BES_TR1_one321_C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SOC_pct!$F$2:$F$49</c:f>
              <c:numCache>
                <c:formatCode>0.0</c:formatCode>
                <c:ptCount val="48"/>
                <c:pt idx="0">
                  <c:v>40</c:v>
                </c:pt>
                <c:pt idx="1">
                  <c:v>39.284700000000001</c:v>
                </c:pt>
                <c:pt idx="2">
                  <c:v>38.569499999999998</c:v>
                </c:pt>
                <c:pt idx="3">
                  <c:v>37.854199999999999</c:v>
                </c:pt>
                <c:pt idx="4">
                  <c:v>35.652500000000003</c:v>
                </c:pt>
                <c:pt idx="5">
                  <c:v>34.9373</c:v>
                </c:pt>
                <c:pt idx="6">
                  <c:v>32.735599999999998</c:v>
                </c:pt>
                <c:pt idx="7">
                  <c:v>32.020299999999999</c:v>
                </c:pt>
                <c:pt idx="8">
                  <c:v>30.0105</c:v>
                </c:pt>
                <c:pt idx="9">
                  <c:v>29.770700000000001</c:v>
                </c:pt>
                <c:pt idx="10">
                  <c:v>30.549600000000002</c:v>
                </c:pt>
                <c:pt idx="11">
                  <c:v>34.982400000000013</c:v>
                </c:pt>
                <c:pt idx="12">
                  <c:v>42.717199999999998</c:v>
                </c:pt>
                <c:pt idx="13">
                  <c:v>53.4405</c:v>
                </c:pt>
                <c:pt idx="14">
                  <c:v>67.261499999999998</c:v>
                </c:pt>
                <c:pt idx="15">
                  <c:v>85.433199999999999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99.291700000000006</c:v>
                </c:pt>
                <c:pt idx="41">
                  <c:v>98.67580000000001</c:v>
                </c:pt>
                <c:pt idx="42">
                  <c:v>97.514600000000002</c:v>
                </c:pt>
                <c:pt idx="43">
                  <c:v>95.758799999999994</c:v>
                </c:pt>
                <c:pt idx="44">
                  <c:v>94.5976</c:v>
                </c:pt>
                <c:pt idx="45">
                  <c:v>92.841899999999995</c:v>
                </c:pt>
                <c:pt idx="46">
                  <c:v>92.126599999999996</c:v>
                </c:pt>
                <c:pt idx="47">
                  <c:v>91.411299999999997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A4-490A-9968-9A153E9F6C5E}"/>
            </c:ext>
          </c:extLst>
        </c:ser>
        <c:ser>
          <c:idx val="4"/>
          <c:order val="4"/>
          <c:tx>
            <c:v>BES_TR1_one346_C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SOC_pct!$G$2:$G$49</c:f>
              <c:numCache>
                <c:formatCode>0.0</c:formatCode>
                <c:ptCount val="48"/>
                <c:pt idx="0">
                  <c:v>40</c:v>
                </c:pt>
                <c:pt idx="1">
                  <c:v>39.309800000000003</c:v>
                </c:pt>
                <c:pt idx="2">
                  <c:v>38.619700000000002</c:v>
                </c:pt>
                <c:pt idx="3">
                  <c:v>35.930999999999997</c:v>
                </c:pt>
                <c:pt idx="4">
                  <c:v>35.240900000000003</c:v>
                </c:pt>
                <c:pt idx="5">
                  <c:v>33.188099999999999</c:v>
                </c:pt>
                <c:pt idx="6">
                  <c:v>31.862100000000002</c:v>
                </c:pt>
                <c:pt idx="7">
                  <c:v>30.8994</c:v>
                </c:pt>
                <c:pt idx="8">
                  <c:v>28.515699999999999</c:v>
                </c:pt>
                <c:pt idx="9">
                  <c:v>28.293600000000001</c:v>
                </c:pt>
                <c:pt idx="10">
                  <c:v>29.642399999999999</c:v>
                </c:pt>
                <c:pt idx="11">
                  <c:v>32.929099999999998</c:v>
                </c:pt>
                <c:pt idx="12">
                  <c:v>37.610700000000001</c:v>
                </c:pt>
                <c:pt idx="13">
                  <c:v>45.048400000000001</c:v>
                </c:pt>
                <c:pt idx="14">
                  <c:v>55.764499999999998</c:v>
                </c:pt>
                <c:pt idx="15">
                  <c:v>67.619799999999998</c:v>
                </c:pt>
                <c:pt idx="16">
                  <c:v>83.724699999999999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98.955800000000011</c:v>
                </c:pt>
                <c:pt idx="41">
                  <c:v>98.451599999999999</c:v>
                </c:pt>
                <c:pt idx="42">
                  <c:v>97.670599999999993</c:v>
                </c:pt>
                <c:pt idx="43">
                  <c:v>95.072800000000001</c:v>
                </c:pt>
                <c:pt idx="44">
                  <c:v>94.3827</c:v>
                </c:pt>
                <c:pt idx="45">
                  <c:v>91.694000000000003</c:v>
                </c:pt>
                <c:pt idx="46">
                  <c:v>91.003900000000002</c:v>
                </c:pt>
                <c:pt idx="47">
                  <c:v>89.950299999999999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A4-490A-9968-9A153E9F6C5E}"/>
            </c:ext>
          </c:extLst>
        </c:ser>
        <c:ser>
          <c:idx val="5"/>
          <c:order val="5"/>
          <c:tx>
            <c:v>BES_TR1_one366_B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SOC_pct!$H$2:$H$49</c:f>
              <c:numCache>
                <c:formatCode>0.0</c:formatCode>
                <c:ptCount val="48"/>
                <c:pt idx="0">
                  <c:v>40</c:v>
                </c:pt>
                <c:pt idx="1">
                  <c:v>37.595399999999998</c:v>
                </c:pt>
                <c:pt idx="2">
                  <c:v>34.861400000000003</c:v>
                </c:pt>
                <c:pt idx="3">
                  <c:v>33.855800000000002</c:v>
                </c:pt>
                <c:pt idx="4">
                  <c:v>30.021000000000001</c:v>
                </c:pt>
                <c:pt idx="5">
                  <c:v>28.1281</c:v>
                </c:pt>
                <c:pt idx="6">
                  <c:v>26.2622</c:v>
                </c:pt>
                <c:pt idx="7">
                  <c:v>22.3155</c:v>
                </c:pt>
                <c:pt idx="8">
                  <c:v>21.150200000000002</c:v>
                </c:pt>
                <c:pt idx="9">
                  <c:v>18.860299999999999</c:v>
                </c:pt>
                <c:pt idx="10">
                  <c:v>17.618200000000002</c:v>
                </c:pt>
                <c:pt idx="11">
                  <c:v>19.613499999999998</c:v>
                </c:pt>
                <c:pt idx="12">
                  <c:v>20.861899999999999</c:v>
                </c:pt>
                <c:pt idx="13">
                  <c:v>24.488900000000001</c:v>
                </c:pt>
                <c:pt idx="14">
                  <c:v>30.1631</c:v>
                </c:pt>
                <c:pt idx="15">
                  <c:v>38.013000000000012</c:v>
                </c:pt>
                <c:pt idx="16">
                  <c:v>46.146000000000001</c:v>
                </c:pt>
                <c:pt idx="17">
                  <c:v>57.083599999999997</c:v>
                </c:pt>
                <c:pt idx="18">
                  <c:v>69.0732</c:v>
                </c:pt>
                <c:pt idx="19">
                  <c:v>81.374200000000002</c:v>
                </c:pt>
                <c:pt idx="20">
                  <c:v>96.203000000000003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98.628099999999989</c:v>
                </c:pt>
                <c:pt idx="37">
                  <c:v>74.69019999999999</c:v>
                </c:pt>
                <c:pt idx="38">
                  <c:v>72.497599999999991</c:v>
                </c:pt>
                <c:pt idx="39">
                  <c:v>69.554199999999994</c:v>
                </c:pt>
                <c:pt idx="40">
                  <c:v>61.185699999999997</c:v>
                </c:pt>
                <c:pt idx="41">
                  <c:v>51.5884</c:v>
                </c:pt>
                <c:pt idx="42">
                  <c:v>36.439700000000002</c:v>
                </c:pt>
                <c:pt idx="43">
                  <c:v>22.873899999999999</c:v>
                </c:pt>
                <c:pt idx="44">
                  <c:v>12.0725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A4-490A-9968-9A153E9F6C5E}"/>
            </c:ext>
          </c:extLst>
        </c:ser>
        <c:ser>
          <c:idx val="6"/>
          <c:order val="6"/>
          <c:tx>
            <c:v>BES_TR1_one375_C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SOC_pct!$I$2:$I$49</c:f>
              <c:numCache>
                <c:formatCode>0.0</c:formatCode>
                <c:ptCount val="48"/>
                <c:pt idx="0">
                  <c:v>40</c:v>
                </c:pt>
                <c:pt idx="1">
                  <c:v>37.126399999999997</c:v>
                </c:pt>
                <c:pt idx="2">
                  <c:v>35.773299999999999</c:v>
                </c:pt>
                <c:pt idx="3">
                  <c:v>34.380899999999997</c:v>
                </c:pt>
                <c:pt idx="4">
                  <c:v>31.592500000000001</c:v>
                </c:pt>
                <c:pt idx="5">
                  <c:v>30.6523</c:v>
                </c:pt>
                <c:pt idx="6">
                  <c:v>28.807600000000001</c:v>
                </c:pt>
                <c:pt idx="7">
                  <c:v>26.3339</c:v>
                </c:pt>
                <c:pt idx="8">
                  <c:v>25.695799999999998</c:v>
                </c:pt>
                <c:pt idx="9">
                  <c:v>23.847999999999999</c:v>
                </c:pt>
                <c:pt idx="10">
                  <c:v>23.5915</c:v>
                </c:pt>
                <c:pt idx="11">
                  <c:v>25.718499999999999</c:v>
                </c:pt>
                <c:pt idx="12">
                  <c:v>28.197900000000001</c:v>
                </c:pt>
                <c:pt idx="13">
                  <c:v>34.996300000000012</c:v>
                </c:pt>
                <c:pt idx="14">
                  <c:v>42.442399999999999</c:v>
                </c:pt>
                <c:pt idx="15">
                  <c:v>51.841200000000001</c:v>
                </c:pt>
                <c:pt idx="16">
                  <c:v>63.258200000000002</c:v>
                </c:pt>
                <c:pt idx="17">
                  <c:v>74.566699999999997</c:v>
                </c:pt>
                <c:pt idx="18">
                  <c:v>72.930399999999992</c:v>
                </c:pt>
                <c:pt idx="19">
                  <c:v>89.749099999999999</c:v>
                </c:pt>
                <c:pt idx="20">
                  <c:v>85.879000000000005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97.920200000000008</c:v>
                </c:pt>
                <c:pt idx="40">
                  <c:v>89.95450000000001</c:v>
                </c:pt>
                <c:pt idx="41">
                  <c:v>76.722200000000001</c:v>
                </c:pt>
                <c:pt idx="42">
                  <c:v>69.653300000000002</c:v>
                </c:pt>
                <c:pt idx="43">
                  <c:v>60.615600000000001</c:v>
                </c:pt>
                <c:pt idx="44">
                  <c:v>54.267400000000002</c:v>
                </c:pt>
                <c:pt idx="45">
                  <c:v>42.990499999999997</c:v>
                </c:pt>
                <c:pt idx="46">
                  <c:v>34.504800000000003</c:v>
                </c:pt>
                <c:pt idx="47">
                  <c:v>11.6036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A4-490A-9968-9A153E9F6C5E}"/>
            </c:ext>
          </c:extLst>
        </c:ser>
        <c:ser>
          <c:idx val="7"/>
          <c:order val="7"/>
          <c:tx>
            <c:v>BES_TR1_one410_B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SOC_pct!$J$2:$J$49</c:f>
              <c:numCache>
                <c:formatCode>0.0</c:formatCode>
                <c:ptCount val="48"/>
                <c:pt idx="0">
                  <c:v>40</c:v>
                </c:pt>
                <c:pt idx="1">
                  <c:v>36.785499999999999</c:v>
                </c:pt>
                <c:pt idx="2">
                  <c:v>35.597900000000003</c:v>
                </c:pt>
                <c:pt idx="3">
                  <c:v>34.957900000000002</c:v>
                </c:pt>
                <c:pt idx="4">
                  <c:v>31.195799999999998</c:v>
                </c:pt>
                <c:pt idx="5">
                  <c:v>30.555800000000001</c:v>
                </c:pt>
                <c:pt idx="6">
                  <c:v>29.277100000000001</c:v>
                </c:pt>
                <c:pt idx="7">
                  <c:v>26.153700000000001</c:v>
                </c:pt>
                <c:pt idx="8">
                  <c:v>24.9802</c:v>
                </c:pt>
                <c:pt idx="9">
                  <c:v>22.4815</c:v>
                </c:pt>
                <c:pt idx="10">
                  <c:v>22.761099999999999</c:v>
                </c:pt>
                <c:pt idx="11">
                  <c:v>24.332999999999998</c:v>
                </c:pt>
                <c:pt idx="12">
                  <c:v>27.796600000000002</c:v>
                </c:pt>
                <c:pt idx="13">
                  <c:v>31.4253</c:v>
                </c:pt>
                <c:pt idx="14">
                  <c:v>39.172199999999997</c:v>
                </c:pt>
                <c:pt idx="15">
                  <c:v>50.355899999999998</c:v>
                </c:pt>
                <c:pt idx="16">
                  <c:v>62.709499999999998</c:v>
                </c:pt>
                <c:pt idx="17">
                  <c:v>76.878999999999991</c:v>
                </c:pt>
                <c:pt idx="18">
                  <c:v>93.645399999999995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99.318200000000004</c:v>
                </c:pt>
                <c:pt idx="40">
                  <c:v>99.498699999999999</c:v>
                </c:pt>
                <c:pt idx="41">
                  <c:v>96.031599999999997</c:v>
                </c:pt>
                <c:pt idx="42">
                  <c:v>95.251499999999993</c:v>
                </c:pt>
                <c:pt idx="43">
                  <c:v>93.0505</c:v>
                </c:pt>
                <c:pt idx="44">
                  <c:v>89.575299999999999</c:v>
                </c:pt>
                <c:pt idx="45">
                  <c:v>88.5441</c:v>
                </c:pt>
                <c:pt idx="46">
                  <c:v>85.173200000000008</c:v>
                </c:pt>
                <c:pt idx="47">
                  <c:v>84.533199999999994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8A4-490A-9968-9A153E9F6C5E}"/>
            </c:ext>
          </c:extLst>
        </c:ser>
        <c:ser>
          <c:idx val="8"/>
          <c:order val="8"/>
          <c:tx>
            <c:v>BES_TR1_one50_A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SOC_pct!$K$2:$K$49</c:f>
              <c:numCache>
                <c:formatCode>0.0</c:formatCode>
                <c:ptCount val="48"/>
                <c:pt idx="0">
                  <c:v>40</c:v>
                </c:pt>
                <c:pt idx="1">
                  <c:v>32.973200000000013</c:v>
                </c:pt>
                <c:pt idx="2">
                  <c:v>26.277999999999999</c:v>
                </c:pt>
                <c:pt idx="3">
                  <c:v>25.587800000000001</c:v>
                </c:pt>
                <c:pt idx="4">
                  <c:v>24.897600000000001</c:v>
                </c:pt>
                <c:pt idx="5">
                  <c:v>24.2075</c:v>
                </c:pt>
                <c:pt idx="6">
                  <c:v>23.517299999999999</c:v>
                </c:pt>
                <c:pt idx="7">
                  <c:v>22.827100000000002</c:v>
                </c:pt>
                <c:pt idx="8">
                  <c:v>22.1585</c:v>
                </c:pt>
                <c:pt idx="9">
                  <c:v>21.7804</c:v>
                </c:pt>
                <c:pt idx="10">
                  <c:v>22.4726</c:v>
                </c:pt>
                <c:pt idx="11">
                  <c:v>24.456600000000002</c:v>
                </c:pt>
                <c:pt idx="12">
                  <c:v>28.024699999999999</c:v>
                </c:pt>
                <c:pt idx="13">
                  <c:v>32.414900000000003</c:v>
                </c:pt>
                <c:pt idx="14">
                  <c:v>25.985399999999998</c:v>
                </c:pt>
                <c:pt idx="15">
                  <c:v>34.771900000000002</c:v>
                </c:pt>
                <c:pt idx="16">
                  <c:v>44.773899999999998</c:v>
                </c:pt>
                <c:pt idx="17">
                  <c:v>55.301400000000001</c:v>
                </c:pt>
                <c:pt idx="18">
                  <c:v>67.067700000000002</c:v>
                </c:pt>
                <c:pt idx="19">
                  <c:v>80.143699999999995</c:v>
                </c:pt>
                <c:pt idx="20">
                  <c:v>94.336699999999993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98.106300000000005</c:v>
                </c:pt>
                <c:pt idx="39">
                  <c:v>98.536500000000004</c:v>
                </c:pt>
                <c:pt idx="40">
                  <c:v>96.385600000000011</c:v>
                </c:pt>
                <c:pt idx="41">
                  <c:v>91.251000000000005</c:v>
                </c:pt>
                <c:pt idx="42">
                  <c:v>70.105699999999999</c:v>
                </c:pt>
                <c:pt idx="43">
                  <c:v>62.510199999999998</c:v>
                </c:pt>
                <c:pt idx="44">
                  <c:v>53.242400000000004</c:v>
                </c:pt>
                <c:pt idx="45">
                  <c:v>43.497999999999998</c:v>
                </c:pt>
                <c:pt idx="46">
                  <c:v>36.654299999999999</c:v>
                </c:pt>
                <c:pt idx="47">
                  <c:v>33.9026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8A4-490A-9968-9A153E9F6C5E}"/>
            </c:ext>
          </c:extLst>
        </c:ser>
        <c:ser>
          <c:idx val="9"/>
          <c:order val="9"/>
          <c:tx>
            <c:v>BES_TR1_one423_B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SOC_pct!$L$2:$L$49</c:f>
              <c:numCache>
                <c:formatCode>0.0</c:formatCode>
                <c:ptCount val="48"/>
                <c:pt idx="0">
                  <c:v>40</c:v>
                </c:pt>
                <c:pt idx="1">
                  <c:v>35.253</c:v>
                </c:pt>
                <c:pt idx="2">
                  <c:v>30.458100000000002</c:v>
                </c:pt>
                <c:pt idx="3">
                  <c:v>29.692599999999999</c:v>
                </c:pt>
                <c:pt idx="4">
                  <c:v>26.8705</c:v>
                </c:pt>
                <c:pt idx="5">
                  <c:v>26.1051</c:v>
                </c:pt>
                <c:pt idx="6">
                  <c:v>25.339600000000001</c:v>
                </c:pt>
                <c:pt idx="7">
                  <c:v>22.704499999999999</c:v>
                </c:pt>
                <c:pt idx="8">
                  <c:v>21.773700000000002</c:v>
                </c:pt>
                <c:pt idx="9">
                  <c:v>21.3203</c:v>
                </c:pt>
                <c:pt idx="10">
                  <c:v>19.9574</c:v>
                </c:pt>
                <c:pt idx="11">
                  <c:v>21.873699999999999</c:v>
                </c:pt>
                <c:pt idx="12">
                  <c:v>25.374099999999999</c:v>
                </c:pt>
                <c:pt idx="13">
                  <c:v>28.7517</c:v>
                </c:pt>
                <c:pt idx="14">
                  <c:v>35.729999999999997</c:v>
                </c:pt>
                <c:pt idx="15">
                  <c:v>43.186700000000002</c:v>
                </c:pt>
                <c:pt idx="16">
                  <c:v>52.714000000000013</c:v>
                </c:pt>
                <c:pt idx="17">
                  <c:v>64.811799999999991</c:v>
                </c:pt>
                <c:pt idx="18">
                  <c:v>75.776299999999992</c:v>
                </c:pt>
                <c:pt idx="19">
                  <c:v>89.149100000000004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99.302000000000007</c:v>
                </c:pt>
                <c:pt idx="38">
                  <c:v>98.576799999999992</c:v>
                </c:pt>
                <c:pt idx="39">
                  <c:v>92.744</c:v>
                </c:pt>
                <c:pt idx="40">
                  <c:v>83.11460000000001</c:v>
                </c:pt>
                <c:pt idx="41">
                  <c:v>65.253500000000003</c:v>
                </c:pt>
                <c:pt idx="42">
                  <c:v>52.956499999999998</c:v>
                </c:pt>
                <c:pt idx="43">
                  <c:v>44.221299999999999</c:v>
                </c:pt>
                <c:pt idx="44">
                  <c:v>22.341000000000001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8A4-490A-9968-9A153E9F6C5E}"/>
            </c:ext>
          </c:extLst>
        </c:ser>
        <c:ser>
          <c:idx val="10"/>
          <c:order val="10"/>
          <c:tx>
            <c:v>BES_TR1_one469_A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SOC_pct!$M$2:$M$49</c:f>
              <c:numCache>
                <c:formatCode>0.0</c:formatCode>
                <c:ptCount val="48"/>
                <c:pt idx="0">
                  <c:v>40</c:v>
                </c:pt>
                <c:pt idx="1">
                  <c:v>33.921799999999998</c:v>
                </c:pt>
                <c:pt idx="2">
                  <c:v>27.5684</c:v>
                </c:pt>
                <c:pt idx="3">
                  <c:v>22.746400000000001</c:v>
                </c:pt>
                <c:pt idx="4">
                  <c:v>20.6526</c:v>
                </c:pt>
                <c:pt idx="5">
                  <c:v>20.075299999999999</c:v>
                </c:pt>
                <c:pt idx="6">
                  <c:v>19.498100000000001</c:v>
                </c:pt>
                <c:pt idx="7">
                  <c:v>18.9209</c:v>
                </c:pt>
                <c:pt idx="8">
                  <c:v>18.376000000000001</c:v>
                </c:pt>
                <c:pt idx="9">
                  <c:v>18.2668</c:v>
                </c:pt>
                <c:pt idx="10">
                  <c:v>19.717300000000002</c:v>
                </c:pt>
                <c:pt idx="11">
                  <c:v>23.105599999999999</c:v>
                </c:pt>
                <c:pt idx="12">
                  <c:v>28.87</c:v>
                </c:pt>
                <c:pt idx="13">
                  <c:v>37.226900000000001</c:v>
                </c:pt>
                <c:pt idx="14">
                  <c:v>48.208199999999998</c:v>
                </c:pt>
                <c:pt idx="15">
                  <c:v>61.800199999999997</c:v>
                </c:pt>
                <c:pt idx="16">
                  <c:v>78.006900000000002</c:v>
                </c:pt>
                <c:pt idx="17">
                  <c:v>96.667400000000001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97.0321</c:v>
                </c:pt>
                <c:pt idx="41">
                  <c:v>93.336399999999998</c:v>
                </c:pt>
                <c:pt idx="42">
                  <c:v>87.362399999999994</c:v>
                </c:pt>
                <c:pt idx="43">
                  <c:v>81.865899999999996</c:v>
                </c:pt>
                <c:pt idx="44">
                  <c:v>75.744500000000002</c:v>
                </c:pt>
                <c:pt idx="45">
                  <c:v>70.658500000000004</c:v>
                </c:pt>
                <c:pt idx="46">
                  <c:v>66.609099999999998</c:v>
                </c:pt>
                <c:pt idx="47">
                  <c:v>59.160299999999999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8A4-490A-9968-9A153E9F6C5E}"/>
            </c:ext>
          </c:extLst>
        </c:ser>
        <c:ser>
          <c:idx val="11"/>
          <c:order val="11"/>
          <c:tx>
            <c:v>BES_TR1_one480_A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SOC_pct!$N$2:$N$49</c:f>
              <c:numCache>
                <c:formatCode>0.0</c:formatCode>
                <c:ptCount val="48"/>
                <c:pt idx="0">
                  <c:v>40</c:v>
                </c:pt>
                <c:pt idx="1">
                  <c:v>35.5687</c:v>
                </c:pt>
                <c:pt idx="2">
                  <c:v>29.254000000000001</c:v>
                </c:pt>
                <c:pt idx="3">
                  <c:v>20.3386</c:v>
                </c:pt>
                <c:pt idx="4">
                  <c:v>15.7113</c:v>
                </c:pt>
                <c:pt idx="5">
                  <c:v>12.7654</c:v>
                </c:pt>
                <c:pt idx="6">
                  <c:v>11.0219</c:v>
                </c:pt>
                <c:pt idx="7">
                  <c:v>10.419499999999999</c:v>
                </c:pt>
                <c:pt idx="8">
                  <c:v>10</c:v>
                </c:pt>
                <c:pt idx="9">
                  <c:v>10</c:v>
                </c:pt>
                <c:pt idx="10">
                  <c:v>10.6685</c:v>
                </c:pt>
                <c:pt idx="11">
                  <c:v>10</c:v>
                </c:pt>
                <c:pt idx="12">
                  <c:v>13.459300000000001</c:v>
                </c:pt>
                <c:pt idx="13">
                  <c:v>17.832899999999999</c:v>
                </c:pt>
                <c:pt idx="14">
                  <c:v>22.447800000000001</c:v>
                </c:pt>
                <c:pt idx="15">
                  <c:v>30.203399999999998</c:v>
                </c:pt>
                <c:pt idx="16">
                  <c:v>39.316899999999997</c:v>
                </c:pt>
                <c:pt idx="17">
                  <c:v>49.927599999999998</c:v>
                </c:pt>
                <c:pt idx="18">
                  <c:v>58.146600000000007</c:v>
                </c:pt>
                <c:pt idx="19">
                  <c:v>63.966299999999997</c:v>
                </c:pt>
                <c:pt idx="20">
                  <c:v>78.2239</c:v>
                </c:pt>
                <c:pt idx="21">
                  <c:v>94.452600000000004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86.583500000000001</c:v>
                </c:pt>
                <c:pt idx="37">
                  <c:v>87.558000000000007</c:v>
                </c:pt>
                <c:pt idx="38">
                  <c:v>57.042900000000003</c:v>
                </c:pt>
                <c:pt idx="39">
                  <c:v>51.4649</c:v>
                </c:pt>
                <c:pt idx="40">
                  <c:v>46.854500000000002</c:v>
                </c:pt>
                <c:pt idx="41">
                  <c:v>40.906199999999998</c:v>
                </c:pt>
                <c:pt idx="42">
                  <c:v>32.991399999999999</c:v>
                </c:pt>
                <c:pt idx="43">
                  <c:v>24.212599999999998</c:v>
                </c:pt>
                <c:pt idx="44">
                  <c:v>20.427700000000002</c:v>
                </c:pt>
                <c:pt idx="45">
                  <c:v>17.6571</c:v>
                </c:pt>
                <c:pt idx="46">
                  <c:v>15.3208</c:v>
                </c:pt>
                <c:pt idx="47">
                  <c:v>10.3772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8A4-490A-9968-9A153E9F6C5E}"/>
            </c:ext>
          </c:extLst>
        </c:ser>
        <c:ser>
          <c:idx val="12"/>
          <c:order val="12"/>
          <c:tx>
            <c:v>BES_TR1_one482_B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SOC_pct!$O$2:$O$49</c:f>
              <c:numCache>
                <c:formatCode>0.0</c:formatCode>
                <c:ptCount val="48"/>
                <c:pt idx="0">
                  <c:v>40</c:v>
                </c:pt>
                <c:pt idx="1">
                  <c:v>37.700400000000002</c:v>
                </c:pt>
                <c:pt idx="2">
                  <c:v>37.060400000000001</c:v>
                </c:pt>
                <c:pt idx="3">
                  <c:v>36.225200000000001</c:v>
                </c:pt>
                <c:pt idx="4">
                  <c:v>33.632599999999996</c:v>
                </c:pt>
                <c:pt idx="5">
                  <c:v>32.992699999999999</c:v>
                </c:pt>
                <c:pt idx="6">
                  <c:v>30.400099999999998</c:v>
                </c:pt>
                <c:pt idx="7">
                  <c:v>29.564900000000002</c:v>
                </c:pt>
                <c:pt idx="8">
                  <c:v>28.9681</c:v>
                </c:pt>
                <c:pt idx="9">
                  <c:v>26.804400000000001</c:v>
                </c:pt>
                <c:pt idx="10">
                  <c:v>28.8551</c:v>
                </c:pt>
                <c:pt idx="11">
                  <c:v>32.0837</c:v>
                </c:pt>
                <c:pt idx="12">
                  <c:v>39.359000000000002</c:v>
                </c:pt>
                <c:pt idx="13">
                  <c:v>50.618299999999998</c:v>
                </c:pt>
                <c:pt idx="14">
                  <c:v>64.322299999999998</c:v>
                </c:pt>
                <c:pt idx="15">
                  <c:v>81.682999999999993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97.662000000000006</c:v>
                </c:pt>
                <c:pt idx="41">
                  <c:v>92.286299999999997</c:v>
                </c:pt>
                <c:pt idx="42">
                  <c:v>84.389200000000002</c:v>
                </c:pt>
                <c:pt idx="43">
                  <c:v>77.261300000000006</c:v>
                </c:pt>
                <c:pt idx="44">
                  <c:v>71.783100000000005</c:v>
                </c:pt>
                <c:pt idx="45">
                  <c:v>65.918300000000002</c:v>
                </c:pt>
                <c:pt idx="46">
                  <c:v>56.3596</c:v>
                </c:pt>
                <c:pt idx="47">
                  <c:v>52.385300000000001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8A4-490A-9968-9A153E9F6C5E}"/>
            </c:ext>
          </c:extLst>
        </c:ser>
        <c:ser>
          <c:idx val="13"/>
          <c:order val="13"/>
          <c:tx>
            <c:v>BES_TR1_one521_C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SOC_pct!$P$2:$P$49</c:f>
              <c:numCache>
                <c:formatCode>0.0</c:formatCode>
                <c:ptCount val="48"/>
                <c:pt idx="0">
                  <c:v>40</c:v>
                </c:pt>
                <c:pt idx="1">
                  <c:v>37.1295</c:v>
                </c:pt>
                <c:pt idx="2">
                  <c:v>36.074800000000003</c:v>
                </c:pt>
                <c:pt idx="3">
                  <c:v>32.069600000000001</c:v>
                </c:pt>
                <c:pt idx="4">
                  <c:v>31.417100000000001</c:v>
                </c:pt>
                <c:pt idx="5">
                  <c:v>30.610299999999999</c:v>
                </c:pt>
                <c:pt idx="6">
                  <c:v>26.457799999999999</c:v>
                </c:pt>
                <c:pt idx="7">
                  <c:v>25.704699999999999</c:v>
                </c:pt>
                <c:pt idx="8">
                  <c:v>23.536300000000001</c:v>
                </c:pt>
                <c:pt idx="9">
                  <c:v>23.273900000000001</c:v>
                </c:pt>
                <c:pt idx="10">
                  <c:v>22.383400000000002</c:v>
                </c:pt>
                <c:pt idx="11">
                  <c:v>23.209599999999998</c:v>
                </c:pt>
                <c:pt idx="12">
                  <c:v>27.536100000000001</c:v>
                </c:pt>
                <c:pt idx="13">
                  <c:v>32.2333</c:v>
                </c:pt>
                <c:pt idx="14">
                  <c:v>39.963099999999997</c:v>
                </c:pt>
                <c:pt idx="15">
                  <c:v>50.510599999999997</c:v>
                </c:pt>
                <c:pt idx="16">
                  <c:v>60.232200000000013</c:v>
                </c:pt>
                <c:pt idx="17">
                  <c:v>75.119699999999995</c:v>
                </c:pt>
                <c:pt idx="18">
                  <c:v>90.703699999999998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97.765799999999999</c:v>
                </c:pt>
                <c:pt idx="40">
                  <c:v>97.249899999999997</c:v>
                </c:pt>
                <c:pt idx="41">
                  <c:v>93.701400000000007</c:v>
                </c:pt>
                <c:pt idx="42">
                  <c:v>93.048900000000003</c:v>
                </c:pt>
                <c:pt idx="43">
                  <c:v>90.184299999999993</c:v>
                </c:pt>
                <c:pt idx="44">
                  <c:v>89.53179999999999</c:v>
                </c:pt>
                <c:pt idx="45">
                  <c:v>87.336500000000001</c:v>
                </c:pt>
                <c:pt idx="46">
                  <c:v>85.6785</c:v>
                </c:pt>
                <c:pt idx="47">
                  <c:v>82.276600000000002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8A4-490A-9968-9A153E9F6C5E}"/>
            </c:ext>
          </c:extLst>
        </c:ser>
        <c:ser>
          <c:idx val="14"/>
          <c:order val="14"/>
          <c:tx>
            <c:v>BES_TR1_one528_C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SOC_pct!$Q$2:$Q$49</c:f>
              <c:numCache>
                <c:formatCode>0.0</c:formatCode>
                <c:ptCount val="48"/>
                <c:pt idx="0">
                  <c:v>40</c:v>
                </c:pt>
                <c:pt idx="1">
                  <c:v>38.371600000000001</c:v>
                </c:pt>
                <c:pt idx="2">
                  <c:v>36.743200000000002</c:v>
                </c:pt>
                <c:pt idx="3">
                  <c:v>35.334800000000001</c:v>
                </c:pt>
                <c:pt idx="4">
                  <c:v>33.9863</c:v>
                </c:pt>
                <c:pt idx="5">
                  <c:v>32.078000000000003</c:v>
                </c:pt>
                <c:pt idx="6">
                  <c:v>31.4757</c:v>
                </c:pt>
                <c:pt idx="7">
                  <c:v>30.686800000000002</c:v>
                </c:pt>
                <c:pt idx="8">
                  <c:v>28.245799999999999</c:v>
                </c:pt>
                <c:pt idx="9">
                  <c:v>28.0335</c:v>
                </c:pt>
                <c:pt idx="10">
                  <c:v>27.389600000000002</c:v>
                </c:pt>
                <c:pt idx="11">
                  <c:v>29.9361</c:v>
                </c:pt>
                <c:pt idx="12">
                  <c:v>34.630600000000001</c:v>
                </c:pt>
                <c:pt idx="13">
                  <c:v>41.392299999999999</c:v>
                </c:pt>
                <c:pt idx="14">
                  <c:v>48.5871</c:v>
                </c:pt>
                <c:pt idx="15">
                  <c:v>59.804599999999994</c:v>
                </c:pt>
                <c:pt idx="16">
                  <c:v>73.201000000000008</c:v>
                </c:pt>
                <c:pt idx="17">
                  <c:v>86.795199999999994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99.662300000000002</c:v>
                </c:pt>
                <c:pt idx="38">
                  <c:v>100</c:v>
                </c:pt>
                <c:pt idx="39">
                  <c:v>92.051400000000001</c:v>
                </c:pt>
                <c:pt idx="40">
                  <c:v>81.243899999999996</c:v>
                </c:pt>
                <c:pt idx="41">
                  <c:v>62.006799999999998</c:v>
                </c:pt>
                <c:pt idx="42">
                  <c:v>51.169800000000002</c:v>
                </c:pt>
                <c:pt idx="43">
                  <c:v>44.986600000000003</c:v>
                </c:pt>
                <c:pt idx="44">
                  <c:v>25.389600000000002</c:v>
                </c:pt>
                <c:pt idx="45">
                  <c:v>20.553599999999999</c:v>
                </c:pt>
                <c:pt idx="46">
                  <c:v>15.527799999999999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8A4-490A-9968-9A153E9F6C5E}"/>
            </c:ext>
          </c:extLst>
        </c:ser>
        <c:ser>
          <c:idx val="15"/>
          <c:order val="15"/>
          <c:tx>
            <c:v>BES_TR1_one537_A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SOC_pct!$R$2:$R$49</c:f>
              <c:numCache>
                <c:formatCode>0.0</c:formatCode>
                <c:ptCount val="48"/>
                <c:pt idx="0">
                  <c:v>40</c:v>
                </c:pt>
                <c:pt idx="1">
                  <c:v>39.435299999999998</c:v>
                </c:pt>
                <c:pt idx="2">
                  <c:v>38.870600000000003</c:v>
                </c:pt>
                <c:pt idx="3">
                  <c:v>38.116</c:v>
                </c:pt>
                <c:pt idx="4">
                  <c:v>35.651800000000001</c:v>
                </c:pt>
                <c:pt idx="5">
                  <c:v>35.0871</c:v>
                </c:pt>
                <c:pt idx="6">
                  <c:v>34.142499999999998</c:v>
                </c:pt>
                <c:pt idx="7">
                  <c:v>31.868300000000001</c:v>
                </c:pt>
                <c:pt idx="8">
                  <c:v>31.3306</c:v>
                </c:pt>
                <c:pt idx="9">
                  <c:v>29.066500000000001</c:v>
                </c:pt>
                <c:pt idx="10">
                  <c:v>30.2</c:v>
                </c:pt>
                <c:pt idx="11">
                  <c:v>32.9482</c:v>
                </c:pt>
                <c:pt idx="12">
                  <c:v>35.795999999999999</c:v>
                </c:pt>
                <c:pt idx="13">
                  <c:v>42.684800000000003</c:v>
                </c:pt>
                <c:pt idx="14">
                  <c:v>51.760599999999997</c:v>
                </c:pt>
                <c:pt idx="15">
                  <c:v>62.926499999999997</c:v>
                </c:pt>
                <c:pt idx="16">
                  <c:v>71.907299999999992</c:v>
                </c:pt>
                <c:pt idx="17">
                  <c:v>86.974099999999993</c:v>
                </c:pt>
                <c:pt idx="18">
                  <c:v>87.619699999999995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86.449299999999994</c:v>
                </c:pt>
                <c:pt idx="36">
                  <c:v>85.602800000000002</c:v>
                </c:pt>
                <c:pt idx="37">
                  <c:v>85.766400000000004</c:v>
                </c:pt>
                <c:pt idx="38">
                  <c:v>81.631600000000006</c:v>
                </c:pt>
                <c:pt idx="39">
                  <c:v>78.484699999999989</c:v>
                </c:pt>
                <c:pt idx="40">
                  <c:v>74.853099999999998</c:v>
                </c:pt>
                <c:pt idx="41">
                  <c:v>68.920699999999997</c:v>
                </c:pt>
                <c:pt idx="42">
                  <c:v>48.125</c:v>
                </c:pt>
                <c:pt idx="43">
                  <c:v>33.219099999999997</c:v>
                </c:pt>
                <c:pt idx="44">
                  <c:v>22.339300000000001</c:v>
                </c:pt>
                <c:pt idx="45">
                  <c:v>11.041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8A4-490A-9968-9A153E9F6C5E}"/>
            </c:ext>
          </c:extLst>
        </c:ser>
        <c:ser>
          <c:idx val="16"/>
          <c:order val="16"/>
          <c:tx>
            <c:v>BES_TR1_one61_A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SOC_pct!$S$2:$S$49</c:f>
              <c:numCache>
                <c:formatCode>0.0</c:formatCode>
                <c:ptCount val="48"/>
                <c:pt idx="0">
                  <c:v>40</c:v>
                </c:pt>
                <c:pt idx="1">
                  <c:v>39.010800000000003</c:v>
                </c:pt>
                <c:pt idx="2">
                  <c:v>35.400500000000001</c:v>
                </c:pt>
                <c:pt idx="3">
                  <c:v>34.773000000000003</c:v>
                </c:pt>
                <c:pt idx="4">
                  <c:v>34.145600000000002</c:v>
                </c:pt>
                <c:pt idx="5">
                  <c:v>30.444800000000001</c:v>
                </c:pt>
                <c:pt idx="6">
                  <c:v>29.546099999999999</c:v>
                </c:pt>
                <c:pt idx="7">
                  <c:v>27.950700000000001</c:v>
                </c:pt>
                <c:pt idx="8">
                  <c:v>25.1706</c:v>
                </c:pt>
                <c:pt idx="9">
                  <c:v>24.9864</c:v>
                </c:pt>
                <c:pt idx="10">
                  <c:v>25.828800000000001</c:v>
                </c:pt>
                <c:pt idx="11">
                  <c:v>28.683800000000002</c:v>
                </c:pt>
                <c:pt idx="12">
                  <c:v>35.974899999999998</c:v>
                </c:pt>
                <c:pt idx="13">
                  <c:v>45.1648</c:v>
                </c:pt>
                <c:pt idx="14">
                  <c:v>59.527500000000003</c:v>
                </c:pt>
                <c:pt idx="15">
                  <c:v>76.070300000000003</c:v>
                </c:pt>
                <c:pt idx="16">
                  <c:v>96.504800000000003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96.121600000000001</c:v>
                </c:pt>
                <c:pt idx="41">
                  <c:v>72.714299999999994</c:v>
                </c:pt>
                <c:pt idx="42">
                  <c:v>65.069999999999993</c:v>
                </c:pt>
                <c:pt idx="43">
                  <c:v>55.4998</c:v>
                </c:pt>
                <c:pt idx="44">
                  <c:v>43.8476</c:v>
                </c:pt>
                <c:pt idx="45">
                  <c:v>34.6691</c:v>
                </c:pt>
                <c:pt idx="46">
                  <c:v>27.769300000000001</c:v>
                </c:pt>
                <c:pt idx="47">
                  <c:v>22.217300000000002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8A4-490A-9968-9A153E9F6C5E}"/>
            </c:ext>
          </c:extLst>
        </c:ser>
        <c:ser>
          <c:idx val="17"/>
          <c:order val="17"/>
          <c:tx>
            <c:v>BES_TR1_one544_A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SOC_pct!$T$2:$T$49</c:f>
              <c:numCache>
                <c:formatCode>0.0</c:formatCode>
                <c:ptCount val="48"/>
                <c:pt idx="0">
                  <c:v>40</c:v>
                </c:pt>
                <c:pt idx="1">
                  <c:v>35.251900000000013</c:v>
                </c:pt>
                <c:pt idx="2">
                  <c:v>32.539900000000003</c:v>
                </c:pt>
                <c:pt idx="3">
                  <c:v>31.862300000000001</c:v>
                </c:pt>
                <c:pt idx="4">
                  <c:v>31.184699999999999</c:v>
                </c:pt>
                <c:pt idx="5">
                  <c:v>30.507000000000001</c:v>
                </c:pt>
                <c:pt idx="6">
                  <c:v>28.997199999999999</c:v>
                </c:pt>
                <c:pt idx="7">
                  <c:v>25.628299999999999</c:v>
                </c:pt>
                <c:pt idx="8">
                  <c:v>24.9938</c:v>
                </c:pt>
                <c:pt idx="9">
                  <c:v>22.3415</c:v>
                </c:pt>
                <c:pt idx="10">
                  <c:v>23.5261</c:v>
                </c:pt>
                <c:pt idx="11">
                  <c:v>27.7104</c:v>
                </c:pt>
                <c:pt idx="12">
                  <c:v>32.723999999999997</c:v>
                </c:pt>
                <c:pt idx="13">
                  <c:v>43.949399999999997</c:v>
                </c:pt>
                <c:pt idx="14">
                  <c:v>56.926100000000012</c:v>
                </c:pt>
                <c:pt idx="15">
                  <c:v>75.048400000000001</c:v>
                </c:pt>
                <c:pt idx="16">
                  <c:v>95.990899999999996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93.247599999999991</c:v>
                </c:pt>
                <c:pt idx="41">
                  <c:v>89.373699999999999</c:v>
                </c:pt>
                <c:pt idx="42">
                  <c:v>83.883700000000005</c:v>
                </c:pt>
                <c:pt idx="43">
                  <c:v>74.627799999999993</c:v>
                </c:pt>
                <c:pt idx="44">
                  <c:v>65.540700000000001</c:v>
                </c:pt>
                <c:pt idx="45">
                  <c:v>57.336699999999993</c:v>
                </c:pt>
                <c:pt idx="46">
                  <c:v>46.983999999999988</c:v>
                </c:pt>
                <c:pt idx="47">
                  <c:v>36.613999999999997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8A4-490A-9968-9A153E9F6C5E}"/>
            </c:ext>
          </c:extLst>
        </c:ser>
        <c:ser>
          <c:idx val="18"/>
          <c:order val="18"/>
          <c:tx>
            <c:v>BES_TR1_one552_B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SOC_pct!$U$2:$U$49</c:f>
              <c:numCache>
                <c:formatCode>0.0</c:formatCode>
                <c:ptCount val="48"/>
                <c:pt idx="0">
                  <c:v>40</c:v>
                </c:pt>
                <c:pt idx="1">
                  <c:v>38.656399999999998</c:v>
                </c:pt>
                <c:pt idx="2">
                  <c:v>38.066600000000001</c:v>
                </c:pt>
                <c:pt idx="3">
                  <c:v>36.063400000000001</c:v>
                </c:pt>
                <c:pt idx="4">
                  <c:v>34.814100000000003</c:v>
                </c:pt>
                <c:pt idx="5">
                  <c:v>34.167999999999999</c:v>
                </c:pt>
                <c:pt idx="6">
                  <c:v>31.736000000000001</c:v>
                </c:pt>
                <c:pt idx="7">
                  <c:v>29.732800000000001</c:v>
                </c:pt>
                <c:pt idx="8">
                  <c:v>29.180800000000001</c:v>
                </c:pt>
                <c:pt idx="9">
                  <c:v>27.0641</c:v>
                </c:pt>
                <c:pt idx="10">
                  <c:v>28.831700000000001</c:v>
                </c:pt>
                <c:pt idx="11">
                  <c:v>32.351100000000002</c:v>
                </c:pt>
                <c:pt idx="12">
                  <c:v>37.794699999999999</c:v>
                </c:pt>
                <c:pt idx="13">
                  <c:v>47.619699999999987</c:v>
                </c:pt>
                <c:pt idx="14">
                  <c:v>58.640700000000002</c:v>
                </c:pt>
                <c:pt idx="15">
                  <c:v>74.573400000000007</c:v>
                </c:pt>
                <c:pt idx="16">
                  <c:v>92.284300000000002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98.513799999999989</c:v>
                </c:pt>
                <c:pt idx="41">
                  <c:v>98.141100000000009</c:v>
                </c:pt>
                <c:pt idx="42">
                  <c:v>97.246399999999994</c:v>
                </c:pt>
                <c:pt idx="43">
                  <c:v>94.578199999999995</c:v>
                </c:pt>
                <c:pt idx="44">
                  <c:v>88.583199999999991</c:v>
                </c:pt>
                <c:pt idx="45">
                  <c:v>84.487400000000008</c:v>
                </c:pt>
                <c:pt idx="46">
                  <c:v>81.146500000000003</c:v>
                </c:pt>
                <c:pt idx="47">
                  <c:v>76.6006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8A4-490A-9968-9A153E9F6C5E}"/>
            </c:ext>
          </c:extLst>
        </c:ser>
        <c:ser>
          <c:idx val="19"/>
          <c:order val="19"/>
          <c:tx>
            <c:v>BES_TR1_one559_C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SOC_pct!$V$2:$V$49</c:f>
              <c:numCache>
                <c:formatCode>0.0</c:formatCode>
                <c:ptCount val="48"/>
                <c:pt idx="0">
                  <c:v>40</c:v>
                </c:pt>
                <c:pt idx="1">
                  <c:v>37.240900000000003</c:v>
                </c:pt>
                <c:pt idx="2">
                  <c:v>35.936199999999999</c:v>
                </c:pt>
                <c:pt idx="3">
                  <c:v>32.305100000000003</c:v>
                </c:pt>
                <c:pt idx="4">
                  <c:v>31.3767</c:v>
                </c:pt>
                <c:pt idx="5">
                  <c:v>29.724399999999999</c:v>
                </c:pt>
                <c:pt idx="6">
                  <c:v>26.9298</c:v>
                </c:pt>
                <c:pt idx="7">
                  <c:v>25.575099999999999</c:v>
                </c:pt>
                <c:pt idx="8">
                  <c:v>22.0684</c:v>
                </c:pt>
                <c:pt idx="9">
                  <c:v>20.2973</c:v>
                </c:pt>
                <c:pt idx="10">
                  <c:v>20.446000000000002</c:v>
                </c:pt>
                <c:pt idx="11">
                  <c:v>19.134399999999999</c:v>
                </c:pt>
                <c:pt idx="12">
                  <c:v>22.770299999999999</c:v>
                </c:pt>
                <c:pt idx="13">
                  <c:v>26.011399999999998</c:v>
                </c:pt>
                <c:pt idx="14">
                  <c:v>31.404800000000002</c:v>
                </c:pt>
                <c:pt idx="15">
                  <c:v>40.259099999999997</c:v>
                </c:pt>
                <c:pt idx="16">
                  <c:v>48.943899999999999</c:v>
                </c:pt>
                <c:pt idx="17">
                  <c:v>59.212400000000002</c:v>
                </c:pt>
                <c:pt idx="18">
                  <c:v>63.988399999999999</c:v>
                </c:pt>
                <c:pt idx="19">
                  <c:v>64.310100000000006</c:v>
                </c:pt>
                <c:pt idx="20">
                  <c:v>64.79549999999999</c:v>
                </c:pt>
                <c:pt idx="21">
                  <c:v>65.8001</c:v>
                </c:pt>
                <c:pt idx="22">
                  <c:v>81.551500000000004</c:v>
                </c:pt>
                <c:pt idx="23">
                  <c:v>99.800299999999993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94.703599999999994</c:v>
                </c:pt>
                <c:pt idx="35">
                  <c:v>94.599599999999995</c:v>
                </c:pt>
                <c:pt idx="36">
                  <c:v>96.745800000000003</c:v>
                </c:pt>
                <c:pt idx="37">
                  <c:v>96.0291</c:v>
                </c:pt>
                <c:pt idx="38">
                  <c:v>90.070999999999998</c:v>
                </c:pt>
                <c:pt idx="39">
                  <c:v>91.315299999999993</c:v>
                </c:pt>
                <c:pt idx="40">
                  <c:v>87.575400000000002</c:v>
                </c:pt>
                <c:pt idx="41">
                  <c:v>83.364799999999988</c:v>
                </c:pt>
                <c:pt idx="42">
                  <c:v>70.89800000000001</c:v>
                </c:pt>
                <c:pt idx="43">
                  <c:v>67.369100000000003</c:v>
                </c:pt>
                <c:pt idx="44">
                  <c:v>66.655600000000007</c:v>
                </c:pt>
                <c:pt idx="45">
                  <c:v>54.9392</c:v>
                </c:pt>
                <c:pt idx="46">
                  <c:v>53.224200000000003</c:v>
                </c:pt>
                <c:pt idx="47">
                  <c:v>51.3277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8A4-490A-9968-9A153E9F6C5E}"/>
            </c:ext>
          </c:extLst>
        </c:ser>
        <c:ser>
          <c:idx val="20"/>
          <c:order val="20"/>
          <c:tx>
            <c:v>BES_TR1_one560_C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SOC_pct!$W$2:$W$49</c:f>
              <c:numCache>
                <c:formatCode>0.0</c:formatCode>
                <c:ptCount val="48"/>
                <c:pt idx="0">
                  <c:v>40</c:v>
                </c:pt>
                <c:pt idx="1">
                  <c:v>38.742699999999999</c:v>
                </c:pt>
                <c:pt idx="2">
                  <c:v>34.588700000000003</c:v>
                </c:pt>
                <c:pt idx="3">
                  <c:v>33.865200000000002</c:v>
                </c:pt>
                <c:pt idx="4">
                  <c:v>31.028300000000002</c:v>
                </c:pt>
                <c:pt idx="5">
                  <c:v>29.083200000000001</c:v>
                </c:pt>
                <c:pt idx="6">
                  <c:v>26.904</c:v>
                </c:pt>
                <c:pt idx="7">
                  <c:v>24.2776</c:v>
                </c:pt>
                <c:pt idx="8">
                  <c:v>21.210100000000001</c:v>
                </c:pt>
                <c:pt idx="9">
                  <c:v>19.534400000000002</c:v>
                </c:pt>
                <c:pt idx="10">
                  <c:v>19.921900000000001</c:v>
                </c:pt>
                <c:pt idx="11">
                  <c:v>23.316299999999998</c:v>
                </c:pt>
                <c:pt idx="12">
                  <c:v>30.2928</c:v>
                </c:pt>
                <c:pt idx="13">
                  <c:v>39.605499999999999</c:v>
                </c:pt>
                <c:pt idx="14">
                  <c:v>53.506799999999998</c:v>
                </c:pt>
                <c:pt idx="15">
                  <c:v>70.659000000000006</c:v>
                </c:pt>
                <c:pt idx="16">
                  <c:v>89.362499999999997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95.762100000000004</c:v>
                </c:pt>
                <c:pt idx="41">
                  <c:v>88.326300000000003</c:v>
                </c:pt>
                <c:pt idx="42">
                  <c:v>81.986899999999991</c:v>
                </c:pt>
                <c:pt idx="43">
                  <c:v>79.267499999999998</c:v>
                </c:pt>
                <c:pt idx="44">
                  <c:v>74.74260000000001</c:v>
                </c:pt>
                <c:pt idx="45">
                  <c:v>74.019100000000009</c:v>
                </c:pt>
                <c:pt idx="46">
                  <c:v>70.173300000000012</c:v>
                </c:pt>
                <c:pt idx="47">
                  <c:v>68.281999999999996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8A4-490A-9968-9A153E9F6C5E}"/>
            </c:ext>
          </c:extLst>
        </c:ser>
        <c:ser>
          <c:idx val="21"/>
          <c:order val="21"/>
          <c:tx>
            <c:v>BES_TR1_one605_A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SOC_pct!$X$2:$X$49</c:f>
              <c:numCache>
                <c:formatCode>0.0</c:formatCode>
                <c:ptCount val="48"/>
                <c:pt idx="0">
                  <c:v>40</c:v>
                </c:pt>
                <c:pt idx="1">
                  <c:v>39.36</c:v>
                </c:pt>
                <c:pt idx="2">
                  <c:v>37.255000000000003</c:v>
                </c:pt>
                <c:pt idx="3">
                  <c:v>35.896299999999997</c:v>
                </c:pt>
                <c:pt idx="4">
                  <c:v>35.256399999999999</c:v>
                </c:pt>
                <c:pt idx="5">
                  <c:v>32.951700000000002</c:v>
                </c:pt>
                <c:pt idx="6">
                  <c:v>31.7927</c:v>
                </c:pt>
                <c:pt idx="7">
                  <c:v>31.152699999999999</c:v>
                </c:pt>
                <c:pt idx="8">
                  <c:v>30.180399999999999</c:v>
                </c:pt>
                <c:pt idx="9">
                  <c:v>28.179300000000001</c:v>
                </c:pt>
                <c:pt idx="10">
                  <c:v>28.675999999999998</c:v>
                </c:pt>
                <c:pt idx="11">
                  <c:v>31.212800000000001</c:v>
                </c:pt>
                <c:pt idx="12">
                  <c:v>35.298499999999997</c:v>
                </c:pt>
                <c:pt idx="13">
                  <c:v>42.047600000000003</c:v>
                </c:pt>
                <c:pt idx="14">
                  <c:v>50.768199999999993</c:v>
                </c:pt>
                <c:pt idx="15">
                  <c:v>60.273800000000001</c:v>
                </c:pt>
                <c:pt idx="16">
                  <c:v>73.243600000000001</c:v>
                </c:pt>
                <c:pt idx="17">
                  <c:v>77.799099999999996</c:v>
                </c:pt>
                <c:pt idx="18">
                  <c:v>94.569299999999998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94.318899999999999</c:v>
                </c:pt>
                <c:pt idx="36">
                  <c:v>93.576099999999997</c:v>
                </c:pt>
                <c:pt idx="37">
                  <c:v>80.764499999999998</c:v>
                </c:pt>
                <c:pt idx="38">
                  <c:v>81.235699999999994</c:v>
                </c:pt>
                <c:pt idx="39">
                  <c:v>82.434899999999999</c:v>
                </c:pt>
                <c:pt idx="40">
                  <c:v>79.310400000000001</c:v>
                </c:pt>
                <c:pt idx="41">
                  <c:v>75.497199999999992</c:v>
                </c:pt>
                <c:pt idx="42">
                  <c:v>74.137799999999999</c:v>
                </c:pt>
                <c:pt idx="43">
                  <c:v>72.759</c:v>
                </c:pt>
                <c:pt idx="44">
                  <c:v>70.674099999999996</c:v>
                </c:pt>
                <c:pt idx="45">
                  <c:v>70.034099999999995</c:v>
                </c:pt>
                <c:pt idx="46">
                  <c:v>68.6755</c:v>
                </c:pt>
                <c:pt idx="47">
                  <c:v>67.302999999999997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8A4-490A-9968-9A153E9F6C5E}"/>
            </c:ext>
          </c:extLst>
        </c:ser>
        <c:ser>
          <c:idx val="22"/>
          <c:order val="22"/>
          <c:tx>
            <c:v>BES_TR1_one617_A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SOC_pct!$Y$2:$Y$49</c:f>
              <c:numCache>
                <c:formatCode>0.0</c:formatCode>
                <c:ptCount val="48"/>
                <c:pt idx="0">
                  <c:v>40</c:v>
                </c:pt>
                <c:pt idx="1">
                  <c:v>39.372600000000013</c:v>
                </c:pt>
                <c:pt idx="2">
                  <c:v>38.745100000000001</c:v>
                </c:pt>
                <c:pt idx="3">
                  <c:v>38.117699999999999</c:v>
                </c:pt>
                <c:pt idx="4">
                  <c:v>37.490299999999998</c:v>
                </c:pt>
                <c:pt idx="5">
                  <c:v>36.862900000000003</c:v>
                </c:pt>
                <c:pt idx="6">
                  <c:v>36.235399999999998</c:v>
                </c:pt>
                <c:pt idx="7">
                  <c:v>35.607999999999997</c:v>
                </c:pt>
                <c:pt idx="8">
                  <c:v>35.012999999999998</c:v>
                </c:pt>
                <c:pt idx="9">
                  <c:v>34.8536</c:v>
                </c:pt>
                <c:pt idx="10">
                  <c:v>36.258899999999997</c:v>
                </c:pt>
                <c:pt idx="11">
                  <c:v>39.601999999999997</c:v>
                </c:pt>
                <c:pt idx="12">
                  <c:v>45.321300000000001</c:v>
                </c:pt>
                <c:pt idx="13">
                  <c:v>53.633000000000003</c:v>
                </c:pt>
                <c:pt idx="14">
                  <c:v>64.569100000000006</c:v>
                </c:pt>
                <c:pt idx="15">
                  <c:v>78.116</c:v>
                </c:pt>
                <c:pt idx="16">
                  <c:v>94.2774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98.3596</c:v>
                </c:pt>
                <c:pt idx="42">
                  <c:v>92.296199999999999</c:v>
                </c:pt>
                <c:pt idx="43">
                  <c:v>85.943100000000001</c:v>
                </c:pt>
                <c:pt idx="44">
                  <c:v>78.237500000000011</c:v>
                </c:pt>
                <c:pt idx="45">
                  <c:v>76.683400000000006</c:v>
                </c:pt>
                <c:pt idx="46">
                  <c:v>67.872699999999995</c:v>
                </c:pt>
                <c:pt idx="47">
                  <c:v>62.676400000000001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8A4-490A-9968-9A153E9F6C5E}"/>
            </c:ext>
          </c:extLst>
        </c:ser>
        <c:ser>
          <c:idx val="23"/>
          <c:order val="23"/>
          <c:tx>
            <c:v>BES_TR1_one73_A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SOC_pct!$Z$2:$Z$49</c:f>
              <c:numCache>
                <c:formatCode>0.0</c:formatCode>
                <c:ptCount val="48"/>
                <c:pt idx="0">
                  <c:v>40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11.3489</c:v>
                </c:pt>
                <c:pt idx="11">
                  <c:v>14.6355</c:v>
                </c:pt>
                <c:pt idx="12">
                  <c:v>19.822600000000001</c:v>
                </c:pt>
                <c:pt idx="13">
                  <c:v>26.4925</c:v>
                </c:pt>
                <c:pt idx="14">
                  <c:v>36.821100000000001</c:v>
                </c:pt>
                <c:pt idx="15">
                  <c:v>50.311500000000002</c:v>
                </c:pt>
                <c:pt idx="16">
                  <c:v>66.416499999999999</c:v>
                </c:pt>
                <c:pt idx="17">
                  <c:v>81.175399999999996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98.615899999999996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99.495800000000003</c:v>
                </c:pt>
                <c:pt idx="42">
                  <c:v>98.805700000000002</c:v>
                </c:pt>
                <c:pt idx="43">
                  <c:v>98.115499999999997</c:v>
                </c:pt>
                <c:pt idx="44">
                  <c:v>94.280699999999996</c:v>
                </c:pt>
                <c:pt idx="45">
                  <c:v>89.712999999999994</c:v>
                </c:pt>
                <c:pt idx="46">
                  <c:v>86.456800000000001</c:v>
                </c:pt>
                <c:pt idx="47">
                  <c:v>85.766600000000011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8A4-490A-9968-9A153E9F6C5E}"/>
            </c:ext>
          </c:extLst>
        </c:ser>
        <c:ser>
          <c:idx val="24"/>
          <c:order val="24"/>
          <c:tx>
            <c:v>BES_TR1_one76_A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SOC_pct!$AA$2:$AA$49</c:f>
              <c:numCache>
                <c:formatCode>0.0</c:formatCode>
                <c:ptCount val="48"/>
                <c:pt idx="0">
                  <c:v>40</c:v>
                </c:pt>
                <c:pt idx="1">
                  <c:v>38.806100000000001</c:v>
                </c:pt>
                <c:pt idx="2">
                  <c:v>37.495699999999999</c:v>
                </c:pt>
                <c:pt idx="3">
                  <c:v>36.767899999999997</c:v>
                </c:pt>
                <c:pt idx="4">
                  <c:v>35.107999999999997</c:v>
                </c:pt>
                <c:pt idx="5">
                  <c:v>34.263599999999997</c:v>
                </c:pt>
                <c:pt idx="6">
                  <c:v>33.011499999999998</c:v>
                </c:pt>
                <c:pt idx="7">
                  <c:v>31.7593</c:v>
                </c:pt>
                <c:pt idx="8">
                  <c:v>31.069299999999998</c:v>
                </c:pt>
                <c:pt idx="9">
                  <c:v>29.838899999999999</c:v>
                </c:pt>
                <c:pt idx="10">
                  <c:v>31.482199999999999</c:v>
                </c:pt>
                <c:pt idx="11">
                  <c:v>35.386299999999999</c:v>
                </c:pt>
                <c:pt idx="12">
                  <c:v>42.0625</c:v>
                </c:pt>
                <c:pt idx="13">
                  <c:v>50.819400000000002</c:v>
                </c:pt>
                <c:pt idx="14">
                  <c:v>63.582000000000008</c:v>
                </c:pt>
                <c:pt idx="15">
                  <c:v>79.3904</c:v>
                </c:pt>
                <c:pt idx="16">
                  <c:v>96.674999999999997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97.379300000000001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99.740099999999998</c:v>
                </c:pt>
                <c:pt idx="41">
                  <c:v>97.581299999999999</c:v>
                </c:pt>
                <c:pt idx="42">
                  <c:v>75.236899999999991</c:v>
                </c:pt>
                <c:pt idx="43">
                  <c:v>56.718299999999999</c:v>
                </c:pt>
                <c:pt idx="44">
                  <c:v>43.930799999999998</c:v>
                </c:pt>
                <c:pt idx="45">
                  <c:v>37.535600000000002</c:v>
                </c:pt>
                <c:pt idx="46">
                  <c:v>33.528200000000012</c:v>
                </c:pt>
                <c:pt idx="47">
                  <c:v>31.751799999999999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8A4-490A-9968-9A153E9F6C5E}"/>
            </c:ext>
          </c:extLst>
        </c:ser>
        <c:ser>
          <c:idx val="25"/>
          <c:order val="25"/>
          <c:tx>
            <c:v>BES_TR1_six64_A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SOC_pct!$AB$2:$AB$49</c:f>
              <c:numCache>
                <c:formatCode>0.0</c:formatCode>
                <c:ptCount val="48"/>
                <c:pt idx="0">
                  <c:v>40</c:v>
                </c:pt>
                <c:pt idx="1">
                  <c:v>33.445799999999998</c:v>
                </c:pt>
                <c:pt idx="2">
                  <c:v>32.233899999999998</c:v>
                </c:pt>
                <c:pt idx="3">
                  <c:v>30.596399999999999</c:v>
                </c:pt>
                <c:pt idx="4">
                  <c:v>29.8811</c:v>
                </c:pt>
                <c:pt idx="5">
                  <c:v>29.165800000000001</c:v>
                </c:pt>
                <c:pt idx="6">
                  <c:v>28.308700000000002</c:v>
                </c:pt>
                <c:pt idx="7">
                  <c:v>26.316400000000002</c:v>
                </c:pt>
                <c:pt idx="8">
                  <c:v>25.6281</c:v>
                </c:pt>
                <c:pt idx="9">
                  <c:v>23.884</c:v>
                </c:pt>
                <c:pt idx="10">
                  <c:v>24.881900000000002</c:v>
                </c:pt>
                <c:pt idx="11">
                  <c:v>26.6646</c:v>
                </c:pt>
                <c:pt idx="12">
                  <c:v>30.810500000000001</c:v>
                </c:pt>
                <c:pt idx="13">
                  <c:v>37.563699999999997</c:v>
                </c:pt>
                <c:pt idx="14">
                  <c:v>46.503999999999998</c:v>
                </c:pt>
                <c:pt idx="15">
                  <c:v>57.364400000000003</c:v>
                </c:pt>
                <c:pt idx="16">
                  <c:v>69.637500000000003</c:v>
                </c:pt>
                <c:pt idx="17">
                  <c:v>82.170299999999997</c:v>
                </c:pt>
                <c:pt idx="18">
                  <c:v>86.5642</c:v>
                </c:pt>
                <c:pt idx="19">
                  <c:v>99.130799999999994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94.218500000000006</c:v>
                </c:pt>
                <c:pt idx="41">
                  <c:v>83.978200000000001</c:v>
                </c:pt>
                <c:pt idx="42">
                  <c:v>74.752099999999999</c:v>
                </c:pt>
                <c:pt idx="43">
                  <c:v>67.906300000000002</c:v>
                </c:pt>
                <c:pt idx="44">
                  <c:v>60.960800000000013</c:v>
                </c:pt>
                <c:pt idx="45">
                  <c:v>48.801400000000001</c:v>
                </c:pt>
                <c:pt idx="46">
                  <c:v>40.138599999999997</c:v>
                </c:pt>
                <c:pt idx="47">
                  <c:v>25.345300000000002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8A4-490A-9968-9A153E9F6C5E}"/>
            </c:ext>
          </c:extLst>
        </c:ser>
        <c:ser>
          <c:idx val="26"/>
          <c:order val="26"/>
          <c:tx>
            <c:v>BES_TR1_six154_C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SOC_pct!$AC$2:$AC$49</c:f>
              <c:numCache>
                <c:formatCode>0.0</c:formatCode>
                <c:ptCount val="48"/>
                <c:pt idx="0">
                  <c:v>40</c:v>
                </c:pt>
                <c:pt idx="1">
                  <c:v>38.330300000000001</c:v>
                </c:pt>
                <c:pt idx="2">
                  <c:v>37.7029</c:v>
                </c:pt>
                <c:pt idx="3">
                  <c:v>36.619399999999999</c:v>
                </c:pt>
                <c:pt idx="4">
                  <c:v>35.145099999999999</c:v>
                </c:pt>
                <c:pt idx="5">
                  <c:v>34.517699999999998</c:v>
                </c:pt>
                <c:pt idx="6">
                  <c:v>32.587400000000002</c:v>
                </c:pt>
                <c:pt idx="7">
                  <c:v>31.96</c:v>
                </c:pt>
                <c:pt idx="8">
                  <c:v>31.375699999999998</c:v>
                </c:pt>
                <c:pt idx="9">
                  <c:v>31.372399999999999</c:v>
                </c:pt>
                <c:pt idx="10">
                  <c:v>33.434399999999997</c:v>
                </c:pt>
                <c:pt idx="11">
                  <c:v>37.904200000000003</c:v>
                </c:pt>
                <c:pt idx="12">
                  <c:v>44.721400000000003</c:v>
                </c:pt>
                <c:pt idx="13">
                  <c:v>55.991899999999987</c:v>
                </c:pt>
                <c:pt idx="14">
                  <c:v>70.761600000000001</c:v>
                </c:pt>
                <c:pt idx="15">
                  <c:v>88.493499999999997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98.894300000000001</c:v>
                </c:pt>
                <c:pt idx="41">
                  <c:v>97.051299999999998</c:v>
                </c:pt>
                <c:pt idx="42">
                  <c:v>96.423899999999989</c:v>
                </c:pt>
                <c:pt idx="43">
                  <c:v>95.796499999999995</c:v>
                </c:pt>
                <c:pt idx="44">
                  <c:v>95.168999999999997</c:v>
                </c:pt>
                <c:pt idx="45">
                  <c:v>93.303899999999999</c:v>
                </c:pt>
                <c:pt idx="46">
                  <c:v>92.6113</c:v>
                </c:pt>
                <c:pt idx="47">
                  <c:v>91.788499999999999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8A4-490A-9968-9A153E9F6C5E}"/>
            </c:ext>
          </c:extLst>
        </c:ser>
        <c:ser>
          <c:idx val="27"/>
          <c:order val="27"/>
          <c:tx>
            <c:v>BES_TR1_six173_C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SOC_pct!$AD$2:$AD$49</c:f>
              <c:numCache>
                <c:formatCode>0.0</c:formatCode>
                <c:ptCount val="48"/>
                <c:pt idx="0">
                  <c:v>40</c:v>
                </c:pt>
                <c:pt idx="1">
                  <c:v>37.532400000000003</c:v>
                </c:pt>
                <c:pt idx="2">
                  <c:v>36.842300000000002</c:v>
                </c:pt>
                <c:pt idx="3">
                  <c:v>31.970300000000002</c:v>
                </c:pt>
                <c:pt idx="4">
                  <c:v>31.093299999999999</c:v>
                </c:pt>
                <c:pt idx="5">
                  <c:v>29.7469</c:v>
                </c:pt>
                <c:pt idx="6">
                  <c:v>26.814399999999999</c:v>
                </c:pt>
                <c:pt idx="7">
                  <c:v>25.561699999999998</c:v>
                </c:pt>
                <c:pt idx="8">
                  <c:v>23.512699999999999</c:v>
                </c:pt>
                <c:pt idx="9">
                  <c:v>21.8095</c:v>
                </c:pt>
                <c:pt idx="10">
                  <c:v>23.688400000000001</c:v>
                </c:pt>
                <c:pt idx="11">
                  <c:v>27.5183</c:v>
                </c:pt>
                <c:pt idx="12">
                  <c:v>33.426299999999998</c:v>
                </c:pt>
                <c:pt idx="13">
                  <c:v>43.881</c:v>
                </c:pt>
                <c:pt idx="14">
                  <c:v>57.417299999999997</c:v>
                </c:pt>
                <c:pt idx="15">
                  <c:v>74.306200000000004</c:v>
                </c:pt>
                <c:pt idx="16">
                  <c:v>95.86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99.099000000000004</c:v>
                </c:pt>
                <c:pt idx="40">
                  <c:v>95.801999999999992</c:v>
                </c:pt>
                <c:pt idx="41">
                  <c:v>87.644100000000009</c:v>
                </c:pt>
                <c:pt idx="42">
                  <c:v>71.013800000000003</c:v>
                </c:pt>
                <c:pt idx="43">
                  <c:v>32.4861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8A4-490A-9968-9A153E9F6C5E}"/>
            </c:ext>
          </c:extLst>
        </c:ser>
        <c:ser>
          <c:idx val="28"/>
          <c:order val="28"/>
          <c:tx>
            <c:v>BES_TR1_six186_A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SOC_pct!$AE$2:$AE$49</c:f>
              <c:numCache>
                <c:formatCode>0.0</c:formatCode>
                <c:ptCount val="48"/>
                <c:pt idx="0">
                  <c:v>40</c:v>
                </c:pt>
                <c:pt idx="1">
                  <c:v>31.7818</c:v>
                </c:pt>
                <c:pt idx="2">
                  <c:v>23.083300000000001</c:v>
                </c:pt>
                <c:pt idx="3">
                  <c:v>17.067</c:v>
                </c:pt>
                <c:pt idx="4">
                  <c:v>15.921099999999999</c:v>
                </c:pt>
                <c:pt idx="5">
                  <c:v>13.911</c:v>
                </c:pt>
                <c:pt idx="6">
                  <c:v>13.2835</c:v>
                </c:pt>
                <c:pt idx="7">
                  <c:v>10.6736</c:v>
                </c:pt>
                <c:pt idx="8">
                  <c:v>10</c:v>
                </c:pt>
                <c:pt idx="9">
                  <c:v>10</c:v>
                </c:pt>
                <c:pt idx="10">
                  <c:v>10.085599999999999</c:v>
                </c:pt>
                <c:pt idx="11">
                  <c:v>11.248200000000001</c:v>
                </c:pt>
                <c:pt idx="12">
                  <c:v>14.8728</c:v>
                </c:pt>
                <c:pt idx="13">
                  <c:v>17.051400000000001</c:v>
                </c:pt>
                <c:pt idx="14">
                  <c:v>24.1539</c:v>
                </c:pt>
                <c:pt idx="15">
                  <c:v>30.444800000000001</c:v>
                </c:pt>
                <c:pt idx="16">
                  <c:v>39.311100000000003</c:v>
                </c:pt>
                <c:pt idx="17">
                  <c:v>48.554699999999997</c:v>
                </c:pt>
                <c:pt idx="18">
                  <c:v>58.812899999999999</c:v>
                </c:pt>
                <c:pt idx="19">
                  <c:v>70.840899999999991</c:v>
                </c:pt>
                <c:pt idx="20">
                  <c:v>86.588399999999993</c:v>
                </c:pt>
                <c:pt idx="21">
                  <c:v>98.780299999999997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80.704499999999996</c:v>
                </c:pt>
                <c:pt idx="32">
                  <c:v>63.173999999999999</c:v>
                </c:pt>
                <c:pt idx="33">
                  <c:v>69.682999999999993</c:v>
                </c:pt>
                <c:pt idx="34">
                  <c:v>79.14909999999999</c:v>
                </c:pt>
                <c:pt idx="35">
                  <c:v>84.010999999999996</c:v>
                </c:pt>
                <c:pt idx="36">
                  <c:v>86.480900000000005</c:v>
                </c:pt>
                <c:pt idx="37">
                  <c:v>72.632800000000003</c:v>
                </c:pt>
                <c:pt idx="38">
                  <c:v>32.085900000000002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8A4-490A-9968-9A153E9F6C5E}"/>
            </c:ext>
          </c:extLst>
        </c:ser>
        <c:ser>
          <c:idx val="29"/>
          <c:order val="29"/>
          <c:tx>
            <c:v>BES_TR1_six191_B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SOC_pct!$AF$2:$AF$49</c:f>
              <c:numCache>
                <c:formatCode>0.0</c:formatCode>
                <c:ptCount val="48"/>
                <c:pt idx="0">
                  <c:v>40</c:v>
                </c:pt>
                <c:pt idx="1">
                  <c:v>36.923999999999999</c:v>
                </c:pt>
                <c:pt idx="2">
                  <c:v>32.051600000000001</c:v>
                </c:pt>
                <c:pt idx="3">
                  <c:v>28.674600000000002</c:v>
                </c:pt>
                <c:pt idx="4">
                  <c:v>27.9969</c:v>
                </c:pt>
                <c:pt idx="5">
                  <c:v>27.319299999999998</c:v>
                </c:pt>
                <c:pt idx="6">
                  <c:v>26.6417</c:v>
                </c:pt>
                <c:pt idx="7">
                  <c:v>25.964099999999998</c:v>
                </c:pt>
                <c:pt idx="8">
                  <c:v>25.329599999999999</c:v>
                </c:pt>
                <c:pt idx="9">
                  <c:v>25.2761</c:v>
                </c:pt>
                <c:pt idx="10">
                  <c:v>27.292899999999999</c:v>
                </c:pt>
                <c:pt idx="11">
                  <c:v>31.8934</c:v>
                </c:pt>
                <c:pt idx="12">
                  <c:v>39.4818</c:v>
                </c:pt>
                <c:pt idx="13">
                  <c:v>40.921500000000002</c:v>
                </c:pt>
                <c:pt idx="14">
                  <c:v>38.316400000000002</c:v>
                </c:pt>
                <c:pt idx="15">
                  <c:v>56.417900000000003</c:v>
                </c:pt>
                <c:pt idx="16">
                  <c:v>75.918099999999995</c:v>
                </c:pt>
                <c:pt idx="17">
                  <c:v>96.169800000000009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98.277599999999993</c:v>
                </c:pt>
                <c:pt idx="41">
                  <c:v>95.50269999999999</c:v>
                </c:pt>
                <c:pt idx="42">
                  <c:v>91.752499999999998</c:v>
                </c:pt>
                <c:pt idx="43">
                  <c:v>88.005899999999997</c:v>
                </c:pt>
                <c:pt idx="44">
                  <c:v>80.483199999999997</c:v>
                </c:pt>
                <c:pt idx="45">
                  <c:v>76.466300000000004</c:v>
                </c:pt>
                <c:pt idx="46">
                  <c:v>68.116600000000005</c:v>
                </c:pt>
                <c:pt idx="47">
                  <c:v>67.439000000000007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8A4-490A-9968-9A153E9F6C5E}"/>
            </c:ext>
          </c:extLst>
        </c:ser>
        <c:ser>
          <c:idx val="30"/>
          <c:order val="30"/>
          <c:tx>
            <c:v>BES_TR1_six249_B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SOC_pct!$AG$2:$AG$49</c:f>
              <c:numCache>
                <c:formatCode>0.0</c:formatCode>
                <c:ptCount val="48"/>
                <c:pt idx="0">
                  <c:v>40</c:v>
                </c:pt>
                <c:pt idx="1">
                  <c:v>39.259599999999999</c:v>
                </c:pt>
                <c:pt idx="2">
                  <c:v>37.090800000000002</c:v>
                </c:pt>
                <c:pt idx="3">
                  <c:v>35.008699999999997</c:v>
                </c:pt>
                <c:pt idx="4">
                  <c:v>32.839799999999997</c:v>
                </c:pt>
                <c:pt idx="5">
                  <c:v>32.099400000000003</c:v>
                </c:pt>
                <c:pt idx="6">
                  <c:v>28.7317</c:v>
                </c:pt>
                <c:pt idx="7">
                  <c:v>27.848500000000001</c:v>
                </c:pt>
                <c:pt idx="8">
                  <c:v>26.865600000000001</c:v>
                </c:pt>
                <c:pt idx="9">
                  <c:v>25.6065</c:v>
                </c:pt>
                <c:pt idx="10">
                  <c:v>27.566800000000001</c:v>
                </c:pt>
                <c:pt idx="11">
                  <c:v>30.903300000000002</c:v>
                </c:pt>
                <c:pt idx="12">
                  <c:v>38.615499999999997</c:v>
                </c:pt>
                <c:pt idx="13">
                  <c:v>48.576799999999999</c:v>
                </c:pt>
                <c:pt idx="14">
                  <c:v>61.959200000000003</c:v>
                </c:pt>
                <c:pt idx="15">
                  <c:v>80.108199999999997</c:v>
                </c:pt>
                <c:pt idx="16">
                  <c:v>98.399199999999993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98.2333</c:v>
                </c:pt>
                <c:pt idx="41">
                  <c:v>91.296900000000008</c:v>
                </c:pt>
                <c:pt idx="42">
                  <c:v>83.314400000000006</c:v>
                </c:pt>
                <c:pt idx="43">
                  <c:v>77.109200000000001</c:v>
                </c:pt>
                <c:pt idx="44">
                  <c:v>69.513100000000009</c:v>
                </c:pt>
                <c:pt idx="45">
                  <c:v>58.784300000000002</c:v>
                </c:pt>
                <c:pt idx="46">
                  <c:v>51.192500000000003</c:v>
                </c:pt>
                <c:pt idx="47">
                  <c:v>49.302100000000003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8A4-490A-9968-9A153E9F6C5E}"/>
            </c:ext>
          </c:extLst>
        </c:ser>
        <c:ser>
          <c:idx val="31"/>
          <c:order val="31"/>
          <c:tx>
            <c:v>BES_TR1_six254_B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SOC_pct!$AH$2:$AH$49</c:f>
              <c:numCache>
                <c:formatCode>0.0</c:formatCode>
                <c:ptCount val="48"/>
                <c:pt idx="0">
                  <c:v>40</c:v>
                </c:pt>
                <c:pt idx="1">
                  <c:v>38.155000000000001</c:v>
                </c:pt>
                <c:pt idx="2">
                  <c:v>35.673100000000012</c:v>
                </c:pt>
                <c:pt idx="3">
                  <c:v>34.474600000000002</c:v>
                </c:pt>
                <c:pt idx="4">
                  <c:v>33.276000000000003</c:v>
                </c:pt>
                <c:pt idx="5">
                  <c:v>32.7239</c:v>
                </c:pt>
                <c:pt idx="6">
                  <c:v>30.527999999999999</c:v>
                </c:pt>
                <c:pt idx="7">
                  <c:v>28.396999999999998</c:v>
                </c:pt>
                <c:pt idx="8">
                  <c:v>27.774100000000001</c:v>
                </c:pt>
                <c:pt idx="9">
                  <c:v>24.7546</c:v>
                </c:pt>
                <c:pt idx="10">
                  <c:v>25.255299999999998</c:v>
                </c:pt>
                <c:pt idx="11">
                  <c:v>27.031099999999999</c:v>
                </c:pt>
                <c:pt idx="12">
                  <c:v>28.1554</c:v>
                </c:pt>
                <c:pt idx="13">
                  <c:v>33.576099999999997</c:v>
                </c:pt>
                <c:pt idx="14">
                  <c:v>37.843200000000003</c:v>
                </c:pt>
                <c:pt idx="15">
                  <c:v>44.660800000000002</c:v>
                </c:pt>
                <c:pt idx="16">
                  <c:v>42.6753</c:v>
                </c:pt>
                <c:pt idx="17">
                  <c:v>52.554299999999998</c:v>
                </c:pt>
                <c:pt idx="18">
                  <c:v>65.313600000000008</c:v>
                </c:pt>
                <c:pt idx="19">
                  <c:v>77.466500000000011</c:v>
                </c:pt>
                <c:pt idx="20">
                  <c:v>93.471400000000003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99.515500000000003</c:v>
                </c:pt>
                <c:pt idx="40">
                  <c:v>94.852599999999995</c:v>
                </c:pt>
                <c:pt idx="41">
                  <c:v>87.728799999999993</c:v>
                </c:pt>
                <c:pt idx="42">
                  <c:v>79.990600000000001</c:v>
                </c:pt>
                <c:pt idx="43">
                  <c:v>76.939599999999999</c:v>
                </c:pt>
                <c:pt idx="44">
                  <c:v>68.747199999999992</c:v>
                </c:pt>
                <c:pt idx="45">
                  <c:v>63.067599999999999</c:v>
                </c:pt>
                <c:pt idx="46">
                  <c:v>57.931900000000013</c:v>
                </c:pt>
                <c:pt idx="47">
                  <c:v>54.016100000000002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8A4-490A-9968-9A153E9F6C5E}"/>
            </c:ext>
          </c:extLst>
        </c:ser>
        <c:ser>
          <c:idx val="32"/>
          <c:order val="32"/>
          <c:tx>
            <c:v>BES_TR1_six269_C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SOC_pct!$AI$2:$AI$49</c:f>
              <c:numCache>
                <c:formatCode>0.0</c:formatCode>
                <c:ptCount val="48"/>
                <c:pt idx="0">
                  <c:v>40</c:v>
                </c:pt>
                <c:pt idx="1">
                  <c:v>37.898099999999999</c:v>
                </c:pt>
                <c:pt idx="2">
                  <c:v>36.435299999999998</c:v>
                </c:pt>
                <c:pt idx="3">
                  <c:v>34.412799999999997</c:v>
                </c:pt>
                <c:pt idx="4">
                  <c:v>32.397300000000001</c:v>
                </c:pt>
                <c:pt idx="5">
                  <c:v>30.697800000000001</c:v>
                </c:pt>
                <c:pt idx="6">
                  <c:v>28.596</c:v>
                </c:pt>
                <c:pt idx="7">
                  <c:v>26.581</c:v>
                </c:pt>
                <c:pt idx="8">
                  <c:v>25.056699999999999</c:v>
                </c:pt>
                <c:pt idx="9">
                  <c:v>22.964600000000001</c:v>
                </c:pt>
                <c:pt idx="10">
                  <c:v>24.257000000000001</c:v>
                </c:pt>
                <c:pt idx="11">
                  <c:v>27.487100000000002</c:v>
                </c:pt>
                <c:pt idx="12">
                  <c:v>30.743400000000001</c:v>
                </c:pt>
                <c:pt idx="13">
                  <c:v>38.9422</c:v>
                </c:pt>
                <c:pt idx="14">
                  <c:v>48.8352</c:v>
                </c:pt>
                <c:pt idx="15">
                  <c:v>60.849200000000003</c:v>
                </c:pt>
                <c:pt idx="16">
                  <c:v>76.070899999999995</c:v>
                </c:pt>
                <c:pt idx="17">
                  <c:v>93.0501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97.492699999999999</c:v>
                </c:pt>
                <c:pt idx="40">
                  <c:v>93.08189999999999</c:v>
                </c:pt>
                <c:pt idx="41">
                  <c:v>87.826899999999995</c:v>
                </c:pt>
                <c:pt idx="42">
                  <c:v>84.075999999999993</c:v>
                </c:pt>
                <c:pt idx="43">
                  <c:v>80.219300000000004</c:v>
                </c:pt>
                <c:pt idx="44">
                  <c:v>76.239100000000008</c:v>
                </c:pt>
                <c:pt idx="45">
                  <c:v>72.509</c:v>
                </c:pt>
                <c:pt idx="46">
                  <c:v>67.387799999999999</c:v>
                </c:pt>
                <c:pt idx="47">
                  <c:v>65.619500000000002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8A4-490A-9968-9A153E9F6C5E}"/>
            </c:ext>
          </c:extLst>
        </c:ser>
        <c:ser>
          <c:idx val="33"/>
          <c:order val="33"/>
          <c:tx>
            <c:v>BES_TR1_six68_C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SOC_pct!$AJ$2:$AJ$49</c:f>
              <c:numCache>
                <c:formatCode>0.0</c:formatCode>
                <c:ptCount val="48"/>
                <c:pt idx="0">
                  <c:v>40</c:v>
                </c:pt>
                <c:pt idx="1">
                  <c:v>39.124299999999998</c:v>
                </c:pt>
                <c:pt idx="2">
                  <c:v>34.455000000000013</c:v>
                </c:pt>
                <c:pt idx="3">
                  <c:v>32.434100000000001</c:v>
                </c:pt>
                <c:pt idx="4">
                  <c:v>31.806699999999999</c:v>
                </c:pt>
                <c:pt idx="5">
                  <c:v>29.191500000000001</c:v>
                </c:pt>
                <c:pt idx="6">
                  <c:v>28.5641</c:v>
                </c:pt>
                <c:pt idx="7">
                  <c:v>25.949000000000002</c:v>
                </c:pt>
                <c:pt idx="8">
                  <c:v>25.337800000000001</c:v>
                </c:pt>
                <c:pt idx="9">
                  <c:v>23.498799999999999</c:v>
                </c:pt>
                <c:pt idx="10">
                  <c:v>23.4237</c:v>
                </c:pt>
                <c:pt idx="11">
                  <c:v>23.999700000000001</c:v>
                </c:pt>
                <c:pt idx="12">
                  <c:v>25.601199999999999</c:v>
                </c:pt>
                <c:pt idx="13">
                  <c:v>29.474699999999999</c:v>
                </c:pt>
                <c:pt idx="14">
                  <c:v>34.416400000000003</c:v>
                </c:pt>
                <c:pt idx="15">
                  <c:v>39.325500000000012</c:v>
                </c:pt>
                <c:pt idx="16">
                  <c:v>46.34</c:v>
                </c:pt>
                <c:pt idx="17">
                  <c:v>51.640500000000003</c:v>
                </c:pt>
                <c:pt idx="18">
                  <c:v>44.128500000000003</c:v>
                </c:pt>
                <c:pt idx="19">
                  <c:v>31.346900000000002</c:v>
                </c:pt>
                <c:pt idx="20">
                  <c:v>30.798300000000001</c:v>
                </c:pt>
                <c:pt idx="21">
                  <c:v>41.865600000000001</c:v>
                </c:pt>
                <c:pt idx="22">
                  <c:v>53.439500000000002</c:v>
                </c:pt>
                <c:pt idx="23">
                  <c:v>63.249299999999998</c:v>
                </c:pt>
                <c:pt idx="24">
                  <c:v>72.754800000000003</c:v>
                </c:pt>
                <c:pt idx="25">
                  <c:v>75.842299999999994</c:v>
                </c:pt>
                <c:pt idx="26">
                  <c:v>85.941400000000002</c:v>
                </c:pt>
                <c:pt idx="27">
                  <c:v>99.382899999999992</c:v>
                </c:pt>
                <c:pt idx="28">
                  <c:v>100</c:v>
                </c:pt>
                <c:pt idx="29">
                  <c:v>99.016999999999996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98.017899999999997</c:v>
                </c:pt>
                <c:pt idx="38">
                  <c:v>97.661000000000001</c:v>
                </c:pt>
                <c:pt idx="39">
                  <c:v>79.167299999999997</c:v>
                </c:pt>
                <c:pt idx="40">
                  <c:v>67.404200000000003</c:v>
                </c:pt>
                <c:pt idx="41">
                  <c:v>52.553199999999997</c:v>
                </c:pt>
                <c:pt idx="42">
                  <c:v>49.885199999999998</c:v>
                </c:pt>
                <c:pt idx="43">
                  <c:v>45.927399999999999</c:v>
                </c:pt>
                <c:pt idx="44">
                  <c:v>40.619100000000003</c:v>
                </c:pt>
                <c:pt idx="45">
                  <c:v>37.229900000000001</c:v>
                </c:pt>
                <c:pt idx="46">
                  <c:v>34.098999999999997</c:v>
                </c:pt>
                <c:pt idx="47">
                  <c:v>31.852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08A4-490A-9968-9A153E9F6C5E}"/>
            </c:ext>
          </c:extLst>
        </c:ser>
        <c:ser>
          <c:idx val="34"/>
          <c:order val="34"/>
          <c:tx>
            <c:v>BES_TR1_six289_C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SOC_pct!$AK$2:$AK$49</c:f>
              <c:numCache>
                <c:formatCode>0.0</c:formatCode>
                <c:ptCount val="48"/>
                <c:pt idx="0">
                  <c:v>40</c:v>
                </c:pt>
                <c:pt idx="1">
                  <c:v>39.0792</c:v>
                </c:pt>
                <c:pt idx="2">
                  <c:v>35.336599999999997</c:v>
                </c:pt>
                <c:pt idx="3">
                  <c:v>33.452300000000001</c:v>
                </c:pt>
                <c:pt idx="4">
                  <c:v>31.373699999999999</c:v>
                </c:pt>
                <c:pt idx="5">
                  <c:v>28.165099999999999</c:v>
                </c:pt>
                <c:pt idx="6">
                  <c:v>26.904599999999999</c:v>
                </c:pt>
                <c:pt idx="7">
                  <c:v>22.906700000000001</c:v>
                </c:pt>
                <c:pt idx="8">
                  <c:v>21.106400000000001</c:v>
                </c:pt>
                <c:pt idx="9">
                  <c:v>19.3398</c:v>
                </c:pt>
                <c:pt idx="10">
                  <c:v>19.998100000000001</c:v>
                </c:pt>
                <c:pt idx="11">
                  <c:v>20.123699999999999</c:v>
                </c:pt>
                <c:pt idx="12">
                  <c:v>22.159099999999999</c:v>
                </c:pt>
                <c:pt idx="13">
                  <c:v>26.8171</c:v>
                </c:pt>
                <c:pt idx="14">
                  <c:v>32.695</c:v>
                </c:pt>
                <c:pt idx="15">
                  <c:v>39.884099999999997</c:v>
                </c:pt>
                <c:pt idx="16">
                  <c:v>39.9315</c:v>
                </c:pt>
                <c:pt idx="17">
                  <c:v>47.052999999999997</c:v>
                </c:pt>
                <c:pt idx="18">
                  <c:v>57.605499999999999</c:v>
                </c:pt>
                <c:pt idx="19">
                  <c:v>58.843100000000007</c:v>
                </c:pt>
                <c:pt idx="20">
                  <c:v>61.5259</c:v>
                </c:pt>
                <c:pt idx="21">
                  <c:v>73.8523</c:v>
                </c:pt>
                <c:pt idx="22">
                  <c:v>87.174700000000001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98.482099999999988</c:v>
                </c:pt>
                <c:pt idx="40">
                  <c:v>91.32050000000001</c:v>
                </c:pt>
                <c:pt idx="41">
                  <c:v>79.890500000000003</c:v>
                </c:pt>
                <c:pt idx="42">
                  <c:v>60.492999999999988</c:v>
                </c:pt>
                <c:pt idx="43">
                  <c:v>47.728299999999997</c:v>
                </c:pt>
                <c:pt idx="44">
                  <c:v>35.736400000000003</c:v>
                </c:pt>
                <c:pt idx="45">
                  <c:v>18.687000000000001</c:v>
                </c:pt>
                <c:pt idx="46">
                  <c:v>11.498900000000001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8A4-490A-9968-9A153E9F6C5E}"/>
            </c:ext>
          </c:extLst>
        </c:ser>
        <c:ser>
          <c:idx val="35"/>
          <c:order val="35"/>
          <c:tx>
            <c:v>BES_TR1_six317_C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SOC_pct!$AL$2:$AL$49</c:f>
              <c:numCache>
                <c:formatCode>0.0</c:formatCode>
                <c:ptCount val="48"/>
                <c:pt idx="0">
                  <c:v>40</c:v>
                </c:pt>
                <c:pt idx="1">
                  <c:v>36.621699999999997</c:v>
                </c:pt>
                <c:pt idx="2">
                  <c:v>33.793599999999998</c:v>
                </c:pt>
                <c:pt idx="3">
                  <c:v>31.526800000000001</c:v>
                </c:pt>
                <c:pt idx="4">
                  <c:v>29.877199999999998</c:v>
                </c:pt>
                <c:pt idx="5">
                  <c:v>27.574300000000001</c:v>
                </c:pt>
                <c:pt idx="6">
                  <c:v>24.347799999999999</c:v>
                </c:pt>
                <c:pt idx="7">
                  <c:v>21.544699999999999</c:v>
                </c:pt>
                <c:pt idx="8">
                  <c:v>19.640599999999999</c:v>
                </c:pt>
                <c:pt idx="9">
                  <c:v>18.4603</c:v>
                </c:pt>
                <c:pt idx="10">
                  <c:v>17.481300000000001</c:v>
                </c:pt>
                <c:pt idx="11">
                  <c:v>18.3643</c:v>
                </c:pt>
                <c:pt idx="12">
                  <c:v>22.438300000000002</c:v>
                </c:pt>
                <c:pt idx="13">
                  <c:v>27.4025</c:v>
                </c:pt>
                <c:pt idx="14">
                  <c:v>35.037400000000012</c:v>
                </c:pt>
                <c:pt idx="15">
                  <c:v>43.319299999999998</c:v>
                </c:pt>
                <c:pt idx="16">
                  <c:v>55.149500000000003</c:v>
                </c:pt>
                <c:pt idx="17">
                  <c:v>65.159300000000002</c:v>
                </c:pt>
                <c:pt idx="18">
                  <c:v>66.838799999999992</c:v>
                </c:pt>
                <c:pt idx="19">
                  <c:v>85.221400000000003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91.497900000000001</c:v>
                </c:pt>
                <c:pt idx="36">
                  <c:v>81.782600000000002</c:v>
                </c:pt>
                <c:pt idx="37">
                  <c:v>83.536600000000007</c:v>
                </c:pt>
                <c:pt idx="38">
                  <c:v>86.743300000000005</c:v>
                </c:pt>
                <c:pt idx="39">
                  <c:v>85.163199999999989</c:v>
                </c:pt>
                <c:pt idx="40">
                  <c:v>85.218400000000003</c:v>
                </c:pt>
                <c:pt idx="41">
                  <c:v>82.652900000000002</c:v>
                </c:pt>
                <c:pt idx="42">
                  <c:v>77.431700000000006</c:v>
                </c:pt>
                <c:pt idx="43">
                  <c:v>74.687700000000007</c:v>
                </c:pt>
                <c:pt idx="44">
                  <c:v>69.587500000000006</c:v>
                </c:pt>
                <c:pt idx="45">
                  <c:v>68.926200000000009</c:v>
                </c:pt>
                <c:pt idx="46">
                  <c:v>65.062299999999993</c:v>
                </c:pt>
                <c:pt idx="47">
                  <c:v>62.896700000000003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08A4-490A-9968-9A153E9F6C5E}"/>
            </c:ext>
          </c:extLst>
        </c:ser>
        <c:ser>
          <c:idx val="36"/>
          <c:order val="36"/>
          <c:tx>
            <c:v>BES_TR1_six326_A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SOC_pct!$AM$2:$AM$49</c:f>
              <c:numCache>
                <c:formatCode>0.0</c:formatCode>
                <c:ptCount val="48"/>
                <c:pt idx="0">
                  <c:v>40</c:v>
                </c:pt>
                <c:pt idx="1">
                  <c:v>38.600200000000001</c:v>
                </c:pt>
                <c:pt idx="2">
                  <c:v>37.568399999999997</c:v>
                </c:pt>
                <c:pt idx="3">
                  <c:v>36.966099999999997</c:v>
                </c:pt>
                <c:pt idx="4">
                  <c:v>35.4711</c:v>
                </c:pt>
                <c:pt idx="5">
                  <c:v>34.868699999999997</c:v>
                </c:pt>
                <c:pt idx="6">
                  <c:v>33.373699999999999</c:v>
                </c:pt>
                <c:pt idx="7">
                  <c:v>31.5444</c:v>
                </c:pt>
                <c:pt idx="8">
                  <c:v>30.919499999999999</c:v>
                </c:pt>
                <c:pt idx="9">
                  <c:v>28.6372</c:v>
                </c:pt>
                <c:pt idx="10">
                  <c:v>29.736799999999999</c:v>
                </c:pt>
                <c:pt idx="11">
                  <c:v>31.346900000000002</c:v>
                </c:pt>
                <c:pt idx="12">
                  <c:v>36.041400000000003</c:v>
                </c:pt>
                <c:pt idx="13">
                  <c:v>42.896299999999997</c:v>
                </c:pt>
                <c:pt idx="14">
                  <c:v>50.0304</c:v>
                </c:pt>
                <c:pt idx="15">
                  <c:v>61.247999999999998</c:v>
                </c:pt>
                <c:pt idx="16">
                  <c:v>74.599699999999999</c:v>
                </c:pt>
                <c:pt idx="17">
                  <c:v>87.392499999999998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94.13</c:v>
                </c:pt>
                <c:pt idx="41">
                  <c:v>85.77709999999999</c:v>
                </c:pt>
                <c:pt idx="42">
                  <c:v>72.709800000000001</c:v>
                </c:pt>
                <c:pt idx="43">
                  <c:v>58.246200000000002</c:v>
                </c:pt>
                <c:pt idx="44">
                  <c:v>43.519500000000001</c:v>
                </c:pt>
                <c:pt idx="45">
                  <c:v>30.4283</c:v>
                </c:pt>
                <c:pt idx="46">
                  <c:v>14.425000000000001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8A4-490A-9968-9A153E9F6C5E}"/>
            </c:ext>
          </c:extLst>
        </c:ser>
        <c:ser>
          <c:idx val="37"/>
          <c:order val="37"/>
          <c:tx>
            <c:v>BES_TR1_six329_A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SOC_pct!$AN$2:$AN$49</c:f>
              <c:numCache>
                <c:formatCode>0.0</c:formatCode>
                <c:ptCount val="48"/>
                <c:pt idx="0">
                  <c:v>40</c:v>
                </c:pt>
                <c:pt idx="1">
                  <c:v>39.259599999999999</c:v>
                </c:pt>
                <c:pt idx="2">
                  <c:v>35.582299999999996</c:v>
                </c:pt>
                <c:pt idx="3">
                  <c:v>34.841900000000003</c:v>
                </c:pt>
                <c:pt idx="4">
                  <c:v>32.237000000000002</c:v>
                </c:pt>
                <c:pt idx="5">
                  <c:v>30.424199999999999</c:v>
                </c:pt>
                <c:pt idx="6">
                  <c:v>29.683800000000002</c:v>
                </c:pt>
                <c:pt idx="7">
                  <c:v>27.359100000000002</c:v>
                </c:pt>
                <c:pt idx="8">
                  <c:v>26.645800000000001</c:v>
                </c:pt>
                <c:pt idx="9">
                  <c:v>24.869599999999998</c:v>
                </c:pt>
                <c:pt idx="10">
                  <c:v>24.4421</c:v>
                </c:pt>
                <c:pt idx="11">
                  <c:v>26.8184</c:v>
                </c:pt>
                <c:pt idx="12">
                  <c:v>30.176600000000001</c:v>
                </c:pt>
                <c:pt idx="13">
                  <c:v>35.950699999999998</c:v>
                </c:pt>
                <c:pt idx="14">
                  <c:v>40.8386</c:v>
                </c:pt>
                <c:pt idx="15">
                  <c:v>36.880499999999998</c:v>
                </c:pt>
                <c:pt idx="16">
                  <c:v>46.337200000000003</c:v>
                </c:pt>
                <c:pt idx="17">
                  <c:v>58.747100000000003</c:v>
                </c:pt>
                <c:pt idx="18">
                  <c:v>73.819999999999993</c:v>
                </c:pt>
                <c:pt idx="19">
                  <c:v>91.051099999999991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99.423699999999997</c:v>
                </c:pt>
                <c:pt idx="41">
                  <c:v>98.162000000000006</c:v>
                </c:pt>
                <c:pt idx="42">
                  <c:v>95.916499999999999</c:v>
                </c:pt>
                <c:pt idx="43">
                  <c:v>93.744200000000006</c:v>
                </c:pt>
                <c:pt idx="44">
                  <c:v>91.815700000000007</c:v>
                </c:pt>
                <c:pt idx="45">
                  <c:v>89.616399999999999</c:v>
                </c:pt>
                <c:pt idx="46">
                  <c:v>88.586100000000002</c:v>
                </c:pt>
                <c:pt idx="47">
                  <c:v>87.845799999999997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08A4-490A-9968-9A153E9F6C5E}"/>
            </c:ext>
          </c:extLst>
        </c:ser>
        <c:ser>
          <c:idx val="38"/>
          <c:order val="38"/>
          <c:tx>
            <c:v>BES_TR1_six342_A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SOC_pct!$AO$2:$AO$49</c:f>
              <c:numCache>
                <c:formatCode>0.0</c:formatCode>
                <c:ptCount val="48"/>
                <c:pt idx="0">
                  <c:v>40</c:v>
                </c:pt>
                <c:pt idx="1">
                  <c:v>35.087800000000001</c:v>
                </c:pt>
                <c:pt idx="2">
                  <c:v>34.498100000000001</c:v>
                </c:pt>
                <c:pt idx="3">
                  <c:v>33.908299999999997</c:v>
                </c:pt>
                <c:pt idx="4">
                  <c:v>33.3185</c:v>
                </c:pt>
                <c:pt idx="5">
                  <c:v>31.718499999999999</c:v>
                </c:pt>
                <c:pt idx="6">
                  <c:v>31.128699999999998</c:v>
                </c:pt>
                <c:pt idx="7">
                  <c:v>30.538900000000002</c:v>
                </c:pt>
                <c:pt idx="8">
                  <c:v>29.9815</c:v>
                </c:pt>
                <c:pt idx="9">
                  <c:v>29.8598</c:v>
                </c:pt>
                <c:pt idx="10">
                  <c:v>31.298999999999999</c:v>
                </c:pt>
                <c:pt idx="11">
                  <c:v>34.322399999999988</c:v>
                </c:pt>
                <c:pt idx="12">
                  <c:v>39.519799999999996</c:v>
                </c:pt>
                <c:pt idx="13">
                  <c:v>47.410799999999988</c:v>
                </c:pt>
                <c:pt idx="14">
                  <c:v>57.926200000000009</c:v>
                </c:pt>
                <c:pt idx="15">
                  <c:v>71.506900000000002</c:v>
                </c:pt>
                <c:pt idx="16">
                  <c:v>87.702199999999991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98.810500000000005</c:v>
                </c:pt>
                <c:pt idx="42">
                  <c:v>95.974800000000002</c:v>
                </c:pt>
                <c:pt idx="43">
                  <c:v>92.308700000000002</c:v>
                </c:pt>
                <c:pt idx="44">
                  <c:v>85.669300000000007</c:v>
                </c:pt>
                <c:pt idx="45">
                  <c:v>81.305899999999994</c:v>
                </c:pt>
                <c:pt idx="46">
                  <c:v>77.269300000000001</c:v>
                </c:pt>
                <c:pt idx="47">
                  <c:v>69.568799999999996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8A4-490A-9968-9A153E9F6C5E}"/>
            </c:ext>
          </c:extLst>
        </c:ser>
        <c:ser>
          <c:idx val="39"/>
          <c:order val="39"/>
          <c:tx>
            <c:v>BES_TR1_six349_A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SOC_pct!$AP$2:$AP$49</c:f>
              <c:numCache>
                <c:formatCode>0.0</c:formatCode>
                <c:ptCount val="48"/>
                <c:pt idx="0">
                  <c:v>40</c:v>
                </c:pt>
                <c:pt idx="1">
                  <c:v>33.399000000000001</c:v>
                </c:pt>
                <c:pt idx="2">
                  <c:v>27.794</c:v>
                </c:pt>
                <c:pt idx="3">
                  <c:v>27.141500000000001</c:v>
                </c:pt>
                <c:pt idx="4">
                  <c:v>26.489000000000001</c:v>
                </c:pt>
                <c:pt idx="5">
                  <c:v>25.836500000000001</c:v>
                </c:pt>
                <c:pt idx="6">
                  <c:v>25.183900000000001</c:v>
                </c:pt>
                <c:pt idx="7">
                  <c:v>24.531400000000001</c:v>
                </c:pt>
                <c:pt idx="8">
                  <c:v>23.905899999999999</c:v>
                </c:pt>
                <c:pt idx="9">
                  <c:v>23.6434</c:v>
                </c:pt>
                <c:pt idx="10">
                  <c:v>24.697800000000001</c:v>
                </c:pt>
                <c:pt idx="11">
                  <c:v>27.367000000000001</c:v>
                </c:pt>
                <c:pt idx="12">
                  <c:v>32.016300000000001</c:v>
                </c:pt>
                <c:pt idx="13">
                  <c:v>38.826099999999997</c:v>
                </c:pt>
                <c:pt idx="14">
                  <c:v>47.273000000000003</c:v>
                </c:pt>
                <c:pt idx="15">
                  <c:v>58.445400000000006</c:v>
                </c:pt>
                <c:pt idx="16">
                  <c:v>71.796499999999995</c:v>
                </c:pt>
                <c:pt idx="17">
                  <c:v>87.192599999999999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90.122</c:v>
                </c:pt>
                <c:pt idx="29">
                  <c:v>76.140799999999999</c:v>
                </c:pt>
                <c:pt idx="30">
                  <c:v>89.949699999999993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98.814400000000006</c:v>
                </c:pt>
                <c:pt idx="41">
                  <c:v>93.266800000000003</c:v>
                </c:pt>
                <c:pt idx="42">
                  <c:v>87.788299999999992</c:v>
                </c:pt>
                <c:pt idx="43">
                  <c:v>75.248699999999999</c:v>
                </c:pt>
                <c:pt idx="44">
                  <c:v>39.820700000000002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08A4-490A-9968-9A153E9F6C5E}"/>
            </c:ext>
          </c:extLst>
        </c:ser>
        <c:ser>
          <c:idx val="40"/>
          <c:order val="40"/>
          <c:tx>
            <c:v>BES_TR1_six350_B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SOC_pct!$AQ$2:$AQ$49</c:f>
              <c:numCache>
                <c:formatCode>0.0</c:formatCode>
                <c:ptCount val="48"/>
                <c:pt idx="0">
                  <c:v>40</c:v>
                </c:pt>
                <c:pt idx="1">
                  <c:v>39.334899999999998</c:v>
                </c:pt>
                <c:pt idx="2">
                  <c:v>37.687399999999997</c:v>
                </c:pt>
                <c:pt idx="3">
                  <c:v>37.022300000000001</c:v>
                </c:pt>
                <c:pt idx="4">
                  <c:v>36.357199999999999</c:v>
                </c:pt>
                <c:pt idx="5">
                  <c:v>34.709699999999998</c:v>
                </c:pt>
                <c:pt idx="6">
                  <c:v>34.044600000000003</c:v>
                </c:pt>
                <c:pt idx="7">
                  <c:v>32.724600000000002</c:v>
                </c:pt>
                <c:pt idx="8">
                  <c:v>31.775200000000002</c:v>
                </c:pt>
                <c:pt idx="9">
                  <c:v>31.734200000000001</c:v>
                </c:pt>
                <c:pt idx="10">
                  <c:v>33.5167</c:v>
                </c:pt>
                <c:pt idx="11">
                  <c:v>37.489899999999999</c:v>
                </c:pt>
                <c:pt idx="12">
                  <c:v>45.2699</c:v>
                </c:pt>
                <c:pt idx="13">
                  <c:v>55.867900000000013</c:v>
                </c:pt>
                <c:pt idx="14">
                  <c:v>70.358100000000007</c:v>
                </c:pt>
                <c:pt idx="15">
                  <c:v>88.5749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93.004199999999997</c:v>
                </c:pt>
                <c:pt idx="41">
                  <c:v>86.198999999999998</c:v>
                </c:pt>
                <c:pt idx="42">
                  <c:v>81.292200000000008</c:v>
                </c:pt>
                <c:pt idx="43">
                  <c:v>74.8279</c:v>
                </c:pt>
                <c:pt idx="44">
                  <c:v>68.531300000000002</c:v>
                </c:pt>
                <c:pt idx="45">
                  <c:v>62.902099999999997</c:v>
                </c:pt>
                <c:pt idx="46">
                  <c:v>60.012200000000007</c:v>
                </c:pt>
                <c:pt idx="47">
                  <c:v>59.347099999999998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8A4-490A-9968-9A153E9F6C5E}"/>
            </c:ext>
          </c:extLst>
        </c:ser>
        <c:ser>
          <c:idx val="41"/>
          <c:order val="41"/>
          <c:tx>
            <c:v>BES_TR1_six378_A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SOC_pct!$AR$2:$AR$49</c:f>
              <c:numCache>
                <c:formatCode>0.0</c:formatCode>
                <c:ptCount val="48"/>
                <c:pt idx="0">
                  <c:v>40</c:v>
                </c:pt>
                <c:pt idx="1">
                  <c:v>38.2194</c:v>
                </c:pt>
                <c:pt idx="2">
                  <c:v>37.642099999999999</c:v>
                </c:pt>
                <c:pt idx="3">
                  <c:v>37.064900000000002</c:v>
                </c:pt>
                <c:pt idx="4">
                  <c:v>36.487699999999997</c:v>
                </c:pt>
                <c:pt idx="5">
                  <c:v>35.910400000000003</c:v>
                </c:pt>
                <c:pt idx="6">
                  <c:v>35.333199999999998</c:v>
                </c:pt>
                <c:pt idx="7">
                  <c:v>34.756</c:v>
                </c:pt>
                <c:pt idx="8">
                  <c:v>34.221899999999998</c:v>
                </c:pt>
                <c:pt idx="9">
                  <c:v>34.264099999999999</c:v>
                </c:pt>
                <c:pt idx="10">
                  <c:v>36.371299999999998</c:v>
                </c:pt>
                <c:pt idx="11">
                  <c:v>41.062100000000001</c:v>
                </c:pt>
                <c:pt idx="12">
                  <c:v>48.921199999999999</c:v>
                </c:pt>
                <c:pt idx="13">
                  <c:v>60.236900000000013</c:v>
                </c:pt>
                <c:pt idx="14">
                  <c:v>75.0518</c:v>
                </c:pt>
                <c:pt idx="15">
                  <c:v>93.347700000000003</c:v>
                </c:pt>
                <c:pt idx="16">
                  <c:v>100</c:v>
                </c:pt>
                <c:pt idx="17">
                  <c:v>100</c:v>
                </c:pt>
                <c:pt idx="18">
                  <c:v>93.280799999999999</c:v>
                </c:pt>
                <c:pt idx="19">
                  <c:v>96.135899999999992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99.627499999999998</c:v>
                </c:pt>
                <c:pt idx="40">
                  <c:v>93.6785</c:v>
                </c:pt>
                <c:pt idx="41">
                  <c:v>87.868400000000008</c:v>
                </c:pt>
                <c:pt idx="42">
                  <c:v>80.596800000000002</c:v>
                </c:pt>
                <c:pt idx="43">
                  <c:v>71.455600000000004</c:v>
                </c:pt>
                <c:pt idx="44">
                  <c:v>60.064700000000002</c:v>
                </c:pt>
                <c:pt idx="45">
                  <c:v>53.085400000000007</c:v>
                </c:pt>
                <c:pt idx="46">
                  <c:v>47.959800000000001</c:v>
                </c:pt>
                <c:pt idx="47">
                  <c:v>45.4377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08A4-490A-9968-9A153E9F6C5E}"/>
            </c:ext>
          </c:extLst>
        </c:ser>
        <c:ser>
          <c:idx val="42"/>
          <c:order val="42"/>
          <c:tx>
            <c:v>BES_TR1_six75_A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SOC_pct!$AS$2:$AS$49</c:f>
              <c:numCache>
                <c:formatCode>0.0</c:formatCode>
                <c:ptCount val="48"/>
                <c:pt idx="0">
                  <c:v>40</c:v>
                </c:pt>
                <c:pt idx="1">
                  <c:v>39.472999999999999</c:v>
                </c:pt>
                <c:pt idx="2">
                  <c:v>37.881799999999998</c:v>
                </c:pt>
                <c:pt idx="3">
                  <c:v>36.1327</c:v>
                </c:pt>
                <c:pt idx="4">
                  <c:v>31.732500000000002</c:v>
                </c:pt>
                <c:pt idx="5">
                  <c:v>25.920500000000001</c:v>
                </c:pt>
                <c:pt idx="6">
                  <c:v>19.118300000000001</c:v>
                </c:pt>
                <c:pt idx="7">
                  <c:v>16.479900000000001</c:v>
                </c:pt>
                <c:pt idx="8">
                  <c:v>14.757400000000001</c:v>
                </c:pt>
                <c:pt idx="9">
                  <c:v>14.289199999999999</c:v>
                </c:pt>
                <c:pt idx="10">
                  <c:v>14.974500000000001</c:v>
                </c:pt>
                <c:pt idx="11">
                  <c:v>17.744900000000001</c:v>
                </c:pt>
                <c:pt idx="12">
                  <c:v>23.554500000000001</c:v>
                </c:pt>
                <c:pt idx="13">
                  <c:v>30.9252</c:v>
                </c:pt>
                <c:pt idx="14">
                  <c:v>41.509599999999999</c:v>
                </c:pt>
                <c:pt idx="15">
                  <c:v>55.146799999999999</c:v>
                </c:pt>
                <c:pt idx="16">
                  <c:v>70.440899999999999</c:v>
                </c:pt>
                <c:pt idx="17">
                  <c:v>88.630899999999997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92.643799999999999</c:v>
                </c:pt>
                <c:pt idx="41">
                  <c:v>83.292600000000007</c:v>
                </c:pt>
                <c:pt idx="42">
                  <c:v>75.646199999999993</c:v>
                </c:pt>
                <c:pt idx="43">
                  <c:v>67.229300000000009</c:v>
                </c:pt>
                <c:pt idx="44">
                  <c:v>65.290599999999998</c:v>
                </c:pt>
                <c:pt idx="45">
                  <c:v>59.727200000000003</c:v>
                </c:pt>
                <c:pt idx="46">
                  <c:v>54.030799999999999</c:v>
                </c:pt>
                <c:pt idx="47">
                  <c:v>49.515000000000001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8A4-490A-9968-9A153E9F6C5E}"/>
            </c:ext>
          </c:extLst>
        </c:ser>
        <c:ser>
          <c:idx val="43"/>
          <c:order val="43"/>
          <c:tx>
            <c:v>BES_TR1_six385_B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SOC_pct!$AT$2:$AT$49</c:f>
              <c:numCache>
                <c:formatCode>0.0</c:formatCode>
                <c:ptCount val="48"/>
                <c:pt idx="0">
                  <c:v>40</c:v>
                </c:pt>
                <c:pt idx="1">
                  <c:v>37.533999999999999</c:v>
                </c:pt>
                <c:pt idx="2">
                  <c:v>37.069699999999997</c:v>
                </c:pt>
                <c:pt idx="3">
                  <c:v>36.605400000000003</c:v>
                </c:pt>
                <c:pt idx="4">
                  <c:v>34.034100000000002</c:v>
                </c:pt>
                <c:pt idx="5">
                  <c:v>33.359100000000012</c:v>
                </c:pt>
                <c:pt idx="6">
                  <c:v>32.789400000000001</c:v>
                </c:pt>
                <c:pt idx="7">
                  <c:v>30.1127</c:v>
                </c:pt>
                <c:pt idx="8">
                  <c:v>29.6646</c:v>
                </c:pt>
                <c:pt idx="9">
                  <c:v>27.116599999999998</c:v>
                </c:pt>
                <c:pt idx="10">
                  <c:v>27.683700000000002</c:v>
                </c:pt>
                <c:pt idx="11">
                  <c:v>27.661899999999999</c:v>
                </c:pt>
                <c:pt idx="12">
                  <c:v>29.532599999999999</c:v>
                </c:pt>
                <c:pt idx="13">
                  <c:v>33.552900000000001</c:v>
                </c:pt>
                <c:pt idx="14">
                  <c:v>36.799399999999999</c:v>
                </c:pt>
                <c:pt idx="15">
                  <c:v>43.4373</c:v>
                </c:pt>
                <c:pt idx="16">
                  <c:v>50.529100000000007</c:v>
                </c:pt>
                <c:pt idx="17">
                  <c:v>58.468600000000002</c:v>
                </c:pt>
                <c:pt idx="18">
                  <c:v>68.509600000000006</c:v>
                </c:pt>
                <c:pt idx="19">
                  <c:v>78.015799999999999</c:v>
                </c:pt>
                <c:pt idx="20">
                  <c:v>90.1614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97.369100000000003</c:v>
                </c:pt>
                <c:pt idx="41">
                  <c:v>95.305700000000002</c:v>
                </c:pt>
                <c:pt idx="42">
                  <c:v>80.096900000000005</c:v>
                </c:pt>
                <c:pt idx="43">
                  <c:v>72.07050000000001</c:v>
                </c:pt>
                <c:pt idx="44">
                  <c:v>66.904200000000003</c:v>
                </c:pt>
                <c:pt idx="45">
                  <c:v>61.015500000000003</c:v>
                </c:pt>
                <c:pt idx="46">
                  <c:v>58.885100000000001</c:v>
                </c:pt>
                <c:pt idx="47">
                  <c:v>56.4191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08A4-490A-9968-9A153E9F6C5E}"/>
            </c:ext>
          </c:extLst>
        </c:ser>
        <c:ser>
          <c:idx val="44"/>
          <c:order val="44"/>
          <c:tx>
            <c:v>BES_TR1_six387_A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SOC_pct!$AU$2:$AU$49</c:f>
              <c:numCache>
                <c:formatCode>0.0</c:formatCode>
                <c:ptCount val="48"/>
                <c:pt idx="0">
                  <c:v>40</c:v>
                </c:pt>
                <c:pt idx="1">
                  <c:v>38.5488</c:v>
                </c:pt>
                <c:pt idx="2">
                  <c:v>35.4373</c:v>
                </c:pt>
                <c:pt idx="3">
                  <c:v>34.935400000000001</c:v>
                </c:pt>
                <c:pt idx="4">
                  <c:v>32.6419</c:v>
                </c:pt>
                <c:pt idx="5">
                  <c:v>30.372699999999998</c:v>
                </c:pt>
                <c:pt idx="6">
                  <c:v>29.870799999999999</c:v>
                </c:pt>
                <c:pt idx="7">
                  <c:v>27.470199999999998</c:v>
                </c:pt>
                <c:pt idx="8">
                  <c:v>26.794599999999999</c:v>
                </c:pt>
                <c:pt idx="9">
                  <c:v>25.197700000000001</c:v>
                </c:pt>
                <c:pt idx="10">
                  <c:v>23.7074</c:v>
                </c:pt>
                <c:pt idx="11">
                  <c:v>24.735499999999998</c:v>
                </c:pt>
                <c:pt idx="12">
                  <c:v>25.887799999999999</c:v>
                </c:pt>
                <c:pt idx="13">
                  <c:v>28.550899999999999</c:v>
                </c:pt>
                <c:pt idx="14">
                  <c:v>33.849499999999999</c:v>
                </c:pt>
                <c:pt idx="15">
                  <c:v>38.441499999999998</c:v>
                </c:pt>
                <c:pt idx="16">
                  <c:v>45.161799999999999</c:v>
                </c:pt>
                <c:pt idx="17">
                  <c:v>53.445700000000002</c:v>
                </c:pt>
                <c:pt idx="18">
                  <c:v>61.521000000000001</c:v>
                </c:pt>
                <c:pt idx="19">
                  <c:v>72.320799999999991</c:v>
                </c:pt>
                <c:pt idx="20">
                  <c:v>82.894599999999997</c:v>
                </c:pt>
                <c:pt idx="21">
                  <c:v>93.980500000000006</c:v>
                </c:pt>
                <c:pt idx="22">
                  <c:v>100</c:v>
                </c:pt>
                <c:pt idx="23">
                  <c:v>100</c:v>
                </c:pt>
                <c:pt idx="24">
                  <c:v>89.689399999999992</c:v>
                </c:pt>
                <c:pt idx="25">
                  <c:v>100</c:v>
                </c:pt>
                <c:pt idx="26">
                  <c:v>100</c:v>
                </c:pt>
                <c:pt idx="27">
                  <c:v>91.862499999999997</c:v>
                </c:pt>
                <c:pt idx="28">
                  <c:v>94.352199999999996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99.127899999999997</c:v>
                </c:pt>
                <c:pt idx="39">
                  <c:v>100</c:v>
                </c:pt>
                <c:pt idx="40">
                  <c:v>96.328000000000003</c:v>
                </c:pt>
                <c:pt idx="41">
                  <c:v>89.418800000000005</c:v>
                </c:pt>
                <c:pt idx="42">
                  <c:v>60.442900000000002</c:v>
                </c:pt>
                <c:pt idx="43">
                  <c:v>55.087200000000003</c:v>
                </c:pt>
                <c:pt idx="44">
                  <c:v>52.009099999999997</c:v>
                </c:pt>
                <c:pt idx="45">
                  <c:v>48.996000000000002</c:v>
                </c:pt>
                <c:pt idx="46">
                  <c:v>45.955199999999998</c:v>
                </c:pt>
                <c:pt idx="47">
                  <c:v>42.7072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8A4-490A-9968-9A153E9F6C5E}"/>
            </c:ext>
          </c:extLst>
        </c:ser>
        <c:ser>
          <c:idx val="45"/>
          <c:order val="45"/>
          <c:tx>
            <c:v>BES_TR1_six410_A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SOC_pct!$AV$2:$AV$49</c:f>
              <c:numCache>
                <c:formatCode>0.0</c:formatCode>
                <c:ptCount val="48"/>
                <c:pt idx="0">
                  <c:v>40</c:v>
                </c:pt>
                <c:pt idx="1">
                  <c:v>37.265999999999998</c:v>
                </c:pt>
                <c:pt idx="2">
                  <c:v>36.247199999999999</c:v>
                </c:pt>
                <c:pt idx="3">
                  <c:v>34.644199999999998</c:v>
                </c:pt>
                <c:pt idx="4">
                  <c:v>32.4559</c:v>
                </c:pt>
                <c:pt idx="5">
                  <c:v>31.603400000000001</c:v>
                </c:pt>
                <c:pt idx="6">
                  <c:v>30.125499999999999</c:v>
                </c:pt>
                <c:pt idx="7">
                  <c:v>28.163399999999999</c:v>
                </c:pt>
                <c:pt idx="8">
                  <c:v>26.9572</c:v>
                </c:pt>
                <c:pt idx="9">
                  <c:v>26.069400000000002</c:v>
                </c:pt>
                <c:pt idx="10">
                  <c:v>25.663699999999999</c:v>
                </c:pt>
                <c:pt idx="11">
                  <c:v>26.7135</c:v>
                </c:pt>
                <c:pt idx="12">
                  <c:v>30.1858</c:v>
                </c:pt>
                <c:pt idx="13">
                  <c:v>33.667900000000003</c:v>
                </c:pt>
                <c:pt idx="14">
                  <c:v>40.624099999999999</c:v>
                </c:pt>
                <c:pt idx="15">
                  <c:v>49.478299999999997</c:v>
                </c:pt>
                <c:pt idx="16">
                  <c:v>58.832999999999998</c:v>
                </c:pt>
                <c:pt idx="17">
                  <c:v>70.064300000000003</c:v>
                </c:pt>
                <c:pt idx="18">
                  <c:v>83.70689999999999</c:v>
                </c:pt>
                <c:pt idx="19">
                  <c:v>95.352499999999992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99.9315</c:v>
                </c:pt>
                <c:pt idx="39">
                  <c:v>99.48</c:v>
                </c:pt>
                <c:pt idx="40">
                  <c:v>94.911900000000003</c:v>
                </c:pt>
                <c:pt idx="41">
                  <c:v>93.933199999999999</c:v>
                </c:pt>
                <c:pt idx="42">
                  <c:v>91.120599999999996</c:v>
                </c:pt>
                <c:pt idx="43">
                  <c:v>86.723500000000001</c:v>
                </c:pt>
                <c:pt idx="44">
                  <c:v>80.869299999999996</c:v>
                </c:pt>
                <c:pt idx="45">
                  <c:v>74.310200000000009</c:v>
                </c:pt>
                <c:pt idx="46">
                  <c:v>67.952100000000002</c:v>
                </c:pt>
                <c:pt idx="47">
                  <c:v>66.003199999999993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08A4-490A-9968-9A153E9F6C5E}"/>
            </c:ext>
          </c:extLst>
        </c:ser>
        <c:ser>
          <c:idx val="46"/>
          <c:order val="46"/>
          <c:tx>
            <c:v>BES_TR1_six431_C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SOC_pct!$AW$2:$AW$49</c:f>
              <c:numCache>
                <c:formatCode>0.0</c:formatCode>
                <c:ptCount val="48"/>
                <c:pt idx="0">
                  <c:v>40</c:v>
                </c:pt>
                <c:pt idx="1">
                  <c:v>36.069000000000003</c:v>
                </c:pt>
                <c:pt idx="2">
                  <c:v>35.049400000000013</c:v>
                </c:pt>
                <c:pt idx="3">
                  <c:v>31.785699999999999</c:v>
                </c:pt>
                <c:pt idx="4">
                  <c:v>31.094899999999999</c:v>
                </c:pt>
                <c:pt idx="5">
                  <c:v>28.831199999999999</c:v>
                </c:pt>
                <c:pt idx="6">
                  <c:v>26.862500000000001</c:v>
                </c:pt>
                <c:pt idx="7">
                  <c:v>25.212299999999999</c:v>
                </c:pt>
                <c:pt idx="8">
                  <c:v>22.606300000000001</c:v>
                </c:pt>
                <c:pt idx="9">
                  <c:v>21.440999999999999</c:v>
                </c:pt>
                <c:pt idx="10">
                  <c:v>20.726900000000001</c:v>
                </c:pt>
                <c:pt idx="11">
                  <c:v>22.7789</c:v>
                </c:pt>
                <c:pt idx="12">
                  <c:v>27.073399999999999</c:v>
                </c:pt>
                <c:pt idx="13">
                  <c:v>32.519399999999997</c:v>
                </c:pt>
                <c:pt idx="14">
                  <c:v>40.075300000000013</c:v>
                </c:pt>
                <c:pt idx="15">
                  <c:v>50.435099999999998</c:v>
                </c:pt>
                <c:pt idx="16">
                  <c:v>61.918300000000002</c:v>
                </c:pt>
                <c:pt idx="17">
                  <c:v>76.501900000000006</c:v>
                </c:pt>
                <c:pt idx="18">
                  <c:v>92.6357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93.758300000000006</c:v>
                </c:pt>
                <c:pt idx="41">
                  <c:v>89.298400000000001</c:v>
                </c:pt>
                <c:pt idx="42">
                  <c:v>81.841200000000001</c:v>
                </c:pt>
                <c:pt idx="43">
                  <c:v>73.222399999999993</c:v>
                </c:pt>
                <c:pt idx="44">
                  <c:v>64.903800000000004</c:v>
                </c:pt>
                <c:pt idx="45">
                  <c:v>63.219900000000003</c:v>
                </c:pt>
                <c:pt idx="46">
                  <c:v>59.988500000000002</c:v>
                </c:pt>
                <c:pt idx="47">
                  <c:v>56.550800000000002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8A4-490A-9968-9A153E9F6C5E}"/>
            </c:ext>
          </c:extLst>
        </c:ser>
        <c:ser>
          <c:idx val="47"/>
          <c:order val="47"/>
          <c:tx>
            <c:v>BES_TR1_six441_A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SOC_pct!$AX$2:$AX$49</c:f>
              <c:numCache>
                <c:formatCode>0.0</c:formatCode>
                <c:ptCount val="48"/>
                <c:pt idx="0">
                  <c:v>40</c:v>
                </c:pt>
                <c:pt idx="1">
                  <c:v>39.6235</c:v>
                </c:pt>
                <c:pt idx="2">
                  <c:v>37.597700000000003</c:v>
                </c:pt>
                <c:pt idx="3">
                  <c:v>37.221299999999999</c:v>
                </c:pt>
                <c:pt idx="4">
                  <c:v>35.195399999999999</c:v>
                </c:pt>
                <c:pt idx="5">
                  <c:v>34.819000000000003</c:v>
                </c:pt>
                <c:pt idx="6">
                  <c:v>33.370399999999997</c:v>
                </c:pt>
                <c:pt idx="7">
                  <c:v>32.416699999999999</c:v>
                </c:pt>
                <c:pt idx="8">
                  <c:v>31.4237</c:v>
                </c:pt>
                <c:pt idx="9">
                  <c:v>30.681699999999999</c:v>
                </c:pt>
                <c:pt idx="10">
                  <c:v>21.206700000000001</c:v>
                </c:pt>
                <c:pt idx="11">
                  <c:v>23.663900000000002</c:v>
                </c:pt>
                <c:pt idx="12">
                  <c:v>31.703700000000001</c:v>
                </c:pt>
                <c:pt idx="13">
                  <c:v>43.200099999999999</c:v>
                </c:pt>
                <c:pt idx="14">
                  <c:v>57.082299999999996</c:v>
                </c:pt>
                <c:pt idx="15">
                  <c:v>75.18780000000001</c:v>
                </c:pt>
                <c:pt idx="16">
                  <c:v>96.705100000000002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99.731200000000001</c:v>
                </c:pt>
                <c:pt idx="41">
                  <c:v>99.437799999999996</c:v>
                </c:pt>
                <c:pt idx="42">
                  <c:v>95.382199999999997</c:v>
                </c:pt>
                <c:pt idx="43">
                  <c:v>91.557000000000002</c:v>
                </c:pt>
                <c:pt idx="44">
                  <c:v>86.157700000000006</c:v>
                </c:pt>
                <c:pt idx="45">
                  <c:v>80.935400000000001</c:v>
                </c:pt>
                <c:pt idx="46">
                  <c:v>80.558899999999994</c:v>
                </c:pt>
                <c:pt idx="47">
                  <c:v>80.182500000000005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08A4-490A-9968-9A153E9F6C5E}"/>
            </c:ext>
          </c:extLst>
        </c:ser>
        <c:ser>
          <c:idx val="48"/>
          <c:order val="48"/>
          <c:tx>
            <c:v>BES_TR1_six484_B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SOC_pct!$AY$2:$AY$49</c:f>
              <c:numCache>
                <c:formatCode>0.0</c:formatCode>
                <c:ptCount val="48"/>
                <c:pt idx="0">
                  <c:v>40</c:v>
                </c:pt>
                <c:pt idx="1">
                  <c:v>37.987499999999997</c:v>
                </c:pt>
                <c:pt idx="2">
                  <c:v>34.947200000000002</c:v>
                </c:pt>
                <c:pt idx="3">
                  <c:v>33.101799999999997</c:v>
                </c:pt>
                <c:pt idx="4">
                  <c:v>30.755099999999999</c:v>
                </c:pt>
                <c:pt idx="5">
                  <c:v>28.759399999999999</c:v>
                </c:pt>
                <c:pt idx="6">
                  <c:v>27.002800000000001</c:v>
                </c:pt>
                <c:pt idx="7">
                  <c:v>24.3292</c:v>
                </c:pt>
                <c:pt idx="8">
                  <c:v>21.538399999999999</c:v>
                </c:pt>
                <c:pt idx="9">
                  <c:v>20.976400000000002</c:v>
                </c:pt>
                <c:pt idx="10">
                  <c:v>19.941700000000001</c:v>
                </c:pt>
                <c:pt idx="11">
                  <c:v>22.188600000000001</c:v>
                </c:pt>
                <c:pt idx="12">
                  <c:v>25.895700000000001</c:v>
                </c:pt>
                <c:pt idx="13">
                  <c:v>33.121000000000002</c:v>
                </c:pt>
                <c:pt idx="14">
                  <c:v>43.195399999999999</c:v>
                </c:pt>
                <c:pt idx="15">
                  <c:v>54.185699999999997</c:v>
                </c:pt>
                <c:pt idx="16">
                  <c:v>70.369699999999995</c:v>
                </c:pt>
                <c:pt idx="17">
                  <c:v>74.150099999999995</c:v>
                </c:pt>
                <c:pt idx="18">
                  <c:v>53.603599999999993</c:v>
                </c:pt>
                <c:pt idx="19">
                  <c:v>55.441499999999998</c:v>
                </c:pt>
                <c:pt idx="20">
                  <c:v>62.151000000000003</c:v>
                </c:pt>
                <c:pt idx="21">
                  <c:v>55.042000000000002</c:v>
                </c:pt>
                <c:pt idx="22">
                  <c:v>56.766199999999998</c:v>
                </c:pt>
                <c:pt idx="23">
                  <c:v>79.960899999999995</c:v>
                </c:pt>
                <c:pt idx="24">
                  <c:v>94.877800000000008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99.760099999999994</c:v>
                </c:pt>
                <c:pt idx="39">
                  <c:v>100</c:v>
                </c:pt>
                <c:pt idx="40">
                  <c:v>97.251000000000005</c:v>
                </c:pt>
                <c:pt idx="41">
                  <c:v>94.017399999999995</c:v>
                </c:pt>
                <c:pt idx="42">
                  <c:v>88.042100000000005</c:v>
                </c:pt>
                <c:pt idx="43">
                  <c:v>77.4071</c:v>
                </c:pt>
                <c:pt idx="44">
                  <c:v>64.851600000000005</c:v>
                </c:pt>
                <c:pt idx="45">
                  <c:v>51.967699999999986</c:v>
                </c:pt>
                <c:pt idx="46">
                  <c:v>27.412500000000001</c:v>
                </c:pt>
                <c:pt idx="47">
                  <c:v>20.212299999999999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8A4-490A-9968-9A153E9F6C5E}"/>
            </c:ext>
          </c:extLst>
        </c:ser>
        <c:ser>
          <c:idx val="49"/>
          <c:order val="49"/>
          <c:tx>
            <c:v>BES_TR1_six501_A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SOC_pct!$AZ$2:$AZ$49</c:f>
              <c:numCache>
                <c:formatCode>0.0</c:formatCode>
                <c:ptCount val="48"/>
                <c:pt idx="0">
                  <c:v>40</c:v>
                </c:pt>
                <c:pt idx="1">
                  <c:v>36.320300000000003</c:v>
                </c:pt>
                <c:pt idx="2">
                  <c:v>35.2104</c:v>
                </c:pt>
                <c:pt idx="3">
                  <c:v>32.727699999999999</c:v>
                </c:pt>
                <c:pt idx="4">
                  <c:v>31.997399999999999</c:v>
                </c:pt>
                <c:pt idx="5">
                  <c:v>30.851199999999999</c:v>
                </c:pt>
                <c:pt idx="6">
                  <c:v>26.601199999999999</c:v>
                </c:pt>
                <c:pt idx="7">
                  <c:v>26.0868</c:v>
                </c:pt>
                <c:pt idx="8">
                  <c:v>23.343699999999998</c:v>
                </c:pt>
                <c:pt idx="9">
                  <c:v>21.451000000000001</c:v>
                </c:pt>
                <c:pt idx="10">
                  <c:v>22.724</c:v>
                </c:pt>
                <c:pt idx="11">
                  <c:v>25.186299999999999</c:v>
                </c:pt>
                <c:pt idx="12">
                  <c:v>28.059000000000001</c:v>
                </c:pt>
                <c:pt idx="13">
                  <c:v>36.4724</c:v>
                </c:pt>
                <c:pt idx="14">
                  <c:v>44.231200000000001</c:v>
                </c:pt>
                <c:pt idx="15">
                  <c:v>56.319000000000003</c:v>
                </c:pt>
                <c:pt idx="16">
                  <c:v>71.420900000000003</c:v>
                </c:pt>
                <c:pt idx="17">
                  <c:v>88.2423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97.633200000000002</c:v>
                </c:pt>
                <c:pt idx="34">
                  <c:v>100</c:v>
                </c:pt>
                <c:pt idx="35">
                  <c:v>99.893200000000007</c:v>
                </c:pt>
                <c:pt idx="36">
                  <c:v>85.599000000000004</c:v>
                </c:pt>
                <c:pt idx="37">
                  <c:v>87.069500000000005</c:v>
                </c:pt>
                <c:pt idx="38">
                  <c:v>87.423199999999994</c:v>
                </c:pt>
                <c:pt idx="39">
                  <c:v>88.2256</c:v>
                </c:pt>
                <c:pt idx="40">
                  <c:v>83.728700000000003</c:v>
                </c:pt>
                <c:pt idx="41">
                  <c:v>76.993200000000002</c:v>
                </c:pt>
                <c:pt idx="42">
                  <c:v>71.927300000000002</c:v>
                </c:pt>
                <c:pt idx="43">
                  <c:v>62.452100000000002</c:v>
                </c:pt>
                <c:pt idx="44">
                  <c:v>54.139899999999997</c:v>
                </c:pt>
                <c:pt idx="45">
                  <c:v>47.338299999999997</c:v>
                </c:pt>
                <c:pt idx="46">
                  <c:v>42.170499999999997</c:v>
                </c:pt>
                <c:pt idx="47">
                  <c:v>41.440199999999997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08A4-490A-9968-9A153E9F6C5E}"/>
            </c:ext>
          </c:extLst>
        </c:ser>
        <c:ser>
          <c:idx val="50"/>
          <c:order val="50"/>
          <c:tx>
            <c:v>BES_TR1_six512_B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SOC_pct!$BA$2:$BA$49</c:f>
              <c:numCache>
                <c:formatCode>0.0</c:formatCode>
                <c:ptCount val="48"/>
                <c:pt idx="0">
                  <c:v>40</c:v>
                </c:pt>
                <c:pt idx="1">
                  <c:v>38.442700000000002</c:v>
                </c:pt>
                <c:pt idx="2">
                  <c:v>36.685499999999998</c:v>
                </c:pt>
                <c:pt idx="3">
                  <c:v>34.429000000000002</c:v>
                </c:pt>
                <c:pt idx="4">
                  <c:v>32.671799999999998</c:v>
                </c:pt>
                <c:pt idx="5">
                  <c:v>30.415299999999998</c:v>
                </c:pt>
                <c:pt idx="6">
                  <c:v>29.009599999999999</c:v>
                </c:pt>
                <c:pt idx="7">
                  <c:v>27.955300000000001</c:v>
                </c:pt>
                <c:pt idx="8">
                  <c:v>26.2805</c:v>
                </c:pt>
                <c:pt idx="9">
                  <c:v>25.58</c:v>
                </c:pt>
                <c:pt idx="10">
                  <c:v>25.5976</c:v>
                </c:pt>
                <c:pt idx="11">
                  <c:v>28.824999999999999</c:v>
                </c:pt>
                <c:pt idx="12">
                  <c:v>34.5747</c:v>
                </c:pt>
                <c:pt idx="13">
                  <c:v>44.298099999999998</c:v>
                </c:pt>
                <c:pt idx="14">
                  <c:v>54.735599999999998</c:v>
                </c:pt>
                <c:pt idx="15">
                  <c:v>70.566699999999997</c:v>
                </c:pt>
                <c:pt idx="16">
                  <c:v>87.661000000000001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99.870800000000003</c:v>
                </c:pt>
                <c:pt idx="40">
                  <c:v>93.499499999999998</c:v>
                </c:pt>
                <c:pt idx="41">
                  <c:v>86.619</c:v>
                </c:pt>
                <c:pt idx="42">
                  <c:v>79.608000000000004</c:v>
                </c:pt>
                <c:pt idx="43">
                  <c:v>71.06989999999999</c:v>
                </c:pt>
                <c:pt idx="44">
                  <c:v>65.898499999999999</c:v>
                </c:pt>
                <c:pt idx="45">
                  <c:v>59.4619</c:v>
                </c:pt>
                <c:pt idx="46">
                  <c:v>53.968000000000004</c:v>
                </c:pt>
                <c:pt idx="47">
                  <c:v>51.765099999999997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8A4-490A-9968-9A153E9F6C5E}"/>
            </c:ext>
          </c:extLst>
        </c:ser>
        <c:ser>
          <c:idx val="51"/>
          <c:order val="51"/>
          <c:tx>
            <c:v>BES_TR1_six518_B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SOC_pct!$BB$2:$BB$49</c:f>
              <c:numCache>
                <c:formatCode>0.0</c:formatCode>
                <c:ptCount val="48"/>
                <c:pt idx="0">
                  <c:v>40</c:v>
                </c:pt>
                <c:pt idx="1">
                  <c:v>38.802999999999997</c:v>
                </c:pt>
                <c:pt idx="2">
                  <c:v>37.606000000000002</c:v>
                </c:pt>
                <c:pt idx="3">
                  <c:v>36.8782</c:v>
                </c:pt>
                <c:pt idx="4">
                  <c:v>35.212000000000003</c:v>
                </c:pt>
                <c:pt idx="5">
                  <c:v>34.484200000000001</c:v>
                </c:pt>
                <c:pt idx="6">
                  <c:v>32.818100000000001</c:v>
                </c:pt>
                <c:pt idx="7">
                  <c:v>32.090299999999999</c:v>
                </c:pt>
                <c:pt idx="8">
                  <c:v>31.4056</c:v>
                </c:pt>
                <c:pt idx="9">
                  <c:v>30.5199</c:v>
                </c:pt>
                <c:pt idx="10">
                  <c:v>32.3508</c:v>
                </c:pt>
                <c:pt idx="11">
                  <c:v>36.906199999999998</c:v>
                </c:pt>
                <c:pt idx="12">
                  <c:v>44.6297</c:v>
                </c:pt>
                <c:pt idx="13">
                  <c:v>55.809899999999999</c:v>
                </c:pt>
                <c:pt idx="14">
                  <c:v>69.6447</c:v>
                </c:pt>
                <c:pt idx="15">
                  <c:v>87.805000000000007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83.053399999999996</c:v>
                </c:pt>
                <c:pt idx="36">
                  <c:v>95.510999999999996</c:v>
                </c:pt>
                <c:pt idx="37">
                  <c:v>91.161799999999999</c:v>
                </c:pt>
                <c:pt idx="38">
                  <c:v>94.943399999999997</c:v>
                </c:pt>
                <c:pt idx="39">
                  <c:v>97.089500000000001</c:v>
                </c:pt>
                <c:pt idx="40">
                  <c:v>92.394900000000007</c:v>
                </c:pt>
                <c:pt idx="41">
                  <c:v>84.876099999999994</c:v>
                </c:pt>
                <c:pt idx="42">
                  <c:v>77.9084</c:v>
                </c:pt>
                <c:pt idx="43">
                  <c:v>71.251400000000004</c:v>
                </c:pt>
                <c:pt idx="44">
                  <c:v>64.309600000000003</c:v>
                </c:pt>
                <c:pt idx="45">
                  <c:v>58.025000000000013</c:v>
                </c:pt>
                <c:pt idx="46">
                  <c:v>47.765900000000002</c:v>
                </c:pt>
                <c:pt idx="47">
                  <c:v>36.555399999999999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08A4-490A-9968-9A153E9F6C5E}"/>
            </c:ext>
          </c:extLst>
        </c:ser>
        <c:ser>
          <c:idx val="52"/>
          <c:order val="52"/>
          <c:tx>
            <c:v>BES_TR1_six595_B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SOC_pct!$BC$2:$BC$49</c:f>
              <c:numCache>
                <c:formatCode>0.0</c:formatCode>
                <c:ptCount val="48"/>
                <c:pt idx="0">
                  <c:v>40</c:v>
                </c:pt>
                <c:pt idx="1">
                  <c:v>38.888599999999997</c:v>
                </c:pt>
                <c:pt idx="2">
                  <c:v>37.8812</c:v>
                </c:pt>
                <c:pt idx="3">
                  <c:v>36.873800000000003</c:v>
                </c:pt>
                <c:pt idx="4">
                  <c:v>35.606499999999997</c:v>
                </c:pt>
                <c:pt idx="5">
                  <c:v>34.859000000000002</c:v>
                </c:pt>
                <c:pt idx="6">
                  <c:v>34.319400000000002</c:v>
                </c:pt>
                <c:pt idx="7">
                  <c:v>33.779800000000002</c:v>
                </c:pt>
                <c:pt idx="8">
                  <c:v>32.331600000000002</c:v>
                </c:pt>
                <c:pt idx="9">
                  <c:v>32.182100000000013</c:v>
                </c:pt>
                <c:pt idx="10">
                  <c:v>33.338099999999997</c:v>
                </c:pt>
                <c:pt idx="11">
                  <c:v>35.2669</c:v>
                </c:pt>
                <c:pt idx="12">
                  <c:v>40.017800000000001</c:v>
                </c:pt>
                <c:pt idx="13">
                  <c:v>46.367800000000003</c:v>
                </c:pt>
                <c:pt idx="14">
                  <c:v>55.185499999999998</c:v>
                </c:pt>
                <c:pt idx="15">
                  <c:v>66.459400000000002</c:v>
                </c:pt>
                <c:pt idx="16">
                  <c:v>79.912300000000002</c:v>
                </c:pt>
                <c:pt idx="17">
                  <c:v>93.167400000000001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99.760499999999993</c:v>
                </c:pt>
                <c:pt idx="40">
                  <c:v>97.502600000000001</c:v>
                </c:pt>
                <c:pt idx="41">
                  <c:v>92.489500000000007</c:v>
                </c:pt>
                <c:pt idx="42">
                  <c:v>87.415700000000001</c:v>
                </c:pt>
                <c:pt idx="43">
                  <c:v>82.128599999999992</c:v>
                </c:pt>
                <c:pt idx="44">
                  <c:v>75.816800000000001</c:v>
                </c:pt>
                <c:pt idx="45">
                  <c:v>67.563500000000005</c:v>
                </c:pt>
                <c:pt idx="46">
                  <c:v>61.136000000000003</c:v>
                </c:pt>
                <c:pt idx="47">
                  <c:v>56.806500000000007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8A4-490A-9968-9A153E9F6C5E}"/>
            </c:ext>
          </c:extLst>
        </c:ser>
        <c:ser>
          <c:idx val="53"/>
          <c:order val="53"/>
          <c:tx>
            <c:v>BES_TR1_six646_B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SOC_pct!$BD$2:$BD$49</c:f>
              <c:numCache>
                <c:formatCode>0.0</c:formatCode>
                <c:ptCount val="48"/>
                <c:pt idx="0">
                  <c:v>40</c:v>
                </c:pt>
                <c:pt idx="1">
                  <c:v>34.973199999999999</c:v>
                </c:pt>
                <c:pt idx="2">
                  <c:v>33.830599999999997</c:v>
                </c:pt>
                <c:pt idx="3">
                  <c:v>30.644200000000001</c:v>
                </c:pt>
                <c:pt idx="4">
                  <c:v>30.192499999999999</c:v>
                </c:pt>
                <c:pt idx="5">
                  <c:v>27.098299999999998</c:v>
                </c:pt>
                <c:pt idx="6">
                  <c:v>26.291</c:v>
                </c:pt>
                <c:pt idx="7">
                  <c:v>24.4346</c:v>
                </c:pt>
                <c:pt idx="8">
                  <c:v>22.416499999999999</c:v>
                </c:pt>
                <c:pt idx="9">
                  <c:v>22.003599999999999</c:v>
                </c:pt>
                <c:pt idx="10">
                  <c:v>21.203099999999999</c:v>
                </c:pt>
                <c:pt idx="11">
                  <c:v>23.6264</c:v>
                </c:pt>
                <c:pt idx="12">
                  <c:v>28.456399999999999</c:v>
                </c:pt>
                <c:pt idx="13">
                  <c:v>33.708500000000001</c:v>
                </c:pt>
                <c:pt idx="14">
                  <c:v>41.925899999999999</c:v>
                </c:pt>
                <c:pt idx="15">
                  <c:v>52.986800000000002</c:v>
                </c:pt>
                <c:pt idx="16">
                  <c:v>63.461199999999998</c:v>
                </c:pt>
                <c:pt idx="17">
                  <c:v>78.578000000000003</c:v>
                </c:pt>
                <c:pt idx="18">
                  <c:v>95.036299999999997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96.289599999999993</c:v>
                </c:pt>
                <c:pt idx="41">
                  <c:v>90.994699999999995</c:v>
                </c:pt>
                <c:pt idx="42">
                  <c:v>81.298599999999993</c:v>
                </c:pt>
                <c:pt idx="43">
                  <c:v>74.115499999999997</c:v>
                </c:pt>
                <c:pt idx="44">
                  <c:v>67.861800000000002</c:v>
                </c:pt>
                <c:pt idx="45">
                  <c:v>61.468299999999999</c:v>
                </c:pt>
                <c:pt idx="46">
                  <c:v>58.853900000000003</c:v>
                </c:pt>
                <c:pt idx="47">
                  <c:v>57.042499999999997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08A4-490A-9968-9A153E9F6C5E}"/>
            </c:ext>
          </c:extLst>
        </c:ser>
        <c:ser>
          <c:idx val="54"/>
          <c:order val="54"/>
          <c:tx>
            <c:v>BES_TR1_six699_C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SOC_pct!$BE$2:$BE$49</c:f>
              <c:numCache>
                <c:formatCode>0.0</c:formatCode>
                <c:ptCount val="48"/>
                <c:pt idx="0">
                  <c:v>40</c:v>
                </c:pt>
                <c:pt idx="1">
                  <c:v>39.272199999999998</c:v>
                </c:pt>
                <c:pt idx="2">
                  <c:v>38.544400000000003</c:v>
                </c:pt>
                <c:pt idx="3">
                  <c:v>37.816600000000001</c:v>
                </c:pt>
                <c:pt idx="4">
                  <c:v>36.2607</c:v>
                </c:pt>
                <c:pt idx="5">
                  <c:v>35.532899999999998</c:v>
                </c:pt>
                <c:pt idx="6">
                  <c:v>34.805100000000003</c:v>
                </c:pt>
                <c:pt idx="7">
                  <c:v>33.249200000000002</c:v>
                </c:pt>
                <c:pt idx="8">
                  <c:v>32.559199999999997</c:v>
                </c:pt>
                <c:pt idx="9">
                  <c:v>32.377400000000002</c:v>
                </c:pt>
                <c:pt idx="10">
                  <c:v>33.275500000000001</c:v>
                </c:pt>
                <c:pt idx="11">
                  <c:v>37.179499999999997</c:v>
                </c:pt>
                <c:pt idx="12">
                  <c:v>43.2761</c:v>
                </c:pt>
                <c:pt idx="13">
                  <c:v>52.811199999999999</c:v>
                </c:pt>
                <c:pt idx="14">
                  <c:v>65.573800000000006</c:v>
                </c:pt>
                <c:pt idx="15">
                  <c:v>81.382200000000012</c:v>
                </c:pt>
                <c:pt idx="16">
                  <c:v>99.702699999999993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98.661100000000005</c:v>
                </c:pt>
                <c:pt idx="42">
                  <c:v>97.933300000000003</c:v>
                </c:pt>
                <c:pt idx="43">
                  <c:v>97.205500000000001</c:v>
                </c:pt>
                <c:pt idx="44">
                  <c:v>95.971699999999998</c:v>
                </c:pt>
                <c:pt idx="45">
                  <c:v>94.921800000000005</c:v>
                </c:pt>
                <c:pt idx="46">
                  <c:v>94.194000000000003</c:v>
                </c:pt>
                <c:pt idx="47">
                  <c:v>93.466200000000001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8A4-490A-9968-9A153E9F6C5E}"/>
            </c:ext>
          </c:extLst>
        </c:ser>
        <c:ser>
          <c:idx val="55"/>
          <c:order val="55"/>
          <c:tx>
            <c:v>BES_TR1_six718_C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SOC_pct!$BF$2:$BF$49</c:f>
              <c:numCache>
                <c:formatCode>0.0</c:formatCode>
                <c:ptCount val="48"/>
                <c:pt idx="0">
                  <c:v>40</c:v>
                </c:pt>
                <c:pt idx="1">
                  <c:v>38.079099999999997</c:v>
                </c:pt>
                <c:pt idx="2">
                  <c:v>35.965400000000002</c:v>
                </c:pt>
                <c:pt idx="3">
                  <c:v>34.900700000000001</c:v>
                </c:pt>
                <c:pt idx="4">
                  <c:v>31.194700000000001</c:v>
                </c:pt>
                <c:pt idx="5">
                  <c:v>30.383400000000002</c:v>
                </c:pt>
                <c:pt idx="6">
                  <c:v>28.160599999999999</c:v>
                </c:pt>
                <c:pt idx="7">
                  <c:v>25.504200000000001</c:v>
                </c:pt>
                <c:pt idx="8">
                  <c:v>24.515999999999998</c:v>
                </c:pt>
                <c:pt idx="9">
                  <c:v>23.263000000000002</c:v>
                </c:pt>
                <c:pt idx="10">
                  <c:v>23.615600000000001</c:v>
                </c:pt>
                <c:pt idx="11">
                  <c:v>21.61</c:v>
                </c:pt>
                <c:pt idx="12">
                  <c:v>24.119499999999999</c:v>
                </c:pt>
                <c:pt idx="13">
                  <c:v>25.2331</c:v>
                </c:pt>
                <c:pt idx="14">
                  <c:v>29.916599999999999</c:v>
                </c:pt>
                <c:pt idx="15">
                  <c:v>36.3399</c:v>
                </c:pt>
                <c:pt idx="16">
                  <c:v>43.093200000000003</c:v>
                </c:pt>
                <c:pt idx="17">
                  <c:v>52.050800000000002</c:v>
                </c:pt>
                <c:pt idx="18">
                  <c:v>59.035099999999993</c:v>
                </c:pt>
                <c:pt idx="19">
                  <c:v>69.808300000000003</c:v>
                </c:pt>
                <c:pt idx="20">
                  <c:v>77.931100000000001</c:v>
                </c:pt>
                <c:pt idx="21">
                  <c:v>84.495400000000004</c:v>
                </c:pt>
                <c:pt idx="22">
                  <c:v>93.879800000000003</c:v>
                </c:pt>
                <c:pt idx="23">
                  <c:v>98.5107</c:v>
                </c:pt>
                <c:pt idx="24">
                  <c:v>79.871000000000009</c:v>
                </c:pt>
                <c:pt idx="25">
                  <c:v>62.923099999999998</c:v>
                </c:pt>
                <c:pt idx="26">
                  <c:v>67.069900000000004</c:v>
                </c:pt>
                <c:pt idx="27">
                  <c:v>67.069900000000004</c:v>
                </c:pt>
                <c:pt idx="28">
                  <c:v>80.046700000000001</c:v>
                </c:pt>
                <c:pt idx="29">
                  <c:v>90.54140000000001</c:v>
                </c:pt>
                <c:pt idx="30">
                  <c:v>99.999899999999997</c:v>
                </c:pt>
                <c:pt idx="31">
                  <c:v>99.999899999999997</c:v>
                </c:pt>
                <c:pt idx="32">
                  <c:v>99.999899999999997</c:v>
                </c:pt>
                <c:pt idx="33">
                  <c:v>99.999899999999997</c:v>
                </c:pt>
                <c:pt idx="34">
                  <c:v>98.340099999999993</c:v>
                </c:pt>
                <c:pt idx="35">
                  <c:v>94.097999999999999</c:v>
                </c:pt>
                <c:pt idx="36">
                  <c:v>85.667099999999991</c:v>
                </c:pt>
                <c:pt idx="37">
                  <c:v>79.400000000000006</c:v>
                </c:pt>
                <c:pt idx="38">
                  <c:v>78.620599999999996</c:v>
                </c:pt>
                <c:pt idx="39">
                  <c:v>77.301000000000002</c:v>
                </c:pt>
                <c:pt idx="40">
                  <c:v>72.0809</c:v>
                </c:pt>
                <c:pt idx="41">
                  <c:v>67.0364</c:v>
                </c:pt>
                <c:pt idx="42">
                  <c:v>57.733100000000007</c:v>
                </c:pt>
                <c:pt idx="43">
                  <c:v>49.548999999999999</c:v>
                </c:pt>
                <c:pt idx="44">
                  <c:v>41.001399999999997</c:v>
                </c:pt>
                <c:pt idx="45">
                  <c:v>40.057299999999998</c:v>
                </c:pt>
                <c:pt idx="46">
                  <c:v>33.447500000000012</c:v>
                </c:pt>
                <c:pt idx="47">
                  <c:v>28.982500000000002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08A4-490A-9968-9A153E9F6C5E}"/>
            </c:ext>
          </c:extLst>
        </c:ser>
        <c:ser>
          <c:idx val="56"/>
          <c:order val="56"/>
          <c:tx>
            <c:v>BES_TR1_six721_A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SOC_pct!$BG$2:$BG$49</c:f>
              <c:numCache>
                <c:formatCode>0.0</c:formatCode>
                <c:ptCount val="48"/>
                <c:pt idx="0">
                  <c:v>40</c:v>
                </c:pt>
                <c:pt idx="1">
                  <c:v>37.653799999999997</c:v>
                </c:pt>
                <c:pt idx="2">
                  <c:v>35.568600000000004</c:v>
                </c:pt>
                <c:pt idx="3">
                  <c:v>34.4636</c:v>
                </c:pt>
                <c:pt idx="4">
                  <c:v>31.041499999999999</c:v>
                </c:pt>
                <c:pt idx="5">
                  <c:v>30.414000000000001</c:v>
                </c:pt>
                <c:pt idx="6">
                  <c:v>29.7866</c:v>
                </c:pt>
                <c:pt idx="7">
                  <c:v>27.870100000000001</c:v>
                </c:pt>
                <c:pt idx="8">
                  <c:v>26.1846</c:v>
                </c:pt>
                <c:pt idx="9">
                  <c:v>25.1937</c:v>
                </c:pt>
                <c:pt idx="10">
                  <c:v>23.033799999999999</c:v>
                </c:pt>
                <c:pt idx="11">
                  <c:v>24.422999999999998</c:v>
                </c:pt>
                <c:pt idx="12">
                  <c:v>24.169499999999999</c:v>
                </c:pt>
                <c:pt idx="13">
                  <c:v>27.946400000000001</c:v>
                </c:pt>
                <c:pt idx="14">
                  <c:v>20.933</c:v>
                </c:pt>
                <c:pt idx="15">
                  <c:v>10.872</c:v>
                </c:pt>
                <c:pt idx="16">
                  <c:v>16.817599999999999</c:v>
                </c:pt>
                <c:pt idx="17">
                  <c:v>20.3019</c:v>
                </c:pt>
                <c:pt idx="18">
                  <c:v>21.6526</c:v>
                </c:pt>
                <c:pt idx="19">
                  <c:v>22.122399999999999</c:v>
                </c:pt>
                <c:pt idx="20">
                  <c:v>27.811299999999999</c:v>
                </c:pt>
                <c:pt idx="21">
                  <c:v>36.7699</c:v>
                </c:pt>
                <c:pt idx="22">
                  <c:v>49.0473</c:v>
                </c:pt>
                <c:pt idx="23">
                  <c:v>57.205599999999997</c:v>
                </c:pt>
                <c:pt idx="24">
                  <c:v>69.909300000000002</c:v>
                </c:pt>
                <c:pt idx="25">
                  <c:v>83.276600000000002</c:v>
                </c:pt>
                <c:pt idx="26">
                  <c:v>88.991600000000005</c:v>
                </c:pt>
                <c:pt idx="27">
                  <c:v>90.814399999999992</c:v>
                </c:pt>
                <c:pt idx="28">
                  <c:v>96.822200000000009</c:v>
                </c:pt>
                <c:pt idx="29">
                  <c:v>95.474499999999992</c:v>
                </c:pt>
                <c:pt idx="30">
                  <c:v>98.080199999999991</c:v>
                </c:pt>
                <c:pt idx="31">
                  <c:v>97.697599999999994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90.3245</c:v>
                </c:pt>
                <c:pt idx="36">
                  <c:v>88.783299999999997</c:v>
                </c:pt>
                <c:pt idx="37">
                  <c:v>80.740900000000011</c:v>
                </c:pt>
                <c:pt idx="38">
                  <c:v>76.681399999999996</c:v>
                </c:pt>
                <c:pt idx="39">
                  <c:v>64.616799999999998</c:v>
                </c:pt>
                <c:pt idx="40">
                  <c:v>64.123599999999996</c:v>
                </c:pt>
                <c:pt idx="41">
                  <c:v>61.069699999999997</c:v>
                </c:pt>
                <c:pt idx="42">
                  <c:v>60.059600000000003</c:v>
                </c:pt>
                <c:pt idx="43">
                  <c:v>57.294600000000003</c:v>
                </c:pt>
                <c:pt idx="44">
                  <c:v>44.726999999999997</c:v>
                </c:pt>
                <c:pt idx="45">
                  <c:v>44.099600000000002</c:v>
                </c:pt>
                <c:pt idx="46">
                  <c:v>41.108800000000002</c:v>
                </c:pt>
                <c:pt idx="47">
                  <c:v>39.6203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08A4-490A-9968-9A153E9F6C5E}"/>
            </c:ext>
          </c:extLst>
        </c:ser>
        <c:ser>
          <c:idx val="57"/>
          <c:order val="57"/>
          <c:tx>
            <c:v>BES_TR1_six723_B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SOC_pct!$BH$2:$BH$49</c:f>
              <c:numCache>
                <c:formatCode>0.0</c:formatCode>
                <c:ptCount val="48"/>
                <c:pt idx="0">
                  <c:v>40</c:v>
                </c:pt>
                <c:pt idx="1">
                  <c:v>37.687399999999997</c:v>
                </c:pt>
                <c:pt idx="2">
                  <c:v>36.831299999999999</c:v>
                </c:pt>
                <c:pt idx="3">
                  <c:v>33.772000000000013</c:v>
                </c:pt>
                <c:pt idx="4">
                  <c:v>33.081800000000001</c:v>
                </c:pt>
                <c:pt idx="5">
                  <c:v>30.935099999999998</c:v>
                </c:pt>
                <c:pt idx="6">
                  <c:v>29.166399999999999</c:v>
                </c:pt>
                <c:pt idx="7">
                  <c:v>27.766400000000001</c:v>
                </c:pt>
                <c:pt idx="8">
                  <c:v>25.8749</c:v>
                </c:pt>
                <c:pt idx="9">
                  <c:v>25.228100000000001</c:v>
                </c:pt>
                <c:pt idx="10">
                  <c:v>26.561499999999999</c:v>
                </c:pt>
                <c:pt idx="11">
                  <c:v>29.5412</c:v>
                </c:pt>
                <c:pt idx="12">
                  <c:v>37.2986</c:v>
                </c:pt>
                <c:pt idx="13">
                  <c:v>46.380300000000013</c:v>
                </c:pt>
                <c:pt idx="14">
                  <c:v>60.944200000000002</c:v>
                </c:pt>
                <c:pt idx="15">
                  <c:v>78.839800000000011</c:v>
                </c:pt>
                <c:pt idx="16">
                  <c:v>99.176000000000002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99.973299999999995</c:v>
                </c:pt>
                <c:pt idx="40">
                  <c:v>92.328900000000004</c:v>
                </c:pt>
                <c:pt idx="41">
                  <c:v>84.884399999999999</c:v>
                </c:pt>
                <c:pt idx="42">
                  <c:v>79.995899999999992</c:v>
                </c:pt>
                <c:pt idx="43">
                  <c:v>74.310600000000008</c:v>
                </c:pt>
                <c:pt idx="44">
                  <c:v>73.265499999999989</c:v>
                </c:pt>
                <c:pt idx="45">
                  <c:v>71.434399999999997</c:v>
                </c:pt>
                <c:pt idx="46">
                  <c:v>68.327500000000001</c:v>
                </c:pt>
                <c:pt idx="47">
                  <c:v>67.637299999999996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08A4-490A-9968-9A153E9F6C5E}"/>
            </c:ext>
          </c:extLst>
        </c:ser>
        <c:ser>
          <c:idx val="58"/>
          <c:order val="58"/>
          <c:tx>
            <c:v>BES_TR1_six784_B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SOC_pct!$BI$2:$BI$49</c:f>
              <c:numCache>
                <c:formatCode>0.0</c:formatCode>
                <c:ptCount val="48"/>
                <c:pt idx="0">
                  <c:v>40</c:v>
                </c:pt>
                <c:pt idx="1">
                  <c:v>35.494300000000003</c:v>
                </c:pt>
                <c:pt idx="2">
                  <c:v>23.596399999999999</c:v>
                </c:pt>
                <c:pt idx="3">
                  <c:v>23.0443</c:v>
                </c:pt>
                <c:pt idx="4">
                  <c:v>21.623100000000001</c:v>
                </c:pt>
                <c:pt idx="5">
                  <c:v>20.962299999999999</c:v>
                </c:pt>
                <c:pt idx="6">
                  <c:v>20.4102</c:v>
                </c:pt>
                <c:pt idx="7">
                  <c:v>19.586500000000001</c:v>
                </c:pt>
                <c:pt idx="8">
                  <c:v>18.360600000000002</c:v>
                </c:pt>
                <c:pt idx="9">
                  <c:v>18.276499999999999</c:v>
                </c:pt>
                <c:pt idx="10">
                  <c:v>19.505099999999999</c:v>
                </c:pt>
                <c:pt idx="11">
                  <c:v>22.2805</c:v>
                </c:pt>
                <c:pt idx="12">
                  <c:v>27.676300000000001</c:v>
                </c:pt>
                <c:pt idx="13">
                  <c:v>35.567</c:v>
                </c:pt>
                <c:pt idx="14">
                  <c:v>46.130800000000001</c:v>
                </c:pt>
                <c:pt idx="15">
                  <c:v>59.305500000000002</c:v>
                </c:pt>
                <c:pt idx="16">
                  <c:v>75.534700000000001</c:v>
                </c:pt>
                <c:pt idx="17">
                  <c:v>93.337800000000001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96.139399999999995</c:v>
                </c:pt>
                <c:pt idx="34">
                  <c:v>100</c:v>
                </c:pt>
                <c:pt idx="35">
                  <c:v>100</c:v>
                </c:pt>
                <c:pt idx="36">
                  <c:v>94.992400000000004</c:v>
                </c:pt>
                <c:pt idx="37">
                  <c:v>89.112400000000008</c:v>
                </c:pt>
                <c:pt idx="38">
                  <c:v>89.030299999999997</c:v>
                </c:pt>
                <c:pt idx="39">
                  <c:v>88.929299999999998</c:v>
                </c:pt>
                <c:pt idx="40">
                  <c:v>82.751400000000004</c:v>
                </c:pt>
                <c:pt idx="41">
                  <c:v>76.258300000000006</c:v>
                </c:pt>
                <c:pt idx="42">
                  <c:v>68.971199999999996</c:v>
                </c:pt>
                <c:pt idx="43">
                  <c:v>61.149700000000003</c:v>
                </c:pt>
                <c:pt idx="44">
                  <c:v>56.620800000000003</c:v>
                </c:pt>
                <c:pt idx="45">
                  <c:v>56.068700000000007</c:v>
                </c:pt>
                <c:pt idx="46">
                  <c:v>54.538799999999988</c:v>
                </c:pt>
                <c:pt idx="47">
                  <c:v>53.986699999999999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08A4-490A-9968-9A153E9F6C5E}"/>
            </c:ext>
          </c:extLst>
        </c:ser>
        <c:ser>
          <c:idx val="59"/>
          <c:order val="59"/>
          <c:tx>
            <c:v>BES_TR1_six90_B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SOC_pct!$BJ$2:$BJ$49</c:f>
              <c:numCache>
                <c:formatCode>0.0</c:formatCode>
                <c:ptCount val="48"/>
                <c:pt idx="0">
                  <c:v>40</c:v>
                </c:pt>
                <c:pt idx="1">
                  <c:v>30.977699999999999</c:v>
                </c:pt>
                <c:pt idx="2">
                  <c:v>29.803599999999999</c:v>
                </c:pt>
                <c:pt idx="3">
                  <c:v>29.0474</c:v>
                </c:pt>
                <c:pt idx="4">
                  <c:v>25.5518</c:v>
                </c:pt>
                <c:pt idx="5">
                  <c:v>24.886700000000001</c:v>
                </c:pt>
                <c:pt idx="6">
                  <c:v>22.5809</c:v>
                </c:pt>
                <c:pt idx="7">
                  <c:v>21.551200000000001</c:v>
                </c:pt>
                <c:pt idx="8">
                  <c:v>19.991499999999998</c:v>
                </c:pt>
                <c:pt idx="9">
                  <c:v>18.362300000000001</c:v>
                </c:pt>
                <c:pt idx="10">
                  <c:v>18.4207</c:v>
                </c:pt>
                <c:pt idx="11">
                  <c:v>19.602699999999999</c:v>
                </c:pt>
                <c:pt idx="12">
                  <c:v>21.388400000000001</c:v>
                </c:pt>
                <c:pt idx="13">
                  <c:v>26.7074</c:v>
                </c:pt>
                <c:pt idx="14">
                  <c:v>32.552900000000001</c:v>
                </c:pt>
                <c:pt idx="15">
                  <c:v>39.955599999999997</c:v>
                </c:pt>
                <c:pt idx="16">
                  <c:v>50.507800000000003</c:v>
                </c:pt>
                <c:pt idx="17">
                  <c:v>60.066299999999998</c:v>
                </c:pt>
                <c:pt idx="18">
                  <c:v>73.792299999999997</c:v>
                </c:pt>
                <c:pt idx="19">
                  <c:v>86.351799999999997</c:v>
                </c:pt>
                <c:pt idx="20">
                  <c:v>88.583500000000001</c:v>
                </c:pt>
                <c:pt idx="21">
                  <c:v>64.243600000000001</c:v>
                </c:pt>
                <c:pt idx="22">
                  <c:v>56.723599999999998</c:v>
                </c:pt>
                <c:pt idx="23">
                  <c:v>69.997100000000003</c:v>
                </c:pt>
                <c:pt idx="24">
                  <c:v>56.996899999999997</c:v>
                </c:pt>
                <c:pt idx="25">
                  <c:v>41.0839</c:v>
                </c:pt>
                <c:pt idx="26">
                  <c:v>37.231200000000001</c:v>
                </c:pt>
                <c:pt idx="27">
                  <c:v>53.189300000000003</c:v>
                </c:pt>
                <c:pt idx="28">
                  <c:v>66.7804</c:v>
                </c:pt>
                <c:pt idx="29">
                  <c:v>82.851500000000001</c:v>
                </c:pt>
                <c:pt idx="30">
                  <c:v>96.919599999999988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97.085599999999999</c:v>
                </c:pt>
                <c:pt idx="41">
                  <c:v>96.544499999999999</c:v>
                </c:pt>
                <c:pt idx="42">
                  <c:v>94.694400000000002</c:v>
                </c:pt>
                <c:pt idx="43">
                  <c:v>93.209000000000003</c:v>
                </c:pt>
                <c:pt idx="44">
                  <c:v>91.627700000000004</c:v>
                </c:pt>
                <c:pt idx="45">
                  <c:v>88.9572</c:v>
                </c:pt>
                <c:pt idx="46">
                  <c:v>88.292099999999991</c:v>
                </c:pt>
                <c:pt idx="47">
                  <c:v>87.168900000000008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08A4-490A-9968-9A153E9F6C5E}"/>
            </c:ext>
          </c:extLst>
        </c:ser>
        <c:ser>
          <c:idx val="60"/>
          <c:order val="60"/>
          <c:tx>
            <c:v>BES_TR1_six807_A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SOC_pct!$BK$2:$BK$49</c:f>
              <c:numCache>
                <c:formatCode>0.0</c:formatCode>
                <c:ptCount val="48"/>
                <c:pt idx="0">
                  <c:v>40</c:v>
                </c:pt>
                <c:pt idx="1">
                  <c:v>37.251899999999999</c:v>
                </c:pt>
                <c:pt idx="2">
                  <c:v>36.561799999999998</c:v>
                </c:pt>
                <c:pt idx="3">
                  <c:v>35.871600000000001</c:v>
                </c:pt>
                <c:pt idx="4">
                  <c:v>33.1235</c:v>
                </c:pt>
                <c:pt idx="5">
                  <c:v>32.433399999999999</c:v>
                </c:pt>
                <c:pt idx="6">
                  <c:v>29.7788</c:v>
                </c:pt>
                <c:pt idx="7">
                  <c:v>28.995100000000001</c:v>
                </c:pt>
                <c:pt idx="8">
                  <c:v>26.686699999999998</c:v>
                </c:pt>
                <c:pt idx="9">
                  <c:v>25.092600000000001</c:v>
                </c:pt>
                <c:pt idx="10">
                  <c:v>25.784700000000001</c:v>
                </c:pt>
                <c:pt idx="11">
                  <c:v>27.768799999999999</c:v>
                </c:pt>
                <c:pt idx="12">
                  <c:v>29.737300000000001</c:v>
                </c:pt>
                <c:pt idx="13">
                  <c:v>34.781199999999998</c:v>
                </c:pt>
                <c:pt idx="14">
                  <c:v>40.732700000000001</c:v>
                </c:pt>
                <c:pt idx="15">
                  <c:v>48.761600000000001</c:v>
                </c:pt>
                <c:pt idx="16">
                  <c:v>57.892299999999999</c:v>
                </c:pt>
                <c:pt idx="17">
                  <c:v>69.131699999999995</c:v>
                </c:pt>
                <c:pt idx="18">
                  <c:v>80.976399999999998</c:v>
                </c:pt>
                <c:pt idx="19">
                  <c:v>94.506399999999999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85.876199999999997</c:v>
                </c:pt>
                <c:pt idx="35">
                  <c:v>58.360700000000001</c:v>
                </c:pt>
                <c:pt idx="36">
                  <c:v>60.232600000000012</c:v>
                </c:pt>
                <c:pt idx="37">
                  <c:v>45.050899999999999</c:v>
                </c:pt>
                <c:pt idx="38">
                  <c:v>46.285499999999999</c:v>
                </c:pt>
                <c:pt idx="39">
                  <c:v>29.007400000000001</c:v>
                </c:pt>
                <c:pt idx="40">
                  <c:v>13.254099999999999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08A4-490A-9968-9A153E9F6C5E}"/>
            </c:ext>
          </c:extLst>
        </c:ser>
        <c:ser>
          <c:idx val="61"/>
          <c:order val="61"/>
          <c:tx>
            <c:v>BES_TR1_six852_B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SOC_pct!$BL$2:$BL$49</c:f>
              <c:numCache>
                <c:formatCode>0.0</c:formatCode>
                <c:ptCount val="48"/>
                <c:pt idx="0">
                  <c:v>40</c:v>
                </c:pt>
                <c:pt idx="1">
                  <c:v>36.4255</c:v>
                </c:pt>
                <c:pt idx="2">
                  <c:v>33.454500000000003</c:v>
                </c:pt>
                <c:pt idx="3">
                  <c:v>30.972799999999999</c:v>
                </c:pt>
                <c:pt idx="4">
                  <c:v>28.084599999999998</c:v>
                </c:pt>
                <c:pt idx="5">
                  <c:v>26.218900000000001</c:v>
                </c:pt>
                <c:pt idx="6">
                  <c:v>24.274699999999999</c:v>
                </c:pt>
                <c:pt idx="7">
                  <c:v>21.859000000000002</c:v>
                </c:pt>
                <c:pt idx="8">
                  <c:v>18.944900000000001</c:v>
                </c:pt>
                <c:pt idx="9">
                  <c:v>16.914200000000001</c:v>
                </c:pt>
                <c:pt idx="10">
                  <c:v>18.079599999999999</c:v>
                </c:pt>
                <c:pt idx="11">
                  <c:v>21.864100000000001</c:v>
                </c:pt>
                <c:pt idx="12">
                  <c:v>28.459099999999999</c:v>
                </c:pt>
                <c:pt idx="13">
                  <c:v>38.2727</c:v>
                </c:pt>
                <c:pt idx="14">
                  <c:v>49.7376</c:v>
                </c:pt>
                <c:pt idx="15">
                  <c:v>67.855400000000003</c:v>
                </c:pt>
                <c:pt idx="16">
                  <c:v>88.542900000000003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91.486000000000004</c:v>
                </c:pt>
                <c:pt idx="41">
                  <c:v>70.795699999999997</c:v>
                </c:pt>
                <c:pt idx="42">
                  <c:v>63.053800000000003</c:v>
                </c:pt>
                <c:pt idx="43">
                  <c:v>53.004800000000003</c:v>
                </c:pt>
                <c:pt idx="44">
                  <c:v>43.764299999999999</c:v>
                </c:pt>
                <c:pt idx="45">
                  <c:v>34.437399999999997</c:v>
                </c:pt>
                <c:pt idx="46">
                  <c:v>24.4847</c:v>
                </c:pt>
                <c:pt idx="47">
                  <c:v>12.794499999999999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08A4-490A-9968-9A153E9F6C5E}"/>
            </c:ext>
          </c:extLst>
        </c:ser>
        <c:ser>
          <c:idx val="62"/>
          <c:order val="62"/>
          <c:tx>
            <c:v>BES_TR1_six860_C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SOC_pct!$BM$2:$BM$49</c:f>
              <c:numCache>
                <c:formatCode>0.0</c:formatCode>
                <c:ptCount val="48"/>
                <c:pt idx="0">
                  <c:v>40</c:v>
                </c:pt>
                <c:pt idx="1">
                  <c:v>17.515899999999998</c:v>
                </c:pt>
                <c:pt idx="2">
                  <c:v>12.876799999999999</c:v>
                </c:pt>
                <c:pt idx="3">
                  <c:v>11.401199999999999</c:v>
                </c:pt>
                <c:pt idx="4">
                  <c:v>10.0207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11.4697</c:v>
                </c:pt>
                <c:pt idx="11">
                  <c:v>14.6678</c:v>
                </c:pt>
                <c:pt idx="12">
                  <c:v>22.402699999999999</c:v>
                </c:pt>
                <c:pt idx="13">
                  <c:v>31.712399999999999</c:v>
                </c:pt>
                <c:pt idx="14">
                  <c:v>46.402999999999999</c:v>
                </c:pt>
                <c:pt idx="15">
                  <c:v>64.574699999999993</c:v>
                </c:pt>
                <c:pt idx="16">
                  <c:v>85.206000000000003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95.641800000000003</c:v>
                </c:pt>
                <c:pt idx="41">
                  <c:v>85.930700000000002</c:v>
                </c:pt>
                <c:pt idx="42">
                  <c:v>81.624399999999994</c:v>
                </c:pt>
                <c:pt idx="43">
                  <c:v>77.3386</c:v>
                </c:pt>
                <c:pt idx="44">
                  <c:v>69.724099999999993</c:v>
                </c:pt>
                <c:pt idx="45">
                  <c:v>65.09129999999999</c:v>
                </c:pt>
                <c:pt idx="46">
                  <c:v>64.376000000000005</c:v>
                </c:pt>
                <c:pt idx="47">
                  <c:v>61.57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08A4-490A-9968-9A153E9F6C5E}"/>
            </c:ext>
          </c:extLst>
        </c:ser>
        <c:ser>
          <c:idx val="63"/>
          <c:order val="63"/>
          <c:tx>
            <c:v>BES_TR1_six869_C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SOC_pct!$BN$2:$BN$49</c:f>
              <c:numCache>
                <c:formatCode>0.0</c:formatCode>
                <c:ptCount val="48"/>
                <c:pt idx="0">
                  <c:v>40</c:v>
                </c:pt>
                <c:pt idx="1">
                  <c:v>15.5794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10.962300000000001</c:v>
                </c:pt>
                <c:pt idx="11">
                  <c:v>15.4755</c:v>
                </c:pt>
                <c:pt idx="12">
                  <c:v>21.201499999999999</c:v>
                </c:pt>
                <c:pt idx="13">
                  <c:v>32.301499999999997</c:v>
                </c:pt>
                <c:pt idx="14">
                  <c:v>46.444200000000002</c:v>
                </c:pt>
                <c:pt idx="15">
                  <c:v>63.493299999999998</c:v>
                </c:pt>
                <c:pt idx="16">
                  <c:v>81.424300000000002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92.438699999999997</c:v>
                </c:pt>
                <c:pt idx="40">
                  <c:v>83.523400000000009</c:v>
                </c:pt>
                <c:pt idx="41">
                  <c:v>76.1554</c:v>
                </c:pt>
                <c:pt idx="42">
                  <c:v>70.045699999999997</c:v>
                </c:pt>
                <c:pt idx="43">
                  <c:v>63.301099999999998</c:v>
                </c:pt>
                <c:pt idx="44">
                  <c:v>57.083700000000007</c:v>
                </c:pt>
                <c:pt idx="45">
                  <c:v>48.410400000000003</c:v>
                </c:pt>
                <c:pt idx="46">
                  <c:v>42.028100000000002</c:v>
                </c:pt>
                <c:pt idx="47">
                  <c:v>40.398499999999999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08A4-490A-9968-9A153E9F6C5E}"/>
            </c:ext>
          </c:extLst>
        </c:ser>
        <c:ser>
          <c:idx val="64"/>
          <c:order val="64"/>
          <c:tx>
            <c:v>BES_TR1_six885_A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SOC_pct!$BO$2:$BO$49</c:f>
              <c:numCache>
                <c:formatCode>0.0</c:formatCode>
                <c:ptCount val="48"/>
                <c:pt idx="0">
                  <c:v>40</c:v>
                </c:pt>
                <c:pt idx="1">
                  <c:v>37.886499999999998</c:v>
                </c:pt>
                <c:pt idx="2">
                  <c:v>36.830199999999998</c:v>
                </c:pt>
                <c:pt idx="3">
                  <c:v>34.861199999999997</c:v>
                </c:pt>
                <c:pt idx="4">
                  <c:v>33.804900000000004</c:v>
                </c:pt>
                <c:pt idx="5">
                  <c:v>33.182000000000002</c:v>
                </c:pt>
                <c:pt idx="6">
                  <c:v>31.140799999999999</c:v>
                </c:pt>
                <c:pt idx="7">
                  <c:v>30.156700000000001</c:v>
                </c:pt>
                <c:pt idx="8">
                  <c:v>29.375399999999999</c:v>
                </c:pt>
                <c:pt idx="9">
                  <c:v>28.115300000000001</c:v>
                </c:pt>
                <c:pt idx="10">
                  <c:v>28.965599999999998</c:v>
                </c:pt>
                <c:pt idx="11">
                  <c:v>29.311</c:v>
                </c:pt>
                <c:pt idx="12">
                  <c:v>33.037199999999999</c:v>
                </c:pt>
                <c:pt idx="13">
                  <c:v>38.004100000000001</c:v>
                </c:pt>
                <c:pt idx="14">
                  <c:v>43.8992</c:v>
                </c:pt>
                <c:pt idx="15">
                  <c:v>52.2911</c:v>
                </c:pt>
                <c:pt idx="16">
                  <c:v>62.785500000000013</c:v>
                </c:pt>
                <c:pt idx="17">
                  <c:v>73.312399999999997</c:v>
                </c:pt>
                <c:pt idx="18">
                  <c:v>87.173900000000003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99.418499999999995</c:v>
                </c:pt>
                <c:pt idx="41">
                  <c:v>87.111799999999988</c:v>
                </c:pt>
                <c:pt idx="42">
                  <c:v>76.362899999999996</c:v>
                </c:pt>
                <c:pt idx="43">
                  <c:v>72.611499999999992</c:v>
                </c:pt>
                <c:pt idx="44">
                  <c:v>70.327300000000008</c:v>
                </c:pt>
                <c:pt idx="45">
                  <c:v>65.459400000000002</c:v>
                </c:pt>
                <c:pt idx="46">
                  <c:v>61.261899999999997</c:v>
                </c:pt>
                <c:pt idx="47">
                  <c:v>60.747399999999999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08A4-490A-9968-9A153E9F6C5E}"/>
            </c:ext>
          </c:extLst>
        </c:ser>
        <c:ser>
          <c:idx val="65"/>
          <c:order val="65"/>
          <c:tx>
            <c:v>BES_TR1_six909_C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SOC_pct!$BP$2:$BP$49</c:f>
              <c:numCache>
                <c:formatCode>0.0</c:formatCode>
                <c:ptCount val="48"/>
                <c:pt idx="0">
                  <c:v>40</c:v>
                </c:pt>
                <c:pt idx="1">
                  <c:v>39.372600000000013</c:v>
                </c:pt>
                <c:pt idx="2">
                  <c:v>38.745100000000001</c:v>
                </c:pt>
                <c:pt idx="3">
                  <c:v>38.117699999999999</c:v>
                </c:pt>
                <c:pt idx="4">
                  <c:v>37.490299999999998</c:v>
                </c:pt>
                <c:pt idx="5">
                  <c:v>36.862900000000003</c:v>
                </c:pt>
                <c:pt idx="6">
                  <c:v>36.235399999999998</c:v>
                </c:pt>
                <c:pt idx="7">
                  <c:v>35.607999999999997</c:v>
                </c:pt>
                <c:pt idx="8">
                  <c:v>35.007599999999996</c:v>
                </c:pt>
                <c:pt idx="9">
                  <c:v>34.770200000000003</c:v>
                </c:pt>
                <c:pt idx="10">
                  <c:v>35.847200000000001</c:v>
                </c:pt>
                <c:pt idx="11">
                  <c:v>38.539000000000001</c:v>
                </c:pt>
                <c:pt idx="12">
                  <c:v>43.210900000000002</c:v>
                </c:pt>
                <c:pt idx="13">
                  <c:v>50.043199999999999</c:v>
                </c:pt>
                <c:pt idx="14">
                  <c:v>59.062499999999993</c:v>
                </c:pt>
                <c:pt idx="15">
                  <c:v>70.257499999999993</c:v>
                </c:pt>
                <c:pt idx="16">
                  <c:v>81.915300000000002</c:v>
                </c:pt>
                <c:pt idx="17">
                  <c:v>95.701000000000008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94.142600000000002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97.936999999999998</c:v>
                </c:pt>
                <c:pt idx="34">
                  <c:v>79.687899999999999</c:v>
                </c:pt>
                <c:pt idx="35">
                  <c:v>87.010199999999998</c:v>
                </c:pt>
                <c:pt idx="36">
                  <c:v>74.5351</c:v>
                </c:pt>
                <c:pt idx="37">
                  <c:v>31.167000000000002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08A4-490A-9968-9A153E9F6C5E}"/>
            </c:ext>
          </c:extLst>
        </c:ser>
        <c:ser>
          <c:idx val="66"/>
          <c:order val="66"/>
          <c:tx>
            <c:v>BES_TR1_six105_A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SOC_pct!$BQ$2:$BQ$49</c:f>
              <c:numCache>
                <c:formatCode>0.0</c:formatCode>
                <c:ptCount val="48"/>
                <c:pt idx="0">
                  <c:v>40</c:v>
                </c:pt>
                <c:pt idx="1">
                  <c:v>35.445300000000003</c:v>
                </c:pt>
                <c:pt idx="2">
                  <c:v>34.981000000000002</c:v>
                </c:pt>
                <c:pt idx="3">
                  <c:v>34.5167</c:v>
                </c:pt>
                <c:pt idx="4">
                  <c:v>31.915800000000001</c:v>
                </c:pt>
                <c:pt idx="5">
                  <c:v>31.451499999999999</c:v>
                </c:pt>
                <c:pt idx="6">
                  <c:v>29.8218</c:v>
                </c:pt>
                <c:pt idx="7">
                  <c:v>28.386299999999999</c:v>
                </c:pt>
                <c:pt idx="8">
                  <c:v>27.949000000000002</c:v>
                </c:pt>
                <c:pt idx="9">
                  <c:v>25.738199999999999</c:v>
                </c:pt>
                <c:pt idx="10">
                  <c:v>26.962</c:v>
                </c:pt>
                <c:pt idx="11">
                  <c:v>29.713200000000001</c:v>
                </c:pt>
                <c:pt idx="12">
                  <c:v>32.696399999999997</c:v>
                </c:pt>
                <c:pt idx="13">
                  <c:v>39.675600000000003</c:v>
                </c:pt>
                <c:pt idx="14">
                  <c:v>46.918700000000001</c:v>
                </c:pt>
                <c:pt idx="15">
                  <c:v>58.260399999999997</c:v>
                </c:pt>
                <c:pt idx="16">
                  <c:v>69.384</c:v>
                </c:pt>
                <c:pt idx="17">
                  <c:v>82.492500000000007</c:v>
                </c:pt>
                <c:pt idx="18">
                  <c:v>95.899900000000002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99.405000000000001</c:v>
                </c:pt>
                <c:pt idx="41">
                  <c:v>97.930300000000003</c:v>
                </c:pt>
                <c:pt idx="42">
                  <c:v>97.465999999999994</c:v>
                </c:pt>
                <c:pt idx="43">
                  <c:v>96.907899999999998</c:v>
                </c:pt>
                <c:pt idx="44">
                  <c:v>95.067400000000006</c:v>
                </c:pt>
                <c:pt idx="45">
                  <c:v>88.639299999999992</c:v>
                </c:pt>
                <c:pt idx="46">
                  <c:v>84.738900000000001</c:v>
                </c:pt>
                <c:pt idx="47">
                  <c:v>73.653100000000009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08A4-490A-9968-9A153E9F6C5E}"/>
            </c:ext>
          </c:extLst>
        </c:ser>
        <c:ser>
          <c:idx val="67"/>
          <c:order val="67"/>
          <c:tx>
            <c:v>BES_TR1_six914_A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SOC_pct!$BR$2:$BR$49</c:f>
              <c:numCache>
                <c:formatCode>0.0</c:formatCode>
                <c:ptCount val="48"/>
                <c:pt idx="0">
                  <c:v>40</c:v>
                </c:pt>
                <c:pt idx="1">
                  <c:v>39.3977</c:v>
                </c:pt>
                <c:pt idx="2">
                  <c:v>38.795299999999997</c:v>
                </c:pt>
                <c:pt idx="3">
                  <c:v>38.192999999999998</c:v>
                </c:pt>
                <c:pt idx="4">
                  <c:v>37.590699999999998</c:v>
                </c:pt>
                <c:pt idx="5">
                  <c:v>36.988399999999999</c:v>
                </c:pt>
                <c:pt idx="6">
                  <c:v>36.386000000000003</c:v>
                </c:pt>
                <c:pt idx="7">
                  <c:v>35.783700000000003</c:v>
                </c:pt>
                <c:pt idx="8">
                  <c:v>35.219200000000001</c:v>
                </c:pt>
                <c:pt idx="9">
                  <c:v>34.818399999999997</c:v>
                </c:pt>
                <c:pt idx="10">
                  <c:v>36.574599999999997</c:v>
                </c:pt>
                <c:pt idx="11">
                  <c:v>40.5916</c:v>
                </c:pt>
                <c:pt idx="12">
                  <c:v>47.380699999999997</c:v>
                </c:pt>
                <c:pt idx="13">
                  <c:v>57.147300000000001</c:v>
                </c:pt>
                <c:pt idx="14">
                  <c:v>67.317700000000002</c:v>
                </c:pt>
                <c:pt idx="15">
                  <c:v>83.126199999999997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97.739200000000011</c:v>
                </c:pt>
                <c:pt idx="41">
                  <c:v>81.342099999999988</c:v>
                </c:pt>
                <c:pt idx="42">
                  <c:v>72.560699999999997</c:v>
                </c:pt>
                <c:pt idx="43">
                  <c:v>66.4589</c:v>
                </c:pt>
                <c:pt idx="44">
                  <c:v>61.374099999999999</c:v>
                </c:pt>
                <c:pt idx="45">
                  <c:v>54.448700000000002</c:v>
                </c:pt>
                <c:pt idx="46">
                  <c:v>47.556800000000003</c:v>
                </c:pt>
                <c:pt idx="47">
                  <c:v>42.452500000000001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08A4-490A-9968-9A153E9F6C5E}"/>
            </c:ext>
          </c:extLst>
        </c:ser>
        <c:ser>
          <c:idx val="68"/>
          <c:order val="68"/>
          <c:tx>
            <c:v>BES_TR1_six945_C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SOC_pct!$BS$2:$BS$49</c:f>
              <c:numCache>
                <c:formatCode>0.0</c:formatCode>
                <c:ptCount val="48"/>
                <c:pt idx="0">
                  <c:v>40</c:v>
                </c:pt>
                <c:pt idx="1">
                  <c:v>38.726199999999999</c:v>
                </c:pt>
                <c:pt idx="2">
                  <c:v>36.7136</c:v>
                </c:pt>
                <c:pt idx="3">
                  <c:v>36.086100000000002</c:v>
                </c:pt>
                <c:pt idx="4">
                  <c:v>34.535299999999999</c:v>
                </c:pt>
                <c:pt idx="5">
                  <c:v>32.799700000000001</c:v>
                </c:pt>
                <c:pt idx="6">
                  <c:v>32.1723</c:v>
                </c:pt>
                <c:pt idx="7">
                  <c:v>29.513300000000001</c:v>
                </c:pt>
                <c:pt idx="8">
                  <c:v>28.928999999999998</c:v>
                </c:pt>
                <c:pt idx="9">
                  <c:v>27.6326</c:v>
                </c:pt>
                <c:pt idx="10">
                  <c:v>28.9466</c:v>
                </c:pt>
                <c:pt idx="11">
                  <c:v>33.592300000000002</c:v>
                </c:pt>
                <c:pt idx="12">
                  <c:v>39.5777</c:v>
                </c:pt>
                <c:pt idx="13">
                  <c:v>50.848300000000002</c:v>
                </c:pt>
                <c:pt idx="14">
                  <c:v>65.617899999999992</c:v>
                </c:pt>
                <c:pt idx="15">
                  <c:v>83.453100000000006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91.3215</c:v>
                </c:pt>
                <c:pt idx="41">
                  <c:v>69.641500000000008</c:v>
                </c:pt>
                <c:pt idx="42">
                  <c:v>62.662500000000001</c:v>
                </c:pt>
                <c:pt idx="43">
                  <c:v>55.819499999999998</c:v>
                </c:pt>
                <c:pt idx="44">
                  <c:v>50.708399999999997</c:v>
                </c:pt>
                <c:pt idx="45">
                  <c:v>41.862900000000003</c:v>
                </c:pt>
                <c:pt idx="46">
                  <c:v>36.2333</c:v>
                </c:pt>
                <c:pt idx="47">
                  <c:v>31.665700000000001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08A4-490A-9968-9A153E9F6C5E}"/>
            </c:ext>
          </c:extLst>
        </c:ser>
        <c:ser>
          <c:idx val="69"/>
          <c:order val="69"/>
          <c:tx>
            <c:v>BES_TR1_six952_A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SOC_pct!$BT$2:$BT$49</c:f>
              <c:numCache>
                <c:formatCode>0.0</c:formatCode>
                <c:ptCount val="48"/>
                <c:pt idx="0">
                  <c:v>40</c:v>
                </c:pt>
                <c:pt idx="1">
                  <c:v>39.309800000000003</c:v>
                </c:pt>
                <c:pt idx="2">
                  <c:v>36.908299999999997</c:v>
                </c:pt>
                <c:pt idx="3">
                  <c:v>35.591900000000003</c:v>
                </c:pt>
                <c:pt idx="4">
                  <c:v>34.54</c:v>
                </c:pt>
                <c:pt idx="5">
                  <c:v>33.126399999999997</c:v>
                </c:pt>
                <c:pt idx="6">
                  <c:v>31.063300000000002</c:v>
                </c:pt>
                <c:pt idx="7">
                  <c:v>29.4085</c:v>
                </c:pt>
                <c:pt idx="8">
                  <c:v>27.487500000000001</c:v>
                </c:pt>
                <c:pt idx="9">
                  <c:v>26.0242</c:v>
                </c:pt>
                <c:pt idx="10">
                  <c:v>26.7164</c:v>
                </c:pt>
                <c:pt idx="11">
                  <c:v>28.700399999999998</c:v>
                </c:pt>
                <c:pt idx="12">
                  <c:v>31.141300000000001</c:v>
                </c:pt>
                <c:pt idx="13">
                  <c:v>36.437800000000003</c:v>
                </c:pt>
                <c:pt idx="14">
                  <c:v>41.999499999999998</c:v>
                </c:pt>
                <c:pt idx="15">
                  <c:v>50.166400000000003</c:v>
                </c:pt>
                <c:pt idx="16">
                  <c:v>43.879300000000001</c:v>
                </c:pt>
                <c:pt idx="17">
                  <c:v>53.895700000000012</c:v>
                </c:pt>
                <c:pt idx="18">
                  <c:v>67.049400000000006</c:v>
                </c:pt>
                <c:pt idx="19">
                  <c:v>79.378799999999998</c:v>
                </c:pt>
                <c:pt idx="20">
                  <c:v>94.2958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99.843800000000002</c:v>
                </c:pt>
                <c:pt idx="38">
                  <c:v>97.0047</c:v>
                </c:pt>
                <c:pt idx="39">
                  <c:v>93.70920000000001</c:v>
                </c:pt>
                <c:pt idx="40">
                  <c:v>92.606200000000001</c:v>
                </c:pt>
                <c:pt idx="41">
                  <c:v>90.787599999999998</c:v>
                </c:pt>
                <c:pt idx="42">
                  <c:v>89.012199999999993</c:v>
                </c:pt>
                <c:pt idx="43">
                  <c:v>87.516999999999996</c:v>
                </c:pt>
                <c:pt idx="44">
                  <c:v>86.379499999999993</c:v>
                </c:pt>
                <c:pt idx="45">
                  <c:v>84.905600000000007</c:v>
                </c:pt>
                <c:pt idx="46">
                  <c:v>83.914000000000001</c:v>
                </c:pt>
                <c:pt idx="47">
                  <c:v>77.507499999999993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08A4-490A-9968-9A153E9F6C5E}"/>
            </c:ext>
          </c:extLst>
        </c:ser>
        <c:ser>
          <c:idx val="70"/>
          <c:order val="70"/>
          <c:tx>
            <c:v>BES_TR1_six967_B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SOC_pct!$BU$2:$BU$49</c:f>
              <c:numCache>
                <c:formatCode>0.0</c:formatCode>
                <c:ptCount val="48"/>
                <c:pt idx="0">
                  <c:v>40</c:v>
                </c:pt>
                <c:pt idx="1">
                  <c:v>37.317999999999998</c:v>
                </c:pt>
                <c:pt idx="2">
                  <c:v>36.627800000000001</c:v>
                </c:pt>
                <c:pt idx="3">
                  <c:v>35.9377</c:v>
                </c:pt>
                <c:pt idx="4">
                  <c:v>33.255699999999997</c:v>
                </c:pt>
                <c:pt idx="5">
                  <c:v>32.5655</c:v>
                </c:pt>
                <c:pt idx="6">
                  <c:v>31.332100000000001</c:v>
                </c:pt>
                <c:pt idx="7">
                  <c:v>29.1934</c:v>
                </c:pt>
                <c:pt idx="8">
                  <c:v>28.513999999999999</c:v>
                </c:pt>
                <c:pt idx="9">
                  <c:v>25.988</c:v>
                </c:pt>
                <c:pt idx="10">
                  <c:v>26.023499999999999</c:v>
                </c:pt>
                <c:pt idx="11">
                  <c:v>26.704899999999999</c:v>
                </c:pt>
                <c:pt idx="12">
                  <c:v>26.6219</c:v>
                </c:pt>
                <c:pt idx="13">
                  <c:v>28.715</c:v>
                </c:pt>
                <c:pt idx="14">
                  <c:v>31.927499999999998</c:v>
                </c:pt>
                <c:pt idx="15">
                  <c:v>34.543400000000013</c:v>
                </c:pt>
                <c:pt idx="16">
                  <c:v>39.171700000000001</c:v>
                </c:pt>
                <c:pt idx="17">
                  <c:v>44.943800000000003</c:v>
                </c:pt>
                <c:pt idx="18">
                  <c:v>49.6922</c:v>
                </c:pt>
                <c:pt idx="19">
                  <c:v>56.888199999999998</c:v>
                </c:pt>
                <c:pt idx="20">
                  <c:v>63.094399999999993</c:v>
                </c:pt>
                <c:pt idx="21">
                  <c:v>71.0946</c:v>
                </c:pt>
                <c:pt idx="22">
                  <c:v>79.743899999999996</c:v>
                </c:pt>
                <c:pt idx="23">
                  <c:v>87.213399999999993</c:v>
                </c:pt>
                <c:pt idx="24">
                  <c:v>94.164199999999994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79.622299999999996</c:v>
                </c:pt>
                <c:pt idx="38">
                  <c:v>75.72290000000001</c:v>
                </c:pt>
                <c:pt idx="39">
                  <c:v>48.642000000000003</c:v>
                </c:pt>
                <c:pt idx="40">
                  <c:v>44.173699999999997</c:v>
                </c:pt>
                <c:pt idx="41">
                  <c:v>35.563899999999997</c:v>
                </c:pt>
                <c:pt idx="42">
                  <c:v>29.8032</c:v>
                </c:pt>
                <c:pt idx="43">
                  <c:v>12.443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08A4-490A-9968-9A153E9F6C5E}"/>
            </c:ext>
          </c:extLst>
        </c:ser>
        <c:ser>
          <c:idx val="71"/>
          <c:order val="71"/>
          <c:tx>
            <c:v>BES_TR1_six990_B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SOC_pct!$BV$2:$BV$49</c:f>
              <c:numCache>
                <c:formatCode>0.0</c:formatCode>
                <c:ptCount val="48"/>
                <c:pt idx="0">
                  <c:v>40</c:v>
                </c:pt>
                <c:pt idx="1">
                  <c:v>38.1631</c:v>
                </c:pt>
                <c:pt idx="2">
                  <c:v>35.8874</c:v>
                </c:pt>
                <c:pt idx="3">
                  <c:v>34.226199999999999</c:v>
                </c:pt>
                <c:pt idx="4">
                  <c:v>31.9618</c:v>
                </c:pt>
                <c:pt idx="5">
                  <c:v>29.263300000000001</c:v>
                </c:pt>
                <c:pt idx="6">
                  <c:v>28.6234</c:v>
                </c:pt>
                <c:pt idx="7">
                  <c:v>24.215</c:v>
                </c:pt>
                <c:pt idx="8">
                  <c:v>23.618200000000002</c:v>
                </c:pt>
                <c:pt idx="9">
                  <c:v>20.488900000000001</c:v>
                </c:pt>
                <c:pt idx="10">
                  <c:v>21.950099999999999</c:v>
                </c:pt>
                <c:pt idx="11">
                  <c:v>26.584499999999998</c:v>
                </c:pt>
                <c:pt idx="12">
                  <c:v>31.933299999999999</c:v>
                </c:pt>
                <c:pt idx="13">
                  <c:v>42.254600000000003</c:v>
                </c:pt>
                <c:pt idx="14">
                  <c:v>55.627600000000001</c:v>
                </c:pt>
                <c:pt idx="15">
                  <c:v>71.401800000000009</c:v>
                </c:pt>
                <c:pt idx="16">
                  <c:v>91.750200000000007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97.215500000000006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99.919800000000009</c:v>
                </c:pt>
                <c:pt idx="41">
                  <c:v>95.496200000000002</c:v>
                </c:pt>
                <c:pt idx="42">
                  <c:v>91.290499999999994</c:v>
                </c:pt>
                <c:pt idx="43">
                  <c:v>86.949100000000001</c:v>
                </c:pt>
                <c:pt idx="44">
                  <c:v>83.792400000000001</c:v>
                </c:pt>
                <c:pt idx="45">
                  <c:v>78.391100000000009</c:v>
                </c:pt>
                <c:pt idx="46">
                  <c:v>74.141000000000005</c:v>
                </c:pt>
                <c:pt idx="47">
                  <c:v>69.1267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08A4-490A-9968-9A153E9F6C5E}"/>
            </c:ext>
          </c:extLst>
        </c:ser>
        <c:ser>
          <c:idx val="72"/>
          <c:order val="72"/>
          <c:tx>
            <c:v>BES_TR1_six1006_C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SOC_pct!$BW$2:$BW$49</c:f>
              <c:numCache>
                <c:formatCode>0.0</c:formatCode>
                <c:ptCount val="48"/>
                <c:pt idx="0">
                  <c:v>40</c:v>
                </c:pt>
                <c:pt idx="1">
                  <c:v>37.895400000000002</c:v>
                </c:pt>
                <c:pt idx="2">
                  <c:v>37.192700000000002</c:v>
                </c:pt>
                <c:pt idx="3">
                  <c:v>36.49</c:v>
                </c:pt>
                <c:pt idx="4">
                  <c:v>34.385399999999997</c:v>
                </c:pt>
                <c:pt idx="5">
                  <c:v>33.682699999999997</c:v>
                </c:pt>
                <c:pt idx="6">
                  <c:v>31.578099999999999</c:v>
                </c:pt>
                <c:pt idx="7">
                  <c:v>30.875399999999999</c:v>
                </c:pt>
                <c:pt idx="8">
                  <c:v>30.2105</c:v>
                </c:pt>
                <c:pt idx="9">
                  <c:v>30.053799999999999</c:v>
                </c:pt>
                <c:pt idx="10">
                  <c:v>30.457999999999998</c:v>
                </c:pt>
                <c:pt idx="11">
                  <c:v>34.384599999999999</c:v>
                </c:pt>
                <c:pt idx="12">
                  <c:v>41.083399999999997</c:v>
                </c:pt>
                <c:pt idx="13">
                  <c:v>49.545099999999998</c:v>
                </c:pt>
                <c:pt idx="14">
                  <c:v>62.330199999999998</c:v>
                </c:pt>
                <c:pt idx="15">
                  <c:v>77.350099999999998</c:v>
                </c:pt>
                <c:pt idx="16">
                  <c:v>95.780900000000003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88.161900000000003</c:v>
                </c:pt>
                <c:pt idx="27">
                  <c:v>60.552399999999992</c:v>
                </c:pt>
                <c:pt idx="28">
                  <c:v>70.2941</c:v>
                </c:pt>
                <c:pt idx="29">
                  <c:v>99.9559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98.627499999999998</c:v>
                </c:pt>
                <c:pt idx="41">
                  <c:v>96.322000000000003</c:v>
                </c:pt>
                <c:pt idx="42">
                  <c:v>93.6143</c:v>
                </c:pt>
                <c:pt idx="43">
                  <c:v>89.979299999999995</c:v>
                </c:pt>
                <c:pt idx="44">
                  <c:v>86.971100000000007</c:v>
                </c:pt>
                <c:pt idx="45">
                  <c:v>81.319400000000002</c:v>
                </c:pt>
                <c:pt idx="46">
                  <c:v>77.419499999999999</c:v>
                </c:pt>
                <c:pt idx="47">
                  <c:v>72.802300000000002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08A4-490A-9968-9A153E9F6C5E}"/>
            </c:ext>
          </c:extLst>
        </c:ser>
        <c:ser>
          <c:idx val="73"/>
          <c:order val="73"/>
          <c:tx>
            <c:v>BES_TR1_six1020_A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SOC_pct!$BX$2:$BX$49</c:f>
              <c:numCache>
                <c:formatCode>0.0</c:formatCode>
                <c:ptCount val="48"/>
                <c:pt idx="0">
                  <c:v>40</c:v>
                </c:pt>
                <c:pt idx="1">
                  <c:v>30.464500000000001</c:v>
                </c:pt>
                <c:pt idx="2">
                  <c:v>29.812000000000001</c:v>
                </c:pt>
                <c:pt idx="3">
                  <c:v>27.843699999999998</c:v>
                </c:pt>
                <c:pt idx="4">
                  <c:v>26.2803</c:v>
                </c:pt>
                <c:pt idx="5">
                  <c:v>25.4254</c:v>
                </c:pt>
                <c:pt idx="6">
                  <c:v>22.748699999999999</c:v>
                </c:pt>
                <c:pt idx="7">
                  <c:v>22.0962</c:v>
                </c:pt>
                <c:pt idx="8">
                  <c:v>20.171199999999999</c:v>
                </c:pt>
                <c:pt idx="9">
                  <c:v>19.2319</c:v>
                </c:pt>
                <c:pt idx="10">
                  <c:v>20.724699999999999</c:v>
                </c:pt>
                <c:pt idx="11">
                  <c:v>23.8904</c:v>
                </c:pt>
                <c:pt idx="12">
                  <c:v>31.681699999999999</c:v>
                </c:pt>
                <c:pt idx="13">
                  <c:v>41.107799999999997</c:v>
                </c:pt>
                <c:pt idx="14">
                  <c:v>55.672699999999999</c:v>
                </c:pt>
                <c:pt idx="15">
                  <c:v>68.2316</c:v>
                </c:pt>
                <c:pt idx="16">
                  <c:v>85.405699999999996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99.5364</c:v>
                </c:pt>
                <c:pt idx="40">
                  <c:v>95.559799999999996</c:v>
                </c:pt>
                <c:pt idx="41">
                  <c:v>88.562600000000003</c:v>
                </c:pt>
                <c:pt idx="42">
                  <c:v>79.137299999999996</c:v>
                </c:pt>
                <c:pt idx="43">
                  <c:v>71.128699999999995</c:v>
                </c:pt>
                <c:pt idx="44">
                  <c:v>69.666499999999999</c:v>
                </c:pt>
                <c:pt idx="45">
                  <c:v>67.596999999999994</c:v>
                </c:pt>
                <c:pt idx="46">
                  <c:v>66.140799999999999</c:v>
                </c:pt>
                <c:pt idx="47">
                  <c:v>63.362900000000003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08A4-490A-9968-9A153E9F6C5E}"/>
            </c:ext>
          </c:extLst>
        </c:ser>
        <c:ser>
          <c:idx val="74"/>
          <c:order val="74"/>
          <c:tx>
            <c:v>BES_TR1_six1025_B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SOC_pct!$BY$2:$BY$49</c:f>
              <c:numCache>
                <c:formatCode>0.0</c:formatCode>
                <c:ptCount val="48"/>
                <c:pt idx="0">
                  <c:v>40</c:v>
                </c:pt>
                <c:pt idx="1">
                  <c:v>38.6599</c:v>
                </c:pt>
                <c:pt idx="2">
                  <c:v>35.334800000000001</c:v>
                </c:pt>
                <c:pt idx="3">
                  <c:v>33.758699999999997</c:v>
                </c:pt>
                <c:pt idx="4">
                  <c:v>28.200700000000001</c:v>
                </c:pt>
                <c:pt idx="5">
                  <c:v>27.08</c:v>
                </c:pt>
                <c:pt idx="6">
                  <c:v>22.4876</c:v>
                </c:pt>
                <c:pt idx="7">
                  <c:v>19.686900000000001</c:v>
                </c:pt>
                <c:pt idx="8">
                  <c:v>16.7729</c:v>
                </c:pt>
                <c:pt idx="9">
                  <c:v>13.04</c:v>
                </c:pt>
                <c:pt idx="10">
                  <c:v>12.848800000000001</c:v>
                </c:pt>
                <c:pt idx="11">
                  <c:v>15.1496</c:v>
                </c:pt>
                <c:pt idx="12">
                  <c:v>17.971499999999999</c:v>
                </c:pt>
                <c:pt idx="13">
                  <c:v>25.330400000000001</c:v>
                </c:pt>
                <c:pt idx="14">
                  <c:v>33.999499999999998</c:v>
                </c:pt>
                <c:pt idx="15">
                  <c:v>45.0032</c:v>
                </c:pt>
                <c:pt idx="16">
                  <c:v>59.228200000000001</c:v>
                </c:pt>
                <c:pt idx="17">
                  <c:v>74.983800000000002</c:v>
                </c:pt>
                <c:pt idx="18">
                  <c:v>91.065899999999999</c:v>
                </c:pt>
                <c:pt idx="19">
                  <c:v>91.781000000000006</c:v>
                </c:pt>
                <c:pt idx="20">
                  <c:v>91.781000000000006</c:v>
                </c:pt>
                <c:pt idx="21">
                  <c:v>91.781000000000006</c:v>
                </c:pt>
                <c:pt idx="22">
                  <c:v>92.136799999999994</c:v>
                </c:pt>
                <c:pt idx="23">
                  <c:v>92.136799999999994</c:v>
                </c:pt>
                <c:pt idx="24">
                  <c:v>94.368099999999998</c:v>
                </c:pt>
                <c:pt idx="25">
                  <c:v>99.999800000000008</c:v>
                </c:pt>
                <c:pt idx="26">
                  <c:v>99.999800000000008</c:v>
                </c:pt>
                <c:pt idx="27">
                  <c:v>99.999800000000008</c:v>
                </c:pt>
                <c:pt idx="28">
                  <c:v>99.999800000000008</c:v>
                </c:pt>
                <c:pt idx="29">
                  <c:v>99.999800000000008</c:v>
                </c:pt>
                <c:pt idx="30">
                  <c:v>99.999800000000008</c:v>
                </c:pt>
                <c:pt idx="31">
                  <c:v>99.999800000000008</c:v>
                </c:pt>
                <c:pt idx="32">
                  <c:v>99.999800000000008</c:v>
                </c:pt>
                <c:pt idx="33">
                  <c:v>99.999800000000008</c:v>
                </c:pt>
                <c:pt idx="34">
                  <c:v>99.999800000000008</c:v>
                </c:pt>
                <c:pt idx="35">
                  <c:v>99.999800000000008</c:v>
                </c:pt>
                <c:pt idx="36">
                  <c:v>99.999800000000008</c:v>
                </c:pt>
                <c:pt idx="37">
                  <c:v>99.999800000000008</c:v>
                </c:pt>
                <c:pt idx="38">
                  <c:v>99.999800000000008</c:v>
                </c:pt>
                <c:pt idx="39">
                  <c:v>98.562300000000008</c:v>
                </c:pt>
                <c:pt idx="40">
                  <c:v>96.082800000000006</c:v>
                </c:pt>
                <c:pt idx="41">
                  <c:v>74.783599999999993</c:v>
                </c:pt>
                <c:pt idx="42">
                  <c:v>70.194999999999993</c:v>
                </c:pt>
                <c:pt idx="43">
                  <c:v>62.32</c:v>
                </c:pt>
                <c:pt idx="44">
                  <c:v>51.4041</c:v>
                </c:pt>
                <c:pt idx="45">
                  <c:v>45.378700000000002</c:v>
                </c:pt>
                <c:pt idx="46">
                  <c:v>39.485100000000003</c:v>
                </c:pt>
                <c:pt idx="47">
                  <c:v>33.809199999999997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08A4-490A-9968-9A153E9F6C5E}"/>
            </c:ext>
          </c:extLst>
        </c:ser>
        <c:ser>
          <c:idx val="75"/>
          <c:order val="75"/>
          <c:tx>
            <c:v>BES_TR1_six1064_C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SOC_pct!$BZ$2:$BZ$49</c:f>
              <c:numCache>
                <c:formatCode>0.0</c:formatCode>
                <c:ptCount val="48"/>
                <c:pt idx="0">
                  <c:v>40</c:v>
                </c:pt>
                <c:pt idx="1">
                  <c:v>39.447899999999997</c:v>
                </c:pt>
                <c:pt idx="2">
                  <c:v>38.895699999999998</c:v>
                </c:pt>
                <c:pt idx="3">
                  <c:v>37.574800000000003</c:v>
                </c:pt>
                <c:pt idx="4">
                  <c:v>35.684800000000003</c:v>
                </c:pt>
                <c:pt idx="5">
                  <c:v>35.1327</c:v>
                </c:pt>
                <c:pt idx="6">
                  <c:v>34.580599999999997</c:v>
                </c:pt>
                <c:pt idx="7">
                  <c:v>34.028399999999998</c:v>
                </c:pt>
                <c:pt idx="8">
                  <c:v>33.487099999999998</c:v>
                </c:pt>
                <c:pt idx="9">
                  <c:v>33.091000000000001</c:v>
                </c:pt>
                <c:pt idx="10">
                  <c:v>33.250700000000002</c:v>
                </c:pt>
                <c:pt idx="11">
                  <c:v>34.056399999999996</c:v>
                </c:pt>
                <c:pt idx="12">
                  <c:v>35.6541</c:v>
                </c:pt>
                <c:pt idx="13">
                  <c:v>38.115900000000003</c:v>
                </c:pt>
                <c:pt idx="14">
                  <c:v>41.452599999999997</c:v>
                </c:pt>
                <c:pt idx="15">
                  <c:v>45.659499999999987</c:v>
                </c:pt>
                <c:pt idx="16">
                  <c:v>48.206600000000002</c:v>
                </c:pt>
                <c:pt idx="17">
                  <c:v>52.299799999999998</c:v>
                </c:pt>
                <c:pt idx="18">
                  <c:v>56.597200000000001</c:v>
                </c:pt>
                <c:pt idx="19">
                  <c:v>60.382100000000008</c:v>
                </c:pt>
                <c:pt idx="20">
                  <c:v>68.260800000000003</c:v>
                </c:pt>
                <c:pt idx="21">
                  <c:v>76.6297</c:v>
                </c:pt>
                <c:pt idx="22">
                  <c:v>85.403199999999998</c:v>
                </c:pt>
                <c:pt idx="23">
                  <c:v>94.463799999999992</c:v>
                </c:pt>
                <c:pt idx="24">
                  <c:v>100</c:v>
                </c:pt>
                <c:pt idx="25">
                  <c:v>100</c:v>
                </c:pt>
                <c:pt idx="26">
                  <c:v>93.974899999999991</c:v>
                </c:pt>
                <c:pt idx="27">
                  <c:v>87.713699999999989</c:v>
                </c:pt>
                <c:pt idx="28">
                  <c:v>88.02170000000001</c:v>
                </c:pt>
                <c:pt idx="29">
                  <c:v>94.526799999999994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99.575800000000001</c:v>
                </c:pt>
                <c:pt idx="40">
                  <c:v>96.521900000000002</c:v>
                </c:pt>
                <c:pt idx="41">
                  <c:v>91.403999999999996</c:v>
                </c:pt>
                <c:pt idx="42">
                  <c:v>88.012</c:v>
                </c:pt>
                <c:pt idx="43">
                  <c:v>83.570700000000002</c:v>
                </c:pt>
                <c:pt idx="44">
                  <c:v>78.754400000000004</c:v>
                </c:pt>
                <c:pt idx="45">
                  <c:v>73.914000000000001</c:v>
                </c:pt>
                <c:pt idx="46">
                  <c:v>69.536299999999997</c:v>
                </c:pt>
                <c:pt idx="47">
                  <c:v>66.776300000000006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08A4-490A-9968-9A153E9F6C5E}"/>
            </c:ext>
          </c:extLst>
        </c:ser>
        <c:ser>
          <c:idx val="76"/>
          <c:order val="76"/>
          <c:tx>
            <c:v>BES_TR1_six128_B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SOC_pct!$CA$2:$CA$49</c:f>
              <c:numCache>
                <c:formatCode>0.0</c:formatCode>
                <c:ptCount val="48"/>
                <c:pt idx="0">
                  <c:v>40</c:v>
                </c:pt>
                <c:pt idx="1">
                  <c:v>39.3977</c:v>
                </c:pt>
                <c:pt idx="2">
                  <c:v>38.795299999999997</c:v>
                </c:pt>
                <c:pt idx="3">
                  <c:v>38.192999999999998</c:v>
                </c:pt>
                <c:pt idx="4">
                  <c:v>37.590699999999998</c:v>
                </c:pt>
                <c:pt idx="5">
                  <c:v>36.988399999999999</c:v>
                </c:pt>
                <c:pt idx="6">
                  <c:v>36.386000000000003</c:v>
                </c:pt>
                <c:pt idx="7">
                  <c:v>35.783700000000003</c:v>
                </c:pt>
                <c:pt idx="8">
                  <c:v>35.213799999999999</c:v>
                </c:pt>
                <c:pt idx="9">
                  <c:v>35.079500000000003</c:v>
                </c:pt>
                <c:pt idx="10">
                  <c:v>36.507399999999997</c:v>
                </c:pt>
                <c:pt idx="11">
                  <c:v>39.873100000000001</c:v>
                </c:pt>
                <c:pt idx="12">
                  <c:v>45.614900000000013</c:v>
                </c:pt>
                <c:pt idx="13">
                  <c:v>53.949199999999998</c:v>
                </c:pt>
                <c:pt idx="14">
                  <c:v>64.907899999999998</c:v>
                </c:pt>
                <c:pt idx="15">
                  <c:v>78.477400000000003</c:v>
                </c:pt>
                <c:pt idx="16">
                  <c:v>94.6614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96.004800000000003</c:v>
                </c:pt>
                <c:pt idx="40">
                  <c:v>90.849199999999996</c:v>
                </c:pt>
                <c:pt idx="41">
                  <c:v>84.136399999999995</c:v>
                </c:pt>
                <c:pt idx="42">
                  <c:v>78.613900000000001</c:v>
                </c:pt>
                <c:pt idx="43">
                  <c:v>71.082300000000004</c:v>
                </c:pt>
                <c:pt idx="44">
                  <c:v>66.229500000000002</c:v>
                </c:pt>
                <c:pt idx="45">
                  <c:v>59.790200000000013</c:v>
                </c:pt>
                <c:pt idx="46">
                  <c:v>53.589799999999997</c:v>
                </c:pt>
                <c:pt idx="47">
                  <c:v>45.141500000000001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08A4-490A-9968-9A153E9F6C5E}"/>
            </c:ext>
          </c:extLst>
        </c:ser>
        <c:ser>
          <c:idx val="77"/>
          <c:order val="77"/>
          <c:tx>
            <c:v>SOC max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ChartData!$AF$2:$AF$49</c:f>
              <c:numCache>
                <c:formatCode>0.0</c:formatCode>
                <c:ptCount val="4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08A4-490A-9968-9A153E9F6C5E}"/>
            </c:ext>
          </c:extLst>
        </c:ser>
        <c:ser>
          <c:idx val="78"/>
          <c:order val="78"/>
          <c:tx>
            <c:v>fleet-average SOC</c:v>
          </c:tx>
          <c:spPr>
            <a:ln w="28575">
              <a:solidFill>
                <a:srgbClr val="167A68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ChartData!$AG$2:$AG$49</c:f>
              <c:numCache>
                <c:formatCode>0.0</c:formatCode>
                <c:ptCount val="48"/>
                <c:pt idx="0">
                  <c:v>40</c:v>
                </c:pt>
                <c:pt idx="1">
                  <c:v>36.573880519480525</c:v>
                </c:pt>
                <c:pt idx="2">
                  <c:v>34.364816883116895</c:v>
                </c:pt>
                <c:pt idx="3">
                  <c:v>32.808424675324666</c:v>
                </c:pt>
                <c:pt idx="4">
                  <c:v>31.061216883116892</c:v>
                </c:pt>
                <c:pt idx="5">
                  <c:v>29.7866909090909</c:v>
                </c:pt>
                <c:pt idx="6">
                  <c:v>28.265666233766233</c:v>
                </c:pt>
                <c:pt idx="7">
                  <c:v>26.67901688311688</c:v>
                </c:pt>
                <c:pt idx="8">
                  <c:v>25.494477922077916</c:v>
                </c:pt>
                <c:pt idx="9">
                  <c:v>24.396470129870128</c:v>
                </c:pt>
                <c:pt idx="10">
                  <c:v>24.946828571428572</c:v>
                </c:pt>
                <c:pt idx="11">
                  <c:v>27.486579220779216</c:v>
                </c:pt>
                <c:pt idx="12">
                  <c:v>32.120254545454557</c:v>
                </c:pt>
                <c:pt idx="13">
                  <c:v>39.255199999999995</c:v>
                </c:pt>
                <c:pt idx="14">
                  <c:v>48.309303896103891</c:v>
                </c:pt>
                <c:pt idx="15">
                  <c:v>60.158535064935066</c:v>
                </c:pt>
                <c:pt idx="16">
                  <c:v>73.156985714285739</c:v>
                </c:pt>
                <c:pt idx="17">
                  <c:v>82.415048051948077</c:v>
                </c:pt>
                <c:pt idx="18">
                  <c:v>87.685548051948061</c:v>
                </c:pt>
                <c:pt idx="19">
                  <c:v>91.442580519480543</c:v>
                </c:pt>
                <c:pt idx="20">
                  <c:v>94.010220779220774</c:v>
                </c:pt>
                <c:pt idx="21">
                  <c:v>95.438800000000001</c:v>
                </c:pt>
                <c:pt idx="22">
                  <c:v>96.5696948051948</c:v>
                </c:pt>
                <c:pt idx="23">
                  <c:v>97.860992207792194</c:v>
                </c:pt>
                <c:pt idx="24">
                  <c:v>98.086123376623391</c:v>
                </c:pt>
                <c:pt idx="25">
                  <c:v>98.222411688311681</c:v>
                </c:pt>
                <c:pt idx="26">
                  <c:v>98.199619480519488</c:v>
                </c:pt>
                <c:pt idx="27">
                  <c:v>98.059544155844165</c:v>
                </c:pt>
                <c:pt idx="28">
                  <c:v>98.525183116883099</c:v>
                </c:pt>
                <c:pt idx="29">
                  <c:v>99.201398701298686</c:v>
                </c:pt>
                <c:pt idx="30">
                  <c:v>99.804535064935067</c:v>
                </c:pt>
                <c:pt idx="31">
                  <c:v>99.719503896103888</c:v>
                </c:pt>
                <c:pt idx="32">
                  <c:v>99.52173636363635</c:v>
                </c:pt>
                <c:pt idx="33">
                  <c:v>99.498601298701288</c:v>
                </c:pt>
                <c:pt idx="34">
                  <c:v>99.157610389610383</c:v>
                </c:pt>
                <c:pt idx="35">
                  <c:v>98.228785714285706</c:v>
                </c:pt>
                <c:pt idx="36">
                  <c:v>97.557605194805205</c:v>
                </c:pt>
                <c:pt idx="37">
                  <c:v>95.599067532467515</c:v>
                </c:pt>
                <c:pt idx="38">
                  <c:v>94.158225974025996</c:v>
                </c:pt>
                <c:pt idx="39">
                  <c:v>92.214076623376599</c:v>
                </c:pt>
                <c:pt idx="40">
                  <c:v>88.273620779220778</c:v>
                </c:pt>
                <c:pt idx="41">
                  <c:v>81.847402597402564</c:v>
                </c:pt>
                <c:pt idx="42">
                  <c:v>75.120500000000007</c:v>
                </c:pt>
                <c:pt idx="43">
                  <c:v>68.624637662337648</c:v>
                </c:pt>
                <c:pt idx="44">
                  <c:v>62.097371428571435</c:v>
                </c:pt>
                <c:pt idx="45">
                  <c:v>56.475854545454538</c:v>
                </c:pt>
                <c:pt idx="46">
                  <c:v>52.091388311688313</c:v>
                </c:pt>
                <c:pt idx="47">
                  <c:v>48.559493506493517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08A4-490A-9968-9A153E9F6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Hour of day</a:t>
                </a:r>
              </a:p>
            </c:rich>
          </c:tx>
          <c:overlay val="0"/>
        </c:title>
        <c:numFmt formatCode="0.0" sourceLinked="1"/>
        <c:majorTickMark val="cross"/>
        <c:minorTickMark val="none"/>
        <c:tickLblPos val="low"/>
        <c:spPr>
          <a:ln/>
        </c:spPr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2"/>
        <c:noMultiLvlLbl val="0"/>
      </c:catAx>
      <c:valAx>
        <c:axId val="48672768"/>
        <c:scaling>
          <c:orientation val="minMax"/>
          <c:max val="112"/>
          <c:min val="0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SOC (%)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75"/>
              <a:t>Net result per prosumer -  TR1   (+ import / - export)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BES_TR1_one223_B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Net_kW!$C$2:$C$49</c:f>
              <c:numCache>
                <c:formatCode>#,##0.000</c:formatCode>
                <c:ptCount val="48"/>
                <c:pt idx="0">
                  <c:v>3.0066666666700442E-4</c:v>
                </c:pt>
                <c:pt idx="1">
                  <c:v>4.019999999999857E-4</c:v>
                </c:pt>
                <c:pt idx="2">
                  <c:v>-3.4699999999998621E-4</c:v>
                </c:pt>
                <c:pt idx="3">
                  <c:v>1.5666666666996901E-5</c:v>
                </c:pt>
                <c:pt idx="4">
                  <c:v>-9.8000000000014742E-5</c:v>
                </c:pt>
                <c:pt idx="5">
                  <c:v>3.6266666666701092E-4</c:v>
                </c:pt>
                <c:pt idx="6">
                  <c:v>-1.3600000000002499E-4</c:v>
                </c:pt>
                <c:pt idx="7">
                  <c:v>-4.4080346666667408E-4</c:v>
                </c:pt>
                <c:pt idx="8">
                  <c:v>-2.5382586666619628E-4</c:v>
                </c:pt>
                <c:pt idx="9">
                  <c:v>2.964428000000012E-4</c:v>
                </c:pt>
                <c:pt idx="10">
                  <c:v>-4.8288266667972923E-5</c:v>
                </c:pt>
                <c:pt idx="11">
                  <c:v>2.3035680000105249E-4</c:v>
                </c:pt>
                <c:pt idx="12">
                  <c:v>-6.8592666668143565E-5</c:v>
                </c:pt>
                <c:pt idx="13">
                  <c:v>-4.9650106666510041E-4</c:v>
                </c:pt>
                <c:pt idx="14">
                  <c:v>4.375452000000557E-4</c:v>
                </c:pt>
                <c:pt idx="15">
                  <c:v>-3.4423333332922468E-5</c:v>
                </c:pt>
                <c:pt idx="16">
                  <c:v>-0.86417253160000118</c:v>
                </c:pt>
                <c:pt idx="17">
                  <c:v>-1.4137242669333301</c:v>
                </c:pt>
                <c:pt idx="18">
                  <c:v>-2.388895362666668</c:v>
                </c:pt>
                <c:pt idx="19">
                  <c:v>-2.6550327394666651</c:v>
                </c:pt>
                <c:pt idx="20">
                  <c:v>-2.7080849430666678</c:v>
                </c:pt>
                <c:pt idx="21">
                  <c:v>-2.14202945453333</c:v>
                </c:pt>
                <c:pt idx="22">
                  <c:v>-2.9365429246666679</c:v>
                </c:pt>
                <c:pt idx="23">
                  <c:v>-3.3525107088000001</c:v>
                </c:pt>
                <c:pt idx="24">
                  <c:v>-3.1443043290666681</c:v>
                </c:pt>
                <c:pt idx="25">
                  <c:v>-3.3203280053333328</c:v>
                </c:pt>
                <c:pt idx="26">
                  <c:v>-3.283573482</c:v>
                </c:pt>
                <c:pt idx="27">
                  <c:v>-2.8979226608000008</c:v>
                </c:pt>
                <c:pt idx="28">
                  <c:v>-2.9612778932000001</c:v>
                </c:pt>
                <c:pt idx="29">
                  <c:v>-2.7470478397333351</c:v>
                </c:pt>
                <c:pt idx="30">
                  <c:v>-2.3830424948000002</c:v>
                </c:pt>
                <c:pt idx="31">
                  <c:v>-2.3935838538666681</c:v>
                </c:pt>
                <c:pt idx="32">
                  <c:v>-1.699426390666666</c:v>
                </c:pt>
                <c:pt idx="33">
                  <c:v>-1.665474972933332</c:v>
                </c:pt>
                <c:pt idx="34">
                  <c:v>-1.426886893999999</c:v>
                </c:pt>
                <c:pt idx="35">
                  <c:v>-0.97699555453333309</c:v>
                </c:pt>
                <c:pt idx="36">
                  <c:v>-0.64004426800000103</c:v>
                </c:pt>
                <c:pt idx="37">
                  <c:v>-0.43401839266666697</c:v>
                </c:pt>
                <c:pt idx="38">
                  <c:v>-0.1105757477333332</c:v>
                </c:pt>
                <c:pt idx="39">
                  <c:v>4.727182666670604E-4</c:v>
                </c:pt>
                <c:pt idx="40">
                  <c:v>-3.244429333365551E-4</c:v>
                </c:pt>
                <c:pt idx="41">
                  <c:v>2.7633333333298982E-4</c:v>
                </c:pt>
                <c:pt idx="42">
                  <c:v>3.3566666666706713E-4</c:v>
                </c:pt>
                <c:pt idx="43">
                  <c:v>-2.8633333333294431E-4</c:v>
                </c:pt>
                <c:pt idx="44">
                  <c:v>3.3666666670040257E-5</c:v>
                </c:pt>
                <c:pt idx="45">
                  <c:v>9.3333333330836155E-6</c:v>
                </c:pt>
                <c:pt idx="46">
                  <c:v>3.219999999999335E-4</c:v>
                </c:pt>
                <c:pt idx="47">
                  <c:v>6.7666666667021147E-5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7-4FAD-A412-675D9D2D5709}"/>
            </c:ext>
          </c:extLst>
        </c:ser>
        <c:ser>
          <c:idx val="1"/>
          <c:order val="1"/>
          <c:tx>
            <c:v>BES_TR1_one313_A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Net_kW!$D$2:$D$49</c:f>
              <c:numCache>
                <c:formatCode>#,##0.000</c:formatCode>
                <c:ptCount val="48"/>
                <c:pt idx="0">
                  <c:v>4.2666666666670022E-4</c:v>
                </c:pt>
                <c:pt idx="1">
                  <c:v>0</c:v>
                </c:pt>
                <c:pt idx="2">
                  <c:v>0</c:v>
                </c:pt>
                <c:pt idx="3">
                  <c:v>4.2666666666670022E-4</c:v>
                </c:pt>
                <c:pt idx="4">
                  <c:v>2.4666666666697812E-4</c:v>
                </c:pt>
                <c:pt idx="5">
                  <c:v>0</c:v>
                </c:pt>
                <c:pt idx="6">
                  <c:v>-3.2666666666700261E-4</c:v>
                </c:pt>
                <c:pt idx="7">
                  <c:v>-4.4080346666666709E-4</c:v>
                </c:pt>
                <c:pt idx="8">
                  <c:v>-9.4492533333212503E-5</c:v>
                </c:pt>
                <c:pt idx="9">
                  <c:v>4.597761333329925E-4</c:v>
                </c:pt>
                <c:pt idx="10">
                  <c:v>4.6304506666527972E-4</c:v>
                </c:pt>
                <c:pt idx="11">
                  <c:v>1.20234666680652E-5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4.2354520000009721E-4</c:v>
                </c:pt>
                <c:pt idx="15">
                  <c:v>-0.36091709000000011</c:v>
                </c:pt>
                <c:pt idx="16">
                  <c:v>-2.2243293982666681</c:v>
                </c:pt>
                <c:pt idx="17">
                  <c:v>-2.2935509336000002</c:v>
                </c:pt>
                <c:pt idx="18">
                  <c:v>-2.4985766960000011</c:v>
                </c:pt>
                <c:pt idx="19">
                  <c:v>-2.7127734061333322</c:v>
                </c:pt>
                <c:pt idx="20">
                  <c:v>-2.7133076097333348</c:v>
                </c:pt>
                <c:pt idx="21">
                  <c:v>-3.0354184545333331</c:v>
                </c:pt>
                <c:pt idx="22">
                  <c:v>-3.1771159246666678</c:v>
                </c:pt>
                <c:pt idx="23">
                  <c:v>-2.9990110421333331</c:v>
                </c:pt>
                <c:pt idx="24">
                  <c:v>-3.3522779957333348</c:v>
                </c:pt>
                <c:pt idx="25">
                  <c:v>-3.2830750053333331</c:v>
                </c:pt>
                <c:pt idx="26">
                  <c:v>-3.2427318153333329</c:v>
                </c:pt>
                <c:pt idx="27">
                  <c:v>-3.139317660800002</c:v>
                </c:pt>
                <c:pt idx="28">
                  <c:v>-2.9098512265333332</c:v>
                </c:pt>
                <c:pt idx="29">
                  <c:v>-2.8381901730666681</c:v>
                </c:pt>
                <c:pt idx="30">
                  <c:v>-2.5166684948000002</c:v>
                </c:pt>
                <c:pt idx="31">
                  <c:v>-2.3723705205333339</c:v>
                </c:pt>
                <c:pt idx="32">
                  <c:v>-2.0957833906666652</c:v>
                </c:pt>
                <c:pt idx="33">
                  <c:v>-1.688414606266665</c:v>
                </c:pt>
                <c:pt idx="34">
                  <c:v>-1.4992117273333321</c:v>
                </c:pt>
                <c:pt idx="35">
                  <c:v>-1.1859496212</c:v>
                </c:pt>
                <c:pt idx="36">
                  <c:v>-0.88291693466666799</c:v>
                </c:pt>
                <c:pt idx="37">
                  <c:v>-0.44107739266666701</c:v>
                </c:pt>
                <c:pt idx="38">
                  <c:v>-0.3283207477333332</c:v>
                </c:pt>
                <c:pt idx="39">
                  <c:v>-6.7159948400000002E-2</c:v>
                </c:pt>
                <c:pt idx="40">
                  <c:v>-9.044293333368425E-5</c:v>
                </c:pt>
                <c:pt idx="41">
                  <c:v>0</c:v>
                </c:pt>
                <c:pt idx="42">
                  <c:v>0</c:v>
                </c:pt>
                <c:pt idx="43">
                  <c:v>4.099999999999937E-4</c:v>
                </c:pt>
                <c:pt idx="44">
                  <c:v>2.6333333333300463E-4</c:v>
                </c:pt>
                <c:pt idx="45">
                  <c:v>0</c:v>
                </c:pt>
                <c:pt idx="46">
                  <c:v>-3.5999999999999921E-4</c:v>
                </c:pt>
                <c:pt idx="47">
                  <c:v>3.3333333332996602E-5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E7-4FAD-A412-675D9D2D5709}"/>
            </c:ext>
          </c:extLst>
        </c:ser>
        <c:ser>
          <c:idx val="2"/>
          <c:order val="2"/>
          <c:tx>
            <c:v>BES_TR1_one320_B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Net_kW!$E$2:$E$49</c:f>
              <c:numCache>
                <c:formatCode>#,##0.000</c:formatCode>
                <c:ptCount val="48"/>
                <c:pt idx="0">
                  <c:v>0</c:v>
                </c:pt>
                <c:pt idx="1">
                  <c:v>2.19999999999998E-4</c:v>
                </c:pt>
                <c:pt idx="2">
                  <c:v>0</c:v>
                </c:pt>
                <c:pt idx="3">
                  <c:v>2.19999999999998E-4</c:v>
                </c:pt>
                <c:pt idx="4">
                  <c:v>0</c:v>
                </c:pt>
                <c:pt idx="5">
                  <c:v>-1.3000000000000511E-4</c:v>
                </c:pt>
                <c:pt idx="6">
                  <c:v>3.4999999999998921E-4</c:v>
                </c:pt>
                <c:pt idx="7">
                  <c:v>2.7959826666666693E-4</c:v>
                </c:pt>
                <c:pt idx="8">
                  <c:v>1.3275373333340029E-4</c:v>
                </c:pt>
                <c:pt idx="9">
                  <c:v>-2.8677859999999561E-4</c:v>
                </c:pt>
                <c:pt idx="10">
                  <c:v>3.298558666660345E-4</c:v>
                </c:pt>
                <c:pt idx="11">
                  <c:v>2.9101173333404012E-4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-1.09727400000037E-4</c:v>
                </c:pt>
                <c:pt idx="15">
                  <c:v>3.6955000000005178E-5</c:v>
                </c:pt>
                <c:pt idx="16">
                  <c:v>-1.646991333339454E-4</c:v>
                </c:pt>
                <c:pt idx="17">
                  <c:v>-3.2546679999989608E-4</c:v>
                </c:pt>
                <c:pt idx="18">
                  <c:v>-0.71606768133333409</c:v>
                </c:pt>
                <c:pt idx="19">
                  <c:v>-1.4331917030666661</c:v>
                </c:pt>
                <c:pt idx="20">
                  <c:v>-1.436784471533334</c:v>
                </c:pt>
                <c:pt idx="21">
                  <c:v>-1.5132125606</c:v>
                </c:pt>
                <c:pt idx="22">
                  <c:v>-1.559268962333334</c:v>
                </c:pt>
                <c:pt idx="23">
                  <c:v>-1.6647833543999999</c:v>
                </c:pt>
                <c:pt idx="24">
                  <c:v>-1.4656036645333339</c:v>
                </c:pt>
                <c:pt idx="25">
                  <c:v>-1.3652815026666669</c:v>
                </c:pt>
                <c:pt idx="26">
                  <c:v>-1.1525422409999999</c:v>
                </c:pt>
                <c:pt idx="27">
                  <c:v>-1.3900928304000011</c:v>
                </c:pt>
                <c:pt idx="28">
                  <c:v>-1.2798739466</c:v>
                </c:pt>
                <c:pt idx="29">
                  <c:v>-1.2590390865333341</c:v>
                </c:pt>
                <c:pt idx="30">
                  <c:v>-1.0691165807333329</c:v>
                </c:pt>
                <c:pt idx="31">
                  <c:v>-0.72891259360000094</c:v>
                </c:pt>
                <c:pt idx="32">
                  <c:v>-0.79879969533333295</c:v>
                </c:pt>
                <c:pt idx="33">
                  <c:v>-0.79642376979999896</c:v>
                </c:pt>
                <c:pt idx="34">
                  <c:v>-0.54712086366666601</c:v>
                </c:pt>
                <c:pt idx="35">
                  <c:v>-0.5236921439333333</c:v>
                </c:pt>
                <c:pt idx="36">
                  <c:v>-0.19061746733333401</c:v>
                </c:pt>
                <c:pt idx="37">
                  <c:v>-8.2882363000000014E-2</c:v>
                </c:pt>
                <c:pt idx="38">
                  <c:v>4.1329280000043661E-4</c:v>
                </c:pt>
                <c:pt idx="39">
                  <c:v>-9.3307533330255765E-5</c:v>
                </c:pt>
                <c:pt idx="40">
                  <c:v>-4.9388813333339776E-4</c:v>
                </c:pt>
                <c:pt idx="41">
                  <c:v>2.2999999999995249E-4</c:v>
                </c:pt>
                <c:pt idx="42">
                  <c:v>-8.7000000000003741E-5</c:v>
                </c:pt>
                <c:pt idx="43">
                  <c:v>4.443333333329913E-4</c:v>
                </c:pt>
                <c:pt idx="44">
                  <c:v>3.6999999999953743E-5</c:v>
                </c:pt>
                <c:pt idx="45">
                  <c:v>2.699999999999925E-5</c:v>
                </c:pt>
                <c:pt idx="46">
                  <c:v>-1.3966666666703759E-4</c:v>
                </c:pt>
                <c:pt idx="47">
                  <c:v>4.9599999999982991E-5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E7-4FAD-A412-675D9D2D5709}"/>
            </c:ext>
          </c:extLst>
        </c:ser>
        <c:ser>
          <c:idx val="3"/>
          <c:order val="3"/>
          <c:tx>
            <c:v>BES_TR1_one321_C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4.533333333330003E-4</c:v>
                </c:pt>
                <c:pt idx="4">
                  <c:v>0</c:v>
                </c:pt>
                <c:pt idx="5">
                  <c:v>4.533333333330003E-4</c:v>
                </c:pt>
                <c:pt idx="6">
                  <c:v>0</c:v>
                </c:pt>
                <c:pt idx="7">
                  <c:v>1.6719653333333029E-4</c:v>
                </c:pt>
                <c:pt idx="8">
                  <c:v>1.108408000000984E-4</c:v>
                </c:pt>
                <c:pt idx="9">
                  <c:v>3.4442799999992453E-5</c:v>
                </c:pt>
                <c:pt idx="10">
                  <c:v>-4.9495493333467921E-4</c:v>
                </c:pt>
                <c:pt idx="11">
                  <c:v>1.420234666680287E-4</c:v>
                </c:pt>
                <c:pt idx="12">
                  <c:v>-4.5992600000144268E-4</c:v>
                </c:pt>
                <c:pt idx="13">
                  <c:v>2.5349893333492801E-4</c:v>
                </c:pt>
                <c:pt idx="14">
                  <c:v>4.0545199999852948E-5</c:v>
                </c:pt>
                <c:pt idx="15">
                  <c:v>-0.59801275666666687</c:v>
                </c:pt>
                <c:pt idx="16">
                  <c:v>-1.9521453982666681</c:v>
                </c:pt>
                <c:pt idx="17">
                  <c:v>-1.8103849336</c:v>
                </c:pt>
                <c:pt idx="18">
                  <c:v>-2.486674696000001</c:v>
                </c:pt>
                <c:pt idx="19">
                  <c:v>-2.6476717394666651</c:v>
                </c:pt>
                <c:pt idx="20">
                  <c:v>-2.8735226097333348</c:v>
                </c:pt>
                <c:pt idx="21">
                  <c:v>-3.0802411878666671</c:v>
                </c:pt>
                <c:pt idx="22">
                  <c:v>-3.2648519246666678</c:v>
                </c:pt>
                <c:pt idx="23">
                  <c:v>-3.213879375466667</c:v>
                </c:pt>
                <c:pt idx="24">
                  <c:v>-3.3854813290666681</c:v>
                </c:pt>
                <c:pt idx="25">
                  <c:v>-3.2428683386666668</c:v>
                </c:pt>
                <c:pt idx="26">
                  <c:v>-3.229429482</c:v>
                </c:pt>
                <c:pt idx="27">
                  <c:v>-2.848938327466668</c:v>
                </c:pt>
                <c:pt idx="28">
                  <c:v>-2.7619902265333329</c:v>
                </c:pt>
                <c:pt idx="29">
                  <c:v>-2.510871173066668</c:v>
                </c:pt>
                <c:pt idx="30">
                  <c:v>-2.2882841614666658</c:v>
                </c:pt>
                <c:pt idx="31">
                  <c:v>-2.294301853866668</c:v>
                </c:pt>
                <c:pt idx="32">
                  <c:v>-1.9711095906666649</c:v>
                </c:pt>
                <c:pt idx="33">
                  <c:v>-1.5420119395999989</c:v>
                </c:pt>
                <c:pt idx="34">
                  <c:v>-1.482211727333332</c:v>
                </c:pt>
                <c:pt idx="35">
                  <c:v>-0.93864762120000012</c:v>
                </c:pt>
                <c:pt idx="36">
                  <c:v>-0.69804660133333507</c:v>
                </c:pt>
                <c:pt idx="37">
                  <c:v>-0.55598272600000009</c:v>
                </c:pt>
                <c:pt idx="38">
                  <c:v>-0.31132074773333318</c:v>
                </c:pt>
                <c:pt idx="39">
                  <c:v>4.4805160000000588E-4</c:v>
                </c:pt>
                <c:pt idx="40">
                  <c:v>8.1557066666619604E-5</c:v>
                </c:pt>
                <c:pt idx="41">
                  <c:v>-4.6400000000000607E-4</c:v>
                </c:pt>
                <c:pt idx="42">
                  <c:v>-8.2666666666980637E-5</c:v>
                </c:pt>
                <c:pt idx="43">
                  <c:v>-4.6400000000000607E-4</c:v>
                </c:pt>
                <c:pt idx="44">
                  <c:v>-8.2666666666980637E-5</c:v>
                </c:pt>
                <c:pt idx="45">
                  <c:v>0</c:v>
                </c:pt>
                <c:pt idx="46">
                  <c:v>0</c:v>
                </c:pt>
                <c:pt idx="47">
                  <c:v>-8.2666666666980637E-5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E7-4FAD-A412-675D9D2D5709}"/>
            </c:ext>
          </c:extLst>
        </c:ser>
        <c:ser>
          <c:idx val="4"/>
          <c:order val="4"/>
          <c:tx>
            <c:v>BES_TR1_one346_C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2.5800000000000822E-4</c:v>
                </c:pt>
                <c:pt idx="3">
                  <c:v>0</c:v>
                </c:pt>
                <c:pt idx="4">
                  <c:v>-4.149999999999987E-4</c:v>
                </c:pt>
                <c:pt idx="5">
                  <c:v>-3.2699999999999402E-4</c:v>
                </c:pt>
                <c:pt idx="6">
                  <c:v>-2.8300000000000552E-4</c:v>
                </c:pt>
                <c:pt idx="7">
                  <c:v>-3.9602600000021582E-5</c:v>
                </c:pt>
                <c:pt idx="8">
                  <c:v>-3.0086939999990348E-4</c:v>
                </c:pt>
                <c:pt idx="9">
                  <c:v>-4.3016789999998639E-4</c:v>
                </c:pt>
                <c:pt idx="10">
                  <c:v>-5.2162000009903231E-6</c:v>
                </c:pt>
                <c:pt idx="11">
                  <c:v>4.7451760000100102E-4</c:v>
                </c:pt>
                <c:pt idx="12">
                  <c:v>4.5105549999879813E-4</c:v>
                </c:pt>
                <c:pt idx="13">
                  <c:v>1.721242000010115E-4</c:v>
                </c:pt>
                <c:pt idx="14">
                  <c:v>3.1040890000011418E-4</c:v>
                </c:pt>
                <c:pt idx="15">
                  <c:v>3.0432499999788479E-5</c:v>
                </c:pt>
                <c:pt idx="16">
                  <c:v>-8.6423048700000837E-2</c:v>
                </c:pt>
                <c:pt idx="17">
                  <c:v>-1.8040542002</c:v>
                </c:pt>
                <c:pt idx="18">
                  <c:v>-2.0214315220000012</c:v>
                </c:pt>
                <c:pt idx="19">
                  <c:v>-2.1697875545999992</c:v>
                </c:pt>
                <c:pt idx="20">
                  <c:v>-2.1444410406333341</c:v>
                </c:pt>
                <c:pt idx="21">
                  <c:v>-2.4002398408999999</c:v>
                </c:pt>
                <c:pt idx="22">
                  <c:v>-2.4837334435000011</c:v>
                </c:pt>
                <c:pt idx="23">
                  <c:v>-2.4809800316000001</c:v>
                </c:pt>
                <c:pt idx="24">
                  <c:v>-2.4037979968000012</c:v>
                </c:pt>
                <c:pt idx="25">
                  <c:v>-2.5087412539999998</c:v>
                </c:pt>
                <c:pt idx="26">
                  <c:v>-2.4478688614999999</c:v>
                </c:pt>
                <c:pt idx="27">
                  <c:v>-2.2174597456000011</c:v>
                </c:pt>
                <c:pt idx="28">
                  <c:v>-2.2224139199000001</c:v>
                </c:pt>
                <c:pt idx="29">
                  <c:v>-2.1036426298000008</c:v>
                </c:pt>
                <c:pt idx="30">
                  <c:v>-1.9543463711</c:v>
                </c:pt>
                <c:pt idx="31">
                  <c:v>-1.6154298904000011</c:v>
                </c:pt>
                <c:pt idx="32">
                  <c:v>-1.5618589763333319</c:v>
                </c:pt>
                <c:pt idx="33">
                  <c:v>-1.176034454699999</c:v>
                </c:pt>
                <c:pt idx="34">
                  <c:v>-1.0921697954999989</c:v>
                </c:pt>
                <c:pt idx="35">
                  <c:v>-0.86446221590000005</c:v>
                </c:pt>
                <c:pt idx="36">
                  <c:v>-0.52860270100000106</c:v>
                </c:pt>
                <c:pt idx="37">
                  <c:v>-0.36739004450000001</c:v>
                </c:pt>
                <c:pt idx="38">
                  <c:v>-0.17056756079999991</c:v>
                </c:pt>
                <c:pt idx="39">
                  <c:v>2.1503870000000311E-4</c:v>
                </c:pt>
                <c:pt idx="40">
                  <c:v>1.771677999999888E-4</c:v>
                </c:pt>
                <c:pt idx="41">
                  <c:v>2.390000000000031E-4</c:v>
                </c:pt>
                <c:pt idx="42">
                  <c:v>1.9000000000019002E-5</c:v>
                </c:pt>
                <c:pt idx="43">
                  <c:v>0</c:v>
                </c:pt>
                <c:pt idx="44">
                  <c:v>2.5800000000000822E-4</c:v>
                </c:pt>
                <c:pt idx="45">
                  <c:v>0</c:v>
                </c:pt>
                <c:pt idx="46">
                  <c:v>-4.3999999999988493E-5</c:v>
                </c:pt>
                <c:pt idx="47">
                  <c:v>3.0199999999999672E-4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E7-4FAD-A412-675D9D2D5709}"/>
            </c:ext>
          </c:extLst>
        </c:ser>
        <c:ser>
          <c:idx val="5"/>
          <c:order val="5"/>
          <c:tx>
            <c:v>BES_TR1_one366_B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Net_kW!$H$2:$H$49</c:f>
              <c:numCache>
                <c:formatCode>#,##0.000</c:formatCode>
                <c:ptCount val="48"/>
                <c:pt idx="0">
                  <c:v>-3.7266666666699311E-4</c:v>
                </c:pt>
                <c:pt idx="1">
                  <c:v>-1.2766666666702559E-4</c:v>
                </c:pt>
                <c:pt idx="2">
                  <c:v>1.3333333333340189E-4</c:v>
                </c:pt>
                <c:pt idx="3">
                  <c:v>-3.99333333332974E-4</c:v>
                </c:pt>
                <c:pt idx="4">
                  <c:v>-1.5500000000001621E-4</c:v>
                </c:pt>
                <c:pt idx="5">
                  <c:v>-2.9933333333298512E-4</c:v>
                </c:pt>
                <c:pt idx="6">
                  <c:v>-4.9066666666702785E-4</c:v>
                </c:pt>
                <c:pt idx="7">
                  <c:v>-1.3440173333323371E-4</c:v>
                </c:pt>
                <c:pt idx="8">
                  <c:v>4.8708706666639179E-4</c:v>
                </c:pt>
                <c:pt idx="9">
                  <c:v>-1.711193333299443E-5</c:v>
                </c:pt>
                <c:pt idx="10">
                  <c:v>3.2985586666597899E-4</c:v>
                </c:pt>
                <c:pt idx="11">
                  <c:v>4.6567840000101562E-4</c:v>
                </c:pt>
                <c:pt idx="12">
                  <c:v>-1.4396300000102391E-4</c:v>
                </c:pt>
                <c:pt idx="13">
                  <c:v>-4.0825053333293232E-4</c:v>
                </c:pt>
                <c:pt idx="14">
                  <c:v>-4.739406666709467E-5</c:v>
                </c:pt>
                <c:pt idx="15">
                  <c:v>-1.077116666668987E-4</c:v>
                </c:pt>
                <c:pt idx="16">
                  <c:v>-4.416991333340281E-4</c:v>
                </c:pt>
                <c:pt idx="17">
                  <c:v>4.1286653333316709E-4</c:v>
                </c:pt>
                <c:pt idx="18">
                  <c:v>-1.5934799999994809E-4</c:v>
                </c:pt>
                <c:pt idx="19">
                  <c:v>2.2296933334109429E-5</c:v>
                </c:pt>
                <c:pt idx="20">
                  <c:v>-0.39532980486666691</c:v>
                </c:pt>
                <c:pt idx="21">
                  <c:v>-1.4111438939333329</c:v>
                </c:pt>
                <c:pt idx="22">
                  <c:v>-1.119412295666667</c:v>
                </c:pt>
                <c:pt idx="23">
                  <c:v>-1.4040873544000001</c:v>
                </c:pt>
                <c:pt idx="24">
                  <c:v>-1.394386664533334</c:v>
                </c:pt>
                <c:pt idx="25">
                  <c:v>-1.206587169333333</c:v>
                </c:pt>
                <c:pt idx="26">
                  <c:v>-1.378254241</c:v>
                </c:pt>
                <c:pt idx="27">
                  <c:v>-1.112008497066667</c:v>
                </c:pt>
                <c:pt idx="28">
                  <c:v>-1.3793412799333331</c:v>
                </c:pt>
                <c:pt idx="29">
                  <c:v>-1.103753419866667</c:v>
                </c:pt>
                <c:pt idx="30">
                  <c:v>-0.88267158073333296</c:v>
                </c:pt>
                <c:pt idx="31">
                  <c:v>-0.88432859360000093</c:v>
                </c:pt>
                <c:pt idx="32">
                  <c:v>-0.50164102866666593</c:v>
                </c:pt>
                <c:pt idx="33">
                  <c:v>-0.50017363646666602</c:v>
                </c:pt>
                <c:pt idx="34">
                  <c:v>-0.133696863666666</c:v>
                </c:pt>
                <c:pt idx="35">
                  <c:v>3.2885606666696598E-4</c:v>
                </c:pt>
                <c:pt idx="36">
                  <c:v>-3.704673333337904E-4</c:v>
                </c:pt>
                <c:pt idx="37">
                  <c:v>-2.7336300000002639E-4</c:v>
                </c:pt>
                <c:pt idx="38">
                  <c:v>-4.373738666665627E-4</c:v>
                </c:pt>
                <c:pt idx="39">
                  <c:v>-1.053075333329323E-4</c:v>
                </c:pt>
                <c:pt idx="40">
                  <c:v>-1.8555480000026489E-4</c:v>
                </c:pt>
                <c:pt idx="41">
                  <c:v>2.12000000000101E-4</c:v>
                </c:pt>
                <c:pt idx="42">
                  <c:v>6.8666666670047505E-5</c:v>
                </c:pt>
                <c:pt idx="43">
                  <c:v>-2.2266666666703741E-4</c:v>
                </c:pt>
                <c:pt idx="44">
                  <c:v>1.72913566666667</c:v>
                </c:pt>
                <c:pt idx="45">
                  <c:v>0.75827966666666702</c:v>
                </c:pt>
                <c:pt idx="46">
                  <c:v>2.2277830000000001</c:v>
                </c:pt>
                <c:pt idx="47">
                  <c:v>0.21694833333333399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E7-4FAD-A412-675D9D2D5709}"/>
            </c:ext>
          </c:extLst>
        </c:ser>
        <c:ser>
          <c:idx val="6"/>
          <c:order val="6"/>
          <c:tx>
            <c:v>BES_TR1_one375_C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Net_kW!$I$2:$I$49</c:f>
              <c:numCache>
                <c:formatCode>#,##0.000</c:formatCode>
                <c:ptCount val="48"/>
                <c:pt idx="0">
                  <c:v>-4.0000000000040004E-6</c:v>
                </c:pt>
                <c:pt idx="1">
                  <c:v>-1.7000000000000351E-4</c:v>
                </c:pt>
                <c:pt idx="2">
                  <c:v>-3.2000000000004247E-5</c:v>
                </c:pt>
                <c:pt idx="3">
                  <c:v>2.026666666669896E-4</c:v>
                </c:pt>
                <c:pt idx="4">
                  <c:v>-6.7999999999998617E-5</c:v>
                </c:pt>
                <c:pt idx="5">
                  <c:v>4.0000000000040004E-6</c:v>
                </c:pt>
                <c:pt idx="6">
                  <c:v>1.3266666666703059E-4</c:v>
                </c:pt>
                <c:pt idx="7">
                  <c:v>-1.5050216666666341E-4</c:v>
                </c:pt>
                <c:pt idx="8">
                  <c:v>2.5460883333375262E-4</c:v>
                </c:pt>
                <c:pt idx="9">
                  <c:v>4.3952674999999178E-4</c:v>
                </c:pt>
                <c:pt idx="10">
                  <c:v>-3.3568016666751799E-4</c:v>
                </c:pt>
                <c:pt idx="11">
                  <c:v>4.7343133333452298E-4</c:v>
                </c:pt>
                <c:pt idx="12">
                  <c:v>5.0879583332497091E-5</c:v>
                </c:pt>
                <c:pt idx="13">
                  <c:v>-2.8922983333257157E-4</c:v>
                </c:pt>
                <c:pt idx="14">
                  <c:v>-1.969925833330555E-4</c:v>
                </c:pt>
                <c:pt idx="15">
                  <c:v>1.1869374999995411E-4</c:v>
                </c:pt>
                <c:pt idx="16">
                  <c:v>-2.8420725000111169E-4</c:v>
                </c:pt>
                <c:pt idx="17">
                  <c:v>4.0049983332993139E-4</c:v>
                </c:pt>
                <c:pt idx="18">
                  <c:v>-1.689350000009249E-4</c:v>
                </c:pt>
                <c:pt idx="19">
                  <c:v>4.1470449999786441E-4</c:v>
                </c:pt>
                <c:pt idx="20">
                  <c:v>-0.65950558941666704</c:v>
                </c:pt>
                <c:pt idx="21">
                  <c:v>-1.9332697007499999</c:v>
                </c:pt>
                <c:pt idx="22">
                  <c:v>-1.3380052029166669</c:v>
                </c:pt>
                <c:pt idx="23">
                  <c:v>-0.41993052633333022</c:v>
                </c:pt>
                <c:pt idx="24">
                  <c:v>-0.59310016399999688</c:v>
                </c:pt>
                <c:pt idx="25">
                  <c:v>-0.45264671166666992</c:v>
                </c:pt>
                <c:pt idx="26">
                  <c:v>-0.57187205125000018</c:v>
                </c:pt>
                <c:pt idx="27">
                  <c:v>-1.7087456213333341</c:v>
                </c:pt>
                <c:pt idx="28">
                  <c:v>-1.80549743325</c:v>
                </c:pt>
                <c:pt idx="29">
                  <c:v>-1.6983495248333349</c:v>
                </c:pt>
                <c:pt idx="30">
                  <c:v>-1.472615642583333</c:v>
                </c:pt>
                <c:pt idx="31">
                  <c:v>-1.3824429086666681</c:v>
                </c:pt>
                <c:pt idx="32">
                  <c:v>-1.3031250358333319</c:v>
                </c:pt>
                <c:pt idx="33">
                  <c:v>-0.94653221224999995</c:v>
                </c:pt>
                <c:pt idx="34">
                  <c:v>-0.8238829962499995</c:v>
                </c:pt>
                <c:pt idx="35">
                  <c:v>-0.57038917991666704</c:v>
                </c:pt>
                <c:pt idx="36">
                  <c:v>-0.30542641750000049</c:v>
                </c:pt>
                <c:pt idx="37">
                  <c:v>-6.7898704166670099E-3</c:v>
                </c:pt>
                <c:pt idx="38">
                  <c:v>-2.6113399999921899E-4</c:v>
                </c:pt>
                <c:pt idx="39">
                  <c:v>-2.0730108333300021E-4</c:v>
                </c:pt>
                <c:pt idx="40">
                  <c:v>4.9463983333342121E-4</c:v>
                </c:pt>
                <c:pt idx="41">
                  <c:v>3.2599999999993751E-4</c:v>
                </c:pt>
                <c:pt idx="42">
                  <c:v>2.2366666666695509E-4</c:v>
                </c:pt>
                <c:pt idx="43">
                  <c:v>-1.073333333330151E-4</c:v>
                </c:pt>
                <c:pt idx="44">
                  <c:v>-3.3666666666587458E-4</c:v>
                </c:pt>
                <c:pt idx="45">
                  <c:v>2.3000000000006349E-4</c:v>
                </c:pt>
                <c:pt idx="46">
                  <c:v>1.6333333330065258E-5</c:v>
                </c:pt>
                <c:pt idx="47">
                  <c:v>0.72825733333333298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E7-4FAD-A412-675D9D2D5709}"/>
            </c:ext>
          </c:extLst>
        </c:ser>
        <c:ser>
          <c:idx val="7"/>
          <c:order val="7"/>
          <c:tx>
            <c:v>BES_TR1_one410_B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Net_kW!$J$2:$J$49</c:f>
              <c:numCache>
                <c:formatCode>#,##0.000</c:formatCode>
                <c:ptCount val="48"/>
                <c:pt idx="0">
                  <c:v>1.683333333329928E-4</c:v>
                </c:pt>
                <c:pt idx="1">
                  <c:v>-3.5966666666660541E-4</c:v>
                </c:pt>
                <c:pt idx="2">
                  <c:v>0</c:v>
                </c:pt>
                <c:pt idx="3">
                  <c:v>-1.913333333329881E-4</c:v>
                </c:pt>
                <c:pt idx="4">
                  <c:v>0</c:v>
                </c:pt>
                <c:pt idx="5">
                  <c:v>-1.043333333329982E-4</c:v>
                </c:pt>
                <c:pt idx="6">
                  <c:v>-8.6999999999975985E-5</c:v>
                </c:pt>
                <c:pt idx="7">
                  <c:v>-4.8916883333326167E-4</c:v>
                </c:pt>
                <c:pt idx="8">
                  <c:v>1.25942166666726E-4</c:v>
                </c:pt>
                <c:pt idx="9">
                  <c:v>2.401934166669992E-4</c:v>
                </c:pt>
                <c:pt idx="10">
                  <c:v>-1.7401350000051391E-4</c:v>
                </c:pt>
                <c:pt idx="11">
                  <c:v>3.2243133333448298E-4</c:v>
                </c:pt>
                <c:pt idx="12">
                  <c:v>-2.8912041666750993E-4</c:v>
                </c:pt>
                <c:pt idx="13">
                  <c:v>6.5103500000440739E-5</c:v>
                </c:pt>
                <c:pt idx="14">
                  <c:v>-2.2465925000003659E-4</c:v>
                </c:pt>
                <c:pt idx="15">
                  <c:v>1.813604166669425E-4</c:v>
                </c:pt>
                <c:pt idx="16">
                  <c:v>4.0545941666514368E-4</c:v>
                </c:pt>
                <c:pt idx="17">
                  <c:v>4.678331666669866E-4</c:v>
                </c:pt>
                <c:pt idx="18">
                  <c:v>-1.086491268333335</c:v>
                </c:pt>
                <c:pt idx="19">
                  <c:v>-1.1456826288333319</c:v>
                </c:pt>
                <c:pt idx="20">
                  <c:v>-1.039499256083334</c:v>
                </c:pt>
                <c:pt idx="21">
                  <c:v>-1.4692297007499999</c:v>
                </c:pt>
                <c:pt idx="22">
                  <c:v>-0.71359120291666689</c:v>
                </c:pt>
                <c:pt idx="23">
                  <c:v>-1.932568526333333</c:v>
                </c:pt>
                <c:pt idx="24">
                  <c:v>-1.933157830666667</c:v>
                </c:pt>
                <c:pt idx="25">
                  <c:v>-2.0542793783333329</c:v>
                </c:pt>
                <c:pt idx="26">
                  <c:v>-2.03472405125</c:v>
                </c:pt>
                <c:pt idx="27">
                  <c:v>-1.820178621333334</c:v>
                </c:pt>
                <c:pt idx="28">
                  <c:v>-1.7588717665833331</c:v>
                </c:pt>
                <c:pt idx="29">
                  <c:v>-1.742286191500001</c:v>
                </c:pt>
                <c:pt idx="30">
                  <c:v>-1.6234553092499999</c:v>
                </c:pt>
                <c:pt idx="31">
                  <c:v>-1.3506389086666679</c:v>
                </c:pt>
                <c:pt idx="32">
                  <c:v>-1.179417369166665</c:v>
                </c:pt>
                <c:pt idx="33">
                  <c:v>-1.0680485455833331</c:v>
                </c:pt>
                <c:pt idx="34">
                  <c:v>-0.69824466291666543</c:v>
                </c:pt>
                <c:pt idx="35">
                  <c:v>-0.44875984658333301</c:v>
                </c:pt>
                <c:pt idx="36">
                  <c:v>-0.1636080841666675</c:v>
                </c:pt>
                <c:pt idx="37">
                  <c:v>-0.18915920375</c:v>
                </c:pt>
                <c:pt idx="38">
                  <c:v>3.301993333338013E-4</c:v>
                </c:pt>
                <c:pt idx="39">
                  <c:v>2.5032249999994149E-5</c:v>
                </c:pt>
                <c:pt idx="40">
                  <c:v>2.9097316666631961E-4</c:v>
                </c:pt>
                <c:pt idx="41">
                  <c:v>1.6533333333330211E-4</c:v>
                </c:pt>
                <c:pt idx="42">
                  <c:v>4.0433333333300681E-4</c:v>
                </c:pt>
                <c:pt idx="43">
                  <c:v>-5.900000000003125E-5</c:v>
                </c:pt>
                <c:pt idx="44">
                  <c:v>1.7166666666669489E-4</c:v>
                </c:pt>
                <c:pt idx="45">
                  <c:v>-3.629999999999467E-4</c:v>
                </c:pt>
                <c:pt idx="46">
                  <c:v>0</c:v>
                </c:pt>
                <c:pt idx="47">
                  <c:v>-1.3833333333301831E-4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E7-4FAD-A412-675D9D2D5709}"/>
            </c:ext>
          </c:extLst>
        </c:ser>
        <c:ser>
          <c:idx val="8"/>
          <c:order val="8"/>
          <c:tx>
            <c:v>BES_TR1_one50_A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Net_kW!$K$2:$K$49</c:f>
              <c:numCache>
                <c:formatCode>#,##0.000</c:formatCode>
                <c:ptCount val="48"/>
                <c:pt idx="0">
                  <c:v>-2.8333333332963839E-5</c:v>
                </c:pt>
                <c:pt idx="1">
                  <c:v>-4.5133333333291498E-4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2.7959826666666693E-4</c:v>
                </c:pt>
                <c:pt idx="8">
                  <c:v>1.327537333333968E-4</c:v>
                </c:pt>
                <c:pt idx="9">
                  <c:v>-2.8677860000000249E-4</c:v>
                </c:pt>
                <c:pt idx="10">
                  <c:v>3.2985586666597899E-4</c:v>
                </c:pt>
                <c:pt idx="11">
                  <c:v>7.1011733334014338E-5</c:v>
                </c:pt>
                <c:pt idx="12">
                  <c:v>2.8430366666598589E-4</c:v>
                </c:pt>
                <c:pt idx="13">
                  <c:v>3.7674946666399478E-4</c:v>
                </c:pt>
                <c:pt idx="14">
                  <c:v>2.02726000000375E-5</c:v>
                </c:pt>
                <c:pt idx="15">
                  <c:v>3.9962166666707161E-4</c:v>
                </c:pt>
                <c:pt idx="16">
                  <c:v>-1.3036580000114209E-4</c:v>
                </c:pt>
                <c:pt idx="17">
                  <c:v>1.8453320000011431E-4</c:v>
                </c:pt>
                <c:pt idx="18">
                  <c:v>2.2231866666588829E-4</c:v>
                </c:pt>
                <c:pt idx="19">
                  <c:v>3.1829693333418341E-4</c:v>
                </c:pt>
                <c:pt idx="20">
                  <c:v>-0.8424944715333339</c:v>
                </c:pt>
                <c:pt idx="21">
                  <c:v>-1.5866525605999999</c:v>
                </c:pt>
                <c:pt idx="22">
                  <c:v>-1.637488962333334</c:v>
                </c:pt>
                <c:pt idx="23">
                  <c:v>-1.6597833544</c:v>
                </c:pt>
                <c:pt idx="24">
                  <c:v>-1.6662406645333341</c:v>
                </c:pt>
                <c:pt idx="25">
                  <c:v>-1.654160836</c:v>
                </c:pt>
                <c:pt idx="26">
                  <c:v>-1.6135792410000001</c:v>
                </c:pt>
                <c:pt idx="27">
                  <c:v>-1.5516671637333339</c:v>
                </c:pt>
                <c:pt idx="28">
                  <c:v>-1.4777539466</c:v>
                </c:pt>
                <c:pt idx="29">
                  <c:v>-1.3840950865333339</c:v>
                </c:pt>
                <c:pt idx="30">
                  <c:v>-1.2845642474000001</c:v>
                </c:pt>
                <c:pt idx="31">
                  <c:v>-1.164791926933334</c:v>
                </c:pt>
                <c:pt idx="32">
                  <c:v>-1.029900028666666</c:v>
                </c:pt>
                <c:pt idx="33">
                  <c:v>-0.69552563646666599</c:v>
                </c:pt>
                <c:pt idx="34">
                  <c:v>-0.54309586366666596</c:v>
                </c:pt>
                <c:pt idx="35">
                  <c:v>-0.29967814393333297</c:v>
                </c:pt>
                <c:pt idx="36">
                  <c:v>-5.9724134000000977E-2</c:v>
                </c:pt>
                <c:pt idx="37">
                  <c:v>-8.602966666704237E-5</c:v>
                </c:pt>
                <c:pt idx="38">
                  <c:v>-9.5040533333597133E-5</c:v>
                </c:pt>
                <c:pt idx="39">
                  <c:v>4.0335913333300327E-4</c:v>
                </c:pt>
                <c:pt idx="40">
                  <c:v>1.8511186666664289E-4</c:v>
                </c:pt>
                <c:pt idx="41">
                  <c:v>8.4999999999890719E-5</c:v>
                </c:pt>
                <c:pt idx="42">
                  <c:v>2.8766666666701912E-4</c:v>
                </c:pt>
                <c:pt idx="43">
                  <c:v>-4.4033333333404201E-4</c:v>
                </c:pt>
                <c:pt idx="44">
                  <c:v>-4.5633333333305881E-4</c:v>
                </c:pt>
                <c:pt idx="45">
                  <c:v>3.7433333333392049E-4</c:v>
                </c:pt>
                <c:pt idx="46">
                  <c:v>2.8666666666699042E-4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E7-4FAD-A412-675D9D2D5709}"/>
            </c:ext>
          </c:extLst>
        </c:ser>
        <c:ser>
          <c:idx val="9"/>
          <c:order val="9"/>
          <c:tx>
            <c:v>BES_TR1_one423_B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Net_kW!$L$2:$L$49</c:f>
              <c:numCache>
                <c:formatCode>#,##0.000</c:formatCode>
                <c:ptCount val="48"/>
                <c:pt idx="0">
                  <c:v>2.8833333333300182E-4</c:v>
                </c:pt>
                <c:pt idx="1">
                  <c:v>1.16000000000005E-4</c:v>
                </c:pt>
                <c:pt idx="2">
                  <c:v>0</c:v>
                </c:pt>
                <c:pt idx="3">
                  <c:v>-1.073333333330151E-4</c:v>
                </c:pt>
                <c:pt idx="4">
                  <c:v>0</c:v>
                </c:pt>
                <c:pt idx="5">
                  <c:v>0</c:v>
                </c:pt>
                <c:pt idx="6">
                  <c:v>-6.6666666670156527E-6</c:v>
                </c:pt>
                <c:pt idx="7">
                  <c:v>1.7893159999997349E-4</c:v>
                </c:pt>
                <c:pt idx="8">
                  <c:v>1.3275373333339341E-4</c:v>
                </c:pt>
                <c:pt idx="9">
                  <c:v>-3.9411193333302452E-4</c:v>
                </c:pt>
                <c:pt idx="10">
                  <c:v>3.2985586666600669E-4</c:v>
                </c:pt>
                <c:pt idx="11">
                  <c:v>7.1011733334014338E-5</c:v>
                </c:pt>
                <c:pt idx="12">
                  <c:v>-6.6629666667095133E-5</c:v>
                </c:pt>
                <c:pt idx="13">
                  <c:v>1.294161333339483E-4</c:v>
                </c:pt>
                <c:pt idx="14">
                  <c:v>-2.347273999999677E-4</c:v>
                </c:pt>
                <c:pt idx="15">
                  <c:v>4.2795500000003539E-4</c:v>
                </c:pt>
                <c:pt idx="16">
                  <c:v>-1.6469913333416741E-4</c:v>
                </c:pt>
                <c:pt idx="17">
                  <c:v>1.8053320000011031E-4</c:v>
                </c:pt>
                <c:pt idx="18">
                  <c:v>-5.5014666667130292E-5</c:v>
                </c:pt>
                <c:pt idx="19">
                  <c:v>-9.1413369733332805E-2</c:v>
                </c:pt>
                <c:pt idx="20">
                  <c:v>-1.064515471533334</c:v>
                </c:pt>
                <c:pt idx="21">
                  <c:v>-1.4431068939333329</c:v>
                </c:pt>
                <c:pt idx="22">
                  <c:v>-1.370578962333334</c:v>
                </c:pt>
                <c:pt idx="23">
                  <c:v>-1.141044687733334</c:v>
                </c:pt>
                <c:pt idx="24">
                  <c:v>-1.424738664533334</c:v>
                </c:pt>
                <c:pt idx="25">
                  <c:v>-1.3835218359999999</c:v>
                </c:pt>
                <c:pt idx="26">
                  <c:v>-1.341459574333334</c:v>
                </c:pt>
                <c:pt idx="27">
                  <c:v>-1.3484781637333341</c:v>
                </c:pt>
                <c:pt idx="28">
                  <c:v>-0.73764427993333292</c:v>
                </c:pt>
                <c:pt idx="29">
                  <c:v>-0.33542941986666408</c:v>
                </c:pt>
                <c:pt idx="30">
                  <c:v>-1.2785642474000001</c:v>
                </c:pt>
                <c:pt idx="31">
                  <c:v>-0.99489926026666697</c:v>
                </c:pt>
                <c:pt idx="32">
                  <c:v>-0.83477002866666594</c:v>
                </c:pt>
                <c:pt idx="33">
                  <c:v>-0.61755296979999896</c:v>
                </c:pt>
                <c:pt idx="34">
                  <c:v>-0.552162863666666</c:v>
                </c:pt>
                <c:pt idx="35">
                  <c:v>-0.55197481059999998</c:v>
                </c:pt>
                <c:pt idx="36">
                  <c:v>-3.7280066666801198E-4</c:v>
                </c:pt>
                <c:pt idx="37">
                  <c:v>-2.0902966666603429E-4</c:v>
                </c:pt>
                <c:pt idx="38">
                  <c:v>-1.8037386666663879E-4</c:v>
                </c:pt>
                <c:pt idx="39">
                  <c:v>3.7435913333294662E-4</c:v>
                </c:pt>
                <c:pt idx="40">
                  <c:v>3.6377853333657839E-4</c:v>
                </c:pt>
                <c:pt idx="41">
                  <c:v>-4.0999999999957737E-5</c:v>
                </c:pt>
                <c:pt idx="42">
                  <c:v>1.173333333340798E-4</c:v>
                </c:pt>
                <c:pt idx="43">
                  <c:v>-3.4466666667021251E-4</c:v>
                </c:pt>
                <c:pt idx="44">
                  <c:v>7.0413333333330108E-3</c:v>
                </c:pt>
                <c:pt idx="45">
                  <c:v>0.67263899999999999</c:v>
                </c:pt>
                <c:pt idx="46">
                  <c:v>6.0999999999999999E-2</c:v>
                </c:pt>
                <c:pt idx="47">
                  <c:v>0.16529533333333299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DE7-4FAD-A412-675D9D2D5709}"/>
            </c:ext>
          </c:extLst>
        </c:ser>
        <c:ser>
          <c:idx val="10"/>
          <c:order val="10"/>
          <c:tx>
            <c:v>BES_TR1_one469_A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Net_kW!$M$2:$M$49</c:f>
              <c:numCache>
                <c:formatCode>#,##0.000</c:formatCode>
                <c:ptCount val="48"/>
                <c:pt idx="0">
                  <c:v>3.7799999999998951E-4</c:v>
                </c:pt>
                <c:pt idx="1">
                  <c:v>3.0900000000000372E-4</c:v>
                </c:pt>
                <c:pt idx="2">
                  <c:v>2.6999999999999252E-4</c:v>
                </c:pt>
                <c:pt idx="3">
                  <c:v>-1.4333333333299561E-4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4.1939739999999342E-4</c:v>
                </c:pt>
                <c:pt idx="8">
                  <c:v>-3.0086939999990348E-4</c:v>
                </c:pt>
                <c:pt idx="9">
                  <c:v>-4.3016790000000032E-4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-2.4704870000080698E-4</c:v>
                </c:pt>
                <c:pt idx="17">
                  <c:v>-1.5614882001999999</c:v>
                </c:pt>
                <c:pt idx="18">
                  <c:v>-2.0304315220000011</c:v>
                </c:pt>
                <c:pt idx="19">
                  <c:v>-2.1787875545999991</c:v>
                </c:pt>
                <c:pt idx="20">
                  <c:v>-2.3050067073000009</c:v>
                </c:pt>
                <c:pt idx="21">
                  <c:v>-2.245494174233333</c:v>
                </c:pt>
                <c:pt idx="22">
                  <c:v>-1.7804851101666681</c:v>
                </c:pt>
                <c:pt idx="23">
                  <c:v>-2.0025950315999999</c:v>
                </c:pt>
                <c:pt idx="24">
                  <c:v>-2.4211943301333338</c:v>
                </c:pt>
                <c:pt idx="25">
                  <c:v>-2.4957412539999999</c:v>
                </c:pt>
                <c:pt idx="26">
                  <c:v>-2.456543694833333</c:v>
                </c:pt>
                <c:pt idx="27">
                  <c:v>-2.3640007456000012</c:v>
                </c:pt>
                <c:pt idx="28">
                  <c:v>-2.1176509199</c:v>
                </c:pt>
                <c:pt idx="29">
                  <c:v>-0.884247296466671</c:v>
                </c:pt>
                <c:pt idx="30">
                  <c:v>-1.9189658710999999</c:v>
                </c:pt>
                <c:pt idx="31">
                  <c:v>-1.753801223733334</c:v>
                </c:pt>
                <c:pt idx="32">
                  <c:v>-1.5813500429999989</c:v>
                </c:pt>
                <c:pt idx="33">
                  <c:v>-1.337053454699999</c:v>
                </c:pt>
                <c:pt idx="34">
                  <c:v>-1.108408795499999</c:v>
                </c:pt>
                <c:pt idx="35">
                  <c:v>-0.87346221590000006</c:v>
                </c:pt>
                <c:pt idx="36">
                  <c:v>-0.646187701000001</c:v>
                </c:pt>
                <c:pt idx="37">
                  <c:v>-0.39880304449999998</c:v>
                </c:pt>
                <c:pt idx="38">
                  <c:v>-0.1536638941333329</c:v>
                </c:pt>
                <c:pt idx="39">
                  <c:v>-4.8562796666701269E-4</c:v>
                </c:pt>
                <c:pt idx="40">
                  <c:v>-4.8949886666704856E-4</c:v>
                </c:pt>
                <c:pt idx="41">
                  <c:v>7.7666666666975637E-5</c:v>
                </c:pt>
                <c:pt idx="42">
                  <c:v>1.6999999999989249E-5</c:v>
                </c:pt>
                <c:pt idx="43">
                  <c:v>-1.7800000000001151E-4</c:v>
                </c:pt>
                <c:pt idx="44">
                  <c:v>3.0766666666703912E-4</c:v>
                </c:pt>
                <c:pt idx="45">
                  <c:v>-3.0200000000002453E-4</c:v>
                </c:pt>
                <c:pt idx="46">
                  <c:v>-4.009999999999847E-4</c:v>
                </c:pt>
                <c:pt idx="47">
                  <c:v>-2.666666666595319E-5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E7-4FAD-A412-675D9D2D5709}"/>
            </c:ext>
          </c:extLst>
        </c:ser>
        <c:ser>
          <c:idx val="11"/>
          <c:order val="11"/>
          <c:tx>
            <c:v>BES_TR1_one480_A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Net_kW!$N$2:$N$49</c:f>
              <c:numCache>
                <c:formatCode>#,##0.000</c:formatCode>
                <c:ptCount val="48"/>
                <c:pt idx="0">
                  <c:v>1.349999999999407E-4</c:v>
                </c:pt>
                <c:pt idx="1">
                  <c:v>2.246666666659847E-4</c:v>
                </c:pt>
                <c:pt idx="2">
                  <c:v>4.7133333333304611E-4</c:v>
                </c:pt>
                <c:pt idx="3">
                  <c:v>-2.4200000000007549E-4</c:v>
                </c:pt>
                <c:pt idx="4">
                  <c:v>-2.4266666666697409E-4</c:v>
                </c:pt>
                <c:pt idx="5">
                  <c:v>-5.666666666698239E-5</c:v>
                </c:pt>
                <c:pt idx="6">
                  <c:v>0</c:v>
                </c:pt>
                <c:pt idx="7">
                  <c:v>0.14104059826666671</c:v>
                </c:pt>
                <c:pt idx="8">
                  <c:v>0.20634042040000039</c:v>
                </c:pt>
                <c:pt idx="9">
                  <c:v>-1.9244526666660491E-4</c:v>
                </c:pt>
                <c:pt idx="10">
                  <c:v>4.9570189199999018E-2</c:v>
                </c:pt>
                <c:pt idx="11">
                  <c:v>-2.9498826666601857E-4</c:v>
                </c:pt>
                <c:pt idx="12">
                  <c:v>-2.4462966666710662E-4</c:v>
                </c:pt>
                <c:pt idx="13">
                  <c:v>3.8341613333403579E-4</c:v>
                </c:pt>
                <c:pt idx="14">
                  <c:v>3.0593926666699911E-4</c:v>
                </c:pt>
                <c:pt idx="15">
                  <c:v>6.9121666667060211E-5</c:v>
                </c:pt>
                <c:pt idx="16">
                  <c:v>4.9946753333285354E-4</c:v>
                </c:pt>
                <c:pt idx="17">
                  <c:v>2.7453320000003778E-4</c:v>
                </c:pt>
                <c:pt idx="18">
                  <c:v>-2.8768133333501028E-4</c:v>
                </c:pt>
                <c:pt idx="19">
                  <c:v>-3.9936973333287717E-4</c:v>
                </c:pt>
                <c:pt idx="20">
                  <c:v>7.0528466665997769E-5</c:v>
                </c:pt>
                <c:pt idx="21">
                  <c:v>-5.3220227266670077E-2</c:v>
                </c:pt>
                <c:pt idx="22">
                  <c:v>-0.65107262900000396</c:v>
                </c:pt>
                <c:pt idx="23">
                  <c:v>-1.1176296877333329</c:v>
                </c:pt>
                <c:pt idx="24">
                  <c:v>-1.1444796645333339</c:v>
                </c:pt>
                <c:pt idx="25">
                  <c:v>-1.622864836</c:v>
                </c:pt>
                <c:pt idx="26">
                  <c:v>-1.438692574333333</c:v>
                </c:pt>
                <c:pt idx="27">
                  <c:v>-1.4295851637333341</c:v>
                </c:pt>
                <c:pt idx="28">
                  <c:v>-1.4847539465999999</c:v>
                </c:pt>
                <c:pt idx="29">
                  <c:v>-1.296835753200001</c:v>
                </c:pt>
                <c:pt idx="30">
                  <c:v>-1.202175580733333</c:v>
                </c:pt>
                <c:pt idx="31">
                  <c:v>-0.897604593600001</c:v>
                </c:pt>
                <c:pt idx="32">
                  <c:v>-0.7769511953333329</c:v>
                </c:pt>
                <c:pt idx="33">
                  <c:v>-0.5650628031333329</c:v>
                </c:pt>
                <c:pt idx="34">
                  <c:v>-0.45680086366666589</c:v>
                </c:pt>
                <c:pt idx="35">
                  <c:v>1.6852273332967899E-4</c:v>
                </c:pt>
                <c:pt idx="36">
                  <c:v>-2.8380066666701398E-4</c:v>
                </c:pt>
                <c:pt idx="37">
                  <c:v>-2.2402966666001939E-4</c:v>
                </c:pt>
                <c:pt idx="38">
                  <c:v>-4.8170719999951478E-4</c:v>
                </c:pt>
                <c:pt idx="39">
                  <c:v>4.0235913333303008E-4</c:v>
                </c:pt>
                <c:pt idx="40">
                  <c:v>2.2111866666674199E-5</c:v>
                </c:pt>
                <c:pt idx="41">
                  <c:v>-2.5699999999995171E-4</c:v>
                </c:pt>
                <c:pt idx="42">
                  <c:v>-4.1466666666700741E-4</c:v>
                </c:pt>
                <c:pt idx="43">
                  <c:v>-3.7566666666705162E-4</c:v>
                </c:pt>
                <c:pt idx="44">
                  <c:v>-2.076666666669946E-4</c:v>
                </c:pt>
                <c:pt idx="45">
                  <c:v>1.763333333330008E-4</c:v>
                </c:pt>
                <c:pt idx="46">
                  <c:v>-3.7333333332945078E-5</c:v>
                </c:pt>
                <c:pt idx="47">
                  <c:v>0.59633499999999995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DE7-4FAD-A412-675D9D2D5709}"/>
            </c:ext>
          </c:extLst>
        </c:ser>
        <c:ser>
          <c:idx val="12"/>
          <c:order val="12"/>
          <c:tx>
            <c:v>BES_TR1_one482_B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Net_kW!$O$2:$O$49</c:f>
              <c:numCache>
                <c:formatCode>#,##0.000</c:formatCode>
                <c:ptCount val="48"/>
                <c:pt idx="0">
                  <c:v>2.6000000000001022E-4</c:v>
                </c:pt>
                <c:pt idx="1">
                  <c:v>0</c:v>
                </c:pt>
                <c:pt idx="2">
                  <c:v>-4.4000000000000977E-4</c:v>
                </c:pt>
                <c:pt idx="3">
                  <c:v>-3.999999999999837E-4</c:v>
                </c:pt>
                <c:pt idx="4">
                  <c:v>0</c:v>
                </c:pt>
                <c:pt idx="5">
                  <c:v>-3.999999999999837E-4</c:v>
                </c:pt>
                <c:pt idx="6">
                  <c:v>-4.4000000000000977E-4</c:v>
                </c:pt>
                <c:pt idx="7">
                  <c:v>-4.4080346666667408E-4</c:v>
                </c:pt>
                <c:pt idx="8">
                  <c:v>4.2550746666678019E-4</c:v>
                </c:pt>
                <c:pt idx="9">
                  <c:v>4.2644279999998203E-4</c:v>
                </c:pt>
                <c:pt idx="10">
                  <c:v>1.3971173333204859E-4</c:v>
                </c:pt>
                <c:pt idx="11">
                  <c:v>-1.7797653333184729E-4</c:v>
                </c:pt>
                <c:pt idx="12">
                  <c:v>8.140733333206196E-5</c:v>
                </c:pt>
                <c:pt idx="13">
                  <c:v>-3.8116773333185527E-4</c:v>
                </c:pt>
                <c:pt idx="14">
                  <c:v>-1.5945480000012499E-4</c:v>
                </c:pt>
                <c:pt idx="15">
                  <c:v>-0.2823380900000001</c:v>
                </c:pt>
                <c:pt idx="16">
                  <c:v>-2.002990198266668</c:v>
                </c:pt>
                <c:pt idx="17">
                  <c:v>-1.1752690669333301</c:v>
                </c:pt>
                <c:pt idx="18">
                  <c:v>-1.965642029333335</c:v>
                </c:pt>
                <c:pt idx="19">
                  <c:v>-1.675096739466662</c:v>
                </c:pt>
                <c:pt idx="20">
                  <c:v>-2.9489689430666681</c:v>
                </c:pt>
                <c:pt idx="21">
                  <c:v>-3.2323051212</c:v>
                </c:pt>
                <c:pt idx="22">
                  <c:v>-3.1783779246666679</c:v>
                </c:pt>
                <c:pt idx="23">
                  <c:v>-3.3630067088</c:v>
                </c:pt>
                <c:pt idx="24">
                  <c:v>-3.383701329066668</c:v>
                </c:pt>
                <c:pt idx="25">
                  <c:v>-3.203941672</c:v>
                </c:pt>
                <c:pt idx="26">
                  <c:v>-3.2861584819999998</c:v>
                </c:pt>
                <c:pt idx="27">
                  <c:v>-3.1181659941333351</c:v>
                </c:pt>
                <c:pt idx="28">
                  <c:v>-2.9521086265333332</c:v>
                </c:pt>
                <c:pt idx="29">
                  <c:v>-2.8195597730666679</c:v>
                </c:pt>
                <c:pt idx="30">
                  <c:v>-2.4593224947999999</c:v>
                </c:pt>
                <c:pt idx="31">
                  <c:v>-2.353674820533334</c:v>
                </c:pt>
                <c:pt idx="32">
                  <c:v>-2.071144223999998</c:v>
                </c:pt>
                <c:pt idx="33">
                  <c:v>-1.566663206266665</c:v>
                </c:pt>
                <c:pt idx="34">
                  <c:v>-1.4761637273333319</c:v>
                </c:pt>
                <c:pt idx="35">
                  <c:v>-0.9268096212000001</c:v>
                </c:pt>
                <c:pt idx="36">
                  <c:v>-0.52979493466666794</c:v>
                </c:pt>
                <c:pt idx="37">
                  <c:v>-0.42057072600000001</c:v>
                </c:pt>
                <c:pt idx="38">
                  <c:v>-0.1835440810666662</c:v>
                </c:pt>
                <c:pt idx="39">
                  <c:v>3.1671826666701541E-4</c:v>
                </c:pt>
                <c:pt idx="40">
                  <c:v>3.9155706666732509E-4</c:v>
                </c:pt>
                <c:pt idx="41">
                  <c:v>3.2600000000004847E-4</c:v>
                </c:pt>
                <c:pt idx="42">
                  <c:v>2.9999999999974492E-5</c:v>
                </c:pt>
                <c:pt idx="43">
                  <c:v>-4.376666666670026E-4</c:v>
                </c:pt>
                <c:pt idx="44">
                  <c:v>3.7399999999998551E-4</c:v>
                </c:pt>
                <c:pt idx="45">
                  <c:v>-2.6099999999995571E-4</c:v>
                </c:pt>
                <c:pt idx="46">
                  <c:v>-2.8333333333302457E-4</c:v>
                </c:pt>
                <c:pt idx="47">
                  <c:v>2.9833333333301182E-4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DE7-4FAD-A412-675D9D2D5709}"/>
            </c:ext>
          </c:extLst>
        </c:ser>
        <c:ser>
          <c:idx val="13"/>
          <c:order val="13"/>
          <c:tx>
            <c:v>BES_TR1_one521_C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Net_kW!$P$2:$P$49</c:f>
              <c:numCache>
                <c:formatCode>#,##0.000</c:formatCode>
                <c:ptCount val="48"/>
                <c:pt idx="0">
                  <c:v>-2.4533333333301433E-4</c:v>
                </c:pt>
                <c:pt idx="1">
                  <c:v>5.0666666666712712E-5</c:v>
                </c:pt>
                <c:pt idx="2">
                  <c:v>1.7466666666698941E-4</c:v>
                </c:pt>
                <c:pt idx="3">
                  <c:v>0</c:v>
                </c:pt>
                <c:pt idx="4">
                  <c:v>2.9466666666669311E-4</c:v>
                </c:pt>
                <c:pt idx="5">
                  <c:v>-8.2000000000026496E-5</c:v>
                </c:pt>
                <c:pt idx="6">
                  <c:v>1.266666666669553E-5</c:v>
                </c:pt>
                <c:pt idx="7">
                  <c:v>-2.0383549999969391E-4</c:v>
                </c:pt>
                <c:pt idx="8">
                  <c:v>-8.4057833333251591E-5</c:v>
                </c:pt>
                <c:pt idx="9">
                  <c:v>-3.4473250000027773E-5</c:v>
                </c:pt>
                <c:pt idx="10">
                  <c:v>-1.5521350000051451E-4</c:v>
                </c:pt>
                <c:pt idx="11">
                  <c:v>-7.8368666665773468E-5</c:v>
                </c:pt>
                <c:pt idx="12">
                  <c:v>9.8879583332489585E-5</c:v>
                </c:pt>
                <c:pt idx="13">
                  <c:v>-4.1089649999948019E-4</c:v>
                </c:pt>
                <c:pt idx="14">
                  <c:v>1.013407500000119E-4</c:v>
                </c:pt>
                <c:pt idx="15">
                  <c:v>2.2402708333302271E-4</c:v>
                </c:pt>
                <c:pt idx="16">
                  <c:v>-1.7454058333488121E-4</c:v>
                </c:pt>
                <c:pt idx="17">
                  <c:v>1.6183316666684711E-4</c:v>
                </c:pt>
                <c:pt idx="18">
                  <c:v>-0.70502226833333514</c:v>
                </c:pt>
                <c:pt idx="19">
                  <c:v>-1.6333836288333321</c:v>
                </c:pt>
                <c:pt idx="20">
                  <c:v>-1.809670256083334</c:v>
                </c:pt>
                <c:pt idx="21">
                  <c:v>-1.4307740340833339</c:v>
                </c:pt>
                <c:pt idx="22">
                  <c:v>-1.894031869583334</c:v>
                </c:pt>
                <c:pt idx="23">
                  <c:v>-1.857617526333333</c:v>
                </c:pt>
                <c:pt idx="24">
                  <c:v>-1.108895830666667</c:v>
                </c:pt>
                <c:pt idx="25">
                  <c:v>-1.4611771116666661</c:v>
                </c:pt>
                <c:pt idx="26">
                  <c:v>-1.9000213845833329</c:v>
                </c:pt>
                <c:pt idx="27">
                  <c:v>-1.829637288</c:v>
                </c:pt>
                <c:pt idx="28">
                  <c:v>-1.79761643325</c:v>
                </c:pt>
                <c:pt idx="29">
                  <c:v>-1.5884581915000009</c:v>
                </c:pt>
                <c:pt idx="30">
                  <c:v>-1.4789119759166669</c:v>
                </c:pt>
                <c:pt idx="31">
                  <c:v>-1.3061592420000021</c:v>
                </c:pt>
                <c:pt idx="32">
                  <c:v>-0.85353703583333207</c:v>
                </c:pt>
                <c:pt idx="33">
                  <c:v>-0.98989254558333295</c:v>
                </c:pt>
                <c:pt idx="34">
                  <c:v>-0.7417413295833325</c:v>
                </c:pt>
                <c:pt idx="35">
                  <c:v>-0.56417584658333297</c:v>
                </c:pt>
                <c:pt idx="36">
                  <c:v>-0.37495975083333449</c:v>
                </c:pt>
                <c:pt idx="37">
                  <c:v>-1.9970537083333021E-2</c:v>
                </c:pt>
                <c:pt idx="38">
                  <c:v>4.1199333333824528E-5</c:v>
                </c:pt>
                <c:pt idx="39">
                  <c:v>1.1369891666699471E-4</c:v>
                </c:pt>
                <c:pt idx="40">
                  <c:v>-2.1569349999966961E-4</c:v>
                </c:pt>
                <c:pt idx="41">
                  <c:v>0</c:v>
                </c:pt>
                <c:pt idx="42">
                  <c:v>2.7866666666698242E-4</c:v>
                </c:pt>
                <c:pt idx="43">
                  <c:v>0</c:v>
                </c:pt>
                <c:pt idx="44">
                  <c:v>-5.3333333332988841E-5</c:v>
                </c:pt>
                <c:pt idx="45">
                  <c:v>1.2666666666699691E-4</c:v>
                </c:pt>
                <c:pt idx="46">
                  <c:v>9.8666666667024394E-5</c:v>
                </c:pt>
                <c:pt idx="47">
                  <c:v>2.533333333339105E-5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DE7-4FAD-A412-675D9D2D5709}"/>
            </c:ext>
          </c:extLst>
        </c:ser>
        <c:ser>
          <c:idx val="14"/>
          <c:order val="14"/>
          <c:tx>
            <c:v>BES_TR1_one528_C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Net_kW!$Q$2:$Q$49</c:f>
              <c:numCache>
                <c:formatCode>#,##0.000</c:formatCode>
                <c:ptCount val="48"/>
                <c:pt idx="0">
                  <c:v>-2.296666666669889E-4</c:v>
                </c:pt>
                <c:pt idx="1">
                  <c:v>-2.296666666669889E-4</c:v>
                </c:pt>
                <c:pt idx="2">
                  <c:v>2.293333333329983E-4</c:v>
                </c:pt>
                <c:pt idx="3">
                  <c:v>4.6933333333300242E-4</c:v>
                </c:pt>
                <c:pt idx="4">
                  <c:v>7.1333333333006843E-5</c:v>
                </c:pt>
                <c:pt idx="5">
                  <c:v>0</c:v>
                </c:pt>
                <c:pt idx="6">
                  <c:v>-1.326666666666976E-4</c:v>
                </c:pt>
                <c:pt idx="7">
                  <c:v>-4.7716883333367988E-4</c:v>
                </c:pt>
                <c:pt idx="8">
                  <c:v>-8.4057833333251591E-5</c:v>
                </c:pt>
                <c:pt idx="9">
                  <c:v>3.1486008333300042E-4</c:v>
                </c:pt>
                <c:pt idx="10">
                  <c:v>-4.7034683333410649E-4</c:v>
                </c:pt>
                <c:pt idx="11">
                  <c:v>3.3876466666749039E-4</c:v>
                </c:pt>
                <c:pt idx="12">
                  <c:v>3.0621291666588219E-4</c:v>
                </c:pt>
                <c:pt idx="13">
                  <c:v>-4.7563166665431922E-5</c:v>
                </c:pt>
                <c:pt idx="14">
                  <c:v>-2.2465925000003659E-4</c:v>
                </c:pt>
                <c:pt idx="15">
                  <c:v>-1.413062499999729E-4</c:v>
                </c:pt>
                <c:pt idx="16">
                  <c:v>3.3479274999903552E-4</c:v>
                </c:pt>
                <c:pt idx="17">
                  <c:v>-0.36840683350000009</c:v>
                </c:pt>
                <c:pt idx="18">
                  <c:v>-1.359740868333335</c:v>
                </c:pt>
                <c:pt idx="19">
                  <c:v>-1.388864962166666</c:v>
                </c:pt>
                <c:pt idx="20">
                  <c:v>-1.3015722560833329</c:v>
                </c:pt>
                <c:pt idx="21">
                  <c:v>-0.51035470075</c:v>
                </c:pt>
                <c:pt idx="22">
                  <c:v>-1.64898453625</c:v>
                </c:pt>
                <c:pt idx="23">
                  <c:v>-2.0404912596666671</c:v>
                </c:pt>
                <c:pt idx="24">
                  <c:v>-1.5704421639999999</c:v>
                </c:pt>
                <c:pt idx="25">
                  <c:v>-0.74290031166666992</c:v>
                </c:pt>
                <c:pt idx="26">
                  <c:v>-1.1888840512500001</c:v>
                </c:pt>
                <c:pt idx="27">
                  <c:v>-1.9041092879999999</c:v>
                </c:pt>
                <c:pt idx="28">
                  <c:v>-1.1791007665833331</c:v>
                </c:pt>
                <c:pt idx="29">
                  <c:v>-1.0051518581666681</c:v>
                </c:pt>
                <c:pt idx="30">
                  <c:v>-1.0885219759166671</c:v>
                </c:pt>
                <c:pt idx="31">
                  <c:v>-1.4022705753333351</c:v>
                </c:pt>
                <c:pt idx="32">
                  <c:v>-0.91294970249999907</c:v>
                </c:pt>
                <c:pt idx="33">
                  <c:v>-3.8108212250002937E-2</c:v>
                </c:pt>
                <c:pt idx="34">
                  <c:v>-0.20144566291666541</c:v>
                </c:pt>
                <c:pt idx="35">
                  <c:v>-0.56868284658333301</c:v>
                </c:pt>
                <c:pt idx="36">
                  <c:v>-8.8750833334459017E-5</c:v>
                </c:pt>
                <c:pt idx="37">
                  <c:v>-0.16691050374999999</c:v>
                </c:pt>
                <c:pt idx="38">
                  <c:v>4.3259933333372752E-4</c:v>
                </c:pt>
                <c:pt idx="39">
                  <c:v>2.5569891666699101E-4</c:v>
                </c:pt>
                <c:pt idx="40">
                  <c:v>2.2973166663220471E-5</c:v>
                </c:pt>
                <c:pt idx="41">
                  <c:v>-3.9599999999995189E-4</c:v>
                </c:pt>
                <c:pt idx="42">
                  <c:v>-2.5133333333293711E-4</c:v>
                </c:pt>
                <c:pt idx="43">
                  <c:v>-3.0033333333001622E-4</c:v>
                </c:pt>
                <c:pt idx="44">
                  <c:v>3.8266666666703092E-4</c:v>
                </c:pt>
                <c:pt idx="45">
                  <c:v>-4.8599999999998639E-4</c:v>
                </c:pt>
                <c:pt idx="46">
                  <c:v>0.37325233333333302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DE7-4FAD-A412-675D9D2D5709}"/>
            </c:ext>
          </c:extLst>
        </c:ser>
        <c:ser>
          <c:idx val="15"/>
          <c:order val="15"/>
          <c:tx>
            <c:v>BES_TR1_one537_A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Net_kW!$R$2:$R$49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-6.9388939039072284E-18</c:v>
                </c:pt>
                <c:pt idx="2">
                  <c:v>1.3733333333329489E-4</c:v>
                </c:pt>
                <c:pt idx="3">
                  <c:v>3.7333333333300361E-4</c:v>
                </c:pt>
                <c:pt idx="4">
                  <c:v>-6.9388939039072284E-18</c:v>
                </c:pt>
                <c:pt idx="5">
                  <c:v>2.7466666666670081E-4</c:v>
                </c:pt>
                <c:pt idx="6">
                  <c:v>2.3599999999998619E-4</c:v>
                </c:pt>
                <c:pt idx="7">
                  <c:v>-1.505021666666703E-4</c:v>
                </c:pt>
                <c:pt idx="8">
                  <c:v>4.2660883333373029E-4</c:v>
                </c:pt>
                <c:pt idx="9">
                  <c:v>-3.584732500000049E-4</c:v>
                </c:pt>
                <c:pt idx="10">
                  <c:v>-3.3768016666751999E-4</c:v>
                </c:pt>
                <c:pt idx="11">
                  <c:v>-1.5056866666546259E-4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3.4400741666673618E-4</c:v>
                </c:pt>
                <c:pt idx="15">
                  <c:v>-1.7810624999992089E-4</c:v>
                </c:pt>
                <c:pt idx="16">
                  <c:v>-5.0273916668119867E-5</c:v>
                </c:pt>
                <c:pt idx="17">
                  <c:v>-1.581668333300798E-4</c:v>
                </c:pt>
                <c:pt idx="18">
                  <c:v>-0.31315926833333507</c:v>
                </c:pt>
                <c:pt idx="19">
                  <c:v>-1.4572896288333319</c:v>
                </c:pt>
                <c:pt idx="20">
                  <c:v>-1.781464256083334</c:v>
                </c:pt>
                <c:pt idx="21">
                  <c:v>-2.0070657007500001</c:v>
                </c:pt>
                <c:pt idx="22">
                  <c:v>-1.9041005362500001</c:v>
                </c:pt>
                <c:pt idx="23">
                  <c:v>-2.0984791930000002</c:v>
                </c:pt>
                <c:pt idx="24">
                  <c:v>-2.1065508306666669</c:v>
                </c:pt>
                <c:pt idx="25">
                  <c:v>-1.709413311666667</c:v>
                </c:pt>
                <c:pt idx="26">
                  <c:v>-1.97948325125</c:v>
                </c:pt>
                <c:pt idx="27">
                  <c:v>-1.9050439546666671</c:v>
                </c:pt>
                <c:pt idx="28">
                  <c:v>-1.6512704332499999</c:v>
                </c:pt>
                <c:pt idx="29">
                  <c:v>-1.5901195248333351</c:v>
                </c:pt>
                <c:pt idx="30">
                  <c:v>-1.3307089759166659</c:v>
                </c:pt>
                <c:pt idx="31">
                  <c:v>-1.028636908666668</c:v>
                </c:pt>
                <c:pt idx="32">
                  <c:v>-1.123746702499999</c:v>
                </c:pt>
                <c:pt idx="33">
                  <c:v>-0.36808921225000002</c:v>
                </c:pt>
                <c:pt idx="34">
                  <c:v>-1.3199625000259729E-4</c:v>
                </c:pt>
                <c:pt idx="35">
                  <c:v>4.5215341666599018E-4</c:v>
                </c:pt>
                <c:pt idx="36">
                  <c:v>-4.7841750000045079E-4</c:v>
                </c:pt>
                <c:pt idx="37">
                  <c:v>-4.9453708333302426E-4</c:v>
                </c:pt>
                <c:pt idx="38">
                  <c:v>-2.2646733333320229E-4</c:v>
                </c:pt>
                <c:pt idx="39">
                  <c:v>4.1103224999999849E-4</c:v>
                </c:pt>
                <c:pt idx="40">
                  <c:v>-2.4469349999972628E-4</c:v>
                </c:pt>
                <c:pt idx="41">
                  <c:v>2.2133333333007599E-4</c:v>
                </c:pt>
                <c:pt idx="42">
                  <c:v>-1.3499999999999621E-4</c:v>
                </c:pt>
                <c:pt idx="43">
                  <c:v>2.1000000000048761E-5</c:v>
                </c:pt>
                <c:pt idx="44">
                  <c:v>3.7433333333303231E-4</c:v>
                </c:pt>
                <c:pt idx="45">
                  <c:v>0.72793233333333407</c:v>
                </c:pt>
                <c:pt idx="46">
                  <c:v>0.18880466666666701</c:v>
                </c:pt>
                <c:pt idx="47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DE7-4FAD-A412-675D9D2D5709}"/>
            </c:ext>
          </c:extLst>
        </c:ser>
        <c:ser>
          <c:idx val="16"/>
          <c:order val="16"/>
          <c:tx>
            <c:v>BES_TR1_one61_A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Net_kW!$S$2:$S$49</c:f>
              <c:numCache>
                <c:formatCode>#,##0.000</c:formatCode>
                <c:ptCount val="48"/>
                <c:pt idx="0">
                  <c:v>-1.7200000000000551E-4</c:v>
                </c:pt>
                <c:pt idx="1">
                  <c:v>-2.8733333333302857E-4</c:v>
                </c:pt>
                <c:pt idx="2">
                  <c:v>0</c:v>
                </c:pt>
                <c:pt idx="3">
                  <c:v>0</c:v>
                </c:pt>
                <c:pt idx="4">
                  <c:v>-8.0333333333015844E-5</c:v>
                </c:pt>
                <c:pt idx="5">
                  <c:v>-3.7900000000000428E-4</c:v>
                </c:pt>
                <c:pt idx="6">
                  <c:v>1.3333333333298561E-4</c:v>
                </c:pt>
                <c:pt idx="7">
                  <c:v>-4.474701333336828E-4</c:v>
                </c:pt>
                <c:pt idx="8">
                  <c:v>-3.2049253333320428E-4</c:v>
                </c:pt>
                <c:pt idx="9">
                  <c:v>4.1310946666699161E-4</c:v>
                </c:pt>
                <c:pt idx="10">
                  <c:v>2.1371173333195601E-4</c:v>
                </c:pt>
                <c:pt idx="11">
                  <c:v>4.2202346666808671E-4</c:v>
                </c:pt>
                <c:pt idx="12">
                  <c:v>3.0707399999896362E-4</c:v>
                </c:pt>
                <c:pt idx="13">
                  <c:v>2.9383226666790391E-4</c:v>
                </c:pt>
                <c:pt idx="14">
                  <c:v>2.692118666667298E-4</c:v>
                </c:pt>
                <c:pt idx="15">
                  <c:v>-3.1408999999982262E-4</c:v>
                </c:pt>
                <c:pt idx="16">
                  <c:v>-1.8065993982666679</c:v>
                </c:pt>
                <c:pt idx="17">
                  <c:v>-1.16839226693333</c:v>
                </c:pt>
                <c:pt idx="18">
                  <c:v>-2.2139480293333338</c:v>
                </c:pt>
                <c:pt idx="19">
                  <c:v>-2.7795687394666651</c:v>
                </c:pt>
                <c:pt idx="20">
                  <c:v>-2.9602829430666682</c:v>
                </c:pt>
                <c:pt idx="21">
                  <c:v>-3.1338384545333331</c:v>
                </c:pt>
                <c:pt idx="22">
                  <c:v>-2.9898389246666679</c:v>
                </c:pt>
                <c:pt idx="23">
                  <c:v>-2.1467053754666701</c:v>
                </c:pt>
                <c:pt idx="24">
                  <c:v>-3.2432813290666682</c:v>
                </c:pt>
                <c:pt idx="25">
                  <c:v>-3.0552343386666672</c:v>
                </c:pt>
                <c:pt idx="26">
                  <c:v>-2.9786998153333331</c:v>
                </c:pt>
                <c:pt idx="27">
                  <c:v>-2.9291906608000011</c:v>
                </c:pt>
                <c:pt idx="28">
                  <c:v>-2.4170285598666661</c:v>
                </c:pt>
                <c:pt idx="29">
                  <c:v>-2.6959603730666681</c:v>
                </c:pt>
                <c:pt idx="30">
                  <c:v>-2.5130234948000001</c:v>
                </c:pt>
                <c:pt idx="31">
                  <c:v>-2.1773321872000011</c:v>
                </c:pt>
                <c:pt idx="32">
                  <c:v>-1.999862390666665</c:v>
                </c:pt>
                <c:pt idx="33">
                  <c:v>-1.579133606266665</c:v>
                </c:pt>
                <c:pt idx="34">
                  <c:v>-1.3802817273333321</c:v>
                </c:pt>
                <c:pt idx="35">
                  <c:v>-1.0679629545333329</c:v>
                </c:pt>
                <c:pt idx="36">
                  <c:v>-0.63629960133333507</c:v>
                </c:pt>
                <c:pt idx="37">
                  <c:v>-0.28369639266666702</c:v>
                </c:pt>
                <c:pt idx="38">
                  <c:v>-0.2005257477333332</c:v>
                </c:pt>
                <c:pt idx="39">
                  <c:v>7.605160000001554E-5</c:v>
                </c:pt>
                <c:pt idx="40">
                  <c:v>3.4155706666338942E-4</c:v>
                </c:pt>
                <c:pt idx="41">
                  <c:v>1.8266666666699741E-4</c:v>
                </c:pt>
                <c:pt idx="42">
                  <c:v>-3.4633333333300431E-4</c:v>
                </c:pt>
                <c:pt idx="43">
                  <c:v>-4.2800000000009503E-4</c:v>
                </c:pt>
                <c:pt idx="44">
                  <c:v>4.4866666666698579E-4</c:v>
                </c:pt>
                <c:pt idx="45">
                  <c:v>-1.5166666666699411E-4</c:v>
                </c:pt>
                <c:pt idx="46">
                  <c:v>4.399999999999959E-4</c:v>
                </c:pt>
                <c:pt idx="47">
                  <c:v>-2.3333333329933481E-6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DE7-4FAD-A412-675D9D2D5709}"/>
            </c:ext>
          </c:extLst>
        </c:ser>
        <c:ser>
          <c:idx val="17"/>
          <c:order val="17"/>
          <c:tx>
            <c:v>BES_TR1_one544_A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Net_kW!$T$2:$T$49</c:f>
              <c:numCache>
                <c:formatCode>#,##0.000</c:formatCode>
                <c:ptCount val="48"/>
                <c:pt idx="0">
                  <c:v>3.7599999999998751E-4</c:v>
                </c:pt>
                <c:pt idx="1">
                  <c:v>1.2533333333300531E-4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3.2399999999999102E-4</c:v>
                </c:pt>
                <c:pt idx="6">
                  <c:v>4.6799999999996839E-4</c:v>
                </c:pt>
                <c:pt idx="7">
                  <c:v>-4.4080346666666709E-4</c:v>
                </c:pt>
                <c:pt idx="8">
                  <c:v>3.6417413333378329E-4</c:v>
                </c:pt>
                <c:pt idx="9">
                  <c:v>1.197761333329994E-4</c:v>
                </c:pt>
                <c:pt idx="10">
                  <c:v>-4.9362160000132604E-4</c:v>
                </c:pt>
                <c:pt idx="11">
                  <c:v>8.7356800001048285E-5</c:v>
                </c:pt>
                <c:pt idx="12">
                  <c:v>8.140733333206196E-5</c:v>
                </c:pt>
                <c:pt idx="13">
                  <c:v>1.483226666798565E-5</c:v>
                </c:pt>
                <c:pt idx="14">
                  <c:v>4.098785333332966E-4</c:v>
                </c:pt>
                <c:pt idx="15">
                  <c:v>-3.0208999999992159E-4</c:v>
                </c:pt>
                <c:pt idx="16">
                  <c:v>-1.2523573982666669</c:v>
                </c:pt>
                <c:pt idx="17">
                  <c:v>-2.3867476002666672</c:v>
                </c:pt>
                <c:pt idx="18">
                  <c:v>-2.5260590293333349</c:v>
                </c:pt>
                <c:pt idx="19">
                  <c:v>-2.8417780727999991</c:v>
                </c:pt>
                <c:pt idx="20">
                  <c:v>-2.3043772764000008</c:v>
                </c:pt>
                <c:pt idx="21">
                  <c:v>-1.8118741212</c:v>
                </c:pt>
                <c:pt idx="22">
                  <c:v>-1.6870452579999979</c:v>
                </c:pt>
                <c:pt idx="23">
                  <c:v>-3.0996573754666659</c:v>
                </c:pt>
                <c:pt idx="24">
                  <c:v>-3.1322826624000011</c:v>
                </c:pt>
                <c:pt idx="25">
                  <c:v>-2.666508672</c:v>
                </c:pt>
                <c:pt idx="26">
                  <c:v>-3.0437264819999998</c:v>
                </c:pt>
                <c:pt idx="27">
                  <c:v>-2.7989176608000008</c:v>
                </c:pt>
                <c:pt idx="28">
                  <c:v>-2.5581308932</c:v>
                </c:pt>
                <c:pt idx="29">
                  <c:v>-2.5265551730666682</c:v>
                </c:pt>
                <c:pt idx="30">
                  <c:v>-2.389633161466667</c:v>
                </c:pt>
                <c:pt idx="31">
                  <c:v>-1.664399187200001</c:v>
                </c:pt>
                <c:pt idx="32">
                  <c:v>-1.5355230573333321</c:v>
                </c:pt>
                <c:pt idx="33">
                  <c:v>-1.1809556062666651</c:v>
                </c:pt>
                <c:pt idx="34">
                  <c:v>-1.2596647273333319</c:v>
                </c:pt>
                <c:pt idx="35">
                  <c:v>-0.93255362120000007</c:v>
                </c:pt>
                <c:pt idx="36">
                  <c:v>-0.59905426800000106</c:v>
                </c:pt>
                <c:pt idx="37">
                  <c:v>-0.22654872600000001</c:v>
                </c:pt>
                <c:pt idx="38">
                  <c:v>-0.1763840810666662</c:v>
                </c:pt>
                <c:pt idx="39">
                  <c:v>1.0205160000009709E-4</c:v>
                </c:pt>
                <c:pt idx="40">
                  <c:v>-2.8177626666670008E-4</c:v>
                </c:pt>
                <c:pt idx="41">
                  <c:v>4.9666666666697834E-4</c:v>
                </c:pt>
                <c:pt idx="42">
                  <c:v>-3.8600000000010848E-4</c:v>
                </c:pt>
                <c:pt idx="43">
                  <c:v>1.5733333333389779E-4</c:v>
                </c:pt>
                <c:pt idx="44">
                  <c:v>-2.1499999999996519E-4</c:v>
                </c:pt>
                <c:pt idx="45">
                  <c:v>1.1333333333030099E-5</c:v>
                </c:pt>
                <c:pt idx="46">
                  <c:v>3.9966666666590989E-4</c:v>
                </c:pt>
                <c:pt idx="47">
                  <c:v>1.3099999999999221E-4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DE7-4FAD-A412-675D9D2D5709}"/>
            </c:ext>
          </c:extLst>
        </c:ser>
        <c:ser>
          <c:idx val="18"/>
          <c:order val="18"/>
          <c:tx>
            <c:v>BES_TR1_one552_B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Net_kW!$U$2:$U$49</c:f>
              <c:numCache>
                <c:formatCode>#,##0.000</c:formatCode>
                <c:ptCount val="48"/>
                <c:pt idx="0">
                  <c:v>7.2000000000002617E-5</c:v>
                </c:pt>
                <c:pt idx="1">
                  <c:v>0</c:v>
                </c:pt>
                <c:pt idx="2">
                  <c:v>-3.6500000000000421E-4</c:v>
                </c:pt>
                <c:pt idx="3">
                  <c:v>-4.3699999999990968E-4</c:v>
                </c:pt>
                <c:pt idx="4">
                  <c:v>4.8966666666670072E-4</c:v>
                </c:pt>
                <c:pt idx="5">
                  <c:v>-1.960666666669941E-4</c:v>
                </c:pt>
                <c:pt idx="6">
                  <c:v>-3.6500000000000421E-4</c:v>
                </c:pt>
                <c:pt idx="7">
                  <c:v>-1.0703033333329949E-5</c:v>
                </c:pt>
                <c:pt idx="8">
                  <c:v>-3.1968096666654122E-4</c:v>
                </c:pt>
                <c:pt idx="9">
                  <c:v>4.9813745000001908E-4</c:v>
                </c:pt>
                <c:pt idx="10">
                  <c:v>3.8124776666553778E-4</c:v>
                </c:pt>
                <c:pt idx="11">
                  <c:v>1.8270533334474589E-5</c:v>
                </c:pt>
                <c:pt idx="12">
                  <c:v>7.1231416665429315E-5</c:v>
                </c:pt>
                <c:pt idx="13">
                  <c:v>1.7447823333494039E-4</c:v>
                </c:pt>
                <c:pt idx="14">
                  <c:v>2.8547705000003809E-4</c:v>
                </c:pt>
                <c:pt idx="15">
                  <c:v>-1.6282874999995481E-4</c:v>
                </c:pt>
                <c:pt idx="16">
                  <c:v>-1.198725223483335</c:v>
                </c:pt>
                <c:pt idx="17">
                  <c:v>-2.1425335669000001</c:v>
                </c:pt>
                <c:pt idx="18">
                  <c:v>-2.2403414423333352</c:v>
                </c:pt>
                <c:pt idx="19">
                  <c:v>-2.5485854803666652</c:v>
                </c:pt>
                <c:pt idx="20">
                  <c:v>-2.5878728251833341</c:v>
                </c:pt>
                <c:pt idx="21">
                  <c:v>-2.7733289810500001</c:v>
                </c:pt>
                <c:pt idx="22">
                  <c:v>-2.8547836840833338</c:v>
                </c:pt>
                <c:pt idx="23">
                  <c:v>-2.8487448702</c:v>
                </c:pt>
                <c:pt idx="24">
                  <c:v>-2.965171162933335</c:v>
                </c:pt>
                <c:pt idx="25">
                  <c:v>-2.8614324629999999</c:v>
                </c:pt>
                <c:pt idx="26">
                  <c:v>-2.7904146717499998</c:v>
                </c:pt>
                <c:pt idx="27">
                  <c:v>-2.7646675365333349</c:v>
                </c:pt>
                <c:pt idx="28">
                  <c:v>-2.6052834065499999</c:v>
                </c:pt>
                <c:pt idx="29">
                  <c:v>-2.3362544014333348</c:v>
                </c:pt>
                <c:pt idx="30">
                  <c:v>-2.2972374329499998</c:v>
                </c:pt>
                <c:pt idx="31">
                  <c:v>-1.9374558721333339</c:v>
                </c:pt>
                <c:pt idx="32">
                  <c:v>-1.836557050166665</c:v>
                </c:pt>
                <c:pt idx="33">
                  <c:v>-1.566562363816665</c:v>
                </c:pt>
                <c:pt idx="34">
                  <c:v>-1.262265261416665</c:v>
                </c:pt>
                <c:pt idx="35">
                  <c:v>-0.89805291855000013</c:v>
                </c:pt>
                <c:pt idx="36">
                  <c:v>-0.76055231783333443</c:v>
                </c:pt>
                <c:pt idx="37">
                  <c:v>-0.50490688524999994</c:v>
                </c:pt>
                <c:pt idx="38">
                  <c:v>-0.27528065426666648</c:v>
                </c:pt>
                <c:pt idx="39">
                  <c:v>4.3304515000000538E-4</c:v>
                </c:pt>
                <c:pt idx="40">
                  <c:v>-2.9330423333334341E-4</c:v>
                </c:pt>
                <c:pt idx="41">
                  <c:v>2.9599999999999071E-4</c:v>
                </c:pt>
                <c:pt idx="42">
                  <c:v>-3.6983333333298618E-4</c:v>
                </c:pt>
                <c:pt idx="43">
                  <c:v>-2.5433333333302333E-4</c:v>
                </c:pt>
                <c:pt idx="44">
                  <c:v>3.956666666669606E-4</c:v>
                </c:pt>
                <c:pt idx="45">
                  <c:v>2.4566666666697712E-4</c:v>
                </c:pt>
                <c:pt idx="46">
                  <c:v>2.6666666666697042E-4</c:v>
                </c:pt>
                <c:pt idx="47">
                  <c:v>9.666666667018653E-6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DE7-4FAD-A412-675D9D2D5709}"/>
            </c:ext>
          </c:extLst>
        </c:ser>
        <c:ser>
          <c:idx val="19"/>
          <c:order val="19"/>
          <c:tx>
            <c:v>BES_TR1_one559_C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Net_kW!$V$2:$V$49</c:f>
              <c:numCache>
                <c:formatCode>#,##0.000</c:formatCode>
                <c:ptCount val="48"/>
                <c:pt idx="0">
                  <c:v>-1.2433333333300431E-4</c:v>
                </c:pt>
                <c:pt idx="1">
                  <c:v>-2.5666666666993021E-5</c:v>
                </c:pt>
                <c:pt idx="2">
                  <c:v>3.6133333333304712E-4</c:v>
                </c:pt>
                <c:pt idx="3">
                  <c:v>-1.1666666666701461E-5</c:v>
                </c:pt>
                <c:pt idx="4">
                  <c:v>-3.2500000000001972E-4</c:v>
                </c:pt>
                <c:pt idx="5">
                  <c:v>-2.9899999999999372E-4</c:v>
                </c:pt>
                <c:pt idx="6">
                  <c:v>-4.5000000000003371E-5</c:v>
                </c:pt>
                <c:pt idx="7">
                  <c:v>4.5426493333367007E-4</c:v>
                </c:pt>
                <c:pt idx="8">
                  <c:v>1.3808706666640361E-4</c:v>
                </c:pt>
                <c:pt idx="9">
                  <c:v>-1.6677859999999871E-4</c:v>
                </c:pt>
                <c:pt idx="10">
                  <c:v>-4.7681080000100412E-4</c:v>
                </c:pt>
                <c:pt idx="11">
                  <c:v>7.1011733334014338E-5</c:v>
                </c:pt>
                <c:pt idx="12">
                  <c:v>2.837033333297212E-5</c:v>
                </c:pt>
                <c:pt idx="13">
                  <c:v>4.5441613333402348E-4</c:v>
                </c:pt>
                <c:pt idx="14">
                  <c:v>2.02726000000375E-5</c:v>
                </c:pt>
                <c:pt idx="15">
                  <c:v>2.96216666670901E-5</c:v>
                </c:pt>
                <c:pt idx="16">
                  <c:v>-1.9403246666704901E-4</c:v>
                </c:pt>
                <c:pt idx="17">
                  <c:v>1.2119986666708769E-4</c:v>
                </c:pt>
                <c:pt idx="18">
                  <c:v>-4.8768133333412442E-4</c:v>
                </c:pt>
                <c:pt idx="19">
                  <c:v>2.429693333402122E-5</c:v>
                </c:pt>
                <c:pt idx="20">
                  <c:v>4.4561799996040152E-5</c:v>
                </c:pt>
                <c:pt idx="21">
                  <c:v>3.407727333328836E-4</c:v>
                </c:pt>
                <c:pt idx="22">
                  <c:v>2.117043333329516E-4</c:v>
                </c:pt>
                <c:pt idx="23">
                  <c:v>-1.516860021066667</c:v>
                </c:pt>
                <c:pt idx="24">
                  <c:v>-1.533460664533334</c:v>
                </c:pt>
                <c:pt idx="25">
                  <c:v>-1.520904502666667</c:v>
                </c:pt>
                <c:pt idx="26">
                  <c:v>-1.464776574333333</c:v>
                </c:pt>
                <c:pt idx="27">
                  <c:v>-1.397118497066667</c:v>
                </c:pt>
                <c:pt idx="28">
                  <c:v>-0.80527694659999993</c:v>
                </c:pt>
                <c:pt idx="29">
                  <c:v>-0.83878375320000109</c:v>
                </c:pt>
                <c:pt idx="30">
                  <c:v>-1.0346355807333329</c:v>
                </c:pt>
                <c:pt idx="31">
                  <c:v>-0.69203559360000089</c:v>
                </c:pt>
                <c:pt idx="32">
                  <c:v>-0.33038702866666592</c:v>
                </c:pt>
                <c:pt idx="33">
                  <c:v>7.1030200003929789E-5</c:v>
                </c:pt>
                <c:pt idx="34">
                  <c:v>2.8813633333302918E-4</c:v>
                </c:pt>
                <c:pt idx="35">
                  <c:v>-2.2143933333051979E-5</c:v>
                </c:pt>
                <c:pt idx="36">
                  <c:v>1.141993333330024E-4</c:v>
                </c:pt>
                <c:pt idx="37">
                  <c:v>-2.0136299999995441E-4</c:v>
                </c:pt>
                <c:pt idx="38">
                  <c:v>-1.720405333332925E-4</c:v>
                </c:pt>
                <c:pt idx="39">
                  <c:v>3.6359133333996319E-5</c:v>
                </c:pt>
                <c:pt idx="40">
                  <c:v>-4.5588813333330419E-4</c:v>
                </c:pt>
                <c:pt idx="41">
                  <c:v>4.910000000000192E-4</c:v>
                </c:pt>
                <c:pt idx="42">
                  <c:v>2.2366666666695509E-4</c:v>
                </c:pt>
                <c:pt idx="43">
                  <c:v>-1.3933333333330381E-4</c:v>
                </c:pt>
                <c:pt idx="44">
                  <c:v>-3.1066666666701442E-4</c:v>
                </c:pt>
                <c:pt idx="45">
                  <c:v>-3.3333333333299131E-4</c:v>
                </c:pt>
                <c:pt idx="46">
                  <c:v>1.346666666669771E-4</c:v>
                </c:pt>
                <c:pt idx="47">
                  <c:v>-5.0999999999995493E-5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DE7-4FAD-A412-675D9D2D5709}"/>
            </c:ext>
          </c:extLst>
        </c:ser>
        <c:ser>
          <c:idx val="20"/>
          <c:order val="20"/>
          <c:tx>
            <c:v>BES_TR1_one560_C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Net_kW!$W$2:$W$49</c:f>
              <c:numCache>
                <c:formatCode>#,##0.000</c:formatCode>
                <c:ptCount val="48"/>
                <c:pt idx="0">
                  <c:v>1.983333333329951E-4</c:v>
                </c:pt>
                <c:pt idx="1">
                  <c:v>3.1666666666985137E-5</c:v>
                </c:pt>
                <c:pt idx="2">
                  <c:v>-3.4533333333330168E-4</c:v>
                </c:pt>
                <c:pt idx="3">
                  <c:v>7.4000000000018495E-5</c:v>
                </c:pt>
                <c:pt idx="4">
                  <c:v>7.0000000000070006E-6</c:v>
                </c:pt>
                <c:pt idx="5">
                  <c:v>-3.3833333333299631E-4</c:v>
                </c:pt>
                <c:pt idx="6">
                  <c:v>3.0133333333298712E-4</c:v>
                </c:pt>
                <c:pt idx="7">
                  <c:v>4.5119653333333681E-4</c:v>
                </c:pt>
                <c:pt idx="8">
                  <c:v>-4.6049253333321771E-4</c:v>
                </c:pt>
                <c:pt idx="9">
                  <c:v>-3.0589053333299199E-4</c:v>
                </c:pt>
                <c:pt idx="10">
                  <c:v>4.4704506666498611E-4</c:v>
                </c:pt>
                <c:pt idx="11">
                  <c:v>2.863568000009975E-4</c:v>
                </c:pt>
                <c:pt idx="12">
                  <c:v>4.3140733333180142E-4</c:v>
                </c:pt>
                <c:pt idx="13">
                  <c:v>1.5083226666812169E-4</c:v>
                </c:pt>
                <c:pt idx="14">
                  <c:v>3.0621186666679462E-4</c:v>
                </c:pt>
                <c:pt idx="15">
                  <c:v>-4.9089999999862848E-5</c:v>
                </c:pt>
                <c:pt idx="16">
                  <c:v>-1.273329398266668</c:v>
                </c:pt>
                <c:pt idx="17">
                  <c:v>-2.1291079335999998</c:v>
                </c:pt>
                <c:pt idx="18">
                  <c:v>-2.3937196960000011</c:v>
                </c:pt>
                <c:pt idx="19">
                  <c:v>-2.0150557061333312</c:v>
                </c:pt>
                <c:pt idx="20">
                  <c:v>-2.892000243066668</c:v>
                </c:pt>
                <c:pt idx="21">
                  <c:v>-2.6351431212</c:v>
                </c:pt>
                <c:pt idx="22">
                  <c:v>-1.9729445913333381</c:v>
                </c:pt>
                <c:pt idx="23">
                  <c:v>-0.91852730879999989</c:v>
                </c:pt>
                <c:pt idx="24">
                  <c:v>-2.9841843290666681</c:v>
                </c:pt>
                <c:pt idx="25">
                  <c:v>-3.2652443386666672</c:v>
                </c:pt>
                <c:pt idx="26">
                  <c:v>-3.2102664820000002</c:v>
                </c:pt>
                <c:pt idx="27">
                  <c:v>-3.0032286608000009</c:v>
                </c:pt>
                <c:pt idx="28">
                  <c:v>-2.7584782265333332</c:v>
                </c:pt>
                <c:pt idx="29">
                  <c:v>-1.4123076730666679</c:v>
                </c:pt>
                <c:pt idx="30">
                  <c:v>-2.4162624948000002</c:v>
                </c:pt>
                <c:pt idx="31">
                  <c:v>-2.2089331872000009</c:v>
                </c:pt>
                <c:pt idx="32">
                  <c:v>-1.2457903906666661</c:v>
                </c:pt>
                <c:pt idx="33">
                  <c:v>-1.3641359395999979</c:v>
                </c:pt>
                <c:pt idx="34">
                  <c:v>-1.1893560606666651</c:v>
                </c:pt>
                <c:pt idx="35">
                  <c:v>-0.98302862120000012</c:v>
                </c:pt>
                <c:pt idx="36">
                  <c:v>-0.73092493466666797</c:v>
                </c:pt>
                <c:pt idx="37">
                  <c:v>-0.38859705933333311</c:v>
                </c:pt>
                <c:pt idx="38">
                  <c:v>-0.24289574773333319</c:v>
                </c:pt>
                <c:pt idx="39">
                  <c:v>-2.7628173333293932E-4</c:v>
                </c:pt>
                <c:pt idx="40">
                  <c:v>-4.3844293333361589E-4</c:v>
                </c:pt>
                <c:pt idx="41">
                  <c:v>1.9199999999997E-4</c:v>
                </c:pt>
                <c:pt idx="42">
                  <c:v>-2.8800000000001052E-4</c:v>
                </c:pt>
                <c:pt idx="43">
                  <c:v>-4.0666666666699941E-4</c:v>
                </c:pt>
                <c:pt idx="44">
                  <c:v>-3.4533333333330168E-4</c:v>
                </c:pt>
                <c:pt idx="45">
                  <c:v>4.7600000000003201E-4</c:v>
                </c:pt>
                <c:pt idx="46">
                  <c:v>-2.8233333333302363E-4</c:v>
                </c:pt>
                <c:pt idx="47">
                  <c:v>-1.7999999999997182E-5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DE7-4FAD-A412-675D9D2D5709}"/>
            </c:ext>
          </c:extLst>
        </c:ser>
        <c:ser>
          <c:idx val="21"/>
          <c:order val="21"/>
          <c:tx>
            <c:v>BES_TR1_one605_A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Net_kW!$X$2:$X$49</c:f>
              <c:numCache>
                <c:formatCode>#,##0.000</c:formatCode>
                <c:ptCount val="48"/>
                <c:pt idx="0">
                  <c:v>0</c:v>
                </c:pt>
                <c:pt idx="1">
                  <c:v>-2.4666666666697812E-4</c:v>
                </c:pt>
                <c:pt idx="2">
                  <c:v>2.7000000000000629E-4</c:v>
                </c:pt>
                <c:pt idx="3">
                  <c:v>0</c:v>
                </c:pt>
                <c:pt idx="4">
                  <c:v>-3.3833333333299631E-4</c:v>
                </c:pt>
                <c:pt idx="5">
                  <c:v>3.616666666667046E-4</c:v>
                </c:pt>
                <c:pt idx="6">
                  <c:v>0</c:v>
                </c:pt>
                <c:pt idx="7">
                  <c:v>4.8449783333333329E-4</c:v>
                </c:pt>
                <c:pt idx="8">
                  <c:v>4.6660883333374259E-4</c:v>
                </c:pt>
                <c:pt idx="9">
                  <c:v>2.2526749999987609E-5</c:v>
                </c:pt>
                <c:pt idx="10">
                  <c:v>3.8898649999910551E-4</c:v>
                </c:pt>
                <c:pt idx="11">
                  <c:v>2.4543133333460032E-4</c:v>
                </c:pt>
                <c:pt idx="12">
                  <c:v>4.142129166657682E-4</c:v>
                </c:pt>
                <c:pt idx="13">
                  <c:v>-1.3489649999909309E-4</c:v>
                </c:pt>
                <c:pt idx="14">
                  <c:v>3.4534074999992281E-4</c:v>
                </c:pt>
                <c:pt idx="15">
                  <c:v>-3.6797291666657023E-4</c:v>
                </c:pt>
                <c:pt idx="16">
                  <c:v>-3.5754058333808958E-4</c:v>
                </c:pt>
                <c:pt idx="17">
                  <c:v>1.3183316666709471E-4</c:v>
                </c:pt>
                <c:pt idx="18">
                  <c:v>-0.83917760166666799</c:v>
                </c:pt>
                <c:pt idx="19">
                  <c:v>-1.5945362954999991</c:v>
                </c:pt>
                <c:pt idx="20">
                  <c:v>-1.777655589416667</c:v>
                </c:pt>
                <c:pt idx="21">
                  <c:v>-1.68279070075</c:v>
                </c:pt>
                <c:pt idx="22">
                  <c:v>-1.8657738695833339</c:v>
                </c:pt>
                <c:pt idx="23">
                  <c:v>-1.8880515263333331</c:v>
                </c:pt>
                <c:pt idx="24">
                  <c:v>-1.9971051639999999</c:v>
                </c:pt>
                <c:pt idx="25">
                  <c:v>-2.0668867116666672</c:v>
                </c:pt>
                <c:pt idx="26">
                  <c:v>-1.834648384583333</c:v>
                </c:pt>
                <c:pt idx="27">
                  <c:v>-1.795901954666667</c:v>
                </c:pt>
                <c:pt idx="28">
                  <c:v>-1.4258810999166669</c:v>
                </c:pt>
                <c:pt idx="29">
                  <c:v>-1.4303808581666679</c:v>
                </c:pt>
                <c:pt idx="30">
                  <c:v>-1.437136642583333</c:v>
                </c:pt>
                <c:pt idx="31">
                  <c:v>-1.356986575333335</c:v>
                </c:pt>
                <c:pt idx="32">
                  <c:v>-1.263763369166665</c:v>
                </c:pt>
                <c:pt idx="33">
                  <c:v>-0.92615887891666593</c:v>
                </c:pt>
                <c:pt idx="34">
                  <c:v>-2.6566291666257902E-4</c:v>
                </c:pt>
                <c:pt idx="35">
                  <c:v>1.8982008333295891E-4</c:v>
                </c:pt>
                <c:pt idx="36">
                  <c:v>-2.975083333733863E-5</c:v>
                </c:pt>
                <c:pt idx="37">
                  <c:v>2.752962499999595E-4</c:v>
                </c:pt>
                <c:pt idx="38">
                  <c:v>-1.809673333331846E-4</c:v>
                </c:pt>
                <c:pt idx="39">
                  <c:v>-2.1344166669934328E-6</c:v>
                </c:pt>
                <c:pt idx="40">
                  <c:v>-1.2602683333268189E-4</c:v>
                </c:pt>
                <c:pt idx="41">
                  <c:v>3.3333333333300519E-4</c:v>
                </c:pt>
                <c:pt idx="42">
                  <c:v>-1.2533333333300531E-4</c:v>
                </c:pt>
                <c:pt idx="43">
                  <c:v>1.486666666669911E-4</c:v>
                </c:pt>
                <c:pt idx="44">
                  <c:v>0</c:v>
                </c:pt>
                <c:pt idx="45">
                  <c:v>2.7000000000000629E-4</c:v>
                </c:pt>
                <c:pt idx="46">
                  <c:v>3.7666666666698318E-4</c:v>
                </c:pt>
                <c:pt idx="47">
                  <c:v>-3.5333333333298361E-4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DE7-4FAD-A412-675D9D2D5709}"/>
            </c:ext>
          </c:extLst>
        </c:ser>
        <c:ser>
          <c:idx val="22"/>
          <c:order val="22"/>
          <c:tx>
            <c:v>BES_TR1_one617_A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Net_kW!$Y$2:$Y$49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-3.0086939999989833E-4</c:v>
                </c:pt>
                <c:pt idx="9">
                  <c:v>-4.3016789999998639E-4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-1.141247048700001</c:v>
                </c:pt>
                <c:pt idx="17">
                  <c:v>-1.727944866866667</c:v>
                </c:pt>
                <c:pt idx="18">
                  <c:v>-1.9921700553333339</c:v>
                </c:pt>
                <c:pt idx="19">
                  <c:v>-2.1330980879333321</c:v>
                </c:pt>
                <c:pt idx="20">
                  <c:v>-2.2759071739666679</c:v>
                </c:pt>
                <c:pt idx="21">
                  <c:v>-2.3619081408999998</c:v>
                </c:pt>
                <c:pt idx="22">
                  <c:v>-2.4523277101666681</c:v>
                </c:pt>
                <c:pt idx="23">
                  <c:v>-2.4248377982666671</c:v>
                </c:pt>
                <c:pt idx="24">
                  <c:v>-2.4032743301333341</c:v>
                </c:pt>
                <c:pt idx="25">
                  <c:v>-2.4855548540000001</c:v>
                </c:pt>
                <c:pt idx="26">
                  <c:v>-1.38296032816667</c:v>
                </c:pt>
                <c:pt idx="27">
                  <c:v>-2.1216107456000008</c:v>
                </c:pt>
                <c:pt idx="28">
                  <c:v>-2.2491309198999998</c:v>
                </c:pt>
                <c:pt idx="29">
                  <c:v>-2.1086426298000012</c:v>
                </c:pt>
                <c:pt idx="30">
                  <c:v>-1.9593463711000001</c:v>
                </c:pt>
                <c:pt idx="31">
                  <c:v>-1.7796878904000011</c:v>
                </c:pt>
                <c:pt idx="32">
                  <c:v>-1.5773500429999989</c:v>
                </c:pt>
                <c:pt idx="33">
                  <c:v>-1.333053454699999</c:v>
                </c:pt>
                <c:pt idx="34">
                  <c:v>-1.104408795499999</c:v>
                </c:pt>
                <c:pt idx="35">
                  <c:v>-0.86946221590000006</c:v>
                </c:pt>
                <c:pt idx="36">
                  <c:v>-0.642187701000001</c:v>
                </c:pt>
                <c:pt idx="37">
                  <c:v>-0.42306304449999999</c:v>
                </c:pt>
                <c:pt idx="38">
                  <c:v>-0.22624056079999991</c:v>
                </c:pt>
                <c:pt idx="39">
                  <c:v>-3.0369961300000001E-2</c:v>
                </c:pt>
                <c:pt idx="40">
                  <c:v>-2.7383219999999042E-4</c:v>
                </c:pt>
                <c:pt idx="41">
                  <c:v>1.963333333330208E-4</c:v>
                </c:pt>
                <c:pt idx="42">
                  <c:v>2.8166666666695761E-4</c:v>
                </c:pt>
                <c:pt idx="43">
                  <c:v>6.3333333332971087E-5</c:v>
                </c:pt>
                <c:pt idx="44">
                  <c:v>-1.4999999999999741E-4</c:v>
                </c:pt>
                <c:pt idx="45">
                  <c:v>1.313333333329281E-4</c:v>
                </c:pt>
                <c:pt idx="46">
                  <c:v>1.013333333330091E-4</c:v>
                </c:pt>
                <c:pt idx="47">
                  <c:v>-1.733333333329701E-4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DE7-4FAD-A412-675D9D2D5709}"/>
            </c:ext>
          </c:extLst>
        </c:ser>
        <c:ser>
          <c:idx val="23"/>
          <c:order val="23"/>
          <c:tx>
            <c:v>BES_TR1_one73_A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Net_kW!$Z$2:$Z$49</c:f>
              <c:numCache>
                <c:formatCode>#,##0.000</c:formatCode>
                <c:ptCount val="48"/>
                <c:pt idx="0">
                  <c:v>4.7516666666670197E-2</c:v>
                </c:pt>
                <c:pt idx="1">
                  <c:v>5.5E-2</c:v>
                </c:pt>
                <c:pt idx="2">
                  <c:v>5.5E-2</c:v>
                </c:pt>
                <c:pt idx="3">
                  <c:v>5.5E-2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5.2419397399999998E-2</c:v>
                </c:pt>
                <c:pt idx="8">
                  <c:v>1.7699130600000099E-2</c:v>
                </c:pt>
                <c:pt idx="9">
                  <c:v>-4.3016789999998639E-4</c:v>
                </c:pt>
                <c:pt idx="10">
                  <c:v>-5.2162000009903231E-6</c:v>
                </c:pt>
                <c:pt idx="11">
                  <c:v>-2.8248239999900671E-4</c:v>
                </c:pt>
                <c:pt idx="12">
                  <c:v>4.3105549999900022E-4</c:v>
                </c:pt>
                <c:pt idx="13">
                  <c:v>4.8412420000110151E-4</c:v>
                </c:pt>
                <c:pt idx="14">
                  <c:v>-4.6959110000011067E-4</c:v>
                </c:pt>
                <c:pt idx="15">
                  <c:v>3.0432499999788479E-5</c:v>
                </c:pt>
                <c:pt idx="16">
                  <c:v>2.112846333319762E-4</c:v>
                </c:pt>
                <c:pt idx="17">
                  <c:v>-2.150820019999999E-2</c:v>
                </c:pt>
                <c:pt idx="18">
                  <c:v>-1.6858148553333341</c:v>
                </c:pt>
                <c:pt idx="19">
                  <c:v>-1.4730408879333321</c:v>
                </c:pt>
                <c:pt idx="20">
                  <c:v>-1.8604650406333341</c:v>
                </c:pt>
                <c:pt idx="21">
                  <c:v>-0.27601350756666992</c:v>
                </c:pt>
                <c:pt idx="22">
                  <c:v>2.9988983332916719E-4</c:v>
                </c:pt>
                <c:pt idx="23">
                  <c:v>-1.726148364933334</c:v>
                </c:pt>
                <c:pt idx="24">
                  <c:v>-2.5268609968000009</c:v>
                </c:pt>
                <c:pt idx="25">
                  <c:v>-2.5087412539999998</c:v>
                </c:pt>
                <c:pt idx="26">
                  <c:v>-2.4478688614999999</c:v>
                </c:pt>
                <c:pt idx="27">
                  <c:v>-2.3550007456000008</c:v>
                </c:pt>
                <c:pt idx="28">
                  <c:v>-2.2441309198999999</c:v>
                </c:pt>
                <c:pt idx="29">
                  <c:v>-2.1036426298000008</c:v>
                </c:pt>
                <c:pt idx="30">
                  <c:v>-1.9543463711</c:v>
                </c:pt>
                <c:pt idx="31">
                  <c:v>-1.774687890400001</c:v>
                </c:pt>
                <c:pt idx="32">
                  <c:v>-1.572350042999999</c:v>
                </c:pt>
                <c:pt idx="33">
                  <c:v>-1.3280534546999989</c:v>
                </c:pt>
                <c:pt idx="34">
                  <c:v>-1.0994087954999989</c:v>
                </c:pt>
                <c:pt idx="35">
                  <c:v>-0.86446221590000005</c:v>
                </c:pt>
                <c:pt idx="36">
                  <c:v>-0.63718770100000099</c:v>
                </c:pt>
                <c:pt idx="37">
                  <c:v>-0.41806304449999998</c:v>
                </c:pt>
                <c:pt idx="38">
                  <c:v>-0.2212405607999999</c:v>
                </c:pt>
                <c:pt idx="39">
                  <c:v>-2.53699613E-2</c:v>
                </c:pt>
                <c:pt idx="40">
                  <c:v>1.771677999999888E-4</c:v>
                </c:pt>
                <c:pt idx="41">
                  <c:v>0</c:v>
                </c:pt>
                <c:pt idx="42">
                  <c:v>0</c:v>
                </c:pt>
                <c:pt idx="43">
                  <c:v>-4.0000000000001151E-4</c:v>
                </c:pt>
                <c:pt idx="44">
                  <c:v>0</c:v>
                </c:pt>
                <c:pt idx="45">
                  <c:v>4.9133333333301055E-4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DE7-4FAD-A412-675D9D2D5709}"/>
            </c:ext>
          </c:extLst>
        </c:ser>
        <c:ser>
          <c:idx val="24"/>
          <c:order val="24"/>
          <c:tx>
            <c:v>BES_TR1_one76_A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Net_kW!$AA$2:$AA$49</c:f>
              <c:numCache>
                <c:formatCode>#,##0.000</c:formatCode>
                <c:ptCount val="48"/>
                <c:pt idx="0">
                  <c:v>1.4133333333339601E-4</c:v>
                </c:pt>
                <c:pt idx="1">
                  <c:v>4.2666666666700548E-4</c:v>
                </c:pt>
                <c:pt idx="2">
                  <c:v>0</c:v>
                </c:pt>
                <c:pt idx="3">
                  <c:v>2.8266666666698642E-4</c:v>
                </c:pt>
                <c:pt idx="4">
                  <c:v>2.8533333333340127E-4</c:v>
                </c:pt>
                <c:pt idx="5">
                  <c:v>-2.1599999999991071E-4</c:v>
                </c:pt>
                <c:pt idx="6">
                  <c:v>-2.16000000000105E-4</c:v>
                </c:pt>
                <c:pt idx="7">
                  <c:v>-1.0703033333329949E-5</c:v>
                </c:pt>
                <c:pt idx="8">
                  <c:v>5.0319033333440233E-5</c:v>
                </c:pt>
                <c:pt idx="9">
                  <c:v>4.9813744999999132E-4</c:v>
                </c:pt>
                <c:pt idx="10">
                  <c:v>3.2724776666553929E-4</c:v>
                </c:pt>
                <c:pt idx="11">
                  <c:v>-1.2572946666533641E-4</c:v>
                </c:pt>
                <c:pt idx="12">
                  <c:v>-3.6076858333455858E-4</c:v>
                </c:pt>
                <c:pt idx="13">
                  <c:v>-2.3521766665091089E-5</c:v>
                </c:pt>
                <c:pt idx="14">
                  <c:v>2.8547705000003809E-4</c:v>
                </c:pt>
                <c:pt idx="15">
                  <c:v>-4.1582875000023561E-4</c:v>
                </c:pt>
                <c:pt idx="16">
                  <c:v>-1.427275556816668</c:v>
                </c:pt>
                <c:pt idx="17">
                  <c:v>-2.0780015668999998</c:v>
                </c:pt>
                <c:pt idx="18">
                  <c:v>-2.3645034423333349</c:v>
                </c:pt>
                <c:pt idx="19">
                  <c:v>-2.5375854803666651</c:v>
                </c:pt>
                <c:pt idx="20">
                  <c:v>-2.5396178251833339</c:v>
                </c:pt>
                <c:pt idx="21">
                  <c:v>-2.6812473143833331</c:v>
                </c:pt>
                <c:pt idx="22">
                  <c:v>-2.9038556840833341</c:v>
                </c:pt>
                <c:pt idx="23">
                  <c:v>-2.9428708702000002</c:v>
                </c:pt>
                <c:pt idx="24">
                  <c:v>-2.9541711629333349</c:v>
                </c:pt>
                <c:pt idx="25">
                  <c:v>-2.692093463</c:v>
                </c:pt>
                <c:pt idx="26">
                  <c:v>-2.70464367175</c:v>
                </c:pt>
                <c:pt idx="27">
                  <c:v>-2.5007572032000018</c:v>
                </c:pt>
                <c:pt idx="28">
                  <c:v>-2.4277624065499999</c:v>
                </c:pt>
                <c:pt idx="29">
                  <c:v>-2.3845622014333352</c:v>
                </c:pt>
                <c:pt idx="30">
                  <c:v>-2.22131843295</c:v>
                </c:pt>
                <c:pt idx="31">
                  <c:v>-1.933217872133334</c:v>
                </c:pt>
                <c:pt idx="32">
                  <c:v>-1.810697050166665</c:v>
                </c:pt>
                <c:pt idx="33">
                  <c:v>-1.5753048333494449E-4</c:v>
                </c:pt>
                <c:pt idx="34">
                  <c:v>-0.6830258614166651</c:v>
                </c:pt>
                <c:pt idx="35">
                  <c:v>-1.01470591855</c:v>
                </c:pt>
                <c:pt idx="36">
                  <c:v>-0.66598431783333445</c:v>
                </c:pt>
                <c:pt idx="37">
                  <c:v>-0.49390688524999998</c:v>
                </c:pt>
                <c:pt idx="38">
                  <c:v>-0.2364246542666664</c:v>
                </c:pt>
                <c:pt idx="39">
                  <c:v>-2.896881833329909E-4</c:v>
                </c:pt>
                <c:pt idx="40">
                  <c:v>4.0029099999644442E-5</c:v>
                </c:pt>
                <c:pt idx="41">
                  <c:v>-3.6066666667022851E-4</c:v>
                </c:pt>
                <c:pt idx="42">
                  <c:v>-2.3433333333011669E-4</c:v>
                </c:pt>
                <c:pt idx="43">
                  <c:v>4.2000000000097508E-5</c:v>
                </c:pt>
                <c:pt idx="44">
                  <c:v>-3.6333333333304912E-4</c:v>
                </c:pt>
                <c:pt idx="45">
                  <c:v>3.5400000000002102E-4</c:v>
                </c:pt>
                <c:pt idx="46">
                  <c:v>-4.320000000000157E-4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DE7-4FAD-A412-675D9D2D5709}"/>
            </c:ext>
          </c:extLst>
        </c:ser>
        <c:ser>
          <c:idx val="25"/>
          <c:order val="25"/>
          <c:tx>
            <c:v>BES_TR1_six64_A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Net_kW!$AB$2:$AB$49</c:f>
              <c:numCache>
                <c:formatCode>#,##0.000</c:formatCode>
                <c:ptCount val="48"/>
                <c:pt idx="0">
                  <c:v>3.1033333333296831E-4</c:v>
                </c:pt>
                <c:pt idx="1">
                  <c:v>-4.2433333333330442E-4</c:v>
                </c:pt>
                <c:pt idx="2">
                  <c:v>4.9766666666703485E-4</c:v>
                </c:pt>
                <c:pt idx="3">
                  <c:v>0</c:v>
                </c:pt>
                <c:pt idx="4">
                  <c:v>0</c:v>
                </c:pt>
                <c:pt idx="5">
                  <c:v>3.0733333333329838E-4</c:v>
                </c:pt>
                <c:pt idx="6">
                  <c:v>-2.34000000000012E-4</c:v>
                </c:pt>
                <c:pt idx="7">
                  <c:v>-1.5050216666666341E-4</c:v>
                </c:pt>
                <c:pt idx="8">
                  <c:v>-1.072450000025316E-5</c:v>
                </c:pt>
                <c:pt idx="9">
                  <c:v>-3.5847325000001867E-4</c:v>
                </c:pt>
                <c:pt idx="10">
                  <c:v>1.5998649999951489E-4</c:v>
                </c:pt>
                <c:pt idx="11">
                  <c:v>-8.5568666665869486E-5</c:v>
                </c:pt>
                <c:pt idx="12">
                  <c:v>5.0879583332497091E-5</c:v>
                </c:pt>
                <c:pt idx="13">
                  <c:v>4.1177016666749111E-4</c:v>
                </c:pt>
                <c:pt idx="14">
                  <c:v>3.9000741666661559E-4</c:v>
                </c:pt>
                <c:pt idx="15">
                  <c:v>3.1736041666707848E-4</c:v>
                </c:pt>
                <c:pt idx="16">
                  <c:v>3.1412608333214459E-4</c:v>
                </c:pt>
                <c:pt idx="17">
                  <c:v>-4.683349999989872E-5</c:v>
                </c:pt>
                <c:pt idx="18">
                  <c:v>3.260649999989873E-4</c:v>
                </c:pt>
                <c:pt idx="19">
                  <c:v>-1.4147992954999991</c:v>
                </c:pt>
                <c:pt idx="20">
                  <c:v>-1.64788392275</c:v>
                </c:pt>
                <c:pt idx="21">
                  <c:v>-1.0709613674166669</c:v>
                </c:pt>
                <c:pt idx="22">
                  <c:v>-1.1901772029166671</c:v>
                </c:pt>
                <c:pt idx="23">
                  <c:v>-1.5849628596666661</c:v>
                </c:pt>
                <c:pt idx="24">
                  <c:v>-1.217371164</c:v>
                </c:pt>
                <c:pt idx="25">
                  <c:v>-0.61957504499999994</c:v>
                </c:pt>
                <c:pt idx="26">
                  <c:v>-1.8710873845833329</c:v>
                </c:pt>
                <c:pt idx="27">
                  <c:v>-1.513265621333334</c:v>
                </c:pt>
                <c:pt idx="28">
                  <c:v>-1.656369766583333</c:v>
                </c:pt>
                <c:pt idx="29">
                  <c:v>-1.662717524833335</c:v>
                </c:pt>
                <c:pt idx="30">
                  <c:v>-1.5835333092499999</c:v>
                </c:pt>
                <c:pt idx="31">
                  <c:v>-1.467739908666668</c:v>
                </c:pt>
                <c:pt idx="32">
                  <c:v>-1.186051702499999</c:v>
                </c:pt>
                <c:pt idx="33">
                  <c:v>-1.095544545583333</c:v>
                </c:pt>
                <c:pt idx="34">
                  <c:v>-0.90500732958333241</c:v>
                </c:pt>
                <c:pt idx="35">
                  <c:v>-0.70921851324999996</c:v>
                </c:pt>
                <c:pt idx="36">
                  <c:v>-0.18757108416666651</c:v>
                </c:pt>
                <c:pt idx="37">
                  <c:v>-0.33156553708333331</c:v>
                </c:pt>
                <c:pt idx="38">
                  <c:v>-0.1295233006666662</c:v>
                </c:pt>
                <c:pt idx="39">
                  <c:v>-2.7096775000001738E-4</c:v>
                </c:pt>
                <c:pt idx="40">
                  <c:v>5.6973166666418613E-5</c:v>
                </c:pt>
                <c:pt idx="41">
                  <c:v>2.376666666670246E-4</c:v>
                </c:pt>
                <c:pt idx="42">
                  <c:v>-4.543333333330013E-4</c:v>
                </c:pt>
                <c:pt idx="43">
                  <c:v>4.9333333333290152E-4</c:v>
                </c:pt>
                <c:pt idx="44">
                  <c:v>-2.666666666928386E-6</c:v>
                </c:pt>
                <c:pt idx="45">
                  <c:v>3.4333333333302912E-4</c:v>
                </c:pt>
                <c:pt idx="46">
                  <c:v>-1.0999999999983249E-4</c:v>
                </c:pt>
                <c:pt idx="47">
                  <c:v>3.3333333332996602E-5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DE7-4FAD-A412-675D9D2D5709}"/>
            </c:ext>
          </c:extLst>
        </c:ser>
        <c:ser>
          <c:idx val="26"/>
          <c:order val="26"/>
          <c:tx>
            <c:v>BES_TR1_six154_C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Net_kW!$AC$2:$AC$49</c:f>
              <c:numCache>
                <c:formatCode>#,##0.000</c:formatCode>
                <c:ptCount val="48"/>
                <c:pt idx="0">
                  <c:v>6.1333333332996842E-5</c:v>
                </c:pt>
                <c:pt idx="1">
                  <c:v>0</c:v>
                </c:pt>
                <c:pt idx="2">
                  <c:v>3.3933333333339982E-4</c:v>
                </c:pt>
                <c:pt idx="3">
                  <c:v>4.8733333333300649E-4</c:v>
                </c:pt>
                <c:pt idx="4">
                  <c:v>0</c:v>
                </c:pt>
                <c:pt idx="5">
                  <c:v>-1.733333333329978E-4</c:v>
                </c:pt>
                <c:pt idx="6">
                  <c:v>0</c:v>
                </c:pt>
                <c:pt idx="7">
                  <c:v>-4.4080346666666709E-4</c:v>
                </c:pt>
                <c:pt idx="8">
                  <c:v>-9.0333331994609488E-9</c:v>
                </c:pt>
                <c:pt idx="9">
                  <c:v>4.2644279999998203E-4</c:v>
                </c:pt>
                <c:pt idx="10">
                  <c:v>2.337117333319205E-4</c:v>
                </c:pt>
                <c:pt idx="11">
                  <c:v>3.9469013333515163E-4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-1.9454800000096029E-5</c:v>
                </c:pt>
                <c:pt idx="15">
                  <c:v>-0.78778942333333291</c:v>
                </c:pt>
                <c:pt idx="16">
                  <c:v>-2.2103327316000012</c:v>
                </c:pt>
                <c:pt idx="17">
                  <c:v>-2.1856409335999998</c:v>
                </c:pt>
                <c:pt idx="18">
                  <c:v>-1.516878695999998</c:v>
                </c:pt>
                <c:pt idx="19">
                  <c:v>-2.6732447394666652</c:v>
                </c:pt>
                <c:pt idx="20">
                  <c:v>-2.8884009430666682</c:v>
                </c:pt>
                <c:pt idx="21">
                  <c:v>-2.9780244545333332</c:v>
                </c:pt>
                <c:pt idx="22">
                  <c:v>-3.1255119246666681</c:v>
                </c:pt>
                <c:pt idx="23">
                  <c:v>-2.3510227088</c:v>
                </c:pt>
                <c:pt idx="24">
                  <c:v>-3.1285773290666681</c:v>
                </c:pt>
                <c:pt idx="25">
                  <c:v>-3.1874790053333331</c:v>
                </c:pt>
                <c:pt idx="26">
                  <c:v>-2.9349178153333328</c:v>
                </c:pt>
                <c:pt idx="27">
                  <c:v>-2.900584994133335</c:v>
                </c:pt>
                <c:pt idx="28">
                  <c:v>-2.9939372265333328</c:v>
                </c:pt>
                <c:pt idx="29">
                  <c:v>-2.7039521730666678</c:v>
                </c:pt>
                <c:pt idx="30">
                  <c:v>-2.5644628281333328</c:v>
                </c:pt>
                <c:pt idx="31">
                  <c:v>-2.2549808538666678</c:v>
                </c:pt>
                <c:pt idx="32">
                  <c:v>-2.0366087906666648</c:v>
                </c:pt>
                <c:pt idx="33">
                  <c:v>-1.5630459395999989</c:v>
                </c:pt>
                <c:pt idx="34">
                  <c:v>-1.380642393999999</c:v>
                </c:pt>
                <c:pt idx="35">
                  <c:v>-1.1439292212000001</c:v>
                </c:pt>
                <c:pt idx="36">
                  <c:v>-0.79504693466666798</c:v>
                </c:pt>
                <c:pt idx="37">
                  <c:v>-0.56581872599999994</c:v>
                </c:pt>
                <c:pt idx="38">
                  <c:v>-0.16604001440000021</c:v>
                </c:pt>
                <c:pt idx="39">
                  <c:v>1.1718493333300049E-4</c:v>
                </c:pt>
                <c:pt idx="40">
                  <c:v>-1.3377626666666309E-4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-3.6466666666698511E-4</c:v>
                </c:pt>
                <c:pt idx="45">
                  <c:v>1.913333333333975E-4</c:v>
                </c:pt>
                <c:pt idx="46">
                  <c:v>-4.260000000000097E-4</c:v>
                </c:pt>
                <c:pt idx="47">
                  <c:v>2.5266666666701187E-4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DE7-4FAD-A412-675D9D2D5709}"/>
            </c:ext>
          </c:extLst>
        </c:ser>
        <c:ser>
          <c:idx val="27"/>
          <c:order val="27"/>
          <c:tx>
            <c:v>BES_TR1_six173_C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Net_kW!$AD$2:$AD$49</c:f>
              <c:numCache>
                <c:formatCode>#,##0.000</c:formatCode>
                <c:ptCount val="48"/>
                <c:pt idx="0">
                  <c:v>-3.5799999999996951E-4</c:v>
                </c:pt>
                <c:pt idx="1">
                  <c:v>0</c:v>
                </c:pt>
                <c:pt idx="2">
                  <c:v>2.5500000000000522E-4</c:v>
                </c:pt>
                <c:pt idx="3">
                  <c:v>-1.1333333333329861E-4</c:v>
                </c:pt>
                <c:pt idx="4">
                  <c:v>2.9466666666699842E-4</c:v>
                </c:pt>
                <c:pt idx="5">
                  <c:v>-3.0533333333299112E-4</c:v>
                </c:pt>
                <c:pt idx="6">
                  <c:v>-1.7600000000000951E-4</c:v>
                </c:pt>
                <c:pt idx="7">
                  <c:v>2.9119653333331552E-4</c:v>
                </c:pt>
                <c:pt idx="8">
                  <c:v>-2.7115920000020388E-4</c:v>
                </c:pt>
                <c:pt idx="9">
                  <c:v>-3.6755720000000708E-4</c:v>
                </c:pt>
                <c:pt idx="10">
                  <c:v>-1.042882666679734E-4</c:v>
                </c:pt>
                <c:pt idx="11">
                  <c:v>-1.046431999989217E-4</c:v>
                </c:pt>
                <c:pt idx="12">
                  <c:v>3.1740733333185389E-4</c:v>
                </c:pt>
                <c:pt idx="13">
                  <c:v>4.6549893333502901E-4</c:v>
                </c:pt>
                <c:pt idx="14">
                  <c:v>-3.8278813333292311E-4</c:v>
                </c:pt>
                <c:pt idx="15">
                  <c:v>-4.2008999999998409E-4</c:v>
                </c:pt>
                <c:pt idx="16">
                  <c:v>-1.652428731600001</c:v>
                </c:pt>
                <c:pt idx="17">
                  <c:v>-2.4405622669333331</c:v>
                </c:pt>
                <c:pt idx="18">
                  <c:v>-2.6838020293333349</c:v>
                </c:pt>
                <c:pt idx="19">
                  <c:v>-2.7101674061333321</c:v>
                </c:pt>
                <c:pt idx="20">
                  <c:v>-3.0850089430666681</c:v>
                </c:pt>
                <c:pt idx="21">
                  <c:v>-3.146428454533333</c:v>
                </c:pt>
                <c:pt idx="22">
                  <c:v>-3.2144832580000009</c:v>
                </c:pt>
                <c:pt idx="23">
                  <c:v>-3.3111753754666671</c:v>
                </c:pt>
                <c:pt idx="24">
                  <c:v>-3.2049419957333352</c:v>
                </c:pt>
                <c:pt idx="25">
                  <c:v>-3.3446450053333332</c:v>
                </c:pt>
                <c:pt idx="26">
                  <c:v>-3.274715148666667</c:v>
                </c:pt>
                <c:pt idx="27">
                  <c:v>-2.9833476608000011</c:v>
                </c:pt>
                <c:pt idx="28">
                  <c:v>-2.9619485598666668</c:v>
                </c:pt>
                <c:pt idx="29">
                  <c:v>-2.823190173066668</c:v>
                </c:pt>
                <c:pt idx="30">
                  <c:v>-2.4118584948000001</c:v>
                </c:pt>
                <c:pt idx="31">
                  <c:v>-2.3845838538666682</c:v>
                </c:pt>
                <c:pt idx="32">
                  <c:v>-2.051518057333332</c:v>
                </c:pt>
                <c:pt idx="33">
                  <c:v>-1.621363939599999</c:v>
                </c:pt>
                <c:pt idx="34">
                  <c:v>-1.484211727333332</c:v>
                </c:pt>
                <c:pt idx="35">
                  <c:v>-0.928796954533333</c:v>
                </c:pt>
                <c:pt idx="36">
                  <c:v>-0.65463760133333504</c:v>
                </c:pt>
                <c:pt idx="37">
                  <c:v>-5.8185392666667002E-2</c:v>
                </c:pt>
                <c:pt idx="38">
                  <c:v>-2.010810666661644E-4</c:v>
                </c:pt>
                <c:pt idx="39">
                  <c:v>-2.5728173333300353E-4</c:v>
                </c:pt>
                <c:pt idx="40">
                  <c:v>1.128904000002873E-4</c:v>
                </c:pt>
                <c:pt idx="41">
                  <c:v>2.8033333333010718E-4</c:v>
                </c:pt>
                <c:pt idx="42">
                  <c:v>3.0333333332999152E-4</c:v>
                </c:pt>
                <c:pt idx="43">
                  <c:v>1.18261066666667</c:v>
                </c:pt>
                <c:pt idx="44">
                  <c:v>0.39623599999999998</c:v>
                </c:pt>
                <c:pt idx="45">
                  <c:v>0.61279300000000003</c:v>
                </c:pt>
                <c:pt idx="46">
                  <c:v>0.406418</c:v>
                </c:pt>
                <c:pt idx="47">
                  <c:v>0.44712333333333298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DE7-4FAD-A412-675D9D2D5709}"/>
            </c:ext>
          </c:extLst>
        </c:ser>
        <c:ser>
          <c:idx val="28"/>
          <c:order val="28"/>
          <c:tx>
            <c:v>BES_TR1_six186_A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Net_kW!$AE$2:$AE$49</c:f>
              <c:numCache>
                <c:formatCode>#,##0.000</c:formatCode>
                <c:ptCount val="48"/>
                <c:pt idx="0">
                  <c:v>-8.6666666667012393E-5</c:v>
                </c:pt>
                <c:pt idx="1">
                  <c:v>1.9166666666692311E-4</c:v>
                </c:pt>
                <c:pt idx="2">
                  <c:v>4.4433333333404601E-4</c:v>
                </c:pt>
                <c:pt idx="3">
                  <c:v>3.2000000000000079E-4</c:v>
                </c:pt>
                <c:pt idx="4">
                  <c:v>1.8666666666700141E-4</c:v>
                </c:pt>
                <c:pt idx="5">
                  <c:v>0</c:v>
                </c:pt>
                <c:pt idx="6">
                  <c:v>-1.5666666666996901E-5</c:v>
                </c:pt>
                <c:pt idx="7">
                  <c:v>0.1173552649333337</c:v>
                </c:pt>
                <c:pt idx="8">
                  <c:v>0.1697527537333334</c:v>
                </c:pt>
                <c:pt idx="9">
                  <c:v>4.212213999999978E-4</c:v>
                </c:pt>
                <c:pt idx="10">
                  <c:v>6.1855866666002401E-5</c:v>
                </c:pt>
                <c:pt idx="11">
                  <c:v>7.1011733334014338E-5</c:v>
                </c:pt>
                <c:pt idx="12">
                  <c:v>1.0070366666598E-4</c:v>
                </c:pt>
                <c:pt idx="13">
                  <c:v>1.294161333340593E-4</c:v>
                </c:pt>
                <c:pt idx="14">
                  <c:v>-1.306073333307012E-5</c:v>
                </c:pt>
                <c:pt idx="15">
                  <c:v>-4.1711666666888192E-5</c:v>
                </c:pt>
                <c:pt idx="16">
                  <c:v>-4.4503246666693919E-4</c:v>
                </c:pt>
                <c:pt idx="17">
                  <c:v>-2.8846680000005342E-4</c:v>
                </c:pt>
                <c:pt idx="18">
                  <c:v>1.7651999999923621E-5</c:v>
                </c:pt>
                <c:pt idx="19">
                  <c:v>-3.2570306666590548E-4</c:v>
                </c:pt>
                <c:pt idx="20">
                  <c:v>-4.9513820000068876E-4</c:v>
                </c:pt>
                <c:pt idx="21">
                  <c:v>-1.1797025606</c:v>
                </c:pt>
                <c:pt idx="22">
                  <c:v>-1.3932222956666671</c:v>
                </c:pt>
                <c:pt idx="23">
                  <c:v>-1.3086963544000001</c:v>
                </c:pt>
                <c:pt idx="24">
                  <c:v>-1.4314583312000011</c:v>
                </c:pt>
                <c:pt idx="25">
                  <c:v>-1.411334969333333</c:v>
                </c:pt>
                <c:pt idx="26">
                  <c:v>-1.5101647743333331</c:v>
                </c:pt>
                <c:pt idx="27">
                  <c:v>-1.3306030304000001</c:v>
                </c:pt>
                <c:pt idx="28">
                  <c:v>-1.3807571465999999</c:v>
                </c:pt>
                <c:pt idx="29">
                  <c:v>-0.19963375320000409</c:v>
                </c:pt>
                <c:pt idx="30">
                  <c:v>-3.2758073332983528E-4</c:v>
                </c:pt>
                <c:pt idx="31">
                  <c:v>1.8739733335992881E-5</c:v>
                </c:pt>
                <c:pt idx="32">
                  <c:v>-3.1536199999881998E-4</c:v>
                </c:pt>
                <c:pt idx="33">
                  <c:v>-1.4896979999934329E-4</c:v>
                </c:pt>
                <c:pt idx="34">
                  <c:v>-4.8456366666593809E-4</c:v>
                </c:pt>
                <c:pt idx="35">
                  <c:v>3.0318939999998679E-4</c:v>
                </c:pt>
                <c:pt idx="36">
                  <c:v>-4.2780066666381339E-4</c:v>
                </c:pt>
                <c:pt idx="37">
                  <c:v>2.0797033332975451E-4</c:v>
                </c:pt>
                <c:pt idx="38">
                  <c:v>2.5927629594666741</c:v>
                </c:pt>
                <c:pt idx="39">
                  <c:v>1.4652060257999999</c:v>
                </c:pt>
                <c:pt idx="40">
                  <c:v>0.60250644519999963</c:v>
                </c:pt>
                <c:pt idx="41">
                  <c:v>0.61244333333333301</c:v>
                </c:pt>
                <c:pt idx="42">
                  <c:v>0.56213633333333302</c:v>
                </c:pt>
                <c:pt idx="43">
                  <c:v>0.79888566666666705</c:v>
                </c:pt>
                <c:pt idx="44">
                  <c:v>0.468121333333334</c:v>
                </c:pt>
                <c:pt idx="45">
                  <c:v>0.76455300000000004</c:v>
                </c:pt>
                <c:pt idx="46">
                  <c:v>0.49905633333333399</c:v>
                </c:pt>
                <c:pt idx="47">
                  <c:v>5.7909200000000001E-2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DE7-4FAD-A412-675D9D2D5709}"/>
            </c:ext>
          </c:extLst>
        </c:ser>
        <c:ser>
          <c:idx val="29"/>
          <c:order val="29"/>
          <c:tx>
            <c:v>BES_TR1_six191_B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Net_kW!$AF$2:$AF$49</c:f>
              <c:numCache>
                <c:formatCode>#,##0.000</c:formatCode>
                <c:ptCount val="48"/>
                <c:pt idx="0">
                  <c:v>1.2833333333300831E-4</c:v>
                </c:pt>
                <c:pt idx="1">
                  <c:v>2.8299999999997771E-4</c:v>
                </c:pt>
                <c:pt idx="2">
                  <c:v>1.226666666670484E-4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2.6550746666679712E-4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1.08690133334699E-4</c:v>
                </c:pt>
                <c:pt idx="12">
                  <c:v>-4.7159266666807481E-4</c:v>
                </c:pt>
                <c:pt idx="13">
                  <c:v>-3.9760106666200667E-4</c:v>
                </c:pt>
                <c:pt idx="14">
                  <c:v>2.5291186666653859E-4</c:v>
                </c:pt>
                <c:pt idx="15">
                  <c:v>4.1057666666710618E-4</c:v>
                </c:pt>
                <c:pt idx="16">
                  <c:v>-1.2939826666791279E-4</c:v>
                </c:pt>
                <c:pt idx="17">
                  <c:v>-2.1436509336</c:v>
                </c:pt>
                <c:pt idx="18">
                  <c:v>-2.7145753626666682</c:v>
                </c:pt>
                <c:pt idx="19">
                  <c:v>-2.912383406133332</c:v>
                </c:pt>
                <c:pt idx="20">
                  <c:v>-3.086008943066668</c:v>
                </c:pt>
                <c:pt idx="21">
                  <c:v>-3.2293051211999999</c:v>
                </c:pt>
                <c:pt idx="22">
                  <c:v>-3.330977924666668</c:v>
                </c:pt>
                <c:pt idx="23">
                  <c:v>-3.3755667088000001</c:v>
                </c:pt>
                <c:pt idx="24">
                  <c:v>-3.3884813290666682</c:v>
                </c:pt>
                <c:pt idx="25">
                  <c:v>-1.1841950053333301</c:v>
                </c:pt>
                <c:pt idx="26">
                  <c:v>-3.2831584820000002</c:v>
                </c:pt>
                <c:pt idx="27">
                  <c:v>-3.1593343274666679</c:v>
                </c:pt>
                <c:pt idx="28">
                  <c:v>-3.0115078932000001</c:v>
                </c:pt>
                <c:pt idx="29">
                  <c:v>-2.8241901730666679</c:v>
                </c:pt>
                <c:pt idx="30">
                  <c:v>-2.6251284948000002</c:v>
                </c:pt>
                <c:pt idx="31">
                  <c:v>-2.385583853866668</c:v>
                </c:pt>
                <c:pt idx="32">
                  <c:v>-2.115800057333332</c:v>
                </c:pt>
                <c:pt idx="33">
                  <c:v>-1.7900712729333319</c:v>
                </c:pt>
                <c:pt idx="34">
                  <c:v>-1.4852117273333321</c:v>
                </c:pt>
                <c:pt idx="35">
                  <c:v>-1.160226087866667</c:v>
                </c:pt>
                <c:pt idx="36">
                  <c:v>-0.77632243466666806</c:v>
                </c:pt>
                <c:pt idx="37">
                  <c:v>-0.52779395933333306</c:v>
                </c:pt>
                <c:pt idx="38">
                  <c:v>-0.25998741440000023</c:v>
                </c:pt>
                <c:pt idx="39">
                  <c:v>2.5738493333302142E-4</c:v>
                </c:pt>
                <c:pt idx="40">
                  <c:v>1.34890400000337E-4</c:v>
                </c:pt>
                <c:pt idx="41">
                  <c:v>-1.4100000000000221E-4</c:v>
                </c:pt>
                <c:pt idx="42">
                  <c:v>-4.3066666666696779E-4</c:v>
                </c:pt>
                <c:pt idx="43">
                  <c:v>4.8999999999999044E-4</c:v>
                </c:pt>
                <c:pt idx="44">
                  <c:v>1.089999999999702E-4</c:v>
                </c:pt>
                <c:pt idx="45">
                  <c:v>3.9400000000000551E-4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DE7-4FAD-A412-675D9D2D5709}"/>
            </c:ext>
          </c:extLst>
        </c:ser>
        <c:ser>
          <c:idx val="30"/>
          <c:order val="30"/>
          <c:tx>
            <c:v>BES_TR1_six249_B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Net_kW!$AG$2:$AG$49</c:f>
              <c:numCache>
                <c:formatCode>#,##0.000</c:formatCode>
                <c:ptCount val="48"/>
                <c:pt idx="0">
                  <c:v>0</c:v>
                </c:pt>
                <c:pt idx="1">
                  <c:v>-1.6000000000002121E-4</c:v>
                </c:pt>
                <c:pt idx="2">
                  <c:v>-7.7333333333012844E-5</c:v>
                </c:pt>
                <c:pt idx="3">
                  <c:v>-1.6000000000002121E-4</c:v>
                </c:pt>
                <c:pt idx="4">
                  <c:v>0</c:v>
                </c:pt>
                <c:pt idx="5">
                  <c:v>3.7866666666697141E-4</c:v>
                </c:pt>
                <c:pt idx="6">
                  <c:v>3.8400000000000928E-4</c:v>
                </c:pt>
                <c:pt idx="7">
                  <c:v>3.2719653333332382E-4</c:v>
                </c:pt>
                <c:pt idx="8">
                  <c:v>3.375074666668032E-4</c:v>
                </c:pt>
                <c:pt idx="9">
                  <c:v>4.2644279999998203E-4</c:v>
                </c:pt>
                <c:pt idx="10">
                  <c:v>-4.1762160000097248E-4</c:v>
                </c:pt>
                <c:pt idx="11">
                  <c:v>1.420234666680287E-4</c:v>
                </c:pt>
                <c:pt idx="12">
                  <c:v>4.0739999989103381E-6</c:v>
                </c:pt>
                <c:pt idx="13">
                  <c:v>9.8832266667958635E-5</c:v>
                </c:pt>
                <c:pt idx="14">
                  <c:v>4.0545199999852948E-5</c:v>
                </c:pt>
                <c:pt idx="15">
                  <c:v>4.7657666666700571E-4</c:v>
                </c:pt>
                <c:pt idx="16">
                  <c:v>-1.846917398266668</c:v>
                </c:pt>
                <c:pt idx="17">
                  <c:v>-2.3357709336000001</c:v>
                </c:pt>
                <c:pt idx="18">
                  <c:v>-2.220357696000002</c:v>
                </c:pt>
                <c:pt idx="19">
                  <c:v>-2.558552406133332</c:v>
                </c:pt>
                <c:pt idx="20">
                  <c:v>-1.8345679430666679</c:v>
                </c:pt>
                <c:pt idx="21">
                  <c:v>-2.9544911211999998</c:v>
                </c:pt>
                <c:pt idx="22">
                  <c:v>-2.8672635913333351</c:v>
                </c:pt>
                <c:pt idx="23">
                  <c:v>-3.1176670421333328</c:v>
                </c:pt>
                <c:pt idx="24">
                  <c:v>-3.1626946624000012</c:v>
                </c:pt>
                <c:pt idx="25">
                  <c:v>-3.3058603386666672</c:v>
                </c:pt>
                <c:pt idx="26">
                  <c:v>-3.2246971486666669</c:v>
                </c:pt>
                <c:pt idx="27">
                  <c:v>-3.0404943274666678</c:v>
                </c:pt>
                <c:pt idx="28">
                  <c:v>-2.8683630265333329</c:v>
                </c:pt>
                <c:pt idx="29">
                  <c:v>-2.819190173066668</c:v>
                </c:pt>
                <c:pt idx="30">
                  <c:v>-2.5441871614666671</c:v>
                </c:pt>
                <c:pt idx="31">
                  <c:v>-2.2357625205333349</c:v>
                </c:pt>
                <c:pt idx="32">
                  <c:v>-2.0766480573333319</c:v>
                </c:pt>
                <c:pt idx="33">
                  <c:v>-1.5984606062666651</c:v>
                </c:pt>
                <c:pt idx="34">
                  <c:v>-1.480211727333332</c:v>
                </c:pt>
                <c:pt idx="35">
                  <c:v>-1.0466486545333329</c:v>
                </c:pt>
                <c:pt idx="36">
                  <c:v>-0.75699426800000102</c:v>
                </c:pt>
                <c:pt idx="37">
                  <c:v>-0.55467472600000001</c:v>
                </c:pt>
                <c:pt idx="38">
                  <c:v>-0.1975860810666662</c:v>
                </c:pt>
                <c:pt idx="39">
                  <c:v>-2.079483999999909E-4</c:v>
                </c:pt>
                <c:pt idx="40">
                  <c:v>-2.3577626666670959E-4</c:v>
                </c:pt>
                <c:pt idx="41">
                  <c:v>1.3200000000002099E-4</c:v>
                </c:pt>
                <c:pt idx="42">
                  <c:v>4.976666666670071E-4</c:v>
                </c:pt>
                <c:pt idx="43">
                  <c:v>3.3700000000003172E-4</c:v>
                </c:pt>
                <c:pt idx="44">
                  <c:v>-1.433333333400455E-5</c:v>
                </c:pt>
                <c:pt idx="45">
                  <c:v>1.666666667010652E-6</c:v>
                </c:pt>
                <c:pt idx="46">
                  <c:v>-3.5200000000001902E-4</c:v>
                </c:pt>
                <c:pt idx="47">
                  <c:v>3.4666666666699491E-4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DE7-4FAD-A412-675D9D2D5709}"/>
            </c:ext>
          </c:extLst>
        </c:ser>
        <c:ser>
          <c:idx val="31"/>
          <c:order val="31"/>
          <c:tx>
            <c:v>BES_TR1_six254_B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Net_kW!$AH$2:$AH$49</c:f>
              <c:numCache>
                <c:formatCode>#,##0.000</c:formatCode>
                <c:ptCount val="48"/>
                <c:pt idx="0">
                  <c:v>3.0666666667011899E-5</c:v>
                </c:pt>
                <c:pt idx="1">
                  <c:v>-2.1999999999997019E-4</c:v>
                </c:pt>
                <c:pt idx="2">
                  <c:v>-4.8466666666660552E-4</c:v>
                </c:pt>
                <c:pt idx="3">
                  <c:v>-4.8466666666660552E-4</c:v>
                </c:pt>
                <c:pt idx="4">
                  <c:v>0</c:v>
                </c:pt>
                <c:pt idx="5">
                  <c:v>-9.3333333330003487E-6</c:v>
                </c:pt>
                <c:pt idx="6">
                  <c:v>-1.8000000000001351E-4</c:v>
                </c:pt>
                <c:pt idx="7">
                  <c:v>-3.6106839999993512E-4</c:v>
                </c:pt>
                <c:pt idx="8">
                  <c:v>-3.7591293333355541E-4</c:v>
                </c:pt>
                <c:pt idx="9">
                  <c:v>-3.267786000000078E-4</c:v>
                </c:pt>
                <c:pt idx="10">
                  <c:v>-2.328108000007045E-4</c:v>
                </c:pt>
                <c:pt idx="11">
                  <c:v>4.4434506666704571E-4</c:v>
                </c:pt>
                <c:pt idx="12">
                  <c:v>4.0703666665975469E-5</c:v>
                </c:pt>
                <c:pt idx="13">
                  <c:v>1.8441613333403109E-4</c:v>
                </c:pt>
                <c:pt idx="14">
                  <c:v>3.5860593333303381E-4</c:v>
                </c:pt>
                <c:pt idx="15">
                  <c:v>2.2495499999999891E-4</c:v>
                </c:pt>
                <c:pt idx="16">
                  <c:v>2.9063419999886259E-4</c:v>
                </c:pt>
                <c:pt idx="17">
                  <c:v>2.5786653333303988E-4</c:v>
                </c:pt>
                <c:pt idx="18">
                  <c:v>-4.0348000001300122E-5</c:v>
                </c:pt>
                <c:pt idx="19">
                  <c:v>-1.137030666658045E-4</c:v>
                </c:pt>
                <c:pt idx="20">
                  <c:v>-0.81519447153333402</c:v>
                </c:pt>
                <c:pt idx="21">
                  <c:v>-1.473651893933333</c:v>
                </c:pt>
                <c:pt idx="22">
                  <c:v>-1.6205289623333341</c:v>
                </c:pt>
                <c:pt idx="23">
                  <c:v>-1.5449633544000001</c:v>
                </c:pt>
                <c:pt idx="24">
                  <c:v>-1.523570931200001</c:v>
                </c:pt>
                <c:pt idx="25">
                  <c:v>-1.4324808360000001</c:v>
                </c:pt>
                <c:pt idx="26">
                  <c:v>-1.434077907666667</c:v>
                </c:pt>
                <c:pt idx="27">
                  <c:v>-1.2961678304000011</c:v>
                </c:pt>
                <c:pt idx="28">
                  <c:v>-1.4347739466</c:v>
                </c:pt>
                <c:pt idx="29">
                  <c:v>-1.2920644198666671</c:v>
                </c:pt>
                <c:pt idx="30">
                  <c:v>-1.1417842474</c:v>
                </c:pt>
                <c:pt idx="31">
                  <c:v>-1.094839260266667</c:v>
                </c:pt>
                <c:pt idx="32">
                  <c:v>-0.87203202866666585</c:v>
                </c:pt>
                <c:pt idx="33">
                  <c:v>-0.871045636466666</c:v>
                </c:pt>
                <c:pt idx="34">
                  <c:v>-0.72560586366666591</c:v>
                </c:pt>
                <c:pt idx="35">
                  <c:v>-0.3489608106</c:v>
                </c:pt>
                <c:pt idx="36">
                  <c:v>-0.31566180066666699</c:v>
                </c:pt>
                <c:pt idx="37">
                  <c:v>-0.180505363</c:v>
                </c:pt>
                <c:pt idx="38">
                  <c:v>-3.8637386666658813E-4</c:v>
                </c:pt>
                <c:pt idx="39">
                  <c:v>-4.1130753333301628E-4</c:v>
                </c:pt>
                <c:pt idx="40">
                  <c:v>-2.9722146666644189E-4</c:v>
                </c:pt>
                <c:pt idx="41">
                  <c:v>-3.4333333333302912E-4</c:v>
                </c:pt>
                <c:pt idx="42">
                  <c:v>1.4333333333299561E-4</c:v>
                </c:pt>
                <c:pt idx="43">
                  <c:v>-1.4633333333302631E-4</c:v>
                </c:pt>
                <c:pt idx="44">
                  <c:v>-3.8466666666703292E-4</c:v>
                </c:pt>
                <c:pt idx="45">
                  <c:v>2.6266666666696642E-4</c:v>
                </c:pt>
                <c:pt idx="46">
                  <c:v>5.3999999999998487E-5</c:v>
                </c:pt>
                <c:pt idx="47">
                  <c:v>-4.0666666666699941E-4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DE7-4FAD-A412-675D9D2D5709}"/>
            </c:ext>
          </c:extLst>
        </c:ser>
        <c:ser>
          <c:idx val="32"/>
          <c:order val="32"/>
          <c:tx>
            <c:v>BES_TR1_six269_C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Net_kW!$AI$2:$AI$49</c:f>
              <c:numCache>
                <c:formatCode>#,##0.000</c:formatCode>
                <c:ptCount val="48"/>
                <c:pt idx="0">
                  <c:v>-4.9999999999997269E-4</c:v>
                </c:pt>
                <c:pt idx="1">
                  <c:v>-4.2599999999999583E-4</c:v>
                </c:pt>
                <c:pt idx="2">
                  <c:v>1.733333333329978E-4</c:v>
                </c:pt>
                <c:pt idx="3">
                  <c:v>-3.8333333333301361E-4</c:v>
                </c:pt>
                <c:pt idx="4">
                  <c:v>4.3199999999998789E-4</c:v>
                </c:pt>
                <c:pt idx="5">
                  <c:v>-4.9999999999997269E-4</c:v>
                </c:pt>
                <c:pt idx="6">
                  <c:v>-4.240000000000077E-4</c:v>
                </c:pt>
                <c:pt idx="7">
                  <c:v>4.7406406666700152E-4</c:v>
                </c:pt>
                <c:pt idx="8">
                  <c:v>-2.7953606666689113E-4</c:v>
                </c:pt>
                <c:pt idx="9">
                  <c:v>-4.3016789999998639E-4</c:v>
                </c:pt>
                <c:pt idx="10">
                  <c:v>-5.2162000009903231E-6</c:v>
                </c:pt>
                <c:pt idx="11">
                  <c:v>-3.1748239999895839E-4</c:v>
                </c:pt>
                <c:pt idx="12">
                  <c:v>6.1055499998907692E-5</c:v>
                </c:pt>
                <c:pt idx="13">
                  <c:v>5.0124200001056003E-5</c:v>
                </c:pt>
                <c:pt idx="14">
                  <c:v>2.504088999999432E-4</c:v>
                </c:pt>
                <c:pt idx="15">
                  <c:v>2.3576583333295709E-4</c:v>
                </c:pt>
                <c:pt idx="16">
                  <c:v>-3.7638203333401071E-4</c:v>
                </c:pt>
                <c:pt idx="17">
                  <c:v>-1.1542828668666669</c:v>
                </c:pt>
                <c:pt idx="18">
                  <c:v>-1.8941328553333341</c:v>
                </c:pt>
                <c:pt idx="19">
                  <c:v>-2.1482868879333319</c:v>
                </c:pt>
                <c:pt idx="20">
                  <c:v>-2.2875422406333339</c:v>
                </c:pt>
                <c:pt idx="21">
                  <c:v>-1.9931408409</c:v>
                </c:pt>
                <c:pt idx="22">
                  <c:v>-2.4570667768333339</c:v>
                </c:pt>
                <c:pt idx="23">
                  <c:v>-2.3393340316</c:v>
                </c:pt>
                <c:pt idx="24">
                  <c:v>-2.4662327968000008</c:v>
                </c:pt>
                <c:pt idx="25">
                  <c:v>-2.3939332539999998</c:v>
                </c:pt>
                <c:pt idx="26">
                  <c:v>-2.316879528166667</c:v>
                </c:pt>
                <c:pt idx="27">
                  <c:v>-2.265148078933334</c:v>
                </c:pt>
                <c:pt idx="28">
                  <c:v>-2.1147355865666668</c:v>
                </c:pt>
                <c:pt idx="29">
                  <c:v>-1.770065263133334</c:v>
                </c:pt>
                <c:pt idx="30">
                  <c:v>-1.6697563711000001</c:v>
                </c:pt>
                <c:pt idx="31">
                  <c:v>-1.600247423733334</c:v>
                </c:pt>
                <c:pt idx="32">
                  <c:v>-1.4348869429999991</c:v>
                </c:pt>
                <c:pt idx="33">
                  <c:v>-1.196638321366666</c:v>
                </c:pt>
                <c:pt idx="34">
                  <c:v>-0.80042879549999912</c:v>
                </c:pt>
                <c:pt idx="35">
                  <c:v>-0.47668488256666708</c:v>
                </c:pt>
                <c:pt idx="36">
                  <c:v>-0.19794503433333399</c:v>
                </c:pt>
                <c:pt idx="37">
                  <c:v>-0.27301937783333302</c:v>
                </c:pt>
                <c:pt idx="38">
                  <c:v>-1.9356079999993669E-4</c:v>
                </c:pt>
                <c:pt idx="39">
                  <c:v>-4.9996130000001804E-4</c:v>
                </c:pt>
                <c:pt idx="40">
                  <c:v>-2.201655333329833E-4</c:v>
                </c:pt>
                <c:pt idx="41">
                  <c:v>-8.7000000000003741E-5</c:v>
                </c:pt>
                <c:pt idx="42">
                  <c:v>3.3800000000000502E-4</c:v>
                </c:pt>
                <c:pt idx="43">
                  <c:v>1.8800000000002151E-4</c:v>
                </c:pt>
                <c:pt idx="44">
                  <c:v>2.5333333333299462E-4</c:v>
                </c:pt>
                <c:pt idx="45">
                  <c:v>1.12000000000001E-4</c:v>
                </c:pt>
                <c:pt idx="46">
                  <c:v>-7.8333333333013844E-5</c:v>
                </c:pt>
                <c:pt idx="47">
                  <c:v>3.5599999999999521E-4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DE7-4FAD-A412-675D9D2D5709}"/>
            </c:ext>
          </c:extLst>
        </c:ser>
        <c:ser>
          <c:idx val="33"/>
          <c:order val="33"/>
          <c:tx>
            <c:v>BES_TR1_six68_C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Net_kW!$AJ$2:$AJ$49</c:f>
              <c:numCache>
                <c:formatCode>#,##0.000</c:formatCode>
                <c:ptCount val="48"/>
                <c:pt idx="0">
                  <c:v>-2.1783333333329211E-4</c:v>
                </c:pt>
                <c:pt idx="1">
                  <c:v>1.035999999999815E-4</c:v>
                </c:pt>
                <c:pt idx="2">
                  <c:v>4.8666666667002152E-5</c:v>
                </c:pt>
                <c:pt idx="3">
                  <c:v>0</c:v>
                </c:pt>
                <c:pt idx="4">
                  <c:v>4.0000000000001151E-4</c:v>
                </c:pt>
                <c:pt idx="5">
                  <c:v>0</c:v>
                </c:pt>
                <c:pt idx="6">
                  <c:v>4.0000000000001151E-4</c:v>
                </c:pt>
                <c:pt idx="7">
                  <c:v>-2.9030129999999682E-4</c:v>
                </c:pt>
                <c:pt idx="8">
                  <c:v>-4.504346999999187E-4</c:v>
                </c:pt>
                <c:pt idx="9">
                  <c:v>-1.5083950000100221E-5</c:v>
                </c:pt>
                <c:pt idx="10">
                  <c:v>-2.6081000005159778E-6</c:v>
                </c:pt>
                <c:pt idx="11">
                  <c:v>2.0325880000052199E-4</c:v>
                </c:pt>
                <c:pt idx="12">
                  <c:v>3.0527749999342817E-5</c:v>
                </c:pt>
                <c:pt idx="13">
                  <c:v>4.4706210000050589E-4</c:v>
                </c:pt>
                <c:pt idx="14">
                  <c:v>3.4120445000002109E-4</c:v>
                </c:pt>
                <c:pt idx="15">
                  <c:v>-7.6450416666928867E-5</c:v>
                </c:pt>
                <c:pt idx="16">
                  <c:v>-3.1952435000059948E-4</c:v>
                </c:pt>
                <c:pt idx="17">
                  <c:v>-3.6743343333001111E-4</c:v>
                </c:pt>
                <c:pt idx="18">
                  <c:v>-4.1909433332976143E-4</c:v>
                </c:pt>
                <c:pt idx="19">
                  <c:v>-2.8177729999896711E-4</c:v>
                </c:pt>
                <c:pt idx="20">
                  <c:v>7.4313016667049148E-5</c:v>
                </c:pt>
                <c:pt idx="21">
                  <c:v>2.1724621666718849E-4</c:v>
                </c:pt>
                <c:pt idx="22">
                  <c:v>4.2061158333295268E-4</c:v>
                </c:pt>
                <c:pt idx="23">
                  <c:v>3.651508666669967E-4</c:v>
                </c:pt>
                <c:pt idx="24">
                  <c:v>-3.7683173333091791E-4</c:v>
                </c:pt>
                <c:pt idx="25">
                  <c:v>-1.976270000000335E-4</c:v>
                </c:pt>
                <c:pt idx="26">
                  <c:v>-1.3743074999994501E-4</c:v>
                </c:pt>
                <c:pt idx="27">
                  <c:v>-0.71936270613333309</c:v>
                </c:pt>
                <c:pt idx="28">
                  <c:v>3.3787338332998129E-4</c:v>
                </c:pt>
                <c:pt idx="29">
                  <c:v>-0.49605731489999999</c:v>
                </c:pt>
                <c:pt idx="30">
                  <c:v>-0.17371518555000101</c:v>
                </c:pt>
                <c:pt idx="31">
                  <c:v>-0.78716061186666741</c:v>
                </c:pt>
                <c:pt idx="32">
                  <c:v>-0.64127502149999949</c:v>
                </c:pt>
                <c:pt idx="33">
                  <c:v>-0.60552672734999946</c:v>
                </c:pt>
                <c:pt idx="34">
                  <c:v>-0.30929906441666638</c:v>
                </c:pt>
                <c:pt idx="35">
                  <c:v>-0.16550144128333311</c:v>
                </c:pt>
                <c:pt idx="36">
                  <c:v>-4.8183833333576009E-5</c:v>
                </c:pt>
                <c:pt idx="37">
                  <c:v>4.4381108333301991E-4</c:v>
                </c:pt>
                <c:pt idx="38">
                  <c:v>-2.2328039999997001E-4</c:v>
                </c:pt>
                <c:pt idx="39">
                  <c:v>4.1268601666699661E-4</c:v>
                </c:pt>
                <c:pt idx="40">
                  <c:v>4.8858389999995033E-4</c:v>
                </c:pt>
                <c:pt idx="41">
                  <c:v>-3.8799999999999951E-4</c:v>
                </c:pt>
                <c:pt idx="42">
                  <c:v>4.0433333333300681E-4</c:v>
                </c:pt>
                <c:pt idx="43">
                  <c:v>1.8666666666999902E-5</c:v>
                </c:pt>
                <c:pt idx="44">
                  <c:v>9.1999999999980986E-5</c:v>
                </c:pt>
                <c:pt idx="45">
                  <c:v>-4.9533333333298679E-4</c:v>
                </c:pt>
                <c:pt idx="46">
                  <c:v>6.6666666667020147E-5</c:v>
                </c:pt>
                <c:pt idx="47">
                  <c:v>3.3333333333010473E-5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7DE7-4FAD-A412-675D9D2D5709}"/>
            </c:ext>
          </c:extLst>
        </c:ser>
        <c:ser>
          <c:idx val="34"/>
          <c:order val="34"/>
          <c:tx>
            <c:v>BES_TR1_six289_C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Net_kW!$AK$2:$AK$49</c:f>
              <c:numCache>
                <c:formatCode>#,##0.000</c:formatCode>
                <c:ptCount val="48"/>
                <c:pt idx="0">
                  <c:v>3.7800000000000328E-4</c:v>
                </c:pt>
                <c:pt idx="1">
                  <c:v>2.5400000000003198E-4</c:v>
                </c:pt>
                <c:pt idx="2">
                  <c:v>1.5800000000001921E-4</c:v>
                </c:pt>
                <c:pt idx="3">
                  <c:v>-3.5400000000002102E-4</c:v>
                </c:pt>
                <c:pt idx="4">
                  <c:v>-3.0200000000002453E-4</c:v>
                </c:pt>
                <c:pt idx="5">
                  <c:v>4.4599999999998813E-4</c:v>
                </c:pt>
                <c:pt idx="6">
                  <c:v>-4.0200000000001351E-4</c:v>
                </c:pt>
                <c:pt idx="7">
                  <c:v>4.7159826666665072E-4</c:v>
                </c:pt>
                <c:pt idx="8">
                  <c:v>-2.2124626666664149E-4</c:v>
                </c:pt>
                <c:pt idx="9">
                  <c:v>-2.8677859999999561E-4</c:v>
                </c:pt>
                <c:pt idx="10">
                  <c:v>-1.2614413333401561E-4</c:v>
                </c:pt>
                <c:pt idx="11">
                  <c:v>-2.109882666659624E-4</c:v>
                </c:pt>
                <c:pt idx="12">
                  <c:v>-4.3129633333405248E-4</c:v>
                </c:pt>
                <c:pt idx="13">
                  <c:v>-4.4491719999906199E-4</c:v>
                </c:pt>
                <c:pt idx="14">
                  <c:v>4.626059333330268E-4</c:v>
                </c:pt>
                <c:pt idx="15">
                  <c:v>-2.0131166666692921E-4</c:v>
                </c:pt>
                <c:pt idx="16">
                  <c:v>4.4763419999893639E-4</c:v>
                </c:pt>
                <c:pt idx="17">
                  <c:v>-3.4280013333287668E-4</c:v>
                </c:pt>
                <c:pt idx="18">
                  <c:v>4.2431866666604873E-4</c:v>
                </c:pt>
                <c:pt idx="19">
                  <c:v>4.5896360000410858E-4</c:v>
                </c:pt>
                <c:pt idx="20">
                  <c:v>-4.0680486666699878E-4</c:v>
                </c:pt>
                <c:pt idx="21">
                  <c:v>4.0443940000001183E-4</c:v>
                </c:pt>
                <c:pt idx="22">
                  <c:v>-0.49402829566666712</c:v>
                </c:pt>
                <c:pt idx="23">
                  <c:v>-1.5040620210666671</c:v>
                </c:pt>
                <c:pt idx="24">
                  <c:v>-1.523494664533334</c:v>
                </c:pt>
                <c:pt idx="25">
                  <c:v>-1.6002988359999999</c:v>
                </c:pt>
                <c:pt idx="26">
                  <c:v>-1.2278652409999999</c:v>
                </c:pt>
                <c:pt idx="27">
                  <c:v>-1.3863168304000011</c:v>
                </c:pt>
                <c:pt idx="28">
                  <c:v>-1.3225012799333331</c:v>
                </c:pt>
                <c:pt idx="29">
                  <c:v>-0.85421841986666702</c:v>
                </c:pt>
                <c:pt idx="30">
                  <c:v>-1.2454295807333331</c:v>
                </c:pt>
                <c:pt idx="31">
                  <c:v>-0.28712226026666798</c:v>
                </c:pt>
                <c:pt idx="32">
                  <c:v>-0.67911002866666592</c:v>
                </c:pt>
                <c:pt idx="33">
                  <c:v>-0.86403563646666592</c:v>
                </c:pt>
                <c:pt idx="34">
                  <c:v>-0.50186986366666597</c:v>
                </c:pt>
                <c:pt idx="35">
                  <c:v>-0.41692081060000002</c:v>
                </c:pt>
                <c:pt idx="36">
                  <c:v>-8.8318867333333995E-2</c:v>
                </c:pt>
                <c:pt idx="37">
                  <c:v>-5.5358829666666998E-2</c:v>
                </c:pt>
                <c:pt idx="38">
                  <c:v>-4.0707199999573403E-5</c:v>
                </c:pt>
                <c:pt idx="39">
                  <c:v>-2.8630753333303011E-4</c:v>
                </c:pt>
                <c:pt idx="40">
                  <c:v>-1.3288813333334201E-4</c:v>
                </c:pt>
                <c:pt idx="41">
                  <c:v>-1.953333333299945E-4</c:v>
                </c:pt>
                <c:pt idx="42">
                  <c:v>2.2933333333008399E-4</c:v>
                </c:pt>
                <c:pt idx="43">
                  <c:v>-3.5600000000002302E-4</c:v>
                </c:pt>
                <c:pt idx="44">
                  <c:v>-3.2133333333006497E-4</c:v>
                </c:pt>
                <c:pt idx="45">
                  <c:v>-1.7600000000006499E-4</c:v>
                </c:pt>
                <c:pt idx="46">
                  <c:v>0.70139933333333304</c:v>
                </c:pt>
                <c:pt idx="47">
                  <c:v>0.28571633333333302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DE7-4FAD-A412-675D9D2D5709}"/>
            </c:ext>
          </c:extLst>
        </c:ser>
        <c:ser>
          <c:idx val="35"/>
          <c:order val="35"/>
          <c:tx>
            <c:v>BES_TR1_six317_C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Net_kW!$AL$2:$AL$49</c:f>
              <c:numCache>
                <c:formatCode>#,##0.000</c:formatCode>
                <c:ptCount val="48"/>
                <c:pt idx="0">
                  <c:v>2.2133333333301811E-4</c:v>
                </c:pt>
                <c:pt idx="1">
                  <c:v>3.6866666666698911E-4</c:v>
                </c:pt>
                <c:pt idx="2">
                  <c:v>-3.5600000000002302E-4</c:v>
                </c:pt>
                <c:pt idx="3">
                  <c:v>4.613333333330083E-4</c:v>
                </c:pt>
                <c:pt idx="4">
                  <c:v>-4.8166666666699109E-4</c:v>
                </c:pt>
                <c:pt idx="5">
                  <c:v>1.2600000000001499E-4</c:v>
                </c:pt>
                <c:pt idx="6">
                  <c:v>3.7666666666699711E-4</c:v>
                </c:pt>
                <c:pt idx="7">
                  <c:v>-2.5750216666667319E-4</c:v>
                </c:pt>
                <c:pt idx="8">
                  <c:v>5.3875499999758707E-5</c:v>
                </c:pt>
                <c:pt idx="9">
                  <c:v>1.819341666699226E-5</c:v>
                </c:pt>
                <c:pt idx="10">
                  <c:v>-1.816801666674889E-4</c:v>
                </c:pt>
                <c:pt idx="11">
                  <c:v>2.8043133333449649E-4</c:v>
                </c:pt>
                <c:pt idx="12">
                  <c:v>4.5587958333248579E-4</c:v>
                </c:pt>
                <c:pt idx="13">
                  <c:v>-8.2298333325958595E-6</c:v>
                </c:pt>
                <c:pt idx="14">
                  <c:v>-3.0199258333307721E-4</c:v>
                </c:pt>
                <c:pt idx="15">
                  <c:v>-4.703062499999966E-4</c:v>
                </c:pt>
                <c:pt idx="16">
                  <c:v>-2.9040725000195611E-4</c:v>
                </c:pt>
                <c:pt idx="17">
                  <c:v>2.9183316666989151E-4</c:v>
                </c:pt>
                <c:pt idx="18">
                  <c:v>3.713983333319959E-4</c:v>
                </c:pt>
                <c:pt idx="19">
                  <c:v>-0.26994596216666511</c:v>
                </c:pt>
                <c:pt idx="20">
                  <c:v>-1.5883455894166669</c:v>
                </c:pt>
                <c:pt idx="21">
                  <c:v>-1.670747367416666</c:v>
                </c:pt>
                <c:pt idx="22">
                  <c:v>-1.130388869583334</c:v>
                </c:pt>
                <c:pt idx="23">
                  <c:v>-1.2399161929999989</c:v>
                </c:pt>
                <c:pt idx="24">
                  <c:v>-1.8084404973333339</c:v>
                </c:pt>
                <c:pt idx="25">
                  <c:v>-1.956973378333333</c:v>
                </c:pt>
                <c:pt idx="26">
                  <c:v>-1.4771407179166669</c:v>
                </c:pt>
                <c:pt idx="27">
                  <c:v>-1.775523954666667</c:v>
                </c:pt>
                <c:pt idx="28">
                  <c:v>-1.026405766583333</c:v>
                </c:pt>
                <c:pt idx="29">
                  <c:v>-1.420846024833335</c:v>
                </c:pt>
                <c:pt idx="30">
                  <c:v>-1.418386342583333</c:v>
                </c:pt>
                <c:pt idx="31">
                  <c:v>-1.0505769086666681</c:v>
                </c:pt>
                <c:pt idx="32">
                  <c:v>-1.087085835833332</c:v>
                </c:pt>
                <c:pt idx="33">
                  <c:v>-0.6619762455833329</c:v>
                </c:pt>
                <c:pt idx="34">
                  <c:v>-4.587295833325955E-4</c:v>
                </c:pt>
                <c:pt idx="35">
                  <c:v>2.1808675000012381E-4</c:v>
                </c:pt>
                <c:pt idx="36">
                  <c:v>-3.0208416666752108E-4</c:v>
                </c:pt>
                <c:pt idx="37">
                  <c:v>7.0796250000004779E-5</c:v>
                </c:pt>
                <c:pt idx="38">
                  <c:v>-8.1467333333168357E-5</c:v>
                </c:pt>
                <c:pt idx="39">
                  <c:v>1.1603224999999759E-4</c:v>
                </c:pt>
                <c:pt idx="40">
                  <c:v>4.4497316666636261E-4</c:v>
                </c:pt>
                <c:pt idx="41">
                  <c:v>8.2000000000026496E-5</c:v>
                </c:pt>
                <c:pt idx="42">
                  <c:v>-3.2733333333301312E-4</c:v>
                </c:pt>
                <c:pt idx="43">
                  <c:v>4.3566666666694509E-4</c:v>
                </c:pt>
                <c:pt idx="44">
                  <c:v>-3.0299999999999772E-4</c:v>
                </c:pt>
                <c:pt idx="45">
                  <c:v>-7.7333333332985088E-5</c:v>
                </c:pt>
                <c:pt idx="46">
                  <c:v>-4.200000000000037E-4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7DE7-4FAD-A412-675D9D2D5709}"/>
            </c:ext>
          </c:extLst>
        </c:ser>
        <c:ser>
          <c:idx val="36"/>
          <c:order val="36"/>
          <c:tx>
            <c:v>BES_TR1_six326_A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Net_kW!$AM$2:$AM$49</c:f>
              <c:numCache>
                <c:formatCode>#,##0.000</c:formatCode>
                <c:ptCount val="48"/>
                <c:pt idx="0">
                  <c:v>-4.4733333333300818E-4</c:v>
                </c:pt>
                <c:pt idx="1">
                  <c:v>2.2066666666670229E-4</c:v>
                </c:pt>
                <c:pt idx="2">
                  <c:v>0</c:v>
                </c:pt>
                <c:pt idx="3">
                  <c:v>1.4199999999998941E-4</c:v>
                </c:pt>
                <c:pt idx="4">
                  <c:v>0</c:v>
                </c:pt>
                <c:pt idx="5">
                  <c:v>1.4199999999998941E-4</c:v>
                </c:pt>
                <c:pt idx="6">
                  <c:v>-2.266666666669859E-4</c:v>
                </c:pt>
                <c:pt idx="7">
                  <c:v>-1.9816883333326901E-4</c:v>
                </c:pt>
                <c:pt idx="8">
                  <c:v>-1.2105783333324351E-4</c:v>
                </c:pt>
                <c:pt idx="9">
                  <c:v>-3.584732500000049E-4</c:v>
                </c:pt>
                <c:pt idx="10">
                  <c:v>4.3565316666552278E-4</c:v>
                </c:pt>
                <c:pt idx="11">
                  <c:v>3.3876466666749039E-4</c:v>
                </c:pt>
                <c:pt idx="12">
                  <c:v>5.0879583332497091E-5</c:v>
                </c:pt>
                <c:pt idx="13">
                  <c:v>3.2710350000053617E-4</c:v>
                </c:pt>
                <c:pt idx="14">
                  <c:v>-2.2465925000003659E-4</c:v>
                </c:pt>
                <c:pt idx="15">
                  <c:v>-1.8897291666641891E-4</c:v>
                </c:pt>
                <c:pt idx="16">
                  <c:v>2.9045941666483438E-4</c:v>
                </c:pt>
                <c:pt idx="17">
                  <c:v>-0.2166335001666668</c:v>
                </c:pt>
                <c:pt idx="18">
                  <c:v>-1.359143268333334</c:v>
                </c:pt>
                <c:pt idx="19">
                  <c:v>-0.44578096216666202</c:v>
                </c:pt>
                <c:pt idx="20">
                  <c:v>-1.539569589416667</c:v>
                </c:pt>
                <c:pt idx="21">
                  <c:v>-1.3179117007500001</c:v>
                </c:pt>
                <c:pt idx="22">
                  <c:v>-1.462164869583334</c:v>
                </c:pt>
                <c:pt idx="23">
                  <c:v>-1.7312991929999999</c:v>
                </c:pt>
                <c:pt idx="24">
                  <c:v>-1.7809191639999999</c:v>
                </c:pt>
                <c:pt idx="25">
                  <c:v>-1.5829980450000001</c:v>
                </c:pt>
                <c:pt idx="26">
                  <c:v>-1.3921160512499999</c:v>
                </c:pt>
                <c:pt idx="27">
                  <c:v>-1.7045312880000001</c:v>
                </c:pt>
                <c:pt idx="28">
                  <c:v>-1.2645270999166669</c:v>
                </c:pt>
                <c:pt idx="29">
                  <c:v>-1.4536508581666681</c:v>
                </c:pt>
                <c:pt idx="30">
                  <c:v>-1.3414879759166669</c:v>
                </c:pt>
                <c:pt idx="31">
                  <c:v>-0.89614224200000192</c:v>
                </c:pt>
                <c:pt idx="32">
                  <c:v>-0.64692703583333211</c:v>
                </c:pt>
                <c:pt idx="33">
                  <c:v>-0.97392834558333297</c:v>
                </c:pt>
                <c:pt idx="34">
                  <c:v>-0.4009396629166655</c:v>
                </c:pt>
                <c:pt idx="35">
                  <c:v>-0.38089434658333299</c:v>
                </c:pt>
                <c:pt idx="36">
                  <c:v>-0.38281608416666751</c:v>
                </c:pt>
                <c:pt idx="37">
                  <c:v>-4.8317537083334028E-2</c:v>
                </c:pt>
                <c:pt idx="38">
                  <c:v>-3.7717467333333199E-2</c:v>
                </c:pt>
                <c:pt idx="39">
                  <c:v>-2.1530108333300821E-4</c:v>
                </c:pt>
                <c:pt idx="40">
                  <c:v>-3.5369349999969662E-4</c:v>
                </c:pt>
                <c:pt idx="41">
                  <c:v>3.4466666666976842E-4</c:v>
                </c:pt>
                <c:pt idx="42">
                  <c:v>-3.8533333333012898E-4</c:v>
                </c:pt>
                <c:pt idx="43">
                  <c:v>-4.1599999999997189E-4</c:v>
                </c:pt>
                <c:pt idx="44">
                  <c:v>2.5266666666978738E-4</c:v>
                </c:pt>
                <c:pt idx="45">
                  <c:v>3.1599999999976092E-4</c:v>
                </c:pt>
                <c:pt idx="46">
                  <c:v>0.88712799999999992</c:v>
                </c:pt>
                <c:pt idx="47">
                  <c:v>0.54701066666666698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DE7-4FAD-A412-675D9D2D5709}"/>
            </c:ext>
          </c:extLst>
        </c:ser>
        <c:ser>
          <c:idx val="37"/>
          <c:order val="37"/>
          <c:tx>
            <c:v>BES_TR1_six329_A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Net_kW!$AN$2:$AN$49</c:f>
              <c:numCache>
                <c:formatCode>#,##0.000</c:formatCode>
                <c:ptCount val="48"/>
                <c:pt idx="0">
                  <c:v>0</c:v>
                </c:pt>
                <c:pt idx="1">
                  <c:v>5.3333333332961093E-5</c:v>
                </c:pt>
                <c:pt idx="2">
                  <c:v>0</c:v>
                </c:pt>
                <c:pt idx="3">
                  <c:v>-4.099999999999937E-4</c:v>
                </c:pt>
                <c:pt idx="4">
                  <c:v>4.6333333333298249E-4</c:v>
                </c:pt>
                <c:pt idx="5">
                  <c:v>0</c:v>
                </c:pt>
                <c:pt idx="6">
                  <c:v>2.5333333333299462E-4</c:v>
                </c:pt>
                <c:pt idx="7">
                  <c:v>-1.505021666666703E-4</c:v>
                </c:pt>
                <c:pt idx="8">
                  <c:v>-4.5605783333327321E-4</c:v>
                </c:pt>
                <c:pt idx="9">
                  <c:v>6.6860083332981324E-5</c:v>
                </c:pt>
                <c:pt idx="10">
                  <c:v>-3.9968016666747102E-4</c:v>
                </c:pt>
                <c:pt idx="11">
                  <c:v>-3.4590199999945392E-4</c:v>
                </c:pt>
                <c:pt idx="12">
                  <c:v>-2.4912041666769191E-4</c:v>
                </c:pt>
                <c:pt idx="13">
                  <c:v>2.1710350000053719E-4</c:v>
                </c:pt>
                <c:pt idx="14">
                  <c:v>4.2080741666999932E-4</c:v>
                </c:pt>
                <c:pt idx="15">
                  <c:v>-3.1797291666701982E-4</c:v>
                </c:pt>
                <c:pt idx="16">
                  <c:v>2.0079274999895699E-4</c:v>
                </c:pt>
                <c:pt idx="17">
                  <c:v>4.1449983333308182E-4</c:v>
                </c:pt>
                <c:pt idx="18">
                  <c:v>3.1639833333207967E-4</c:v>
                </c:pt>
                <c:pt idx="19">
                  <c:v>-1.002989628833332</c:v>
                </c:pt>
                <c:pt idx="20">
                  <c:v>-1.7310522560833339</c:v>
                </c:pt>
                <c:pt idx="21">
                  <c:v>-1.93146570075</c:v>
                </c:pt>
                <c:pt idx="22">
                  <c:v>-1.9303578695833341</c:v>
                </c:pt>
                <c:pt idx="23">
                  <c:v>-2.084479193</c:v>
                </c:pt>
                <c:pt idx="24">
                  <c:v>-1.8758708306666669</c:v>
                </c:pt>
                <c:pt idx="25">
                  <c:v>-1.6918337116666671</c:v>
                </c:pt>
                <c:pt idx="26">
                  <c:v>-1.68327605125</c:v>
                </c:pt>
                <c:pt idx="27">
                  <c:v>-1.7464212880000001</c:v>
                </c:pt>
                <c:pt idx="28">
                  <c:v>-1.502785099916667</c:v>
                </c:pt>
                <c:pt idx="29">
                  <c:v>-1.292627191500002</c:v>
                </c:pt>
                <c:pt idx="30">
                  <c:v>-1.6154553092499999</c:v>
                </c:pt>
                <c:pt idx="31">
                  <c:v>-8.0647241999997954E-2</c:v>
                </c:pt>
                <c:pt idx="32">
                  <c:v>-1.1715959691666651</c:v>
                </c:pt>
                <c:pt idx="33">
                  <c:v>-0.95703587891666597</c:v>
                </c:pt>
                <c:pt idx="34">
                  <c:v>-0.68887632958333245</c:v>
                </c:pt>
                <c:pt idx="35">
                  <c:v>-0.475001846583333</c:v>
                </c:pt>
                <c:pt idx="36">
                  <c:v>-0.34967108416666748</c:v>
                </c:pt>
                <c:pt idx="37">
                  <c:v>-0.29456853708333341</c:v>
                </c:pt>
                <c:pt idx="38">
                  <c:v>-7.0197800666666199E-2</c:v>
                </c:pt>
                <c:pt idx="39">
                  <c:v>-7.4967750000001776E-5</c:v>
                </c:pt>
                <c:pt idx="40">
                  <c:v>-4.5236016666667928E-4</c:v>
                </c:pt>
                <c:pt idx="41">
                  <c:v>-5.9333333332994842E-5</c:v>
                </c:pt>
                <c:pt idx="42">
                  <c:v>1.126666666669829E-4</c:v>
                </c:pt>
                <c:pt idx="43">
                  <c:v>-3.1000000000000472E-4</c:v>
                </c:pt>
                <c:pt idx="44">
                  <c:v>2.6333333333300463E-4</c:v>
                </c:pt>
                <c:pt idx="45">
                  <c:v>1.0000000000000291E-4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7DE7-4FAD-A412-675D9D2D5709}"/>
            </c:ext>
          </c:extLst>
        </c:ser>
        <c:ser>
          <c:idx val="38"/>
          <c:order val="38"/>
          <c:tx>
            <c:v>BES_TR1_six342_A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Net_kW!$AO$2:$AO$49</c:f>
              <c:numCache>
                <c:formatCode>#,##0.000</c:formatCode>
                <c:ptCount val="48"/>
                <c:pt idx="0">
                  <c:v>4.5466666666699179E-4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-4.9199999999999244E-4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-3.0086939999990169E-4</c:v>
                </c:pt>
                <c:pt idx="9">
                  <c:v>-4.3016790000000032E-4</c:v>
                </c:pt>
                <c:pt idx="10">
                  <c:v>3.0345046666568898E-4</c:v>
                </c:pt>
                <c:pt idx="11">
                  <c:v>-1.941490666655388E-4</c:v>
                </c:pt>
                <c:pt idx="12">
                  <c:v>3.1505549999877308E-4</c:v>
                </c:pt>
                <c:pt idx="13">
                  <c:v>-5.1875799999101517E-5</c:v>
                </c:pt>
                <c:pt idx="14">
                  <c:v>-4.6959110000011067E-4</c:v>
                </c:pt>
                <c:pt idx="15">
                  <c:v>3.0432499999788479E-5</c:v>
                </c:pt>
                <c:pt idx="16">
                  <c:v>-0.50857504870000092</c:v>
                </c:pt>
                <c:pt idx="17">
                  <c:v>-1.8286522002000001</c:v>
                </c:pt>
                <c:pt idx="18">
                  <c:v>-2.0294315220000012</c:v>
                </c:pt>
                <c:pt idx="19">
                  <c:v>-2.1777875545999992</c:v>
                </c:pt>
                <c:pt idx="20">
                  <c:v>-2.308006707300001</c:v>
                </c:pt>
                <c:pt idx="21">
                  <c:v>-2.3349708409000001</c:v>
                </c:pt>
                <c:pt idx="22">
                  <c:v>-2.4917334435000011</c:v>
                </c:pt>
                <c:pt idx="23">
                  <c:v>-2.4580850316</c:v>
                </c:pt>
                <c:pt idx="24">
                  <c:v>-2.5214429968000012</c:v>
                </c:pt>
                <c:pt idx="25">
                  <c:v>-2.0558598539999999</c:v>
                </c:pt>
                <c:pt idx="26">
                  <c:v>-2.3969997615</c:v>
                </c:pt>
                <c:pt idx="27">
                  <c:v>-2.262774545600001</c:v>
                </c:pt>
                <c:pt idx="28">
                  <c:v>-2.2363831199000002</c:v>
                </c:pt>
                <c:pt idx="29">
                  <c:v>-2.0311346298000008</c:v>
                </c:pt>
                <c:pt idx="30">
                  <c:v>-1.9568807711</c:v>
                </c:pt>
                <c:pt idx="31">
                  <c:v>-1.7118052237333341</c:v>
                </c:pt>
                <c:pt idx="32">
                  <c:v>-1.401160376333332</c:v>
                </c:pt>
                <c:pt idx="33">
                  <c:v>-1.2323201213666659</c:v>
                </c:pt>
                <c:pt idx="34">
                  <c:v>-0.94776212883333211</c:v>
                </c:pt>
                <c:pt idx="35">
                  <c:v>-0.76932288256666714</c:v>
                </c:pt>
                <c:pt idx="36">
                  <c:v>-0.47455770100000111</c:v>
                </c:pt>
                <c:pt idx="37">
                  <c:v>-0.33474237783333288</c:v>
                </c:pt>
                <c:pt idx="38">
                  <c:v>-0.1532052274666669</c:v>
                </c:pt>
                <c:pt idx="39">
                  <c:v>-2.8897294633333299E-2</c:v>
                </c:pt>
                <c:pt idx="40">
                  <c:v>-2.0549886666701431E-4</c:v>
                </c:pt>
                <c:pt idx="41">
                  <c:v>-2.4899999999966619E-5</c:v>
                </c:pt>
                <c:pt idx="42">
                  <c:v>1.5466666666702489E-4</c:v>
                </c:pt>
                <c:pt idx="43">
                  <c:v>1.023333333330934E-4</c:v>
                </c:pt>
                <c:pt idx="44">
                  <c:v>-2.8199999999994901E-4</c:v>
                </c:pt>
                <c:pt idx="45">
                  <c:v>-3.1666666666602122E-4</c:v>
                </c:pt>
                <c:pt idx="46">
                  <c:v>-3.3933333333302512E-4</c:v>
                </c:pt>
                <c:pt idx="47">
                  <c:v>-4.46666666670259E-5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DE7-4FAD-A412-675D9D2D5709}"/>
            </c:ext>
          </c:extLst>
        </c:ser>
        <c:ser>
          <c:idx val="39"/>
          <c:order val="39"/>
          <c:tx>
            <c:v>BES_TR1_six349_A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Net_kW!$AP$2:$AP$49</c:f>
              <c:numCache>
                <c:formatCode>#,##0.000</c:formatCode>
                <c:ptCount val="48"/>
                <c:pt idx="0">
                  <c:v>3.9999999999928981E-5</c:v>
                </c:pt>
                <c:pt idx="1">
                  <c:v>-3.3666666666698491E-4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-1.505021666666703E-4</c:v>
                </c:pt>
                <c:pt idx="8">
                  <c:v>-8.4057833333251591E-5</c:v>
                </c:pt>
                <c:pt idx="9">
                  <c:v>-3.5847325000001867E-4</c:v>
                </c:pt>
                <c:pt idx="10">
                  <c:v>-3.3768016666751999E-4</c:v>
                </c:pt>
                <c:pt idx="11">
                  <c:v>3.3876466666749039E-4</c:v>
                </c:pt>
                <c:pt idx="12">
                  <c:v>5.0879583332497091E-5</c:v>
                </c:pt>
                <c:pt idx="13">
                  <c:v>8.8436833334482046E-5</c:v>
                </c:pt>
                <c:pt idx="14">
                  <c:v>-2.2465924999992559E-4</c:v>
                </c:pt>
                <c:pt idx="15">
                  <c:v>-1.4130624999975081E-4</c:v>
                </c:pt>
                <c:pt idx="16">
                  <c:v>-2.0587391666793131E-4</c:v>
                </c:pt>
                <c:pt idx="17">
                  <c:v>-0.39940683349999978</c:v>
                </c:pt>
                <c:pt idx="18">
                  <c:v>-1.5786672683333349</c:v>
                </c:pt>
                <c:pt idx="19">
                  <c:v>-1.665949628833332</c:v>
                </c:pt>
                <c:pt idx="20">
                  <c:v>-1.774465589416667</c:v>
                </c:pt>
                <c:pt idx="21">
                  <c:v>-1.8640257007500001</c:v>
                </c:pt>
                <c:pt idx="22">
                  <c:v>-1.8915712029166669</c:v>
                </c:pt>
                <c:pt idx="23">
                  <c:v>-1.9796471929999999</c:v>
                </c:pt>
                <c:pt idx="24">
                  <c:v>-2.0984841639999998</c:v>
                </c:pt>
                <c:pt idx="25">
                  <c:v>-1.8109943783333331</c:v>
                </c:pt>
                <c:pt idx="26">
                  <c:v>-1.1290937179166669</c:v>
                </c:pt>
                <c:pt idx="27">
                  <c:v>1.8271200000297141E-4</c:v>
                </c:pt>
                <c:pt idx="28">
                  <c:v>1.7756675000035749E-4</c:v>
                </c:pt>
                <c:pt idx="29">
                  <c:v>3.248084999989409E-4</c:v>
                </c:pt>
                <c:pt idx="30">
                  <c:v>-0.55809930925000018</c:v>
                </c:pt>
                <c:pt idx="31">
                  <c:v>-1.3066499086666681</c:v>
                </c:pt>
                <c:pt idx="32">
                  <c:v>-0.85703670249999908</c:v>
                </c:pt>
                <c:pt idx="33">
                  <c:v>-0.74106854558333302</c:v>
                </c:pt>
                <c:pt idx="34">
                  <c:v>-0.75181066291666543</c:v>
                </c:pt>
                <c:pt idx="35">
                  <c:v>-0.36576817991666699</c:v>
                </c:pt>
                <c:pt idx="36">
                  <c:v>-0.43193075083333449</c:v>
                </c:pt>
                <c:pt idx="37">
                  <c:v>-0.34221920374999998</c:v>
                </c:pt>
                <c:pt idx="38">
                  <c:v>-0.1782004673333332</c:v>
                </c:pt>
                <c:pt idx="39">
                  <c:v>4.7836558333300139E-4</c:v>
                </c:pt>
                <c:pt idx="40">
                  <c:v>9.3639833333325484E-5</c:v>
                </c:pt>
                <c:pt idx="41">
                  <c:v>-4.1466666666700741E-4</c:v>
                </c:pt>
                <c:pt idx="42">
                  <c:v>2.9399999999990539E-4</c:v>
                </c:pt>
                <c:pt idx="43">
                  <c:v>2.8666666666987689E-4</c:v>
                </c:pt>
                <c:pt idx="44">
                  <c:v>1.9556833333333301</c:v>
                </c:pt>
                <c:pt idx="45">
                  <c:v>0.49304633333333298</c:v>
                </c:pt>
                <c:pt idx="46">
                  <c:v>0.37425966666666699</c:v>
                </c:pt>
                <c:pt idx="47">
                  <c:v>0.27930766666666701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7DE7-4FAD-A412-675D9D2D5709}"/>
            </c:ext>
          </c:extLst>
        </c:ser>
        <c:ser>
          <c:idx val="40"/>
          <c:order val="40"/>
          <c:tx>
            <c:v>BES_TR1_six350_B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Net_kW!$AQ$2:$AQ$49</c:f>
              <c:numCache>
                <c:formatCode>#,##0.000</c:formatCode>
                <c:ptCount val="48"/>
                <c:pt idx="0">
                  <c:v>0</c:v>
                </c:pt>
                <c:pt idx="1">
                  <c:v>2.9399999999998871E-4</c:v>
                </c:pt>
                <c:pt idx="2">
                  <c:v>0</c:v>
                </c:pt>
                <c:pt idx="3">
                  <c:v>0</c:v>
                </c:pt>
                <c:pt idx="4">
                  <c:v>2.9399999999998871E-4</c:v>
                </c:pt>
                <c:pt idx="5">
                  <c:v>0</c:v>
                </c:pt>
                <c:pt idx="6">
                  <c:v>1.959999999999879E-4</c:v>
                </c:pt>
                <c:pt idx="7">
                  <c:v>-3.4280346666666628E-4</c:v>
                </c:pt>
                <c:pt idx="8">
                  <c:v>2.6550746666679619E-4</c:v>
                </c:pt>
                <c:pt idx="9">
                  <c:v>1.7477613333330419E-4</c:v>
                </c:pt>
                <c:pt idx="10">
                  <c:v>2.0537839999895671E-4</c:v>
                </c:pt>
                <c:pt idx="11">
                  <c:v>1.420234666681397E-4</c:v>
                </c:pt>
                <c:pt idx="12">
                  <c:v>-3.7292600000105042E-4</c:v>
                </c:pt>
                <c:pt idx="13">
                  <c:v>7.1656000015796204E-6</c:v>
                </c:pt>
                <c:pt idx="14">
                  <c:v>4.0545199999852948E-5</c:v>
                </c:pt>
                <c:pt idx="15">
                  <c:v>-0.82582295666666683</c:v>
                </c:pt>
                <c:pt idx="16">
                  <c:v>-2.2113293982666682</c:v>
                </c:pt>
                <c:pt idx="17">
                  <c:v>-2.392023600266667</c:v>
                </c:pt>
                <c:pt idx="18">
                  <c:v>-2.681553496000002</c:v>
                </c:pt>
                <c:pt idx="19">
                  <c:v>-2.832421606133332</c:v>
                </c:pt>
                <c:pt idx="20">
                  <c:v>-2.752705409733335</c:v>
                </c:pt>
                <c:pt idx="21">
                  <c:v>-3.2303051211999998</c:v>
                </c:pt>
                <c:pt idx="22">
                  <c:v>-3.2841315913333351</c:v>
                </c:pt>
                <c:pt idx="23">
                  <c:v>-3.3461190421333331</c:v>
                </c:pt>
                <c:pt idx="24">
                  <c:v>-3.3459846624000011</c:v>
                </c:pt>
                <c:pt idx="25">
                  <c:v>-3.3305243386666659</c:v>
                </c:pt>
                <c:pt idx="26">
                  <c:v>-3.2406618153333331</c:v>
                </c:pt>
                <c:pt idx="27">
                  <c:v>-3.1255369941333351</c:v>
                </c:pt>
                <c:pt idx="28">
                  <c:v>-3.0125078932</c:v>
                </c:pt>
                <c:pt idx="29">
                  <c:v>-2.7468961730666681</c:v>
                </c:pt>
                <c:pt idx="30">
                  <c:v>-2.6261284948000001</c:v>
                </c:pt>
                <c:pt idx="31">
                  <c:v>-2.3082898538666679</c:v>
                </c:pt>
                <c:pt idx="32">
                  <c:v>-2.0582477906666652</c:v>
                </c:pt>
                <c:pt idx="33">
                  <c:v>-1.6310892729333319</c:v>
                </c:pt>
                <c:pt idx="34">
                  <c:v>-1.279739060666665</c:v>
                </c:pt>
                <c:pt idx="35">
                  <c:v>-0.97688062120000008</c:v>
                </c:pt>
                <c:pt idx="36">
                  <c:v>-0.63617660133333498</c:v>
                </c:pt>
                <c:pt idx="37">
                  <c:v>-0.13414109266666699</c:v>
                </c:pt>
                <c:pt idx="38">
                  <c:v>-7.0383747733333168E-2</c:v>
                </c:pt>
                <c:pt idx="39">
                  <c:v>4.9905160000007776E-4</c:v>
                </c:pt>
                <c:pt idx="40">
                  <c:v>3.1555706666641647E-4</c:v>
                </c:pt>
                <c:pt idx="41">
                  <c:v>2.233333333301335E-5</c:v>
                </c:pt>
                <c:pt idx="42">
                  <c:v>1.449999999999507E-4</c:v>
                </c:pt>
                <c:pt idx="43">
                  <c:v>-2.1533333333301211E-4</c:v>
                </c:pt>
                <c:pt idx="44">
                  <c:v>-4.0866666666700141E-4</c:v>
                </c:pt>
                <c:pt idx="45">
                  <c:v>3.0266666666697861E-4</c:v>
                </c:pt>
                <c:pt idx="46">
                  <c:v>0</c:v>
                </c:pt>
                <c:pt idx="47">
                  <c:v>2.9399999999998871E-4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DE7-4FAD-A412-675D9D2D5709}"/>
            </c:ext>
          </c:extLst>
        </c:ser>
        <c:ser>
          <c:idx val="41"/>
          <c:order val="41"/>
          <c:tx>
            <c:v>BES_TR1_six378_A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Net_kW!$AR$2:$AR$49</c:f>
              <c:numCache>
                <c:formatCode>#,##0.000</c:formatCode>
                <c:ptCount val="48"/>
                <c:pt idx="0">
                  <c:v>-1.000000000000167E-4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2.6550746666679712E-4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4.0545199999852948E-5</c:v>
                </c:pt>
                <c:pt idx="15">
                  <c:v>-1.3396260900000001</c:v>
                </c:pt>
                <c:pt idx="16">
                  <c:v>-1.5685867316000011</c:v>
                </c:pt>
                <c:pt idx="17">
                  <c:v>4.5906640000004112E-4</c:v>
                </c:pt>
                <c:pt idx="18">
                  <c:v>2.0463733333186959E-4</c:v>
                </c:pt>
                <c:pt idx="19">
                  <c:v>-2.5783834061333319</c:v>
                </c:pt>
                <c:pt idx="20">
                  <c:v>-2.9127689430666681</c:v>
                </c:pt>
                <c:pt idx="21">
                  <c:v>-3.0016297878666669</c:v>
                </c:pt>
                <c:pt idx="22">
                  <c:v>-2.5805149246666672</c:v>
                </c:pt>
                <c:pt idx="23">
                  <c:v>-2.7228450421333328</c:v>
                </c:pt>
                <c:pt idx="24">
                  <c:v>-1.6995029957333381</c:v>
                </c:pt>
                <c:pt idx="25">
                  <c:v>-3.267848672</c:v>
                </c:pt>
                <c:pt idx="26">
                  <c:v>-3.2116511486666668</c:v>
                </c:pt>
                <c:pt idx="27">
                  <c:v>-2.843737327466668</c:v>
                </c:pt>
                <c:pt idx="28">
                  <c:v>-2.807795226533333</c:v>
                </c:pt>
                <c:pt idx="29">
                  <c:v>-2.2642371730666682</c:v>
                </c:pt>
                <c:pt idx="30">
                  <c:v>-2.6331284948000002</c:v>
                </c:pt>
                <c:pt idx="31">
                  <c:v>-2.3935838538666681</c:v>
                </c:pt>
                <c:pt idx="32">
                  <c:v>-1.054958390666662</c:v>
                </c:pt>
                <c:pt idx="33">
                  <c:v>-0.61877627293333193</c:v>
                </c:pt>
                <c:pt idx="34">
                  <c:v>-1.176807060666665</c:v>
                </c:pt>
                <c:pt idx="35">
                  <c:v>-0.84361828786666704</c:v>
                </c:pt>
                <c:pt idx="36">
                  <c:v>-0.65432693466666803</c:v>
                </c:pt>
                <c:pt idx="37">
                  <c:v>-0.36754039266666699</c:v>
                </c:pt>
                <c:pt idx="38">
                  <c:v>-3.1908106666620259E-4</c:v>
                </c:pt>
                <c:pt idx="39">
                  <c:v>8.3051599999994785E-5</c:v>
                </c:pt>
                <c:pt idx="40">
                  <c:v>7.8904000003210406E-6</c:v>
                </c:pt>
                <c:pt idx="41">
                  <c:v>4.8366666666699309E-4</c:v>
                </c:pt>
                <c:pt idx="42">
                  <c:v>4.656666666670306E-4</c:v>
                </c:pt>
                <c:pt idx="43">
                  <c:v>-2.469999999998862E-4</c:v>
                </c:pt>
                <c:pt idx="44">
                  <c:v>1.883333333330128E-4</c:v>
                </c:pt>
                <c:pt idx="45">
                  <c:v>4.596666666670246E-4</c:v>
                </c:pt>
                <c:pt idx="46">
                  <c:v>-1.0000000000009999E-5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7DE7-4FAD-A412-675D9D2D5709}"/>
            </c:ext>
          </c:extLst>
        </c:ser>
        <c:ser>
          <c:idx val="42"/>
          <c:order val="42"/>
          <c:tx>
            <c:v>BES_TR1_six75_A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Net_kW!$AS$2:$AS$49</c:f>
              <c:numCache>
                <c:formatCode>#,##0.000</c:formatCode>
                <c:ptCount val="48"/>
                <c:pt idx="0">
                  <c:v>6.9388939039072284E-18</c:v>
                </c:pt>
                <c:pt idx="1">
                  <c:v>-2.010000000000067E-4</c:v>
                </c:pt>
                <c:pt idx="2">
                  <c:v>3.9100000000000251E-4</c:v>
                </c:pt>
                <c:pt idx="3">
                  <c:v>-3.4333333333302912E-4</c:v>
                </c:pt>
                <c:pt idx="4">
                  <c:v>1.5666666666702689E-4</c:v>
                </c:pt>
                <c:pt idx="5">
                  <c:v>7.8666666667115415E-5</c:v>
                </c:pt>
                <c:pt idx="6">
                  <c:v>2.5333333333296681E-4</c:v>
                </c:pt>
                <c:pt idx="7">
                  <c:v>2.6439740000000489E-4</c:v>
                </c:pt>
                <c:pt idx="8">
                  <c:v>3.1413060000010101E-4</c:v>
                </c:pt>
                <c:pt idx="9">
                  <c:v>3.2283210000001727E-4</c:v>
                </c:pt>
                <c:pt idx="10">
                  <c:v>-2.9821620000103349E-4</c:v>
                </c:pt>
                <c:pt idx="11">
                  <c:v>-3.9348239999892343E-4</c:v>
                </c:pt>
                <c:pt idx="12">
                  <c:v>3.8305549999884109E-4</c:v>
                </c:pt>
                <c:pt idx="13">
                  <c:v>-1.6787579999888449E-4</c:v>
                </c:pt>
                <c:pt idx="14">
                  <c:v>-4.6959110000011067E-4</c:v>
                </c:pt>
                <c:pt idx="15">
                  <c:v>-1.705675000003293E-4</c:v>
                </c:pt>
                <c:pt idx="16">
                  <c:v>4.139512999989936E-4</c:v>
                </c:pt>
                <c:pt idx="17">
                  <c:v>-0.85348820019999994</c:v>
                </c:pt>
                <c:pt idx="18">
                  <c:v>-1.9039715220000011</c:v>
                </c:pt>
                <c:pt idx="19">
                  <c:v>-2.1827875545999991</c:v>
                </c:pt>
                <c:pt idx="20">
                  <c:v>-2.3130067073000009</c:v>
                </c:pt>
                <c:pt idx="21">
                  <c:v>-2.3878638409000001</c:v>
                </c:pt>
                <c:pt idx="22">
                  <c:v>-2.3844334435000012</c:v>
                </c:pt>
                <c:pt idx="23">
                  <c:v>-2.4868100316000001</c:v>
                </c:pt>
                <c:pt idx="24">
                  <c:v>-2.2673546968000009</c:v>
                </c:pt>
                <c:pt idx="25">
                  <c:v>-2.2993512539999998</c:v>
                </c:pt>
                <c:pt idx="26">
                  <c:v>-2.3135619281666671</c:v>
                </c:pt>
                <c:pt idx="27">
                  <c:v>-2.056902612266668</c:v>
                </c:pt>
                <c:pt idx="28">
                  <c:v>-2.1499005199000001</c:v>
                </c:pt>
                <c:pt idx="29">
                  <c:v>-1.8535606298000009</c:v>
                </c:pt>
                <c:pt idx="30">
                  <c:v>-1.8349783711000001</c:v>
                </c:pt>
                <c:pt idx="31">
                  <c:v>-1.7576878904000011</c:v>
                </c:pt>
                <c:pt idx="32">
                  <c:v>-1.421166042999999</c:v>
                </c:pt>
                <c:pt idx="33">
                  <c:v>-1.1264354546999991</c:v>
                </c:pt>
                <c:pt idx="34">
                  <c:v>-0.90627079549999912</c:v>
                </c:pt>
                <c:pt idx="35">
                  <c:v>-0.62514021590000013</c:v>
                </c:pt>
                <c:pt idx="36">
                  <c:v>-0.65018770100000101</c:v>
                </c:pt>
                <c:pt idx="37">
                  <c:v>-0.40885771116666669</c:v>
                </c:pt>
                <c:pt idx="38">
                  <c:v>-4.6582227466666931E-2</c:v>
                </c:pt>
                <c:pt idx="39">
                  <c:v>2.1970536666693349E-4</c:v>
                </c:pt>
                <c:pt idx="40">
                  <c:v>2.0216779999993051E-4</c:v>
                </c:pt>
                <c:pt idx="41">
                  <c:v>3.4800000000001502E-4</c:v>
                </c:pt>
                <c:pt idx="42">
                  <c:v>-2.4800000000002598E-4</c:v>
                </c:pt>
                <c:pt idx="43">
                  <c:v>4.9799999999999844E-4</c:v>
                </c:pt>
                <c:pt idx="44">
                  <c:v>3.4800000000001502E-4</c:v>
                </c:pt>
                <c:pt idx="45">
                  <c:v>-4.4666666666970389E-5</c:v>
                </c:pt>
                <c:pt idx="46">
                  <c:v>-1.3333333333304109E-4</c:v>
                </c:pt>
                <c:pt idx="47">
                  <c:v>-2.0000000000003351E-4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DE7-4FAD-A412-675D9D2D5709}"/>
            </c:ext>
          </c:extLst>
        </c:ser>
        <c:ser>
          <c:idx val="43"/>
          <c:order val="43"/>
          <c:tx>
            <c:v>BES_TR1_six385_B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Net_kW!$AT$2:$AT$49</c:f>
              <c:numCache>
                <c:formatCode>#,##0.000</c:formatCode>
                <c:ptCount val="48"/>
                <c:pt idx="0">
                  <c:v>-4.8233333333297379E-4</c:v>
                </c:pt>
                <c:pt idx="1">
                  <c:v>0</c:v>
                </c:pt>
                <c:pt idx="2">
                  <c:v>0</c:v>
                </c:pt>
                <c:pt idx="3">
                  <c:v>-8.6666666666984638E-5</c:v>
                </c:pt>
                <c:pt idx="4">
                  <c:v>-2.0866666666669731E-4</c:v>
                </c:pt>
                <c:pt idx="5">
                  <c:v>3.9566666666669692E-4</c:v>
                </c:pt>
                <c:pt idx="6">
                  <c:v>3.0900000000000372E-4</c:v>
                </c:pt>
                <c:pt idx="7">
                  <c:v>-2.9030130000000381E-4</c:v>
                </c:pt>
                <c:pt idx="8">
                  <c:v>5.4231966667039888E-5</c:v>
                </c:pt>
                <c:pt idx="9">
                  <c:v>-2.150839499999932E-4</c:v>
                </c:pt>
                <c:pt idx="10">
                  <c:v>-2.633414333335065E-4</c:v>
                </c:pt>
                <c:pt idx="11">
                  <c:v>3.6425880000051652E-4</c:v>
                </c:pt>
                <c:pt idx="12">
                  <c:v>3.0527749999342817E-5</c:v>
                </c:pt>
                <c:pt idx="13">
                  <c:v>-4.4827123333252011E-4</c:v>
                </c:pt>
                <c:pt idx="14">
                  <c:v>2.6520445000000059E-4</c:v>
                </c:pt>
                <c:pt idx="15">
                  <c:v>7.6216250000094021E-5</c:v>
                </c:pt>
                <c:pt idx="16">
                  <c:v>2.0142316666360571E-5</c:v>
                </c:pt>
                <c:pt idx="17">
                  <c:v>-5.7100099999929377E-5</c:v>
                </c:pt>
                <c:pt idx="18">
                  <c:v>3.0190566666699059E-4</c:v>
                </c:pt>
                <c:pt idx="19">
                  <c:v>-3.937772999991207E-4</c:v>
                </c:pt>
                <c:pt idx="20">
                  <c:v>-8.4798686983332927E-2</c:v>
                </c:pt>
                <c:pt idx="21">
                  <c:v>-1.19423942045</c:v>
                </c:pt>
                <c:pt idx="22">
                  <c:v>-1.2323667217500001</c:v>
                </c:pt>
                <c:pt idx="23">
                  <c:v>-1.1735265157999999</c:v>
                </c:pt>
                <c:pt idx="24">
                  <c:v>-1.1447868317333341</c:v>
                </c:pt>
                <c:pt idx="25">
                  <c:v>-1.1682767603333331</c:v>
                </c:pt>
                <c:pt idx="26">
                  <c:v>-1.1459552974166669</c:v>
                </c:pt>
                <c:pt idx="27">
                  <c:v>-1.100522039466667</c:v>
                </c:pt>
                <c:pt idx="28">
                  <c:v>-0.98663045994999998</c:v>
                </c:pt>
                <c:pt idx="29">
                  <c:v>-1.0423213148999999</c:v>
                </c:pt>
                <c:pt idx="30">
                  <c:v>-0.80815551888333292</c:v>
                </c:pt>
                <c:pt idx="31">
                  <c:v>-0.85265694520000046</c:v>
                </c:pt>
                <c:pt idx="32">
                  <c:v>-0.77232068816666621</c:v>
                </c:pt>
                <c:pt idx="33">
                  <c:v>-0.64445946068333271</c:v>
                </c:pt>
                <c:pt idx="34">
                  <c:v>-0.33823119774999938</c:v>
                </c:pt>
                <c:pt idx="35">
                  <c:v>-0.40657310795000012</c:v>
                </c:pt>
                <c:pt idx="36">
                  <c:v>-0.30909385050000049</c:v>
                </c:pt>
                <c:pt idx="37">
                  <c:v>-6.7476555833329843E-3</c:v>
                </c:pt>
                <c:pt idx="38">
                  <c:v>-8.53200137333332E-2</c:v>
                </c:pt>
                <c:pt idx="39">
                  <c:v>-3.4564731666703041E-4</c:v>
                </c:pt>
                <c:pt idx="40">
                  <c:v>4.4125056666696749E-4</c:v>
                </c:pt>
                <c:pt idx="41">
                  <c:v>-5.6666666699012316E-6</c:v>
                </c:pt>
                <c:pt idx="42">
                  <c:v>-3.6300000000000221E-4</c:v>
                </c:pt>
                <c:pt idx="43">
                  <c:v>-2.9833333333295631E-4</c:v>
                </c:pt>
                <c:pt idx="44">
                  <c:v>2.7999999999994701E-4</c:v>
                </c:pt>
                <c:pt idx="45">
                  <c:v>-2.31000000000009E-4</c:v>
                </c:pt>
                <c:pt idx="46">
                  <c:v>-4.8233333333297379E-4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7DE7-4FAD-A412-675D9D2D5709}"/>
            </c:ext>
          </c:extLst>
        </c:ser>
        <c:ser>
          <c:idx val="44"/>
          <c:order val="44"/>
          <c:tx>
            <c:v>BES_TR1_six387_A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Net_kW!$AU$2:$AU$49</c:f>
              <c:numCache>
                <c:formatCode>#,##0.000</c:formatCode>
                <c:ptCount val="48"/>
                <c:pt idx="0">
                  <c:v>-3.5000000000000309E-4</c:v>
                </c:pt>
                <c:pt idx="1">
                  <c:v>-4.6666666667000152E-5</c:v>
                </c:pt>
                <c:pt idx="2">
                  <c:v>0</c:v>
                </c:pt>
                <c:pt idx="3">
                  <c:v>-2.316666666669909E-4</c:v>
                </c:pt>
                <c:pt idx="4">
                  <c:v>-1.6500000000002621E-4</c:v>
                </c:pt>
                <c:pt idx="5">
                  <c:v>0</c:v>
                </c:pt>
                <c:pt idx="6">
                  <c:v>2.9999999999999472E-4</c:v>
                </c:pt>
                <c:pt idx="7">
                  <c:v>-1.6030129999999859E-4</c:v>
                </c:pt>
                <c:pt idx="8">
                  <c:v>2.5956530000006972E-4</c:v>
                </c:pt>
                <c:pt idx="9">
                  <c:v>-2.3908395000001031E-4</c:v>
                </c:pt>
                <c:pt idx="10">
                  <c:v>-2.5274766667110479E-5</c:v>
                </c:pt>
                <c:pt idx="11">
                  <c:v>-2.6741199999499868E-5</c:v>
                </c:pt>
                <c:pt idx="12">
                  <c:v>2.0386108333236841E-4</c:v>
                </c:pt>
                <c:pt idx="13">
                  <c:v>-1.5293789999948351E-4</c:v>
                </c:pt>
                <c:pt idx="14">
                  <c:v>4.1253778333305569E-4</c:v>
                </c:pt>
                <c:pt idx="15">
                  <c:v>-2.8783749999816699E-5</c:v>
                </c:pt>
                <c:pt idx="16">
                  <c:v>-4.7352435000058701E-4</c:v>
                </c:pt>
                <c:pt idx="17">
                  <c:v>-8.1000999998526169E-6</c:v>
                </c:pt>
                <c:pt idx="18">
                  <c:v>-2.3842766666659629E-4</c:v>
                </c:pt>
                <c:pt idx="19">
                  <c:v>-2.2377729999911719E-4</c:v>
                </c:pt>
                <c:pt idx="20">
                  <c:v>4.2664635000000389E-4</c:v>
                </c:pt>
                <c:pt idx="21">
                  <c:v>-0.27796308711666678</c:v>
                </c:pt>
                <c:pt idx="22">
                  <c:v>-0.63609872174999993</c:v>
                </c:pt>
                <c:pt idx="23">
                  <c:v>-3.4218246667028218E-4</c:v>
                </c:pt>
                <c:pt idx="24">
                  <c:v>-9.4523831733334007E-2</c:v>
                </c:pt>
                <c:pt idx="25">
                  <c:v>-0.782811960333333</c:v>
                </c:pt>
                <c:pt idx="26">
                  <c:v>4.8023591666990217E-4</c:v>
                </c:pt>
                <c:pt idx="27">
                  <c:v>-4.4303946666610078E-4</c:v>
                </c:pt>
                <c:pt idx="28">
                  <c:v>-0.60812595994999996</c:v>
                </c:pt>
                <c:pt idx="29">
                  <c:v>-0.94290731490000002</c:v>
                </c:pt>
                <c:pt idx="30">
                  <c:v>-0.71430285221666701</c:v>
                </c:pt>
                <c:pt idx="31">
                  <c:v>-0.32124394520000038</c:v>
                </c:pt>
                <c:pt idx="32">
                  <c:v>-0.63904985483333254</c:v>
                </c:pt>
                <c:pt idx="33">
                  <c:v>-0.622233394016666</c:v>
                </c:pt>
                <c:pt idx="34">
                  <c:v>-0.34148106441666642</c:v>
                </c:pt>
                <c:pt idx="35">
                  <c:v>-0.33185110795000011</c:v>
                </c:pt>
                <c:pt idx="36">
                  <c:v>-0.28851785050000051</c:v>
                </c:pt>
                <c:pt idx="37">
                  <c:v>4.9581108333300594E-4</c:v>
                </c:pt>
                <c:pt idx="38">
                  <c:v>-2.1144470666666082E-3</c:v>
                </c:pt>
                <c:pt idx="39">
                  <c:v>-3.7431398333304111E-4</c:v>
                </c:pt>
                <c:pt idx="40">
                  <c:v>-4.0508276666684218E-4</c:v>
                </c:pt>
                <c:pt idx="41">
                  <c:v>1.200000000003421E-4</c:v>
                </c:pt>
                <c:pt idx="42">
                  <c:v>-2.0600000000003951E-4</c:v>
                </c:pt>
                <c:pt idx="43">
                  <c:v>2.9733333333301082E-4</c:v>
                </c:pt>
                <c:pt idx="44">
                  <c:v>1.1499999999997621E-4</c:v>
                </c:pt>
                <c:pt idx="45">
                  <c:v>3.2400000000001872E-4</c:v>
                </c:pt>
                <c:pt idx="46">
                  <c:v>-1.6500000000002621E-4</c:v>
                </c:pt>
                <c:pt idx="47">
                  <c:v>4.0866666666700141E-4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DE7-4FAD-A412-675D9D2D5709}"/>
            </c:ext>
          </c:extLst>
        </c:ser>
        <c:ser>
          <c:idx val="45"/>
          <c:order val="45"/>
          <c:tx>
            <c:v>BES_TR1_six410_A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Net_kW!$AV$2:$AV$49</c:f>
              <c:numCache>
                <c:formatCode>#,##0.000</c:formatCode>
                <c:ptCount val="48"/>
                <c:pt idx="0">
                  <c:v>-1.2633333333303409E-4</c:v>
                </c:pt>
                <c:pt idx="1">
                  <c:v>1.886666666666981E-4</c:v>
                </c:pt>
                <c:pt idx="2">
                  <c:v>-2.5066666666700987E-4</c:v>
                </c:pt>
                <c:pt idx="3">
                  <c:v>3.8093333333300011E-4</c:v>
                </c:pt>
                <c:pt idx="4">
                  <c:v>-6.2666666666599813E-5</c:v>
                </c:pt>
                <c:pt idx="5">
                  <c:v>-2.193333333329883E-4</c:v>
                </c:pt>
                <c:pt idx="6">
                  <c:v>3.5999999999999921E-4</c:v>
                </c:pt>
                <c:pt idx="7">
                  <c:v>1.229315999999592E-4</c:v>
                </c:pt>
                <c:pt idx="8">
                  <c:v>-2.5257959999991359E-4</c:v>
                </c:pt>
                <c:pt idx="9">
                  <c:v>3.332214E-4</c:v>
                </c:pt>
                <c:pt idx="10">
                  <c:v>4.7855866666002278E-5</c:v>
                </c:pt>
                <c:pt idx="11">
                  <c:v>-4.4898826666600611E-4</c:v>
                </c:pt>
                <c:pt idx="12">
                  <c:v>-3.1429633333407431E-4</c:v>
                </c:pt>
                <c:pt idx="13">
                  <c:v>8.2416133334040076E-5</c:v>
                </c:pt>
                <c:pt idx="14">
                  <c:v>3.0939266666640819E-5</c:v>
                </c:pt>
                <c:pt idx="15">
                  <c:v>-2.8637833333300389E-4</c:v>
                </c:pt>
                <c:pt idx="16">
                  <c:v>-4.4669913333394978E-4</c:v>
                </c:pt>
                <c:pt idx="17">
                  <c:v>5.7199866666968191E-5</c:v>
                </c:pt>
                <c:pt idx="18">
                  <c:v>-1.2968133333401971E-4</c:v>
                </c:pt>
                <c:pt idx="19">
                  <c:v>-0.75443970306666586</c:v>
                </c:pt>
                <c:pt idx="20">
                  <c:v>-0.52980313820000391</c:v>
                </c:pt>
                <c:pt idx="21">
                  <c:v>-1.228905227266667</c:v>
                </c:pt>
                <c:pt idx="22">
                  <c:v>-1.305943295666667</c:v>
                </c:pt>
                <c:pt idx="23">
                  <c:v>-1.5893833544</c:v>
                </c:pt>
                <c:pt idx="24">
                  <c:v>-1.583522664533334</c:v>
                </c:pt>
                <c:pt idx="25">
                  <c:v>-1.6456808359999999</c:v>
                </c:pt>
                <c:pt idx="26">
                  <c:v>-1.4379812409999999</c:v>
                </c:pt>
                <c:pt idx="27">
                  <c:v>-1.558667163733334</c:v>
                </c:pt>
                <c:pt idx="28">
                  <c:v>-1.3475419466</c:v>
                </c:pt>
                <c:pt idx="29">
                  <c:v>-1.3302290865333339</c:v>
                </c:pt>
                <c:pt idx="30">
                  <c:v>-1.256673914066667</c:v>
                </c:pt>
                <c:pt idx="31">
                  <c:v>-1.116964260266667</c:v>
                </c:pt>
                <c:pt idx="32">
                  <c:v>-0.95947922866666591</c:v>
                </c:pt>
                <c:pt idx="33">
                  <c:v>-0.69098096979999901</c:v>
                </c:pt>
                <c:pt idx="34">
                  <c:v>-0.52643719699999891</c:v>
                </c:pt>
                <c:pt idx="35">
                  <c:v>-0.27092327726666698</c:v>
                </c:pt>
                <c:pt idx="36">
                  <c:v>-0.18560046733333399</c:v>
                </c:pt>
                <c:pt idx="37">
                  <c:v>4.5597033333300441E-4</c:v>
                </c:pt>
                <c:pt idx="38">
                  <c:v>-1.67738666665973E-5</c:v>
                </c:pt>
                <c:pt idx="39">
                  <c:v>3.202580000000177E-5</c:v>
                </c:pt>
                <c:pt idx="40">
                  <c:v>-7.2214666666375882E-6</c:v>
                </c:pt>
                <c:pt idx="41">
                  <c:v>1.426666666669851E-4</c:v>
                </c:pt>
                <c:pt idx="42">
                  <c:v>4.0700000000004621E-4</c:v>
                </c:pt>
                <c:pt idx="43">
                  <c:v>-4.7733333333305211E-4</c:v>
                </c:pt>
                <c:pt idx="44">
                  <c:v>-2.9999999999996701E-4</c:v>
                </c:pt>
                <c:pt idx="45">
                  <c:v>-3.1133333333299712E-4</c:v>
                </c:pt>
                <c:pt idx="46">
                  <c:v>3.0600000000000072E-4</c:v>
                </c:pt>
                <c:pt idx="47">
                  <c:v>-3.7333333333300361E-4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7DE7-4FAD-A412-675D9D2D5709}"/>
            </c:ext>
          </c:extLst>
        </c:ser>
        <c:ser>
          <c:idx val="46"/>
          <c:order val="46"/>
          <c:tx>
            <c:v>BES_TR1_six431_C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Net_kW!$AW$2:$AW$49</c:f>
              <c:numCache>
                <c:formatCode>#,##0.000</c:formatCode>
                <c:ptCount val="48"/>
                <c:pt idx="0">
                  <c:v>2.6599999999998852E-4</c:v>
                </c:pt>
                <c:pt idx="1">
                  <c:v>2.5333333333329988E-4</c:v>
                </c:pt>
                <c:pt idx="2">
                  <c:v>8.2000000000026496E-5</c:v>
                </c:pt>
                <c:pt idx="3">
                  <c:v>5.2333333333300092E-5</c:v>
                </c:pt>
                <c:pt idx="4">
                  <c:v>3.96333333332971E-4</c:v>
                </c:pt>
                <c:pt idx="5">
                  <c:v>-1.133333333329933E-4</c:v>
                </c:pt>
                <c:pt idx="6">
                  <c:v>-4.946666666670041E-4</c:v>
                </c:pt>
                <c:pt idx="7">
                  <c:v>-3.2050216666668069E-4</c:v>
                </c:pt>
                <c:pt idx="8">
                  <c:v>-1.4205783333325059E-4</c:v>
                </c:pt>
                <c:pt idx="9">
                  <c:v>-9.1806583332999792E-5</c:v>
                </c:pt>
                <c:pt idx="10">
                  <c:v>3.1231983333249169E-4</c:v>
                </c:pt>
                <c:pt idx="11">
                  <c:v>-2.425686666657767E-4</c:v>
                </c:pt>
                <c:pt idx="12">
                  <c:v>-2.0512041666753689E-4</c:v>
                </c:pt>
                <c:pt idx="13">
                  <c:v>-1.1563166665506939E-5</c:v>
                </c:pt>
                <c:pt idx="14">
                  <c:v>-2.8265925000015008E-4</c:v>
                </c:pt>
                <c:pt idx="15">
                  <c:v>2.5202708333305068E-4</c:v>
                </c:pt>
                <c:pt idx="16">
                  <c:v>-2.6387391666782278E-4</c:v>
                </c:pt>
                <c:pt idx="17">
                  <c:v>4.7983316666688758E-4</c:v>
                </c:pt>
                <c:pt idx="18">
                  <c:v>-0.84597793500000107</c:v>
                </c:pt>
                <c:pt idx="19">
                  <c:v>-1.6266979621666651</c:v>
                </c:pt>
                <c:pt idx="20">
                  <c:v>-0.34906692274999701</c:v>
                </c:pt>
                <c:pt idx="21">
                  <c:v>-1.87974570075</c:v>
                </c:pt>
                <c:pt idx="22">
                  <c:v>-1.8113945362499999</c:v>
                </c:pt>
                <c:pt idx="23">
                  <c:v>-1.752483193</c:v>
                </c:pt>
                <c:pt idx="24">
                  <c:v>-1.953374830666667</c:v>
                </c:pt>
                <c:pt idx="25">
                  <c:v>-1.889051045</c:v>
                </c:pt>
                <c:pt idx="26">
                  <c:v>-1.9840340512500001</c:v>
                </c:pt>
                <c:pt idx="27">
                  <c:v>-1.807327621333334</c:v>
                </c:pt>
                <c:pt idx="28">
                  <c:v>-1.58509043325</c:v>
                </c:pt>
                <c:pt idx="29">
                  <c:v>-1.5355838581666681</c:v>
                </c:pt>
                <c:pt idx="30">
                  <c:v>-1.292357642583333</c:v>
                </c:pt>
                <c:pt idx="31">
                  <c:v>-1.223605575333335</c:v>
                </c:pt>
                <c:pt idx="32">
                  <c:v>-1.2080450358333319</c:v>
                </c:pt>
                <c:pt idx="33">
                  <c:v>-1.03915021225</c:v>
                </c:pt>
                <c:pt idx="34">
                  <c:v>-0.51945599624999939</c:v>
                </c:pt>
                <c:pt idx="35">
                  <c:v>-0.53731117991666699</c:v>
                </c:pt>
                <c:pt idx="36">
                  <c:v>-0.28315241750000048</c:v>
                </c:pt>
                <c:pt idx="37">
                  <c:v>-0.21617353708333301</c:v>
                </c:pt>
                <c:pt idx="38">
                  <c:v>-5.7170800666666188E-2</c:v>
                </c:pt>
                <c:pt idx="39">
                  <c:v>4.0403224999990828E-4</c:v>
                </c:pt>
                <c:pt idx="40">
                  <c:v>4.126398333333392E-4</c:v>
                </c:pt>
                <c:pt idx="41">
                  <c:v>2.7200000000004998E-4</c:v>
                </c:pt>
                <c:pt idx="42">
                  <c:v>-1.5766666666705559E-4</c:v>
                </c:pt>
                <c:pt idx="43">
                  <c:v>-9.099999999995223E-5</c:v>
                </c:pt>
                <c:pt idx="44">
                  <c:v>1.966666666669836E-4</c:v>
                </c:pt>
                <c:pt idx="45">
                  <c:v>-4.8533333333300449E-4</c:v>
                </c:pt>
                <c:pt idx="46">
                  <c:v>-4.6999999999963737E-5</c:v>
                </c:pt>
                <c:pt idx="47">
                  <c:v>-4.7666666666669471E-4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DE7-4FAD-A412-675D9D2D5709}"/>
            </c:ext>
          </c:extLst>
        </c:ser>
        <c:ser>
          <c:idx val="47"/>
          <c:order val="47"/>
          <c:tx>
            <c:v>BES_TR1_six441_A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Net_kW!$AX$2:$AX$49</c:f>
              <c:numCache>
                <c:formatCode>#,##0.000</c:formatCode>
                <c:ptCount val="48"/>
                <c:pt idx="0">
                  <c:v>-3.4694469519536142E-18</c:v>
                </c:pt>
                <c:pt idx="1">
                  <c:v>4.399999999999959E-4</c:v>
                </c:pt>
                <c:pt idx="2">
                  <c:v>-3.4694469519536142E-18</c:v>
                </c:pt>
                <c:pt idx="3">
                  <c:v>4.399999999999959E-4</c:v>
                </c:pt>
                <c:pt idx="4">
                  <c:v>-3.4694469519536142E-18</c:v>
                </c:pt>
                <c:pt idx="5">
                  <c:v>4.359999999999919E-4</c:v>
                </c:pt>
                <c:pt idx="6">
                  <c:v>4.0000000000040004E-6</c:v>
                </c:pt>
                <c:pt idx="7">
                  <c:v>1.3519653333332599E-4</c:v>
                </c:pt>
                <c:pt idx="8">
                  <c:v>1.295074666668034E-4</c:v>
                </c:pt>
                <c:pt idx="9">
                  <c:v>6.9776133332921653E-5</c:v>
                </c:pt>
                <c:pt idx="10">
                  <c:v>4.3304506666502762E-4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-1.6116773333196829E-4</c:v>
                </c:pt>
                <c:pt idx="14">
                  <c:v>-9.9454800000176036E-5</c:v>
                </c:pt>
                <c:pt idx="15">
                  <c:v>-1.940899999999246E-4</c:v>
                </c:pt>
                <c:pt idx="16">
                  <c:v>-1.850321398266668</c:v>
                </c:pt>
                <c:pt idx="17">
                  <c:v>-2.5066509336</c:v>
                </c:pt>
                <c:pt idx="18">
                  <c:v>-2.5996353626666679</c:v>
                </c:pt>
                <c:pt idx="19">
                  <c:v>-2.9313834061333321</c:v>
                </c:pt>
                <c:pt idx="20">
                  <c:v>-3.0373382764000012</c:v>
                </c:pt>
                <c:pt idx="21">
                  <c:v>-3.1678691211999999</c:v>
                </c:pt>
                <c:pt idx="22">
                  <c:v>-3.3221179246666681</c:v>
                </c:pt>
                <c:pt idx="23">
                  <c:v>-3.300153375466667</c:v>
                </c:pt>
                <c:pt idx="24">
                  <c:v>-3.4116479957333352</c:v>
                </c:pt>
                <c:pt idx="25">
                  <c:v>-3.0676952386666669</c:v>
                </c:pt>
                <c:pt idx="26">
                  <c:v>-3.1556975820000002</c:v>
                </c:pt>
                <c:pt idx="27">
                  <c:v>-3.1833343274666679</c:v>
                </c:pt>
                <c:pt idx="28">
                  <c:v>-2.9040678932000001</c:v>
                </c:pt>
                <c:pt idx="29">
                  <c:v>-2.8481901730666679</c:v>
                </c:pt>
                <c:pt idx="30">
                  <c:v>-2.6491284947999998</c:v>
                </c:pt>
                <c:pt idx="31">
                  <c:v>-2.2781438538666681</c:v>
                </c:pt>
                <c:pt idx="32">
                  <c:v>-2.139800057333332</c:v>
                </c:pt>
                <c:pt idx="33">
                  <c:v>-1.708919272933332</c:v>
                </c:pt>
                <c:pt idx="34">
                  <c:v>-1.482923727333332</c:v>
                </c:pt>
                <c:pt idx="35">
                  <c:v>-1.1433736212000001</c:v>
                </c:pt>
                <c:pt idx="36">
                  <c:v>-0.81405293466666806</c:v>
                </c:pt>
                <c:pt idx="37">
                  <c:v>-0.60075072600000001</c:v>
                </c:pt>
                <c:pt idx="38">
                  <c:v>-0.3054607477333332</c:v>
                </c:pt>
                <c:pt idx="39">
                  <c:v>4.2005160000000569E-4</c:v>
                </c:pt>
                <c:pt idx="40">
                  <c:v>3.802237333333236E-4</c:v>
                </c:pt>
                <c:pt idx="41">
                  <c:v>1.9199999999997E-4</c:v>
                </c:pt>
                <c:pt idx="42">
                  <c:v>-1.626666666669774E-4</c:v>
                </c:pt>
                <c:pt idx="43">
                  <c:v>2.7333333333301463E-4</c:v>
                </c:pt>
                <c:pt idx="44">
                  <c:v>1.7266666666704289E-4</c:v>
                </c:pt>
                <c:pt idx="45">
                  <c:v>-3.4694469519536142E-18</c:v>
                </c:pt>
                <c:pt idx="46">
                  <c:v>-3.4694469519536142E-18</c:v>
                </c:pt>
                <c:pt idx="47">
                  <c:v>-3.4694469519536142E-18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7DE7-4FAD-A412-675D9D2D5709}"/>
            </c:ext>
          </c:extLst>
        </c:ser>
        <c:ser>
          <c:idx val="48"/>
          <c:order val="48"/>
          <c:tx>
            <c:v>BES_TR1_six484_B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Net_kW!$AY$2:$AY$49</c:f>
              <c:numCache>
                <c:formatCode>#,##0.000</c:formatCode>
                <c:ptCount val="48"/>
                <c:pt idx="0">
                  <c:v>3.8066666666700111E-4</c:v>
                </c:pt>
                <c:pt idx="1">
                  <c:v>2.7733333333301863E-4</c:v>
                </c:pt>
                <c:pt idx="2">
                  <c:v>6.4000000000008495E-5</c:v>
                </c:pt>
                <c:pt idx="3">
                  <c:v>9.6666666669908974E-6</c:v>
                </c:pt>
                <c:pt idx="4">
                  <c:v>4.0333333333003603E-5</c:v>
                </c:pt>
                <c:pt idx="5">
                  <c:v>-1.1999999999984251E-5</c:v>
                </c:pt>
                <c:pt idx="6">
                  <c:v>5.9333333332994842E-5</c:v>
                </c:pt>
                <c:pt idx="7">
                  <c:v>3.9806406666698102E-4</c:v>
                </c:pt>
                <c:pt idx="8">
                  <c:v>-2.132027333332093E-4</c:v>
                </c:pt>
                <c:pt idx="9">
                  <c:v>4.5616543333300291E-4</c:v>
                </c:pt>
                <c:pt idx="10">
                  <c:v>5.8783799998990423E-5</c:v>
                </c:pt>
                <c:pt idx="11">
                  <c:v>-2.3614906666596941E-4</c:v>
                </c:pt>
                <c:pt idx="12">
                  <c:v>2.5772216666586362E-4</c:v>
                </c:pt>
                <c:pt idx="13">
                  <c:v>-1.287579999897925E-5</c:v>
                </c:pt>
                <c:pt idx="14">
                  <c:v>-1.0459110000005099E-4</c:v>
                </c:pt>
                <c:pt idx="15">
                  <c:v>3.0432500000010521E-5</c:v>
                </c:pt>
                <c:pt idx="16">
                  <c:v>2.7595129999907758E-4</c:v>
                </c:pt>
                <c:pt idx="17">
                  <c:v>3.6513313333008668E-4</c:v>
                </c:pt>
                <c:pt idx="18">
                  <c:v>2.7381133332912699E-4</c:v>
                </c:pt>
                <c:pt idx="19">
                  <c:v>-7.6887933328939617E-5</c:v>
                </c:pt>
                <c:pt idx="20">
                  <c:v>-4.8004063333129121E-4</c:v>
                </c:pt>
                <c:pt idx="21">
                  <c:v>3.3215910000003462E-4</c:v>
                </c:pt>
                <c:pt idx="22">
                  <c:v>2.8822316666587971E-4</c:v>
                </c:pt>
                <c:pt idx="23">
                  <c:v>2.319683999998379E-4</c:v>
                </c:pt>
                <c:pt idx="24">
                  <c:v>-1.830581330133334</c:v>
                </c:pt>
                <c:pt idx="25">
                  <c:v>-2.2558308206666671</c:v>
                </c:pt>
                <c:pt idx="26">
                  <c:v>-2.4499991948333339</c:v>
                </c:pt>
                <c:pt idx="27">
                  <c:v>-2.024830745600001</c:v>
                </c:pt>
                <c:pt idx="28">
                  <c:v>-2.2511309199</c:v>
                </c:pt>
                <c:pt idx="29">
                  <c:v>-1.8896016298000009</c:v>
                </c:pt>
                <c:pt idx="30">
                  <c:v>-1.8403483710999999</c:v>
                </c:pt>
                <c:pt idx="31">
                  <c:v>-1.7675358904000009</c:v>
                </c:pt>
                <c:pt idx="32">
                  <c:v>-1.3532380429999991</c:v>
                </c:pt>
                <c:pt idx="33">
                  <c:v>-1.233279454699999</c:v>
                </c:pt>
                <c:pt idx="34">
                  <c:v>-0.90850479549999907</c:v>
                </c:pt>
                <c:pt idx="35">
                  <c:v>-0.4687458825666671</c:v>
                </c:pt>
                <c:pt idx="36">
                  <c:v>-0.42560803433333411</c:v>
                </c:pt>
                <c:pt idx="37">
                  <c:v>1.1525550000003949E-4</c:v>
                </c:pt>
                <c:pt idx="38">
                  <c:v>-0.20724056079999989</c:v>
                </c:pt>
                <c:pt idx="39">
                  <c:v>6.8372033332958493E-5</c:v>
                </c:pt>
                <c:pt idx="40">
                  <c:v>-3.0999886666704951E-4</c:v>
                </c:pt>
                <c:pt idx="41">
                  <c:v>1.7266666666698741E-4</c:v>
                </c:pt>
                <c:pt idx="42">
                  <c:v>-4.8266666666596508E-4</c:v>
                </c:pt>
                <c:pt idx="43">
                  <c:v>-4.4399999999988887E-4</c:v>
                </c:pt>
                <c:pt idx="44">
                  <c:v>-2.7466666666997602E-4</c:v>
                </c:pt>
                <c:pt idx="45">
                  <c:v>-1.7166666667001171E-4</c:v>
                </c:pt>
                <c:pt idx="46">
                  <c:v>-2.1399999999993649E-4</c:v>
                </c:pt>
                <c:pt idx="47">
                  <c:v>0.112359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DE7-4FAD-A412-675D9D2D5709}"/>
            </c:ext>
          </c:extLst>
        </c:ser>
        <c:ser>
          <c:idx val="49"/>
          <c:order val="49"/>
          <c:tx>
            <c:v>BES_TR1_six501_A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Net_kW!$AZ$2:$AZ$49</c:f>
              <c:numCache>
                <c:formatCode>#,##0.000</c:formatCode>
                <c:ptCount val="48"/>
                <c:pt idx="0">
                  <c:v>2.4033333333295381E-4</c:v>
                </c:pt>
                <c:pt idx="1">
                  <c:v>4.4999999999990881E-4</c:v>
                </c:pt>
                <c:pt idx="2">
                  <c:v>-1.5299999999998651E-4</c:v>
                </c:pt>
                <c:pt idx="3">
                  <c:v>1.9333333333329539E-4</c:v>
                </c:pt>
                <c:pt idx="4">
                  <c:v>3.4233333333340282E-4</c:v>
                </c:pt>
                <c:pt idx="5">
                  <c:v>-3.1533333333300112E-4</c:v>
                </c:pt>
                <c:pt idx="6">
                  <c:v>0</c:v>
                </c:pt>
                <c:pt idx="7">
                  <c:v>-4.0226926666700469E-4</c:v>
                </c:pt>
                <c:pt idx="8">
                  <c:v>-1.7086939999994E-4</c:v>
                </c:pt>
                <c:pt idx="9">
                  <c:v>2.8483209999999309E-4</c:v>
                </c:pt>
                <c:pt idx="10">
                  <c:v>-1.354953333398967E-5</c:v>
                </c:pt>
                <c:pt idx="11">
                  <c:v>-3.5714906666595159E-4</c:v>
                </c:pt>
                <c:pt idx="12">
                  <c:v>6.1055499998907692E-5</c:v>
                </c:pt>
                <c:pt idx="13">
                  <c:v>1.2457533334009341E-5</c:v>
                </c:pt>
                <c:pt idx="14">
                  <c:v>-2.7659110000000098E-4</c:v>
                </c:pt>
                <c:pt idx="15">
                  <c:v>-1.612341666668016E-4</c:v>
                </c:pt>
                <c:pt idx="16">
                  <c:v>-4.0138203333395239E-4</c:v>
                </c:pt>
                <c:pt idx="17">
                  <c:v>-0.74311820019999986</c:v>
                </c:pt>
                <c:pt idx="18">
                  <c:v>-1.840733188666668</c:v>
                </c:pt>
                <c:pt idx="19">
                  <c:v>-2.107832554599999</c:v>
                </c:pt>
                <c:pt idx="20">
                  <c:v>-2.0315647073000012</c:v>
                </c:pt>
                <c:pt idx="21">
                  <c:v>-2.2443779409000002</c:v>
                </c:pt>
                <c:pt idx="22">
                  <c:v>-2.4249875101666678</c:v>
                </c:pt>
                <c:pt idx="23">
                  <c:v>-1.3044706982666701</c:v>
                </c:pt>
                <c:pt idx="24">
                  <c:v>-1.253357663466671</c:v>
                </c:pt>
                <c:pt idx="25">
                  <c:v>-2.3169029206666671</c:v>
                </c:pt>
                <c:pt idx="26">
                  <c:v>-0.92496652816667013</c:v>
                </c:pt>
                <c:pt idx="27">
                  <c:v>-2.0541897456000009</c:v>
                </c:pt>
                <c:pt idx="28">
                  <c:v>-1.8856095865666671</c:v>
                </c:pt>
                <c:pt idx="29">
                  <c:v>-1.5565482964666679</c:v>
                </c:pt>
                <c:pt idx="30">
                  <c:v>-1.1020053711</c:v>
                </c:pt>
                <c:pt idx="31">
                  <c:v>-1.549642890400001</c:v>
                </c:pt>
                <c:pt idx="32">
                  <c:v>-3.8804299999889441E-4</c:v>
                </c:pt>
                <c:pt idx="33">
                  <c:v>-0.93925612136666614</c:v>
                </c:pt>
                <c:pt idx="34">
                  <c:v>-4.8879549999913258E-4</c:v>
                </c:pt>
                <c:pt idx="35">
                  <c:v>1.144507666697159E-4</c:v>
                </c:pt>
                <c:pt idx="36">
                  <c:v>-2.027010000011098E-4</c:v>
                </c:pt>
                <c:pt idx="37">
                  <c:v>-3.1537783333299152E-4</c:v>
                </c:pt>
                <c:pt idx="38">
                  <c:v>-4.3560799999925459E-5</c:v>
                </c:pt>
                <c:pt idx="39">
                  <c:v>3.5670536666698732E-4</c:v>
                </c:pt>
                <c:pt idx="40">
                  <c:v>-2.3683220000003671E-4</c:v>
                </c:pt>
                <c:pt idx="41">
                  <c:v>-2.9400000000001652E-4</c:v>
                </c:pt>
                <c:pt idx="42">
                  <c:v>7.9999999999968985E-5</c:v>
                </c:pt>
                <c:pt idx="43">
                  <c:v>4.0833333333401001E-4</c:v>
                </c:pt>
                <c:pt idx="44">
                  <c:v>2.666666666706341E-5</c:v>
                </c:pt>
                <c:pt idx="45">
                  <c:v>-1.736666666669606E-4</c:v>
                </c:pt>
                <c:pt idx="46">
                  <c:v>1.9333333333329539E-4</c:v>
                </c:pt>
                <c:pt idx="47">
                  <c:v>2.5833333333299962E-4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7DE7-4FAD-A412-675D9D2D5709}"/>
            </c:ext>
          </c:extLst>
        </c:ser>
        <c:ser>
          <c:idx val="50"/>
          <c:order val="50"/>
          <c:tx>
            <c:v>BES_TR1_six512_B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Net_kW!$BA$2:$BA$49</c:f>
              <c:numCache>
                <c:formatCode>#,##0.000</c:formatCode>
                <c:ptCount val="48"/>
                <c:pt idx="0">
                  <c:v>1.0100000000000391E-4</c:v>
                </c:pt>
                <c:pt idx="1">
                  <c:v>3.6000000000008248E-5</c:v>
                </c:pt>
                <c:pt idx="2">
                  <c:v>-1.8000000000001351E-4</c:v>
                </c:pt>
                <c:pt idx="3">
                  <c:v>3.6000000000008248E-5</c:v>
                </c:pt>
                <c:pt idx="4">
                  <c:v>-1.8000000000001351E-4</c:v>
                </c:pt>
                <c:pt idx="5">
                  <c:v>2.399999999999625E-5</c:v>
                </c:pt>
                <c:pt idx="6">
                  <c:v>1.2000000000011999E-5</c:v>
                </c:pt>
                <c:pt idx="7">
                  <c:v>4.7229696666664661E-4</c:v>
                </c:pt>
                <c:pt idx="8">
                  <c:v>-1.8068096666656869E-4</c:v>
                </c:pt>
                <c:pt idx="9">
                  <c:v>4.4413744999999109E-4</c:v>
                </c:pt>
                <c:pt idx="10">
                  <c:v>2.3724776666556041E-4</c:v>
                </c:pt>
                <c:pt idx="11">
                  <c:v>-8.9729466665411373E-5</c:v>
                </c:pt>
                <c:pt idx="12">
                  <c:v>7.1231416665429315E-5</c:v>
                </c:pt>
                <c:pt idx="13">
                  <c:v>-1.6752176666501309E-4</c:v>
                </c:pt>
                <c:pt idx="14">
                  <c:v>2.8547705000026008E-4</c:v>
                </c:pt>
                <c:pt idx="15">
                  <c:v>4.2850458333298919E-4</c:v>
                </c:pt>
                <c:pt idx="16">
                  <c:v>-0.78265855681666818</c:v>
                </c:pt>
                <c:pt idx="17">
                  <c:v>-2.0535522335666672</c:v>
                </c:pt>
                <c:pt idx="18">
                  <c:v>-2.268664775666668</c:v>
                </c:pt>
                <c:pt idx="19">
                  <c:v>-2.4714844803666649</c:v>
                </c:pt>
                <c:pt idx="20">
                  <c:v>-2.3181221585166671</c:v>
                </c:pt>
                <c:pt idx="21">
                  <c:v>-0.98879858104999996</c:v>
                </c:pt>
                <c:pt idx="22">
                  <c:v>-2.705019684083334</c:v>
                </c:pt>
                <c:pt idx="23">
                  <c:v>-1.8271858701999999</c:v>
                </c:pt>
                <c:pt idx="24">
                  <c:v>-1.774433162933335</c:v>
                </c:pt>
                <c:pt idx="25">
                  <c:v>-2.7713414630000002</c:v>
                </c:pt>
                <c:pt idx="26">
                  <c:v>-2.4924676717500001</c:v>
                </c:pt>
                <c:pt idx="27">
                  <c:v>-2.7011042032000021</c:v>
                </c:pt>
                <c:pt idx="28">
                  <c:v>-2.4184634065499999</c:v>
                </c:pt>
                <c:pt idx="29">
                  <c:v>-2.4624164014333352</c:v>
                </c:pt>
                <c:pt idx="30">
                  <c:v>-2.1410740996166671</c:v>
                </c:pt>
                <c:pt idx="31">
                  <c:v>-2.0179432054666671</c:v>
                </c:pt>
                <c:pt idx="32">
                  <c:v>-1.786856050166665</c:v>
                </c:pt>
                <c:pt idx="33">
                  <c:v>-1.1015686971499981</c:v>
                </c:pt>
                <c:pt idx="34">
                  <c:v>-0.958137261416665</c:v>
                </c:pt>
                <c:pt idx="35">
                  <c:v>-0.7150959185500001</c:v>
                </c:pt>
                <c:pt idx="36">
                  <c:v>-0.52414565116666756</c:v>
                </c:pt>
                <c:pt idx="37">
                  <c:v>-0.33220815191666703</c:v>
                </c:pt>
                <c:pt idx="38">
                  <c:v>2.9767906666645401E-4</c:v>
                </c:pt>
                <c:pt idx="39">
                  <c:v>-2.6428818333301679E-4</c:v>
                </c:pt>
                <c:pt idx="40">
                  <c:v>3.1269576666681509E-4</c:v>
                </c:pt>
                <c:pt idx="41">
                  <c:v>-2.8866666666704788E-4</c:v>
                </c:pt>
                <c:pt idx="42">
                  <c:v>4.0299999999993119E-4</c:v>
                </c:pt>
                <c:pt idx="43">
                  <c:v>1.1433333333304981E-4</c:v>
                </c:pt>
                <c:pt idx="44">
                  <c:v>-6.1333333333024598E-5</c:v>
                </c:pt>
                <c:pt idx="45">
                  <c:v>-1.9066666666700541E-4</c:v>
                </c:pt>
                <c:pt idx="46">
                  <c:v>-4.41999999999998E-4</c:v>
                </c:pt>
                <c:pt idx="47">
                  <c:v>6.0000000000060014E-6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DE7-4FAD-A412-675D9D2D5709}"/>
            </c:ext>
          </c:extLst>
        </c:ser>
        <c:ser>
          <c:idx val="51"/>
          <c:order val="51"/>
          <c:tx>
            <c:v>BES_TR1_six518_B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Net_kW!$BB$2:$BB$49</c:f>
              <c:numCache>
                <c:formatCode>#,##0.000</c:formatCode>
                <c:ptCount val="48"/>
                <c:pt idx="0">
                  <c:v>3.8900000000000051E-4</c:v>
                </c:pt>
                <c:pt idx="1">
                  <c:v>3.8899999999990331E-4</c:v>
                </c:pt>
                <c:pt idx="2">
                  <c:v>0</c:v>
                </c:pt>
                <c:pt idx="3">
                  <c:v>-2.22E-4</c:v>
                </c:pt>
                <c:pt idx="4">
                  <c:v>0</c:v>
                </c:pt>
                <c:pt idx="5">
                  <c:v>-2.22E-4</c:v>
                </c:pt>
                <c:pt idx="6">
                  <c:v>0</c:v>
                </c:pt>
                <c:pt idx="7">
                  <c:v>-4.4080346666666709E-4</c:v>
                </c:pt>
                <c:pt idx="8">
                  <c:v>-4.1949253333320452E-4</c:v>
                </c:pt>
                <c:pt idx="9">
                  <c:v>-1.105571999999999E-4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3.683226666795214E-5</c:v>
                </c:pt>
                <c:pt idx="14">
                  <c:v>4.0545200000074999E-5</c:v>
                </c:pt>
                <c:pt idx="15">
                  <c:v>-0.79043082333333281</c:v>
                </c:pt>
                <c:pt idx="16">
                  <c:v>-1.605875398266668</c:v>
                </c:pt>
                <c:pt idx="17">
                  <c:v>-1.3669212669333299</c:v>
                </c:pt>
                <c:pt idx="18">
                  <c:v>-2.433257362666668</c:v>
                </c:pt>
                <c:pt idx="19">
                  <c:v>-2.6699564061333318</c:v>
                </c:pt>
                <c:pt idx="20">
                  <c:v>-2.6330712764000008</c:v>
                </c:pt>
                <c:pt idx="21">
                  <c:v>-2.9147431211999999</c:v>
                </c:pt>
                <c:pt idx="22">
                  <c:v>-3.045757258000001</c:v>
                </c:pt>
                <c:pt idx="23">
                  <c:v>-2.739286375466667</c:v>
                </c:pt>
                <c:pt idx="24">
                  <c:v>-2.9424213290666681</c:v>
                </c:pt>
                <c:pt idx="25">
                  <c:v>-2.799916005333333</c:v>
                </c:pt>
                <c:pt idx="26">
                  <c:v>-3.0319878153333328</c:v>
                </c:pt>
                <c:pt idx="27">
                  <c:v>-1.6391649941333379</c:v>
                </c:pt>
                <c:pt idx="28">
                  <c:v>-1.5492315598666699</c:v>
                </c:pt>
                <c:pt idx="29">
                  <c:v>-0.99955550639999813</c:v>
                </c:pt>
                <c:pt idx="30">
                  <c:v>-2.4132028281333331</c:v>
                </c:pt>
                <c:pt idx="31">
                  <c:v>-2.221838853866668</c:v>
                </c:pt>
                <c:pt idx="32">
                  <c:v>-2.0621443906666652</c:v>
                </c:pt>
                <c:pt idx="33">
                  <c:v>-1.5676619395999991</c:v>
                </c:pt>
                <c:pt idx="34">
                  <c:v>4.8827266666795488E-4</c:v>
                </c:pt>
                <c:pt idx="35">
                  <c:v>-2.0954533333172879E-5</c:v>
                </c:pt>
                <c:pt idx="36">
                  <c:v>-4.1260133333798082E-4</c:v>
                </c:pt>
                <c:pt idx="37">
                  <c:v>1.706073333329616E-4</c:v>
                </c:pt>
                <c:pt idx="38">
                  <c:v>-1.941440000016725E-5</c:v>
                </c:pt>
                <c:pt idx="39">
                  <c:v>1.157182666670087E-4</c:v>
                </c:pt>
                <c:pt idx="40">
                  <c:v>1.81557066666338E-4</c:v>
                </c:pt>
                <c:pt idx="41">
                  <c:v>2.5633333333296981E-4</c:v>
                </c:pt>
                <c:pt idx="42">
                  <c:v>-4.9266666666702985E-4</c:v>
                </c:pt>
                <c:pt idx="43">
                  <c:v>1.9066666666700541E-4</c:v>
                </c:pt>
                <c:pt idx="44">
                  <c:v>-1.736666666669606E-4</c:v>
                </c:pt>
                <c:pt idx="45">
                  <c:v>-4.4200000000005352E-4</c:v>
                </c:pt>
                <c:pt idx="46">
                  <c:v>3.7433333333303231E-4</c:v>
                </c:pt>
                <c:pt idx="47">
                  <c:v>2.8899999999998371E-4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7DE7-4FAD-A412-675D9D2D5709}"/>
            </c:ext>
          </c:extLst>
        </c:ser>
        <c:ser>
          <c:idx val="52"/>
          <c:order val="52"/>
          <c:tx>
            <c:v>BES_TR1_six595_B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Net_kW!$BC$2:$BC$49</c:f>
              <c:numCache>
                <c:formatCode>#,##0.000</c:formatCode>
                <c:ptCount val="48"/>
                <c:pt idx="0">
                  <c:v>-4.3433333333330049E-4</c:v>
                </c:pt>
                <c:pt idx="1">
                  <c:v>2.8100000000000352E-4</c:v>
                </c:pt>
                <c:pt idx="2">
                  <c:v>2.8100000000000352E-4</c:v>
                </c:pt>
                <c:pt idx="3">
                  <c:v>-7.3333333330122263E-6</c:v>
                </c:pt>
                <c:pt idx="4">
                  <c:v>-4.3066666666670422E-4</c:v>
                </c:pt>
                <c:pt idx="5">
                  <c:v>-6.9388939039072284E-18</c:v>
                </c:pt>
                <c:pt idx="6">
                  <c:v>-6.9388939039072284E-18</c:v>
                </c:pt>
                <c:pt idx="7">
                  <c:v>4.1149783333332968E-4</c:v>
                </c:pt>
                <c:pt idx="8">
                  <c:v>-8.4057833333255061E-5</c:v>
                </c:pt>
                <c:pt idx="9">
                  <c:v>-3.5847325000001867E-4</c:v>
                </c:pt>
                <c:pt idx="10">
                  <c:v>2.2431983333251471E-4</c:v>
                </c:pt>
                <c:pt idx="11">
                  <c:v>3.3876466666749039E-4</c:v>
                </c:pt>
                <c:pt idx="12">
                  <c:v>-2.4112041666746189E-4</c:v>
                </c:pt>
                <c:pt idx="13">
                  <c:v>2.6577016666740061E-4</c:v>
                </c:pt>
                <c:pt idx="14">
                  <c:v>-2.2465925000003659E-4</c:v>
                </c:pt>
                <c:pt idx="15">
                  <c:v>-1.413062499999729E-4</c:v>
                </c:pt>
                <c:pt idx="16">
                  <c:v>3.6222608333202899E-4</c:v>
                </c:pt>
                <c:pt idx="17">
                  <c:v>-0.77625323350000008</c:v>
                </c:pt>
                <c:pt idx="18">
                  <c:v>-1.503499601666668</c:v>
                </c:pt>
                <c:pt idx="19">
                  <c:v>-1.5325646288333321</c:v>
                </c:pt>
                <c:pt idx="20">
                  <c:v>-1.8987939227499999</c:v>
                </c:pt>
                <c:pt idx="21">
                  <c:v>-1.955215367416667</c:v>
                </c:pt>
                <c:pt idx="22">
                  <c:v>-2.0726112029166668</c:v>
                </c:pt>
                <c:pt idx="23">
                  <c:v>-2.100479193</c:v>
                </c:pt>
                <c:pt idx="24">
                  <c:v>-2.1085508306666672</c:v>
                </c:pt>
                <c:pt idx="25">
                  <c:v>-2.0188890449999999</c:v>
                </c:pt>
                <c:pt idx="26">
                  <c:v>-2.02006505125</c:v>
                </c:pt>
                <c:pt idx="27">
                  <c:v>-1.965333954666667</c:v>
                </c:pt>
                <c:pt idx="28">
                  <c:v>-1.79838043325</c:v>
                </c:pt>
                <c:pt idx="29">
                  <c:v>-1.7558688581666679</c:v>
                </c:pt>
                <c:pt idx="30">
                  <c:v>-1.590031975916667</c:v>
                </c:pt>
                <c:pt idx="31">
                  <c:v>-1.448601242000001</c:v>
                </c:pt>
                <c:pt idx="32">
                  <c:v>-1.313125035833332</c:v>
                </c:pt>
                <c:pt idx="33">
                  <c:v>-1.109544545583333</c:v>
                </c:pt>
                <c:pt idx="34">
                  <c:v>-0.91486499624999917</c:v>
                </c:pt>
                <c:pt idx="35">
                  <c:v>-0.46893584658333398</c:v>
                </c:pt>
                <c:pt idx="36">
                  <c:v>-0.32229308416666752</c:v>
                </c:pt>
                <c:pt idx="37">
                  <c:v>-0.23365220375000001</c:v>
                </c:pt>
                <c:pt idx="38">
                  <c:v>8.7532666666823716E-5</c:v>
                </c:pt>
                <c:pt idx="39">
                  <c:v>-6.8967750000037409E-5</c:v>
                </c:pt>
                <c:pt idx="40">
                  <c:v>4.9797316666627678E-4</c:v>
                </c:pt>
                <c:pt idx="41">
                  <c:v>3.3333333333296361E-4</c:v>
                </c:pt>
                <c:pt idx="42">
                  <c:v>3.3333333333301912E-4</c:v>
                </c:pt>
                <c:pt idx="43">
                  <c:v>-3.3333333330221042E-6</c:v>
                </c:pt>
                <c:pt idx="44">
                  <c:v>-2.8866666666693691E-4</c:v>
                </c:pt>
                <c:pt idx="45">
                  <c:v>2.1133333333400731E-4</c:v>
                </c:pt>
                <c:pt idx="46">
                  <c:v>2.0000000000019998E-5</c:v>
                </c:pt>
                <c:pt idx="47">
                  <c:v>-2.9733333333298312E-4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DE7-4FAD-A412-675D9D2D5709}"/>
            </c:ext>
          </c:extLst>
        </c:ser>
        <c:ser>
          <c:idx val="53"/>
          <c:order val="53"/>
          <c:tx>
            <c:v>BES_TR1_six646_B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Net_kW!$BD$2:$BD$49</c:f>
              <c:numCache>
                <c:formatCode>#,##0.000</c:formatCode>
                <c:ptCount val="48"/>
                <c:pt idx="0">
                  <c:v>-4.123333333329593E-4</c:v>
                </c:pt>
                <c:pt idx="1">
                  <c:v>5.4666666666702828E-5</c:v>
                </c:pt>
                <c:pt idx="2">
                  <c:v>-7.4000000000018495E-5</c:v>
                </c:pt>
                <c:pt idx="3">
                  <c:v>-6.9388939039072284E-18</c:v>
                </c:pt>
                <c:pt idx="4">
                  <c:v>-4.200000000000037E-4</c:v>
                </c:pt>
                <c:pt idx="5">
                  <c:v>3.3400000000000102E-4</c:v>
                </c:pt>
                <c:pt idx="6">
                  <c:v>-6.3999999999980739E-5</c:v>
                </c:pt>
                <c:pt idx="7">
                  <c:v>-1.7250216666667151E-4</c:v>
                </c:pt>
                <c:pt idx="8">
                  <c:v>-1.000578333332502E-4</c:v>
                </c:pt>
                <c:pt idx="9">
                  <c:v>-2.0713991666701509E-4</c:v>
                </c:pt>
                <c:pt idx="10">
                  <c:v>4.4098649999921302E-4</c:v>
                </c:pt>
                <c:pt idx="11">
                  <c:v>3.3876466666749039E-4</c:v>
                </c:pt>
                <c:pt idx="12">
                  <c:v>-3.7120416667535412E-5</c:v>
                </c:pt>
                <c:pt idx="13">
                  <c:v>4.1377016666754862E-4</c:v>
                </c:pt>
                <c:pt idx="14">
                  <c:v>-3.5799258333324419E-4</c:v>
                </c:pt>
                <c:pt idx="15">
                  <c:v>-4.2463958333305302E-4</c:v>
                </c:pt>
                <c:pt idx="16">
                  <c:v>-4.7720725000122138E-4</c:v>
                </c:pt>
                <c:pt idx="17">
                  <c:v>-2.4983350000007398E-4</c:v>
                </c:pt>
                <c:pt idx="18">
                  <c:v>-1.087073301666668</c:v>
                </c:pt>
                <c:pt idx="19">
                  <c:v>-1.634861195499999</c:v>
                </c:pt>
                <c:pt idx="20">
                  <c:v>-1.8985215894166669</c:v>
                </c:pt>
                <c:pt idx="21">
                  <c:v>-1.8021603674166671</c:v>
                </c:pt>
                <c:pt idx="22">
                  <c:v>-2.0796112029166669</c:v>
                </c:pt>
                <c:pt idx="23">
                  <c:v>-2.103589693</c:v>
                </c:pt>
                <c:pt idx="24">
                  <c:v>-1.988946497333334</c:v>
                </c:pt>
                <c:pt idx="25">
                  <c:v>-1.9979790449999999</c:v>
                </c:pt>
                <c:pt idx="26">
                  <c:v>-1.599789384583334</c:v>
                </c:pt>
                <c:pt idx="27">
                  <c:v>-1.637805821333334</c:v>
                </c:pt>
                <c:pt idx="28">
                  <c:v>-1.659154199916667</c:v>
                </c:pt>
                <c:pt idx="29">
                  <c:v>-1.464353858166668</c:v>
                </c:pt>
                <c:pt idx="30">
                  <c:v>-1.483292642583333</c:v>
                </c:pt>
                <c:pt idx="31">
                  <c:v>-1.318820908666668</c:v>
                </c:pt>
                <c:pt idx="32">
                  <c:v>-0.91167136916666602</c:v>
                </c:pt>
                <c:pt idx="33">
                  <c:v>-0.91382254558333298</c:v>
                </c:pt>
                <c:pt idx="34">
                  <c:v>-0.46563566291666553</c:v>
                </c:pt>
                <c:pt idx="35">
                  <c:v>-0.39542251325</c:v>
                </c:pt>
                <c:pt idx="36">
                  <c:v>-0.42069325083333448</c:v>
                </c:pt>
                <c:pt idx="37">
                  <c:v>-5.5605870416667043E-2</c:v>
                </c:pt>
                <c:pt idx="38">
                  <c:v>-9.9926567333333188E-2</c:v>
                </c:pt>
                <c:pt idx="39">
                  <c:v>-3.1363441666698583E-4</c:v>
                </c:pt>
                <c:pt idx="40">
                  <c:v>-4.7693499999668099E-5</c:v>
                </c:pt>
                <c:pt idx="41">
                  <c:v>-3.0866666666606868E-4</c:v>
                </c:pt>
                <c:pt idx="42">
                  <c:v>4.2733333333289098E-4</c:v>
                </c:pt>
                <c:pt idx="43">
                  <c:v>3.5833333333307182E-4</c:v>
                </c:pt>
                <c:pt idx="44">
                  <c:v>-4.9299999999996569E-4</c:v>
                </c:pt>
                <c:pt idx="45">
                  <c:v>3.4100000000000802E-4</c:v>
                </c:pt>
                <c:pt idx="46">
                  <c:v>3.4999999999998921E-4</c:v>
                </c:pt>
                <c:pt idx="47">
                  <c:v>-8.6000000000030496E-5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7DE7-4FAD-A412-675D9D2D5709}"/>
            </c:ext>
          </c:extLst>
        </c:ser>
        <c:ser>
          <c:idx val="54"/>
          <c:order val="54"/>
          <c:tx>
            <c:v>BES_TR1_six699_C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Net_kW!$BE$2:$BE$49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-1.199999999999812E-5</c:v>
                </c:pt>
                <c:pt idx="4">
                  <c:v>0</c:v>
                </c:pt>
                <c:pt idx="5">
                  <c:v>0</c:v>
                </c:pt>
                <c:pt idx="6">
                  <c:v>-1.199999999999812E-5</c:v>
                </c:pt>
                <c:pt idx="7">
                  <c:v>-1.0703033333329949E-5</c:v>
                </c:pt>
                <c:pt idx="8">
                  <c:v>4.8231903333344033E-4</c:v>
                </c:pt>
                <c:pt idx="9">
                  <c:v>4.8613745000000708E-4</c:v>
                </c:pt>
                <c:pt idx="10">
                  <c:v>3.2724776666553929E-4</c:v>
                </c:pt>
                <c:pt idx="11">
                  <c:v>1.9827053333454361E-4</c:v>
                </c:pt>
                <c:pt idx="12">
                  <c:v>-2.6476858333468472E-4</c:v>
                </c:pt>
                <c:pt idx="13">
                  <c:v>-2.3521766665091089E-5</c:v>
                </c:pt>
                <c:pt idx="14">
                  <c:v>2.8547705000003809E-4</c:v>
                </c:pt>
                <c:pt idx="15">
                  <c:v>-1.3982875000007061E-4</c:v>
                </c:pt>
                <c:pt idx="16">
                  <c:v>-1.8789582234833351</c:v>
                </c:pt>
                <c:pt idx="17">
                  <c:v>-1.9306919002333329</c:v>
                </c:pt>
                <c:pt idx="18">
                  <c:v>-2.215749442333335</c:v>
                </c:pt>
                <c:pt idx="19">
                  <c:v>-2.4527034803666652</c:v>
                </c:pt>
                <c:pt idx="20">
                  <c:v>-2.493089825183334</c:v>
                </c:pt>
                <c:pt idx="21">
                  <c:v>-2.6264619810499998</c:v>
                </c:pt>
                <c:pt idx="22">
                  <c:v>-2.7154256840833342</c:v>
                </c:pt>
                <c:pt idx="23">
                  <c:v>-2.7544408701999998</c:v>
                </c:pt>
                <c:pt idx="24">
                  <c:v>-2.761741162933335</c:v>
                </c:pt>
                <c:pt idx="25">
                  <c:v>-2.6988694629999999</c:v>
                </c:pt>
                <c:pt idx="26">
                  <c:v>-2.46133467175</c:v>
                </c:pt>
                <c:pt idx="27">
                  <c:v>-2.3376805365333349</c:v>
                </c:pt>
                <c:pt idx="28">
                  <c:v>-1.4380024065499999</c:v>
                </c:pt>
                <c:pt idx="29">
                  <c:v>-2.4530844014333351</c:v>
                </c:pt>
                <c:pt idx="30">
                  <c:v>-2.145471099616667</c:v>
                </c:pt>
                <c:pt idx="31">
                  <c:v>-2.076635872133334</c:v>
                </c:pt>
                <c:pt idx="32">
                  <c:v>-1.774587050166665</c:v>
                </c:pt>
                <c:pt idx="33">
                  <c:v>-1.5555623638166649</c:v>
                </c:pt>
                <c:pt idx="34">
                  <c:v>-1.288810261416665</c:v>
                </c:pt>
                <c:pt idx="35">
                  <c:v>-0.94871791855000009</c:v>
                </c:pt>
                <c:pt idx="36">
                  <c:v>-0.74955231783333442</c:v>
                </c:pt>
                <c:pt idx="37">
                  <c:v>-0.49390688524999998</c:v>
                </c:pt>
                <c:pt idx="38">
                  <c:v>-0.26428065426666653</c:v>
                </c:pt>
                <c:pt idx="39">
                  <c:v>-3.5764954850000003E-2</c:v>
                </c:pt>
                <c:pt idx="40">
                  <c:v>-3.05304233333345E-4</c:v>
                </c:pt>
                <c:pt idx="41">
                  <c:v>0</c:v>
                </c:pt>
                <c:pt idx="42">
                  <c:v>0</c:v>
                </c:pt>
                <c:pt idx="43">
                  <c:v>3.2599999999999302E-4</c:v>
                </c:pt>
                <c:pt idx="44">
                  <c:v>-3.3799999999999109E-4</c:v>
                </c:pt>
                <c:pt idx="45">
                  <c:v>0</c:v>
                </c:pt>
                <c:pt idx="46">
                  <c:v>0</c:v>
                </c:pt>
                <c:pt idx="47">
                  <c:v>-1.199999999999812E-5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7DE7-4FAD-A412-675D9D2D5709}"/>
            </c:ext>
          </c:extLst>
        </c:ser>
        <c:ser>
          <c:idx val="55"/>
          <c:order val="55"/>
          <c:tx>
            <c:v>BES_TR1_six718_C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Net_kW!$BF$2:$BF$49</c:f>
              <c:numCache>
                <c:formatCode>#,##0.000</c:formatCode>
                <c:ptCount val="48"/>
                <c:pt idx="0">
                  <c:v>7.7666666667003392E-5</c:v>
                </c:pt>
                <c:pt idx="1">
                  <c:v>4.456666666670106E-4</c:v>
                </c:pt>
                <c:pt idx="2">
                  <c:v>-1.5400000000000141E-4</c:v>
                </c:pt>
                <c:pt idx="3">
                  <c:v>3.3499999999997421E-4</c:v>
                </c:pt>
                <c:pt idx="4">
                  <c:v>-3.5033333333328592E-4</c:v>
                </c:pt>
                <c:pt idx="5">
                  <c:v>1.3666666666700691E-4</c:v>
                </c:pt>
                <c:pt idx="6">
                  <c:v>-3.0600000000000072E-4</c:v>
                </c:pt>
                <c:pt idx="7">
                  <c:v>-2.5196796666659971E-4</c:v>
                </c:pt>
                <c:pt idx="8">
                  <c:v>-1.5076803333295699E-4</c:v>
                </c:pt>
                <c:pt idx="9">
                  <c:v>-2.150839499999932E-4</c:v>
                </c:pt>
                <c:pt idx="10">
                  <c:v>-1.7194143333351669E-4</c:v>
                </c:pt>
                <c:pt idx="11">
                  <c:v>-1.967411999994895E-4</c:v>
                </c:pt>
                <c:pt idx="12">
                  <c:v>3.9986108333235631E-4</c:v>
                </c:pt>
                <c:pt idx="13">
                  <c:v>3.0839543333388558E-4</c:v>
                </c:pt>
                <c:pt idx="14">
                  <c:v>2.6520445000000059E-4</c:v>
                </c:pt>
                <c:pt idx="15">
                  <c:v>5.3216250000098768E-5</c:v>
                </c:pt>
                <c:pt idx="16">
                  <c:v>-1.2352435000062559E-4</c:v>
                </c:pt>
                <c:pt idx="17">
                  <c:v>-4.1343343333288818E-4</c:v>
                </c:pt>
                <c:pt idx="18">
                  <c:v>1.2357233333337711E-4</c:v>
                </c:pt>
                <c:pt idx="19">
                  <c:v>-2.1644396666598009E-4</c:v>
                </c:pt>
                <c:pt idx="20">
                  <c:v>-2.1935364999980939E-4</c:v>
                </c:pt>
                <c:pt idx="21">
                  <c:v>9.2579550000193578E-5</c:v>
                </c:pt>
                <c:pt idx="22">
                  <c:v>-3.2055083332982459E-5</c:v>
                </c:pt>
                <c:pt idx="23">
                  <c:v>4.1248419999995178E-4</c:v>
                </c:pt>
                <c:pt idx="24">
                  <c:v>-4.1049840000106919E-4</c:v>
                </c:pt>
                <c:pt idx="25">
                  <c:v>-0.26072762700000002</c:v>
                </c:pt>
                <c:pt idx="26">
                  <c:v>-1.1867847640833331</c:v>
                </c:pt>
                <c:pt idx="27">
                  <c:v>-3.7279999998141022E-7</c:v>
                </c:pt>
                <c:pt idx="28">
                  <c:v>-2.217932833330494E-4</c:v>
                </c:pt>
                <c:pt idx="29">
                  <c:v>-4.7531490000007892E-4</c:v>
                </c:pt>
                <c:pt idx="30">
                  <c:v>-0.86505285221666695</c:v>
                </c:pt>
                <c:pt idx="31">
                  <c:v>-0.66563361186666747</c:v>
                </c:pt>
                <c:pt idx="32">
                  <c:v>-0.64103902149999947</c:v>
                </c:pt>
                <c:pt idx="33">
                  <c:v>2.7460598333362007E-4</c:v>
                </c:pt>
                <c:pt idx="34">
                  <c:v>5.4602250000646002E-5</c:v>
                </c:pt>
                <c:pt idx="35">
                  <c:v>-1.354412833300955E-4</c:v>
                </c:pt>
                <c:pt idx="36">
                  <c:v>4.2714949999944629E-4</c:v>
                </c:pt>
                <c:pt idx="37">
                  <c:v>1.1381108333299859E-4</c:v>
                </c:pt>
                <c:pt idx="38">
                  <c:v>1.6271960000008301E-4</c:v>
                </c:pt>
                <c:pt idx="39">
                  <c:v>-9.3139833329813904E-6</c:v>
                </c:pt>
                <c:pt idx="40">
                  <c:v>9.1723333295323783E-7</c:v>
                </c:pt>
                <c:pt idx="41">
                  <c:v>3.8766666666700811E-4</c:v>
                </c:pt>
                <c:pt idx="42">
                  <c:v>1.929999999999987E-4</c:v>
                </c:pt>
                <c:pt idx="43">
                  <c:v>1.7200000000006099E-4</c:v>
                </c:pt>
                <c:pt idx="44">
                  <c:v>2.3066666666669841E-4</c:v>
                </c:pt>
                <c:pt idx="45">
                  <c:v>-2.6199999999998452E-4</c:v>
                </c:pt>
                <c:pt idx="46">
                  <c:v>-1.789999999999847E-4</c:v>
                </c:pt>
                <c:pt idx="47">
                  <c:v>2.6900000000000529E-4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7DE7-4FAD-A412-675D9D2D5709}"/>
            </c:ext>
          </c:extLst>
        </c:ser>
        <c:ser>
          <c:idx val="56"/>
          <c:order val="56"/>
          <c:tx>
            <c:v>BES_TR1_six721_A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Net_kW!$BG$2:$BG$49</c:f>
              <c:numCache>
                <c:formatCode>#,##0.000</c:formatCode>
                <c:ptCount val="48"/>
                <c:pt idx="0">
                  <c:v>-2.9333333332992592E-5</c:v>
                </c:pt>
                <c:pt idx="1">
                  <c:v>1.7366666666698841E-4</c:v>
                </c:pt>
                <c:pt idx="2">
                  <c:v>5.4999999999999487E-5</c:v>
                </c:pt>
                <c:pt idx="3">
                  <c:v>-2.8600000000000852E-4</c:v>
                </c:pt>
                <c:pt idx="4">
                  <c:v>0</c:v>
                </c:pt>
                <c:pt idx="5">
                  <c:v>0</c:v>
                </c:pt>
                <c:pt idx="6">
                  <c:v>-2.7199999999999452E-4</c:v>
                </c:pt>
                <c:pt idx="7">
                  <c:v>3.1636536666698739E-4</c:v>
                </c:pt>
                <c:pt idx="8">
                  <c:v>-3.043469999995663E-5</c:v>
                </c:pt>
                <c:pt idx="9">
                  <c:v>1.215827166669847E-4</c:v>
                </c:pt>
                <c:pt idx="10">
                  <c:v>-2.608100000495162E-6</c:v>
                </c:pt>
                <c:pt idx="11">
                  <c:v>1.9925880000050761E-4</c:v>
                </c:pt>
                <c:pt idx="12">
                  <c:v>-4.0880558333394879E-4</c:v>
                </c:pt>
                <c:pt idx="13">
                  <c:v>-1.006712333294635E-4</c:v>
                </c:pt>
                <c:pt idx="14">
                  <c:v>-2.2646221666999811E-4</c:v>
                </c:pt>
                <c:pt idx="15">
                  <c:v>-4.4395041666689389E-4</c:v>
                </c:pt>
                <c:pt idx="16">
                  <c:v>4.9597564999942501E-4</c:v>
                </c:pt>
                <c:pt idx="17">
                  <c:v>4.052332333330938E-4</c:v>
                </c:pt>
                <c:pt idx="18">
                  <c:v>4.0090566666702021E-4</c:v>
                </c:pt>
                <c:pt idx="19">
                  <c:v>2.982227000010162E-4</c:v>
                </c:pt>
                <c:pt idx="20">
                  <c:v>-2.1468698333304559E-4</c:v>
                </c:pt>
                <c:pt idx="21">
                  <c:v>-7.2087116666841311E-5</c:v>
                </c:pt>
                <c:pt idx="22">
                  <c:v>-3.4972175000003158E-4</c:v>
                </c:pt>
                <c:pt idx="23">
                  <c:v>1.844842000000568E-4</c:v>
                </c:pt>
                <c:pt idx="24">
                  <c:v>4.3263493333189912E-4</c:v>
                </c:pt>
                <c:pt idx="25">
                  <c:v>-2.5527000000025168E-5</c:v>
                </c:pt>
                <c:pt idx="26">
                  <c:v>-3.9403075000013499E-4</c:v>
                </c:pt>
                <c:pt idx="27">
                  <c:v>6.1827200000030835E-5</c:v>
                </c:pt>
                <c:pt idx="28">
                  <c:v>3.9154005000006931E-4</c:v>
                </c:pt>
                <c:pt idx="29">
                  <c:v>2.9268509999993969E-4</c:v>
                </c:pt>
                <c:pt idx="30">
                  <c:v>4.9048111666996283E-4</c:v>
                </c:pt>
                <c:pt idx="31">
                  <c:v>-3.5710411866666431E-2</c:v>
                </c:pt>
                <c:pt idx="32">
                  <c:v>-0.55551402149999951</c:v>
                </c:pt>
                <c:pt idx="33">
                  <c:v>-0.35143239401666537</c:v>
                </c:pt>
                <c:pt idx="34">
                  <c:v>4.6935583330465207E-5</c:v>
                </c:pt>
                <c:pt idx="35">
                  <c:v>-1.8060795000114649E-4</c:v>
                </c:pt>
                <c:pt idx="36">
                  <c:v>-8.9650500000537647E-5</c:v>
                </c:pt>
                <c:pt idx="37">
                  <c:v>-4.9918891666694831E-4</c:v>
                </c:pt>
                <c:pt idx="38">
                  <c:v>4.3405293332998701E-4</c:v>
                </c:pt>
                <c:pt idx="39">
                  <c:v>3.093526833334026E-4</c:v>
                </c:pt>
                <c:pt idx="40">
                  <c:v>3.6458389999999291E-4</c:v>
                </c:pt>
                <c:pt idx="41">
                  <c:v>4.9866666666659176E-4</c:v>
                </c:pt>
                <c:pt idx="42">
                  <c:v>3.4566666666699391E-4</c:v>
                </c:pt>
                <c:pt idx="43">
                  <c:v>-4.7866666667006902E-4</c:v>
                </c:pt>
                <c:pt idx="44">
                  <c:v>0</c:v>
                </c:pt>
                <c:pt idx="45">
                  <c:v>3.3466666666698291E-4</c:v>
                </c:pt>
                <c:pt idx="46">
                  <c:v>-3.7800000000000328E-4</c:v>
                </c:pt>
                <c:pt idx="47">
                  <c:v>-3.1799999999999878E-4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7DE7-4FAD-A412-675D9D2D5709}"/>
            </c:ext>
          </c:extLst>
        </c:ser>
        <c:ser>
          <c:idx val="57"/>
          <c:order val="57"/>
          <c:tx>
            <c:v>BES_TR1_six723_B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Net_kW!$BH$2:$BH$49</c:f>
              <c:numCache>
                <c:formatCode>#,##0.000</c:formatCode>
                <c:ptCount val="48"/>
                <c:pt idx="0">
                  <c:v>2.9466666666699842E-4</c:v>
                </c:pt>
                <c:pt idx="1">
                  <c:v>2.2333333333329761E-4</c:v>
                </c:pt>
                <c:pt idx="2">
                  <c:v>-2.036666666669906E-4</c:v>
                </c:pt>
                <c:pt idx="3">
                  <c:v>0</c:v>
                </c:pt>
                <c:pt idx="4">
                  <c:v>7.299999999998974E-5</c:v>
                </c:pt>
                <c:pt idx="5">
                  <c:v>-4.8333333333011597E-5</c:v>
                </c:pt>
                <c:pt idx="6">
                  <c:v>-4.3200000000000183E-4</c:v>
                </c:pt>
                <c:pt idx="7">
                  <c:v>-2.6580346666668642E-4</c:v>
                </c:pt>
                <c:pt idx="8">
                  <c:v>-4.5282586666619412E-4</c:v>
                </c:pt>
                <c:pt idx="9">
                  <c:v>-6.8557200000013419E-5</c:v>
                </c:pt>
                <c:pt idx="10">
                  <c:v>1.7637839999901089E-4</c:v>
                </c:pt>
                <c:pt idx="11">
                  <c:v>1.420234666681397E-4</c:v>
                </c:pt>
                <c:pt idx="12">
                  <c:v>-1.199260000011027E-4</c:v>
                </c:pt>
                <c:pt idx="13">
                  <c:v>4.8216560000113867E-4</c:v>
                </c:pt>
                <c:pt idx="14">
                  <c:v>4.8721186666655919E-4</c:v>
                </c:pt>
                <c:pt idx="15">
                  <c:v>3.8391000000026493E-4</c:v>
                </c:pt>
                <c:pt idx="16">
                  <c:v>-2.0954747316000009</c:v>
                </c:pt>
                <c:pt idx="17">
                  <c:v>-2.465937600266666</c:v>
                </c:pt>
                <c:pt idx="18">
                  <c:v>-2.5813420293333351</c:v>
                </c:pt>
                <c:pt idx="19">
                  <c:v>-2.8415927394666651</c:v>
                </c:pt>
                <c:pt idx="20">
                  <c:v>-3.0091382764000012</c:v>
                </c:pt>
                <c:pt idx="21">
                  <c:v>-3.1021551212</c:v>
                </c:pt>
                <c:pt idx="22">
                  <c:v>-3.1343779246666679</c:v>
                </c:pt>
                <c:pt idx="23">
                  <c:v>-3.2049487087999999</c:v>
                </c:pt>
                <c:pt idx="24">
                  <c:v>-3.3749106624000009</c:v>
                </c:pt>
                <c:pt idx="25">
                  <c:v>-3.2178650053333331</c:v>
                </c:pt>
                <c:pt idx="26">
                  <c:v>-3.2255904819999999</c:v>
                </c:pt>
                <c:pt idx="27">
                  <c:v>-3.158334327466668</c:v>
                </c:pt>
                <c:pt idx="28">
                  <c:v>-2.8315848932000001</c:v>
                </c:pt>
                <c:pt idx="29">
                  <c:v>-2.7319348397333352</c:v>
                </c:pt>
                <c:pt idx="30">
                  <c:v>-2.6241284947999999</c:v>
                </c:pt>
                <c:pt idx="31">
                  <c:v>-2.2486771872000011</c:v>
                </c:pt>
                <c:pt idx="32">
                  <c:v>-2.0486833906666648</c:v>
                </c:pt>
                <c:pt idx="33">
                  <c:v>-1.7710314395999991</c:v>
                </c:pt>
                <c:pt idx="34">
                  <c:v>-1.1606970606666649</c:v>
                </c:pt>
                <c:pt idx="35">
                  <c:v>-1.070701887866667</c:v>
                </c:pt>
                <c:pt idx="36">
                  <c:v>-0.72736180133333506</c:v>
                </c:pt>
                <c:pt idx="37">
                  <c:v>-0.26294372599999999</c:v>
                </c:pt>
                <c:pt idx="38">
                  <c:v>1.2758559999981499E-4</c:v>
                </c:pt>
                <c:pt idx="39">
                  <c:v>1.847182666669944E-4</c:v>
                </c:pt>
                <c:pt idx="40">
                  <c:v>2.645570666672814E-4</c:v>
                </c:pt>
                <c:pt idx="41">
                  <c:v>-4.3533333333301011E-4</c:v>
                </c:pt>
                <c:pt idx="42">
                  <c:v>6.7333333332975087E-5</c:v>
                </c:pt>
                <c:pt idx="43">
                  <c:v>2.8399999999999259E-4</c:v>
                </c:pt>
                <c:pt idx="44">
                  <c:v>-8.1999999999998741E-5</c:v>
                </c:pt>
                <c:pt idx="45">
                  <c:v>-4.0566666666699841E-4</c:v>
                </c:pt>
                <c:pt idx="46">
                  <c:v>0</c:v>
                </c:pt>
                <c:pt idx="47">
                  <c:v>1.7966666666700831E-4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7DE7-4FAD-A412-675D9D2D5709}"/>
            </c:ext>
          </c:extLst>
        </c:ser>
        <c:ser>
          <c:idx val="58"/>
          <c:order val="58"/>
          <c:tx>
            <c:v>BES_TR1_six784_B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Net_kW!$BI$2:$BI$49</c:f>
              <c:numCache>
                <c:formatCode>#,##0.000</c:formatCode>
                <c:ptCount val="48"/>
                <c:pt idx="0">
                  <c:v>6.2000000000006494E-5</c:v>
                </c:pt>
                <c:pt idx="1">
                  <c:v>1.506666666670764E-4</c:v>
                </c:pt>
                <c:pt idx="2">
                  <c:v>0</c:v>
                </c:pt>
                <c:pt idx="3">
                  <c:v>2.58666666667004E-4</c:v>
                </c:pt>
                <c:pt idx="4">
                  <c:v>-3.4266666666659529E-4</c:v>
                </c:pt>
                <c:pt idx="5">
                  <c:v>0</c:v>
                </c:pt>
                <c:pt idx="6">
                  <c:v>-3.566666666666995E-4</c:v>
                </c:pt>
                <c:pt idx="7">
                  <c:v>-3.079359333330034E-4</c:v>
                </c:pt>
                <c:pt idx="8">
                  <c:v>-3.0086939999990429E-4</c:v>
                </c:pt>
                <c:pt idx="9">
                  <c:v>2.131654333333288E-4</c:v>
                </c:pt>
                <c:pt idx="10">
                  <c:v>2.674504666660138E-4</c:v>
                </c:pt>
                <c:pt idx="11">
                  <c:v>2.3585093333439169E-4</c:v>
                </c:pt>
                <c:pt idx="12">
                  <c:v>3.4772216666556499E-4</c:v>
                </c:pt>
                <c:pt idx="13">
                  <c:v>-3.4787579999906448E-4</c:v>
                </c:pt>
                <c:pt idx="14">
                  <c:v>4.8840890000012571E-4</c:v>
                </c:pt>
                <c:pt idx="15">
                  <c:v>3.0432499999788479E-5</c:v>
                </c:pt>
                <c:pt idx="16">
                  <c:v>-3.3104870000122411E-4</c:v>
                </c:pt>
                <c:pt idx="17">
                  <c:v>-1.212754866866667</c:v>
                </c:pt>
                <c:pt idx="18">
                  <c:v>-1.769361522000001</c:v>
                </c:pt>
                <c:pt idx="19">
                  <c:v>-1.300177221266666</c:v>
                </c:pt>
                <c:pt idx="20">
                  <c:v>-2.291777373966668</c:v>
                </c:pt>
                <c:pt idx="21">
                  <c:v>-2.3117215075666668</c:v>
                </c:pt>
                <c:pt idx="22">
                  <c:v>-2.400177176833334</c:v>
                </c:pt>
                <c:pt idx="23">
                  <c:v>-2.1757939649333329</c:v>
                </c:pt>
                <c:pt idx="24">
                  <c:v>-1.560467663466671</c:v>
                </c:pt>
                <c:pt idx="25">
                  <c:v>-2.5151042540000002</c:v>
                </c:pt>
                <c:pt idx="26">
                  <c:v>-2.4533124614999999</c:v>
                </c:pt>
                <c:pt idx="27">
                  <c:v>-2.2184610122666681</c:v>
                </c:pt>
                <c:pt idx="28">
                  <c:v>-2.1216845199000001</c:v>
                </c:pt>
                <c:pt idx="29">
                  <c:v>-1.9061226298000009</c:v>
                </c:pt>
                <c:pt idx="30">
                  <c:v>-1.722199704433333</c:v>
                </c:pt>
                <c:pt idx="31">
                  <c:v>-1.3723032237333339</c:v>
                </c:pt>
                <c:pt idx="32">
                  <c:v>-3.4837633332890361E-4</c:v>
                </c:pt>
                <c:pt idx="33">
                  <c:v>-0.80599678803333208</c:v>
                </c:pt>
                <c:pt idx="34">
                  <c:v>-0.92449779549999911</c:v>
                </c:pt>
                <c:pt idx="35">
                  <c:v>5.5784099999955927E-5</c:v>
                </c:pt>
                <c:pt idx="36">
                  <c:v>-4.1403433333114798E-4</c:v>
                </c:pt>
                <c:pt idx="37">
                  <c:v>-4.5404449999996658E-4</c:v>
                </c:pt>
                <c:pt idx="38">
                  <c:v>4.8439200000090221E-5</c:v>
                </c:pt>
                <c:pt idx="39">
                  <c:v>3.2203869999991591E-4</c:v>
                </c:pt>
                <c:pt idx="40">
                  <c:v>4.3450113333398649E-4</c:v>
                </c:pt>
                <c:pt idx="41">
                  <c:v>-2.8066666666604068E-4</c:v>
                </c:pt>
                <c:pt idx="42">
                  <c:v>2.9999999999996701E-4</c:v>
                </c:pt>
                <c:pt idx="43">
                  <c:v>-8.7999999999976986E-5</c:v>
                </c:pt>
                <c:pt idx="44">
                  <c:v>0</c:v>
                </c:pt>
                <c:pt idx="45">
                  <c:v>-8.4000000000000741E-5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DE7-4FAD-A412-675D9D2D5709}"/>
            </c:ext>
          </c:extLst>
        </c:ser>
        <c:ser>
          <c:idx val="59"/>
          <c:order val="59"/>
          <c:tx>
            <c:v>BES_TR1_six90_B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Net_kW!$BJ$2:$BJ$49</c:f>
              <c:numCache>
                <c:formatCode>#,##0.000</c:formatCode>
                <c:ptCount val="48"/>
                <c:pt idx="0">
                  <c:v>-5.6666666670146526E-6</c:v>
                </c:pt>
                <c:pt idx="1">
                  <c:v>-4.3666666666669629E-4</c:v>
                </c:pt>
                <c:pt idx="2">
                  <c:v>2.64333333333297E-4</c:v>
                </c:pt>
                <c:pt idx="3">
                  <c:v>-4.3500000000001871E-4</c:v>
                </c:pt>
                <c:pt idx="4">
                  <c:v>0</c:v>
                </c:pt>
                <c:pt idx="5">
                  <c:v>-2.4199999999999219E-4</c:v>
                </c:pt>
                <c:pt idx="6">
                  <c:v>5.7333333333298153E-5</c:v>
                </c:pt>
                <c:pt idx="7">
                  <c:v>2.9359826666665312E-4</c:v>
                </c:pt>
                <c:pt idx="8">
                  <c:v>-1.665795999995778E-4</c:v>
                </c:pt>
                <c:pt idx="9">
                  <c:v>-1.721119333330011E-4</c:v>
                </c:pt>
                <c:pt idx="10">
                  <c:v>3.4385586666599299E-4</c:v>
                </c:pt>
                <c:pt idx="11">
                  <c:v>-1.13654933332985E-4</c:v>
                </c:pt>
                <c:pt idx="12">
                  <c:v>4.0703666665975469E-5</c:v>
                </c:pt>
                <c:pt idx="13">
                  <c:v>4.314161333340838E-4</c:v>
                </c:pt>
                <c:pt idx="14">
                  <c:v>-4.523940666669723E-4</c:v>
                </c:pt>
                <c:pt idx="15">
                  <c:v>-3.1304499999984531E-4</c:v>
                </c:pt>
                <c:pt idx="16">
                  <c:v>-3.3536580000104182E-4</c:v>
                </c:pt>
                <c:pt idx="17">
                  <c:v>-3.2546680000011818E-4</c:v>
                </c:pt>
                <c:pt idx="18">
                  <c:v>-4.8681333334021908E-5</c:v>
                </c:pt>
                <c:pt idx="19">
                  <c:v>3.9596360000396241E-4</c:v>
                </c:pt>
                <c:pt idx="20">
                  <c:v>-3.2780486666394992E-4</c:v>
                </c:pt>
                <c:pt idx="21">
                  <c:v>2.7077273332976048E-4</c:v>
                </c:pt>
                <c:pt idx="22">
                  <c:v>-2.6529566666688709E-4</c:v>
                </c:pt>
                <c:pt idx="23">
                  <c:v>-1.354399999931033E-6</c:v>
                </c:pt>
                <c:pt idx="24">
                  <c:v>1.193354666659818E-4</c:v>
                </c:pt>
                <c:pt idx="25">
                  <c:v>2.583066667022349E-5</c:v>
                </c:pt>
                <c:pt idx="26">
                  <c:v>3.5758999999968573E-5</c:v>
                </c:pt>
                <c:pt idx="27">
                  <c:v>-3.9316373333408983E-4</c:v>
                </c:pt>
                <c:pt idx="28">
                  <c:v>3.4720066667048848E-5</c:v>
                </c:pt>
                <c:pt idx="29">
                  <c:v>3.8091346666591091E-4</c:v>
                </c:pt>
                <c:pt idx="30">
                  <c:v>-0.77944091406666705</c:v>
                </c:pt>
                <c:pt idx="31">
                  <c:v>-1.166791926933334</c:v>
                </c:pt>
                <c:pt idx="32">
                  <c:v>-0.97916769533333292</c:v>
                </c:pt>
                <c:pt idx="33">
                  <c:v>-0.68893863646666598</c:v>
                </c:pt>
                <c:pt idx="34">
                  <c:v>-0.64359186366666599</c:v>
                </c:pt>
                <c:pt idx="35">
                  <c:v>-0.48733147726666698</c:v>
                </c:pt>
                <c:pt idx="36">
                  <c:v>-0.32128646733333399</c:v>
                </c:pt>
                <c:pt idx="37">
                  <c:v>-0.189361363</c:v>
                </c:pt>
                <c:pt idx="38">
                  <c:v>-0.1311603738666666</c:v>
                </c:pt>
                <c:pt idx="39">
                  <c:v>2.4935913333298809E-4</c:v>
                </c:pt>
                <c:pt idx="40">
                  <c:v>1.181118666666522E-4</c:v>
                </c:pt>
                <c:pt idx="41">
                  <c:v>4.3633333333301111E-4</c:v>
                </c:pt>
                <c:pt idx="42">
                  <c:v>3.7900000000000428E-4</c:v>
                </c:pt>
                <c:pt idx="43">
                  <c:v>1.3999999999986251E-5</c:v>
                </c:pt>
                <c:pt idx="44">
                  <c:v>-1.8466666666699941E-4</c:v>
                </c:pt>
                <c:pt idx="45">
                  <c:v>0</c:v>
                </c:pt>
                <c:pt idx="46">
                  <c:v>-4.9300000000000732E-4</c:v>
                </c:pt>
                <c:pt idx="47">
                  <c:v>3.2233333333303582E-4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7DE7-4FAD-A412-675D9D2D5709}"/>
            </c:ext>
          </c:extLst>
        </c:ser>
        <c:ser>
          <c:idx val="60"/>
          <c:order val="60"/>
          <c:tx>
            <c:v>BES_TR1_six807_A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Net_kW!$BK$2:$BK$49</c:f>
              <c:numCache>
                <c:formatCode>#,##0.000</c:formatCode>
                <c:ptCount val="48"/>
                <c:pt idx="0">
                  <c:v>-4.6666666670136534E-6</c:v>
                </c:pt>
                <c:pt idx="1">
                  <c:v>0</c:v>
                </c:pt>
                <c:pt idx="2">
                  <c:v>0</c:v>
                </c:pt>
                <c:pt idx="3">
                  <c:v>-4.6666666670136534E-6</c:v>
                </c:pt>
                <c:pt idx="4">
                  <c:v>0</c:v>
                </c:pt>
                <c:pt idx="5">
                  <c:v>-4.589999999999872E-4</c:v>
                </c:pt>
                <c:pt idx="6">
                  <c:v>4.5433333333329973E-4</c:v>
                </c:pt>
                <c:pt idx="7">
                  <c:v>-3.9735066666324308E-5</c:v>
                </c:pt>
                <c:pt idx="8">
                  <c:v>3.9087066666387837E-5</c:v>
                </c:pt>
                <c:pt idx="9">
                  <c:v>-2.8677860000000249E-4</c:v>
                </c:pt>
                <c:pt idx="10">
                  <c:v>3.2985586666597899E-4</c:v>
                </c:pt>
                <c:pt idx="11">
                  <c:v>-2.9665493333300152E-4</c:v>
                </c:pt>
                <c:pt idx="12">
                  <c:v>4.0370366666597768E-4</c:v>
                </c:pt>
                <c:pt idx="13">
                  <c:v>3.5749466667067693E-5</c:v>
                </c:pt>
                <c:pt idx="14">
                  <c:v>1.092726000000432E-4</c:v>
                </c:pt>
                <c:pt idx="15">
                  <c:v>-4.5304499999987419E-4</c:v>
                </c:pt>
                <c:pt idx="16">
                  <c:v>-1.6703246666704971E-4</c:v>
                </c:pt>
                <c:pt idx="17">
                  <c:v>2.458665333331389E-4</c:v>
                </c:pt>
                <c:pt idx="18">
                  <c:v>2.698533333300723E-5</c:v>
                </c:pt>
                <c:pt idx="19">
                  <c:v>-0.65121570306666587</c:v>
                </c:pt>
                <c:pt idx="20">
                  <c:v>-1.3779344715333339</c:v>
                </c:pt>
                <c:pt idx="21">
                  <c:v>-1.501437227266667</c:v>
                </c:pt>
                <c:pt idx="22">
                  <c:v>-1.4167182956666671</c:v>
                </c:pt>
                <c:pt idx="23">
                  <c:v>-1.5926943544000001</c:v>
                </c:pt>
                <c:pt idx="24">
                  <c:v>-1.542380664533334</c:v>
                </c:pt>
                <c:pt idx="25">
                  <c:v>-0.77547483599999989</c:v>
                </c:pt>
                <c:pt idx="26">
                  <c:v>-0.906358574333333</c:v>
                </c:pt>
                <c:pt idx="27">
                  <c:v>-1.5143954970666671</c:v>
                </c:pt>
                <c:pt idx="28">
                  <c:v>-1.3510302799333329</c:v>
                </c:pt>
                <c:pt idx="29">
                  <c:v>-1.3840950865333339</c:v>
                </c:pt>
                <c:pt idx="30">
                  <c:v>-1.240375580733333</c:v>
                </c:pt>
                <c:pt idx="31">
                  <c:v>-0.68797159360000093</c:v>
                </c:pt>
                <c:pt idx="32">
                  <c:v>-0.67001669533333286</c:v>
                </c:pt>
                <c:pt idx="33">
                  <c:v>-4.6263646666622188E-4</c:v>
                </c:pt>
                <c:pt idx="34">
                  <c:v>-2.6586366666592198E-4</c:v>
                </c:pt>
                <c:pt idx="35">
                  <c:v>2.5885606666695149E-4</c:v>
                </c:pt>
                <c:pt idx="36">
                  <c:v>-1.6246733333402649E-4</c:v>
                </c:pt>
                <c:pt idx="37">
                  <c:v>-3.1616300000000819E-4</c:v>
                </c:pt>
                <c:pt idx="38">
                  <c:v>-9.4707199996602043E-5</c:v>
                </c:pt>
                <c:pt idx="39">
                  <c:v>3.9235913332991151E-4</c:v>
                </c:pt>
                <c:pt idx="40">
                  <c:v>0.22060244519999969</c:v>
                </c:pt>
                <c:pt idx="41">
                  <c:v>0.83949300000000004</c:v>
                </c:pt>
                <c:pt idx="42">
                  <c:v>0.843878666666666</c:v>
                </c:pt>
                <c:pt idx="43">
                  <c:v>0.83569233333333404</c:v>
                </c:pt>
                <c:pt idx="44">
                  <c:v>0.55227633333333304</c:v>
                </c:pt>
                <c:pt idx="45">
                  <c:v>0.455141666666667</c:v>
                </c:pt>
                <c:pt idx="46">
                  <c:v>0.45371166666666601</c:v>
                </c:pt>
                <c:pt idx="47">
                  <c:v>0.687666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7DE7-4FAD-A412-675D9D2D5709}"/>
            </c:ext>
          </c:extLst>
        </c:ser>
        <c:ser>
          <c:idx val="61"/>
          <c:order val="61"/>
          <c:tx>
            <c:v>BES_TR1_six852_B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Net_kW!$BL$2:$BL$49</c:f>
              <c:numCache>
                <c:formatCode>#,##0.000</c:formatCode>
                <c:ptCount val="48"/>
                <c:pt idx="0">
                  <c:v>-1.4533333333299761E-4</c:v>
                </c:pt>
                <c:pt idx="1">
                  <c:v>-2.403333333339808E-4</c:v>
                </c:pt>
                <c:pt idx="2">
                  <c:v>-2.333333333329746E-4</c:v>
                </c:pt>
                <c:pt idx="3">
                  <c:v>1.6299999999999651E-4</c:v>
                </c:pt>
                <c:pt idx="4">
                  <c:v>-3.1633333333300212E-4</c:v>
                </c:pt>
                <c:pt idx="5">
                  <c:v>-6.3333333332998842E-5</c:v>
                </c:pt>
                <c:pt idx="6">
                  <c:v>-4.9733333333301655E-4</c:v>
                </c:pt>
                <c:pt idx="7">
                  <c:v>2.27196533333307E-4</c:v>
                </c:pt>
                <c:pt idx="8">
                  <c:v>-1.6815920000021189E-4</c:v>
                </c:pt>
                <c:pt idx="9">
                  <c:v>-1.878905333329989E-4</c:v>
                </c:pt>
                <c:pt idx="10">
                  <c:v>-8.7288266667984171E-5</c:v>
                </c:pt>
                <c:pt idx="11">
                  <c:v>6.3023466667977424E-5</c:v>
                </c:pt>
                <c:pt idx="12">
                  <c:v>8.6407333331872671E-5</c:v>
                </c:pt>
                <c:pt idx="13">
                  <c:v>-1.268343999987209E-4</c:v>
                </c:pt>
                <c:pt idx="14">
                  <c:v>-1.971214666669496E-4</c:v>
                </c:pt>
                <c:pt idx="15">
                  <c:v>2.8424333333321172E-4</c:v>
                </c:pt>
                <c:pt idx="16">
                  <c:v>-1.0010307316000009</c:v>
                </c:pt>
                <c:pt idx="17">
                  <c:v>-2.454601600266666</c:v>
                </c:pt>
                <c:pt idx="18">
                  <c:v>-2.1883980293333338</c:v>
                </c:pt>
                <c:pt idx="19">
                  <c:v>-2.8735600727999979</c:v>
                </c:pt>
                <c:pt idx="20">
                  <c:v>-3.0106232764000009</c:v>
                </c:pt>
                <c:pt idx="21">
                  <c:v>-2.8982097878666671</c:v>
                </c:pt>
                <c:pt idx="22">
                  <c:v>-3.322839591333334</c:v>
                </c:pt>
                <c:pt idx="23">
                  <c:v>-3.2513407087999999</c:v>
                </c:pt>
                <c:pt idx="24">
                  <c:v>-3.0990899957333351</c:v>
                </c:pt>
                <c:pt idx="25">
                  <c:v>-3.3633216720000001</c:v>
                </c:pt>
                <c:pt idx="26">
                  <c:v>-2.9386798153333329</c:v>
                </c:pt>
                <c:pt idx="27">
                  <c:v>-3.0901946608000008</c:v>
                </c:pt>
                <c:pt idx="28">
                  <c:v>-2.8353888932000002</c:v>
                </c:pt>
                <c:pt idx="29">
                  <c:v>-2.347711173066668</c:v>
                </c:pt>
                <c:pt idx="30">
                  <c:v>-2.5148118281333329</c:v>
                </c:pt>
                <c:pt idx="31">
                  <c:v>-1.2066875205333381</c:v>
                </c:pt>
                <c:pt idx="32">
                  <c:v>-1.7908850573333319</c:v>
                </c:pt>
                <c:pt idx="33">
                  <c:v>-1.480338606266665</c:v>
                </c:pt>
                <c:pt idx="34">
                  <c:v>-0.99801239399999786</c:v>
                </c:pt>
                <c:pt idx="35">
                  <c:v>-0.76037795453333312</c:v>
                </c:pt>
                <c:pt idx="36">
                  <c:v>-0.27582526800000112</c:v>
                </c:pt>
                <c:pt idx="37">
                  <c:v>-0.37669779266666698</c:v>
                </c:pt>
                <c:pt idx="38">
                  <c:v>-8.0548810666661863E-3</c:v>
                </c:pt>
                <c:pt idx="39">
                  <c:v>4.8605159999992598E-4</c:v>
                </c:pt>
                <c:pt idx="40">
                  <c:v>-1.707762666667278E-4</c:v>
                </c:pt>
                <c:pt idx="41">
                  <c:v>-4.5999999999990493E-5</c:v>
                </c:pt>
                <c:pt idx="42">
                  <c:v>-1.8766666666691911E-4</c:v>
                </c:pt>
                <c:pt idx="43">
                  <c:v>3.873333333339612E-4</c:v>
                </c:pt>
                <c:pt idx="44">
                  <c:v>2.7066666666697442E-4</c:v>
                </c:pt>
                <c:pt idx="45">
                  <c:v>1.3766666666703559E-4</c:v>
                </c:pt>
                <c:pt idx="46">
                  <c:v>-3.9899999999992719E-4</c:v>
                </c:pt>
                <c:pt idx="47">
                  <c:v>0.44442733333333312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7DE7-4FAD-A412-675D9D2D5709}"/>
            </c:ext>
          </c:extLst>
        </c:ser>
        <c:ser>
          <c:idx val="62"/>
          <c:order val="62"/>
          <c:tx>
            <c:v>BES_TR1_six860_C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Net_kW!$BM$2:$BM$49</c:f>
              <c:numCache>
                <c:formatCode>#,##0.000</c:formatCode>
                <c:ptCount val="48"/>
                <c:pt idx="0">
                  <c:v>-2.24000000000002E-4</c:v>
                </c:pt>
                <c:pt idx="1">
                  <c:v>-3.0533333333299112E-4</c:v>
                </c:pt>
                <c:pt idx="2">
                  <c:v>-4.1333333333298811E-4</c:v>
                </c:pt>
                <c:pt idx="3">
                  <c:v>1.3333333333004351E-5</c:v>
                </c:pt>
                <c:pt idx="4">
                  <c:v>0.1686</c:v>
                </c:pt>
                <c:pt idx="5">
                  <c:v>5.7000000000000002E-2</c:v>
                </c:pt>
                <c:pt idx="6">
                  <c:v>0.223613333333334</c:v>
                </c:pt>
                <c:pt idx="7">
                  <c:v>5.3559196533333332E-2</c:v>
                </c:pt>
                <c:pt idx="8">
                  <c:v>7.2655074666667999E-3</c:v>
                </c:pt>
                <c:pt idx="9">
                  <c:v>-1.3355720000002291E-4</c:v>
                </c:pt>
                <c:pt idx="10">
                  <c:v>-1.6695493333401809E-4</c:v>
                </c:pt>
                <c:pt idx="11">
                  <c:v>1.420234666680287E-4</c:v>
                </c:pt>
                <c:pt idx="12">
                  <c:v>-3.0525933333414018E-4</c:v>
                </c:pt>
                <c:pt idx="13">
                  <c:v>2.5883226666811859E-4</c:v>
                </c:pt>
                <c:pt idx="14">
                  <c:v>4.0545199999852948E-5</c:v>
                </c:pt>
                <c:pt idx="15">
                  <c:v>2.539100000000794E-4</c:v>
                </c:pt>
                <c:pt idx="16">
                  <c:v>-0.82159606493333515</c:v>
                </c:pt>
                <c:pt idx="17">
                  <c:v>-2.4796509335999999</c:v>
                </c:pt>
                <c:pt idx="18">
                  <c:v>-2.5449620293333339</c:v>
                </c:pt>
                <c:pt idx="19">
                  <c:v>-2.9093834061333319</c:v>
                </c:pt>
                <c:pt idx="20">
                  <c:v>-3.0830089430666678</c:v>
                </c:pt>
                <c:pt idx="21">
                  <c:v>-3.1202784545333331</c:v>
                </c:pt>
                <c:pt idx="22">
                  <c:v>-3.2673912580000009</c:v>
                </c:pt>
                <c:pt idx="23">
                  <c:v>-3.3725667088</c:v>
                </c:pt>
                <c:pt idx="24">
                  <c:v>-3.3854813290666681</c:v>
                </c:pt>
                <c:pt idx="25">
                  <c:v>-3.1947083386666661</c:v>
                </c:pt>
                <c:pt idx="26">
                  <c:v>-3.280158482</c:v>
                </c:pt>
                <c:pt idx="27">
                  <c:v>-3.1563343274666682</c:v>
                </c:pt>
                <c:pt idx="28">
                  <c:v>-2.8418945598666658</c:v>
                </c:pt>
                <c:pt idx="29">
                  <c:v>-2.8211901730666682</c:v>
                </c:pt>
                <c:pt idx="30">
                  <c:v>-2.5463951614666671</c:v>
                </c:pt>
                <c:pt idx="31">
                  <c:v>-2.1019718538666678</c:v>
                </c:pt>
                <c:pt idx="32">
                  <c:v>-1.930640057333332</c:v>
                </c:pt>
                <c:pt idx="33">
                  <c:v>-1.318145606266665</c:v>
                </c:pt>
                <c:pt idx="34">
                  <c:v>-1.223717727333332</c:v>
                </c:pt>
                <c:pt idx="35">
                  <c:v>-0.87912962120000004</c:v>
                </c:pt>
                <c:pt idx="36">
                  <c:v>-0.40984893466666811</c:v>
                </c:pt>
                <c:pt idx="37">
                  <c:v>-0.21674072600000011</c:v>
                </c:pt>
                <c:pt idx="38">
                  <c:v>-0.1033594144000002</c:v>
                </c:pt>
                <c:pt idx="39">
                  <c:v>3.1005160000002752E-4</c:v>
                </c:pt>
                <c:pt idx="40">
                  <c:v>-1.14442933333625E-4</c:v>
                </c:pt>
                <c:pt idx="41">
                  <c:v>1.6933333333402081E-4</c:v>
                </c:pt>
                <c:pt idx="42">
                  <c:v>-4.6200000000001801E-4</c:v>
                </c:pt>
                <c:pt idx="43">
                  <c:v>-1.9199999999997E-4</c:v>
                </c:pt>
                <c:pt idx="44">
                  <c:v>1.9333333333293459E-4</c:v>
                </c:pt>
                <c:pt idx="45">
                  <c:v>0</c:v>
                </c:pt>
                <c:pt idx="46">
                  <c:v>-3.8666666666600791E-4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7DE7-4FAD-A412-675D9D2D5709}"/>
            </c:ext>
          </c:extLst>
        </c:ser>
        <c:ser>
          <c:idx val="63"/>
          <c:order val="63"/>
          <c:tx>
            <c:v>BES_TR1_six869_C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Net_kW!$BN$2:$BN$49</c:f>
              <c:numCache>
                <c:formatCode>#,##0.000</c:formatCode>
                <c:ptCount val="48"/>
                <c:pt idx="0">
                  <c:v>9.9999999999988987E-5</c:v>
                </c:pt>
                <c:pt idx="1">
                  <c:v>8.8976666666667037E-2</c:v>
                </c:pt>
                <c:pt idx="2">
                  <c:v>7.7342666666666698E-2</c:v>
                </c:pt>
                <c:pt idx="3">
                  <c:v>0.14737066666666701</c:v>
                </c:pt>
                <c:pt idx="4">
                  <c:v>0.146942666666667</c:v>
                </c:pt>
                <c:pt idx="5">
                  <c:v>0.14153499999999999</c:v>
                </c:pt>
                <c:pt idx="6">
                  <c:v>0.15277833333333299</c:v>
                </c:pt>
                <c:pt idx="7">
                  <c:v>5.055919653333333E-2</c:v>
                </c:pt>
                <c:pt idx="8">
                  <c:v>9.7208174133333797E-2</c:v>
                </c:pt>
                <c:pt idx="9">
                  <c:v>-2.028905333329861E-4</c:v>
                </c:pt>
                <c:pt idx="10">
                  <c:v>3.9304506666543171E-4</c:v>
                </c:pt>
                <c:pt idx="11">
                  <c:v>6.0234666680036852E-6</c:v>
                </c:pt>
                <c:pt idx="12">
                  <c:v>1.8274066666534861E-4</c:v>
                </c:pt>
                <c:pt idx="13">
                  <c:v>-2.2916773333192531E-4</c:v>
                </c:pt>
                <c:pt idx="14">
                  <c:v>4.3387853333287651E-4</c:v>
                </c:pt>
                <c:pt idx="15">
                  <c:v>3.4624333333321822E-4</c:v>
                </c:pt>
                <c:pt idx="16">
                  <c:v>-0.41156539826666799</c:v>
                </c:pt>
                <c:pt idx="17">
                  <c:v>-2.201717600266667</c:v>
                </c:pt>
                <c:pt idx="18">
                  <c:v>-2.5121730293333351</c:v>
                </c:pt>
                <c:pt idx="19">
                  <c:v>-2.8785700727999979</c:v>
                </c:pt>
                <c:pt idx="20">
                  <c:v>-3.0304329430666681</c:v>
                </c:pt>
                <c:pt idx="21">
                  <c:v>-3.1527451212000002</c:v>
                </c:pt>
                <c:pt idx="22">
                  <c:v>-3.2776179246666679</c:v>
                </c:pt>
                <c:pt idx="23">
                  <c:v>-3.1568433754666669</c:v>
                </c:pt>
                <c:pt idx="24">
                  <c:v>-3.2784479957333348</c:v>
                </c:pt>
                <c:pt idx="25">
                  <c:v>-3.1982626719999998</c:v>
                </c:pt>
                <c:pt idx="26">
                  <c:v>-3.2831584820000002</c:v>
                </c:pt>
                <c:pt idx="27">
                  <c:v>-3.0426209941333351</c:v>
                </c:pt>
                <c:pt idx="28">
                  <c:v>-2.9615078931999999</c:v>
                </c:pt>
                <c:pt idx="29">
                  <c:v>-2.6670551730666681</c:v>
                </c:pt>
                <c:pt idx="30">
                  <c:v>-2.550503761466667</c:v>
                </c:pt>
                <c:pt idx="31">
                  <c:v>-2.2643489205333349</c:v>
                </c:pt>
                <c:pt idx="32">
                  <c:v>-1.881382057333332</c:v>
                </c:pt>
                <c:pt idx="33">
                  <c:v>-1.604489939599999</c:v>
                </c:pt>
                <c:pt idx="34">
                  <c:v>-1.1278707273333319</c:v>
                </c:pt>
                <c:pt idx="35">
                  <c:v>-0.96843562120000004</c:v>
                </c:pt>
                <c:pt idx="36">
                  <c:v>-0.60451033466666804</c:v>
                </c:pt>
                <c:pt idx="37">
                  <c:v>-0.45574432599999998</c:v>
                </c:pt>
                <c:pt idx="38">
                  <c:v>-4.3241439999919251E-4</c:v>
                </c:pt>
                <c:pt idx="39">
                  <c:v>4.6405160000007051E-4</c:v>
                </c:pt>
                <c:pt idx="40">
                  <c:v>1.662237333333039E-4</c:v>
                </c:pt>
                <c:pt idx="41">
                  <c:v>-1.153333333330231E-4</c:v>
                </c:pt>
                <c:pt idx="42">
                  <c:v>4.8333333333294698E-4</c:v>
                </c:pt>
                <c:pt idx="43">
                  <c:v>4.6733333333298649E-4</c:v>
                </c:pt>
                <c:pt idx="44">
                  <c:v>1.8600000000001951E-4</c:v>
                </c:pt>
                <c:pt idx="45">
                  <c:v>-3.9600000000006302E-4</c:v>
                </c:pt>
                <c:pt idx="46">
                  <c:v>-1.3633333333298861E-4</c:v>
                </c:pt>
                <c:pt idx="47">
                  <c:v>-1.5033333333340501E-4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7DE7-4FAD-A412-675D9D2D5709}"/>
            </c:ext>
          </c:extLst>
        </c:ser>
        <c:ser>
          <c:idx val="64"/>
          <c:order val="64"/>
          <c:tx>
            <c:v>BES_TR1_six885_A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Net_kW!$BO$2:$BO$49</c:f>
              <c:numCache>
                <c:formatCode>#,##0.000</c:formatCode>
                <c:ptCount val="48"/>
                <c:pt idx="0">
                  <c:v>4.2333333333402501E-4</c:v>
                </c:pt>
                <c:pt idx="1">
                  <c:v>1.8000000000001351E-4</c:v>
                </c:pt>
                <c:pt idx="2">
                  <c:v>-9.1333333332999089E-5</c:v>
                </c:pt>
                <c:pt idx="3">
                  <c:v>1.8000000000001351E-4</c:v>
                </c:pt>
                <c:pt idx="4">
                  <c:v>-3.6400000000000321E-4</c:v>
                </c:pt>
                <c:pt idx="5">
                  <c:v>-3.3400000000000102E-4</c:v>
                </c:pt>
                <c:pt idx="6">
                  <c:v>4.2266666666659902E-4</c:v>
                </c:pt>
                <c:pt idx="7">
                  <c:v>2.6659826666666769E-4</c:v>
                </c:pt>
                <c:pt idx="8">
                  <c:v>4.1842040000038272E-4</c:v>
                </c:pt>
                <c:pt idx="9">
                  <c:v>-2.8677859999999561E-4</c:v>
                </c:pt>
                <c:pt idx="10">
                  <c:v>4.1852253333299339E-4</c:v>
                </c:pt>
                <c:pt idx="11">
                  <c:v>7.1011733334014338E-5</c:v>
                </c:pt>
                <c:pt idx="12">
                  <c:v>2.2070366666598901E-4</c:v>
                </c:pt>
                <c:pt idx="13">
                  <c:v>3.8082800001060242E-5</c:v>
                </c:pt>
                <c:pt idx="14">
                  <c:v>-4.2394066666728847E-5</c:v>
                </c:pt>
                <c:pt idx="15">
                  <c:v>-1.950449999998938E-4</c:v>
                </c:pt>
                <c:pt idx="16">
                  <c:v>-7.6032466667097509E-5</c:v>
                </c:pt>
                <c:pt idx="17">
                  <c:v>-3.2546679999989608E-4</c:v>
                </c:pt>
                <c:pt idx="18">
                  <c:v>-0.1248223480000008</c:v>
                </c:pt>
                <c:pt idx="19">
                  <c:v>-0.54382803639999888</c:v>
                </c:pt>
                <c:pt idx="20">
                  <c:v>-1.449804471533334</c:v>
                </c:pt>
                <c:pt idx="21">
                  <c:v>-1.4277958939333331</c:v>
                </c:pt>
                <c:pt idx="22">
                  <c:v>-1.5901902956666669</c:v>
                </c:pt>
                <c:pt idx="23">
                  <c:v>-1.6219673543999999</c:v>
                </c:pt>
                <c:pt idx="24">
                  <c:v>-1.4774469978666669</c:v>
                </c:pt>
                <c:pt idx="25">
                  <c:v>-1.668160836</c:v>
                </c:pt>
                <c:pt idx="26">
                  <c:v>-1.575763241</c:v>
                </c:pt>
                <c:pt idx="27">
                  <c:v>-1.4996743637333341</c:v>
                </c:pt>
                <c:pt idx="28">
                  <c:v>-1.3421279466</c:v>
                </c:pt>
                <c:pt idx="29">
                  <c:v>-0.24021068653333399</c:v>
                </c:pt>
                <c:pt idx="30">
                  <c:v>-1.180229980733333</c:v>
                </c:pt>
                <c:pt idx="31">
                  <c:v>-1.010107260266667</c:v>
                </c:pt>
                <c:pt idx="32">
                  <c:v>-0.9017470286666659</c:v>
                </c:pt>
                <c:pt idx="33">
                  <c:v>-0.81288130313333296</c:v>
                </c:pt>
                <c:pt idx="34">
                  <c:v>-0.62133319699999889</c:v>
                </c:pt>
                <c:pt idx="35">
                  <c:v>-0.54030947726666678</c:v>
                </c:pt>
                <c:pt idx="36">
                  <c:v>-0.36965846733333402</c:v>
                </c:pt>
                <c:pt idx="37">
                  <c:v>-0.197752029666667</c:v>
                </c:pt>
                <c:pt idx="38">
                  <c:v>-0.12876704053333329</c:v>
                </c:pt>
                <c:pt idx="39">
                  <c:v>3.4269246666670389E-4</c:v>
                </c:pt>
                <c:pt idx="40">
                  <c:v>-2.7388813333339979E-4</c:v>
                </c:pt>
                <c:pt idx="41">
                  <c:v>-4.1000000000002151E-4</c:v>
                </c:pt>
                <c:pt idx="42">
                  <c:v>-4.7999999999992493E-5</c:v>
                </c:pt>
                <c:pt idx="43">
                  <c:v>2.6666666667007899E-5</c:v>
                </c:pt>
                <c:pt idx="44">
                  <c:v>-6.8666666666994391E-5</c:v>
                </c:pt>
                <c:pt idx="45">
                  <c:v>-4.9733333333301655E-4</c:v>
                </c:pt>
                <c:pt idx="46">
                  <c:v>0</c:v>
                </c:pt>
                <c:pt idx="47">
                  <c:v>1.513333333329758E-4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7DE7-4FAD-A412-675D9D2D5709}"/>
            </c:ext>
          </c:extLst>
        </c:ser>
        <c:ser>
          <c:idx val="65"/>
          <c:order val="65"/>
          <c:tx>
            <c:v>BES_TR1_six909_C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Net_kW!$BP$2:$BP$49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-8.4057833333248122E-5</c:v>
                </c:pt>
                <c:pt idx="9">
                  <c:v>-3.584732500000049E-4</c:v>
                </c:pt>
                <c:pt idx="10">
                  <c:v>-3.3768016666749218E-4</c:v>
                </c:pt>
                <c:pt idx="11">
                  <c:v>3.3876466666749039E-4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-2.2465925000014761E-4</c:v>
                </c:pt>
                <c:pt idx="15">
                  <c:v>-2.1330625000004491E-4</c:v>
                </c:pt>
                <c:pt idx="16">
                  <c:v>3.8612608333199461E-4</c:v>
                </c:pt>
                <c:pt idx="17">
                  <c:v>-1.067793500166667</c:v>
                </c:pt>
                <c:pt idx="18">
                  <c:v>-1.680359601666668</c:v>
                </c:pt>
                <c:pt idx="19">
                  <c:v>-1.670194962166665</c:v>
                </c:pt>
                <c:pt idx="20">
                  <c:v>-0.58276558941666701</c:v>
                </c:pt>
                <c:pt idx="21">
                  <c:v>-1.8307463674166671</c:v>
                </c:pt>
                <c:pt idx="22">
                  <c:v>-2.19869583336807E-4</c:v>
                </c:pt>
                <c:pt idx="23">
                  <c:v>-0.52720252633333009</c:v>
                </c:pt>
                <c:pt idx="24">
                  <c:v>-0.43204389733333692</c:v>
                </c:pt>
                <c:pt idx="25">
                  <c:v>-1.9672972449999999</c:v>
                </c:pt>
                <c:pt idx="26">
                  <c:v>-2.0229254845833329</c:v>
                </c:pt>
                <c:pt idx="27">
                  <c:v>-1.7125673546666671</c:v>
                </c:pt>
                <c:pt idx="28">
                  <c:v>-1.7140944332500001</c:v>
                </c:pt>
                <c:pt idx="29">
                  <c:v>-1.6495689915000009</c:v>
                </c:pt>
                <c:pt idx="30">
                  <c:v>-1.4860693092499999</c:v>
                </c:pt>
                <c:pt idx="31">
                  <c:v>-0.91354057533333499</c:v>
                </c:pt>
                <c:pt idx="32">
                  <c:v>4.0163083333780158E-4</c:v>
                </c:pt>
                <c:pt idx="33">
                  <c:v>2.8878775000706902E-4</c:v>
                </c:pt>
                <c:pt idx="34">
                  <c:v>-3.3826291666538832E-4</c:v>
                </c:pt>
                <c:pt idx="35">
                  <c:v>1.5048674999995629E-4</c:v>
                </c:pt>
                <c:pt idx="36">
                  <c:v>4.0249166662231772E-5</c:v>
                </c:pt>
                <c:pt idx="37">
                  <c:v>0.73244746291666996</c:v>
                </c:pt>
                <c:pt idx="38">
                  <c:v>0.42440853266666678</c:v>
                </c:pt>
                <c:pt idx="39">
                  <c:v>0.205915698916666</c:v>
                </c:pt>
                <c:pt idx="40">
                  <c:v>0.28184530650000028</c:v>
                </c:pt>
                <c:pt idx="41">
                  <c:v>1.8943540000000001</c:v>
                </c:pt>
                <c:pt idx="42">
                  <c:v>2.5317813333333299</c:v>
                </c:pt>
                <c:pt idx="43">
                  <c:v>1.14769066666667</c:v>
                </c:pt>
                <c:pt idx="44">
                  <c:v>0.33702666666666697</c:v>
                </c:pt>
                <c:pt idx="45">
                  <c:v>0.54580933333333304</c:v>
                </c:pt>
                <c:pt idx="46">
                  <c:v>0.34061533333333299</c:v>
                </c:pt>
                <c:pt idx="47">
                  <c:v>0.31285800000000002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7DE7-4FAD-A412-675D9D2D5709}"/>
            </c:ext>
          </c:extLst>
        </c:ser>
        <c:ser>
          <c:idx val="66"/>
          <c:order val="66"/>
          <c:tx>
            <c:v>BES_TR1_six105_A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Net_kW!$BQ$2:$BQ$49</c:f>
              <c:numCache>
                <c:formatCode>#,##0.000</c:formatCode>
                <c:ptCount val="48"/>
                <c:pt idx="0">
                  <c:v>-2.966666666698314E-5</c:v>
                </c:pt>
                <c:pt idx="1">
                  <c:v>0</c:v>
                </c:pt>
                <c:pt idx="2">
                  <c:v>0</c:v>
                </c:pt>
                <c:pt idx="3">
                  <c:v>2.6533333333300663E-4</c:v>
                </c:pt>
                <c:pt idx="4">
                  <c:v>0</c:v>
                </c:pt>
                <c:pt idx="5">
                  <c:v>-1.2799999999998921E-4</c:v>
                </c:pt>
                <c:pt idx="6">
                  <c:v>3.933333333329958E-4</c:v>
                </c:pt>
                <c:pt idx="7">
                  <c:v>-1.5050216666666341E-4</c:v>
                </c:pt>
                <c:pt idx="8">
                  <c:v>1.812754999997446E-4</c:v>
                </c:pt>
                <c:pt idx="9">
                  <c:v>-3.584732500000049E-4</c:v>
                </c:pt>
                <c:pt idx="10">
                  <c:v>4.0165316666579409E-4</c:v>
                </c:pt>
                <c:pt idx="11">
                  <c:v>-1.3523533333248411E-4</c:v>
                </c:pt>
                <c:pt idx="12">
                  <c:v>5.0879583332497091E-5</c:v>
                </c:pt>
                <c:pt idx="13">
                  <c:v>-3.2289649999950321E-4</c:v>
                </c:pt>
                <c:pt idx="14">
                  <c:v>-2.2465925000014761E-4</c:v>
                </c:pt>
                <c:pt idx="15">
                  <c:v>9.836041666699824E-5</c:v>
                </c:pt>
                <c:pt idx="16">
                  <c:v>3.3912608333208638E-4</c:v>
                </c:pt>
                <c:pt idx="17">
                  <c:v>-1.168335000001353E-4</c:v>
                </c:pt>
                <c:pt idx="18">
                  <c:v>-1.1600942683333351</c:v>
                </c:pt>
                <c:pt idx="19">
                  <c:v>-1.8141861288333321</c:v>
                </c:pt>
                <c:pt idx="20">
                  <c:v>-1.6675924227500001</c:v>
                </c:pt>
                <c:pt idx="21">
                  <c:v>-1.95764620075</c:v>
                </c:pt>
                <c:pt idx="22">
                  <c:v>-1.9352782029166671</c:v>
                </c:pt>
                <c:pt idx="23">
                  <c:v>-1.8631411929999999</c:v>
                </c:pt>
                <c:pt idx="24">
                  <c:v>-2.0395508306666672</c:v>
                </c:pt>
                <c:pt idx="25">
                  <c:v>-1.847696045</c:v>
                </c:pt>
                <c:pt idx="26">
                  <c:v>-1.9551313845833329</c:v>
                </c:pt>
                <c:pt idx="27">
                  <c:v>-1.716338621333334</c:v>
                </c:pt>
                <c:pt idx="28">
                  <c:v>-1.643119099916666</c:v>
                </c:pt>
                <c:pt idx="29">
                  <c:v>-1.482787858166668</c:v>
                </c:pt>
                <c:pt idx="30">
                  <c:v>-1.557040975916667</c:v>
                </c:pt>
                <c:pt idx="31">
                  <c:v>-1.2485899086666681</c:v>
                </c:pt>
                <c:pt idx="32">
                  <c:v>-1.1502383691666651</c:v>
                </c:pt>
                <c:pt idx="33">
                  <c:v>-1.115544545583333</c:v>
                </c:pt>
                <c:pt idx="34">
                  <c:v>-0.7295293295833325</c:v>
                </c:pt>
                <c:pt idx="35">
                  <c:v>-0.56437901324999995</c:v>
                </c:pt>
                <c:pt idx="36">
                  <c:v>-0.46200825083333452</c:v>
                </c:pt>
                <c:pt idx="37">
                  <c:v>-0.21791120375</c:v>
                </c:pt>
                <c:pt idx="38">
                  <c:v>-0.19320046733333321</c:v>
                </c:pt>
                <c:pt idx="39">
                  <c:v>4.1836558333299689E-4</c:v>
                </c:pt>
                <c:pt idx="40">
                  <c:v>-4.8036016666667958E-4</c:v>
                </c:pt>
                <c:pt idx="41">
                  <c:v>0</c:v>
                </c:pt>
                <c:pt idx="42">
                  <c:v>4.760000000000042E-4</c:v>
                </c:pt>
                <c:pt idx="43">
                  <c:v>-3.3333333333299131E-4</c:v>
                </c:pt>
                <c:pt idx="44">
                  <c:v>2.5833333333302733E-4</c:v>
                </c:pt>
                <c:pt idx="45">
                  <c:v>-1.7266666666698741E-4</c:v>
                </c:pt>
                <c:pt idx="46">
                  <c:v>4.3700000000002071E-4</c:v>
                </c:pt>
                <c:pt idx="47">
                  <c:v>-2.7233333333298582E-4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7DE7-4FAD-A412-675D9D2D5709}"/>
            </c:ext>
          </c:extLst>
        </c:ser>
        <c:ser>
          <c:idx val="67"/>
          <c:order val="67"/>
          <c:tx>
            <c:v>BES_TR1_six914_A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Net_kW!$BR$2:$BR$49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-1.070303333333689E-5</c:v>
                </c:pt>
                <c:pt idx="8">
                  <c:v>-6.0014299999959497E-5</c:v>
                </c:pt>
                <c:pt idx="9">
                  <c:v>4.9813745000001908E-4</c:v>
                </c:pt>
                <c:pt idx="10">
                  <c:v>3.2724776666548378E-4</c:v>
                </c:pt>
                <c:pt idx="11">
                  <c:v>-1.257294666654474E-4</c:v>
                </c:pt>
                <c:pt idx="12">
                  <c:v>2.495647499987097E-4</c:v>
                </c:pt>
                <c:pt idx="13">
                  <c:v>4.8431156666794978E-4</c:v>
                </c:pt>
                <c:pt idx="14">
                  <c:v>2.8547705000003809E-4</c:v>
                </c:pt>
                <c:pt idx="15">
                  <c:v>-0.1837108954166666</c:v>
                </c:pt>
                <c:pt idx="16">
                  <c:v>-1.916344223483335</c:v>
                </c:pt>
                <c:pt idx="17">
                  <c:v>-1.627894433566667</c:v>
                </c:pt>
                <c:pt idx="18">
                  <c:v>-1.619400642333334</c:v>
                </c:pt>
                <c:pt idx="19">
                  <c:v>-2.4968052803666652</c:v>
                </c:pt>
                <c:pt idx="20">
                  <c:v>-2.6696427585166669</c:v>
                </c:pt>
                <c:pt idx="21">
                  <c:v>-2.7645919810500001</c:v>
                </c:pt>
                <c:pt idx="22">
                  <c:v>-2.8133653840833341</c:v>
                </c:pt>
                <c:pt idx="23">
                  <c:v>-2.864937536866667</c:v>
                </c:pt>
                <c:pt idx="24">
                  <c:v>-2.928961162933335</c:v>
                </c:pt>
                <c:pt idx="25">
                  <c:v>-2.8443820296666669</c:v>
                </c:pt>
                <c:pt idx="26">
                  <c:v>-2.686708638416667</c:v>
                </c:pt>
                <c:pt idx="27">
                  <c:v>-2.6957933698666681</c:v>
                </c:pt>
                <c:pt idx="28">
                  <c:v>-2.0084202398833328</c:v>
                </c:pt>
                <c:pt idx="29">
                  <c:v>-2.1358174681000022</c:v>
                </c:pt>
                <c:pt idx="30">
                  <c:v>-2.2422094329500002</c:v>
                </c:pt>
                <c:pt idx="31">
                  <c:v>-2.0534732054666671</c:v>
                </c:pt>
                <c:pt idx="32">
                  <c:v>-1.7540310501666649</c:v>
                </c:pt>
                <c:pt idx="33">
                  <c:v>-1.464217030483332</c:v>
                </c:pt>
                <c:pt idx="34">
                  <c:v>-1.233848594749998</c:v>
                </c:pt>
                <c:pt idx="35">
                  <c:v>-1.0121709185500001</c:v>
                </c:pt>
                <c:pt idx="36">
                  <c:v>-0.65765865116666744</c:v>
                </c:pt>
                <c:pt idx="37">
                  <c:v>-0.37302688524999988</c:v>
                </c:pt>
                <c:pt idx="38">
                  <c:v>-7.6712654266666513E-2</c:v>
                </c:pt>
                <c:pt idx="39">
                  <c:v>1.617118166669651E-4</c:v>
                </c:pt>
                <c:pt idx="40">
                  <c:v>-3.0063756666343089E-4</c:v>
                </c:pt>
                <c:pt idx="41">
                  <c:v>-1.9866666666690241E-4</c:v>
                </c:pt>
                <c:pt idx="42">
                  <c:v>2.5200000000002998E-4</c:v>
                </c:pt>
                <c:pt idx="43">
                  <c:v>2.1466666666702941E-4</c:v>
                </c:pt>
                <c:pt idx="44">
                  <c:v>-1.1333333333296559E-4</c:v>
                </c:pt>
                <c:pt idx="45">
                  <c:v>2.263333333329953E-4</c:v>
                </c:pt>
                <c:pt idx="46">
                  <c:v>-2.370000000000427E-4</c:v>
                </c:pt>
                <c:pt idx="47">
                  <c:v>1.040000000000207E-4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7DE7-4FAD-A412-675D9D2D5709}"/>
            </c:ext>
          </c:extLst>
        </c:ser>
        <c:ser>
          <c:idx val="68"/>
          <c:order val="68"/>
          <c:tx>
            <c:v>BES_TR1_six945_C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Net_kW!$BS$2:$BS$49</c:f>
              <c:numCache>
                <c:formatCode>#,##0.000</c:formatCode>
                <c:ptCount val="48"/>
                <c:pt idx="0">
                  <c:v>-4.8699999999998739E-4</c:v>
                </c:pt>
                <c:pt idx="1">
                  <c:v>3.8499999999999651E-4</c:v>
                </c:pt>
                <c:pt idx="2">
                  <c:v>0</c:v>
                </c:pt>
                <c:pt idx="3">
                  <c:v>-4.099999999999937E-4</c:v>
                </c:pt>
                <c:pt idx="4">
                  <c:v>3.0800000000000272E-4</c:v>
                </c:pt>
                <c:pt idx="5">
                  <c:v>0</c:v>
                </c:pt>
                <c:pt idx="6">
                  <c:v>-1.01999999999991E-4</c:v>
                </c:pt>
                <c:pt idx="7">
                  <c:v>-4.4080346666666709E-4</c:v>
                </c:pt>
                <c:pt idx="8">
                  <c:v>3.1117413333379968E-4</c:v>
                </c:pt>
                <c:pt idx="9">
                  <c:v>-3.4255719999999601E-4</c:v>
                </c:pt>
                <c:pt idx="10">
                  <c:v>-3.4028826666798739E-4</c:v>
                </c:pt>
                <c:pt idx="11">
                  <c:v>4.0023466668093199E-5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-1.644547999999357E-4</c:v>
                </c:pt>
                <c:pt idx="15">
                  <c:v>-0.33452309000000002</c:v>
                </c:pt>
                <c:pt idx="16">
                  <c:v>-1.9813861982666681</c:v>
                </c:pt>
                <c:pt idx="17">
                  <c:v>-2.4422256002666671</c:v>
                </c:pt>
                <c:pt idx="18">
                  <c:v>-2.7185753626666682</c:v>
                </c:pt>
                <c:pt idx="19">
                  <c:v>-2.7544854061333321</c:v>
                </c:pt>
                <c:pt idx="20">
                  <c:v>-3.090008943066668</c:v>
                </c:pt>
                <c:pt idx="21">
                  <c:v>-3.1702037878666669</c:v>
                </c:pt>
                <c:pt idx="22">
                  <c:v>-3.084731524666668</c:v>
                </c:pt>
                <c:pt idx="23">
                  <c:v>-3.150816575466667</c:v>
                </c:pt>
                <c:pt idx="24">
                  <c:v>-3.243699662400001</c:v>
                </c:pt>
                <c:pt idx="25">
                  <c:v>-2.4506356720000002</c:v>
                </c:pt>
                <c:pt idx="26">
                  <c:v>-3.100420282</c:v>
                </c:pt>
                <c:pt idx="27">
                  <c:v>-3.1326721274666678</c:v>
                </c:pt>
                <c:pt idx="28">
                  <c:v>-3.0155078932000001</c:v>
                </c:pt>
                <c:pt idx="29">
                  <c:v>-2.6947245064000009</c:v>
                </c:pt>
                <c:pt idx="30">
                  <c:v>-2.014694828133333</c:v>
                </c:pt>
                <c:pt idx="31">
                  <c:v>-1.4774948538666679</c:v>
                </c:pt>
                <c:pt idx="32">
                  <c:v>-1.758589390666665</c:v>
                </c:pt>
                <c:pt idx="33">
                  <c:v>-1.340869272933332</c:v>
                </c:pt>
                <c:pt idx="34">
                  <c:v>-0.3396110606666618</c:v>
                </c:pt>
                <c:pt idx="35">
                  <c:v>-0.56328895453333305</c:v>
                </c:pt>
                <c:pt idx="36">
                  <c:v>-0.54323493466666806</c:v>
                </c:pt>
                <c:pt idx="37">
                  <c:v>-0.39510872600000002</c:v>
                </c:pt>
                <c:pt idx="38">
                  <c:v>-6.8170747733333203E-2</c:v>
                </c:pt>
                <c:pt idx="39">
                  <c:v>-4.0161506666602792E-4</c:v>
                </c:pt>
                <c:pt idx="40">
                  <c:v>-3.0477626666658431E-4</c:v>
                </c:pt>
                <c:pt idx="41">
                  <c:v>1.6000000000004899E-4</c:v>
                </c:pt>
                <c:pt idx="42">
                  <c:v>3.2633333333298431E-4</c:v>
                </c:pt>
                <c:pt idx="43">
                  <c:v>3.0599999999997301E-4</c:v>
                </c:pt>
                <c:pt idx="44">
                  <c:v>-9.1333333332999089E-5</c:v>
                </c:pt>
                <c:pt idx="45">
                  <c:v>-3.7666666666602572E-4</c:v>
                </c:pt>
                <c:pt idx="46">
                  <c:v>-3.9999999990047996E-6</c:v>
                </c:pt>
                <c:pt idx="47">
                  <c:v>-4.609999999999892E-4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7DE7-4FAD-A412-675D9D2D5709}"/>
            </c:ext>
          </c:extLst>
        </c:ser>
        <c:ser>
          <c:idx val="69"/>
          <c:order val="69"/>
          <c:tx>
            <c:v>BES_TR1_six952_A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Net_kW!$BT$2:$BT$49</c:f>
              <c:numCache>
                <c:formatCode>#,##0.000</c:formatCode>
                <c:ptCount val="48"/>
                <c:pt idx="0">
                  <c:v>0</c:v>
                </c:pt>
                <c:pt idx="1">
                  <c:v>3.8099999999999251E-4</c:v>
                </c:pt>
                <c:pt idx="2">
                  <c:v>-9.7000000000013742E-5</c:v>
                </c:pt>
                <c:pt idx="3">
                  <c:v>-1.739999999999936E-4</c:v>
                </c:pt>
                <c:pt idx="4">
                  <c:v>-3.4799999999998721E-4</c:v>
                </c:pt>
                <c:pt idx="5">
                  <c:v>4.146666666669796E-4</c:v>
                </c:pt>
                <c:pt idx="6">
                  <c:v>-1.3066666666700091E-4</c:v>
                </c:pt>
                <c:pt idx="7">
                  <c:v>8.5598266666681022E-5</c:v>
                </c:pt>
                <c:pt idx="8">
                  <c:v>-3.8924626666660128E-4</c:v>
                </c:pt>
                <c:pt idx="9">
                  <c:v>-2.8677860000000249E-4</c:v>
                </c:pt>
                <c:pt idx="10">
                  <c:v>3.2985586666597899E-4</c:v>
                </c:pt>
                <c:pt idx="11">
                  <c:v>-1.2298826666598539E-4</c:v>
                </c:pt>
                <c:pt idx="12">
                  <c:v>4.0703666665975469E-5</c:v>
                </c:pt>
                <c:pt idx="13">
                  <c:v>-4.4891719999889951E-4</c:v>
                </c:pt>
                <c:pt idx="14">
                  <c:v>-1.1739406666710921E-4</c:v>
                </c:pt>
                <c:pt idx="15">
                  <c:v>2.5621666670083702E-5</c:v>
                </c:pt>
                <c:pt idx="16">
                  <c:v>1.2730086666601359E-4</c:v>
                </c:pt>
                <c:pt idx="17">
                  <c:v>3.4386653333307038E-4</c:v>
                </c:pt>
                <c:pt idx="18">
                  <c:v>3.2661866666616751E-4</c:v>
                </c:pt>
                <c:pt idx="19">
                  <c:v>2.0829693333390689E-4</c:v>
                </c:pt>
                <c:pt idx="20">
                  <c:v>-0.98598280486666712</c:v>
                </c:pt>
                <c:pt idx="21">
                  <c:v>-1.438648227266667</c:v>
                </c:pt>
                <c:pt idx="22">
                  <c:v>-1.570383295666667</c:v>
                </c:pt>
                <c:pt idx="23">
                  <c:v>-1.626153021066667</c:v>
                </c:pt>
                <c:pt idx="24">
                  <c:v>-1.508782664533334</c:v>
                </c:pt>
                <c:pt idx="25">
                  <c:v>-1.6253348359999999</c:v>
                </c:pt>
                <c:pt idx="26">
                  <c:v>-1.6135792410000001</c:v>
                </c:pt>
                <c:pt idx="27">
                  <c:v>-1.370187497066667</c:v>
                </c:pt>
                <c:pt idx="28">
                  <c:v>-1.4729496132666671</c:v>
                </c:pt>
                <c:pt idx="29">
                  <c:v>-1.2619720865333339</c:v>
                </c:pt>
                <c:pt idx="30">
                  <c:v>-0.90522911406666706</c:v>
                </c:pt>
                <c:pt idx="31">
                  <c:v>-0.81711302693333399</c:v>
                </c:pt>
                <c:pt idx="32">
                  <c:v>-0.58854309533333293</c:v>
                </c:pt>
                <c:pt idx="33">
                  <c:v>-0.29774196979999901</c:v>
                </c:pt>
                <c:pt idx="34">
                  <c:v>-3.5089530333331953E-2</c:v>
                </c:pt>
                <c:pt idx="35">
                  <c:v>-0.17079381060000001</c:v>
                </c:pt>
                <c:pt idx="36">
                  <c:v>4.4453266666600807E-4</c:v>
                </c:pt>
                <c:pt idx="37">
                  <c:v>2.5630366666695709E-4</c:v>
                </c:pt>
                <c:pt idx="38">
                  <c:v>-3.7937386666664352E-4</c:v>
                </c:pt>
                <c:pt idx="39">
                  <c:v>-1.0197419999999351E-4</c:v>
                </c:pt>
                <c:pt idx="40">
                  <c:v>-7.5888133333340546E-5</c:v>
                </c:pt>
                <c:pt idx="41">
                  <c:v>4.7799999999997839E-4</c:v>
                </c:pt>
                <c:pt idx="42">
                  <c:v>1.6099999999999451E-4</c:v>
                </c:pt>
                <c:pt idx="43">
                  <c:v>-3.5499999999999421E-4</c:v>
                </c:pt>
                <c:pt idx="44">
                  <c:v>4.563333333330033E-4</c:v>
                </c:pt>
                <c:pt idx="45">
                  <c:v>2.1666666666697591E-5</c:v>
                </c:pt>
                <c:pt idx="46">
                  <c:v>-4.6266666666694428E-4</c:v>
                </c:pt>
                <c:pt idx="47">
                  <c:v>-3.8766666666700811E-4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7DE7-4FAD-A412-675D9D2D5709}"/>
            </c:ext>
          </c:extLst>
        </c:ser>
        <c:ser>
          <c:idx val="70"/>
          <c:order val="70"/>
          <c:tx>
            <c:v>BES_TR1_six967_B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Net_kW!$BU$2:$BU$49</c:f>
              <c:numCache>
                <c:formatCode>#,##0.000</c:formatCode>
                <c:ptCount val="48"/>
                <c:pt idx="0">
                  <c:v>-2.6999999999999252E-4</c:v>
                </c:pt>
                <c:pt idx="1">
                  <c:v>0</c:v>
                </c:pt>
                <c:pt idx="2">
                  <c:v>0</c:v>
                </c:pt>
                <c:pt idx="3">
                  <c:v>-2.6999999999999252E-4</c:v>
                </c:pt>
                <c:pt idx="4">
                  <c:v>0</c:v>
                </c:pt>
                <c:pt idx="5">
                  <c:v>2.8999999999999859E-4</c:v>
                </c:pt>
                <c:pt idx="6">
                  <c:v>4.399999999999959E-4</c:v>
                </c:pt>
                <c:pt idx="7">
                  <c:v>1.3979913333333341E-4</c:v>
                </c:pt>
                <c:pt idx="8">
                  <c:v>2.9637686666669771E-4</c:v>
                </c:pt>
                <c:pt idx="9">
                  <c:v>-1.4338930000000041E-4</c:v>
                </c:pt>
                <c:pt idx="10">
                  <c:v>-3.3507206666699712E-4</c:v>
                </c:pt>
                <c:pt idx="11">
                  <c:v>-3.7949413333298552E-4</c:v>
                </c:pt>
                <c:pt idx="12">
                  <c:v>-3.3464816666700647E-4</c:v>
                </c:pt>
                <c:pt idx="13">
                  <c:v>-4.3529193333297078E-4</c:v>
                </c:pt>
                <c:pt idx="14">
                  <c:v>3.801363000000002E-4</c:v>
                </c:pt>
                <c:pt idx="15">
                  <c:v>2.0347749999999329E-4</c:v>
                </c:pt>
                <c:pt idx="16">
                  <c:v>-8.2349566667083707E-5</c:v>
                </c:pt>
                <c:pt idx="17">
                  <c:v>-4.3273339999994048E-4</c:v>
                </c:pt>
                <c:pt idx="18">
                  <c:v>-1.4384066666695011E-4</c:v>
                </c:pt>
                <c:pt idx="19">
                  <c:v>4.8914846666714418E-4</c:v>
                </c:pt>
                <c:pt idx="20">
                  <c:v>-3.57235766667019E-4</c:v>
                </c:pt>
                <c:pt idx="21">
                  <c:v>1.7371970000001899E-4</c:v>
                </c:pt>
                <c:pt idx="22">
                  <c:v>-3.7448116666694009E-4</c:v>
                </c:pt>
                <c:pt idx="23">
                  <c:v>-4.3534386666699287E-4</c:v>
                </c:pt>
                <c:pt idx="24">
                  <c:v>-0.1488093322666669</c:v>
                </c:pt>
                <c:pt idx="25">
                  <c:v>-0.58258841799999994</c:v>
                </c:pt>
                <c:pt idx="26">
                  <c:v>-0.550250953833333</c:v>
                </c:pt>
                <c:pt idx="27">
                  <c:v>-0.61465791520000002</c:v>
                </c:pt>
                <c:pt idx="28">
                  <c:v>-0.4351869733</c:v>
                </c:pt>
                <c:pt idx="29">
                  <c:v>-0.64671054326666699</c:v>
                </c:pt>
                <c:pt idx="30">
                  <c:v>-0.47083419036666702</c:v>
                </c:pt>
                <c:pt idx="31">
                  <c:v>-0.32402829679999989</c:v>
                </c:pt>
                <c:pt idx="32">
                  <c:v>-0.42585868100000002</c:v>
                </c:pt>
                <c:pt idx="33">
                  <c:v>-0.26076248489999998</c:v>
                </c:pt>
                <c:pt idx="34">
                  <c:v>-0.32980293183333298</c:v>
                </c:pt>
                <c:pt idx="35">
                  <c:v>-8.9972738633333021E-2</c:v>
                </c:pt>
                <c:pt idx="36">
                  <c:v>-8.5900333337107782E-5</c:v>
                </c:pt>
                <c:pt idx="37">
                  <c:v>-2.5068150000001621E-4</c:v>
                </c:pt>
                <c:pt idx="38">
                  <c:v>9.9813066666065708E-5</c:v>
                </c:pt>
                <c:pt idx="39">
                  <c:v>7.9346233332999727E-5</c:v>
                </c:pt>
                <c:pt idx="40">
                  <c:v>1.190559333333896E-4</c:v>
                </c:pt>
                <c:pt idx="41">
                  <c:v>8.0666666667061904E-5</c:v>
                </c:pt>
                <c:pt idx="42">
                  <c:v>4.463333333299957E-4</c:v>
                </c:pt>
                <c:pt idx="43">
                  <c:v>0.51873466666666701</c:v>
                </c:pt>
                <c:pt idx="44">
                  <c:v>0.91003166666666702</c:v>
                </c:pt>
                <c:pt idx="45">
                  <c:v>0.81796766666666598</c:v>
                </c:pt>
                <c:pt idx="46">
                  <c:v>0.30544500000000002</c:v>
                </c:pt>
                <c:pt idx="47">
                  <c:v>0.19208500000000001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7DE7-4FAD-A412-675D9D2D5709}"/>
            </c:ext>
          </c:extLst>
        </c:ser>
        <c:ser>
          <c:idx val="71"/>
          <c:order val="71"/>
          <c:tx>
            <c:v>BES_TR1_six990_B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Net_kW!$BV$2:$BV$49</c:f>
              <c:numCache>
                <c:formatCode>#,##0.000</c:formatCode>
                <c:ptCount val="48"/>
                <c:pt idx="0">
                  <c:v>3.8200000000002121E-4</c:v>
                </c:pt>
                <c:pt idx="1">
                  <c:v>3.5799999999996951E-4</c:v>
                </c:pt>
                <c:pt idx="2">
                  <c:v>3.7966666666700011E-4</c:v>
                </c:pt>
                <c:pt idx="3">
                  <c:v>4.4699999999997519E-4</c:v>
                </c:pt>
                <c:pt idx="4">
                  <c:v>4.6666666667000152E-5</c:v>
                </c:pt>
                <c:pt idx="5">
                  <c:v>0</c:v>
                </c:pt>
                <c:pt idx="6">
                  <c:v>3.0666666666695491E-4</c:v>
                </c:pt>
                <c:pt idx="7">
                  <c:v>-4.4080346666667408E-4</c:v>
                </c:pt>
                <c:pt idx="8">
                  <c:v>3.755074666668134E-4</c:v>
                </c:pt>
                <c:pt idx="9">
                  <c:v>-3.7689053333300748E-4</c:v>
                </c:pt>
                <c:pt idx="10">
                  <c:v>-3.402882666680429E-4</c:v>
                </c:pt>
                <c:pt idx="11">
                  <c:v>4.0535680000103319E-4</c:v>
                </c:pt>
                <c:pt idx="12">
                  <c:v>1.24740666664902E-4</c:v>
                </c:pt>
                <c:pt idx="13">
                  <c:v>-7.4501066664955928E-5</c:v>
                </c:pt>
                <c:pt idx="14">
                  <c:v>3.2387853333393218E-4</c:v>
                </c:pt>
                <c:pt idx="15">
                  <c:v>3.0391000000018492E-4</c:v>
                </c:pt>
                <c:pt idx="16">
                  <c:v>-1.289938064933335</c:v>
                </c:pt>
                <c:pt idx="17">
                  <c:v>-2.2680502669333329</c:v>
                </c:pt>
                <c:pt idx="18">
                  <c:v>-2.058492696000001</c:v>
                </c:pt>
                <c:pt idx="19">
                  <c:v>-2.265219072799999</c:v>
                </c:pt>
                <c:pt idx="20">
                  <c:v>-2.7143089430666678</c:v>
                </c:pt>
                <c:pt idx="21">
                  <c:v>-3.0591317878666668</c:v>
                </c:pt>
                <c:pt idx="22">
                  <c:v>-3.2444979246666681</c:v>
                </c:pt>
                <c:pt idx="23">
                  <c:v>-3.3040000421333331</c:v>
                </c:pt>
                <c:pt idx="24">
                  <c:v>-3.354197995733335</c:v>
                </c:pt>
                <c:pt idx="25">
                  <c:v>-3.1042983386666672</c:v>
                </c:pt>
                <c:pt idx="26">
                  <c:v>-3.2861584819999998</c:v>
                </c:pt>
                <c:pt idx="27">
                  <c:v>-3.1555213274666678</c:v>
                </c:pt>
                <c:pt idx="28">
                  <c:v>-2.8850608931999999</c:v>
                </c:pt>
                <c:pt idx="29">
                  <c:v>-2.827190173066668</c:v>
                </c:pt>
                <c:pt idx="30">
                  <c:v>-1.47475116146667</c:v>
                </c:pt>
                <c:pt idx="31">
                  <c:v>-2.2423448538666682</c:v>
                </c:pt>
                <c:pt idx="32">
                  <c:v>-1.863640057333332</c:v>
                </c:pt>
                <c:pt idx="33">
                  <c:v>-1.6170846062666651</c:v>
                </c:pt>
                <c:pt idx="34">
                  <c:v>-1.397068060666665</c:v>
                </c:pt>
                <c:pt idx="35">
                  <c:v>-1.0195453333008971E-4</c:v>
                </c:pt>
                <c:pt idx="36">
                  <c:v>-0.47715580133333502</c:v>
                </c:pt>
                <c:pt idx="37">
                  <c:v>-0.36088672599999999</c:v>
                </c:pt>
                <c:pt idx="38">
                  <c:v>-8.827444773333315E-2</c:v>
                </c:pt>
                <c:pt idx="39">
                  <c:v>3.9505160000000671E-4</c:v>
                </c:pt>
                <c:pt idx="40">
                  <c:v>-4.8710959999975772E-4</c:v>
                </c:pt>
                <c:pt idx="41">
                  <c:v>1.573333333329541E-4</c:v>
                </c:pt>
                <c:pt idx="42">
                  <c:v>-2.8666666667009899E-5</c:v>
                </c:pt>
                <c:pt idx="43">
                  <c:v>-4.4333333333301811E-4</c:v>
                </c:pt>
                <c:pt idx="44">
                  <c:v>4.3333333333300811E-4</c:v>
                </c:pt>
                <c:pt idx="45">
                  <c:v>-3.0333333333304457E-4</c:v>
                </c:pt>
                <c:pt idx="46">
                  <c:v>-4.0700000000004621E-4</c:v>
                </c:pt>
                <c:pt idx="47">
                  <c:v>3.93333333332968E-4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7DE7-4FAD-A412-675D9D2D5709}"/>
            </c:ext>
          </c:extLst>
        </c:ser>
        <c:ser>
          <c:idx val="72"/>
          <c:order val="72"/>
          <c:tx>
            <c:v>BES_TR1_six1006_C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Net_kW!$BW$2:$BW$49</c:f>
              <c:numCache>
                <c:formatCode>#,##0.000</c:formatCode>
                <c:ptCount val="48"/>
                <c:pt idx="0">
                  <c:v>-2.8466666666698842E-4</c:v>
                </c:pt>
                <c:pt idx="1">
                  <c:v>0</c:v>
                </c:pt>
                <c:pt idx="2">
                  <c:v>0</c:v>
                </c:pt>
                <c:pt idx="3">
                  <c:v>-2.8466666666698842E-4</c:v>
                </c:pt>
                <c:pt idx="4">
                  <c:v>0</c:v>
                </c:pt>
                <c:pt idx="5">
                  <c:v>-2.8466666666698842E-4</c:v>
                </c:pt>
                <c:pt idx="6">
                  <c:v>0</c:v>
                </c:pt>
                <c:pt idx="7">
                  <c:v>-1.0703033333329949E-5</c:v>
                </c:pt>
                <c:pt idx="8">
                  <c:v>4.8231903333343859E-4</c:v>
                </c:pt>
                <c:pt idx="9">
                  <c:v>2.1347078333300301E-4</c:v>
                </c:pt>
                <c:pt idx="10">
                  <c:v>3.2724776666548378E-4</c:v>
                </c:pt>
                <c:pt idx="11">
                  <c:v>-1.257294666654474E-4</c:v>
                </c:pt>
                <c:pt idx="12">
                  <c:v>-2.1343525000161459E-4</c:v>
                </c:pt>
                <c:pt idx="13">
                  <c:v>-2.3521766665091089E-5</c:v>
                </c:pt>
                <c:pt idx="14">
                  <c:v>1.024770500002159E-4</c:v>
                </c:pt>
                <c:pt idx="15">
                  <c:v>1.0050458333332731E-4</c:v>
                </c:pt>
                <c:pt idx="16">
                  <c:v>-1.5512882234833349</c:v>
                </c:pt>
                <c:pt idx="17">
                  <c:v>-2.1635695669000001</c:v>
                </c:pt>
                <c:pt idx="18">
                  <c:v>-2.2547881090000019</c:v>
                </c:pt>
                <c:pt idx="19">
                  <c:v>-2.5395854803666649</c:v>
                </c:pt>
                <c:pt idx="20">
                  <c:v>-2.619690825183334</c:v>
                </c:pt>
                <c:pt idx="21">
                  <c:v>-2.776993647716667</c:v>
                </c:pt>
                <c:pt idx="22">
                  <c:v>-2.9058556840833338</c:v>
                </c:pt>
                <c:pt idx="23">
                  <c:v>-2.8331555368666672</c:v>
                </c:pt>
                <c:pt idx="24">
                  <c:v>-2.9561711629333352</c:v>
                </c:pt>
                <c:pt idx="25">
                  <c:v>-3.8780314630000001</c:v>
                </c:pt>
                <c:pt idx="26">
                  <c:v>-5.0640136717500006</c:v>
                </c:pt>
                <c:pt idx="27">
                  <c:v>-1.780952203200002</c:v>
                </c:pt>
                <c:pt idx="28">
                  <c:v>-3.1940655000006762E-4</c:v>
                </c:pt>
                <c:pt idx="29">
                  <c:v>-2.362660401433335</c:v>
                </c:pt>
                <c:pt idx="30">
                  <c:v>-2.272278099616666</c:v>
                </c:pt>
                <c:pt idx="31">
                  <c:v>-2.0786358721333338</c:v>
                </c:pt>
                <c:pt idx="32">
                  <c:v>-1.730859716833332</c:v>
                </c:pt>
                <c:pt idx="33">
                  <c:v>-1.5575623638166649</c:v>
                </c:pt>
                <c:pt idx="34">
                  <c:v>-1.290810261416665</c:v>
                </c:pt>
                <c:pt idx="35">
                  <c:v>-0.90499058521666709</c:v>
                </c:pt>
                <c:pt idx="36">
                  <c:v>-0.75155231783333443</c:v>
                </c:pt>
                <c:pt idx="37">
                  <c:v>-0.49590688524999998</c:v>
                </c:pt>
                <c:pt idx="38">
                  <c:v>-0.26628065426666653</c:v>
                </c:pt>
                <c:pt idx="39">
                  <c:v>3.7671181666698578E-4</c:v>
                </c:pt>
                <c:pt idx="40">
                  <c:v>-2.7663756666632122E-4</c:v>
                </c:pt>
                <c:pt idx="41">
                  <c:v>-2.156666666670026E-4</c:v>
                </c:pt>
                <c:pt idx="42">
                  <c:v>-3.2633333333298431E-4</c:v>
                </c:pt>
                <c:pt idx="43">
                  <c:v>-2.7566666666700712E-4</c:v>
                </c:pt>
                <c:pt idx="44">
                  <c:v>3.909999999999747E-4</c:v>
                </c:pt>
                <c:pt idx="45">
                  <c:v>-2.203333333329893E-4</c:v>
                </c:pt>
                <c:pt idx="46">
                  <c:v>-4.8333333332983841E-5</c:v>
                </c:pt>
                <c:pt idx="47">
                  <c:v>7.3333333340253049E-6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7DE7-4FAD-A412-675D9D2D5709}"/>
            </c:ext>
          </c:extLst>
        </c:ser>
        <c:ser>
          <c:idx val="73"/>
          <c:order val="73"/>
          <c:tx>
            <c:v>BES_TR1_six1020_A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Net_kW!$BX$2:$BX$49</c:f>
              <c:numCache>
                <c:formatCode>#,##0.000</c:formatCode>
                <c:ptCount val="48"/>
                <c:pt idx="0">
                  <c:v>-1.0666666666703239E-4</c:v>
                </c:pt>
                <c:pt idx="1">
                  <c:v>0</c:v>
                </c:pt>
                <c:pt idx="2">
                  <c:v>-1.506666666669931E-4</c:v>
                </c:pt>
                <c:pt idx="3">
                  <c:v>-4.119999999999957E-4</c:v>
                </c:pt>
                <c:pt idx="4">
                  <c:v>1.306666666666956E-4</c:v>
                </c:pt>
                <c:pt idx="5">
                  <c:v>3.0666666666701042E-4</c:v>
                </c:pt>
                <c:pt idx="6">
                  <c:v>0</c:v>
                </c:pt>
                <c:pt idx="7">
                  <c:v>4.0852986666634061E-4</c:v>
                </c:pt>
                <c:pt idx="8">
                  <c:v>-1.4649253333319509E-4</c:v>
                </c:pt>
                <c:pt idx="9">
                  <c:v>-1.8155720000001541E-4</c:v>
                </c:pt>
                <c:pt idx="10">
                  <c:v>-2.9495493333503431E-4</c:v>
                </c:pt>
                <c:pt idx="11">
                  <c:v>1.420234666680287E-4</c:v>
                </c:pt>
                <c:pt idx="12">
                  <c:v>3.8807399999896131E-4</c:v>
                </c:pt>
                <c:pt idx="13">
                  <c:v>3.8949893333461988E-4</c:v>
                </c:pt>
                <c:pt idx="14">
                  <c:v>1.2211866666778089E-5</c:v>
                </c:pt>
                <c:pt idx="15">
                  <c:v>3.6524333333298742E-4</c:v>
                </c:pt>
                <c:pt idx="16">
                  <c:v>-0.73067573160000099</c:v>
                </c:pt>
                <c:pt idx="17">
                  <c:v>-2.1731709335999998</c:v>
                </c:pt>
                <c:pt idx="18">
                  <c:v>-2.6203493626666678</c:v>
                </c:pt>
                <c:pt idx="19">
                  <c:v>-2.833730072799999</c:v>
                </c:pt>
                <c:pt idx="20">
                  <c:v>-2.7857506097333351</c:v>
                </c:pt>
                <c:pt idx="21">
                  <c:v>-3.2313051212000001</c:v>
                </c:pt>
                <c:pt idx="22">
                  <c:v>-3.3018639246666681</c:v>
                </c:pt>
                <c:pt idx="23">
                  <c:v>-3.0996307754666672</c:v>
                </c:pt>
                <c:pt idx="24">
                  <c:v>-3.1945589957333338</c:v>
                </c:pt>
                <c:pt idx="25">
                  <c:v>-3.215475005333333</c:v>
                </c:pt>
                <c:pt idx="26">
                  <c:v>-2.8912464820000001</c:v>
                </c:pt>
                <c:pt idx="27">
                  <c:v>-2.9588293274666682</c:v>
                </c:pt>
                <c:pt idx="28">
                  <c:v>-2.0415845598666702</c:v>
                </c:pt>
                <c:pt idx="29">
                  <c:v>-2.4173801730666682</c:v>
                </c:pt>
                <c:pt idx="30">
                  <c:v>-2.4005484948000002</c:v>
                </c:pt>
                <c:pt idx="31">
                  <c:v>-2.154575520533335</c:v>
                </c:pt>
                <c:pt idx="32">
                  <c:v>-1.8061083906666651</c:v>
                </c:pt>
                <c:pt idx="33">
                  <c:v>-1.528324272933332</c:v>
                </c:pt>
                <c:pt idx="34">
                  <c:v>-1.438915727333332</c:v>
                </c:pt>
                <c:pt idx="35">
                  <c:v>-0.92540228786666701</c:v>
                </c:pt>
                <c:pt idx="36">
                  <c:v>-0.74455000133333504</c:v>
                </c:pt>
                <c:pt idx="37">
                  <c:v>-0.17219372599999999</c:v>
                </c:pt>
                <c:pt idx="38">
                  <c:v>-5.474773333315891E-5</c:v>
                </c:pt>
                <c:pt idx="39">
                  <c:v>-1.0444840000001231E-4</c:v>
                </c:pt>
                <c:pt idx="40">
                  <c:v>-3.8610959999973987E-4</c:v>
                </c:pt>
                <c:pt idx="41">
                  <c:v>1.069999999999682E-4</c:v>
                </c:pt>
                <c:pt idx="42">
                  <c:v>2.1866666666703341E-4</c:v>
                </c:pt>
                <c:pt idx="43">
                  <c:v>-4.7733333333299649E-4</c:v>
                </c:pt>
                <c:pt idx="44">
                  <c:v>-8.5333333333020844E-5</c:v>
                </c:pt>
                <c:pt idx="45">
                  <c:v>5.1666666666991268E-5</c:v>
                </c:pt>
                <c:pt idx="46">
                  <c:v>3.7200000000001121E-4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7DE7-4FAD-A412-675D9D2D5709}"/>
            </c:ext>
          </c:extLst>
        </c:ser>
        <c:ser>
          <c:idx val="74"/>
          <c:order val="74"/>
          <c:tx>
            <c:v>BES_TR1_six1025_B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Net_kW!$BY$2:$BY$49</c:f>
              <c:numCache>
                <c:formatCode>#,##0.000</c:formatCode>
                <c:ptCount val="48"/>
                <c:pt idx="0">
                  <c:v>-2.096666666669966E-4</c:v>
                </c:pt>
                <c:pt idx="1">
                  <c:v>-1.6666666666997901E-5</c:v>
                </c:pt>
                <c:pt idx="2">
                  <c:v>-4.0333333333300581E-4</c:v>
                </c:pt>
                <c:pt idx="3">
                  <c:v>-7.2333333334007044E-5</c:v>
                </c:pt>
                <c:pt idx="4">
                  <c:v>3.0866666666670711E-4</c:v>
                </c:pt>
                <c:pt idx="5">
                  <c:v>-3.1333333332994602E-5</c:v>
                </c:pt>
                <c:pt idx="6">
                  <c:v>1.8866666666700341E-4</c:v>
                </c:pt>
                <c:pt idx="7">
                  <c:v>2.2039739999998859E-4</c:v>
                </c:pt>
                <c:pt idx="8">
                  <c:v>4.814639333331483E-4</c:v>
                </c:pt>
                <c:pt idx="9">
                  <c:v>2.378321000000138E-4</c:v>
                </c:pt>
                <c:pt idx="10">
                  <c:v>2.7678379999895858E-4</c:v>
                </c:pt>
                <c:pt idx="11">
                  <c:v>1.4351760000103081E-4</c:v>
                </c:pt>
                <c:pt idx="12">
                  <c:v>4.3138883333193601E-4</c:v>
                </c:pt>
                <c:pt idx="13">
                  <c:v>4.1745753333399799E-4</c:v>
                </c:pt>
                <c:pt idx="14">
                  <c:v>-2.9025776666591341E-4</c:v>
                </c:pt>
                <c:pt idx="15">
                  <c:v>4.8376583333298312E-4</c:v>
                </c:pt>
                <c:pt idx="16">
                  <c:v>-3.9048700001043102E-5</c:v>
                </c:pt>
                <c:pt idx="17">
                  <c:v>-0.1188615335333332</c:v>
                </c:pt>
                <c:pt idx="18">
                  <c:v>-1.809531522000001</c:v>
                </c:pt>
                <c:pt idx="19">
                  <c:v>-1.929154887933332</c:v>
                </c:pt>
                <c:pt idx="20">
                  <c:v>-2.1593447073000012</c:v>
                </c:pt>
                <c:pt idx="21">
                  <c:v>-2.2692828408999999</c:v>
                </c:pt>
                <c:pt idx="22">
                  <c:v>-2.3131541101666682</c:v>
                </c:pt>
                <c:pt idx="23">
                  <c:v>-2.0550796982666668</c:v>
                </c:pt>
                <c:pt idx="24">
                  <c:v>-1.9169263301333339</c:v>
                </c:pt>
                <c:pt idx="25">
                  <c:v>-2.3119862539999998</c:v>
                </c:pt>
                <c:pt idx="26">
                  <c:v>-2.0976205281666669</c:v>
                </c:pt>
                <c:pt idx="27">
                  <c:v>-2.016692078933334</c:v>
                </c:pt>
                <c:pt idx="28">
                  <c:v>-1.7864475865666669</c:v>
                </c:pt>
                <c:pt idx="29">
                  <c:v>-1.978781296466668</c:v>
                </c:pt>
                <c:pt idx="30">
                  <c:v>-1.864441704433333</c:v>
                </c:pt>
                <c:pt idx="31">
                  <c:v>-1.5619892237333339</c:v>
                </c:pt>
                <c:pt idx="32">
                  <c:v>-1.2565867096666661</c:v>
                </c:pt>
                <c:pt idx="33">
                  <c:v>-1.206186121366666</c:v>
                </c:pt>
                <c:pt idx="34">
                  <c:v>-0.70889412883333214</c:v>
                </c:pt>
                <c:pt idx="35">
                  <c:v>-0.82406821590000023</c:v>
                </c:pt>
                <c:pt idx="36">
                  <c:v>-0.28158636766666811</c:v>
                </c:pt>
                <c:pt idx="37">
                  <c:v>-8.5822044499999972E-2</c:v>
                </c:pt>
                <c:pt idx="38">
                  <c:v>-4.4822746666690888E-4</c:v>
                </c:pt>
                <c:pt idx="39">
                  <c:v>-4.032946333330234E-4</c:v>
                </c:pt>
                <c:pt idx="40">
                  <c:v>3.4816780000035408E-4</c:v>
                </c:pt>
                <c:pt idx="41">
                  <c:v>-3.3133333333301712E-4</c:v>
                </c:pt>
                <c:pt idx="42">
                  <c:v>-4.336666666669986E-4</c:v>
                </c:pt>
                <c:pt idx="43">
                  <c:v>-1.0666666666603319E-4</c:v>
                </c:pt>
                <c:pt idx="44">
                  <c:v>1.7466666666698941E-4</c:v>
                </c:pt>
                <c:pt idx="45">
                  <c:v>-3.3666666666698491E-4</c:v>
                </c:pt>
                <c:pt idx="46">
                  <c:v>3.1766666666704912E-4</c:v>
                </c:pt>
                <c:pt idx="47">
                  <c:v>4.8033333333297179E-4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7DE7-4FAD-A412-675D9D2D5709}"/>
            </c:ext>
          </c:extLst>
        </c:ser>
        <c:ser>
          <c:idx val="75"/>
          <c:order val="75"/>
          <c:tx>
            <c:v>BES_TR1_six1064_C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Net_kW!$BZ$2:$BZ$49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2.6666666666698419E-4</c:v>
                </c:pt>
                <c:pt idx="3">
                  <c:v>-3.8666666666703492E-4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1.397991333333265E-4</c:v>
                </c:pt>
                <c:pt idx="8">
                  <c:v>-4.3362313333330382E-4</c:v>
                </c:pt>
                <c:pt idx="9">
                  <c:v>-1.4338930000000301E-4</c:v>
                </c:pt>
                <c:pt idx="10">
                  <c:v>-3.3507206666699712E-4</c:v>
                </c:pt>
                <c:pt idx="11">
                  <c:v>-4.6449413333299328E-4</c:v>
                </c:pt>
                <c:pt idx="12">
                  <c:v>2.0351833332987731E-5</c:v>
                </c:pt>
                <c:pt idx="13">
                  <c:v>-4.3529193333297078E-4</c:v>
                </c:pt>
                <c:pt idx="14">
                  <c:v>-4.8986370000003721E-4</c:v>
                </c:pt>
                <c:pt idx="15">
                  <c:v>4.7614416666702519E-4</c:v>
                </c:pt>
                <c:pt idx="16">
                  <c:v>-4.2234956666697959E-4</c:v>
                </c:pt>
                <c:pt idx="17">
                  <c:v>4.9726660000004586E-4</c:v>
                </c:pt>
                <c:pt idx="18">
                  <c:v>-1.205073333339635E-4</c:v>
                </c:pt>
                <c:pt idx="19">
                  <c:v>4.0414846666714238E-4</c:v>
                </c:pt>
                <c:pt idx="20">
                  <c:v>-2.2357666669137188E-6</c:v>
                </c:pt>
                <c:pt idx="21">
                  <c:v>1.7371970000001899E-4</c:v>
                </c:pt>
                <c:pt idx="22">
                  <c:v>-2.4448116666697661E-4</c:v>
                </c:pt>
                <c:pt idx="23">
                  <c:v>-0.32339167719999989</c:v>
                </c:pt>
                <c:pt idx="24">
                  <c:v>-0.81662033226666697</c:v>
                </c:pt>
                <c:pt idx="25">
                  <c:v>-1.290580418</c:v>
                </c:pt>
                <c:pt idx="26">
                  <c:v>-1.0634596205</c:v>
                </c:pt>
                <c:pt idx="27">
                  <c:v>-0.506503581866667</c:v>
                </c:pt>
                <c:pt idx="28">
                  <c:v>2.2026700000066232E-5</c:v>
                </c:pt>
                <c:pt idx="29">
                  <c:v>-2.6887543266666921E-2</c:v>
                </c:pt>
                <c:pt idx="30">
                  <c:v>-0.54895879036666706</c:v>
                </c:pt>
                <c:pt idx="31">
                  <c:v>-0.52207196346666684</c:v>
                </c:pt>
                <c:pt idx="32">
                  <c:v>-0.156449014333333</c:v>
                </c:pt>
                <c:pt idx="33">
                  <c:v>-0.36562781823333301</c:v>
                </c:pt>
                <c:pt idx="34">
                  <c:v>-0.34080293183333299</c:v>
                </c:pt>
                <c:pt idx="35">
                  <c:v>-0.26248740529999998</c:v>
                </c:pt>
                <c:pt idx="36">
                  <c:v>-0.18672923366666699</c:v>
                </c:pt>
                <c:pt idx="37">
                  <c:v>-0.1136876815</c:v>
                </c:pt>
                <c:pt idx="38">
                  <c:v>-1.9752026666629291E-4</c:v>
                </c:pt>
                <c:pt idx="39">
                  <c:v>3.6601290000001779E-4</c:v>
                </c:pt>
                <c:pt idx="40">
                  <c:v>-1.4427740000066969E-4</c:v>
                </c:pt>
                <c:pt idx="41">
                  <c:v>3.0666666666695491E-4</c:v>
                </c:pt>
                <c:pt idx="42">
                  <c:v>-6.6666666665993191E-5</c:v>
                </c:pt>
                <c:pt idx="43">
                  <c:v>-1.8766666666703011E-4</c:v>
                </c:pt>
                <c:pt idx="44">
                  <c:v>-2.6166666666699312E-4</c:v>
                </c:pt>
                <c:pt idx="45">
                  <c:v>-1.4133333333304909E-4</c:v>
                </c:pt>
                <c:pt idx="46">
                  <c:v>-4.9999999999994493E-5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7DE7-4FAD-A412-675D9D2D5709}"/>
            </c:ext>
          </c:extLst>
        </c:ser>
        <c:ser>
          <c:idx val="76"/>
          <c:order val="76"/>
          <c:tx>
            <c:v>BES_TR1_six128_B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Net_kW!$CA$2:$CA$49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4.1939739999999342E-4</c:v>
                </c:pt>
                <c:pt idx="8">
                  <c:v>-3.0086939999990001E-4</c:v>
                </c:pt>
                <c:pt idx="9">
                  <c:v>-4.3016790000000032E-4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6.1055499999018714E-5</c:v>
                </c:pt>
                <c:pt idx="13">
                  <c:v>-3.0587579999885589E-4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-1.1772470487000011</c:v>
                </c:pt>
                <c:pt idx="17">
                  <c:v>-1.8544882002</c:v>
                </c:pt>
                <c:pt idx="18">
                  <c:v>-1.7390698553333339</c:v>
                </c:pt>
                <c:pt idx="19">
                  <c:v>-1.824869621266666</c:v>
                </c:pt>
                <c:pt idx="20">
                  <c:v>-2.3049175073000008</c:v>
                </c:pt>
                <c:pt idx="21">
                  <c:v>-2.4144788409000002</c:v>
                </c:pt>
                <c:pt idx="22">
                  <c:v>-2.4907334435000008</c:v>
                </c:pt>
                <c:pt idx="23">
                  <c:v>-2.5241750316</c:v>
                </c:pt>
                <c:pt idx="24">
                  <c:v>-2.533860996800001</c:v>
                </c:pt>
                <c:pt idx="25">
                  <c:v>-2.5157412539999999</c:v>
                </c:pt>
                <c:pt idx="26">
                  <c:v>-2.4548688615000001</c:v>
                </c:pt>
                <c:pt idx="27">
                  <c:v>-2.331796478933335</c:v>
                </c:pt>
                <c:pt idx="28">
                  <c:v>-2.0812398532333329</c:v>
                </c:pt>
                <c:pt idx="29">
                  <c:v>-1.649743963133335</c:v>
                </c:pt>
                <c:pt idx="30">
                  <c:v>-1.4946400377666671</c:v>
                </c:pt>
                <c:pt idx="31">
                  <c:v>-1.769631890400001</c:v>
                </c:pt>
                <c:pt idx="32">
                  <c:v>-1.5629100429999989</c:v>
                </c:pt>
                <c:pt idx="33">
                  <c:v>-1.323545454699999</c:v>
                </c:pt>
                <c:pt idx="34">
                  <c:v>-1.0810754621666661</c:v>
                </c:pt>
                <c:pt idx="35">
                  <c:v>-0.7872318825666671</c:v>
                </c:pt>
                <c:pt idx="36">
                  <c:v>-0.14721970100000101</c:v>
                </c:pt>
                <c:pt idx="37">
                  <c:v>-1.1932511166666991E-2</c:v>
                </c:pt>
                <c:pt idx="38">
                  <c:v>3.7970586666707939E-4</c:v>
                </c:pt>
                <c:pt idx="39">
                  <c:v>-1.4396130000005061E-4</c:v>
                </c:pt>
                <c:pt idx="40">
                  <c:v>-5.349886666705661E-5</c:v>
                </c:pt>
                <c:pt idx="41">
                  <c:v>9.6666666667022394E-5</c:v>
                </c:pt>
                <c:pt idx="42">
                  <c:v>1.9666666666706689E-4</c:v>
                </c:pt>
                <c:pt idx="43">
                  <c:v>-2.7466666666597922E-4</c:v>
                </c:pt>
                <c:pt idx="44">
                  <c:v>1.506666666669654E-4</c:v>
                </c:pt>
                <c:pt idx="45">
                  <c:v>1.143333333329943E-4</c:v>
                </c:pt>
                <c:pt idx="46">
                  <c:v>2.543333333339115E-4</c:v>
                </c:pt>
                <c:pt idx="47">
                  <c:v>-2.4966666666703658E-4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7DE7-4FAD-A412-675D9D2D5709}"/>
            </c:ext>
          </c:extLst>
        </c:ser>
        <c:ser>
          <c:idx val="77"/>
          <c:order val="77"/>
          <c:tx>
            <c:v>net zero target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7DE7-4FAD-A412-675D9D2D5709}"/>
            </c:ext>
          </c:extLst>
        </c:ser>
        <c:ser>
          <c:idx val="78"/>
          <c:order val="78"/>
          <c:tx>
            <c:v>fleet average</c:v>
          </c:tx>
          <c:spPr>
            <a:ln w="30480">
              <a:solidFill>
                <a:srgbClr val="4B3FA8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ChartData!$AC$2:$AC$49</c:f>
              <c:numCache>
                <c:formatCode>#,##0.000</c:formatCode>
                <c:ptCount val="48"/>
                <c:pt idx="0">
                  <c:v>6.24863636363715E-4</c:v>
                </c:pt>
                <c:pt idx="1">
                  <c:v>1.9169774891775182E-3</c:v>
                </c:pt>
                <c:pt idx="2">
                  <c:v>1.7353116883117164E-3</c:v>
                </c:pt>
                <c:pt idx="3">
                  <c:v>2.6181549783549363E-3</c:v>
                </c:pt>
                <c:pt idx="4">
                  <c:v>4.8003160173160503E-3</c:v>
                </c:pt>
                <c:pt idx="5">
                  <c:v>3.2836787878789409E-3</c:v>
                </c:pt>
                <c:pt idx="6">
                  <c:v>5.6018441558441656E-3</c:v>
                </c:pt>
                <c:pt idx="7">
                  <c:v>5.3688957640693064E-3</c:v>
                </c:pt>
                <c:pt idx="8">
                  <c:v>6.4570078311689816E-3</c:v>
                </c:pt>
                <c:pt idx="9">
                  <c:v>-2.9369514069361308E-5</c:v>
                </c:pt>
                <c:pt idx="10">
                  <c:v>6.6844846536690677E-4</c:v>
                </c:pt>
                <c:pt idx="11">
                  <c:v>3.6063922078805695E-5</c:v>
                </c:pt>
                <c:pt idx="12">
                  <c:v>4.8331812769752958E-5</c:v>
                </c:pt>
                <c:pt idx="13">
                  <c:v>4.3145603897197515E-5</c:v>
                </c:pt>
                <c:pt idx="14">
                  <c:v>2.3313767315864126E-5</c:v>
                </c:pt>
                <c:pt idx="15">
                  <c:v>-7.1464112418830564E-2</c:v>
                </c:pt>
                <c:pt idx="16">
                  <c:v>-0.57564057591233897</c:v>
                </c:pt>
                <c:pt idx="17">
                  <c:v>-0.93423942746536648</c:v>
                </c:pt>
                <c:pt idx="18">
                  <c:v>-1.2803331828787889</c:v>
                </c:pt>
                <c:pt idx="19">
                  <c:v>-1.5453660251017296</c:v>
                </c:pt>
                <c:pt idx="20">
                  <c:v>-1.7389046418798704</c:v>
                </c:pt>
                <c:pt idx="21">
                  <c:v>-1.8872785316028131</c:v>
                </c:pt>
                <c:pt idx="22">
                  <c:v>-1.9435525163582255</c:v>
                </c:pt>
                <c:pt idx="23">
                  <c:v>-1.9992191685324681</c:v>
                </c:pt>
                <c:pt idx="24">
                  <c:v>-2.0821233847965392</c:v>
                </c:pt>
                <c:pt idx="25">
                  <c:v>-2.1110055740909095</c:v>
                </c:pt>
                <c:pt idx="26">
                  <c:v>-2.1125502891071442</c:v>
                </c:pt>
                <c:pt idx="27">
                  <c:v>-2.0005828450043293</c:v>
                </c:pt>
                <c:pt idx="28">
                  <c:v>-1.8118591739296517</c:v>
                </c:pt>
                <c:pt idx="29">
                  <c:v>-1.6982478061926412</c:v>
                </c:pt>
                <c:pt idx="30">
                  <c:v>-1.6699999098257583</c:v>
                </c:pt>
                <c:pt idx="31">
                  <c:v>-1.474925909151517</c:v>
                </c:pt>
                <c:pt idx="32">
                  <c:v>-1.2549838466125529</c:v>
                </c:pt>
                <c:pt idx="33">
                  <c:v>-1.0133087349383112</c:v>
                </c:pt>
                <c:pt idx="34">
                  <c:v>-0.77087736276515106</c:v>
                </c:pt>
                <c:pt idx="35">
                  <c:v>-0.56173590925432937</c:v>
                </c:pt>
                <c:pt idx="36">
                  <c:v>-0.36792109598484946</c:v>
                </c:pt>
                <c:pt idx="37">
                  <c:v>-0.20042438571969715</c:v>
                </c:pt>
                <c:pt idx="38">
                  <c:v>-4.177979341125522E-2</c:v>
                </c:pt>
                <c:pt idx="39">
                  <c:v>1.9348938574675401E-2</c:v>
                </c:pt>
                <c:pt idx="40">
                  <c:v>1.4326200586579851E-2</c:v>
                </c:pt>
                <c:pt idx="41">
                  <c:v>4.351730865800818E-2</c:v>
                </c:pt>
                <c:pt idx="42">
                  <c:v>5.117771212121236E-2</c:v>
                </c:pt>
                <c:pt idx="43">
                  <c:v>5.8188692640692818E-2</c:v>
                </c:pt>
                <c:pt idx="44">
                  <c:v>8.2548350649350899E-2</c:v>
                </c:pt>
                <c:pt idx="45">
                  <c:v>7.5936658008657842E-2</c:v>
                </c:pt>
                <c:pt idx="46">
                  <c:v>8.8515341991342034E-2</c:v>
                </c:pt>
                <c:pt idx="47">
                  <c:v>6.7101551515151375E-2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7DE7-4FAD-A412-675D9D2D5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Hour of day</a:t>
                </a:r>
              </a:p>
            </c:rich>
          </c:tx>
          <c:overlay val="0"/>
        </c:title>
        <c:numFmt formatCode="0.0" sourceLinked="1"/>
        <c:majorTickMark val="cross"/>
        <c:minorTickMark val="none"/>
        <c:tickLblPos val="low"/>
        <c:spPr>
          <a:ln/>
        </c:spPr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2"/>
        <c:noMultiLvlLbl val="0"/>
      </c:catAx>
      <c:valAx>
        <c:axId val="48672768"/>
        <c:scaling>
          <c:orientation val="minMax"/>
          <c:max val="3"/>
          <c:min val="-5.5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Net grid exchange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Demand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BES_TR1_one223_B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Demand_kW!$C$2:$C$49</c:f>
              <c:numCache>
                <c:formatCode>#,##0.000</c:formatCode>
                <c:ptCount val="48"/>
                <c:pt idx="0">
                  <c:v>0.183300666666667</c:v>
                </c:pt>
                <c:pt idx="1">
                  <c:v>0.240402</c:v>
                </c:pt>
                <c:pt idx="2">
                  <c:v>0.15165300000000001</c:v>
                </c:pt>
                <c:pt idx="3">
                  <c:v>0.223015666666667</c:v>
                </c:pt>
                <c:pt idx="4">
                  <c:v>0.140902</c:v>
                </c:pt>
                <c:pt idx="5">
                  <c:v>0.148362666666667</c:v>
                </c:pt>
                <c:pt idx="6">
                  <c:v>0.278864</c:v>
                </c:pt>
                <c:pt idx="7">
                  <c:v>4.5999999999999999E-2</c:v>
                </c:pt>
                <c:pt idx="8">
                  <c:v>0.14448066666666701</c:v>
                </c:pt>
                <c:pt idx="9">
                  <c:v>0.21287</c:v>
                </c:pt>
                <c:pt idx="10">
                  <c:v>6.9292000000000006E-2</c:v>
                </c:pt>
                <c:pt idx="11">
                  <c:v>0.282088333333333</c:v>
                </c:pt>
                <c:pt idx="12">
                  <c:v>0.12185</c:v>
                </c:pt>
                <c:pt idx="13">
                  <c:v>0.152244666666667</c:v>
                </c:pt>
                <c:pt idx="14">
                  <c:v>0.267397</c:v>
                </c:pt>
                <c:pt idx="15">
                  <c:v>0.34759166666666702</c:v>
                </c:pt>
                <c:pt idx="16">
                  <c:v>0.44515686666666698</c:v>
                </c:pt>
                <c:pt idx="17">
                  <c:v>1.12292666666667</c:v>
                </c:pt>
                <c:pt idx="18">
                  <c:v>0.37968000000000002</c:v>
                </c:pt>
                <c:pt idx="19">
                  <c:v>0.311350666666667</c:v>
                </c:pt>
                <c:pt idx="20">
                  <c:v>0.43192399999999997</c:v>
                </c:pt>
                <c:pt idx="21">
                  <c:v>1.1412756666666699</c:v>
                </c:pt>
                <c:pt idx="22">
                  <c:v>0.44843499999999997</c:v>
                </c:pt>
                <c:pt idx="23">
                  <c:v>7.7055999999999999E-2</c:v>
                </c:pt>
                <c:pt idx="24">
                  <c:v>0.29817700000000003</c:v>
                </c:pt>
                <c:pt idx="25">
                  <c:v>9.7993666666666604E-2</c:v>
                </c:pt>
                <c:pt idx="26">
                  <c:v>5.3585000000000001E-2</c:v>
                </c:pt>
                <c:pt idx="27">
                  <c:v>0.31541166666666698</c:v>
                </c:pt>
                <c:pt idx="28">
                  <c:v>0.10423</c:v>
                </c:pt>
                <c:pt idx="29">
                  <c:v>0.131142333333333</c:v>
                </c:pt>
                <c:pt idx="30">
                  <c:v>0.29608600000000002</c:v>
                </c:pt>
                <c:pt idx="31">
                  <c:v>4.5999999999999999E-2</c:v>
                </c:pt>
                <c:pt idx="32">
                  <c:v>0.47037366666666602</c:v>
                </c:pt>
                <c:pt idx="33">
                  <c:v>0.17859630000000001</c:v>
                </c:pt>
                <c:pt idx="34">
                  <c:v>0.112324833333333</c:v>
                </c:pt>
                <c:pt idx="35">
                  <c:v>0.248954066666667</c:v>
                </c:pt>
                <c:pt idx="36">
                  <c:v>0.28287266666666699</c:v>
                </c:pt>
                <c:pt idx="37">
                  <c:v>0.19673233333333301</c:v>
                </c:pt>
                <c:pt idx="38">
                  <c:v>0.257745</c:v>
                </c:pt>
                <c:pt idx="39">
                  <c:v>0.45763266666666702</c:v>
                </c:pt>
                <c:pt idx="40">
                  <c:v>1.00543933333333</c:v>
                </c:pt>
                <c:pt idx="41">
                  <c:v>0.72727633333333297</c:v>
                </c:pt>
                <c:pt idx="42">
                  <c:v>0.96933566666666704</c:v>
                </c:pt>
                <c:pt idx="43">
                  <c:v>0.59571366666666703</c:v>
                </c:pt>
                <c:pt idx="44">
                  <c:v>1.7250336666666699</c:v>
                </c:pt>
                <c:pt idx="45">
                  <c:v>0.70800933333333305</c:v>
                </c:pt>
                <c:pt idx="46">
                  <c:v>0.52632199999999996</c:v>
                </c:pt>
                <c:pt idx="47">
                  <c:v>0.53206766666666705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71-4CBF-A21D-2207AE37D7C7}"/>
            </c:ext>
          </c:extLst>
        </c:ser>
        <c:ser>
          <c:idx val="1"/>
          <c:order val="1"/>
          <c:tx>
            <c:v>BES_TR1_one313_A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Demand_kW!$D$2:$D$49</c:f>
              <c:numCache>
                <c:formatCode>#,##0.000</c:formatCode>
                <c:ptCount val="48"/>
                <c:pt idx="0">
                  <c:v>9.44266666666667E-2</c:v>
                </c:pt>
                <c:pt idx="1">
                  <c:v>0.04</c:v>
                </c:pt>
                <c:pt idx="2">
                  <c:v>0.04</c:v>
                </c:pt>
                <c:pt idx="3">
                  <c:v>9.44266666666667E-2</c:v>
                </c:pt>
                <c:pt idx="4">
                  <c:v>0.13524666666666699</c:v>
                </c:pt>
                <c:pt idx="5">
                  <c:v>0.04</c:v>
                </c:pt>
                <c:pt idx="6">
                  <c:v>0.189673333333333</c:v>
                </c:pt>
                <c:pt idx="7">
                  <c:v>0.04</c:v>
                </c:pt>
                <c:pt idx="8">
                  <c:v>0.12164</c:v>
                </c:pt>
                <c:pt idx="9">
                  <c:v>0.108033333333333</c:v>
                </c:pt>
                <c:pt idx="10">
                  <c:v>4.6803333333333301E-2</c:v>
                </c:pt>
                <c:pt idx="11">
                  <c:v>0.18287</c:v>
                </c:pt>
                <c:pt idx="12">
                  <c:v>0.04</c:v>
                </c:pt>
                <c:pt idx="13">
                  <c:v>0.04</c:v>
                </c:pt>
                <c:pt idx="14">
                  <c:v>0.27038299999999998</c:v>
                </c:pt>
                <c:pt idx="15">
                  <c:v>0.295709</c:v>
                </c:pt>
                <c:pt idx="16">
                  <c:v>0.04</c:v>
                </c:pt>
                <c:pt idx="17">
                  <c:v>0.24310000000000001</c:v>
                </c:pt>
                <c:pt idx="18">
                  <c:v>0.269998666666667</c:v>
                </c:pt>
                <c:pt idx="19">
                  <c:v>0.25361</c:v>
                </c:pt>
                <c:pt idx="20">
                  <c:v>0.42670133333333299</c:v>
                </c:pt>
                <c:pt idx="21">
                  <c:v>0.247886666666667</c:v>
                </c:pt>
                <c:pt idx="22">
                  <c:v>0.20786199999999999</c:v>
                </c:pt>
                <c:pt idx="23">
                  <c:v>0.430555666666667</c:v>
                </c:pt>
                <c:pt idx="24">
                  <c:v>9.0203333333333302E-2</c:v>
                </c:pt>
                <c:pt idx="25">
                  <c:v>0.13524666666666699</c:v>
                </c:pt>
                <c:pt idx="26">
                  <c:v>9.44266666666667E-2</c:v>
                </c:pt>
                <c:pt idx="27">
                  <c:v>7.4016666666666703E-2</c:v>
                </c:pt>
                <c:pt idx="28">
                  <c:v>0.155656666666667</c:v>
                </c:pt>
                <c:pt idx="29">
                  <c:v>0.04</c:v>
                </c:pt>
                <c:pt idx="30">
                  <c:v>0.16245999999999999</c:v>
                </c:pt>
                <c:pt idx="31">
                  <c:v>6.7213333333333403E-2</c:v>
                </c:pt>
                <c:pt idx="32">
                  <c:v>7.4016666666666703E-2</c:v>
                </c:pt>
                <c:pt idx="33">
                  <c:v>0.155656666666667</c:v>
                </c:pt>
                <c:pt idx="34">
                  <c:v>0.04</c:v>
                </c:pt>
                <c:pt idx="35">
                  <c:v>0.04</c:v>
                </c:pt>
                <c:pt idx="36">
                  <c:v>0.04</c:v>
                </c:pt>
                <c:pt idx="37">
                  <c:v>0.189673333333333</c:v>
                </c:pt>
                <c:pt idx="38">
                  <c:v>0.04</c:v>
                </c:pt>
                <c:pt idx="39">
                  <c:v>0.04</c:v>
                </c:pt>
                <c:pt idx="40">
                  <c:v>0.189673333333333</c:v>
                </c:pt>
                <c:pt idx="41">
                  <c:v>0.04</c:v>
                </c:pt>
                <c:pt idx="42">
                  <c:v>0.04</c:v>
                </c:pt>
                <c:pt idx="43">
                  <c:v>6.0409999999999998E-2</c:v>
                </c:pt>
                <c:pt idx="44">
                  <c:v>0.16926333333333299</c:v>
                </c:pt>
                <c:pt idx="45">
                  <c:v>0.04</c:v>
                </c:pt>
                <c:pt idx="46">
                  <c:v>0.12164</c:v>
                </c:pt>
                <c:pt idx="47">
                  <c:v>0.108033333333333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71-4CBF-A21D-2207AE37D7C7}"/>
            </c:ext>
          </c:extLst>
        </c:ser>
        <c:ser>
          <c:idx val="2"/>
          <c:order val="2"/>
          <c:tx>
            <c:v>BES_TR1_one320_B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Demand_kW!$E$2:$E$49</c:f>
              <c:numCache>
                <c:formatCode>#,##0.000</c:formatCode>
                <c:ptCount val="48"/>
                <c:pt idx="0">
                  <c:v>0.05</c:v>
                </c:pt>
                <c:pt idx="1">
                  <c:v>0.13322000000000001</c:v>
                </c:pt>
                <c:pt idx="2">
                  <c:v>0.05</c:v>
                </c:pt>
                <c:pt idx="3">
                  <c:v>0.13322000000000001</c:v>
                </c:pt>
                <c:pt idx="4">
                  <c:v>0.05</c:v>
                </c:pt>
                <c:pt idx="5">
                  <c:v>6.3869999999999996E-2</c:v>
                </c:pt>
                <c:pt idx="6">
                  <c:v>0.11935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0.13322000000000001</c:v>
                </c:pt>
                <c:pt idx="12">
                  <c:v>0.05</c:v>
                </c:pt>
                <c:pt idx="13">
                  <c:v>0.05</c:v>
                </c:pt>
                <c:pt idx="14">
                  <c:v>6.3869999999999996E-2</c:v>
                </c:pt>
                <c:pt idx="15">
                  <c:v>0.11935</c:v>
                </c:pt>
                <c:pt idx="16">
                  <c:v>0.05</c:v>
                </c:pt>
                <c:pt idx="17">
                  <c:v>0.05</c:v>
                </c:pt>
                <c:pt idx="18">
                  <c:v>0.13322000000000001</c:v>
                </c:pt>
                <c:pt idx="19">
                  <c:v>0.05</c:v>
                </c:pt>
                <c:pt idx="20">
                  <c:v>0.13322000000000001</c:v>
                </c:pt>
                <c:pt idx="21">
                  <c:v>0.12844</c:v>
                </c:pt>
                <c:pt idx="22">
                  <c:v>0.13322000000000001</c:v>
                </c:pt>
                <c:pt idx="23">
                  <c:v>0.05</c:v>
                </c:pt>
                <c:pt idx="24">
                  <c:v>0.255637</c:v>
                </c:pt>
                <c:pt idx="25">
                  <c:v>0.34387933333333298</c:v>
                </c:pt>
                <c:pt idx="26">
                  <c:v>0.51603699999999997</c:v>
                </c:pt>
                <c:pt idx="27">
                  <c:v>0.21657433333333301</c:v>
                </c:pt>
                <c:pt idx="28">
                  <c:v>0.25287999999999999</c:v>
                </c:pt>
                <c:pt idx="29">
                  <c:v>0.18005599999999999</c:v>
                </c:pt>
                <c:pt idx="30">
                  <c:v>0.27044766666666697</c:v>
                </c:pt>
                <c:pt idx="31">
                  <c:v>0.490879333333333</c:v>
                </c:pt>
                <c:pt idx="32">
                  <c:v>0.28610033333333301</c:v>
                </c:pt>
                <c:pt idx="33">
                  <c:v>0.12561186666666699</c:v>
                </c:pt>
                <c:pt idx="34">
                  <c:v>0.22248499999999999</c:v>
                </c:pt>
                <c:pt idx="35">
                  <c:v>8.9282666666666705E-2</c:v>
                </c:pt>
                <c:pt idx="36">
                  <c:v>0.270841</c:v>
                </c:pt>
                <c:pt idx="37">
                  <c:v>0.23249300000000001</c:v>
                </c:pt>
                <c:pt idx="38">
                  <c:v>0.37357366666666703</c:v>
                </c:pt>
                <c:pt idx="39">
                  <c:v>1.3264866666666699</c:v>
                </c:pt>
                <c:pt idx="40">
                  <c:v>0.47138799999999997</c:v>
                </c:pt>
                <c:pt idx="41">
                  <c:v>0.50022999999999995</c:v>
                </c:pt>
                <c:pt idx="42">
                  <c:v>0.40691300000000002</c:v>
                </c:pt>
                <c:pt idx="43">
                  <c:v>0.45344433333333301</c:v>
                </c:pt>
                <c:pt idx="44">
                  <c:v>0.27303699999999997</c:v>
                </c:pt>
                <c:pt idx="45">
                  <c:v>0.503027</c:v>
                </c:pt>
                <c:pt idx="46">
                  <c:v>0.45586033333333298</c:v>
                </c:pt>
                <c:pt idx="47">
                  <c:v>0.31104959999999998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71-4CBF-A21D-2207AE37D7C7}"/>
            </c:ext>
          </c:extLst>
        </c:ser>
        <c:ser>
          <c:idx val="3"/>
          <c:order val="3"/>
          <c:tx>
            <c:v>BES_TR1_one321_C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Demand_kW!$F$2:$F$49</c:f>
              <c:numCache>
                <c:formatCode>#,##0.000</c:formatCode>
                <c:ptCount val="48"/>
                <c:pt idx="0">
                  <c:v>5.7000000000000002E-2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0.17545333333333299</c:v>
                </c:pt>
                <c:pt idx="4">
                  <c:v>5.7000000000000002E-2</c:v>
                </c:pt>
                <c:pt idx="5">
                  <c:v>0.17545333333333299</c:v>
                </c:pt>
                <c:pt idx="6">
                  <c:v>5.7000000000000002E-2</c:v>
                </c:pt>
                <c:pt idx="7">
                  <c:v>0.163608</c:v>
                </c:pt>
                <c:pt idx="8">
                  <c:v>6.88453333333333E-2</c:v>
                </c:pt>
                <c:pt idx="9">
                  <c:v>0.163608</c:v>
                </c:pt>
                <c:pt idx="10">
                  <c:v>6.88453333333333E-2</c:v>
                </c:pt>
                <c:pt idx="11">
                  <c:v>5.7000000000000002E-2</c:v>
                </c:pt>
                <c:pt idx="12">
                  <c:v>9.8458666666666694E-2</c:v>
                </c:pt>
                <c:pt idx="13">
                  <c:v>0.13399466666666701</c:v>
                </c:pt>
                <c:pt idx="14">
                  <c:v>5.7000000000000002E-2</c:v>
                </c:pt>
                <c:pt idx="15">
                  <c:v>8.6613333333333306E-2</c:v>
                </c:pt>
                <c:pt idx="16">
                  <c:v>0.31218400000000002</c:v>
                </c:pt>
                <c:pt idx="17">
                  <c:v>0.72626599999999997</c:v>
                </c:pt>
                <c:pt idx="18">
                  <c:v>0.28190066666666702</c:v>
                </c:pt>
                <c:pt idx="19">
                  <c:v>0.318711666666667</c:v>
                </c:pt>
                <c:pt idx="20">
                  <c:v>0.26648633333333299</c:v>
                </c:pt>
                <c:pt idx="21">
                  <c:v>0.203063933333333</c:v>
                </c:pt>
                <c:pt idx="22">
                  <c:v>0.120126</c:v>
                </c:pt>
                <c:pt idx="23">
                  <c:v>0.21568733333333301</c:v>
                </c:pt>
                <c:pt idx="24">
                  <c:v>5.7000000000000002E-2</c:v>
                </c:pt>
                <c:pt idx="25">
                  <c:v>0.17545333333333299</c:v>
                </c:pt>
                <c:pt idx="26">
                  <c:v>0.10772900000000001</c:v>
                </c:pt>
                <c:pt idx="27">
                  <c:v>0.364396</c:v>
                </c:pt>
                <c:pt idx="28">
                  <c:v>0.30351766666666702</c:v>
                </c:pt>
                <c:pt idx="29">
                  <c:v>0.36731900000000001</c:v>
                </c:pt>
                <c:pt idx="30">
                  <c:v>0.39084433333333402</c:v>
                </c:pt>
                <c:pt idx="31">
                  <c:v>0.14528199999999999</c:v>
                </c:pt>
                <c:pt idx="32">
                  <c:v>0.19869046666666701</c:v>
                </c:pt>
                <c:pt idx="33">
                  <c:v>0.30205933333333301</c:v>
                </c:pt>
                <c:pt idx="34">
                  <c:v>5.7000000000000002E-2</c:v>
                </c:pt>
                <c:pt idx="35">
                  <c:v>0.287302</c:v>
                </c:pt>
                <c:pt idx="36">
                  <c:v>0.22487033333333301</c:v>
                </c:pt>
                <c:pt idx="37">
                  <c:v>7.4768000000000001E-2</c:v>
                </c:pt>
                <c:pt idx="38">
                  <c:v>5.7000000000000002E-2</c:v>
                </c:pt>
                <c:pt idx="39">
                  <c:v>0.163608</c:v>
                </c:pt>
                <c:pt idx="40">
                  <c:v>6.88453333333333E-2</c:v>
                </c:pt>
                <c:pt idx="41">
                  <c:v>9.2535999999999993E-2</c:v>
                </c:pt>
                <c:pt idx="42">
                  <c:v>0.139917333333333</c:v>
                </c:pt>
                <c:pt idx="43">
                  <c:v>9.2535999999999993E-2</c:v>
                </c:pt>
                <c:pt idx="44">
                  <c:v>0.139917333333333</c:v>
                </c:pt>
                <c:pt idx="45">
                  <c:v>5.7000000000000002E-2</c:v>
                </c:pt>
                <c:pt idx="46">
                  <c:v>5.7000000000000002E-2</c:v>
                </c:pt>
                <c:pt idx="47">
                  <c:v>0.139917333333333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71-4CBF-A21D-2207AE37D7C7}"/>
            </c:ext>
          </c:extLst>
        </c:ser>
        <c:ser>
          <c:idx val="4"/>
          <c:order val="4"/>
          <c:tx>
            <c:v>BES_TR1_one346_C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Demand_kW!$G$2:$G$49</c:f>
              <c:numCache>
                <c:formatCode>#,##0.000</c:formatCode>
                <c:ptCount val="48"/>
                <c:pt idx="0">
                  <c:v>5.5E-2</c:v>
                </c:pt>
                <c:pt idx="1">
                  <c:v>5.5E-2</c:v>
                </c:pt>
                <c:pt idx="2">
                  <c:v>0.214258</c:v>
                </c:pt>
                <c:pt idx="3">
                  <c:v>5.5E-2</c:v>
                </c:pt>
                <c:pt idx="4">
                  <c:v>0.16358500000000001</c:v>
                </c:pt>
                <c:pt idx="5">
                  <c:v>0.105673</c:v>
                </c:pt>
                <c:pt idx="6">
                  <c:v>7.6716999999999994E-2</c:v>
                </c:pt>
                <c:pt idx="7">
                  <c:v>0.19254099999999999</c:v>
                </c:pt>
                <c:pt idx="8">
                  <c:v>5.5E-2</c:v>
                </c:pt>
                <c:pt idx="9">
                  <c:v>5.5E-2</c:v>
                </c:pt>
                <c:pt idx="10">
                  <c:v>5.5E-2</c:v>
                </c:pt>
                <c:pt idx="11">
                  <c:v>0.14186799999999999</c:v>
                </c:pt>
                <c:pt idx="12">
                  <c:v>0.12739</c:v>
                </c:pt>
                <c:pt idx="13">
                  <c:v>6.9477999999999998E-2</c:v>
                </c:pt>
                <c:pt idx="14">
                  <c:v>0.19978000000000001</c:v>
                </c:pt>
                <c:pt idx="15">
                  <c:v>5.5E-2</c:v>
                </c:pt>
                <c:pt idx="16">
                  <c:v>0.170824</c:v>
                </c:pt>
                <c:pt idx="17">
                  <c:v>9.8434000000000105E-2</c:v>
                </c:pt>
                <c:pt idx="18">
                  <c:v>5.5E-2</c:v>
                </c:pt>
                <c:pt idx="19">
                  <c:v>5.5E-2</c:v>
                </c:pt>
                <c:pt idx="20">
                  <c:v>0.21056566666666701</c:v>
                </c:pt>
                <c:pt idx="21">
                  <c:v>6.2239000000000003E-2</c:v>
                </c:pt>
                <c:pt idx="22">
                  <c:v>5.5E-2</c:v>
                </c:pt>
                <c:pt idx="23">
                  <c:v>9.1194999999999998E-2</c:v>
                </c:pt>
                <c:pt idx="24">
                  <c:v>0.178063</c:v>
                </c:pt>
                <c:pt idx="25">
                  <c:v>5.5E-2</c:v>
                </c:pt>
                <c:pt idx="26">
                  <c:v>5.5E-2</c:v>
                </c:pt>
                <c:pt idx="27">
                  <c:v>0.19254099999999999</c:v>
                </c:pt>
                <c:pt idx="28">
                  <c:v>7.6716999999999994E-2</c:v>
                </c:pt>
                <c:pt idx="29">
                  <c:v>5.5E-2</c:v>
                </c:pt>
                <c:pt idx="30">
                  <c:v>5.5E-2</c:v>
                </c:pt>
                <c:pt idx="31">
                  <c:v>0.214258</c:v>
                </c:pt>
                <c:pt idx="32">
                  <c:v>6.5491066666666695E-2</c:v>
                </c:pt>
                <c:pt idx="33">
                  <c:v>0.20701900000000001</c:v>
                </c:pt>
                <c:pt idx="34">
                  <c:v>6.2239000000000003E-2</c:v>
                </c:pt>
                <c:pt idx="35">
                  <c:v>5.5E-2</c:v>
                </c:pt>
                <c:pt idx="36">
                  <c:v>0.16358500000000001</c:v>
                </c:pt>
                <c:pt idx="37">
                  <c:v>0.105673</c:v>
                </c:pt>
                <c:pt idx="38">
                  <c:v>0.105673</c:v>
                </c:pt>
                <c:pt idx="39">
                  <c:v>0.16358500000000001</c:v>
                </c:pt>
                <c:pt idx="40">
                  <c:v>5.5E-2</c:v>
                </c:pt>
                <c:pt idx="41">
                  <c:v>6.2239000000000003E-2</c:v>
                </c:pt>
                <c:pt idx="42">
                  <c:v>0.20701900000000001</c:v>
                </c:pt>
                <c:pt idx="43">
                  <c:v>5.5E-2</c:v>
                </c:pt>
                <c:pt idx="44">
                  <c:v>0.214258</c:v>
                </c:pt>
                <c:pt idx="45">
                  <c:v>5.5E-2</c:v>
                </c:pt>
                <c:pt idx="46">
                  <c:v>8.3956000000000003E-2</c:v>
                </c:pt>
                <c:pt idx="47">
                  <c:v>0.18530199999999999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71-4CBF-A21D-2207AE37D7C7}"/>
            </c:ext>
          </c:extLst>
        </c:ser>
        <c:ser>
          <c:idx val="5"/>
          <c:order val="5"/>
          <c:tx>
            <c:v>BES_TR1_one366_B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Demand_kW!$H$2:$H$49</c:f>
              <c:numCache>
                <c:formatCode>#,##0.000</c:formatCode>
                <c:ptCount val="48"/>
                <c:pt idx="0">
                  <c:v>0.19162733333333301</c:v>
                </c:pt>
                <c:pt idx="1">
                  <c:v>0.217872333333333</c:v>
                </c:pt>
                <c:pt idx="2">
                  <c:v>8.0133333333333404E-2</c:v>
                </c:pt>
                <c:pt idx="3">
                  <c:v>0.30560066666666702</c:v>
                </c:pt>
                <c:pt idx="4">
                  <c:v>0.15084500000000001</c:v>
                </c:pt>
                <c:pt idx="5">
                  <c:v>0.14870066666666701</c:v>
                </c:pt>
                <c:pt idx="6">
                  <c:v>0.31450933333333297</c:v>
                </c:pt>
                <c:pt idx="7">
                  <c:v>9.4586000000000101E-2</c:v>
                </c:pt>
                <c:pt idx="8">
                  <c:v>0.207354333333333</c:v>
                </c:pt>
                <c:pt idx="9">
                  <c:v>0.215269666666667</c:v>
                </c:pt>
                <c:pt idx="10">
                  <c:v>5.3999999999999999E-2</c:v>
                </c:pt>
                <c:pt idx="11">
                  <c:v>0.260394666666667</c:v>
                </c:pt>
                <c:pt idx="12">
                  <c:v>0.20281533333333299</c:v>
                </c:pt>
                <c:pt idx="13">
                  <c:v>0.176462333333333</c:v>
                </c:pt>
                <c:pt idx="14">
                  <c:v>0.13793233333333299</c:v>
                </c:pt>
                <c:pt idx="15">
                  <c:v>0.26720533333333302</c:v>
                </c:pt>
                <c:pt idx="16">
                  <c:v>0.16372300000000001</c:v>
                </c:pt>
                <c:pt idx="17">
                  <c:v>0.206738333333333</c:v>
                </c:pt>
                <c:pt idx="18">
                  <c:v>0.29512833333333399</c:v>
                </c:pt>
                <c:pt idx="19">
                  <c:v>0.170214</c:v>
                </c:pt>
                <c:pt idx="20">
                  <c:v>0.83867466666666701</c:v>
                </c:pt>
                <c:pt idx="21">
                  <c:v>0.230508666666667</c:v>
                </c:pt>
                <c:pt idx="22">
                  <c:v>0.57307666666666701</c:v>
                </c:pt>
                <c:pt idx="23">
                  <c:v>0.31069600000000003</c:v>
                </c:pt>
                <c:pt idx="24">
                  <c:v>0.32685399999999998</c:v>
                </c:pt>
                <c:pt idx="25">
                  <c:v>0.50257366666666703</c:v>
                </c:pt>
                <c:pt idx="26">
                  <c:v>0.290325</c:v>
                </c:pt>
                <c:pt idx="27">
                  <c:v>0.49465866666666702</c:v>
                </c:pt>
                <c:pt idx="28">
                  <c:v>0.153412666666667</c:v>
                </c:pt>
                <c:pt idx="29">
                  <c:v>0.33534166666666698</c:v>
                </c:pt>
                <c:pt idx="30">
                  <c:v>0.456892666666667</c:v>
                </c:pt>
                <c:pt idx="31">
                  <c:v>0.335463333333333</c:v>
                </c:pt>
                <c:pt idx="32">
                  <c:v>0.58325899999999997</c:v>
                </c:pt>
                <c:pt idx="33">
                  <c:v>0.42186200000000001</c:v>
                </c:pt>
                <c:pt idx="34">
                  <c:v>0.63590899999999995</c:v>
                </c:pt>
                <c:pt idx="35">
                  <c:v>0.72230366666666701</c:v>
                </c:pt>
                <c:pt idx="36">
                  <c:v>2.3690880000000001</c:v>
                </c:pt>
                <c:pt idx="37">
                  <c:v>0.49010199999999998</c:v>
                </c:pt>
                <c:pt idx="38">
                  <c:v>0.41872300000000001</c:v>
                </c:pt>
                <c:pt idx="39">
                  <c:v>0.72047466666666704</c:v>
                </c:pt>
                <c:pt idx="40">
                  <c:v>0.77469633333333299</c:v>
                </c:pt>
                <c:pt idx="41">
                  <c:v>1.207212</c:v>
                </c:pt>
                <c:pt idx="42">
                  <c:v>1.08106866666667</c:v>
                </c:pt>
                <c:pt idx="43">
                  <c:v>0.86077733333333295</c:v>
                </c:pt>
                <c:pt idx="44">
                  <c:v>1.89413566666667</c:v>
                </c:pt>
                <c:pt idx="45">
                  <c:v>0.75827966666666702</c:v>
                </c:pt>
                <c:pt idx="46">
                  <c:v>2.2277830000000001</c:v>
                </c:pt>
                <c:pt idx="47">
                  <c:v>0.21694833333333399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71-4CBF-A21D-2207AE37D7C7}"/>
            </c:ext>
          </c:extLst>
        </c:ser>
        <c:ser>
          <c:idx val="6"/>
          <c:order val="6"/>
          <c:tx>
            <c:v>BES_TR1_one375_C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Demand_kW!$I$2:$I$49</c:f>
              <c:numCache>
                <c:formatCode>#,##0.000</c:formatCode>
                <c:ptCount val="48"/>
                <c:pt idx="0">
                  <c:v>0.22899600000000001</c:v>
                </c:pt>
                <c:pt idx="1">
                  <c:v>0.10783</c:v>
                </c:pt>
                <c:pt idx="2">
                  <c:v>0.110968</c:v>
                </c:pt>
                <c:pt idx="3">
                  <c:v>0.22220266666666699</c:v>
                </c:pt>
                <c:pt idx="4">
                  <c:v>7.4931999999999999E-2</c:v>
                </c:pt>
                <c:pt idx="5">
                  <c:v>0.147004</c:v>
                </c:pt>
                <c:pt idx="6">
                  <c:v>0.19713266666666701</c:v>
                </c:pt>
                <c:pt idx="7">
                  <c:v>5.2999999999999999E-2</c:v>
                </c:pt>
                <c:pt idx="8">
                  <c:v>0.17833866666666701</c:v>
                </c:pt>
                <c:pt idx="9">
                  <c:v>0.165798</c:v>
                </c:pt>
                <c:pt idx="10">
                  <c:v>0.10000199999999999</c:v>
                </c:pt>
                <c:pt idx="11">
                  <c:v>0.244134666666667</c:v>
                </c:pt>
                <c:pt idx="12">
                  <c:v>5.2999999999999999E-2</c:v>
                </c:pt>
                <c:pt idx="13">
                  <c:v>0.189299</c:v>
                </c:pt>
                <c:pt idx="14">
                  <c:v>0.209027666666667</c:v>
                </c:pt>
                <c:pt idx="15">
                  <c:v>0.22325999999999999</c:v>
                </c:pt>
                <c:pt idx="16">
                  <c:v>0.41392166666666702</c:v>
                </c:pt>
                <c:pt idx="17">
                  <c:v>1.7158073333333299</c:v>
                </c:pt>
                <c:pt idx="18">
                  <c:v>0.241190666666667</c:v>
                </c:pt>
                <c:pt idx="19">
                  <c:v>2.1624043333333298</c:v>
                </c:pt>
                <c:pt idx="20">
                  <c:v>5.2999999999999999E-2</c:v>
                </c:pt>
                <c:pt idx="21">
                  <c:v>0.118796</c:v>
                </c:pt>
                <c:pt idx="22">
                  <c:v>0.77760600000000002</c:v>
                </c:pt>
                <c:pt idx="23">
                  <c:v>1.7235486666666699</c:v>
                </c:pt>
                <c:pt idx="24">
                  <c:v>1.55845066666667</c:v>
                </c:pt>
                <c:pt idx="25">
                  <c:v>1.6838043333333299</c:v>
                </c:pt>
                <c:pt idx="26">
                  <c:v>1.513852</c:v>
                </c:pt>
                <c:pt idx="27">
                  <c:v>0.29958833333333301</c:v>
                </c:pt>
                <c:pt idx="28">
                  <c:v>0.110445</c:v>
                </c:pt>
                <c:pt idx="29">
                  <c:v>0.100519333333333</c:v>
                </c:pt>
                <c:pt idx="30">
                  <c:v>0.201839666666667</c:v>
                </c:pt>
                <c:pt idx="31">
                  <c:v>0.14229700000000001</c:v>
                </c:pt>
                <c:pt idx="32">
                  <c:v>5.2999999999999999E-2</c:v>
                </c:pt>
                <c:pt idx="33">
                  <c:v>0.20601233333333299</c:v>
                </c:pt>
                <c:pt idx="34">
                  <c:v>0.13812433333333299</c:v>
                </c:pt>
                <c:pt idx="35">
                  <c:v>0.19582933333333299</c:v>
                </c:pt>
                <c:pt idx="36">
                  <c:v>0.27139666666666701</c:v>
                </c:pt>
                <c:pt idx="37">
                  <c:v>0.38742933333333301</c:v>
                </c:pt>
                <c:pt idx="38">
                  <c:v>0.39593933333333398</c:v>
                </c:pt>
                <c:pt idx="39">
                  <c:v>0.70176766666666701</c:v>
                </c:pt>
                <c:pt idx="40">
                  <c:v>1.0668470000000001</c:v>
                </c:pt>
                <c:pt idx="41">
                  <c:v>0.56332599999999999</c:v>
                </c:pt>
                <c:pt idx="42">
                  <c:v>0.72022366666666704</c:v>
                </c:pt>
                <c:pt idx="43">
                  <c:v>0.50589266666666699</c:v>
                </c:pt>
                <c:pt idx="44">
                  <c:v>0.89866333333333404</c:v>
                </c:pt>
                <c:pt idx="45">
                  <c:v>0.67623</c:v>
                </c:pt>
                <c:pt idx="46">
                  <c:v>1.82501633333333</c:v>
                </c:pt>
                <c:pt idx="47">
                  <c:v>0.85625733333333298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71-4CBF-A21D-2207AE37D7C7}"/>
            </c:ext>
          </c:extLst>
        </c:ser>
        <c:ser>
          <c:idx val="7"/>
          <c:order val="7"/>
          <c:tx>
            <c:v>BES_TR1_one410_B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Demand_kW!$J$2:$J$49</c:f>
              <c:numCache>
                <c:formatCode>#,##0.000</c:formatCode>
                <c:ptCount val="48"/>
                <c:pt idx="0">
                  <c:v>0.256168333333333</c:v>
                </c:pt>
                <c:pt idx="1">
                  <c:v>9.4640333333333396E-2</c:v>
                </c:pt>
                <c:pt idx="2">
                  <c:v>5.0999999999999997E-2</c:v>
                </c:pt>
                <c:pt idx="3">
                  <c:v>0.299808666666667</c:v>
                </c:pt>
                <c:pt idx="4">
                  <c:v>5.0999999999999997E-2</c:v>
                </c:pt>
                <c:pt idx="5">
                  <c:v>0.101895666666667</c:v>
                </c:pt>
                <c:pt idx="6">
                  <c:v>0.248913</c:v>
                </c:pt>
                <c:pt idx="7">
                  <c:v>9.5661333333333404E-2</c:v>
                </c:pt>
                <c:pt idx="8">
                  <c:v>0.23021</c:v>
                </c:pt>
                <c:pt idx="9">
                  <c:v>0.12059866666666701</c:v>
                </c:pt>
                <c:pt idx="10">
                  <c:v>0.149163666666667</c:v>
                </c:pt>
                <c:pt idx="11">
                  <c:v>0.15698366666666699</c:v>
                </c:pt>
                <c:pt idx="12">
                  <c:v>0.33366000000000001</c:v>
                </c:pt>
                <c:pt idx="13">
                  <c:v>0.16265333333333301</c:v>
                </c:pt>
                <c:pt idx="14">
                  <c:v>5.0999999999999997E-2</c:v>
                </c:pt>
                <c:pt idx="15">
                  <c:v>0.14032266666666701</c:v>
                </c:pt>
                <c:pt idx="16">
                  <c:v>0.160611333333333</c:v>
                </c:pt>
                <c:pt idx="17">
                  <c:v>0.100874666666667</c:v>
                </c:pt>
                <c:pt idx="18">
                  <c:v>8.0868333333333306E-2</c:v>
                </c:pt>
                <c:pt idx="19">
                  <c:v>0.70830700000000002</c:v>
                </c:pt>
                <c:pt idx="20">
                  <c:v>0.92300633333333304</c:v>
                </c:pt>
                <c:pt idx="21">
                  <c:v>0.58283600000000002</c:v>
                </c:pt>
                <c:pt idx="22">
                  <c:v>1.40202</c:v>
                </c:pt>
                <c:pt idx="23">
                  <c:v>0.210910666666667</c:v>
                </c:pt>
                <c:pt idx="24">
                  <c:v>0.218393</c:v>
                </c:pt>
                <c:pt idx="25">
                  <c:v>8.2171666666666698E-2</c:v>
                </c:pt>
                <c:pt idx="26">
                  <c:v>5.0999999999999997E-2</c:v>
                </c:pt>
                <c:pt idx="27">
                  <c:v>0.18815533333333301</c:v>
                </c:pt>
                <c:pt idx="28">
                  <c:v>0.157070666666667</c:v>
                </c:pt>
                <c:pt idx="29">
                  <c:v>5.6582666666666698E-2</c:v>
                </c:pt>
                <c:pt idx="30">
                  <c:v>5.0999999999999997E-2</c:v>
                </c:pt>
                <c:pt idx="31">
                  <c:v>0.17410100000000001</c:v>
                </c:pt>
                <c:pt idx="32">
                  <c:v>0.17670766666666701</c:v>
                </c:pt>
                <c:pt idx="33">
                  <c:v>8.4496000000000002E-2</c:v>
                </c:pt>
                <c:pt idx="34">
                  <c:v>0.26376266666666698</c:v>
                </c:pt>
                <c:pt idx="35">
                  <c:v>0.317458666666667</c:v>
                </c:pt>
                <c:pt idx="36">
                  <c:v>0.413215</c:v>
                </c:pt>
                <c:pt idx="37">
                  <c:v>0.20505999999999999</c:v>
                </c:pt>
                <c:pt idx="38">
                  <c:v>0.28453066666666699</c:v>
                </c:pt>
                <c:pt idx="39">
                  <c:v>5.0999999999999997E-2</c:v>
                </c:pt>
                <c:pt idx="40">
                  <c:v>0.28864333333333297</c:v>
                </c:pt>
                <c:pt idx="41">
                  <c:v>6.2165333333333302E-2</c:v>
                </c:pt>
                <c:pt idx="42">
                  <c:v>0.175404333333333</c:v>
                </c:pt>
                <c:pt idx="43">
                  <c:v>0.27694099999999999</c:v>
                </c:pt>
                <c:pt idx="44">
                  <c:v>8.2171666666666698E-2</c:v>
                </c:pt>
                <c:pt idx="45">
                  <c:v>0.26863700000000001</c:v>
                </c:pt>
                <c:pt idx="46">
                  <c:v>5.0999999999999997E-2</c:v>
                </c:pt>
                <c:pt idx="47">
                  <c:v>0.23086166666666699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671-4CBF-A21D-2207AE37D7C7}"/>
            </c:ext>
          </c:extLst>
        </c:ser>
        <c:ser>
          <c:idx val="8"/>
          <c:order val="8"/>
          <c:tx>
            <c:v>BES_TR1_one50_A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Demand_kW!$K$2:$K$49</c:f>
              <c:numCache>
                <c:formatCode>#,##0.000</c:formatCode>
                <c:ptCount val="48"/>
                <c:pt idx="0">
                  <c:v>0.55997166666666698</c:v>
                </c:pt>
                <c:pt idx="1">
                  <c:v>0.533548666666667</c:v>
                </c:pt>
                <c:pt idx="2">
                  <c:v>5.5E-2</c:v>
                </c:pt>
                <c:pt idx="3">
                  <c:v>5.5E-2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5.5E-2</c:v>
                </c:pt>
                <c:pt idx="8">
                  <c:v>5.5E-2</c:v>
                </c:pt>
                <c:pt idx="9">
                  <c:v>5.5E-2</c:v>
                </c:pt>
                <c:pt idx="10">
                  <c:v>5.5E-2</c:v>
                </c:pt>
                <c:pt idx="11">
                  <c:v>5.5E-2</c:v>
                </c:pt>
                <c:pt idx="12">
                  <c:v>0.13524359999999999</c:v>
                </c:pt>
                <c:pt idx="13">
                  <c:v>1.19124733333333</c:v>
                </c:pt>
                <c:pt idx="14">
                  <c:v>5.5E-2</c:v>
                </c:pt>
                <c:pt idx="15">
                  <c:v>0.10171266666666701</c:v>
                </c:pt>
                <c:pt idx="16">
                  <c:v>0.20003433333333301</c:v>
                </c:pt>
                <c:pt idx="17">
                  <c:v>0.22650999999999999</c:v>
                </c:pt>
                <c:pt idx="18">
                  <c:v>0.22650999999999999</c:v>
                </c:pt>
                <c:pt idx="19">
                  <c:v>0.22650999999999999</c:v>
                </c:pt>
                <c:pt idx="20">
                  <c:v>0.22650999999999999</c:v>
                </c:pt>
                <c:pt idx="21">
                  <c:v>5.5E-2</c:v>
                </c:pt>
                <c:pt idx="22">
                  <c:v>5.5E-2</c:v>
                </c:pt>
                <c:pt idx="23">
                  <c:v>5.5E-2</c:v>
                </c:pt>
                <c:pt idx="24">
                  <c:v>5.5E-2</c:v>
                </c:pt>
                <c:pt idx="25">
                  <c:v>5.5E-2</c:v>
                </c:pt>
                <c:pt idx="26">
                  <c:v>5.5E-2</c:v>
                </c:pt>
                <c:pt idx="27">
                  <c:v>5.5E-2</c:v>
                </c:pt>
                <c:pt idx="28">
                  <c:v>5.5E-2</c:v>
                </c:pt>
                <c:pt idx="29">
                  <c:v>5.5E-2</c:v>
                </c:pt>
                <c:pt idx="30">
                  <c:v>5.5E-2</c:v>
                </c:pt>
                <c:pt idx="31">
                  <c:v>5.5E-2</c:v>
                </c:pt>
                <c:pt idx="32">
                  <c:v>5.5E-2</c:v>
                </c:pt>
                <c:pt idx="33">
                  <c:v>0.22650999999999999</c:v>
                </c:pt>
                <c:pt idx="34">
                  <c:v>0.22650999999999999</c:v>
                </c:pt>
                <c:pt idx="35">
                  <c:v>0.313296666666667</c:v>
                </c:pt>
                <c:pt idx="36">
                  <c:v>0.40173433333333303</c:v>
                </c:pt>
                <c:pt idx="37">
                  <c:v>0.466289333333333</c:v>
                </c:pt>
                <c:pt idx="38">
                  <c:v>0.14606533333333299</c:v>
                </c:pt>
                <c:pt idx="39">
                  <c:v>0.22498333333333301</c:v>
                </c:pt>
                <c:pt idx="40">
                  <c:v>0.41906700000000002</c:v>
                </c:pt>
                <c:pt idx="41">
                  <c:v>1.6850849999999999</c:v>
                </c:pt>
                <c:pt idx="42">
                  <c:v>0.605287666666667</c:v>
                </c:pt>
                <c:pt idx="43">
                  <c:v>0.73855966666666595</c:v>
                </c:pt>
                <c:pt idx="44">
                  <c:v>0.77654366666666697</c:v>
                </c:pt>
                <c:pt idx="45">
                  <c:v>0.54537433333333396</c:v>
                </c:pt>
                <c:pt idx="46">
                  <c:v>0.21928666666666699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71-4CBF-A21D-2207AE37D7C7}"/>
            </c:ext>
          </c:extLst>
        </c:ser>
        <c:ser>
          <c:idx val="9"/>
          <c:order val="9"/>
          <c:tx>
            <c:v>BES_TR1_one423_B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Demand_kW!$L$2:$L$49</c:f>
              <c:numCache>
                <c:formatCode>#,##0.000</c:formatCode>
                <c:ptCount val="48"/>
                <c:pt idx="0">
                  <c:v>0.378288333333333</c:v>
                </c:pt>
                <c:pt idx="1">
                  <c:v>0.38211600000000001</c:v>
                </c:pt>
                <c:pt idx="2">
                  <c:v>6.0999999999999999E-2</c:v>
                </c:pt>
                <c:pt idx="3">
                  <c:v>0.22489266666666699</c:v>
                </c:pt>
                <c:pt idx="4">
                  <c:v>6.0999999999999999E-2</c:v>
                </c:pt>
                <c:pt idx="5">
                  <c:v>6.0999999999999999E-2</c:v>
                </c:pt>
                <c:pt idx="6">
                  <c:v>0.209993333333333</c:v>
                </c:pt>
                <c:pt idx="7">
                  <c:v>7.5899333333333305E-2</c:v>
                </c:pt>
                <c:pt idx="8">
                  <c:v>6.0999999999999999E-2</c:v>
                </c:pt>
                <c:pt idx="9">
                  <c:v>0.22489266666666699</c:v>
                </c:pt>
                <c:pt idx="10">
                  <c:v>6.0999999999999999E-2</c:v>
                </c:pt>
                <c:pt idx="11">
                  <c:v>6.0999999999999999E-2</c:v>
                </c:pt>
                <c:pt idx="12">
                  <c:v>0.22489266666666699</c:v>
                </c:pt>
                <c:pt idx="13">
                  <c:v>6.0999999999999999E-2</c:v>
                </c:pt>
                <c:pt idx="14">
                  <c:v>0.17274500000000001</c:v>
                </c:pt>
                <c:pt idx="15">
                  <c:v>0.14374100000000001</c:v>
                </c:pt>
                <c:pt idx="16">
                  <c:v>6.0999999999999999E-2</c:v>
                </c:pt>
                <c:pt idx="17">
                  <c:v>0.29750599999999999</c:v>
                </c:pt>
                <c:pt idx="18">
                  <c:v>0.200232666666667</c:v>
                </c:pt>
                <c:pt idx="19">
                  <c:v>0.43077833333333299</c:v>
                </c:pt>
                <c:pt idx="20">
                  <c:v>0.50548899999999997</c:v>
                </c:pt>
                <c:pt idx="21">
                  <c:v>0.19854566666666701</c:v>
                </c:pt>
                <c:pt idx="22">
                  <c:v>0.32190999999999997</c:v>
                </c:pt>
                <c:pt idx="23">
                  <c:v>0.57373866666666595</c:v>
                </c:pt>
                <c:pt idx="24">
                  <c:v>0.29650199999999999</c:v>
                </c:pt>
                <c:pt idx="25">
                  <c:v>0.32563900000000001</c:v>
                </c:pt>
                <c:pt idx="26">
                  <c:v>0.32711966666666598</c:v>
                </c:pt>
                <c:pt idx="27">
                  <c:v>0.258189</c:v>
                </c:pt>
                <c:pt idx="28">
                  <c:v>0.79510966666666705</c:v>
                </c:pt>
                <c:pt idx="29">
                  <c:v>1.10366566666667</c:v>
                </c:pt>
                <c:pt idx="30">
                  <c:v>6.0999999999999999E-2</c:v>
                </c:pt>
                <c:pt idx="31">
                  <c:v>0.22489266666666699</c:v>
                </c:pt>
                <c:pt idx="32">
                  <c:v>0.25013000000000002</c:v>
                </c:pt>
                <c:pt idx="33">
                  <c:v>0.30448266666666701</c:v>
                </c:pt>
                <c:pt idx="34">
                  <c:v>0.217443</c:v>
                </c:pt>
                <c:pt idx="35">
                  <c:v>6.0999999999999999E-2</c:v>
                </c:pt>
                <c:pt idx="36">
                  <c:v>0.517085666666666</c:v>
                </c:pt>
                <c:pt idx="37">
                  <c:v>0.37316633333333399</c:v>
                </c:pt>
                <c:pt idx="38">
                  <c:v>0.64898</c:v>
                </c:pt>
                <c:pt idx="39">
                  <c:v>0.82095433333333301</c:v>
                </c:pt>
                <c:pt idx="40">
                  <c:v>1.43324566666667</c:v>
                </c:pt>
                <c:pt idx="41">
                  <c:v>0.97995900000000002</c:v>
                </c:pt>
                <c:pt idx="42">
                  <c:v>0.69611733333333403</c:v>
                </c:pt>
                <c:pt idx="43">
                  <c:v>1.74365533333333</c:v>
                </c:pt>
                <c:pt idx="44">
                  <c:v>0.990041333333333</c:v>
                </c:pt>
                <c:pt idx="45">
                  <c:v>0.67263899999999999</c:v>
                </c:pt>
                <c:pt idx="46">
                  <c:v>6.0999999999999999E-2</c:v>
                </c:pt>
                <c:pt idx="47">
                  <c:v>0.16529533333333299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671-4CBF-A21D-2207AE37D7C7}"/>
            </c:ext>
          </c:extLst>
        </c:ser>
        <c:ser>
          <c:idx val="10"/>
          <c:order val="10"/>
          <c:tx>
            <c:v>BES_TR1_one469_A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Demand_kW!$M$2:$M$49</c:f>
              <c:numCache>
                <c:formatCode>#,##0.000</c:formatCode>
                <c:ptCount val="48"/>
                <c:pt idx="0">
                  <c:v>0.48437799999999998</c:v>
                </c:pt>
                <c:pt idx="1">
                  <c:v>0.50630900000000001</c:v>
                </c:pt>
                <c:pt idx="2">
                  <c:v>0.38427</c:v>
                </c:pt>
                <c:pt idx="3">
                  <c:v>0.16685666666666699</c:v>
                </c:pt>
                <c:pt idx="4">
                  <c:v>4.5999999999999999E-2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4.5999999999999999E-2</c:v>
                </c:pt>
                <c:pt idx="8">
                  <c:v>4.5999999999999999E-2</c:v>
                </c:pt>
                <c:pt idx="9">
                  <c:v>4.5999999999999999E-2</c:v>
                </c:pt>
                <c:pt idx="10">
                  <c:v>4.5999999999999999E-2</c:v>
                </c:pt>
                <c:pt idx="11">
                  <c:v>4.5999999999999999E-2</c:v>
                </c:pt>
                <c:pt idx="12">
                  <c:v>4.5999999999999999E-2</c:v>
                </c:pt>
                <c:pt idx="13">
                  <c:v>4.5999999999999999E-2</c:v>
                </c:pt>
                <c:pt idx="14">
                  <c:v>4.5999999999999999E-2</c:v>
                </c:pt>
                <c:pt idx="15">
                  <c:v>4.5999999999999999E-2</c:v>
                </c:pt>
                <c:pt idx="16">
                  <c:v>4.5999999999999999E-2</c:v>
                </c:pt>
                <c:pt idx="17">
                  <c:v>4.5999999999999999E-2</c:v>
                </c:pt>
                <c:pt idx="18">
                  <c:v>4.5999999999999999E-2</c:v>
                </c:pt>
                <c:pt idx="19">
                  <c:v>4.5999999999999999E-2</c:v>
                </c:pt>
                <c:pt idx="20">
                  <c:v>0.05</c:v>
                </c:pt>
                <c:pt idx="21">
                  <c:v>0.21698466666666699</c:v>
                </c:pt>
                <c:pt idx="22">
                  <c:v>0.75824833333333297</c:v>
                </c:pt>
                <c:pt idx="23">
                  <c:v>0.56957999999999998</c:v>
                </c:pt>
                <c:pt idx="24">
                  <c:v>0.16066666666666701</c:v>
                </c:pt>
                <c:pt idx="25">
                  <c:v>6.8000000000000005E-2</c:v>
                </c:pt>
                <c:pt idx="26">
                  <c:v>4.6325166666666702E-2</c:v>
                </c:pt>
                <c:pt idx="27">
                  <c:v>4.5999999999999999E-2</c:v>
                </c:pt>
                <c:pt idx="28">
                  <c:v>0.18148</c:v>
                </c:pt>
                <c:pt idx="29">
                  <c:v>1.27439533333333</c:v>
                </c:pt>
                <c:pt idx="30">
                  <c:v>9.0380500000000003E-2</c:v>
                </c:pt>
                <c:pt idx="31">
                  <c:v>7.5886666666666699E-2</c:v>
                </c:pt>
                <c:pt idx="32">
                  <c:v>4.5999999999999999E-2</c:v>
                </c:pt>
                <c:pt idx="33">
                  <c:v>4.5999999999999999E-2</c:v>
                </c:pt>
                <c:pt idx="34">
                  <c:v>4.5999999999999999E-2</c:v>
                </c:pt>
                <c:pt idx="35">
                  <c:v>4.5999999999999999E-2</c:v>
                </c:pt>
                <c:pt idx="36">
                  <c:v>4.5999999999999999E-2</c:v>
                </c:pt>
                <c:pt idx="37">
                  <c:v>7.4260000000000007E-2</c:v>
                </c:pt>
                <c:pt idx="38">
                  <c:v>0.122576666666667</c:v>
                </c:pt>
                <c:pt idx="39">
                  <c:v>0.31688433333333299</c:v>
                </c:pt>
                <c:pt idx="40">
                  <c:v>0.30933333333333302</c:v>
                </c:pt>
                <c:pt idx="41">
                  <c:v>0.47607766666666701</c:v>
                </c:pt>
                <c:pt idx="42">
                  <c:v>0.43801699999999999</c:v>
                </c:pt>
                <c:pt idx="43">
                  <c:v>0.48782199999999998</c:v>
                </c:pt>
                <c:pt idx="44">
                  <c:v>0.40530766666666701</c:v>
                </c:pt>
                <c:pt idx="45">
                  <c:v>0.32269799999999998</c:v>
                </c:pt>
                <c:pt idx="46">
                  <c:v>0.59359899999999999</c:v>
                </c:pt>
                <c:pt idx="47">
                  <c:v>0.50397333333333405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671-4CBF-A21D-2207AE37D7C7}"/>
            </c:ext>
          </c:extLst>
        </c:ser>
        <c:ser>
          <c:idx val="11"/>
          <c:order val="11"/>
          <c:tx>
            <c:v>BES_TR1_one480_A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Demand_kW!$N$2:$N$49</c:f>
              <c:numCache>
                <c:formatCode>#,##0.000</c:formatCode>
                <c:ptCount val="48"/>
                <c:pt idx="0">
                  <c:v>0.35313499999999998</c:v>
                </c:pt>
                <c:pt idx="1">
                  <c:v>0.50322466666666599</c:v>
                </c:pt>
                <c:pt idx="2">
                  <c:v>0.71047133333333301</c:v>
                </c:pt>
                <c:pt idx="3">
                  <c:v>0.36875799999999997</c:v>
                </c:pt>
                <c:pt idx="4">
                  <c:v>0.23475733333333301</c:v>
                </c:pt>
                <c:pt idx="5">
                  <c:v>0.138943333333333</c:v>
                </c:pt>
                <c:pt idx="6">
                  <c:v>4.8000000000000001E-2</c:v>
                </c:pt>
                <c:pt idx="7">
                  <c:v>0.175761</c:v>
                </c:pt>
                <c:pt idx="8">
                  <c:v>0.23120766666666701</c:v>
                </c:pt>
                <c:pt idx="9">
                  <c:v>5.70943333333334E-2</c:v>
                </c:pt>
                <c:pt idx="10">
                  <c:v>0.33324033333333303</c:v>
                </c:pt>
                <c:pt idx="11">
                  <c:v>6.4633999999999997E-2</c:v>
                </c:pt>
                <c:pt idx="12">
                  <c:v>0.13671466666666701</c:v>
                </c:pt>
                <c:pt idx="13">
                  <c:v>0.27025399999999999</c:v>
                </c:pt>
                <c:pt idx="14">
                  <c:v>0.14628566666666701</c:v>
                </c:pt>
                <c:pt idx="15">
                  <c:v>0.18038216666666701</c:v>
                </c:pt>
                <c:pt idx="16">
                  <c:v>0.192664166666667</c:v>
                </c:pt>
                <c:pt idx="17">
                  <c:v>0.54059999999999997</c:v>
                </c:pt>
                <c:pt idx="18">
                  <c:v>0.868999999999999</c:v>
                </c:pt>
                <c:pt idx="19">
                  <c:v>0.22079233333333301</c:v>
                </c:pt>
                <c:pt idx="20">
                  <c:v>0.133075</c:v>
                </c:pt>
                <c:pt idx="21">
                  <c:v>1.09743233333333</c:v>
                </c:pt>
                <c:pt idx="22">
                  <c:v>1.0414163333333299</c:v>
                </c:pt>
                <c:pt idx="23">
                  <c:v>0.59715366666666703</c:v>
                </c:pt>
                <c:pt idx="24">
                  <c:v>0.57676099999999997</c:v>
                </c:pt>
                <c:pt idx="25">
                  <c:v>8.6295999999999998E-2</c:v>
                </c:pt>
                <c:pt idx="26">
                  <c:v>0.22988666666666699</c:v>
                </c:pt>
                <c:pt idx="27">
                  <c:v>0.17708199999999999</c:v>
                </c:pt>
                <c:pt idx="28">
                  <c:v>4.8000000000000001E-2</c:v>
                </c:pt>
                <c:pt idx="29">
                  <c:v>0.14225933333333299</c:v>
                </c:pt>
                <c:pt idx="30">
                  <c:v>0.13738866666666699</c:v>
                </c:pt>
                <c:pt idx="31">
                  <c:v>0.32218733333333299</c:v>
                </c:pt>
                <c:pt idx="32">
                  <c:v>0.30794883333333301</c:v>
                </c:pt>
                <c:pt idx="33">
                  <c:v>0.35697283333333302</c:v>
                </c:pt>
                <c:pt idx="34">
                  <c:v>0.312805</c:v>
                </c:pt>
                <c:pt idx="35">
                  <c:v>1.68214333333333</c:v>
                </c:pt>
                <c:pt idx="36">
                  <c:v>0.37517466666666699</c:v>
                </c:pt>
                <c:pt idx="37">
                  <c:v>2.7471513333333402</c:v>
                </c:pt>
                <c:pt idx="38">
                  <c:v>0.62867866666666705</c:v>
                </c:pt>
                <c:pt idx="39">
                  <c:v>0.42098233333333301</c:v>
                </c:pt>
                <c:pt idx="40">
                  <c:v>0.483904</c:v>
                </c:pt>
                <c:pt idx="41">
                  <c:v>0.63074300000000005</c:v>
                </c:pt>
                <c:pt idx="42">
                  <c:v>0.69958533333333295</c:v>
                </c:pt>
                <c:pt idx="43">
                  <c:v>0.30162433333333299</c:v>
                </c:pt>
                <c:pt idx="44">
                  <c:v>0.22079233333333301</c:v>
                </c:pt>
                <c:pt idx="45">
                  <c:v>0.186176333333333</c:v>
                </c:pt>
                <c:pt idx="46">
                  <c:v>0.39396266666666702</c:v>
                </c:pt>
                <c:pt idx="47">
                  <c:v>0.62633499999999998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671-4CBF-A21D-2207AE37D7C7}"/>
            </c:ext>
          </c:extLst>
        </c:ser>
        <c:ser>
          <c:idx val="12"/>
          <c:order val="12"/>
          <c:tx>
            <c:v>BES_TR1_one482_B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Demand_kW!$O$2:$O$49</c:f>
              <c:numCache>
                <c:formatCode>#,##0.000</c:formatCode>
                <c:ptCount val="48"/>
                <c:pt idx="0">
                  <c:v>0.18326000000000001</c:v>
                </c:pt>
                <c:pt idx="1">
                  <c:v>5.0999999999999997E-2</c:v>
                </c:pt>
                <c:pt idx="2">
                  <c:v>6.6559999999999994E-2</c:v>
                </c:pt>
                <c:pt idx="3">
                  <c:v>0.20660000000000001</c:v>
                </c:pt>
                <c:pt idx="4">
                  <c:v>5.0999999999999997E-2</c:v>
                </c:pt>
                <c:pt idx="5">
                  <c:v>0.20660000000000001</c:v>
                </c:pt>
                <c:pt idx="6">
                  <c:v>6.6559999999999994E-2</c:v>
                </c:pt>
                <c:pt idx="7">
                  <c:v>5.0999999999999997E-2</c:v>
                </c:pt>
                <c:pt idx="8">
                  <c:v>0.22216</c:v>
                </c:pt>
                <c:pt idx="9">
                  <c:v>5.0999999999999997E-2</c:v>
                </c:pt>
                <c:pt idx="10">
                  <c:v>0.17548</c:v>
                </c:pt>
                <c:pt idx="11">
                  <c:v>9.76800000000001E-2</c:v>
                </c:pt>
                <c:pt idx="12">
                  <c:v>5.0999999999999997E-2</c:v>
                </c:pt>
                <c:pt idx="13">
                  <c:v>0.14435999999999999</c:v>
                </c:pt>
                <c:pt idx="14">
                  <c:v>0.1288</c:v>
                </c:pt>
                <c:pt idx="15">
                  <c:v>7.0288000000000003E-2</c:v>
                </c:pt>
                <c:pt idx="16">
                  <c:v>0.26133919999999999</c:v>
                </c:pt>
                <c:pt idx="17">
                  <c:v>1.3613818666666699</c:v>
                </c:pt>
                <c:pt idx="18">
                  <c:v>0.80293333333333305</c:v>
                </c:pt>
                <c:pt idx="19">
                  <c:v>1.29128666666667</c:v>
                </c:pt>
                <c:pt idx="20">
                  <c:v>0.19103999999999999</c:v>
                </c:pt>
                <c:pt idx="21">
                  <c:v>5.0999999999999997E-2</c:v>
                </c:pt>
                <c:pt idx="22">
                  <c:v>0.20660000000000001</c:v>
                </c:pt>
                <c:pt idx="23">
                  <c:v>6.6559999999999994E-2</c:v>
                </c:pt>
                <c:pt idx="24">
                  <c:v>5.8779999999999999E-2</c:v>
                </c:pt>
                <c:pt idx="25">
                  <c:v>0.21437999999999999</c:v>
                </c:pt>
                <c:pt idx="26">
                  <c:v>5.0999999999999997E-2</c:v>
                </c:pt>
                <c:pt idx="27">
                  <c:v>9.5168333333333299E-2</c:v>
                </c:pt>
                <c:pt idx="28">
                  <c:v>0.113399266666667</c:v>
                </c:pt>
                <c:pt idx="29">
                  <c:v>5.8630399999999999E-2</c:v>
                </c:pt>
                <c:pt idx="30">
                  <c:v>0.219806</c:v>
                </c:pt>
                <c:pt idx="31">
                  <c:v>8.5909033333333398E-2</c:v>
                </c:pt>
                <c:pt idx="32">
                  <c:v>9.8655833333333401E-2</c:v>
                </c:pt>
                <c:pt idx="33">
                  <c:v>0.27740806666666701</c:v>
                </c:pt>
                <c:pt idx="34">
                  <c:v>6.3048000000000007E-2</c:v>
                </c:pt>
                <c:pt idx="35">
                  <c:v>0.29914000000000002</c:v>
                </c:pt>
                <c:pt idx="36">
                  <c:v>0.39312200000000003</c:v>
                </c:pt>
                <c:pt idx="37">
                  <c:v>0.21018000000000001</c:v>
                </c:pt>
                <c:pt idx="38">
                  <c:v>0.18477666666666701</c:v>
                </c:pt>
                <c:pt idx="39">
                  <c:v>0.293476666666667</c:v>
                </c:pt>
                <c:pt idx="40">
                  <c:v>0.44815533333333402</c:v>
                </c:pt>
                <c:pt idx="41">
                  <c:v>0.62932600000000005</c:v>
                </c:pt>
                <c:pt idx="42">
                  <c:v>0.56803000000000003</c:v>
                </c:pt>
                <c:pt idx="43">
                  <c:v>0.436562333333333</c:v>
                </c:pt>
                <c:pt idx="44">
                  <c:v>0.46737400000000001</c:v>
                </c:pt>
                <c:pt idx="45">
                  <c:v>0.76173900000000005</c:v>
                </c:pt>
                <c:pt idx="46">
                  <c:v>0.31671666666666698</c:v>
                </c:pt>
                <c:pt idx="47">
                  <c:v>0.43429833333333301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671-4CBF-A21D-2207AE37D7C7}"/>
            </c:ext>
          </c:extLst>
        </c:ser>
        <c:ser>
          <c:idx val="13"/>
          <c:order val="13"/>
          <c:tx>
            <c:v>BES_TR1_one521_C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Demand_kW!$P$2:$P$49</c:f>
              <c:numCache>
                <c:formatCode>#,##0.000</c:formatCode>
                <c:ptCount val="48"/>
                <c:pt idx="0">
                  <c:v>0.22875466666666699</c:v>
                </c:pt>
                <c:pt idx="1">
                  <c:v>8.4050666666666704E-2</c:v>
                </c:pt>
                <c:pt idx="2">
                  <c:v>0.319174666666667</c:v>
                </c:pt>
                <c:pt idx="3">
                  <c:v>5.1999999999999998E-2</c:v>
                </c:pt>
                <c:pt idx="4">
                  <c:v>6.4294666666666694E-2</c:v>
                </c:pt>
                <c:pt idx="5">
                  <c:v>0.33091799999999999</c:v>
                </c:pt>
                <c:pt idx="6">
                  <c:v>6.00126666666667E-2</c:v>
                </c:pt>
                <c:pt idx="7">
                  <c:v>0.174946666666667</c:v>
                </c:pt>
                <c:pt idx="8">
                  <c:v>5.1999999999999998E-2</c:v>
                </c:pt>
                <c:pt idx="9">
                  <c:v>0.21632399999999999</c:v>
                </c:pt>
                <c:pt idx="10">
                  <c:v>0.21518246666666699</c:v>
                </c:pt>
                <c:pt idx="11">
                  <c:v>8.0582866666666697E-2</c:v>
                </c:pt>
                <c:pt idx="12">
                  <c:v>0.23904800000000001</c:v>
                </c:pt>
                <c:pt idx="13">
                  <c:v>0.16417733333333301</c:v>
                </c:pt>
                <c:pt idx="14">
                  <c:v>0.107326</c:v>
                </c:pt>
                <c:pt idx="15">
                  <c:v>0.37336533333333299</c:v>
                </c:pt>
                <c:pt idx="16">
                  <c:v>9.7031333333333303E-2</c:v>
                </c:pt>
                <c:pt idx="17">
                  <c:v>0.20556866666666701</c:v>
                </c:pt>
                <c:pt idx="18">
                  <c:v>0.20233733333333301</c:v>
                </c:pt>
                <c:pt idx="19">
                  <c:v>0.220606</c:v>
                </c:pt>
                <c:pt idx="20">
                  <c:v>0.15283533333333299</c:v>
                </c:pt>
                <c:pt idx="21">
                  <c:v>0.62129166666666602</c:v>
                </c:pt>
                <c:pt idx="22">
                  <c:v>0.22157933333333299</c:v>
                </c:pt>
                <c:pt idx="23">
                  <c:v>0.28586166666666701</c:v>
                </c:pt>
                <c:pt idx="24">
                  <c:v>1.0426550000000001</c:v>
                </c:pt>
                <c:pt idx="25">
                  <c:v>0.67527393333333396</c:v>
                </c:pt>
                <c:pt idx="26">
                  <c:v>0.18570266666666699</c:v>
                </c:pt>
                <c:pt idx="27">
                  <c:v>0.178696666666667</c:v>
                </c:pt>
                <c:pt idx="28">
                  <c:v>0.118326</c:v>
                </c:pt>
                <c:pt idx="29">
                  <c:v>0.210410666666667</c:v>
                </c:pt>
                <c:pt idx="30">
                  <c:v>0.19554333333333301</c:v>
                </c:pt>
                <c:pt idx="31">
                  <c:v>0.21858066666666601</c:v>
                </c:pt>
                <c:pt idx="32">
                  <c:v>0.50258800000000003</c:v>
                </c:pt>
                <c:pt idx="33">
                  <c:v>0.16265199999999999</c:v>
                </c:pt>
                <c:pt idx="34">
                  <c:v>0.22026599999999999</c:v>
                </c:pt>
                <c:pt idx="35">
                  <c:v>0.20204266666666701</c:v>
                </c:pt>
                <c:pt idx="36">
                  <c:v>0.20186333333333301</c:v>
                </c:pt>
                <c:pt idx="37">
                  <c:v>0.37424866666666701</c:v>
                </c:pt>
                <c:pt idx="38">
                  <c:v>0.408241666666667</c:v>
                </c:pt>
                <c:pt idx="39">
                  <c:v>0.108088666666667</c:v>
                </c:pt>
                <c:pt idx="40">
                  <c:v>0.29513666666666699</c:v>
                </c:pt>
                <c:pt idx="41">
                  <c:v>5.1999999999999998E-2</c:v>
                </c:pt>
                <c:pt idx="42">
                  <c:v>0.22827866666666699</c:v>
                </c:pt>
                <c:pt idx="43">
                  <c:v>5.1999999999999998E-2</c:v>
                </c:pt>
                <c:pt idx="44">
                  <c:v>0.174946666666667</c:v>
                </c:pt>
                <c:pt idx="45">
                  <c:v>0.132126666666667</c:v>
                </c:pt>
                <c:pt idx="46">
                  <c:v>0.27109866666666699</c:v>
                </c:pt>
                <c:pt idx="47">
                  <c:v>6.8025333333333396E-2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671-4CBF-A21D-2207AE37D7C7}"/>
            </c:ext>
          </c:extLst>
        </c:ser>
        <c:ser>
          <c:idx val="14"/>
          <c:order val="14"/>
          <c:tx>
            <c:v>BES_TR1_one528_C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Demand_kW!$Q$2:$Q$49</c:f>
              <c:numCache>
                <c:formatCode>#,##0.000</c:formatCode>
                <c:ptCount val="48"/>
                <c:pt idx="0">
                  <c:v>0.12977033333333299</c:v>
                </c:pt>
                <c:pt idx="1">
                  <c:v>0.12977033333333299</c:v>
                </c:pt>
                <c:pt idx="2">
                  <c:v>0.112229333333333</c:v>
                </c:pt>
                <c:pt idx="3">
                  <c:v>0.107469333333333</c:v>
                </c:pt>
                <c:pt idx="4">
                  <c:v>0.152071333333333</c:v>
                </c:pt>
                <c:pt idx="5">
                  <c:v>4.8000000000000001E-2</c:v>
                </c:pt>
                <c:pt idx="6">
                  <c:v>6.2867333333333303E-2</c:v>
                </c:pt>
                <c:pt idx="7">
                  <c:v>0.19667333333333301</c:v>
                </c:pt>
                <c:pt idx="8">
                  <c:v>4.8000000000000001E-2</c:v>
                </c:pt>
                <c:pt idx="9">
                  <c:v>0.19667333333333301</c:v>
                </c:pt>
                <c:pt idx="10">
                  <c:v>6.28673333333334E-2</c:v>
                </c:pt>
                <c:pt idx="11">
                  <c:v>4.8000000000000001E-2</c:v>
                </c:pt>
                <c:pt idx="12">
                  <c:v>5.62553333333334E-2</c:v>
                </c:pt>
                <c:pt idx="13">
                  <c:v>0.21154066666666699</c:v>
                </c:pt>
                <c:pt idx="14">
                  <c:v>4.8000000000000001E-2</c:v>
                </c:pt>
                <c:pt idx="15">
                  <c:v>4.8000000000000001E-2</c:v>
                </c:pt>
                <c:pt idx="16">
                  <c:v>0.21154066666666699</c:v>
                </c:pt>
                <c:pt idx="17">
                  <c:v>4.8000000000000001E-2</c:v>
                </c:pt>
                <c:pt idx="18">
                  <c:v>0.37061873333333301</c:v>
                </c:pt>
                <c:pt idx="19">
                  <c:v>0.46512466666666602</c:v>
                </c:pt>
                <c:pt idx="20">
                  <c:v>0.66093333333333404</c:v>
                </c:pt>
                <c:pt idx="21">
                  <c:v>1.5417110000000001</c:v>
                </c:pt>
                <c:pt idx="22">
                  <c:v>0.46662666666666702</c:v>
                </c:pt>
                <c:pt idx="23">
                  <c:v>0.102987933333333</c:v>
                </c:pt>
                <c:pt idx="24">
                  <c:v>0.58110866666666705</c:v>
                </c:pt>
                <c:pt idx="25">
                  <c:v>1.3935507333333299</c:v>
                </c:pt>
                <c:pt idx="26">
                  <c:v>0.89683999999999997</c:v>
                </c:pt>
                <c:pt idx="27">
                  <c:v>0.10422466666666701</c:v>
                </c:pt>
                <c:pt idx="28">
                  <c:v>0.73684166666666695</c:v>
                </c:pt>
                <c:pt idx="29">
                  <c:v>0.79371700000000001</c:v>
                </c:pt>
                <c:pt idx="30">
                  <c:v>0.58593333333333297</c:v>
                </c:pt>
                <c:pt idx="31">
                  <c:v>0.122469333333333</c:v>
                </c:pt>
                <c:pt idx="32">
                  <c:v>0.44317533333333298</c:v>
                </c:pt>
                <c:pt idx="33">
                  <c:v>1.11443633333333</c:v>
                </c:pt>
                <c:pt idx="34">
                  <c:v>0.76056166666666702</c:v>
                </c:pt>
                <c:pt idx="35">
                  <c:v>0.197535666666667</c:v>
                </c:pt>
                <c:pt idx="36">
                  <c:v>0.60373433333333304</c:v>
                </c:pt>
                <c:pt idx="37">
                  <c:v>0.1973087</c:v>
                </c:pt>
                <c:pt idx="38">
                  <c:v>0.86363306666666695</c:v>
                </c:pt>
                <c:pt idx="39">
                  <c:v>0.92823066666666698</c:v>
                </c:pt>
                <c:pt idx="40">
                  <c:v>1.54537533333333</c:v>
                </c:pt>
                <c:pt idx="41">
                  <c:v>0.86360400000000004</c:v>
                </c:pt>
                <c:pt idx="42">
                  <c:v>0.492748666666667</c:v>
                </c:pt>
                <c:pt idx="43">
                  <c:v>1.56169966666667</c:v>
                </c:pt>
                <c:pt idx="44">
                  <c:v>0.38538266666666698</c:v>
                </c:pt>
                <c:pt idx="45">
                  <c:v>0.40051399999999998</c:v>
                </c:pt>
                <c:pt idx="46">
                  <c:v>0.81425233333333302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671-4CBF-A21D-2207AE37D7C7}"/>
            </c:ext>
          </c:extLst>
        </c:ser>
        <c:ser>
          <c:idx val="15"/>
          <c:order val="15"/>
          <c:tx>
            <c:v>BES_TR1_one537_A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Demand_kW!$R$2:$R$49</c:f>
              <c:numCache>
                <c:formatCode>#,##0.000</c:formatCode>
                <c:ptCount val="48"/>
                <c:pt idx="0">
                  <c:v>4.4999999999999998E-2</c:v>
                </c:pt>
                <c:pt idx="1">
                  <c:v>4.4999999999999998E-2</c:v>
                </c:pt>
                <c:pt idx="2">
                  <c:v>6.01373333333333E-2</c:v>
                </c:pt>
                <c:pt idx="3">
                  <c:v>0.19637333333333301</c:v>
                </c:pt>
                <c:pt idx="4">
                  <c:v>4.4999999999999998E-2</c:v>
                </c:pt>
                <c:pt idx="5">
                  <c:v>7.5274666666666698E-2</c:v>
                </c:pt>
                <c:pt idx="6">
                  <c:v>0.18123600000000001</c:v>
                </c:pt>
                <c:pt idx="7">
                  <c:v>4.4999999999999998E-2</c:v>
                </c:pt>
                <c:pt idx="8">
                  <c:v>0.21151066666666701</c:v>
                </c:pt>
                <c:pt idx="9">
                  <c:v>4.4999999999999998E-2</c:v>
                </c:pt>
                <c:pt idx="10">
                  <c:v>4.4999999999999998E-2</c:v>
                </c:pt>
                <c:pt idx="11">
                  <c:v>0.21151066666666701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5.2568666666666701E-2</c:v>
                </c:pt>
                <c:pt idx="15">
                  <c:v>0.4389632</c:v>
                </c:pt>
                <c:pt idx="16">
                  <c:v>8.1155599999999994E-2</c:v>
                </c:pt>
                <c:pt idx="17">
                  <c:v>1.5282486666666699</c:v>
                </c:pt>
                <c:pt idx="18">
                  <c:v>0.32120033333333298</c:v>
                </c:pt>
                <c:pt idx="19">
                  <c:v>0.3967</c:v>
                </c:pt>
                <c:pt idx="20">
                  <c:v>0.181041333333333</c:v>
                </c:pt>
                <c:pt idx="21">
                  <c:v>4.4999999999999998E-2</c:v>
                </c:pt>
                <c:pt idx="22">
                  <c:v>0.21151066666666701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0.427037733333333</c:v>
                </c:pt>
                <c:pt idx="26">
                  <c:v>0.1062408</c:v>
                </c:pt>
                <c:pt idx="27">
                  <c:v>0.10329000000000001</c:v>
                </c:pt>
                <c:pt idx="28">
                  <c:v>0.26467200000000002</c:v>
                </c:pt>
                <c:pt idx="29">
                  <c:v>0.20874933333333301</c:v>
                </c:pt>
                <c:pt idx="30">
                  <c:v>0.34374633333333399</c:v>
                </c:pt>
                <c:pt idx="31">
                  <c:v>0.49610300000000002</c:v>
                </c:pt>
                <c:pt idx="32">
                  <c:v>0.23237833333333299</c:v>
                </c:pt>
                <c:pt idx="33">
                  <c:v>0.78445533333333295</c:v>
                </c:pt>
                <c:pt idx="34">
                  <c:v>2.0418753333333299</c:v>
                </c:pt>
                <c:pt idx="35">
                  <c:v>0.833670666666666</c:v>
                </c:pt>
                <c:pt idx="36">
                  <c:v>0.56234466666666705</c:v>
                </c:pt>
                <c:pt idx="37">
                  <c:v>0.72372466666666702</c:v>
                </c:pt>
                <c:pt idx="38">
                  <c:v>0.48097400000000001</c:v>
                </c:pt>
                <c:pt idx="39">
                  <c:v>0.35638599999999998</c:v>
                </c:pt>
                <c:pt idx="40">
                  <c:v>0.48510766666666699</c:v>
                </c:pt>
                <c:pt idx="41">
                  <c:v>1.6572213333333301</c:v>
                </c:pt>
                <c:pt idx="42">
                  <c:v>1.1878649999999999</c:v>
                </c:pt>
                <c:pt idx="43">
                  <c:v>0.86702100000000004</c:v>
                </c:pt>
                <c:pt idx="44">
                  <c:v>0.90037433333333305</c:v>
                </c:pt>
                <c:pt idx="45">
                  <c:v>0.81093233333333403</c:v>
                </c:pt>
                <c:pt idx="46">
                  <c:v>0.18880466666666701</c:v>
                </c:pt>
                <c:pt idx="47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671-4CBF-A21D-2207AE37D7C7}"/>
            </c:ext>
          </c:extLst>
        </c:ser>
        <c:ser>
          <c:idx val="16"/>
          <c:order val="16"/>
          <c:tx>
            <c:v>BES_TR1_one61_A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Demand_kW!$S$2:$S$49</c:f>
              <c:numCache>
                <c:formatCode>#,##0.000</c:formatCode>
                <c:ptCount val="48"/>
                <c:pt idx="0">
                  <c:v>7.8827999999999995E-2</c:v>
                </c:pt>
                <c:pt idx="1">
                  <c:v>0.28771266666666701</c:v>
                </c:pt>
                <c:pt idx="2">
                  <c:v>0.05</c:v>
                </c:pt>
                <c:pt idx="3">
                  <c:v>0.05</c:v>
                </c:pt>
                <c:pt idx="4">
                  <c:v>0.29491966666666702</c:v>
                </c:pt>
                <c:pt idx="5">
                  <c:v>7.1621000000000004E-2</c:v>
                </c:pt>
                <c:pt idx="6">
                  <c:v>0.12713333333333299</c:v>
                </c:pt>
                <c:pt idx="7">
                  <c:v>0.22499333333333299</c:v>
                </c:pt>
                <c:pt idx="8">
                  <c:v>6.4413999999999999E-2</c:v>
                </c:pt>
                <c:pt idx="9">
                  <c:v>0.157986666666667</c:v>
                </c:pt>
                <c:pt idx="10">
                  <c:v>0.20855399999999999</c:v>
                </c:pt>
                <c:pt idx="11">
                  <c:v>9.6280000000000004E-2</c:v>
                </c:pt>
                <c:pt idx="12">
                  <c:v>0.234225666666667</c:v>
                </c:pt>
                <c:pt idx="13">
                  <c:v>8.6034999999999903E-2</c:v>
                </c:pt>
                <c:pt idx="14">
                  <c:v>0.201228666666667</c:v>
                </c:pt>
                <c:pt idx="15">
                  <c:v>0.16531199999999999</c:v>
                </c:pt>
                <c:pt idx="16">
                  <c:v>0.14873</c:v>
                </c:pt>
                <c:pt idx="17">
                  <c:v>1.3682586666666701</c:v>
                </c:pt>
                <c:pt idx="18">
                  <c:v>0.55462733333333403</c:v>
                </c:pt>
                <c:pt idx="19">
                  <c:v>0.18681466666666699</c:v>
                </c:pt>
                <c:pt idx="20">
                  <c:v>0.179726</c:v>
                </c:pt>
                <c:pt idx="21">
                  <c:v>0.149466666666667</c:v>
                </c:pt>
                <c:pt idx="22">
                  <c:v>0.39513900000000002</c:v>
                </c:pt>
                <c:pt idx="23">
                  <c:v>1.2828613333333301</c:v>
                </c:pt>
                <c:pt idx="24">
                  <c:v>0.19919999999999999</c:v>
                </c:pt>
                <c:pt idx="25">
                  <c:v>0.36308733333333298</c:v>
                </c:pt>
                <c:pt idx="26">
                  <c:v>0.35845866666666698</c:v>
                </c:pt>
                <c:pt idx="27">
                  <c:v>0.28414366666666702</c:v>
                </c:pt>
                <c:pt idx="28">
                  <c:v>0.64847933333333396</c:v>
                </c:pt>
                <c:pt idx="29">
                  <c:v>0.1822298</c:v>
                </c:pt>
                <c:pt idx="30">
                  <c:v>0.166105</c:v>
                </c:pt>
                <c:pt idx="31">
                  <c:v>0.26225166666666699</c:v>
                </c:pt>
                <c:pt idx="32">
                  <c:v>0.16993766666666699</c:v>
                </c:pt>
                <c:pt idx="33">
                  <c:v>0.26493766666666702</c:v>
                </c:pt>
                <c:pt idx="34">
                  <c:v>0.15892999999999999</c:v>
                </c:pt>
                <c:pt idx="35">
                  <c:v>0.157986666666667</c:v>
                </c:pt>
                <c:pt idx="36">
                  <c:v>0.286617333333333</c:v>
                </c:pt>
                <c:pt idx="37">
                  <c:v>0.34705433333333302</c:v>
                </c:pt>
                <c:pt idx="38">
                  <c:v>0.167795</c:v>
                </c:pt>
                <c:pt idx="39">
                  <c:v>0.41623599999999999</c:v>
                </c:pt>
                <c:pt idx="40">
                  <c:v>1.8851053333333301</c:v>
                </c:pt>
                <c:pt idx="41">
                  <c:v>0.60918266666666698</c:v>
                </c:pt>
                <c:pt idx="42">
                  <c:v>0.76265366666666701</c:v>
                </c:pt>
                <c:pt idx="43">
                  <c:v>0.92857199999999995</c:v>
                </c:pt>
                <c:pt idx="44">
                  <c:v>0.73144866666666697</c:v>
                </c:pt>
                <c:pt idx="45">
                  <c:v>0.54984833333333305</c:v>
                </c:pt>
                <c:pt idx="46">
                  <c:v>0.44244</c:v>
                </c:pt>
                <c:pt idx="47">
                  <c:v>0.615997666666667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671-4CBF-A21D-2207AE37D7C7}"/>
            </c:ext>
          </c:extLst>
        </c:ser>
        <c:ser>
          <c:idx val="17"/>
          <c:order val="17"/>
          <c:tx>
            <c:v>BES_TR1_one544_A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Demand_kW!$T$2:$T$49</c:f>
              <c:numCache>
                <c:formatCode>#,##0.000</c:formatCode>
                <c:ptCount val="48"/>
                <c:pt idx="0">
                  <c:v>0.37837599999999999</c:v>
                </c:pt>
                <c:pt idx="1">
                  <c:v>0.216125333333333</c:v>
                </c:pt>
                <c:pt idx="2">
                  <c:v>5.3999999999999999E-2</c:v>
                </c:pt>
                <c:pt idx="3">
                  <c:v>5.3999999999999999E-2</c:v>
                </c:pt>
                <c:pt idx="4">
                  <c:v>5.3999999999999999E-2</c:v>
                </c:pt>
                <c:pt idx="5">
                  <c:v>0.120324</c:v>
                </c:pt>
                <c:pt idx="6">
                  <c:v>0.26846799999999998</c:v>
                </c:pt>
                <c:pt idx="7">
                  <c:v>5.3999999999999999E-2</c:v>
                </c:pt>
                <c:pt idx="8">
                  <c:v>0.26109866666666698</c:v>
                </c:pt>
                <c:pt idx="9">
                  <c:v>0.12769333333333299</c:v>
                </c:pt>
                <c:pt idx="10">
                  <c:v>9.0846666666666701E-2</c:v>
                </c:pt>
                <c:pt idx="11">
                  <c:v>0.29794533333333301</c:v>
                </c:pt>
                <c:pt idx="12">
                  <c:v>5.3999999999999999E-2</c:v>
                </c:pt>
                <c:pt idx="13">
                  <c:v>0.208756</c:v>
                </c:pt>
                <c:pt idx="14">
                  <c:v>6.1369333333333401E-2</c:v>
                </c:pt>
                <c:pt idx="15">
                  <c:v>0.120324</c:v>
                </c:pt>
                <c:pt idx="16">
                  <c:v>0.656972000000001</c:v>
                </c:pt>
                <c:pt idx="17">
                  <c:v>0.149903333333333</c:v>
                </c:pt>
                <c:pt idx="18">
                  <c:v>0.242516333333333</c:v>
                </c:pt>
                <c:pt idx="19">
                  <c:v>0.124605333333333</c:v>
                </c:pt>
                <c:pt idx="20">
                  <c:v>0.83563166666666699</c:v>
                </c:pt>
                <c:pt idx="21">
                  <c:v>1.4714309999999999</c:v>
                </c:pt>
                <c:pt idx="22">
                  <c:v>1.6979326666666701</c:v>
                </c:pt>
                <c:pt idx="23">
                  <c:v>0.329909333333334</c:v>
                </c:pt>
                <c:pt idx="24">
                  <c:v>0.31019866666666701</c:v>
                </c:pt>
                <c:pt idx="25">
                  <c:v>0.75181299999999995</c:v>
                </c:pt>
                <c:pt idx="26">
                  <c:v>0.29343200000000003</c:v>
                </c:pt>
                <c:pt idx="27">
                  <c:v>0.41441666666666699</c:v>
                </c:pt>
                <c:pt idx="28">
                  <c:v>0.50737699999999997</c:v>
                </c:pt>
                <c:pt idx="29">
                  <c:v>0.35163499999999998</c:v>
                </c:pt>
                <c:pt idx="30">
                  <c:v>0.28949533333333299</c:v>
                </c:pt>
                <c:pt idx="31">
                  <c:v>0.77518466666666697</c:v>
                </c:pt>
                <c:pt idx="32">
                  <c:v>0.63427699999999998</c:v>
                </c:pt>
                <c:pt idx="33">
                  <c:v>0.66311566666666699</c:v>
                </c:pt>
                <c:pt idx="34">
                  <c:v>0.27954699999999999</c:v>
                </c:pt>
                <c:pt idx="35">
                  <c:v>0.29339599999999999</c:v>
                </c:pt>
                <c:pt idx="36">
                  <c:v>0.32386266666666702</c:v>
                </c:pt>
                <c:pt idx="37">
                  <c:v>0.40420200000000001</c:v>
                </c:pt>
                <c:pt idx="38">
                  <c:v>0.19193666666666701</c:v>
                </c:pt>
                <c:pt idx="39">
                  <c:v>0.645262</c:v>
                </c:pt>
                <c:pt idx="40">
                  <c:v>0.328482</c:v>
                </c:pt>
                <c:pt idx="41">
                  <c:v>0.43749666666666698</c:v>
                </c:pt>
                <c:pt idx="42">
                  <c:v>0.73761399999999999</c:v>
                </c:pt>
                <c:pt idx="43">
                  <c:v>0.72415733333333399</c:v>
                </c:pt>
                <c:pt idx="44">
                  <c:v>0.65378499999999995</c:v>
                </c:pt>
                <c:pt idx="45">
                  <c:v>0.82501133333333299</c:v>
                </c:pt>
                <c:pt idx="46">
                  <c:v>0.82639966666666598</c:v>
                </c:pt>
                <c:pt idx="47">
                  <c:v>0.64713100000000001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671-4CBF-A21D-2207AE37D7C7}"/>
            </c:ext>
          </c:extLst>
        </c:ser>
        <c:ser>
          <c:idx val="18"/>
          <c:order val="18"/>
          <c:tx>
            <c:v>BES_TR1_one552_B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Demand_kW!$U$2:$U$49</c:f>
              <c:numCache>
                <c:formatCode>#,##0.000</c:formatCode>
                <c:ptCount val="48"/>
                <c:pt idx="0">
                  <c:v>0.107072</c:v>
                </c:pt>
                <c:pt idx="1">
                  <c:v>4.7E-2</c:v>
                </c:pt>
                <c:pt idx="2">
                  <c:v>0.159635</c:v>
                </c:pt>
                <c:pt idx="3">
                  <c:v>9.9563000000000096E-2</c:v>
                </c:pt>
                <c:pt idx="4">
                  <c:v>5.1489666666666697E-2</c:v>
                </c:pt>
                <c:pt idx="5">
                  <c:v>0.19380393333333301</c:v>
                </c:pt>
                <c:pt idx="6">
                  <c:v>0.159635</c:v>
                </c:pt>
                <c:pt idx="7">
                  <c:v>4.7E-2</c:v>
                </c:pt>
                <c:pt idx="8">
                  <c:v>0.212198</c:v>
                </c:pt>
                <c:pt idx="9">
                  <c:v>4.7E-2</c:v>
                </c:pt>
                <c:pt idx="10">
                  <c:v>9.2053999999999997E-2</c:v>
                </c:pt>
                <c:pt idx="11">
                  <c:v>0.16714399999999999</c:v>
                </c:pt>
                <c:pt idx="12">
                  <c:v>4.7E-2</c:v>
                </c:pt>
                <c:pt idx="13">
                  <c:v>0.212198</c:v>
                </c:pt>
                <c:pt idx="14">
                  <c:v>4.7E-2</c:v>
                </c:pt>
                <c:pt idx="15">
                  <c:v>0.159635</c:v>
                </c:pt>
                <c:pt idx="16">
                  <c:v>9.9563000000000096E-2</c:v>
                </c:pt>
                <c:pt idx="17">
                  <c:v>7.7035999999999993E-2</c:v>
                </c:pt>
                <c:pt idx="18">
                  <c:v>0.18216199999999999</c:v>
                </c:pt>
                <c:pt idx="19">
                  <c:v>4.7E-2</c:v>
                </c:pt>
                <c:pt idx="20">
                  <c:v>0.159635</c:v>
                </c:pt>
                <c:pt idx="21">
                  <c:v>9.9563000000000096E-2</c:v>
                </c:pt>
                <c:pt idx="22">
                  <c:v>0.107072</c:v>
                </c:pt>
                <c:pt idx="23">
                  <c:v>0.15212600000000001</c:v>
                </c:pt>
                <c:pt idx="24">
                  <c:v>4.7E-2</c:v>
                </c:pt>
                <c:pt idx="25">
                  <c:v>0.12959899999999999</c:v>
                </c:pt>
                <c:pt idx="26">
                  <c:v>0.12959899999999999</c:v>
                </c:pt>
                <c:pt idx="27">
                  <c:v>4.7E-2</c:v>
                </c:pt>
                <c:pt idx="28">
                  <c:v>7.7035999999999993E-2</c:v>
                </c:pt>
                <c:pt idx="29">
                  <c:v>0.18216199999999999</c:v>
                </c:pt>
                <c:pt idx="30">
                  <c:v>4.7E-2</c:v>
                </c:pt>
                <c:pt idx="31">
                  <c:v>0.19717999999999999</c:v>
                </c:pt>
                <c:pt idx="32">
                  <c:v>6.2017999999999997E-2</c:v>
                </c:pt>
                <c:pt idx="33">
                  <c:v>4.7E-2</c:v>
                </c:pt>
                <c:pt idx="34">
                  <c:v>8.4544999999999995E-2</c:v>
                </c:pt>
                <c:pt idx="35">
                  <c:v>0.174653</c:v>
                </c:pt>
                <c:pt idx="36">
                  <c:v>4.7E-2</c:v>
                </c:pt>
                <c:pt idx="37">
                  <c:v>4.7E-2</c:v>
                </c:pt>
                <c:pt idx="38">
                  <c:v>4.7E-2</c:v>
                </c:pt>
                <c:pt idx="39">
                  <c:v>0.212198</c:v>
                </c:pt>
                <c:pt idx="40">
                  <c:v>4.7E-2</c:v>
                </c:pt>
                <c:pt idx="41">
                  <c:v>7.1295999999999998E-2</c:v>
                </c:pt>
                <c:pt idx="42">
                  <c:v>0.21263016666666701</c:v>
                </c:pt>
                <c:pt idx="43">
                  <c:v>0.47774566666666701</c:v>
                </c:pt>
                <c:pt idx="44">
                  <c:v>0.32639566666666697</c:v>
                </c:pt>
                <c:pt idx="45">
                  <c:v>0.26624566666666699</c:v>
                </c:pt>
                <c:pt idx="46">
                  <c:v>0.36226666666666701</c:v>
                </c:pt>
                <c:pt idx="47">
                  <c:v>0.55700966666666696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671-4CBF-A21D-2207AE37D7C7}"/>
            </c:ext>
          </c:extLst>
        </c:ser>
        <c:ser>
          <c:idx val="19"/>
          <c:order val="19"/>
          <c:tx>
            <c:v>BES_TR1_one559_C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Demand_kW!$V$2:$V$49</c:f>
              <c:numCache>
                <c:formatCode>#,##0.000</c:formatCode>
                <c:ptCount val="48"/>
                <c:pt idx="0">
                  <c:v>0.219875666666667</c:v>
                </c:pt>
                <c:pt idx="1">
                  <c:v>0.103974333333333</c:v>
                </c:pt>
                <c:pt idx="2">
                  <c:v>0.28936133333333303</c:v>
                </c:pt>
                <c:pt idx="3">
                  <c:v>7.3988333333333295E-2</c:v>
                </c:pt>
                <c:pt idx="4">
                  <c:v>0.13167499999999999</c:v>
                </c:pt>
                <c:pt idx="5">
                  <c:v>0.22270100000000001</c:v>
                </c:pt>
                <c:pt idx="6">
                  <c:v>0.107955</c:v>
                </c:pt>
                <c:pt idx="7">
                  <c:v>0.28117466666666702</c:v>
                </c:pt>
                <c:pt idx="8">
                  <c:v>0.16600533333333301</c:v>
                </c:pt>
                <c:pt idx="9">
                  <c:v>0.10312</c:v>
                </c:pt>
                <c:pt idx="10">
                  <c:v>0.33519333333333301</c:v>
                </c:pt>
                <c:pt idx="11">
                  <c:v>4.9000000000000002E-2</c:v>
                </c:pt>
                <c:pt idx="12">
                  <c:v>0.23698766666666701</c:v>
                </c:pt>
                <c:pt idx="13">
                  <c:v>0.201325</c:v>
                </c:pt>
                <c:pt idx="14">
                  <c:v>4.9000000000000002E-2</c:v>
                </c:pt>
                <c:pt idx="15">
                  <c:v>0.21834266666666699</c:v>
                </c:pt>
                <c:pt idx="16">
                  <c:v>0.22297066666666701</c:v>
                </c:pt>
                <c:pt idx="17">
                  <c:v>0.84544666666666701</c:v>
                </c:pt>
                <c:pt idx="18">
                  <c:v>1.3557999999999999</c:v>
                </c:pt>
                <c:pt idx="19">
                  <c:v>1.4402159999999999</c:v>
                </c:pt>
                <c:pt idx="20">
                  <c:v>1.4810490333333299</c:v>
                </c:pt>
                <c:pt idx="21">
                  <c:v>0.24699333333333301</c:v>
                </c:pt>
                <c:pt idx="22">
                  <c:v>7.6700666666666695E-2</c:v>
                </c:pt>
                <c:pt idx="23">
                  <c:v>0.17992333333333299</c:v>
                </c:pt>
                <c:pt idx="24">
                  <c:v>0.18778</c:v>
                </c:pt>
                <c:pt idx="25">
                  <c:v>0.188256333333333</c:v>
                </c:pt>
                <c:pt idx="26">
                  <c:v>0.20380266666666699</c:v>
                </c:pt>
                <c:pt idx="27">
                  <c:v>0.20954866666666699</c:v>
                </c:pt>
                <c:pt idx="28">
                  <c:v>0.72747700000000004</c:v>
                </c:pt>
                <c:pt idx="29">
                  <c:v>0.60031133333333297</c:v>
                </c:pt>
                <c:pt idx="30">
                  <c:v>0.30492866666666701</c:v>
                </c:pt>
                <c:pt idx="31">
                  <c:v>0.52775633333333305</c:v>
                </c:pt>
                <c:pt idx="32">
                  <c:v>0.75451299999999999</c:v>
                </c:pt>
                <c:pt idx="33">
                  <c:v>1.3441066666666699</c:v>
                </c:pt>
                <c:pt idx="34">
                  <c:v>0.77789399999999898</c:v>
                </c:pt>
                <c:pt idx="35">
                  <c:v>0.42295266666666698</c:v>
                </c:pt>
                <c:pt idx="36">
                  <c:v>0.51857266666666701</c:v>
                </c:pt>
                <c:pt idx="37">
                  <c:v>0.79017400000000004</c:v>
                </c:pt>
                <c:pt idx="38">
                  <c:v>7.3988333333333295E-2</c:v>
                </c:pt>
                <c:pt idx="39">
                  <c:v>0.35161633333333397</c:v>
                </c:pt>
                <c:pt idx="40">
                  <c:v>0.34542600000000001</c:v>
                </c:pt>
                <c:pt idx="41">
                  <c:v>0.99349100000000001</c:v>
                </c:pt>
                <c:pt idx="42">
                  <c:v>0.28122366666666698</c:v>
                </c:pt>
                <c:pt idx="43">
                  <c:v>5.6860666666666698E-2</c:v>
                </c:pt>
                <c:pt idx="44">
                  <c:v>0.93368933333333304</c:v>
                </c:pt>
                <c:pt idx="45">
                  <c:v>0.13666666666666699</c:v>
                </c:pt>
                <c:pt idx="46">
                  <c:v>0.151134666666667</c:v>
                </c:pt>
                <c:pt idx="47">
                  <c:v>0.186949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671-4CBF-A21D-2207AE37D7C7}"/>
            </c:ext>
          </c:extLst>
        </c:ser>
        <c:ser>
          <c:idx val="20"/>
          <c:order val="20"/>
          <c:tx>
            <c:v>BES_TR1_one560_C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Demand_kW!$W$2:$W$49</c:f>
              <c:numCache>
                <c:formatCode>#,##0.000</c:formatCode>
                <c:ptCount val="48"/>
                <c:pt idx="0">
                  <c:v>0.100198333333333</c:v>
                </c:pt>
                <c:pt idx="1">
                  <c:v>0.331031666666667</c:v>
                </c:pt>
                <c:pt idx="2">
                  <c:v>5.7654666666666701E-2</c:v>
                </c:pt>
                <c:pt idx="3">
                  <c:v>0.226074</c:v>
                </c:pt>
                <c:pt idx="4">
                  <c:v>0.15500700000000001</c:v>
                </c:pt>
                <c:pt idx="5">
                  <c:v>0.17366166666666699</c:v>
                </c:pt>
                <c:pt idx="6">
                  <c:v>0.20930133333333301</c:v>
                </c:pt>
                <c:pt idx="7">
                  <c:v>0.247892</c:v>
                </c:pt>
                <c:pt idx="8">
                  <c:v>0.18327399999999999</c:v>
                </c:pt>
                <c:pt idx="9">
                  <c:v>0.19826766666666701</c:v>
                </c:pt>
                <c:pt idx="10">
                  <c:v>0.160787333333333</c:v>
                </c:pt>
                <c:pt idx="11">
                  <c:v>0.124144333333333</c:v>
                </c:pt>
                <c:pt idx="12">
                  <c:v>0.22334999999999999</c:v>
                </c:pt>
                <c:pt idx="13">
                  <c:v>0.126892</c:v>
                </c:pt>
                <c:pt idx="14">
                  <c:v>0.14726566666666699</c:v>
                </c:pt>
                <c:pt idx="15">
                  <c:v>0.318577</c:v>
                </c:pt>
                <c:pt idx="16">
                  <c:v>4.9000000000000002E-2</c:v>
                </c:pt>
                <c:pt idx="17">
                  <c:v>0.40754299999999999</c:v>
                </c:pt>
                <c:pt idx="18">
                  <c:v>0.37485566666666698</c:v>
                </c:pt>
                <c:pt idx="19">
                  <c:v>0.951327700000001</c:v>
                </c:pt>
                <c:pt idx="20">
                  <c:v>0.2480087</c:v>
                </c:pt>
                <c:pt idx="21">
                  <c:v>0.64816200000000002</c:v>
                </c:pt>
                <c:pt idx="22">
                  <c:v>1.4120333333333299</c:v>
                </c:pt>
                <c:pt idx="23">
                  <c:v>2.5110394</c:v>
                </c:pt>
                <c:pt idx="24">
                  <c:v>0.45829700000000001</c:v>
                </c:pt>
                <c:pt idx="25">
                  <c:v>0.15307733333333301</c:v>
                </c:pt>
                <c:pt idx="26">
                  <c:v>0.126892</c:v>
                </c:pt>
                <c:pt idx="27">
                  <c:v>0.210105666666667</c:v>
                </c:pt>
                <c:pt idx="28">
                  <c:v>0.30702966666666698</c:v>
                </c:pt>
                <c:pt idx="29">
                  <c:v>1.4658825</c:v>
                </c:pt>
                <c:pt idx="30">
                  <c:v>0.26286599999999999</c:v>
                </c:pt>
                <c:pt idx="31">
                  <c:v>0.230650666666667</c:v>
                </c:pt>
                <c:pt idx="32">
                  <c:v>0.92400966666666595</c:v>
                </c:pt>
                <c:pt idx="33">
                  <c:v>0.47993533333333399</c:v>
                </c:pt>
                <c:pt idx="34">
                  <c:v>0.34985566666666701</c:v>
                </c:pt>
                <c:pt idx="35">
                  <c:v>0.242921</c:v>
                </c:pt>
                <c:pt idx="36">
                  <c:v>0.191992</c:v>
                </c:pt>
                <c:pt idx="37">
                  <c:v>0.24215366666666699</c:v>
                </c:pt>
                <c:pt idx="38">
                  <c:v>0.12542500000000001</c:v>
                </c:pt>
                <c:pt idx="39">
                  <c:v>0.44488366666666701</c:v>
                </c:pt>
                <c:pt idx="40">
                  <c:v>0.61232533333333306</c:v>
                </c:pt>
                <c:pt idx="41">
                  <c:v>0.50519199999999997</c:v>
                </c:pt>
                <c:pt idx="42">
                  <c:v>0.21671199999999999</c:v>
                </c:pt>
                <c:pt idx="43">
                  <c:v>0.36059333333333299</c:v>
                </c:pt>
                <c:pt idx="44">
                  <c:v>5.7654666666666701E-2</c:v>
                </c:pt>
                <c:pt idx="45">
                  <c:v>0.30647600000000003</c:v>
                </c:pt>
                <c:pt idx="46">
                  <c:v>0.150717666666667</c:v>
                </c:pt>
                <c:pt idx="47">
                  <c:v>6.1982000000000002E-2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671-4CBF-A21D-2207AE37D7C7}"/>
            </c:ext>
          </c:extLst>
        </c:ser>
        <c:ser>
          <c:idx val="21"/>
          <c:order val="21"/>
          <c:tx>
            <c:v>BES_TR1_one605_A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Demand_kW!$X$2:$X$49</c:f>
              <c:numCache>
                <c:formatCode>#,##0.000</c:formatCode>
                <c:ptCount val="48"/>
                <c:pt idx="0">
                  <c:v>5.0999999999999997E-2</c:v>
                </c:pt>
                <c:pt idx="1">
                  <c:v>0.167753333333333</c:v>
                </c:pt>
                <c:pt idx="2">
                  <c:v>0.10827000000000001</c:v>
                </c:pt>
                <c:pt idx="3">
                  <c:v>5.0999999999999997E-2</c:v>
                </c:pt>
                <c:pt idx="4">
                  <c:v>0.183661666666667</c:v>
                </c:pt>
                <c:pt idx="5">
                  <c:v>9.2361666666666703E-2</c:v>
                </c:pt>
                <c:pt idx="6">
                  <c:v>5.0999999999999997E-2</c:v>
                </c:pt>
                <c:pt idx="7">
                  <c:v>7.9634999999999997E-2</c:v>
                </c:pt>
                <c:pt idx="8">
                  <c:v>0.19055066666666701</c:v>
                </c:pt>
                <c:pt idx="9">
                  <c:v>0.101381</c:v>
                </c:pt>
                <c:pt idx="10">
                  <c:v>6.3726666666666598E-2</c:v>
                </c:pt>
                <c:pt idx="11">
                  <c:v>0.10190666666666701</c:v>
                </c:pt>
                <c:pt idx="12">
                  <c:v>5.7363333333333301E-2</c:v>
                </c:pt>
                <c:pt idx="13">
                  <c:v>7.6453333333333401E-2</c:v>
                </c:pt>
                <c:pt idx="14">
                  <c:v>0.19957</c:v>
                </c:pt>
                <c:pt idx="15">
                  <c:v>8.5773333333333396E-2</c:v>
                </c:pt>
                <c:pt idx="16">
                  <c:v>1.0118483333333299</c:v>
                </c:pt>
                <c:pt idx="17">
                  <c:v>0.100538666666667</c:v>
                </c:pt>
                <c:pt idx="18">
                  <c:v>0.41018199999999999</c:v>
                </c:pt>
                <c:pt idx="19">
                  <c:v>0.25945333333333298</c:v>
                </c:pt>
                <c:pt idx="20">
                  <c:v>0.18484999999999999</c:v>
                </c:pt>
                <c:pt idx="21">
                  <c:v>0.36927500000000002</c:v>
                </c:pt>
                <c:pt idx="22">
                  <c:v>0.24983733333333299</c:v>
                </c:pt>
                <c:pt idx="23">
                  <c:v>0.255427666666667</c:v>
                </c:pt>
                <c:pt idx="24">
                  <c:v>0.15444566666666701</c:v>
                </c:pt>
                <c:pt idx="25">
                  <c:v>6.9564333333333297E-2</c:v>
                </c:pt>
                <c:pt idx="26">
                  <c:v>0.25107566666666697</c:v>
                </c:pt>
                <c:pt idx="27">
                  <c:v>0.21243200000000001</c:v>
                </c:pt>
                <c:pt idx="28">
                  <c:v>0.49006133333333302</c:v>
                </c:pt>
                <c:pt idx="29">
                  <c:v>0.36848799999999998</c:v>
                </c:pt>
                <c:pt idx="30">
                  <c:v>0.23731866666666701</c:v>
                </c:pt>
                <c:pt idx="31">
                  <c:v>0.167753333333333</c:v>
                </c:pt>
                <c:pt idx="32">
                  <c:v>9.2361666666666703E-2</c:v>
                </c:pt>
                <c:pt idx="33">
                  <c:v>0.22638566666666701</c:v>
                </c:pt>
                <c:pt idx="34">
                  <c:v>1.4147416666666699</c:v>
                </c:pt>
                <c:pt idx="35">
                  <c:v>0.82540833333333297</c:v>
                </c:pt>
                <c:pt idx="36">
                  <c:v>1.5977933333333301</c:v>
                </c:pt>
                <c:pt idx="37">
                  <c:v>0.35249449999999999</c:v>
                </c:pt>
                <c:pt idx="38">
                  <c:v>0.1240195</c:v>
                </c:pt>
                <c:pt idx="39">
                  <c:v>0.31597283333333298</c:v>
                </c:pt>
                <c:pt idx="40">
                  <c:v>0.316226333333334</c:v>
                </c:pt>
                <c:pt idx="41">
                  <c:v>0.108333333333333</c:v>
                </c:pt>
                <c:pt idx="42">
                  <c:v>0.109874666666667</c:v>
                </c:pt>
                <c:pt idx="43">
                  <c:v>0.166148666666667</c:v>
                </c:pt>
                <c:pt idx="44">
                  <c:v>5.0999999999999997E-2</c:v>
                </c:pt>
                <c:pt idx="45">
                  <c:v>0.10827000000000001</c:v>
                </c:pt>
                <c:pt idx="46">
                  <c:v>0.109376666666667</c:v>
                </c:pt>
                <c:pt idx="47">
                  <c:v>0.166646666666667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671-4CBF-A21D-2207AE37D7C7}"/>
            </c:ext>
          </c:extLst>
        </c:ser>
        <c:ser>
          <c:idx val="22"/>
          <c:order val="22"/>
          <c:tx>
            <c:v>BES_TR1_one617_A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Demand_kW!$Y$2:$Y$49</c:f>
              <c:numCache>
                <c:formatCode>#,##0.000</c:formatCode>
                <c:ptCount val="4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0.174543333333333</c:v>
                </c:pt>
                <c:pt idx="18">
                  <c:v>8.4261466666666701E-2</c:v>
                </c:pt>
                <c:pt idx="19">
                  <c:v>9.1689466666666705E-2</c:v>
                </c:pt>
                <c:pt idx="20">
                  <c:v>7.9099533333333305E-2</c:v>
                </c:pt>
                <c:pt idx="21">
                  <c:v>0.1005707</c:v>
                </c:pt>
                <c:pt idx="22">
                  <c:v>8.6405733333333401E-2</c:v>
                </c:pt>
                <c:pt idx="23">
                  <c:v>0.14733723333333301</c:v>
                </c:pt>
                <c:pt idx="24">
                  <c:v>0.178586666666667</c:v>
                </c:pt>
                <c:pt idx="25">
                  <c:v>7.8186400000000003E-2</c:v>
                </c:pt>
                <c:pt idx="26">
                  <c:v>1.1199085333333301</c:v>
                </c:pt>
                <c:pt idx="27">
                  <c:v>0.28838999999999998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0.14554900000000001</c:v>
                </c:pt>
                <c:pt idx="41">
                  <c:v>0.48319633333333301</c:v>
                </c:pt>
                <c:pt idx="42">
                  <c:v>0.50628166666666696</c:v>
                </c:pt>
                <c:pt idx="43">
                  <c:v>0.61406333333333296</c:v>
                </c:pt>
                <c:pt idx="44">
                  <c:v>0.12385</c:v>
                </c:pt>
                <c:pt idx="45">
                  <c:v>0.702131333333333</c:v>
                </c:pt>
                <c:pt idx="46">
                  <c:v>0.41410133333333299</c:v>
                </c:pt>
                <c:pt idx="47">
                  <c:v>0.340826666666667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671-4CBF-A21D-2207AE37D7C7}"/>
            </c:ext>
          </c:extLst>
        </c:ser>
        <c:ser>
          <c:idx val="23"/>
          <c:order val="23"/>
          <c:tx>
            <c:v>BES_TR1_one73_A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Demand_kW!$Z$2:$Z$49</c:f>
              <c:numCache>
                <c:formatCode>#,##0.000</c:formatCode>
                <c:ptCount val="48"/>
                <c:pt idx="0">
                  <c:v>2.4385166666666702</c:v>
                </c:pt>
                <c:pt idx="1">
                  <c:v>5.5E-2</c:v>
                </c:pt>
                <c:pt idx="2">
                  <c:v>5.5E-2</c:v>
                </c:pt>
                <c:pt idx="3">
                  <c:v>5.5E-2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5.5E-2</c:v>
                </c:pt>
                <c:pt idx="8">
                  <c:v>5.5E-2</c:v>
                </c:pt>
                <c:pt idx="9">
                  <c:v>5.5E-2</c:v>
                </c:pt>
                <c:pt idx="10">
                  <c:v>5.5E-2</c:v>
                </c:pt>
                <c:pt idx="11">
                  <c:v>9.7111000000000003E-2</c:v>
                </c:pt>
                <c:pt idx="12">
                  <c:v>0.19536999999999999</c:v>
                </c:pt>
                <c:pt idx="13">
                  <c:v>0.10378999999999999</c:v>
                </c:pt>
                <c:pt idx="14">
                  <c:v>5.5E-2</c:v>
                </c:pt>
                <c:pt idx="15">
                  <c:v>5.5E-2</c:v>
                </c:pt>
                <c:pt idx="16">
                  <c:v>0.39145833333333302</c:v>
                </c:pt>
                <c:pt idx="17">
                  <c:v>0.21398</c:v>
                </c:pt>
                <c:pt idx="18">
                  <c:v>0.390616666666667</c:v>
                </c:pt>
                <c:pt idx="19">
                  <c:v>0.75174666666666701</c:v>
                </c:pt>
                <c:pt idx="20">
                  <c:v>0.49454166666666699</c:v>
                </c:pt>
                <c:pt idx="21">
                  <c:v>2.1864653333333299</c:v>
                </c:pt>
                <c:pt idx="22">
                  <c:v>2.64903333333333</c:v>
                </c:pt>
                <c:pt idx="23">
                  <c:v>0.72302666666666604</c:v>
                </c:pt>
                <c:pt idx="24">
                  <c:v>5.5E-2</c:v>
                </c:pt>
                <c:pt idx="25">
                  <c:v>5.5E-2</c:v>
                </c:pt>
                <c:pt idx="26">
                  <c:v>5.5E-2</c:v>
                </c:pt>
                <c:pt idx="27">
                  <c:v>5.5E-2</c:v>
                </c:pt>
                <c:pt idx="28">
                  <c:v>5.5E-2</c:v>
                </c:pt>
                <c:pt idx="29">
                  <c:v>5.5E-2</c:v>
                </c:pt>
                <c:pt idx="30">
                  <c:v>5.5E-2</c:v>
                </c:pt>
                <c:pt idx="31">
                  <c:v>5.5E-2</c:v>
                </c:pt>
                <c:pt idx="32">
                  <c:v>5.5E-2</c:v>
                </c:pt>
                <c:pt idx="33">
                  <c:v>5.5E-2</c:v>
                </c:pt>
                <c:pt idx="34">
                  <c:v>5.5E-2</c:v>
                </c:pt>
                <c:pt idx="35">
                  <c:v>5.5E-2</c:v>
                </c:pt>
                <c:pt idx="36">
                  <c:v>5.5E-2</c:v>
                </c:pt>
                <c:pt idx="37">
                  <c:v>5.5E-2</c:v>
                </c:pt>
                <c:pt idx="38">
                  <c:v>5.5E-2</c:v>
                </c:pt>
                <c:pt idx="39">
                  <c:v>5.5E-2</c:v>
                </c:pt>
                <c:pt idx="40">
                  <c:v>5.5E-2</c:v>
                </c:pt>
                <c:pt idx="41">
                  <c:v>5.5E-2</c:v>
                </c:pt>
                <c:pt idx="42">
                  <c:v>5.5E-2</c:v>
                </c:pt>
                <c:pt idx="43">
                  <c:v>0.30559999999999998</c:v>
                </c:pt>
                <c:pt idx="44">
                  <c:v>0.36399999999999999</c:v>
                </c:pt>
                <c:pt idx="45">
                  <c:v>0.25949133333333302</c:v>
                </c:pt>
                <c:pt idx="46">
                  <c:v>5.5E-2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671-4CBF-A21D-2207AE37D7C7}"/>
            </c:ext>
          </c:extLst>
        </c:ser>
        <c:ser>
          <c:idx val="24"/>
          <c:order val="24"/>
          <c:tx>
            <c:v>BES_TR1_one76_A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Demand_kW!$AA$2:$AA$49</c:f>
              <c:numCache>
                <c:formatCode>#,##0.000</c:formatCode>
                <c:ptCount val="48"/>
                <c:pt idx="0">
                  <c:v>9.5141333333333397E-2</c:v>
                </c:pt>
                <c:pt idx="1">
                  <c:v>0.104426666666667</c:v>
                </c:pt>
                <c:pt idx="2">
                  <c:v>5.8000000000000003E-2</c:v>
                </c:pt>
                <c:pt idx="3">
                  <c:v>0.13228266666666699</c:v>
                </c:pt>
                <c:pt idx="4">
                  <c:v>6.7285333333333405E-2</c:v>
                </c:pt>
                <c:pt idx="5">
                  <c:v>9.9784000000000095E-2</c:v>
                </c:pt>
                <c:pt idx="6">
                  <c:v>9.9783999999999901E-2</c:v>
                </c:pt>
                <c:pt idx="7">
                  <c:v>5.8000000000000003E-2</c:v>
                </c:pt>
                <c:pt idx="8">
                  <c:v>0.141568</c:v>
                </c:pt>
                <c:pt idx="9">
                  <c:v>5.8000000000000003E-2</c:v>
                </c:pt>
                <c:pt idx="10">
                  <c:v>5.8000000000000003E-2</c:v>
                </c:pt>
                <c:pt idx="11">
                  <c:v>5.8000000000000003E-2</c:v>
                </c:pt>
                <c:pt idx="12">
                  <c:v>0.141568</c:v>
                </c:pt>
                <c:pt idx="13">
                  <c:v>5.8000000000000003E-2</c:v>
                </c:pt>
                <c:pt idx="14">
                  <c:v>5.8000000000000003E-2</c:v>
                </c:pt>
                <c:pt idx="15">
                  <c:v>0.197382</c:v>
                </c:pt>
                <c:pt idx="16">
                  <c:v>0.260012666666667</c:v>
                </c:pt>
                <c:pt idx="17">
                  <c:v>0.141568</c:v>
                </c:pt>
                <c:pt idx="18">
                  <c:v>5.8000000000000003E-2</c:v>
                </c:pt>
                <c:pt idx="19">
                  <c:v>5.8000000000000003E-2</c:v>
                </c:pt>
                <c:pt idx="20">
                  <c:v>0.20788999999999999</c:v>
                </c:pt>
                <c:pt idx="21">
                  <c:v>0.19164466666666699</c:v>
                </c:pt>
                <c:pt idx="22">
                  <c:v>5.8000000000000003E-2</c:v>
                </c:pt>
                <c:pt idx="23">
                  <c:v>5.8000000000000003E-2</c:v>
                </c:pt>
                <c:pt idx="24">
                  <c:v>5.8000000000000003E-2</c:v>
                </c:pt>
                <c:pt idx="25">
                  <c:v>0.29893799999999998</c:v>
                </c:pt>
                <c:pt idx="26">
                  <c:v>0.21537000000000001</c:v>
                </c:pt>
                <c:pt idx="27">
                  <c:v>0.31091033333333301</c:v>
                </c:pt>
                <c:pt idx="28">
                  <c:v>0.25455699999999998</c:v>
                </c:pt>
                <c:pt idx="29">
                  <c:v>0.13385420000000001</c:v>
                </c:pt>
                <c:pt idx="30">
                  <c:v>0.122919</c:v>
                </c:pt>
                <c:pt idx="31">
                  <c:v>0.20141800000000001</c:v>
                </c:pt>
                <c:pt idx="32">
                  <c:v>8.7877999999999901E-2</c:v>
                </c:pt>
                <c:pt idx="33">
                  <c:v>1.82240483333333</c:v>
                </c:pt>
                <c:pt idx="34">
                  <c:v>0.43178440000000001</c:v>
                </c:pt>
                <c:pt idx="35">
                  <c:v>5.8000000000000003E-2</c:v>
                </c:pt>
                <c:pt idx="36">
                  <c:v>0.141568</c:v>
                </c:pt>
                <c:pt idx="37">
                  <c:v>5.8000000000000003E-2</c:v>
                </c:pt>
                <c:pt idx="38">
                  <c:v>8.5856000000000099E-2</c:v>
                </c:pt>
                <c:pt idx="39">
                  <c:v>0.11447526666666701</c:v>
                </c:pt>
                <c:pt idx="40">
                  <c:v>0.18933333333333299</c:v>
                </c:pt>
                <c:pt idx="41">
                  <c:v>1.7806393333333299</c:v>
                </c:pt>
                <c:pt idx="42">
                  <c:v>1.4757656666666701</c:v>
                </c:pt>
                <c:pt idx="43">
                  <c:v>1.019042</c:v>
                </c:pt>
                <c:pt idx="44">
                  <c:v>0.50963666666666696</c:v>
                </c:pt>
                <c:pt idx="45">
                  <c:v>0.31935400000000003</c:v>
                </c:pt>
                <c:pt idx="46">
                  <c:v>0.141568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671-4CBF-A21D-2207AE37D7C7}"/>
            </c:ext>
          </c:extLst>
        </c:ser>
        <c:ser>
          <c:idx val="25"/>
          <c:order val="25"/>
          <c:tx>
            <c:v>BES_TR1_six64_A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Demand_kW!$AB$2:$AB$49</c:f>
              <c:numCache>
                <c:formatCode>#,##0.000</c:formatCode>
                <c:ptCount val="48"/>
                <c:pt idx="0">
                  <c:v>0.52231033333333299</c:v>
                </c:pt>
                <c:pt idx="1">
                  <c:v>9.6575666666666699E-2</c:v>
                </c:pt>
                <c:pt idx="2">
                  <c:v>0.13049766666666701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6.8307333333333303E-2</c:v>
                </c:pt>
                <c:pt idx="6">
                  <c:v>0.15876599999999999</c:v>
                </c:pt>
                <c:pt idx="7">
                  <c:v>5.7000000000000002E-2</c:v>
                </c:pt>
                <c:pt idx="8">
                  <c:v>0.17007333333333299</c:v>
                </c:pt>
                <c:pt idx="9">
                  <c:v>5.7000000000000002E-2</c:v>
                </c:pt>
                <c:pt idx="10">
                  <c:v>0.13049766666666701</c:v>
                </c:pt>
                <c:pt idx="11">
                  <c:v>9.6575666666666601E-2</c:v>
                </c:pt>
                <c:pt idx="12">
                  <c:v>5.7000000000000002E-2</c:v>
                </c:pt>
                <c:pt idx="13">
                  <c:v>5.7000000000000002E-2</c:v>
                </c:pt>
                <c:pt idx="14">
                  <c:v>7.9614666666666695E-2</c:v>
                </c:pt>
                <c:pt idx="15">
                  <c:v>0.14745866666666699</c:v>
                </c:pt>
                <c:pt idx="16">
                  <c:v>0.30552000000000001</c:v>
                </c:pt>
                <c:pt idx="17">
                  <c:v>1.1963600000000001</c:v>
                </c:pt>
                <c:pt idx="18">
                  <c:v>0.61768566666666702</c:v>
                </c:pt>
                <c:pt idx="19">
                  <c:v>0.362190333333333</c:v>
                </c:pt>
                <c:pt idx="20">
                  <c:v>0.31462166666666702</c:v>
                </c:pt>
                <c:pt idx="21">
                  <c:v>0.98110433333333302</c:v>
                </c:pt>
                <c:pt idx="22">
                  <c:v>0.92543399999999998</c:v>
                </c:pt>
                <c:pt idx="23">
                  <c:v>0.55851633333333395</c:v>
                </c:pt>
                <c:pt idx="24">
                  <c:v>0.93417966666666696</c:v>
                </c:pt>
                <c:pt idx="25">
                  <c:v>1.5168759999999999</c:v>
                </c:pt>
                <c:pt idx="26">
                  <c:v>0.214636666666667</c:v>
                </c:pt>
                <c:pt idx="27">
                  <c:v>0.495068333333333</c:v>
                </c:pt>
                <c:pt idx="28">
                  <c:v>0.25957266666666701</c:v>
                </c:pt>
                <c:pt idx="29">
                  <c:v>0.13615133333333301</c:v>
                </c:pt>
                <c:pt idx="30">
                  <c:v>9.0922000000000003E-2</c:v>
                </c:pt>
                <c:pt idx="31">
                  <c:v>5.7000000000000002E-2</c:v>
                </c:pt>
                <c:pt idx="32">
                  <c:v>0.17007333333333299</c:v>
                </c:pt>
                <c:pt idx="33">
                  <c:v>5.7000000000000002E-2</c:v>
                </c:pt>
                <c:pt idx="34">
                  <c:v>5.7000000000000002E-2</c:v>
                </c:pt>
                <c:pt idx="35">
                  <c:v>5.7000000000000002E-2</c:v>
                </c:pt>
                <c:pt idx="36">
                  <c:v>0.38925200000000099</c:v>
                </c:pt>
                <c:pt idx="37">
                  <c:v>6.2653666666666705E-2</c:v>
                </c:pt>
                <c:pt idx="38">
                  <c:v>0.100677166666667</c:v>
                </c:pt>
                <c:pt idx="39">
                  <c:v>0.52770399999999995</c:v>
                </c:pt>
                <c:pt idx="40">
                  <c:v>0.828409333333333</c:v>
                </c:pt>
                <c:pt idx="41">
                  <c:v>0.73523766666666701</c:v>
                </c:pt>
                <c:pt idx="42">
                  <c:v>0.54554566666666704</c:v>
                </c:pt>
                <c:pt idx="43">
                  <c:v>0.55349333333333295</c:v>
                </c:pt>
                <c:pt idx="44">
                  <c:v>0.96899733333333304</c:v>
                </c:pt>
                <c:pt idx="45">
                  <c:v>0.69034333333333298</c:v>
                </c:pt>
                <c:pt idx="46">
                  <c:v>1.17889</c:v>
                </c:pt>
                <c:pt idx="47">
                  <c:v>0.70403333333333296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671-4CBF-A21D-2207AE37D7C7}"/>
            </c:ext>
          </c:extLst>
        </c:ser>
        <c:ser>
          <c:idx val="26"/>
          <c:order val="26"/>
          <c:tx>
            <c:v>BES_TR1_six154_C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Demand_kW!$AC$2:$AC$49</c:f>
              <c:numCache>
                <c:formatCode>#,##0.000</c:formatCode>
                <c:ptCount val="48"/>
                <c:pt idx="0">
                  <c:v>0.133061333333333</c:v>
                </c:pt>
                <c:pt idx="1">
                  <c:v>0.05</c:v>
                </c:pt>
                <c:pt idx="2">
                  <c:v>8.6339333333333407E-2</c:v>
                </c:pt>
                <c:pt idx="3">
                  <c:v>0.117487333333333</c:v>
                </c:pt>
                <c:pt idx="4">
                  <c:v>0.05</c:v>
                </c:pt>
                <c:pt idx="5">
                  <c:v>0.153826666666667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6.5573999999999993E-2</c:v>
                </c:pt>
                <c:pt idx="11">
                  <c:v>0.138252666666667</c:v>
                </c:pt>
                <c:pt idx="12">
                  <c:v>0.05</c:v>
                </c:pt>
                <c:pt idx="13">
                  <c:v>0.05</c:v>
                </c:pt>
                <c:pt idx="14">
                  <c:v>9.5939999999999998E-2</c:v>
                </c:pt>
                <c:pt idx="15">
                  <c:v>0.16783666666666699</c:v>
                </c:pt>
                <c:pt idx="16">
                  <c:v>5.39966666666667E-2</c:v>
                </c:pt>
                <c:pt idx="17">
                  <c:v>0.35100999999999999</c:v>
                </c:pt>
                <c:pt idx="18">
                  <c:v>1.25169666666667</c:v>
                </c:pt>
                <c:pt idx="19">
                  <c:v>0.29313866666666699</c:v>
                </c:pt>
                <c:pt idx="20">
                  <c:v>0.251608</c:v>
                </c:pt>
                <c:pt idx="21">
                  <c:v>0.30528066666666698</c:v>
                </c:pt>
                <c:pt idx="22">
                  <c:v>0.25946599999999997</c:v>
                </c:pt>
                <c:pt idx="23">
                  <c:v>1.0785439999999999</c:v>
                </c:pt>
                <c:pt idx="24">
                  <c:v>0.31390400000000002</c:v>
                </c:pt>
                <c:pt idx="25">
                  <c:v>0.230842666666667</c:v>
                </c:pt>
                <c:pt idx="26">
                  <c:v>0.40224066666666702</c:v>
                </c:pt>
                <c:pt idx="27">
                  <c:v>0.31274933333333299</c:v>
                </c:pt>
                <c:pt idx="28">
                  <c:v>7.1570666666666602E-2</c:v>
                </c:pt>
                <c:pt idx="29">
                  <c:v>0.174238</c:v>
                </c:pt>
                <c:pt idx="30">
                  <c:v>0.114665666666667</c:v>
                </c:pt>
                <c:pt idx="31">
                  <c:v>0.18460299999999999</c:v>
                </c:pt>
                <c:pt idx="32">
                  <c:v>0.133191266666667</c:v>
                </c:pt>
                <c:pt idx="33">
                  <c:v>0.28102533333333302</c:v>
                </c:pt>
                <c:pt idx="34">
                  <c:v>0.15856933333333301</c:v>
                </c:pt>
                <c:pt idx="35">
                  <c:v>8.2020399999999993E-2</c:v>
                </c:pt>
                <c:pt idx="36">
                  <c:v>0.12787000000000001</c:v>
                </c:pt>
                <c:pt idx="37">
                  <c:v>6.4932000000000101E-2</c:v>
                </c:pt>
                <c:pt idx="38">
                  <c:v>0.20228073333333299</c:v>
                </c:pt>
                <c:pt idx="39">
                  <c:v>0.19527713333333299</c:v>
                </c:pt>
                <c:pt idx="40">
                  <c:v>0.16663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0.14863533333333301</c:v>
                </c:pt>
                <c:pt idx="45">
                  <c:v>5.5191333333333398E-2</c:v>
                </c:pt>
                <c:pt idx="46">
                  <c:v>6.5573999999999993E-2</c:v>
                </c:pt>
                <c:pt idx="47">
                  <c:v>0.138252666666667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671-4CBF-A21D-2207AE37D7C7}"/>
            </c:ext>
          </c:extLst>
        </c:ser>
        <c:ser>
          <c:idx val="27"/>
          <c:order val="27"/>
          <c:tx>
            <c:v>BES_TR1_six173_C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Demand_kW!$AD$2:$AD$49</c:f>
              <c:numCache>
                <c:formatCode>#,##0.000</c:formatCode>
                <c:ptCount val="48"/>
                <c:pt idx="0">
                  <c:v>0.19664200000000001</c:v>
                </c:pt>
                <c:pt idx="1">
                  <c:v>5.5E-2</c:v>
                </c:pt>
                <c:pt idx="2">
                  <c:v>0.38825500000000002</c:v>
                </c:pt>
                <c:pt idx="3">
                  <c:v>6.9886666666666694E-2</c:v>
                </c:pt>
                <c:pt idx="4">
                  <c:v>0.107294666666667</c:v>
                </c:pt>
                <c:pt idx="5">
                  <c:v>0.23369466666666699</c:v>
                </c:pt>
                <c:pt idx="6">
                  <c:v>9.9823999999999996E-2</c:v>
                </c:pt>
                <c:pt idx="7">
                  <c:v>0.16673199999999999</c:v>
                </c:pt>
                <c:pt idx="8">
                  <c:v>0.18546333333333301</c:v>
                </c:pt>
                <c:pt idx="9">
                  <c:v>6.6206000000000001E-2</c:v>
                </c:pt>
                <c:pt idx="10">
                  <c:v>0.122236</c:v>
                </c:pt>
                <c:pt idx="11">
                  <c:v>0.21875333333333299</c:v>
                </c:pt>
                <c:pt idx="12">
                  <c:v>0.122236</c:v>
                </c:pt>
                <c:pt idx="13">
                  <c:v>0.159206666666667</c:v>
                </c:pt>
                <c:pt idx="14">
                  <c:v>0.17057666666666699</c:v>
                </c:pt>
                <c:pt idx="15">
                  <c:v>6.6206000000000001E-2</c:v>
                </c:pt>
                <c:pt idx="16">
                  <c:v>0.24490066666666699</c:v>
                </c:pt>
                <c:pt idx="17">
                  <c:v>9.6088666666666697E-2</c:v>
                </c:pt>
                <c:pt idx="18">
                  <c:v>8.4773333333333298E-2</c:v>
                </c:pt>
                <c:pt idx="19">
                  <c:v>0.256216</c:v>
                </c:pt>
                <c:pt idx="20">
                  <c:v>5.5E-2</c:v>
                </c:pt>
                <c:pt idx="21">
                  <c:v>0.13687666666666701</c:v>
                </c:pt>
                <c:pt idx="22">
                  <c:v>0.17049466666666699</c:v>
                </c:pt>
                <c:pt idx="23">
                  <c:v>0.118391333333333</c:v>
                </c:pt>
                <c:pt idx="24">
                  <c:v>0.23753933333333299</c:v>
                </c:pt>
                <c:pt idx="25">
                  <c:v>7.3676666666666599E-2</c:v>
                </c:pt>
                <c:pt idx="26">
                  <c:v>6.2443333333333302E-2</c:v>
                </c:pt>
                <c:pt idx="27">
                  <c:v>0.22998666666666701</c:v>
                </c:pt>
                <c:pt idx="28">
                  <c:v>0.103559333333333</c:v>
                </c:pt>
                <c:pt idx="29">
                  <c:v>5.5E-2</c:v>
                </c:pt>
                <c:pt idx="30">
                  <c:v>0.26727000000000001</c:v>
                </c:pt>
                <c:pt idx="31">
                  <c:v>5.5E-2</c:v>
                </c:pt>
                <c:pt idx="32">
                  <c:v>0.118282</c:v>
                </c:pt>
                <c:pt idx="33">
                  <c:v>0.22270733333333301</c:v>
                </c:pt>
                <c:pt idx="34">
                  <c:v>5.5E-2</c:v>
                </c:pt>
                <c:pt idx="35">
                  <c:v>0.29715266666666701</c:v>
                </c:pt>
                <c:pt idx="36">
                  <c:v>0.26827933333333298</c:v>
                </c:pt>
                <c:pt idx="37">
                  <c:v>0.57256533333333304</c:v>
                </c:pt>
                <c:pt idx="38">
                  <c:v>0.44011966666666702</c:v>
                </c:pt>
                <c:pt idx="39">
                  <c:v>0.36990266666666699</c:v>
                </c:pt>
                <c:pt idx="40">
                  <c:v>0.66987666666666701</c:v>
                </c:pt>
                <c:pt idx="41">
                  <c:v>1.3252803333333301</c:v>
                </c:pt>
                <c:pt idx="42">
                  <c:v>3.0703033333333298</c:v>
                </c:pt>
                <c:pt idx="43">
                  <c:v>2.9746106666666701</c:v>
                </c:pt>
                <c:pt idx="44">
                  <c:v>0.39623599999999998</c:v>
                </c:pt>
                <c:pt idx="45">
                  <c:v>0.61279300000000003</c:v>
                </c:pt>
                <c:pt idx="46">
                  <c:v>0.406418</c:v>
                </c:pt>
                <c:pt idx="47">
                  <c:v>0.44712333333333298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671-4CBF-A21D-2207AE37D7C7}"/>
            </c:ext>
          </c:extLst>
        </c:ser>
        <c:ser>
          <c:idx val="28"/>
          <c:order val="28"/>
          <c:tx>
            <c:v>BES_TR1_six186_A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Demand_kW!$AE$2:$AE$49</c:f>
              <c:numCache>
                <c:formatCode>#,##0.000</c:formatCode>
                <c:ptCount val="48"/>
                <c:pt idx="0">
                  <c:v>0.65491333333333301</c:v>
                </c:pt>
                <c:pt idx="1">
                  <c:v>0.69319166666666698</c:v>
                </c:pt>
                <c:pt idx="2">
                  <c:v>0.47944433333333403</c:v>
                </c:pt>
                <c:pt idx="3">
                  <c:v>9.1319999999999998E-2</c:v>
                </c:pt>
                <c:pt idx="4">
                  <c:v>0.160186666666667</c:v>
                </c:pt>
                <c:pt idx="5">
                  <c:v>0.05</c:v>
                </c:pt>
                <c:pt idx="6">
                  <c:v>0.20798433333333299</c:v>
                </c:pt>
                <c:pt idx="7">
                  <c:v>0.17307566666666699</c:v>
                </c:pt>
                <c:pt idx="8">
                  <c:v>0.19461999999999999</c:v>
                </c:pt>
                <c:pt idx="9">
                  <c:v>0.108708</c:v>
                </c:pt>
                <c:pt idx="10">
                  <c:v>0.12773200000000001</c:v>
                </c:pt>
                <c:pt idx="11">
                  <c:v>0.05</c:v>
                </c:pt>
                <c:pt idx="12">
                  <c:v>0.33106000000000002</c:v>
                </c:pt>
                <c:pt idx="13">
                  <c:v>0.05</c:v>
                </c:pt>
                <c:pt idx="14">
                  <c:v>0.27596666666666703</c:v>
                </c:pt>
                <c:pt idx="15">
                  <c:v>0.202271333333333</c:v>
                </c:pt>
                <c:pt idx="16">
                  <c:v>0.31371966666666701</c:v>
                </c:pt>
                <c:pt idx="17">
                  <c:v>0.360037</c:v>
                </c:pt>
                <c:pt idx="18">
                  <c:v>0.319305333333334</c:v>
                </c:pt>
                <c:pt idx="19">
                  <c:v>8.8866000000000001E-2</c:v>
                </c:pt>
                <c:pt idx="20">
                  <c:v>0.49050933333333302</c:v>
                </c:pt>
                <c:pt idx="21">
                  <c:v>0.35394999999999999</c:v>
                </c:pt>
                <c:pt idx="22">
                  <c:v>0.29926666666666701</c:v>
                </c:pt>
                <c:pt idx="23">
                  <c:v>0.40608699999999998</c:v>
                </c:pt>
                <c:pt idx="24">
                  <c:v>0.28978233333333298</c:v>
                </c:pt>
                <c:pt idx="25">
                  <c:v>0.29782586666666699</c:v>
                </c:pt>
                <c:pt idx="26">
                  <c:v>0.158414466666667</c:v>
                </c:pt>
                <c:pt idx="27">
                  <c:v>0.27606413333333402</c:v>
                </c:pt>
                <c:pt idx="28">
                  <c:v>0.15199679999999999</c:v>
                </c:pt>
                <c:pt idx="29">
                  <c:v>1.23946133333333</c:v>
                </c:pt>
                <c:pt idx="30">
                  <c:v>2.8772366666666702</c:v>
                </c:pt>
                <c:pt idx="31">
                  <c:v>2.6168106666666699</c:v>
                </c:pt>
                <c:pt idx="32">
                  <c:v>0.50858466666666702</c:v>
                </c:pt>
                <c:pt idx="33">
                  <c:v>8.3886666666666707E-2</c:v>
                </c:pt>
                <c:pt idx="34">
                  <c:v>0.33912130000000001</c:v>
                </c:pt>
                <c:pt idx="35">
                  <c:v>0.39427800000000002</c:v>
                </c:pt>
                <c:pt idx="36">
                  <c:v>1.56503066666667</c:v>
                </c:pt>
                <c:pt idx="37">
                  <c:v>3.5465833333333299</c:v>
                </c:pt>
                <c:pt idx="38">
                  <c:v>4.5369233333333403</c:v>
                </c:pt>
                <c:pt idx="39">
                  <c:v>1.518786</c:v>
                </c:pt>
                <c:pt idx="40">
                  <c:v>0.61238833333333298</c:v>
                </c:pt>
                <c:pt idx="41">
                  <c:v>0.61244333333333301</c:v>
                </c:pt>
                <c:pt idx="42">
                  <c:v>0.56213633333333302</c:v>
                </c:pt>
                <c:pt idx="43">
                  <c:v>0.79888566666666705</c:v>
                </c:pt>
                <c:pt idx="44">
                  <c:v>0.468121333333334</c:v>
                </c:pt>
                <c:pt idx="45">
                  <c:v>0.76455300000000004</c:v>
                </c:pt>
                <c:pt idx="46">
                  <c:v>0.49905633333333399</c:v>
                </c:pt>
                <c:pt idx="47">
                  <c:v>5.7909200000000001E-2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671-4CBF-A21D-2207AE37D7C7}"/>
            </c:ext>
          </c:extLst>
        </c:ser>
        <c:ser>
          <c:idx val="29"/>
          <c:order val="29"/>
          <c:tx>
            <c:v>BES_TR1_six191_B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Demand_kW!$AF$2:$AF$49</c:f>
              <c:numCache>
                <c:formatCode>#,##0.000</c:formatCode>
                <c:ptCount val="48"/>
                <c:pt idx="0">
                  <c:v>0.245128333333333</c:v>
                </c:pt>
                <c:pt idx="1">
                  <c:v>0.38828299999999999</c:v>
                </c:pt>
                <c:pt idx="2">
                  <c:v>0.26912266666666701</c:v>
                </c:pt>
                <c:pt idx="3">
                  <c:v>5.3999999999999999E-2</c:v>
                </c:pt>
                <c:pt idx="4">
                  <c:v>5.3999999999999999E-2</c:v>
                </c:pt>
                <c:pt idx="5">
                  <c:v>5.3999999999999999E-2</c:v>
                </c:pt>
                <c:pt idx="6">
                  <c:v>5.3999999999999999E-2</c:v>
                </c:pt>
                <c:pt idx="7">
                  <c:v>5.3999999999999999E-2</c:v>
                </c:pt>
                <c:pt idx="8">
                  <c:v>5.3999999999999999E-2</c:v>
                </c:pt>
                <c:pt idx="9">
                  <c:v>5.3999999999999999E-2</c:v>
                </c:pt>
                <c:pt idx="10">
                  <c:v>5.3999999999999999E-2</c:v>
                </c:pt>
                <c:pt idx="11">
                  <c:v>6.9966666666666705E-2</c:v>
                </c:pt>
                <c:pt idx="12">
                  <c:v>0.92044700000000002</c:v>
                </c:pt>
                <c:pt idx="13">
                  <c:v>1.56534356666667</c:v>
                </c:pt>
                <c:pt idx="14">
                  <c:v>6.32123666666667E-2</c:v>
                </c:pt>
                <c:pt idx="15">
                  <c:v>0.24803666666666699</c:v>
                </c:pt>
                <c:pt idx="16">
                  <c:v>0.47120000000000001</c:v>
                </c:pt>
                <c:pt idx="17">
                  <c:v>5.3999999999999999E-2</c:v>
                </c:pt>
                <c:pt idx="18">
                  <c:v>5.3999999999999999E-2</c:v>
                </c:pt>
                <c:pt idx="19">
                  <c:v>5.3999999999999999E-2</c:v>
                </c:pt>
                <c:pt idx="20">
                  <c:v>5.3999999999999999E-2</c:v>
                </c:pt>
                <c:pt idx="21">
                  <c:v>5.3999999999999999E-2</c:v>
                </c:pt>
                <c:pt idx="22">
                  <c:v>5.3999999999999999E-2</c:v>
                </c:pt>
                <c:pt idx="23">
                  <c:v>5.3999999999999999E-2</c:v>
                </c:pt>
                <c:pt idx="24">
                  <c:v>5.3999999999999999E-2</c:v>
                </c:pt>
                <c:pt idx="25">
                  <c:v>2.2341266666666701</c:v>
                </c:pt>
                <c:pt idx="26">
                  <c:v>5.3999999999999999E-2</c:v>
                </c:pt>
                <c:pt idx="27">
                  <c:v>5.3999999999999999E-2</c:v>
                </c:pt>
                <c:pt idx="28">
                  <c:v>5.3999999999999999E-2</c:v>
                </c:pt>
                <c:pt idx="29">
                  <c:v>5.3999999999999999E-2</c:v>
                </c:pt>
                <c:pt idx="30">
                  <c:v>5.3999999999999999E-2</c:v>
                </c:pt>
                <c:pt idx="31">
                  <c:v>5.3999999999999999E-2</c:v>
                </c:pt>
                <c:pt idx="32">
                  <c:v>5.3999999999999999E-2</c:v>
                </c:pt>
                <c:pt idx="33">
                  <c:v>5.3999999999999999E-2</c:v>
                </c:pt>
                <c:pt idx="34">
                  <c:v>5.3999999999999999E-2</c:v>
                </c:pt>
                <c:pt idx="35">
                  <c:v>6.5723533333333306E-2</c:v>
                </c:pt>
                <c:pt idx="36">
                  <c:v>0.14659449999999999</c:v>
                </c:pt>
                <c:pt idx="37">
                  <c:v>0.102956766666667</c:v>
                </c:pt>
                <c:pt idx="38">
                  <c:v>0.108333333333333</c:v>
                </c:pt>
                <c:pt idx="39">
                  <c:v>0.24441733333333299</c:v>
                </c:pt>
                <c:pt idx="40">
                  <c:v>0.24089866666666701</c:v>
                </c:pt>
                <c:pt idx="41">
                  <c:v>0.29885899999999999</c:v>
                </c:pt>
                <c:pt idx="42">
                  <c:v>0.29856933333333302</c:v>
                </c:pt>
                <c:pt idx="43">
                  <c:v>0.59948999999999997</c:v>
                </c:pt>
                <c:pt idx="44">
                  <c:v>0.32010899999999998</c:v>
                </c:pt>
                <c:pt idx="45">
                  <c:v>0.66539400000000004</c:v>
                </c:pt>
                <c:pt idx="46">
                  <c:v>5.3999999999999999E-2</c:v>
                </c:pt>
                <c:pt idx="47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671-4CBF-A21D-2207AE37D7C7}"/>
            </c:ext>
          </c:extLst>
        </c:ser>
        <c:ser>
          <c:idx val="30"/>
          <c:order val="30"/>
          <c:tx>
            <c:v>BES_TR1_six249_B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Demand_kW!$AG$2:$AG$49</c:f>
              <c:numCache>
                <c:formatCode>#,##0.000</c:formatCode>
                <c:ptCount val="48"/>
                <c:pt idx="0">
                  <c:v>5.8999999999999997E-2</c:v>
                </c:pt>
                <c:pt idx="1">
                  <c:v>0.17283999999999999</c:v>
                </c:pt>
                <c:pt idx="2">
                  <c:v>0.165922666666667</c:v>
                </c:pt>
                <c:pt idx="3">
                  <c:v>0.17283999999999999</c:v>
                </c:pt>
                <c:pt idx="4">
                  <c:v>5.8999999999999997E-2</c:v>
                </c:pt>
                <c:pt idx="5">
                  <c:v>0.26837866666666699</c:v>
                </c:pt>
                <c:pt idx="6">
                  <c:v>7.0384000000000002E-2</c:v>
                </c:pt>
                <c:pt idx="7">
                  <c:v>8.1767999999999993E-2</c:v>
                </c:pt>
                <c:pt idx="8">
                  <c:v>0.15007200000000001</c:v>
                </c:pt>
                <c:pt idx="9">
                  <c:v>5.8999999999999997E-2</c:v>
                </c:pt>
                <c:pt idx="10">
                  <c:v>0.165922666666667</c:v>
                </c:pt>
                <c:pt idx="11">
                  <c:v>5.8999999999999997E-2</c:v>
                </c:pt>
                <c:pt idx="12">
                  <c:v>0.165922666666667</c:v>
                </c:pt>
                <c:pt idx="13">
                  <c:v>0.17283999999999999</c:v>
                </c:pt>
                <c:pt idx="14">
                  <c:v>5.8999999999999997E-2</c:v>
                </c:pt>
                <c:pt idx="15">
                  <c:v>0.35510266666666701</c:v>
                </c:pt>
                <c:pt idx="16">
                  <c:v>0.27541199999999999</c:v>
                </c:pt>
                <c:pt idx="17">
                  <c:v>0.20088</c:v>
                </c:pt>
                <c:pt idx="18">
                  <c:v>0.54821766666666605</c:v>
                </c:pt>
                <c:pt idx="19">
                  <c:v>0.407831</c:v>
                </c:pt>
                <c:pt idx="20">
                  <c:v>1.3054410000000001</c:v>
                </c:pt>
                <c:pt idx="21">
                  <c:v>0.328814</c:v>
                </c:pt>
                <c:pt idx="22">
                  <c:v>0.51771433333333305</c:v>
                </c:pt>
                <c:pt idx="23">
                  <c:v>0.31189966666666702</c:v>
                </c:pt>
                <c:pt idx="24">
                  <c:v>0.27978666666666702</c:v>
                </c:pt>
                <c:pt idx="25">
                  <c:v>0.112461333333333</c:v>
                </c:pt>
                <c:pt idx="26">
                  <c:v>0.112461333333333</c:v>
                </c:pt>
                <c:pt idx="27">
                  <c:v>0.17283999999999999</c:v>
                </c:pt>
                <c:pt idx="28">
                  <c:v>0.197144866666667</c:v>
                </c:pt>
                <c:pt idx="29">
                  <c:v>5.8999999999999997E-2</c:v>
                </c:pt>
                <c:pt idx="30">
                  <c:v>0.134941333333333</c:v>
                </c:pt>
                <c:pt idx="31">
                  <c:v>0.20382133333333299</c:v>
                </c:pt>
                <c:pt idx="32">
                  <c:v>9.3151999999999999E-2</c:v>
                </c:pt>
                <c:pt idx="33">
                  <c:v>0.245610666666667</c:v>
                </c:pt>
                <c:pt idx="34">
                  <c:v>5.8999999999999997E-2</c:v>
                </c:pt>
                <c:pt idx="35">
                  <c:v>0.17930096666666701</c:v>
                </c:pt>
                <c:pt idx="36">
                  <c:v>0.165922666666667</c:v>
                </c:pt>
                <c:pt idx="37">
                  <c:v>7.6076000000000005E-2</c:v>
                </c:pt>
                <c:pt idx="38">
                  <c:v>0.17073466666666701</c:v>
                </c:pt>
                <c:pt idx="39">
                  <c:v>0.24795200000000001</c:v>
                </c:pt>
                <c:pt idx="40">
                  <c:v>0.57252800000000004</c:v>
                </c:pt>
                <c:pt idx="41">
                  <c:v>0.63613200000000003</c:v>
                </c:pt>
                <c:pt idx="42">
                  <c:v>0.494497666666667</c:v>
                </c:pt>
                <c:pt idx="43">
                  <c:v>0.60533700000000001</c:v>
                </c:pt>
                <c:pt idx="44">
                  <c:v>0.85498566666666598</c:v>
                </c:pt>
                <c:pt idx="45">
                  <c:v>0.60500166666666699</c:v>
                </c:pt>
                <c:pt idx="46">
                  <c:v>0.150648</c:v>
                </c:pt>
                <c:pt idx="47">
                  <c:v>0.165346666666667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671-4CBF-A21D-2207AE37D7C7}"/>
            </c:ext>
          </c:extLst>
        </c:ser>
        <c:ser>
          <c:idx val="31"/>
          <c:order val="31"/>
          <c:tx>
            <c:v>BES_TR1_six254_B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Demand_kW!$AH$2:$AH$49</c:f>
              <c:numCache>
                <c:formatCode>#,##0.000</c:formatCode>
                <c:ptCount val="48"/>
                <c:pt idx="0">
                  <c:v>0.147030666666667</c:v>
                </c:pt>
                <c:pt idx="1">
                  <c:v>0.19778000000000001</c:v>
                </c:pt>
                <c:pt idx="2">
                  <c:v>9.5515333333333396E-2</c:v>
                </c:pt>
                <c:pt idx="3">
                  <c:v>9.5515333333333396E-2</c:v>
                </c:pt>
                <c:pt idx="4">
                  <c:v>4.3999999999999997E-2</c:v>
                </c:pt>
                <c:pt idx="5">
                  <c:v>0.17499066666666699</c:v>
                </c:pt>
                <c:pt idx="6">
                  <c:v>0.16982</c:v>
                </c:pt>
                <c:pt idx="7">
                  <c:v>5.1359333333333403E-2</c:v>
                </c:pt>
                <c:pt idx="8">
                  <c:v>0.26549133333333302</c:v>
                </c:pt>
                <c:pt idx="9">
                  <c:v>7.1959999999999996E-2</c:v>
                </c:pt>
                <c:pt idx="10">
                  <c:v>7.3437333333333299E-2</c:v>
                </c:pt>
                <c:pt idx="11">
                  <c:v>0.27137333333333302</c:v>
                </c:pt>
                <c:pt idx="12">
                  <c:v>4.3999999999999997E-2</c:v>
                </c:pt>
                <c:pt idx="13">
                  <c:v>0.30105500000000002</c:v>
                </c:pt>
                <c:pt idx="14">
                  <c:v>0.22933833333333301</c:v>
                </c:pt>
                <c:pt idx="15">
                  <c:v>1.1455379999999999</c:v>
                </c:pt>
                <c:pt idx="16">
                  <c:v>0.25745533333333298</c:v>
                </c:pt>
                <c:pt idx="17">
                  <c:v>0.138583333333333</c:v>
                </c:pt>
                <c:pt idx="18">
                  <c:v>0.30824733333333298</c:v>
                </c:pt>
                <c:pt idx="19">
                  <c:v>6.6077999999999998E-2</c:v>
                </c:pt>
                <c:pt idx="20">
                  <c:v>0.17680999999999999</c:v>
                </c:pt>
                <c:pt idx="21">
                  <c:v>0.16800066666666699</c:v>
                </c:pt>
                <c:pt idx="22">
                  <c:v>7.1959999999999996E-2</c:v>
                </c:pt>
                <c:pt idx="23">
                  <c:v>0.16982</c:v>
                </c:pt>
                <c:pt idx="24">
                  <c:v>0.19766973333333299</c:v>
                </c:pt>
                <c:pt idx="25">
                  <c:v>0.27667999999999998</c:v>
                </c:pt>
                <c:pt idx="26">
                  <c:v>0.23450133333333301</c:v>
                </c:pt>
                <c:pt idx="27">
                  <c:v>0.31049933333333302</c:v>
                </c:pt>
                <c:pt idx="28">
                  <c:v>9.7979999999999998E-2</c:v>
                </c:pt>
                <c:pt idx="29">
                  <c:v>0.147030666666667</c:v>
                </c:pt>
                <c:pt idx="30">
                  <c:v>0.19778000000000001</c:v>
                </c:pt>
                <c:pt idx="31">
                  <c:v>0.124952666666667</c:v>
                </c:pt>
                <c:pt idx="32">
                  <c:v>0.212868</c:v>
                </c:pt>
                <c:pt idx="33">
                  <c:v>5.0990000000000001E-2</c:v>
                </c:pt>
                <c:pt idx="34">
                  <c:v>4.3999999999999997E-2</c:v>
                </c:pt>
                <c:pt idx="35">
                  <c:v>0.26401400000000003</c:v>
                </c:pt>
                <c:pt idx="36">
                  <c:v>0.14579666666666699</c:v>
                </c:pt>
                <c:pt idx="37">
                  <c:v>0.13486999999999999</c:v>
                </c:pt>
                <c:pt idx="38">
                  <c:v>0.222774</c:v>
                </c:pt>
                <c:pt idx="39">
                  <c:v>0.42516866666666697</c:v>
                </c:pt>
                <c:pt idx="40">
                  <c:v>0.57758466666666697</c:v>
                </c:pt>
                <c:pt idx="41">
                  <c:v>0.61665666666666696</c:v>
                </c:pt>
                <c:pt idx="42">
                  <c:v>0.24314333333333299</c:v>
                </c:pt>
                <c:pt idx="43">
                  <c:v>0.652853666666667</c:v>
                </c:pt>
                <c:pt idx="44">
                  <c:v>0.45261533333333298</c:v>
                </c:pt>
                <c:pt idx="45">
                  <c:v>0.409262666666667</c:v>
                </c:pt>
                <c:pt idx="46">
                  <c:v>0.312054</c:v>
                </c:pt>
                <c:pt idx="47">
                  <c:v>0.11759333333333299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671-4CBF-A21D-2207AE37D7C7}"/>
            </c:ext>
          </c:extLst>
        </c:ser>
        <c:ser>
          <c:idx val="32"/>
          <c:order val="32"/>
          <c:tx>
            <c:v>BES_TR1_six269_C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Demand_kW!$AI$2:$AI$49</c:f>
              <c:numCache>
                <c:formatCode>#,##0.000</c:formatCode>
                <c:ptCount val="48"/>
                <c:pt idx="0">
                  <c:v>0.16750000000000001</c:v>
                </c:pt>
                <c:pt idx="1">
                  <c:v>0.116574</c:v>
                </c:pt>
                <c:pt idx="2">
                  <c:v>0.161173333333333</c:v>
                </c:pt>
                <c:pt idx="3">
                  <c:v>0.16061666666666699</c:v>
                </c:pt>
                <c:pt idx="4">
                  <c:v>0.135432</c:v>
                </c:pt>
                <c:pt idx="5">
                  <c:v>0.16750000000000001</c:v>
                </c:pt>
                <c:pt idx="6">
                  <c:v>0.160576</c:v>
                </c:pt>
                <c:pt idx="7">
                  <c:v>0.12405466666666699</c:v>
                </c:pt>
                <c:pt idx="8">
                  <c:v>0.204021333333333</c:v>
                </c:pt>
                <c:pt idx="9">
                  <c:v>0.06</c:v>
                </c:pt>
                <c:pt idx="10">
                  <c:v>0.06</c:v>
                </c:pt>
                <c:pt idx="11">
                  <c:v>0.26807599999999998</c:v>
                </c:pt>
                <c:pt idx="12">
                  <c:v>0.06</c:v>
                </c:pt>
                <c:pt idx="13">
                  <c:v>0.14235600000000001</c:v>
                </c:pt>
                <c:pt idx="14">
                  <c:v>0.18572</c:v>
                </c:pt>
                <c:pt idx="15">
                  <c:v>0.13320533333333301</c:v>
                </c:pt>
                <c:pt idx="16">
                  <c:v>0.194870666666667</c:v>
                </c:pt>
                <c:pt idx="17">
                  <c:v>0.13320533333333301</c:v>
                </c:pt>
                <c:pt idx="18">
                  <c:v>0.182298666666667</c:v>
                </c:pt>
                <c:pt idx="19">
                  <c:v>7.6500666666666703E-2</c:v>
                </c:pt>
                <c:pt idx="20">
                  <c:v>6.7464466666666695E-2</c:v>
                </c:pt>
                <c:pt idx="21">
                  <c:v>0.46933799999999998</c:v>
                </c:pt>
                <c:pt idx="22">
                  <c:v>8.1666666666666596E-2</c:v>
                </c:pt>
                <c:pt idx="23">
                  <c:v>0.23284099999999999</c:v>
                </c:pt>
                <c:pt idx="24">
                  <c:v>0.1156282</c:v>
                </c:pt>
                <c:pt idx="25">
                  <c:v>0.16980799999999999</c:v>
                </c:pt>
                <c:pt idx="26">
                  <c:v>0.18598933333333301</c:v>
                </c:pt>
                <c:pt idx="27">
                  <c:v>0.14485266666666699</c:v>
                </c:pt>
                <c:pt idx="28">
                  <c:v>0.18439533333333299</c:v>
                </c:pt>
                <c:pt idx="29">
                  <c:v>0.38857736666666698</c:v>
                </c:pt>
                <c:pt idx="30">
                  <c:v>0.33959</c:v>
                </c:pt>
                <c:pt idx="31">
                  <c:v>0.22944046666666701</c:v>
                </c:pt>
                <c:pt idx="32">
                  <c:v>0.1924631</c:v>
                </c:pt>
                <c:pt idx="33">
                  <c:v>0.18641513333333301</c:v>
                </c:pt>
                <c:pt idx="34">
                  <c:v>0.35398000000000002</c:v>
                </c:pt>
                <c:pt idx="35">
                  <c:v>0.44277733333333302</c:v>
                </c:pt>
                <c:pt idx="36">
                  <c:v>0.494242666666667</c:v>
                </c:pt>
                <c:pt idx="37">
                  <c:v>0.20004366666666701</c:v>
                </c:pt>
                <c:pt idx="38">
                  <c:v>0.476047</c:v>
                </c:pt>
                <c:pt idx="39">
                  <c:v>0.43186999999999998</c:v>
                </c:pt>
                <c:pt idx="40">
                  <c:v>0.43360266666666702</c:v>
                </c:pt>
                <c:pt idx="41">
                  <c:v>0.29891299999999998</c:v>
                </c:pt>
                <c:pt idx="42">
                  <c:v>0.307338</c:v>
                </c:pt>
                <c:pt idx="43">
                  <c:v>0.31718800000000003</c:v>
                </c:pt>
                <c:pt idx="44">
                  <c:v>0.29725333333333298</c:v>
                </c:pt>
                <c:pt idx="45">
                  <c:v>0.40811199999999997</c:v>
                </c:pt>
                <c:pt idx="46">
                  <c:v>0.140921666666667</c:v>
                </c:pt>
                <c:pt idx="47">
                  <c:v>0.14235600000000001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671-4CBF-A21D-2207AE37D7C7}"/>
            </c:ext>
          </c:extLst>
        </c:ser>
        <c:ser>
          <c:idx val="33"/>
          <c:order val="33"/>
          <c:tx>
            <c:v>BES_TR1_six68_C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Demand_kW!$AJ$2:$AJ$49</c:f>
              <c:numCache>
                <c:formatCode>#,##0.000</c:formatCode>
                <c:ptCount val="48"/>
                <c:pt idx="0">
                  <c:v>6.9782166666666701E-2</c:v>
                </c:pt>
                <c:pt idx="1">
                  <c:v>0.37210359999999998</c:v>
                </c:pt>
                <c:pt idx="2">
                  <c:v>0.16104866666666701</c:v>
                </c:pt>
                <c:pt idx="3">
                  <c:v>0.05</c:v>
                </c:pt>
                <c:pt idx="4">
                  <c:v>0.2084</c:v>
                </c:pt>
                <c:pt idx="5">
                  <c:v>0.05</c:v>
                </c:pt>
                <c:pt idx="6">
                  <c:v>0.2084</c:v>
                </c:pt>
                <c:pt idx="7">
                  <c:v>0.05</c:v>
                </c:pt>
                <c:pt idx="8">
                  <c:v>0.16520000000000001</c:v>
                </c:pt>
                <c:pt idx="9">
                  <c:v>9.3199999999999894E-2</c:v>
                </c:pt>
                <c:pt idx="10">
                  <c:v>0.122</c:v>
                </c:pt>
                <c:pt idx="11">
                  <c:v>0.13639999999999999</c:v>
                </c:pt>
                <c:pt idx="12">
                  <c:v>0.05</c:v>
                </c:pt>
                <c:pt idx="13">
                  <c:v>7.1599999999999997E-2</c:v>
                </c:pt>
                <c:pt idx="14">
                  <c:v>0.19007599999999999</c:v>
                </c:pt>
                <c:pt idx="15">
                  <c:v>0.11940833333333301</c:v>
                </c:pt>
                <c:pt idx="16">
                  <c:v>0.37980399999999997</c:v>
                </c:pt>
                <c:pt idx="17">
                  <c:v>1.5498766666666699</c:v>
                </c:pt>
                <c:pt idx="18">
                  <c:v>2.0567966666666702</c:v>
                </c:pt>
                <c:pt idx="19">
                  <c:v>1.156112</c:v>
                </c:pt>
                <c:pt idx="20">
                  <c:v>0.19757766666666701</c:v>
                </c:pt>
                <c:pt idx="21">
                  <c:v>0.20645666666666701</c:v>
                </c:pt>
                <c:pt idx="22">
                  <c:v>0.400787333333333</c:v>
                </c:pt>
                <c:pt idx="23">
                  <c:v>0.444452666666667</c:v>
                </c:pt>
                <c:pt idx="24">
                  <c:v>1.01755366666667</c:v>
                </c:pt>
                <c:pt idx="25">
                  <c:v>0.38767299999999999</c:v>
                </c:pt>
                <c:pt idx="26">
                  <c:v>6.1296999999999997E-2</c:v>
                </c:pt>
                <c:pt idx="27">
                  <c:v>0.43063766666666697</c:v>
                </c:pt>
                <c:pt idx="28">
                  <c:v>1.22790333333333</c:v>
                </c:pt>
                <c:pt idx="29">
                  <c:v>0.49626399999999998</c:v>
                </c:pt>
                <c:pt idx="30">
                  <c:v>0.83095799999999898</c:v>
                </c:pt>
                <c:pt idx="31">
                  <c:v>0.12768333333333301</c:v>
                </c:pt>
                <c:pt idx="32">
                  <c:v>0.1724</c:v>
                </c:pt>
                <c:pt idx="33">
                  <c:v>8.5999999999999993E-2</c:v>
                </c:pt>
                <c:pt idx="34">
                  <c:v>0.267905333333333</c:v>
                </c:pt>
                <c:pt idx="35">
                  <c:v>0.294229666666667</c:v>
                </c:pt>
                <c:pt idx="36">
                  <c:v>0.50404566666666695</c:v>
                </c:pt>
                <c:pt idx="37">
                  <c:v>0.26497533333333301</c:v>
                </c:pt>
                <c:pt idx="38">
                  <c:v>1.6118969999999999</c:v>
                </c:pt>
                <c:pt idx="39">
                  <c:v>0.97759766666666703</c:v>
                </c:pt>
                <c:pt idx="40">
                  <c:v>1.1909000000000001</c:v>
                </c:pt>
                <c:pt idx="41">
                  <c:v>0.212612</c:v>
                </c:pt>
                <c:pt idx="42">
                  <c:v>0.31540433333333301</c:v>
                </c:pt>
                <c:pt idx="43">
                  <c:v>0.42301866666666699</c:v>
                </c:pt>
                <c:pt idx="44">
                  <c:v>0.270092</c:v>
                </c:pt>
                <c:pt idx="45">
                  <c:v>0.24950466666666701</c:v>
                </c:pt>
                <c:pt idx="46">
                  <c:v>0.17906666666666701</c:v>
                </c:pt>
                <c:pt idx="47">
                  <c:v>0.102033333333333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2671-4CBF-A21D-2207AE37D7C7}"/>
            </c:ext>
          </c:extLst>
        </c:ser>
        <c:ser>
          <c:idx val="34"/>
          <c:order val="34"/>
          <c:tx>
            <c:v>BES_TR1_six289_C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Demand_kW!$AK$2:$AK$49</c:f>
              <c:numCache>
                <c:formatCode>#,##0.000</c:formatCode>
                <c:ptCount val="48"/>
                <c:pt idx="0">
                  <c:v>7.3377999999999999E-2</c:v>
                </c:pt>
                <c:pt idx="1">
                  <c:v>0.29825400000000002</c:v>
                </c:pt>
                <c:pt idx="2">
                  <c:v>0.15015800000000001</c:v>
                </c:pt>
                <c:pt idx="3">
                  <c:v>0.16564599999999999</c:v>
                </c:pt>
                <c:pt idx="4">
                  <c:v>0.25569799999999998</c:v>
                </c:pt>
                <c:pt idx="5">
                  <c:v>0.10044599999999999</c:v>
                </c:pt>
                <c:pt idx="6">
                  <c:v>0.31859799999999999</c:v>
                </c:pt>
                <c:pt idx="7">
                  <c:v>0.14519199999999999</c:v>
                </c:pt>
                <c:pt idx="8">
                  <c:v>0.16564599999999999</c:v>
                </c:pt>
                <c:pt idx="9">
                  <c:v>5.8000000000000003E-2</c:v>
                </c:pt>
                <c:pt idx="10">
                  <c:v>0.21954399999999999</c:v>
                </c:pt>
                <c:pt idx="11">
                  <c:v>0.190718</c:v>
                </c:pt>
                <c:pt idx="12">
                  <c:v>0.111528</c:v>
                </c:pt>
                <c:pt idx="13">
                  <c:v>0.15842566666666699</c:v>
                </c:pt>
                <c:pt idx="14">
                  <c:v>0.196442333333333</c:v>
                </c:pt>
                <c:pt idx="15">
                  <c:v>0.98311173333333302</c:v>
                </c:pt>
                <c:pt idx="16">
                  <c:v>0.50161233333333299</c:v>
                </c:pt>
                <c:pt idx="17">
                  <c:v>0.33398266666666698</c:v>
                </c:pt>
                <c:pt idx="18">
                  <c:v>1.2747120000000001</c:v>
                </c:pt>
                <c:pt idx="19">
                  <c:v>1.24565066666667</c:v>
                </c:pt>
                <c:pt idx="20">
                  <c:v>0.47859766666666698</c:v>
                </c:pt>
                <c:pt idx="21">
                  <c:v>0.462057</c:v>
                </c:pt>
                <c:pt idx="22">
                  <c:v>6.2460666666666699E-2</c:v>
                </c:pt>
                <c:pt idx="23">
                  <c:v>0.21072133333333301</c:v>
                </c:pt>
                <c:pt idx="24">
                  <c:v>0.19774600000000001</c:v>
                </c:pt>
                <c:pt idx="25">
                  <c:v>0.108862</c:v>
                </c:pt>
                <c:pt idx="26">
                  <c:v>0.44071399999999999</c:v>
                </c:pt>
                <c:pt idx="27">
                  <c:v>0.22035033333333301</c:v>
                </c:pt>
                <c:pt idx="28">
                  <c:v>0.210252666666667</c:v>
                </c:pt>
                <c:pt idx="29">
                  <c:v>0.58487666666666704</c:v>
                </c:pt>
                <c:pt idx="30">
                  <c:v>9.4134666666666603E-2</c:v>
                </c:pt>
                <c:pt idx="31">
                  <c:v>0.93266966666666595</c:v>
                </c:pt>
                <c:pt idx="32">
                  <c:v>0.40578999999999998</c:v>
                </c:pt>
                <c:pt idx="33">
                  <c:v>5.8000000000000003E-2</c:v>
                </c:pt>
                <c:pt idx="34">
                  <c:v>0.26773599999999997</c:v>
                </c:pt>
                <c:pt idx="35">
                  <c:v>0.19605400000000001</c:v>
                </c:pt>
                <c:pt idx="36">
                  <c:v>0.37313960000000002</c:v>
                </c:pt>
                <c:pt idx="37">
                  <c:v>0.26001653333333302</c:v>
                </c:pt>
                <c:pt idx="38">
                  <c:v>0.30511966666666701</c:v>
                </c:pt>
                <c:pt idx="39">
                  <c:v>0.62429366666666697</c:v>
                </c:pt>
                <c:pt idx="40">
                  <c:v>0.92074900000000004</c:v>
                </c:pt>
                <c:pt idx="41">
                  <c:v>1.54580466666667</c:v>
                </c:pt>
                <c:pt idx="42">
                  <c:v>1.01722933333333</c:v>
                </c:pt>
                <c:pt idx="43">
                  <c:v>0.95564400000000005</c:v>
                </c:pt>
                <c:pt idx="44">
                  <c:v>1.3586786666666699</c:v>
                </c:pt>
                <c:pt idx="45">
                  <c:v>0.572824</c:v>
                </c:pt>
                <c:pt idx="46">
                  <c:v>0.82039933333333304</c:v>
                </c:pt>
                <c:pt idx="47">
                  <c:v>0.28571633333333302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671-4CBF-A21D-2207AE37D7C7}"/>
            </c:ext>
          </c:extLst>
        </c:ser>
        <c:ser>
          <c:idx val="35"/>
          <c:order val="35"/>
          <c:tx>
            <c:v>BES_TR1_six317_C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Demand_kW!$AL$2:$AL$49</c:f>
              <c:numCache>
                <c:formatCode>#,##0.000</c:formatCode>
                <c:ptCount val="48"/>
                <c:pt idx="0">
                  <c:v>0.26922133333333298</c:v>
                </c:pt>
                <c:pt idx="1">
                  <c:v>0.22536866666666699</c:v>
                </c:pt>
                <c:pt idx="2">
                  <c:v>0.180644</c:v>
                </c:pt>
                <c:pt idx="3">
                  <c:v>0.13146133333333301</c:v>
                </c:pt>
                <c:pt idx="4">
                  <c:v>0.18351833333333301</c:v>
                </c:pt>
                <c:pt idx="5">
                  <c:v>0.25712600000000002</c:v>
                </c:pt>
                <c:pt idx="6">
                  <c:v>0.223376666666667</c:v>
                </c:pt>
                <c:pt idx="7">
                  <c:v>0.153893</c:v>
                </c:pt>
                <c:pt idx="8">
                  <c:v>0.12513793333333301</c:v>
                </c:pt>
                <c:pt idx="9">
                  <c:v>0.223376666666667</c:v>
                </c:pt>
                <c:pt idx="10">
                  <c:v>0.21015600000000001</c:v>
                </c:pt>
                <c:pt idx="11">
                  <c:v>0.102941666666667</c:v>
                </c:pt>
                <c:pt idx="12">
                  <c:v>0.21540500000000001</c:v>
                </c:pt>
                <c:pt idx="13">
                  <c:v>0.17258000000000001</c:v>
                </c:pt>
                <c:pt idx="14">
                  <c:v>0.30792266666666701</c:v>
                </c:pt>
                <c:pt idx="15">
                  <c:v>0.186671</c:v>
                </c:pt>
                <c:pt idx="16">
                  <c:v>0.528915466666666</c:v>
                </c:pt>
                <c:pt idx="17">
                  <c:v>1.4366986666666699</c:v>
                </c:pt>
                <c:pt idx="18">
                  <c:v>0.102731</c:v>
                </c:pt>
                <c:pt idx="19">
                  <c:v>0.27504366666666702</c:v>
                </c:pt>
                <c:pt idx="20">
                  <c:v>0.37415999999999999</c:v>
                </c:pt>
                <c:pt idx="21">
                  <c:v>0.38131833333333398</c:v>
                </c:pt>
                <c:pt idx="22">
                  <c:v>0.98522233333333298</c:v>
                </c:pt>
                <c:pt idx="23">
                  <c:v>0.903563000000001</c:v>
                </c:pt>
                <c:pt idx="24">
                  <c:v>0.34311033333333302</c:v>
                </c:pt>
                <c:pt idx="25">
                  <c:v>0.17947766666666701</c:v>
                </c:pt>
                <c:pt idx="26">
                  <c:v>0.60858333333333303</c:v>
                </c:pt>
                <c:pt idx="27">
                  <c:v>0.23280999999999999</c:v>
                </c:pt>
                <c:pt idx="28">
                  <c:v>0.88953666666666698</c:v>
                </c:pt>
                <c:pt idx="29">
                  <c:v>0.37802283333333297</c:v>
                </c:pt>
                <c:pt idx="30">
                  <c:v>0.25606896666666701</c:v>
                </c:pt>
                <c:pt idx="31">
                  <c:v>0.474163</c:v>
                </c:pt>
                <c:pt idx="32">
                  <c:v>0.26903919999999998</c:v>
                </c:pt>
                <c:pt idx="33">
                  <c:v>0.49056830000000001</c:v>
                </c:pt>
                <c:pt idx="34">
                  <c:v>1.6395485999999999</c:v>
                </c:pt>
                <c:pt idx="35">
                  <c:v>1.5404366</c:v>
                </c:pt>
                <c:pt idx="36">
                  <c:v>0.42152099999999998</c:v>
                </c:pt>
                <c:pt idx="37">
                  <c:v>0.11029</c:v>
                </c:pt>
                <c:pt idx="38">
                  <c:v>0.35611900000000002</c:v>
                </c:pt>
                <c:pt idx="39">
                  <c:v>6.2091E-2</c:v>
                </c:pt>
                <c:pt idx="40">
                  <c:v>0.21679733333333301</c:v>
                </c:pt>
                <c:pt idx="41">
                  <c:v>0.41608200000000001</c:v>
                </c:pt>
                <c:pt idx="42">
                  <c:v>0.21867266666666699</c:v>
                </c:pt>
                <c:pt idx="43">
                  <c:v>0.40643566666666697</c:v>
                </c:pt>
                <c:pt idx="44">
                  <c:v>5.2697000000000001E-2</c:v>
                </c:pt>
                <c:pt idx="45">
                  <c:v>0.30792266666666701</c:v>
                </c:pt>
                <c:pt idx="46">
                  <c:v>0.17258000000000001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2671-4CBF-A21D-2207AE37D7C7}"/>
            </c:ext>
          </c:extLst>
        </c:ser>
        <c:ser>
          <c:idx val="36"/>
          <c:order val="36"/>
          <c:tx>
            <c:v>BES_TR1_six326_A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Demand_kW!$AM$2:$AM$49</c:f>
              <c:numCache>
                <c:formatCode>#,##0.000</c:formatCode>
                <c:ptCount val="48"/>
                <c:pt idx="0">
                  <c:v>0.11155266666666699</c:v>
                </c:pt>
                <c:pt idx="1">
                  <c:v>8.2220666666666706E-2</c:v>
                </c:pt>
                <c:pt idx="2">
                  <c:v>4.8000000000000001E-2</c:v>
                </c:pt>
                <c:pt idx="3">
                  <c:v>0.119142</c:v>
                </c:pt>
                <c:pt idx="4">
                  <c:v>4.8000000000000001E-2</c:v>
                </c:pt>
                <c:pt idx="5">
                  <c:v>0.119142</c:v>
                </c:pt>
                <c:pt idx="6">
                  <c:v>0.14577333333333301</c:v>
                </c:pt>
                <c:pt idx="7">
                  <c:v>5.1952333333333399E-2</c:v>
                </c:pt>
                <c:pt idx="8">
                  <c:v>0.21296300000000001</c:v>
                </c:pt>
                <c:pt idx="9">
                  <c:v>4.8000000000000001E-2</c:v>
                </c:pt>
                <c:pt idx="10">
                  <c:v>0.14577333333333301</c:v>
                </c:pt>
                <c:pt idx="11">
                  <c:v>4.8000000000000001E-2</c:v>
                </c:pt>
                <c:pt idx="12">
                  <c:v>4.8000000000000001E-2</c:v>
                </c:pt>
                <c:pt idx="13">
                  <c:v>0.21691533333333299</c:v>
                </c:pt>
                <c:pt idx="14">
                  <c:v>4.8000000000000001E-2</c:v>
                </c:pt>
                <c:pt idx="15">
                  <c:v>5.1952333333333399E-2</c:v>
                </c:pt>
                <c:pt idx="16">
                  <c:v>0.28249633333333302</c:v>
                </c:pt>
                <c:pt idx="17">
                  <c:v>0.25277333333333302</c:v>
                </c:pt>
                <c:pt idx="18">
                  <c:v>0.37121633333333398</c:v>
                </c:pt>
                <c:pt idx="19">
                  <c:v>1.40820866666667</c:v>
                </c:pt>
                <c:pt idx="20">
                  <c:v>0.42293599999999998</c:v>
                </c:pt>
                <c:pt idx="21">
                  <c:v>0.73415399999999997</c:v>
                </c:pt>
                <c:pt idx="22">
                  <c:v>0.65344633333333302</c:v>
                </c:pt>
                <c:pt idx="23">
                  <c:v>0.41217999999999999</c:v>
                </c:pt>
                <c:pt idx="24">
                  <c:v>0.37063166666666703</c:v>
                </c:pt>
                <c:pt idx="25">
                  <c:v>0.55345299999999997</c:v>
                </c:pt>
                <c:pt idx="26">
                  <c:v>0.693608</c:v>
                </c:pt>
                <c:pt idx="27">
                  <c:v>0.303802666666667</c:v>
                </c:pt>
                <c:pt idx="28">
                  <c:v>0.65141533333333301</c:v>
                </c:pt>
                <c:pt idx="29">
                  <c:v>0.34521800000000002</c:v>
                </c:pt>
                <c:pt idx="30">
                  <c:v>0.332967333333333</c:v>
                </c:pt>
                <c:pt idx="31">
                  <c:v>0.62859766666666606</c:v>
                </c:pt>
                <c:pt idx="32">
                  <c:v>0.709198</c:v>
                </c:pt>
                <c:pt idx="33">
                  <c:v>0.1786162</c:v>
                </c:pt>
                <c:pt idx="34">
                  <c:v>0.56106766666666696</c:v>
                </c:pt>
                <c:pt idx="35">
                  <c:v>0.38532416666666702</c:v>
                </c:pt>
                <c:pt idx="36">
                  <c:v>0.19400700000000001</c:v>
                </c:pt>
                <c:pt idx="37">
                  <c:v>0.345901666666666</c:v>
                </c:pt>
                <c:pt idx="38">
                  <c:v>0.19248299999999999</c:v>
                </c:pt>
                <c:pt idx="39">
                  <c:v>0.53475966666666697</c:v>
                </c:pt>
                <c:pt idx="40">
                  <c:v>0.67799866666666697</c:v>
                </c:pt>
                <c:pt idx="41">
                  <c:v>1.0413446666666699</c:v>
                </c:pt>
                <c:pt idx="42">
                  <c:v>1.1526146666666699</c:v>
                </c:pt>
                <c:pt idx="43">
                  <c:v>1.173584</c:v>
                </c:pt>
                <c:pt idx="44">
                  <c:v>1.0432526666666699</c:v>
                </c:pt>
                <c:pt idx="45">
                  <c:v>1.2753159999999999</c:v>
                </c:pt>
                <c:pt idx="46">
                  <c:v>1.2401279999999999</c:v>
                </c:pt>
                <c:pt idx="47">
                  <c:v>0.54701066666666698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671-4CBF-A21D-2207AE37D7C7}"/>
            </c:ext>
          </c:extLst>
        </c:ser>
        <c:ser>
          <c:idx val="37"/>
          <c:order val="37"/>
          <c:tx>
            <c:v>BES_TR1_six329_A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Demand_kW!$AN$2:$AN$49</c:f>
              <c:numCache>
                <c:formatCode>#,##0.000</c:formatCode>
                <c:ptCount val="48"/>
                <c:pt idx="0">
                  <c:v>5.8999999999999997E-2</c:v>
                </c:pt>
                <c:pt idx="1">
                  <c:v>0.293053333333333</c:v>
                </c:pt>
                <c:pt idx="2">
                  <c:v>5.8999999999999997E-2</c:v>
                </c:pt>
                <c:pt idx="3">
                  <c:v>0.20759</c:v>
                </c:pt>
                <c:pt idx="4">
                  <c:v>0.144463333333333</c:v>
                </c:pt>
                <c:pt idx="5">
                  <c:v>5.8999999999999997E-2</c:v>
                </c:pt>
                <c:pt idx="6">
                  <c:v>0.18525333333333299</c:v>
                </c:pt>
                <c:pt idx="7">
                  <c:v>5.8999999999999997E-2</c:v>
                </c:pt>
                <c:pt idx="8">
                  <c:v>0.172628</c:v>
                </c:pt>
                <c:pt idx="9">
                  <c:v>0.17942533333333299</c:v>
                </c:pt>
                <c:pt idx="10">
                  <c:v>7.7937999999999993E-2</c:v>
                </c:pt>
                <c:pt idx="11">
                  <c:v>0.16631533333333301</c:v>
                </c:pt>
                <c:pt idx="12">
                  <c:v>0.14369999999999999</c:v>
                </c:pt>
                <c:pt idx="13">
                  <c:v>0.41580533333333303</c:v>
                </c:pt>
                <c:pt idx="14">
                  <c:v>1.3566454666666701</c:v>
                </c:pt>
                <c:pt idx="15">
                  <c:v>0.39682333333333297</c:v>
                </c:pt>
                <c:pt idx="16">
                  <c:v>0.316406666666667</c:v>
                </c:pt>
                <c:pt idx="17">
                  <c:v>0.25082133333333301</c:v>
                </c:pt>
                <c:pt idx="18">
                  <c:v>0.204676</c:v>
                </c:pt>
                <c:pt idx="19">
                  <c:v>5.8999999999999997E-2</c:v>
                </c:pt>
                <c:pt idx="20">
                  <c:v>0.23145333333333301</c:v>
                </c:pt>
                <c:pt idx="21">
                  <c:v>0.1206</c:v>
                </c:pt>
                <c:pt idx="22">
                  <c:v>0.18525333333333299</c:v>
                </c:pt>
                <c:pt idx="23">
                  <c:v>5.8999999999999997E-2</c:v>
                </c:pt>
                <c:pt idx="24">
                  <c:v>0.27567999999999998</c:v>
                </c:pt>
                <c:pt idx="25">
                  <c:v>0.44461733333333298</c:v>
                </c:pt>
                <c:pt idx="26">
                  <c:v>0.40244799999999997</c:v>
                </c:pt>
                <c:pt idx="27">
                  <c:v>0.26191266666666702</c:v>
                </c:pt>
                <c:pt idx="28">
                  <c:v>0.41315733333333299</c:v>
                </c:pt>
                <c:pt idx="29">
                  <c:v>0.50624166666666603</c:v>
                </c:pt>
                <c:pt idx="30">
                  <c:v>5.8999999999999997E-2</c:v>
                </c:pt>
                <c:pt idx="31">
                  <c:v>1.44409266666667</c:v>
                </c:pt>
                <c:pt idx="32">
                  <c:v>0.18452906666666699</c:v>
                </c:pt>
                <c:pt idx="33">
                  <c:v>0.195508666666667</c:v>
                </c:pt>
                <c:pt idx="34">
                  <c:v>0.27313100000000001</c:v>
                </c:pt>
                <c:pt idx="35">
                  <c:v>0.29121666666666701</c:v>
                </c:pt>
                <c:pt idx="36">
                  <c:v>0.22715199999999999</c:v>
                </c:pt>
                <c:pt idx="37">
                  <c:v>9.9650666666666596E-2</c:v>
                </c:pt>
                <c:pt idx="38">
                  <c:v>0.16000266666666699</c:v>
                </c:pt>
                <c:pt idx="39">
                  <c:v>0.1129</c:v>
                </c:pt>
                <c:pt idx="40">
                  <c:v>0.1129</c:v>
                </c:pt>
                <c:pt idx="41">
                  <c:v>0.178940666666667</c:v>
                </c:pt>
                <c:pt idx="42">
                  <c:v>0.173112666666667</c:v>
                </c:pt>
                <c:pt idx="43">
                  <c:v>0.15368999999999999</c:v>
                </c:pt>
                <c:pt idx="44">
                  <c:v>0.17526333333333299</c:v>
                </c:pt>
                <c:pt idx="45">
                  <c:v>8.2100000000000006E-2</c:v>
                </c:pt>
                <c:pt idx="46">
                  <c:v>5.8999999999999997E-2</c:v>
                </c:pt>
                <c:pt idx="47">
                  <c:v>5.8999999999999997E-2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2671-4CBF-A21D-2207AE37D7C7}"/>
            </c:ext>
          </c:extLst>
        </c:ser>
        <c:ser>
          <c:idx val="38"/>
          <c:order val="38"/>
          <c:tx>
            <c:v>BES_TR1_six342_A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Demand_kW!$AO$2:$AO$49</c:f>
              <c:numCache>
                <c:formatCode>#,##0.000</c:formatCode>
                <c:ptCount val="48"/>
                <c:pt idx="0">
                  <c:v>0.39145466666666701</c:v>
                </c:pt>
                <c:pt idx="1">
                  <c:v>4.7E-2</c:v>
                </c:pt>
                <c:pt idx="2">
                  <c:v>4.7E-2</c:v>
                </c:pt>
                <c:pt idx="3">
                  <c:v>4.7E-2</c:v>
                </c:pt>
                <c:pt idx="4">
                  <c:v>0.12750800000000001</c:v>
                </c:pt>
                <c:pt idx="5">
                  <c:v>4.7E-2</c:v>
                </c:pt>
                <c:pt idx="6">
                  <c:v>4.7E-2</c:v>
                </c:pt>
                <c:pt idx="7">
                  <c:v>4.7E-2</c:v>
                </c:pt>
                <c:pt idx="8">
                  <c:v>4.7E-2</c:v>
                </c:pt>
                <c:pt idx="9">
                  <c:v>4.7E-2</c:v>
                </c:pt>
                <c:pt idx="10">
                  <c:v>7.8308666666666693E-2</c:v>
                </c:pt>
                <c:pt idx="11">
                  <c:v>9.6199333333333401E-2</c:v>
                </c:pt>
                <c:pt idx="12">
                  <c:v>8.7253999999999998E-2</c:v>
                </c:pt>
                <c:pt idx="13">
                  <c:v>8.7253999999999998E-2</c:v>
                </c:pt>
                <c:pt idx="14">
                  <c:v>4.7E-2</c:v>
                </c:pt>
                <c:pt idx="15">
                  <c:v>4.7E-2</c:v>
                </c:pt>
                <c:pt idx="16">
                  <c:v>0.100672</c:v>
                </c:pt>
                <c:pt idx="17">
                  <c:v>7.3835999999999999E-2</c:v>
                </c:pt>
                <c:pt idx="18">
                  <c:v>4.7E-2</c:v>
                </c:pt>
                <c:pt idx="19">
                  <c:v>4.7E-2</c:v>
                </c:pt>
                <c:pt idx="20">
                  <c:v>4.7E-2</c:v>
                </c:pt>
                <c:pt idx="21">
                  <c:v>0.12750800000000001</c:v>
                </c:pt>
                <c:pt idx="22">
                  <c:v>4.7E-2</c:v>
                </c:pt>
                <c:pt idx="23">
                  <c:v>0.11409</c:v>
                </c:pt>
                <c:pt idx="24">
                  <c:v>6.0417999999999999E-2</c:v>
                </c:pt>
                <c:pt idx="25">
                  <c:v>0.50788140000000004</c:v>
                </c:pt>
                <c:pt idx="26">
                  <c:v>0.10586909999999999</c:v>
                </c:pt>
                <c:pt idx="27">
                  <c:v>0.1472262</c:v>
                </c:pt>
                <c:pt idx="28">
                  <c:v>6.2747800000000006E-2</c:v>
                </c:pt>
                <c:pt idx="29">
                  <c:v>0.12750800000000001</c:v>
                </c:pt>
                <c:pt idx="30">
                  <c:v>5.2465600000000001E-2</c:v>
                </c:pt>
                <c:pt idx="31">
                  <c:v>0.117882666666667</c:v>
                </c:pt>
                <c:pt idx="32">
                  <c:v>0.22618966666666701</c:v>
                </c:pt>
                <c:pt idx="33">
                  <c:v>0.150733333333333</c:v>
                </c:pt>
                <c:pt idx="34">
                  <c:v>0.20664666666666701</c:v>
                </c:pt>
                <c:pt idx="35">
                  <c:v>0.15013933333333301</c:v>
                </c:pt>
                <c:pt idx="36">
                  <c:v>0.21762999999999999</c:v>
                </c:pt>
                <c:pt idx="37">
                  <c:v>0.13832066666666701</c:v>
                </c:pt>
                <c:pt idx="38">
                  <c:v>0.123035333333333</c:v>
                </c:pt>
                <c:pt idx="39">
                  <c:v>5.1472666666666701E-2</c:v>
                </c:pt>
                <c:pt idx="40">
                  <c:v>0.109617333333333</c:v>
                </c:pt>
                <c:pt idx="41">
                  <c:v>0.22597510000000001</c:v>
                </c:pt>
                <c:pt idx="42">
                  <c:v>0.29215466666666701</c:v>
                </c:pt>
                <c:pt idx="43">
                  <c:v>0.52910233333333301</c:v>
                </c:pt>
                <c:pt idx="44">
                  <c:v>0.34771800000000003</c:v>
                </c:pt>
                <c:pt idx="45">
                  <c:v>0.32168333333333399</c:v>
                </c:pt>
                <c:pt idx="46">
                  <c:v>0.61366066666666697</c:v>
                </c:pt>
                <c:pt idx="47">
                  <c:v>0.44195533333333298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671-4CBF-A21D-2207AE37D7C7}"/>
            </c:ext>
          </c:extLst>
        </c:ser>
        <c:ser>
          <c:idx val="39"/>
          <c:order val="39"/>
          <c:tx>
            <c:v>BES_TR1_six349_A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Demand_kW!$AP$2:$AP$49</c:f>
              <c:numCache>
                <c:formatCode>#,##0.000</c:formatCode>
                <c:ptCount val="48"/>
                <c:pt idx="0">
                  <c:v>0.52603999999999995</c:v>
                </c:pt>
                <c:pt idx="1">
                  <c:v>0.44666333333333302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5.1999999999999998E-2</c:v>
                </c:pt>
                <c:pt idx="8">
                  <c:v>5.1999999999999998E-2</c:v>
                </c:pt>
                <c:pt idx="9">
                  <c:v>5.1999999999999998E-2</c:v>
                </c:pt>
                <c:pt idx="10">
                  <c:v>5.1999999999999998E-2</c:v>
                </c:pt>
                <c:pt idx="11">
                  <c:v>5.1999999999999998E-2</c:v>
                </c:pt>
                <c:pt idx="12">
                  <c:v>5.1999999999999998E-2</c:v>
                </c:pt>
                <c:pt idx="13">
                  <c:v>0.100676666666667</c:v>
                </c:pt>
                <c:pt idx="14">
                  <c:v>5.1999999999999998E-2</c:v>
                </c:pt>
                <c:pt idx="15">
                  <c:v>5.1999999999999998E-2</c:v>
                </c:pt>
                <c:pt idx="16">
                  <c:v>5.1999999999999998E-2</c:v>
                </c:pt>
                <c:pt idx="17">
                  <c:v>5.1999999999999998E-2</c:v>
                </c:pt>
                <c:pt idx="18">
                  <c:v>0.15169233333333301</c:v>
                </c:pt>
                <c:pt idx="19">
                  <c:v>0.18804000000000001</c:v>
                </c:pt>
                <c:pt idx="20">
                  <c:v>0.18804000000000001</c:v>
                </c:pt>
                <c:pt idx="21">
                  <c:v>0.18804000000000001</c:v>
                </c:pt>
                <c:pt idx="22">
                  <c:v>0.22403999999999999</c:v>
                </c:pt>
                <c:pt idx="23">
                  <c:v>0.16383200000000001</c:v>
                </c:pt>
                <c:pt idx="24">
                  <c:v>5.3066666666666699E-2</c:v>
                </c:pt>
                <c:pt idx="25">
                  <c:v>0.325456666666667</c:v>
                </c:pt>
                <c:pt idx="26">
                  <c:v>0.95663033333333303</c:v>
                </c:pt>
                <c:pt idx="27">
                  <c:v>2.79551666666667</c:v>
                </c:pt>
                <c:pt idx="28">
                  <c:v>3.0301200000000001</c:v>
                </c:pt>
                <c:pt idx="29">
                  <c:v>0.57619366666666705</c:v>
                </c:pt>
                <c:pt idx="30">
                  <c:v>0.226356</c:v>
                </c:pt>
                <c:pt idx="31">
                  <c:v>0.21809000000000001</c:v>
                </c:pt>
                <c:pt idx="32">
                  <c:v>0.49908833333333302</c:v>
                </c:pt>
                <c:pt idx="33">
                  <c:v>0.41147600000000001</c:v>
                </c:pt>
                <c:pt idx="34">
                  <c:v>0.210196666666667</c:v>
                </c:pt>
                <c:pt idx="35">
                  <c:v>0.40045033333333302</c:v>
                </c:pt>
                <c:pt idx="36">
                  <c:v>0.14489233333333301</c:v>
                </c:pt>
                <c:pt idx="37">
                  <c:v>5.1999999999999998E-2</c:v>
                </c:pt>
                <c:pt idx="38">
                  <c:v>5.1999999999999998E-2</c:v>
                </c:pt>
                <c:pt idx="39">
                  <c:v>0.161453333333333</c:v>
                </c:pt>
                <c:pt idx="40">
                  <c:v>0.45444600000000002</c:v>
                </c:pt>
                <c:pt idx="41">
                  <c:v>0.43658533333333299</c:v>
                </c:pt>
                <c:pt idx="42">
                  <c:v>0.99929400000000002</c:v>
                </c:pt>
                <c:pt idx="43">
                  <c:v>2.8232866666666698</c:v>
                </c:pt>
                <c:pt idx="44">
                  <c:v>4.3316833333333298</c:v>
                </c:pt>
                <c:pt idx="45">
                  <c:v>0.49304633333333298</c:v>
                </c:pt>
                <c:pt idx="46">
                  <c:v>0.37425966666666699</c:v>
                </c:pt>
                <c:pt idx="47">
                  <c:v>0.27930766666666701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2671-4CBF-A21D-2207AE37D7C7}"/>
            </c:ext>
          </c:extLst>
        </c:ser>
        <c:ser>
          <c:idx val="40"/>
          <c:order val="40"/>
          <c:tx>
            <c:v>BES_TR1_six350_B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Demand_kW!$AQ$2:$AQ$49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0.13129399999999999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0.13129399999999999</c:v>
                </c:pt>
                <c:pt idx="5">
                  <c:v>5.2999999999999999E-2</c:v>
                </c:pt>
                <c:pt idx="6">
                  <c:v>0.105196</c:v>
                </c:pt>
                <c:pt idx="7">
                  <c:v>7.9098000000000002E-2</c:v>
                </c:pt>
                <c:pt idx="8">
                  <c:v>5.2999999999999999E-2</c:v>
                </c:pt>
                <c:pt idx="9">
                  <c:v>7.4748333333333306E-2</c:v>
                </c:pt>
                <c:pt idx="10">
                  <c:v>0.109545666666667</c:v>
                </c:pt>
                <c:pt idx="11">
                  <c:v>5.2999999999999999E-2</c:v>
                </c:pt>
                <c:pt idx="12">
                  <c:v>0.109545666666667</c:v>
                </c:pt>
                <c:pt idx="13">
                  <c:v>7.4748333333333306E-2</c:v>
                </c:pt>
                <c:pt idx="14">
                  <c:v>5.2999999999999999E-2</c:v>
                </c:pt>
                <c:pt idx="15">
                  <c:v>0.13680313333333299</c:v>
                </c:pt>
                <c:pt idx="16">
                  <c:v>5.2999999999999999E-2</c:v>
                </c:pt>
                <c:pt idx="17">
                  <c:v>0.144627333333333</c:v>
                </c:pt>
                <c:pt idx="18">
                  <c:v>8.70218666666666E-2</c:v>
                </c:pt>
                <c:pt idx="19">
                  <c:v>0.13396179999999999</c:v>
                </c:pt>
                <c:pt idx="20">
                  <c:v>0.38730353333333301</c:v>
                </c:pt>
                <c:pt idx="21">
                  <c:v>5.2999999999999999E-2</c:v>
                </c:pt>
                <c:pt idx="22">
                  <c:v>0.100846333333333</c:v>
                </c:pt>
                <c:pt idx="23">
                  <c:v>8.3447666666666601E-2</c:v>
                </c:pt>
                <c:pt idx="24">
                  <c:v>9.6496666666666703E-2</c:v>
                </c:pt>
                <c:pt idx="25">
                  <c:v>8.7797333333333297E-2</c:v>
                </c:pt>
                <c:pt idx="26">
                  <c:v>9.6496666666666703E-2</c:v>
                </c:pt>
                <c:pt idx="27">
                  <c:v>8.7797333333333297E-2</c:v>
                </c:pt>
                <c:pt idx="28">
                  <c:v>5.2999999999999999E-2</c:v>
                </c:pt>
                <c:pt idx="29">
                  <c:v>0.13129399999999999</c:v>
                </c:pt>
                <c:pt idx="30">
                  <c:v>5.2999999999999999E-2</c:v>
                </c:pt>
                <c:pt idx="31">
                  <c:v>0.13129399999999999</c:v>
                </c:pt>
                <c:pt idx="32">
                  <c:v>0.111552266666667</c:v>
                </c:pt>
                <c:pt idx="33">
                  <c:v>0.212982</c:v>
                </c:pt>
                <c:pt idx="34">
                  <c:v>0.25947266666666702</c:v>
                </c:pt>
                <c:pt idx="35">
                  <c:v>0.24906900000000001</c:v>
                </c:pt>
                <c:pt idx="36">
                  <c:v>0.28674033333333299</c:v>
                </c:pt>
                <c:pt idx="37">
                  <c:v>0.49660963333333302</c:v>
                </c:pt>
                <c:pt idx="38">
                  <c:v>0.29793700000000001</c:v>
                </c:pt>
                <c:pt idx="39">
                  <c:v>0.664659</c:v>
                </c:pt>
                <c:pt idx="40">
                  <c:v>0.56207933333333304</c:v>
                </c:pt>
                <c:pt idx="41">
                  <c:v>0.39102233333333303</c:v>
                </c:pt>
                <c:pt idx="42">
                  <c:v>0.51514499999999996</c:v>
                </c:pt>
                <c:pt idx="43">
                  <c:v>0.50178466666666699</c:v>
                </c:pt>
                <c:pt idx="44">
                  <c:v>0.44859133333333301</c:v>
                </c:pt>
                <c:pt idx="45">
                  <c:v>0.23030266666666699</c:v>
                </c:pt>
                <c:pt idx="46">
                  <c:v>5.2999999999999999E-2</c:v>
                </c:pt>
                <c:pt idx="47">
                  <c:v>0.13129399999999999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671-4CBF-A21D-2207AE37D7C7}"/>
            </c:ext>
          </c:extLst>
        </c:ser>
        <c:ser>
          <c:idx val="41"/>
          <c:order val="41"/>
          <c:tx>
            <c:v>BES_TR1_six378_A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Demand_kW!$AR$2:$AR$49</c:f>
              <c:numCache>
                <c:formatCode>#,##0.000</c:formatCode>
                <c:ptCount val="48"/>
                <c:pt idx="0">
                  <c:v>0.1419</c:v>
                </c:pt>
                <c:pt idx="1">
                  <c:v>4.5999999999999999E-2</c:v>
                </c:pt>
                <c:pt idx="2">
                  <c:v>4.5999999999999999E-2</c:v>
                </c:pt>
                <c:pt idx="3">
                  <c:v>4.5999999999999999E-2</c:v>
                </c:pt>
                <c:pt idx="4">
                  <c:v>4.5999999999999999E-2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4.5999999999999999E-2</c:v>
                </c:pt>
                <c:pt idx="8">
                  <c:v>4.5999999999999999E-2</c:v>
                </c:pt>
                <c:pt idx="9">
                  <c:v>4.5999999999999999E-2</c:v>
                </c:pt>
                <c:pt idx="10">
                  <c:v>4.5999999999999999E-2</c:v>
                </c:pt>
                <c:pt idx="11">
                  <c:v>4.5999999999999999E-2</c:v>
                </c:pt>
                <c:pt idx="12">
                  <c:v>4.5999999999999999E-2</c:v>
                </c:pt>
                <c:pt idx="13">
                  <c:v>4.5999999999999999E-2</c:v>
                </c:pt>
                <c:pt idx="14">
                  <c:v>4.5999999999999999E-2</c:v>
                </c:pt>
                <c:pt idx="15">
                  <c:v>4.5999999999999999E-2</c:v>
                </c:pt>
                <c:pt idx="16">
                  <c:v>0.69574266666666695</c:v>
                </c:pt>
                <c:pt idx="17">
                  <c:v>3.0721099999999999</c:v>
                </c:pt>
                <c:pt idx="18">
                  <c:v>2.5157799999999999</c:v>
                </c:pt>
                <c:pt idx="19">
                  <c:v>4.5999999999999999E-2</c:v>
                </c:pt>
                <c:pt idx="20">
                  <c:v>0.22724</c:v>
                </c:pt>
                <c:pt idx="21">
                  <c:v>0.281675333333333</c:v>
                </c:pt>
                <c:pt idx="22">
                  <c:v>0.80446300000000104</c:v>
                </c:pt>
                <c:pt idx="23">
                  <c:v>0.70672166666666703</c:v>
                </c:pt>
                <c:pt idx="24">
                  <c:v>1.74297833333333</c:v>
                </c:pt>
                <c:pt idx="25">
                  <c:v>0.150473</c:v>
                </c:pt>
                <c:pt idx="26">
                  <c:v>0.125507333333333</c:v>
                </c:pt>
                <c:pt idx="27">
                  <c:v>0.36959700000000001</c:v>
                </c:pt>
                <c:pt idx="28">
                  <c:v>0.25771266666666698</c:v>
                </c:pt>
                <c:pt idx="29">
                  <c:v>0.61395299999999997</c:v>
                </c:pt>
                <c:pt idx="30">
                  <c:v>4.5999999999999999E-2</c:v>
                </c:pt>
                <c:pt idx="31">
                  <c:v>4.5999999999999999E-2</c:v>
                </c:pt>
                <c:pt idx="32">
                  <c:v>1.1148416666666701</c:v>
                </c:pt>
                <c:pt idx="33">
                  <c:v>1.225295</c:v>
                </c:pt>
                <c:pt idx="34">
                  <c:v>0.36240466666666699</c:v>
                </c:pt>
                <c:pt idx="35">
                  <c:v>0.38233133333333302</c:v>
                </c:pt>
                <c:pt idx="36">
                  <c:v>0.26859</c:v>
                </c:pt>
                <c:pt idx="37">
                  <c:v>0.26321033333333299</c:v>
                </c:pt>
                <c:pt idx="38">
                  <c:v>0.39800166666666698</c:v>
                </c:pt>
                <c:pt idx="39">
                  <c:v>0.58124299999999995</c:v>
                </c:pt>
                <c:pt idx="40">
                  <c:v>0.48277166666666699</c:v>
                </c:pt>
                <c:pt idx="41">
                  <c:v>0.57948366666666695</c:v>
                </c:pt>
                <c:pt idx="42">
                  <c:v>0.72846566666666701</c:v>
                </c:pt>
                <c:pt idx="43">
                  <c:v>0.90775300000000003</c:v>
                </c:pt>
                <c:pt idx="44">
                  <c:v>0.55618833333333295</c:v>
                </c:pt>
                <c:pt idx="45">
                  <c:v>0.408459666666667</c:v>
                </c:pt>
                <c:pt idx="46">
                  <c:v>0.20099</c:v>
                </c:pt>
                <c:pt idx="47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2671-4CBF-A21D-2207AE37D7C7}"/>
            </c:ext>
          </c:extLst>
        </c:ser>
        <c:ser>
          <c:idx val="42"/>
          <c:order val="42"/>
          <c:tx>
            <c:v>BES_TR1_six75_A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Demand_kW!$AS$2:$AS$49</c:f>
              <c:numCache>
                <c:formatCode>#,##0.000</c:formatCode>
                <c:ptCount val="48"/>
                <c:pt idx="0">
                  <c:v>4.2000000000000003E-2</c:v>
                </c:pt>
                <c:pt idx="1">
                  <c:v>0.126799</c:v>
                </c:pt>
                <c:pt idx="2">
                  <c:v>0.13939099999999999</c:v>
                </c:pt>
                <c:pt idx="3">
                  <c:v>0.35065666666666701</c:v>
                </c:pt>
                <c:pt idx="4">
                  <c:v>0.46315666666666699</c:v>
                </c:pt>
                <c:pt idx="5">
                  <c:v>0.54207866666666704</c:v>
                </c:pt>
                <c:pt idx="6">
                  <c:v>0.21025333333333299</c:v>
                </c:pt>
                <c:pt idx="7">
                  <c:v>0.139845</c:v>
                </c:pt>
                <c:pt idx="8">
                  <c:v>7.4615000000000001E-2</c:v>
                </c:pt>
                <c:pt idx="9">
                  <c:v>0.11375300000000001</c:v>
                </c:pt>
                <c:pt idx="10">
                  <c:v>0.100707</c:v>
                </c:pt>
                <c:pt idx="11">
                  <c:v>4.2000000000000003E-2</c:v>
                </c:pt>
                <c:pt idx="12">
                  <c:v>0.133322</c:v>
                </c:pt>
                <c:pt idx="13">
                  <c:v>8.1138000000000002E-2</c:v>
                </c:pt>
                <c:pt idx="14">
                  <c:v>4.2000000000000003E-2</c:v>
                </c:pt>
                <c:pt idx="15">
                  <c:v>0.126799</c:v>
                </c:pt>
                <c:pt idx="16">
                  <c:v>8.7660999999999906E-2</c:v>
                </c:pt>
                <c:pt idx="17">
                  <c:v>4.2000000000000003E-2</c:v>
                </c:pt>
                <c:pt idx="18">
                  <c:v>0.17246</c:v>
                </c:pt>
                <c:pt idx="19">
                  <c:v>4.2000000000000003E-2</c:v>
                </c:pt>
                <c:pt idx="20">
                  <c:v>4.2000000000000003E-2</c:v>
                </c:pt>
                <c:pt idx="21">
                  <c:v>7.4615000000000001E-2</c:v>
                </c:pt>
                <c:pt idx="22">
                  <c:v>0.15429999999999999</c:v>
                </c:pt>
                <c:pt idx="23">
                  <c:v>8.5364999999999996E-2</c:v>
                </c:pt>
                <c:pt idx="24">
                  <c:v>0.31450630000000002</c:v>
                </c:pt>
                <c:pt idx="25">
                  <c:v>0.26439000000000001</c:v>
                </c:pt>
                <c:pt idx="26">
                  <c:v>0.18930693333333301</c:v>
                </c:pt>
                <c:pt idx="27">
                  <c:v>0.35309813333333301</c:v>
                </c:pt>
                <c:pt idx="28">
                  <c:v>0.14923040000000001</c:v>
                </c:pt>
                <c:pt idx="29">
                  <c:v>0.30508200000000002</c:v>
                </c:pt>
                <c:pt idx="30">
                  <c:v>0.174368</c:v>
                </c:pt>
                <c:pt idx="31">
                  <c:v>7.1999999999999995E-2</c:v>
                </c:pt>
                <c:pt idx="32">
                  <c:v>0.20618400000000001</c:v>
                </c:pt>
                <c:pt idx="33">
                  <c:v>0.25661800000000001</c:v>
                </c:pt>
                <c:pt idx="34">
                  <c:v>0.248138</c:v>
                </c:pt>
                <c:pt idx="35">
                  <c:v>0.29432199999999997</c:v>
                </c:pt>
                <c:pt idx="36">
                  <c:v>4.2000000000000003E-2</c:v>
                </c:pt>
                <c:pt idx="37">
                  <c:v>6.4205333333333295E-2</c:v>
                </c:pt>
                <c:pt idx="38">
                  <c:v>0.22965833333333299</c:v>
                </c:pt>
                <c:pt idx="39">
                  <c:v>0.66658966666666697</c:v>
                </c:pt>
                <c:pt idx="40">
                  <c:v>0.76002499999999995</c:v>
                </c:pt>
                <c:pt idx="41">
                  <c:v>0.609348</c:v>
                </c:pt>
                <c:pt idx="42">
                  <c:v>0.67075200000000001</c:v>
                </c:pt>
                <c:pt idx="43">
                  <c:v>0.154498</c:v>
                </c:pt>
                <c:pt idx="44">
                  <c:v>0.44334800000000002</c:v>
                </c:pt>
                <c:pt idx="45">
                  <c:v>0.45395533333333299</c:v>
                </c:pt>
                <c:pt idx="46">
                  <c:v>0.359866666666667</c:v>
                </c:pt>
                <c:pt idx="47">
                  <c:v>0.33679999999999999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671-4CBF-A21D-2207AE37D7C7}"/>
            </c:ext>
          </c:extLst>
        </c:ser>
        <c:ser>
          <c:idx val="43"/>
          <c:order val="43"/>
          <c:tx>
            <c:v>BES_TR1_six385_B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Demand_kW!$AT$2:$AT$49</c:f>
              <c:numCache>
                <c:formatCode>#,##0.000</c:formatCode>
                <c:ptCount val="48"/>
                <c:pt idx="0">
                  <c:v>0.19651766666666701</c:v>
                </c:pt>
                <c:pt idx="1">
                  <c:v>3.6999999999999998E-2</c:v>
                </c:pt>
                <c:pt idx="2">
                  <c:v>3.6999999999999998E-2</c:v>
                </c:pt>
                <c:pt idx="3">
                  <c:v>0.204913333333333</c:v>
                </c:pt>
                <c:pt idx="4">
                  <c:v>5.3791333333333302E-2</c:v>
                </c:pt>
                <c:pt idx="5">
                  <c:v>4.5395666666666702E-2</c:v>
                </c:pt>
                <c:pt idx="6">
                  <c:v>0.213309</c:v>
                </c:pt>
                <c:pt idx="7">
                  <c:v>3.6999999999999998E-2</c:v>
                </c:pt>
                <c:pt idx="8">
                  <c:v>0.22170466666666699</c:v>
                </c:pt>
                <c:pt idx="9">
                  <c:v>3.6999999999999998E-2</c:v>
                </c:pt>
                <c:pt idx="10">
                  <c:v>0.174739266666667</c:v>
                </c:pt>
                <c:pt idx="11">
                  <c:v>0.11256099999999999</c:v>
                </c:pt>
                <c:pt idx="12">
                  <c:v>3.6999999999999998E-2</c:v>
                </c:pt>
                <c:pt idx="13">
                  <c:v>0.22170466666666699</c:v>
                </c:pt>
                <c:pt idx="14">
                  <c:v>3.6999999999999998E-2</c:v>
                </c:pt>
                <c:pt idx="15">
                  <c:v>0.11256099999999999</c:v>
                </c:pt>
                <c:pt idx="16">
                  <c:v>0.146143666666667</c:v>
                </c:pt>
                <c:pt idx="17">
                  <c:v>6.2186999999999999E-2</c:v>
                </c:pt>
                <c:pt idx="18">
                  <c:v>0.19651766666666701</c:v>
                </c:pt>
                <c:pt idx="19">
                  <c:v>3.6999999999999998E-2</c:v>
                </c:pt>
                <c:pt idx="20">
                  <c:v>0.22170466666666699</c:v>
                </c:pt>
                <c:pt idx="21">
                  <c:v>3.6999999999999998E-2</c:v>
                </c:pt>
                <c:pt idx="22">
                  <c:v>3.6999999999999998E-2</c:v>
                </c:pt>
                <c:pt idx="23">
                  <c:v>0.11256099999999999</c:v>
                </c:pt>
                <c:pt idx="24">
                  <c:v>0.146143666666667</c:v>
                </c:pt>
                <c:pt idx="25">
                  <c:v>0.113593866666667</c:v>
                </c:pt>
                <c:pt idx="26">
                  <c:v>0.105479133333333</c:v>
                </c:pt>
                <c:pt idx="27">
                  <c:v>0.10447833333333301</c:v>
                </c:pt>
                <c:pt idx="28">
                  <c:v>0.162935</c:v>
                </c:pt>
                <c:pt idx="29">
                  <c:v>3.6999999999999998E-2</c:v>
                </c:pt>
                <c:pt idx="30">
                  <c:v>0.19651766666666701</c:v>
                </c:pt>
                <c:pt idx="31">
                  <c:v>6.2186999999999999E-2</c:v>
                </c:pt>
                <c:pt idx="32">
                  <c:v>4.1354333333333299E-2</c:v>
                </c:pt>
                <c:pt idx="33">
                  <c:v>4.7067266666666698E-2</c:v>
                </c:pt>
                <c:pt idx="34">
                  <c:v>0.2389732</c:v>
                </c:pt>
                <c:pt idx="35">
                  <c:v>5.3157999999999997E-2</c:v>
                </c:pt>
                <c:pt idx="36">
                  <c:v>3.6999999999999998E-2</c:v>
                </c:pt>
                <c:pt idx="37">
                  <c:v>0.229783866666667</c:v>
                </c:pt>
                <c:pt idx="38">
                  <c:v>5.2800266666666699E-2</c:v>
                </c:pt>
                <c:pt idx="39">
                  <c:v>0.249839333333333</c:v>
                </c:pt>
                <c:pt idx="40">
                  <c:v>0.17185266666666699</c:v>
                </c:pt>
                <c:pt idx="41">
                  <c:v>1.2119943333333301</c:v>
                </c:pt>
                <c:pt idx="42">
                  <c:v>0.63963700000000001</c:v>
                </c:pt>
                <c:pt idx="43">
                  <c:v>0.41170166666666702</c:v>
                </c:pt>
                <c:pt idx="44">
                  <c:v>0.46927999999999997</c:v>
                </c:pt>
                <c:pt idx="45">
                  <c:v>0.169769</c:v>
                </c:pt>
                <c:pt idx="46">
                  <c:v>0.19651766666666701</c:v>
                </c:pt>
                <c:pt idx="47">
                  <c:v>3.6999999999999998E-2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2671-4CBF-A21D-2207AE37D7C7}"/>
            </c:ext>
          </c:extLst>
        </c:ser>
        <c:ser>
          <c:idx val="44"/>
          <c:order val="44"/>
          <c:tx>
            <c:v>BES_TR1_six387_A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Demand_kW!$AU$2:$AU$49</c:f>
              <c:numCache>
                <c:formatCode>#,##0.000</c:formatCode>
                <c:ptCount val="48"/>
                <c:pt idx="0">
                  <c:v>0.11565</c:v>
                </c:pt>
                <c:pt idx="1">
                  <c:v>0.247953333333333</c:v>
                </c:pt>
                <c:pt idx="2">
                  <c:v>0.04</c:v>
                </c:pt>
                <c:pt idx="3">
                  <c:v>0.18276833333333301</c:v>
                </c:pt>
                <c:pt idx="4">
                  <c:v>0.180835</c:v>
                </c:pt>
                <c:pt idx="5">
                  <c:v>0.04</c:v>
                </c:pt>
                <c:pt idx="6">
                  <c:v>0.1913</c:v>
                </c:pt>
                <c:pt idx="7">
                  <c:v>5.5129999999999998E-2</c:v>
                </c:pt>
                <c:pt idx="8">
                  <c:v>0.14591000000000001</c:v>
                </c:pt>
                <c:pt idx="9">
                  <c:v>0.20597599999999999</c:v>
                </c:pt>
                <c:pt idx="10">
                  <c:v>8.1977333333333402E-2</c:v>
                </c:pt>
                <c:pt idx="11">
                  <c:v>0.17616999999999999</c:v>
                </c:pt>
                <c:pt idx="12">
                  <c:v>0.157173333333333</c:v>
                </c:pt>
                <c:pt idx="13">
                  <c:v>0.04</c:v>
                </c:pt>
                <c:pt idx="14">
                  <c:v>0.218147333333333</c:v>
                </c:pt>
                <c:pt idx="15">
                  <c:v>0.145456</c:v>
                </c:pt>
                <c:pt idx="16">
                  <c:v>0.11565</c:v>
                </c:pt>
                <c:pt idx="17">
                  <c:v>0.236236</c:v>
                </c:pt>
                <c:pt idx="18">
                  <c:v>8.1977333333333402E-2</c:v>
                </c:pt>
                <c:pt idx="19">
                  <c:v>0.17616999999999999</c:v>
                </c:pt>
                <c:pt idx="20">
                  <c:v>0.19592999999999999</c:v>
                </c:pt>
                <c:pt idx="21">
                  <c:v>0.42027633333333297</c:v>
                </c:pt>
                <c:pt idx="22">
                  <c:v>0.63326800000000005</c:v>
                </c:pt>
                <c:pt idx="23">
                  <c:v>2.1077453333333298</c:v>
                </c:pt>
                <c:pt idx="24">
                  <c:v>0.28340666666666697</c:v>
                </c:pt>
                <c:pt idx="25">
                  <c:v>0.49905866666666698</c:v>
                </c:pt>
                <c:pt idx="26">
                  <c:v>1.89991466666667</c:v>
                </c:pt>
                <c:pt idx="27">
                  <c:v>0.98455733333333395</c:v>
                </c:pt>
                <c:pt idx="28">
                  <c:v>4.1439499999999997E-2</c:v>
                </c:pt>
                <c:pt idx="29">
                  <c:v>0.13641400000000001</c:v>
                </c:pt>
                <c:pt idx="30">
                  <c:v>0.29037033333333301</c:v>
                </c:pt>
                <c:pt idx="31">
                  <c:v>0.59360000000000002</c:v>
                </c:pt>
                <c:pt idx="32">
                  <c:v>0.174625166666667</c:v>
                </c:pt>
                <c:pt idx="33">
                  <c:v>6.9293333333333401E-2</c:v>
                </c:pt>
                <c:pt idx="34">
                  <c:v>0.23572333333333301</c:v>
                </c:pt>
                <c:pt idx="35">
                  <c:v>0.12787999999999999</c:v>
                </c:pt>
                <c:pt idx="36">
                  <c:v>5.7576000000000002E-2</c:v>
                </c:pt>
                <c:pt idx="37">
                  <c:v>0.30602733333333298</c:v>
                </c:pt>
                <c:pt idx="38">
                  <c:v>5.9005833333333299E-2</c:v>
                </c:pt>
                <c:pt idx="39">
                  <c:v>0.33281066666666698</c:v>
                </c:pt>
                <c:pt idx="40">
                  <c:v>0.55800633333333305</c:v>
                </c:pt>
                <c:pt idx="41">
                  <c:v>2.3091200000000001</c:v>
                </c:pt>
                <c:pt idx="42">
                  <c:v>0.42679400000000001</c:v>
                </c:pt>
                <c:pt idx="43">
                  <c:v>0.24529733333333301</c:v>
                </c:pt>
                <c:pt idx="44">
                  <c:v>0.240115</c:v>
                </c:pt>
                <c:pt idx="45">
                  <c:v>0.24232400000000001</c:v>
                </c:pt>
                <c:pt idx="46">
                  <c:v>0.25883499999999998</c:v>
                </c:pt>
                <c:pt idx="47">
                  <c:v>0.28540866666666698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671-4CBF-A21D-2207AE37D7C7}"/>
            </c:ext>
          </c:extLst>
        </c:ser>
        <c:ser>
          <c:idx val="45"/>
          <c:order val="45"/>
          <c:tx>
            <c:v>BES_TR1_six410_A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Demand_kW!$AV$2:$AV$49</c:f>
              <c:numCache>
                <c:formatCode>#,##0.000</c:formatCode>
                <c:ptCount val="48"/>
                <c:pt idx="0">
                  <c:v>0.21787366666666699</c:v>
                </c:pt>
                <c:pt idx="1">
                  <c:v>8.1188666666666701E-2</c:v>
                </c:pt>
                <c:pt idx="2">
                  <c:v>0.12774933333333299</c:v>
                </c:pt>
                <c:pt idx="3">
                  <c:v>0.17438093333333299</c:v>
                </c:pt>
                <c:pt idx="4">
                  <c:v>6.7937333333333405E-2</c:v>
                </c:pt>
                <c:pt idx="5">
                  <c:v>0.11778066666666701</c:v>
                </c:pt>
                <c:pt idx="6">
                  <c:v>0.15636</c:v>
                </c:pt>
                <c:pt idx="7">
                  <c:v>9.7843333333333296E-2</c:v>
                </c:pt>
                <c:pt idx="8">
                  <c:v>9.5614666666666695E-2</c:v>
                </c:pt>
                <c:pt idx="9">
                  <c:v>0.14862</c:v>
                </c:pt>
                <c:pt idx="10">
                  <c:v>0.13771800000000001</c:v>
                </c:pt>
                <c:pt idx="11">
                  <c:v>6.3479999999999995E-2</c:v>
                </c:pt>
                <c:pt idx="12">
                  <c:v>0.215645</c:v>
                </c:pt>
                <c:pt idx="13">
                  <c:v>6.2952999999999995E-2</c:v>
                </c:pt>
                <c:pt idx="14">
                  <c:v>4.9010666666666702E-2</c:v>
                </c:pt>
                <c:pt idx="15">
                  <c:v>0.15902666666666701</c:v>
                </c:pt>
                <c:pt idx="16">
                  <c:v>0.13771800000000001</c:v>
                </c:pt>
                <c:pt idx="17">
                  <c:v>6.0382666666666703E-2</c:v>
                </c:pt>
                <c:pt idx="18">
                  <c:v>0.35315800000000003</c:v>
                </c:pt>
                <c:pt idx="19">
                  <c:v>0.31775199999999998</c:v>
                </c:pt>
                <c:pt idx="20">
                  <c:v>1.04020133333333</c:v>
                </c:pt>
                <c:pt idx="21">
                  <c:v>0.41274733333333302</c:v>
                </c:pt>
                <c:pt idx="22">
                  <c:v>0.38654566666666701</c:v>
                </c:pt>
                <c:pt idx="23">
                  <c:v>0.12540000000000001</c:v>
                </c:pt>
                <c:pt idx="24">
                  <c:v>0.13771800000000001</c:v>
                </c:pt>
                <c:pt idx="25">
                  <c:v>6.3479999999999995E-2</c:v>
                </c:pt>
                <c:pt idx="26">
                  <c:v>0.230598</c:v>
                </c:pt>
                <c:pt idx="27">
                  <c:v>4.8000000000000001E-2</c:v>
                </c:pt>
                <c:pt idx="28">
                  <c:v>0.18521199999999999</c:v>
                </c:pt>
                <c:pt idx="29">
                  <c:v>0.108866</c:v>
                </c:pt>
                <c:pt idx="30">
                  <c:v>8.2890333333333302E-2</c:v>
                </c:pt>
                <c:pt idx="31">
                  <c:v>0.102827666666667</c:v>
                </c:pt>
                <c:pt idx="32">
                  <c:v>0.1254208</c:v>
                </c:pt>
                <c:pt idx="33">
                  <c:v>0.23105466666666699</c:v>
                </c:pt>
                <c:pt idx="34">
                  <c:v>0.243168666666667</c:v>
                </c:pt>
                <c:pt idx="35">
                  <c:v>0.34205153333333299</c:v>
                </c:pt>
                <c:pt idx="36">
                  <c:v>0.27585799999999999</c:v>
                </c:pt>
                <c:pt idx="37">
                  <c:v>0.32083133333333302</c:v>
                </c:pt>
                <c:pt idx="38">
                  <c:v>0.22014359999999999</c:v>
                </c:pt>
                <c:pt idx="39">
                  <c:v>0.41761199999999998</c:v>
                </c:pt>
                <c:pt idx="40">
                  <c:v>8.7874666666666698E-2</c:v>
                </c:pt>
                <c:pt idx="41">
                  <c:v>0.22414266666666699</c:v>
                </c:pt>
                <c:pt idx="42">
                  <c:v>0.35040700000000002</c:v>
                </c:pt>
                <c:pt idx="43">
                  <c:v>0.46652266666666697</c:v>
                </c:pt>
                <c:pt idx="44">
                  <c:v>0.52270000000000005</c:v>
                </c:pt>
                <c:pt idx="45">
                  <c:v>0.50668866666666701</c:v>
                </c:pt>
                <c:pt idx="46">
                  <c:v>0.155306</c:v>
                </c:pt>
                <c:pt idx="47">
                  <c:v>0.161626666666667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2671-4CBF-A21D-2207AE37D7C7}"/>
            </c:ext>
          </c:extLst>
        </c:ser>
        <c:ser>
          <c:idx val="46"/>
          <c:order val="46"/>
          <c:tx>
            <c:v>BES_TR1_six431_C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Demand_kW!$AW$2:$AW$49</c:f>
              <c:numCache>
                <c:formatCode>#,##0.000</c:formatCode>
                <c:ptCount val="48"/>
                <c:pt idx="0">
                  <c:v>0.31326599999999999</c:v>
                </c:pt>
                <c:pt idx="1">
                  <c:v>8.1253333333333302E-2</c:v>
                </c:pt>
                <c:pt idx="2">
                  <c:v>0.26008199999999998</c:v>
                </c:pt>
                <c:pt idx="3">
                  <c:v>5.50523333333333E-2</c:v>
                </c:pt>
                <c:pt idx="4">
                  <c:v>0.18039633333333299</c:v>
                </c:pt>
                <c:pt idx="5">
                  <c:v>0.15688666666666701</c:v>
                </c:pt>
                <c:pt idx="6">
                  <c:v>0.131505333333333</c:v>
                </c:pt>
                <c:pt idx="7">
                  <c:v>0.20982999999999999</c:v>
                </c:pt>
                <c:pt idx="8">
                  <c:v>0.123942</c:v>
                </c:pt>
                <c:pt idx="9">
                  <c:v>0.20226666666666701</c:v>
                </c:pt>
                <c:pt idx="10">
                  <c:v>0.10664999999999999</c:v>
                </c:pt>
                <c:pt idx="11">
                  <c:v>8.3418666666666696E-2</c:v>
                </c:pt>
                <c:pt idx="12">
                  <c:v>0.17274400000000001</c:v>
                </c:pt>
                <c:pt idx="13">
                  <c:v>0.179576666666667</c:v>
                </c:pt>
                <c:pt idx="14">
                  <c:v>0.123942</c:v>
                </c:pt>
                <c:pt idx="15">
                  <c:v>0.21739333333333299</c:v>
                </c:pt>
                <c:pt idx="16">
                  <c:v>0.123942</c:v>
                </c:pt>
                <c:pt idx="17">
                  <c:v>0.15688666666666701</c:v>
                </c:pt>
                <c:pt idx="18">
                  <c:v>0.23238166666666701</c:v>
                </c:pt>
                <c:pt idx="19">
                  <c:v>0.227291666666667</c:v>
                </c:pt>
                <c:pt idx="20">
                  <c:v>1.61343866666667</c:v>
                </c:pt>
                <c:pt idx="21">
                  <c:v>0.17232</c:v>
                </c:pt>
                <c:pt idx="22">
                  <c:v>0.30421666666666702</c:v>
                </c:pt>
                <c:pt idx="23">
                  <c:v>0.39099600000000001</c:v>
                </c:pt>
                <c:pt idx="24">
                  <c:v>0.19817599999999999</c:v>
                </c:pt>
                <c:pt idx="25">
                  <c:v>0.24740000000000001</c:v>
                </c:pt>
                <c:pt idx="26">
                  <c:v>0.10169</c:v>
                </c:pt>
                <c:pt idx="27">
                  <c:v>0.20100633333333301</c:v>
                </c:pt>
                <c:pt idx="28">
                  <c:v>0.33085199999999998</c:v>
                </c:pt>
                <c:pt idx="29">
                  <c:v>0.26328499999999999</c:v>
                </c:pt>
                <c:pt idx="30">
                  <c:v>0.382097666666667</c:v>
                </c:pt>
                <c:pt idx="31">
                  <c:v>0.301134333333333</c:v>
                </c:pt>
                <c:pt idx="32">
                  <c:v>0.14807999999999999</c:v>
                </c:pt>
                <c:pt idx="33">
                  <c:v>0.113394333333333</c:v>
                </c:pt>
                <c:pt idx="34">
                  <c:v>0.44255133333333302</c:v>
                </c:pt>
                <c:pt idx="35">
                  <c:v>0.22890733333333299</c:v>
                </c:pt>
                <c:pt idx="36">
                  <c:v>0.29367066666666702</c:v>
                </c:pt>
                <c:pt idx="37">
                  <c:v>0.17804566666666699</c:v>
                </c:pt>
                <c:pt idx="38">
                  <c:v>0.173029666666667</c:v>
                </c:pt>
                <c:pt idx="39">
                  <c:v>0.56437899999999996</c:v>
                </c:pt>
                <c:pt idx="40">
                  <c:v>0.36776500000000001</c:v>
                </c:pt>
                <c:pt idx="41">
                  <c:v>0.59427200000000002</c:v>
                </c:pt>
                <c:pt idx="42">
                  <c:v>0.686842333333333</c:v>
                </c:pt>
                <c:pt idx="43">
                  <c:v>0.66290899999999997</c:v>
                </c:pt>
                <c:pt idx="44">
                  <c:v>0.13419666666666699</c:v>
                </c:pt>
                <c:pt idx="45">
                  <c:v>0.257514666666667</c:v>
                </c:pt>
                <c:pt idx="46">
                  <c:v>0.273953</c:v>
                </c:pt>
                <c:pt idx="47">
                  <c:v>9.1523333333333304E-2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671-4CBF-A21D-2207AE37D7C7}"/>
            </c:ext>
          </c:extLst>
        </c:ser>
        <c:ser>
          <c:idx val="47"/>
          <c:order val="47"/>
          <c:tx>
            <c:v>BES_TR1_six441_A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Demand_kW!$AX$2:$AX$49</c:f>
              <c:numCache>
                <c:formatCode>#,##0.000</c:formatCode>
                <c:ptCount val="48"/>
                <c:pt idx="0">
                  <c:v>0.03</c:v>
                </c:pt>
                <c:pt idx="1">
                  <c:v>0.16144</c:v>
                </c:pt>
                <c:pt idx="2">
                  <c:v>0.03</c:v>
                </c:pt>
                <c:pt idx="3">
                  <c:v>0.16144</c:v>
                </c:pt>
                <c:pt idx="4">
                  <c:v>0.03</c:v>
                </c:pt>
                <c:pt idx="5">
                  <c:v>0.115436</c:v>
                </c:pt>
                <c:pt idx="6">
                  <c:v>7.6004000000000002E-2</c:v>
                </c:pt>
                <c:pt idx="7">
                  <c:v>8.2575999999999997E-2</c:v>
                </c:pt>
                <c:pt idx="8">
                  <c:v>0.108864</c:v>
                </c:pt>
                <c:pt idx="9">
                  <c:v>0.98764333333333298</c:v>
                </c:pt>
                <c:pt idx="10">
                  <c:v>0.24377333333333301</c:v>
                </c:pt>
                <c:pt idx="11">
                  <c:v>0.03</c:v>
                </c:pt>
                <c:pt idx="12">
                  <c:v>0.03</c:v>
                </c:pt>
                <c:pt idx="13">
                  <c:v>0.12858</c:v>
                </c:pt>
                <c:pt idx="14">
                  <c:v>6.2859999999999999E-2</c:v>
                </c:pt>
                <c:pt idx="15">
                  <c:v>6.9431999999999994E-2</c:v>
                </c:pt>
                <c:pt idx="16">
                  <c:v>0.12200800000000001</c:v>
                </c:pt>
                <c:pt idx="17">
                  <c:v>0.03</c:v>
                </c:pt>
                <c:pt idx="18">
                  <c:v>0.16894000000000001</c:v>
                </c:pt>
                <c:pt idx="19">
                  <c:v>3.5000000000000003E-2</c:v>
                </c:pt>
                <c:pt idx="20">
                  <c:v>0.10267066666666699</c:v>
                </c:pt>
                <c:pt idx="21">
                  <c:v>0.115436</c:v>
                </c:pt>
                <c:pt idx="22">
                  <c:v>6.2859999999999999E-2</c:v>
                </c:pt>
                <c:pt idx="23">
                  <c:v>0.12941333333333299</c:v>
                </c:pt>
                <c:pt idx="24">
                  <c:v>3.08333333333334E-2</c:v>
                </c:pt>
                <c:pt idx="25">
                  <c:v>0.35062643333333299</c:v>
                </c:pt>
                <c:pt idx="26">
                  <c:v>0.18146090000000001</c:v>
                </c:pt>
                <c:pt idx="27">
                  <c:v>0.03</c:v>
                </c:pt>
                <c:pt idx="28">
                  <c:v>0.16144</c:v>
                </c:pt>
                <c:pt idx="29">
                  <c:v>0.03</c:v>
                </c:pt>
                <c:pt idx="30">
                  <c:v>0.03</c:v>
                </c:pt>
                <c:pt idx="31">
                  <c:v>0.16144</c:v>
                </c:pt>
                <c:pt idx="32">
                  <c:v>0.03</c:v>
                </c:pt>
                <c:pt idx="33">
                  <c:v>0.13515199999999999</c:v>
                </c:pt>
                <c:pt idx="34">
                  <c:v>5.6287999999999998E-2</c:v>
                </c:pt>
                <c:pt idx="35">
                  <c:v>8.2575999999999997E-2</c:v>
                </c:pt>
                <c:pt idx="36">
                  <c:v>0.108864</c:v>
                </c:pt>
                <c:pt idx="37">
                  <c:v>0.03</c:v>
                </c:pt>
                <c:pt idx="38">
                  <c:v>6.2859999999999999E-2</c:v>
                </c:pt>
                <c:pt idx="39">
                  <c:v>0.12858</c:v>
                </c:pt>
                <c:pt idx="40">
                  <c:v>4.3144000000000002E-2</c:v>
                </c:pt>
                <c:pt idx="41">
                  <c:v>0.32319199999999998</c:v>
                </c:pt>
                <c:pt idx="42">
                  <c:v>0.30483733333333302</c:v>
                </c:pt>
                <c:pt idx="43">
                  <c:v>0.43027333333333301</c:v>
                </c:pt>
                <c:pt idx="44">
                  <c:v>0.41617266666666702</c:v>
                </c:pt>
                <c:pt idx="45">
                  <c:v>0.03</c:v>
                </c:pt>
                <c:pt idx="46">
                  <c:v>0.03</c:v>
                </c:pt>
                <c:pt idx="4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2671-4CBF-A21D-2207AE37D7C7}"/>
            </c:ext>
          </c:extLst>
        </c:ser>
        <c:ser>
          <c:idx val="48"/>
          <c:order val="48"/>
          <c:tx>
            <c:v>BES_TR1_six484_B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Demand_kW!$AY$2:$AY$49</c:f>
              <c:numCache>
                <c:formatCode>#,##0.000</c:formatCode>
                <c:ptCount val="48"/>
                <c:pt idx="0">
                  <c:v>0.160380666666667</c:v>
                </c:pt>
                <c:pt idx="1">
                  <c:v>0.24227733333333301</c:v>
                </c:pt>
                <c:pt idx="2">
                  <c:v>0.147064</c:v>
                </c:pt>
                <c:pt idx="3">
                  <c:v>0.18700966666666699</c:v>
                </c:pt>
                <c:pt idx="4">
                  <c:v>0.15904033333333301</c:v>
                </c:pt>
                <c:pt idx="5">
                  <c:v>0.139988</c:v>
                </c:pt>
                <c:pt idx="6">
                  <c:v>0.21305933333333299</c:v>
                </c:pt>
                <c:pt idx="7">
                  <c:v>0.22497866666666699</c:v>
                </c:pt>
                <c:pt idx="8">
                  <c:v>8.2087666666666698E-2</c:v>
                </c:pt>
                <c:pt idx="9">
                  <c:v>0.25688633333333299</c:v>
                </c:pt>
                <c:pt idx="10">
                  <c:v>0.147064</c:v>
                </c:pt>
                <c:pt idx="11">
                  <c:v>0.22815733333333299</c:v>
                </c:pt>
                <c:pt idx="12">
                  <c:v>0.146196666666667</c:v>
                </c:pt>
                <c:pt idx="13">
                  <c:v>0.12629299999999999</c:v>
                </c:pt>
                <c:pt idx="14">
                  <c:v>0.27636500000000003</c:v>
                </c:pt>
                <c:pt idx="15">
                  <c:v>4.8000000000000001E-2</c:v>
                </c:pt>
                <c:pt idx="16">
                  <c:v>1.363523</c:v>
                </c:pt>
                <c:pt idx="17">
                  <c:v>3.5398533333333302</c:v>
                </c:pt>
                <c:pt idx="18">
                  <c:v>1.91370533333333</c:v>
                </c:pt>
                <c:pt idx="19">
                  <c:v>1.63071066666667</c:v>
                </c:pt>
                <c:pt idx="20">
                  <c:v>2.9215266666666699</c:v>
                </c:pt>
                <c:pt idx="21">
                  <c:v>2.3098109999999998</c:v>
                </c:pt>
                <c:pt idx="22">
                  <c:v>0.48502166666666702</c:v>
                </c:pt>
                <c:pt idx="23">
                  <c:v>1.2514069999999999</c:v>
                </c:pt>
                <c:pt idx="24">
                  <c:v>0.297279666666667</c:v>
                </c:pt>
                <c:pt idx="25">
                  <c:v>0.30791043333333301</c:v>
                </c:pt>
                <c:pt idx="26">
                  <c:v>5.2869666666666697E-2</c:v>
                </c:pt>
                <c:pt idx="27">
                  <c:v>0.38517000000000001</c:v>
                </c:pt>
                <c:pt idx="28">
                  <c:v>4.8000000000000001E-2</c:v>
                </c:pt>
                <c:pt idx="29">
                  <c:v>0.26904099999999997</c:v>
                </c:pt>
                <c:pt idx="30">
                  <c:v>0.16899800000000001</c:v>
                </c:pt>
                <c:pt idx="31">
                  <c:v>6.2151999999999999E-2</c:v>
                </c:pt>
                <c:pt idx="32">
                  <c:v>0.27411200000000002</c:v>
                </c:pt>
                <c:pt idx="33">
                  <c:v>0.14977399999999999</c:v>
                </c:pt>
                <c:pt idx="34">
                  <c:v>0.24590400000000001</c:v>
                </c:pt>
                <c:pt idx="35">
                  <c:v>0.450716333333333</c:v>
                </c:pt>
                <c:pt idx="36">
                  <c:v>0.26657966666666699</c:v>
                </c:pt>
                <c:pt idx="37">
                  <c:v>0.49217830000000001</c:v>
                </c:pt>
                <c:pt idx="38">
                  <c:v>4.8000000000000001E-2</c:v>
                </c:pt>
                <c:pt idx="39">
                  <c:v>0.29943833333333297</c:v>
                </c:pt>
                <c:pt idx="40">
                  <c:v>0.27251283333333298</c:v>
                </c:pt>
                <c:pt idx="41">
                  <c:v>0.47617266666666702</c:v>
                </c:pt>
                <c:pt idx="42">
                  <c:v>0.84751733333333401</c:v>
                </c:pt>
                <c:pt idx="43">
                  <c:v>1.000556</c:v>
                </c:pt>
                <c:pt idx="44">
                  <c:v>1.0267253333333299</c:v>
                </c:pt>
                <c:pt idx="45">
                  <c:v>1.9568283333333301</c:v>
                </c:pt>
                <c:pt idx="46">
                  <c:v>0.57378600000000002</c:v>
                </c:pt>
                <c:pt idx="47">
                  <c:v>0.92635900000000004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671-4CBF-A21D-2207AE37D7C7}"/>
            </c:ext>
          </c:extLst>
        </c:ser>
        <c:ser>
          <c:idx val="49"/>
          <c:order val="49"/>
          <c:tx>
            <c:v>BES_TR1_six501_A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Demand_kW!$AZ$2:$AZ$49</c:f>
              <c:numCache>
                <c:formatCode>#,##0.000</c:formatCode>
                <c:ptCount val="48"/>
                <c:pt idx="0">
                  <c:v>0.29324033333333299</c:v>
                </c:pt>
                <c:pt idx="1">
                  <c:v>8.8449999999999904E-2</c:v>
                </c:pt>
                <c:pt idx="2">
                  <c:v>0.197847</c:v>
                </c:pt>
                <c:pt idx="3">
                  <c:v>5.8193333333333298E-2</c:v>
                </c:pt>
                <c:pt idx="4">
                  <c:v>9.13423333333334E-2</c:v>
                </c:pt>
                <c:pt idx="5">
                  <c:v>0.33868466666666702</c:v>
                </c:pt>
                <c:pt idx="6">
                  <c:v>4.1000000000000002E-2</c:v>
                </c:pt>
                <c:pt idx="7">
                  <c:v>0.221178333333333</c:v>
                </c:pt>
                <c:pt idx="8">
                  <c:v>0.18812999999999999</c:v>
                </c:pt>
                <c:pt idx="9">
                  <c:v>6.1714999999999999E-2</c:v>
                </c:pt>
                <c:pt idx="10">
                  <c:v>0.127991666666667</c:v>
                </c:pt>
                <c:pt idx="11">
                  <c:v>0.30203633333333302</c:v>
                </c:pt>
                <c:pt idx="12">
                  <c:v>4.1000000000000002E-2</c:v>
                </c:pt>
                <c:pt idx="13">
                  <c:v>0.33131833333333299</c:v>
                </c:pt>
                <c:pt idx="14">
                  <c:v>0.17919299999999999</c:v>
                </c:pt>
                <c:pt idx="15">
                  <c:v>0.14380833333333301</c:v>
                </c:pt>
                <c:pt idx="16">
                  <c:v>0.20884566666666701</c:v>
                </c:pt>
                <c:pt idx="17">
                  <c:v>0.11837</c:v>
                </c:pt>
                <c:pt idx="18">
                  <c:v>0.23569833333333301</c:v>
                </c:pt>
                <c:pt idx="19">
                  <c:v>0.116955</c:v>
                </c:pt>
                <c:pt idx="20">
                  <c:v>0.32344200000000001</c:v>
                </c:pt>
                <c:pt idx="21">
                  <c:v>0.21810089999999999</c:v>
                </c:pt>
                <c:pt idx="22">
                  <c:v>0.11374593333333299</c:v>
                </c:pt>
                <c:pt idx="23">
                  <c:v>1.26770433333333</c:v>
                </c:pt>
                <c:pt idx="24">
                  <c:v>1.32850333333333</c:v>
                </c:pt>
                <c:pt idx="25">
                  <c:v>0.24683833333333299</c:v>
                </c:pt>
                <c:pt idx="26">
                  <c:v>1.57790233333333</c:v>
                </c:pt>
                <c:pt idx="27">
                  <c:v>0.35581099999999999</c:v>
                </c:pt>
                <c:pt idx="28">
                  <c:v>0.41352133333333302</c:v>
                </c:pt>
                <c:pt idx="29">
                  <c:v>0.60209433333333295</c:v>
                </c:pt>
                <c:pt idx="30">
                  <c:v>0.90734099999999995</c:v>
                </c:pt>
                <c:pt idx="31">
                  <c:v>0.28004499999999999</c:v>
                </c:pt>
                <c:pt idx="32">
                  <c:v>1.8159620000000001</c:v>
                </c:pt>
                <c:pt idx="33">
                  <c:v>0.233797333333333</c:v>
                </c:pt>
                <c:pt idx="34">
                  <c:v>1.16292</c:v>
                </c:pt>
                <c:pt idx="35">
                  <c:v>2.0585766666666698</c:v>
                </c:pt>
                <c:pt idx="36">
                  <c:v>0.56198499999999996</c:v>
                </c:pt>
                <c:pt idx="37">
                  <c:v>0.44174766666666698</c:v>
                </c:pt>
                <c:pt idx="38">
                  <c:v>0.20519699999999999</c:v>
                </c:pt>
                <c:pt idx="39">
                  <c:v>0.43872666666666699</c:v>
                </c:pt>
                <c:pt idx="40">
                  <c:v>0.55158600000000002</c:v>
                </c:pt>
                <c:pt idx="41">
                  <c:v>0.40370600000000001</c:v>
                </c:pt>
                <c:pt idx="42">
                  <c:v>0.75507999999999997</c:v>
                </c:pt>
                <c:pt idx="43">
                  <c:v>0.66240833333333404</c:v>
                </c:pt>
                <c:pt idx="44">
                  <c:v>0.54202666666666699</c:v>
                </c:pt>
                <c:pt idx="45">
                  <c:v>0.41182633333333302</c:v>
                </c:pt>
                <c:pt idx="46">
                  <c:v>5.8193333333333298E-2</c:v>
                </c:pt>
                <c:pt idx="47">
                  <c:v>0.191258333333333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2671-4CBF-A21D-2207AE37D7C7}"/>
            </c:ext>
          </c:extLst>
        </c:ser>
        <c:ser>
          <c:idx val="50"/>
          <c:order val="50"/>
          <c:tx>
            <c:v>BES_TR1_six512_B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Demand_kW!$BA$2:$BA$49</c:f>
              <c:numCache>
                <c:formatCode>#,##0.000</c:formatCode>
                <c:ptCount val="48"/>
                <c:pt idx="0">
                  <c:v>0.124101</c:v>
                </c:pt>
                <c:pt idx="1">
                  <c:v>0.14003599999999999</c:v>
                </c:pt>
                <c:pt idx="2">
                  <c:v>0.17982000000000001</c:v>
                </c:pt>
                <c:pt idx="3">
                  <c:v>0.14003599999999999</c:v>
                </c:pt>
                <c:pt idx="4">
                  <c:v>0.17982000000000001</c:v>
                </c:pt>
                <c:pt idx="5">
                  <c:v>0.112024</c:v>
                </c:pt>
                <c:pt idx="6">
                  <c:v>8.4012000000000003E-2</c:v>
                </c:pt>
                <c:pt idx="7">
                  <c:v>0.13648299999999999</c:v>
                </c:pt>
                <c:pt idx="8">
                  <c:v>9.9336999999999995E-2</c:v>
                </c:pt>
                <c:pt idx="9">
                  <c:v>0.20194599999999999</c:v>
                </c:pt>
                <c:pt idx="10">
                  <c:v>0.11791</c:v>
                </c:pt>
                <c:pt idx="11">
                  <c:v>0.14003599999999999</c:v>
                </c:pt>
                <c:pt idx="12">
                  <c:v>5.6000000000000001E-2</c:v>
                </c:pt>
                <c:pt idx="13">
                  <c:v>0.26385599999999998</c:v>
                </c:pt>
                <c:pt idx="14">
                  <c:v>5.6000000000000001E-2</c:v>
                </c:pt>
                <c:pt idx="15">
                  <c:v>0.21422633333333299</c:v>
                </c:pt>
                <c:pt idx="16">
                  <c:v>0.105629666666667</c:v>
                </c:pt>
                <c:pt idx="17">
                  <c:v>0.16601733333333299</c:v>
                </c:pt>
                <c:pt idx="18">
                  <c:v>0.15383866666666701</c:v>
                </c:pt>
                <c:pt idx="19">
                  <c:v>0.124101</c:v>
                </c:pt>
                <c:pt idx="20">
                  <c:v>0.429385666666667</c:v>
                </c:pt>
                <c:pt idx="21">
                  <c:v>1.8840934</c:v>
                </c:pt>
                <c:pt idx="22">
                  <c:v>0.25683600000000001</c:v>
                </c:pt>
                <c:pt idx="23">
                  <c:v>1.1736850000000001</c:v>
                </c:pt>
                <c:pt idx="24">
                  <c:v>1.237738</c:v>
                </c:pt>
                <c:pt idx="25">
                  <c:v>0.21969</c:v>
                </c:pt>
                <c:pt idx="26">
                  <c:v>0.42754599999999998</c:v>
                </c:pt>
                <c:pt idx="27">
                  <c:v>0.110563333333333</c:v>
                </c:pt>
                <c:pt idx="28">
                  <c:v>0.26385599999999998</c:v>
                </c:pt>
                <c:pt idx="29">
                  <c:v>5.6000000000000001E-2</c:v>
                </c:pt>
                <c:pt idx="30">
                  <c:v>0.203163333333333</c:v>
                </c:pt>
                <c:pt idx="31">
                  <c:v>0.116692666666667</c:v>
                </c:pt>
                <c:pt idx="32">
                  <c:v>0.111719</c:v>
                </c:pt>
                <c:pt idx="33">
                  <c:v>0.51199366666666701</c:v>
                </c:pt>
                <c:pt idx="34">
                  <c:v>0.38867299999999999</c:v>
                </c:pt>
                <c:pt idx="35">
                  <c:v>0.35760999999999998</c:v>
                </c:pt>
                <c:pt idx="36">
                  <c:v>0.28340666666666697</c:v>
                </c:pt>
                <c:pt idx="37">
                  <c:v>0.21969873333333301</c:v>
                </c:pt>
                <c:pt idx="38">
                  <c:v>0.33257833333333298</c:v>
                </c:pt>
                <c:pt idx="39">
                  <c:v>0.60150066666666702</c:v>
                </c:pt>
                <c:pt idx="40">
                  <c:v>0.56560600000000005</c:v>
                </c:pt>
                <c:pt idx="41">
                  <c:v>0.558711333333333</c:v>
                </c:pt>
                <c:pt idx="42">
                  <c:v>0.68040299999999998</c:v>
                </c:pt>
                <c:pt idx="43">
                  <c:v>0.41211433333333303</c:v>
                </c:pt>
                <c:pt idx="44">
                  <c:v>0.51293866666666699</c:v>
                </c:pt>
                <c:pt idx="45">
                  <c:v>0.437809333333333</c:v>
                </c:pt>
                <c:pt idx="46">
                  <c:v>0.17555799999999999</c:v>
                </c:pt>
                <c:pt idx="47">
                  <c:v>7.0005999999999999E-2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671-4CBF-A21D-2207AE37D7C7}"/>
            </c:ext>
          </c:extLst>
        </c:ser>
        <c:ser>
          <c:idx val="51"/>
          <c:order val="51"/>
          <c:tx>
            <c:v>BES_TR1_six518_B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Demand_kW!$BB$2:$BB$49</c:f>
              <c:numCache>
                <c:formatCode>#,##0.000</c:formatCode>
                <c:ptCount val="48"/>
                <c:pt idx="0">
                  <c:v>9.5389000000000002E-2</c:v>
                </c:pt>
                <c:pt idx="1">
                  <c:v>9.5388999999999904E-2</c:v>
                </c:pt>
                <c:pt idx="2">
                  <c:v>5.8000000000000003E-2</c:v>
                </c:pt>
                <c:pt idx="3">
                  <c:v>0.13277800000000001</c:v>
                </c:pt>
                <c:pt idx="4">
                  <c:v>5.8000000000000003E-2</c:v>
                </c:pt>
                <c:pt idx="5">
                  <c:v>0.13277800000000001</c:v>
                </c:pt>
                <c:pt idx="6">
                  <c:v>5.8000000000000003E-2</c:v>
                </c:pt>
                <c:pt idx="7">
                  <c:v>5.8000000000000003E-2</c:v>
                </c:pt>
                <c:pt idx="8">
                  <c:v>0.12031500000000001</c:v>
                </c:pt>
                <c:pt idx="9">
                  <c:v>7.0462999999999998E-2</c:v>
                </c:pt>
                <c:pt idx="10">
                  <c:v>5.8000000000000003E-2</c:v>
                </c:pt>
                <c:pt idx="11">
                  <c:v>5.8000000000000003E-2</c:v>
                </c:pt>
                <c:pt idx="12">
                  <c:v>5.8000000000000003E-2</c:v>
                </c:pt>
                <c:pt idx="13">
                  <c:v>0.13277800000000001</c:v>
                </c:pt>
                <c:pt idx="14">
                  <c:v>5.8000000000000003E-2</c:v>
                </c:pt>
                <c:pt idx="15">
                  <c:v>0.10419526666666699</c:v>
                </c:pt>
                <c:pt idx="16">
                  <c:v>0.65845399999999998</c:v>
                </c:pt>
                <c:pt idx="17">
                  <c:v>1.1697296666666701</c:v>
                </c:pt>
                <c:pt idx="18">
                  <c:v>0.335318</c:v>
                </c:pt>
                <c:pt idx="19">
                  <c:v>0.296427</c:v>
                </c:pt>
                <c:pt idx="20">
                  <c:v>0.50693766666666695</c:v>
                </c:pt>
                <c:pt idx="21">
                  <c:v>0.368562</c:v>
                </c:pt>
                <c:pt idx="22">
                  <c:v>0.339220666666667</c:v>
                </c:pt>
                <c:pt idx="23">
                  <c:v>0.69028033333333305</c:v>
                </c:pt>
                <c:pt idx="24">
                  <c:v>0.50005999999999995</c:v>
                </c:pt>
                <c:pt idx="25">
                  <c:v>0.61840566666666696</c:v>
                </c:pt>
                <c:pt idx="26">
                  <c:v>0.30517066666666698</c:v>
                </c:pt>
                <c:pt idx="27">
                  <c:v>1.57416933333333</c:v>
                </c:pt>
                <c:pt idx="28">
                  <c:v>1.51627633333333</c:v>
                </c:pt>
                <c:pt idx="29">
                  <c:v>1.87863466666667</c:v>
                </c:pt>
                <c:pt idx="30">
                  <c:v>0.265925666666667</c:v>
                </c:pt>
                <c:pt idx="31">
                  <c:v>0.21774499999999999</c:v>
                </c:pt>
                <c:pt idx="32">
                  <c:v>0.107655666666667</c:v>
                </c:pt>
                <c:pt idx="33">
                  <c:v>0.27640933333333301</c:v>
                </c:pt>
                <c:pt idx="34">
                  <c:v>2.8896999999999999</c:v>
                </c:pt>
                <c:pt idx="35">
                  <c:v>0.12292866666666701</c:v>
                </c:pt>
                <c:pt idx="36">
                  <c:v>1.26950433333333</c:v>
                </c:pt>
                <c:pt idx="37">
                  <c:v>0.29592133333333298</c:v>
                </c:pt>
                <c:pt idx="38">
                  <c:v>0.17830133333333301</c:v>
                </c:pt>
                <c:pt idx="39">
                  <c:v>0.48127566666666699</c:v>
                </c:pt>
                <c:pt idx="40">
                  <c:v>0.61894533333333301</c:v>
                </c:pt>
                <c:pt idx="41">
                  <c:v>0.55525633333333302</c:v>
                </c:pt>
                <c:pt idx="42">
                  <c:v>0.530507333333333</c:v>
                </c:pt>
                <c:pt idx="43">
                  <c:v>0.55319066666666705</c:v>
                </c:pt>
                <c:pt idx="44">
                  <c:v>0.50082633333333304</c:v>
                </c:pt>
                <c:pt idx="45">
                  <c:v>0.81755800000000001</c:v>
                </c:pt>
                <c:pt idx="46">
                  <c:v>0.89337433333333305</c:v>
                </c:pt>
                <c:pt idx="47">
                  <c:v>1.433289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2671-4CBF-A21D-2207AE37D7C7}"/>
            </c:ext>
          </c:extLst>
        </c:ser>
        <c:ser>
          <c:idx val="52"/>
          <c:order val="52"/>
          <c:tx>
            <c:v>BES_TR1_six595_B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Demand_kW!$BC$2:$BC$49</c:f>
              <c:numCache>
                <c:formatCode>#,##0.000</c:formatCode>
                <c:ptCount val="48"/>
                <c:pt idx="0">
                  <c:v>8.8565666666666695E-2</c:v>
                </c:pt>
                <c:pt idx="1">
                  <c:v>8.0281000000000005E-2</c:v>
                </c:pt>
                <c:pt idx="2">
                  <c:v>8.0281000000000005E-2</c:v>
                </c:pt>
                <c:pt idx="3">
                  <c:v>0.10099266666666699</c:v>
                </c:pt>
                <c:pt idx="4">
                  <c:v>5.9569333333333301E-2</c:v>
                </c:pt>
                <c:pt idx="5">
                  <c:v>4.2999999999999997E-2</c:v>
                </c:pt>
                <c:pt idx="6">
                  <c:v>4.2999999999999997E-2</c:v>
                </c:pt>
                <c:pt idx="7">
                  <c:v>0.117562</c:v>
                </c:pt>
                <c:pt idx="8">
                  <c:v>4.2999999999999997E-2</c:v>
                </c:pt>
                <c:pt idx="9">
                  <c:v>4.2999999999999997E-2</c:v>
                </c:pt>
                <c:pt idx="10">
                  <c:v>0.117562</c:v>
                </c:pt>
                <c:pt idx="11">
                  <c:v>4.2999999999999997E-2</c:v>
                </c:pt>
                <c:pt idx="12">
                  <c:v>9.2707999999999999E-2</c:v>
                </c:pt>
                <c:pt idx="13">
                  <c:v>6.7853999999999901E-2</c:v>
                </c:pt>
                <c:pt idx="14">
                  <c:v>4.2999999999999997E-2</c:v>
                </c:pt>
                <c:pt idx="15">
                  <c:v>4.2999999999999997E-2</c:v>
                </c:pt>
                <c:pt idx="16">
                  <c:v>0.24156810000000001</c:v>
                </c:pt>
                <c:pt idx="17">
                  <c:v>0.20415359999999999</c:v>
                </c:pt>
                <c:pt idx="18">
                  <c:v>0.22686000000000001</c:v>
                </c:pt>
                <c:pt idx="19">
                  <c:v>0.32142500000000002</c:v>
                </c:pt>
                <c:pt idx="20">
                  <c:v>6.3711666666666694E-2</c:v>
                </c:pt>
                <c:pt idx="21">
                  <c:v>9.6850333333333399E-2</c:v>
                </c:pt>
                <c:pt idx="22">
                  <c:v>4.2999999999999997E-2</c:v>
                </c:pt>
                <c:pt idx="23">
                  <c:v>4.2999999999999997E-2</c:v>
                </c:pt>
                <c:pt idx="24">
                  <c:v>4.2999999999999997E-2</c:v>
                </c:pt>
                <c:pt idx="25">
                  <c:v>0.117562</c:v>
                </c:pt>
                <c:pt idx="26">
                  <c:v>6.5658999999999995E-2</c:v>
                </c:pt>
                <c:pt idx="27">
                  <c:v>4.2999999999999997E-2</c:v>
                </c:pt>
                <c:pt idx="28">
                  <c:v>0.117562</c:v>
                </c:pt>
                <c:pt idx="29">
                  <c:v>4.2999999999999997E-2</c:v>
                </c:pt>
                <c:pt idx="30">
                  <c:v>8.4423333333333295E-2</c:v>
                </c:pt>
                <c:pt idx="31">
                  <c:v>7.6138666666666702E-2</c:v>
                </c:pt>
                <c:pt idx="32">
                  <c:v>4.2999999999999997E-2</c:v>
                </c:pt>
                <c:pt idx="33">
                  <c:v>4.2999999999999997E-2</c:v>
                </c:pt>
                <c:pt idx="34">
                  <c:v>4.71423333333333E-2</c:v>
                </c:pt>
                <c:pt idx="35">
                  <c:v>0.29728266666666597</c:v>
                </c:pt>
                <c:pt idx="36">
                  <c:v>0.25452999999999998</c:v>
                </c:pt>
                <c:pt idx="37">
                  <c:v>0.16056699999999999</c:v>
                </c:pt>
                <c:pt idx="38">
                  <c:v>0.24928800000000001</c:v>
                </c:pt>
                <c:pt idx="39">
                  <c:v>0.24690599999999999</c:v>
                </c:pt>
                <c:pt idx="40">
                  <c:v>0.41185033333333299</c:v>
                </c:pt>
                <c:pt idx="41">
                  <c:v>0.40433333333333299</c:v>
                </c:pt>
                <c:pt idx="42">
                  <c:v>0.421333333333333</c:v>
                </c:pt>
                <c:pt idx="43">
                  <c:v>0.50299666666666698</c:v>
                </c:pt>
                <c:pt idx="44">
                  <c:v>0.65771133333333298</c:v>
                </c:pt>
                <c:pt idx="45">
                  <c:v>0.51221133333333402</c:v>
                </c:pt>
                <c:pt idx="46">
                  <c:v>0.34501999999999999</c:v>
                </c:pt>
                <c:pt idx="47">
                  <c:v>0.288702666666667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671-4CBF-A21D-2207AE37D7C7}"/>
            </c:ext>
          </c:extLst>
        </c:ser>
        <c:ser>
          <c:idx val="53"/>
          <c:order val="53"/>
          <c:tx>
            <c:v>BES_TR1_six646_B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Demand_kW!$BD$2:$BD$49</c:f>
              <c:numCache>
                <c:formatCode>#,##0.000</c:formatCode>
                <c:ptCount val="48"/>
                <c:pt idx="0">
                  <c:v>0.40058766666666701</c:v>
                </c:pt>
                <c:pt idx="1">
                  <c:v>9.10546666666667E-2</c:v>
                </c:pt>
                <c:pt idx="2">
                  <c:v>0.25392599999999999</c:v>
                </c:pt>
                <c:pt idx="3">
                  <c:v>3.5999999999999997E-2</c:v>
                </c:pt>
                <c:pt idx="4">
                  <c:v>0.24657999999999999</c:v>
                </c:pt>
                <c:pt idx="5">
                  <c:v>6.4334000000000002E-2</c:v>
                </c:pt>
                <c:pt idx="6">
                  <c:v>0.14793600000000001</c:v>
                </c:pt>
                <c:pt idx="7">
                  <c:v>0.16297800000000001</c:v>
                </c:pt>
                <c:pt idx="8">
                  <c:v>6.3983999999999999E-2</c:v>
                </c:pt>
                <c:pt idx="9">
                  <c:v>0.20915133333333299</c:v>
                </c:pt>
                <c:pt idx="10">
                  <c:v>7.3778666666666701E-2</c:v>
                </c:pt>
                <c:pt idx="11">
                  <c:v>3.5999999999999997E-2</c:v>
                </c:pt>
                <c:pt idx="12">
                  <c:v>0.189912</c:v>
                </c:pt>
                <c:pt idx="13">
                  <c:v>0.121002</c:v>
                </c:pt>
                <c:pt idx="14">
                  <c:v>6.1866666666666702E-2</c:v>
                </c:pt>
                <c:pt idx="15">
                  <c:v>0.30671666666666703</c:v>
                </c:pt>
                <c:pt idx="16">
                  <c:v>7.6728666666666695E-2</c:v>
                </c:pt>
                <c:pt idx="17">
                  <c:v>0.12815699999999999</c:v>
                </c:pt>
                <c:pt idx="18">
                  <c:v>0.2042863</c:v>
                </c:pt>
                <c:pt idx="19">
                  <c:v>0.21912843333333301</c:v>
                </c:pt>
                <c:pt idx="20">
                  <c:v>6.3983999999999999E-2</c:v>
                </c:pt>
                <c:pt idx="21">
                  <c:v>0.24990533333333301</c:v>
                </c:pt>
                <c:pt idx="22">
                  <c:v>3.5999999999999997E-2</c:v>
                </c:pt>
                <c:pt idx="23">
                  <c:v>3.9889500000000001E-2</c:v>
                </c:pt>
                <c:pt idx="24">
                  <c:v>0.16260433333333299</c:v>
                </c:pt>
                <c:pt idx="25">
                  <c:v>0.13847200000000001</c:v>
                </c:pt>
                <c:pt idx="26">
                  <c:v>0.48593466666666602</c:v>
                </c:pt>
                <c:pt idx="27">
                  <c:v>0.37052813333333301</c:v>
                </c:pt>
                <c:pt idx="28">
                  <c:v>0.256788233333333</c:v>
                </c:pt>
                <c:pt idx="29">
                  <c:v>0.33451500000000001</c:v>
                </c:pt>
                <c:pt idx="30">
                  <c:v>0.19116266666666701</c:v>
                </c:pt>
                <c:pt idx="31">
                  <c:v>0.20591899999999999</c:v>
                </c:pt>
                <c:pt idx="32">
                  <c:v>0.44445366666666603</c:v>
                </c:pt>
                <c:pt idx="33">
                  <c:v>0.23872199999999999</c:v>
                </c:pt>
                <c:pt idx="34">
                  <c:v>0.49637166666666699</c:v>
                </c:pt>
                <c:pt idx="35">
                  <c:v>0.37079600000000001</c:v>
                </c:pt>
                <c:pt idx="36">
                  <c:v>0.156129833333333</c:v>
                </c:pt>
                <c:pt idx="37">
                  <c:v>0.33861333333333299</c:v>
                </c:pt>
                <c:pt idx="38">
                  <c:v>0.1302739</c:v>
                </c:pt>
                <c:pt idx="39">
                  <c:v>0.362661333333333</c:v>
                </c:pt>
                <c:pt idx="40">
                  <c:v>0.43430466666666701</c:v>
                </c:pt>
                <c:pt idx="41">
                  <c:v>0.77269133333333395</c:v>
                </c:pt>
                <c:pt idx="42">
                  <c:v>0.57242733333333295</c:v>
                </c:pt>
                <c:pt idx="43">
                  <c:v>0.49835833333333301</c:v>
                </c:pt>
                <c:pt idx="44">
                  <c:v>0.50950700000000004</c:v>
                </c:pt>
                <c:pt idx="45">
                  <c:v>0.208341</c:v>
                </c:pt>
                <c:pt idx="46">
                  <c:v>0.14435000000000001</c:v>
                </c:pt>
                <c:pt idx="47">
                  <c:v>0.27491399999999999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2671-4CBF-A21D-2207AE37D7C7}"/>
            </c:ext>
          </c:extLst>
        </c:ser>
        <c:ser>
          <c:idx val="54"/>
          <c:order val="54"/>
          <c:tx>
            <c:v>BES_TR1_six699_C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Demand_kW!$BE$2:$BE$49</c:f>
              <c:numCache>
                <c:formatCode>#,##0.000</c:formatCode>
                <c:ptCount val="48"/>
                <c:pt idx="0">
                  <c:v>5.8000000000000003E-2</c:v>
                </c:pt>
                <c:pt idx="1">
                  <c:v>5.8000000000000003E-2</c:v>
                </c:pt>
                <c:pt idx="2">
                  <c:v>5.8000000000000003E-2</c:v>
                </c:pt>
                <c:pt idx="3">
                  <c:v>0.123988</c:v>
                </c:pt>
                <c:pt idx="4">
                  <c:v>5.8000000000000003E-2</c:v>
                </c:pt>
                <c:pt idx="5">
                  <c:v>5.8000000000000003E-2</c:v>
                </c:pt>
                <c:pt idx="6">
                  <c:v>0.123988</c:v>
                </c:pt>
                <c:pt idx="7">
                  <c:v>5.8000000000000003E-2</c:v>
                </c:pt>
                <c:pt idx="8">
                  <c:v>5.8000000000000003E-2</c:v>
                </c:pt>
                <c:pt idx="9">
                  <c:v>0.123988</c:v>
                </c:pt>
                <c:pt idx="10">
                  <c:v>5.8000000000000003E-2</c:v>
                </c:pt>
                <c:pt idx="11">
                  <c:v>0.109324</c:v>
                </c:pt>
                <c:pt idx="12">
                  <c:v>7.2664000000000006E-2</c:v>
                </c:pt>
                <c:pt idx="13">
                  <c:v>5.8000000000000003E-2</c:v>
                </c:pt>
                <c:pt idx="14">
                  <c:v>5.8000000000000003E-2</c:v>
                </c:pt>
                <c:pt idx="15">
                  <c:v>0.105658</c:v>
                </c:pt>
                <c:pt idx="16">
                  <c:v>7.6329999999999995E-2</c:v>
                </c:pt>
                <c:pt idx="17">
                  <c:v>0.28887766666666698</c:v>
                </c:pt>
                <c:pt idx="18">
                  <c:v>0.20675399999999999</c:v>
                </c:pt>
                <c:pt idx="19">
                  <c:v>0.14288200000000001</c:v>
                </c:pt>
                <c:pt idx="20">
                  <c:v>0.25441799999999998</c:v>
                </c:pt>
                <c:pt idx="21">
                  <c:v>0.24643000000000001</c:v>
                </c:pt>
                <c:pt idx="22">
                  <c:v>0.24643000000000001</c:v>
                </c:pt>
                <c:pt idx="23">
                  <c:v>0.24643000000000001</c:v>
                </c:pt>
                <c:pt idx="24">
                  <c:v>0.25042999999999999</c:v>
                </c:pt>
                <c:pt idx="25">
                  <c:v>0.29216199999999998</c:v>
                </c:pt>
                <c:pt idx="26">
                  <c:v>0.458679</c:v>
                </c:pt>
                <c:pt idx="27">
                  <c:v>0.47398699999999999</c:v>
                </c:pt>
                <c:pt idx="28">
                  <c:v>1.2443169999999999</c:v>
                </c:pt>
                <c:pt idx="29">
                  <c:v>6.5332000000000001E-2</c:v>
                </c:pt>
                <c:pt idx="30">
                  <c:v>0.19876633333333299</c:v>
                </c:pt>
                <c:pt idx="31">
                  <c:v>5.8000000000000003E-2</c:v>
                </c:pt>
                <c:pt idx="32">
                  <c:v>0.123988</c:v>
                </c:pt>
                <c:pt idx="33">
                  <c:v>5.8000000000000003E-2</c:v>
                </c:pt>
                <c:pt idx="34">
                  <c:v>5.8000000000000003E-2</c:v>
                </c:pt>
                <c:pt idx="35">
                  <c:v>0.123988</c:v>
                </c:pt>
                <c:pt idx="36">
                  <c:v>5.8000000000000003E-2</c:v>
                </c:pt>
                <c:pt idx="37">
                  <c:v>5.8000000000000003E-2</c:v>
                </c:pt>
                <c:pt idx="38">
                  <c:v>5.8000000000000003E-2</c:v>
                </c:pt>
                <c:pt idx="39">
                  <c:v>5.8000000000000003E-2</c:v>
                </c:pt>
                <c:pt idx="40">
                  <c:v>0.123988</c:v>
                </c:pt>
                <c:pt idx="41">
                  <c:v>5.8000000000000003E-2</c:v>
                </c:pt>
                <c:pt idx="42">
                  <c:v>5.8000000000000003E-2</c:v>
                </c:pt>
                <c:pt idx="43">
                  <c:v>9.8325999999999997E-2</c:v>
                </c:pt>
                <c:pt idx="44">
                  <c:v>8.3662E-2</c:v>
                </c:pt>
                <c:pt idx="45">
                  <c:v>5.8000000000000003E-2</c:v>
                </c:pt>
                <c:pt idx="46">
                  <c:v>5.8000000000000003E-2</c:v>
                </c:pt>
                <c:pt idx="47">
                  <c:v>0.123988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671-4CBF-A21D-2207AE37D7C7}"/>
            </c:ext>
          </c:extLst>
        </c:ser>
        <c:ser>
          <c:idx val="55"/>
          <c:order val="55"/>
          <c:tx>
            <c:v>BES_TR1_six718_C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Demand_kW!$BF$2:$BF$49</c:f>
              <c:numCache>
                <c:formatCode>#,##0.000</c:formatCode>
                <c:ptCount val="48"/>
                <c:pt idx="0">
                  <c:v>0.153077666666667</c:v>
                </c:pt>
                <c:pt idx="1">
                  <c:v>0.16844566666666699</c:v>
                </c:pt>
                <c:pt idx="2">
                  <c:v>8.4846000000000005E-2</c:v>
                </c:pt>
                <c:pt idx="3">
                  <c:v>0.29533500000000001</c:v>
                </c:pt>
                <c:pt idx="4">
                  <c:v>6.4649666666666702E-2</c:v>
                </c:pt>
                <c:pt idx="5">
                  <c:v>0.177136666666667</c:v>
                </c:pt>
                <c:pt idx="6">
                  <c:v>0.21169399999999999</c:v>
                </c:pt>
                <c:pt idx="7">
                  <c:v>8.0038333333333406E-2</c:v>
                </c:pt>
                <c:pt idx="8">
                  <c:v>0.118499666666667</c:v>
                </c:pt>
                <c:pt idx="9">
                  <c:v>5.6000000000000001E-2</c:v>
                </c:pt>
                <c:pt idx="10">
                  <c:v>0.332830666666667</c:v>
                </c:pt>
                <c:pt idx="11">
                  <c:v>5.6000000000000001E-2</c:v>
                </c:pt>
                <c:pt idx="12">
                  <c:v>0.29436933333333298</c:v>
                </c:pt>
                <c:pt idx="13">
                  <c:v>9.4461333333333397E-2</c:v>
                </c:pt>
                <c:pt idx="14">
                  <c:v>5.6000000000000001E-2</c:v>
                </c:pt>
                <c:pt idx="15">
                  <c:v>0.142538</c:v>
                </c:pt>
                <c:pt idx="16">
                  <c:v>5.6000000000000001E-2</c:v>
                </c:pt>
                <c:pt idx="17">
                  <c:v>0.332830666666667</c:v>
                </c:pt>
                <c:pt idx="18">
                  <c:v>8.4339333333333405E-2</c:v>
                </c:pt>
                <c:pt idx="19">
                  <c:v>0.39317733333333299</c:v>
                </c:pt>
                <c:pt idx="20">
                  <c:v>0.59628400000000004</c:v>
                </c:pt>
                <c:pt idx="21">
                  <c:v>0.40033200000000002</c:v>
                </c:pt>
                <c:pt idx="22">
                  <c:v>0.85933466666666702</c:v>
                </c:pt>
                <c:pt idx="23">
                  <c:v>2.7715000000000001</c:v>
                </c:pt>
                <c:pt idx="24">
                  <c:v>2.6415199999999999</c:v>
                </c:pt>
                <c:pt idx="25">
                  <c:v>0.65414300000000003</c:v>
                </c:pt>
                <c:pt idx="26">
                  <c:v>6.4649666666666702E-2</c:v>
                </c:pt>
                <c:pt idx="27">
                  <c:v>5.6000000000000001E-2</c:v>
                </c:pt>
                <c:pt idx="28">
                  <c:v>0.22034366666666699</c:v>
                </c:pt>
                <c:pt idx="29">
                  <c:v>0.24184600000000001</c:v>
                </c:pt>
                <c:pt idx="30">
                  <c:v>0.13962033333333301</c:v>
                </c:pt>
                <c:pt idx="31">
                  <c:v>0.24921033333333301</c:v>
                </c:pt>
                <c:pt idx="32">
                  <c:v>0.17263600000000001</c:v>
                </c:pt>
                <c:pt idx="33">
                  <c:v>0.82380133333333305</c:v>
                </c:pt>
                <c:pt idx="34">
                  <c:v>0.91525900000000004</c:v>
                </c:pt>
                <c:pt idx="35">
                  <c:v>1.13159566666667</c:v>
                </c:pt>
                <c:pt idx="36">
                  <c:v>0.84552099999999997</c:v>
                </c:pt>
                <c:pt idx="37">
                  <c:v>0.29864533333333299</c:v>
                </c:pt>
                <c:pt idx="38">
                  <c:v>0.243283</c:v>
                </c:pt>
                <c:pt idx="39">
                  <c:v>0.45617566666666698</c:v>
                </c:pt>
                <c:pt idx="40">
                  <c:v>0.40941233333333299</c:v>
                </c:pt>
                <c:pt idx="41">
                  <c:v>0.741387666666667</c:v>
                </c:pt>
                <c:pt idx="42">
                  <c:v>0.65219300000000002</c:v>
                </c:pt>
                <c:pt idx="43">
                  <c:v>0.681172</c:v>
                </c:pt>
                <c:pt idx="44">
                  <c:v>7.5230666666666696E-2</c:v>
                </c:pt>
                <c:pt idx="45">
                  <c:v>0.52673800000000004</c:v>
                </c:pt>
                <c:pt idx="46">
                  <c:v>0.355821</c:v>
                </c:pt>
                <c:pt idx="47">
                  <c:v>9.9268999999999996E-2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2671-4CBF-A21D-2207AE37D7C7}"/>
            </c:ext>
          </c:extLst>
        </c:ser>
        <c:ser>
          <c:idx val="56"/>
          <c:order val="56"/>
          <c:tx>
            <c:v>BES_TR1_six721_A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Demand_kW!$BG$2:$BG$49</c:f>
              <c:numCache>
                <c:formatCode>#,##0.000</c:formatCode>
                <c:ptCount val="48"/>
                <c:pt idx="0">
                  <c:v>0.18697066666666701</c:v>
                </c:pt>
                <c:pt idx="1">
                  <c:v>0.166173666666667</c:v>
                </c:pt>
                <c:pt idx="2">
                  <c:v>8.8054999999999994E-2</c:v>
                </c:pt>
                <c:pt idx="3">
                  <c:v>0.27271400000000001</c:v>
                </c:pt>
                <c:pt idx="4">
                  <c:v>0.05</c:v>
                </c:pt>
                <c:pt idx="5">
                  <c:v>0.05</c:v>
                </c:pt>
                <c:pt idx="6">
                  <c:v>0.152728</c:v>
                </c:pt>
                <c:pt idx="7">
                  <c:v>0.13560666666666699</c:v>
                </c:pt>
                <c:pt idx="8">
                  <c:v>9.7619999999999998E-2</c:v>
                </c:pt>
                <c:pt idx="9">
                  <c:v>0.25933666666666699</c:v>
                </c:pt>
                <c:pt idx="10">
                  <c:v>0.05</c:v>
                </c:pt>
                <c:pt idx="11">
                  <c:v>0.29839599999999999</c:v>
                </c:pt>
                <c:pt idx="12">
                  <c:v>5.8560666666666698E-2</c:v>
                </c:pt>
                <c:pt idx="13">
                  <c:v>1.0680522666666701</c:v>
                </c:pt>
                <c:pt idx="14">
                  <c:v>1.4265083333333299</c:v>
                </c:pt>
                <c:pt idx="15">
                  <c:v>0.21404083333333301</c:v>
                </c:pt>
                <c:pt idx="16">
                  <c:v>0.54061950000000003</c:v>
                </c:pt>
                <c:pt idx="17">
                  <c:v>0.83164933333333302</c:v>
                </c:pt>
                <c:pt idx="18">
                  <c:v>0.99661666666666704</c:v>
                </c:pt>
                <c:pt idx="19">
                  <c:v>0.60869200000000001</c:v>
                </c:pt>
                <c:pt idx="20">
                  <c:v>0.384288666666667</c:v>
                </c:pt>
                <c:pt idx="21">
                  <c:v>0.14416733333333301</c:v>
                </c:pt>
                <c:pt idx="22">
                  <c:v>0.54701699999999998</c:v>
                </c:pt>
                <c:pt idx="23">
                  <c:v>0.161272</c:v>
                </c:pt>
                <c:pt idx="24">
                  <c:v>0.107363133333333</c:v>
                </c:pt>
                <c:pt idx="25">
                  <c:v>0.77584509999999995</c:v>
                </c:pt>
                <c:pt idx="26">
                  <c:v>1.0900403999999999</c:v>
                </c:pt>
                <c:pt idx="27">
                  <c:v>0.67306220000000005</c:v>
                </c:pt>
                <c:pt idx="28">
                  <c:v>1.2569570000000001</c:v>
                </c:pt>
                <c:pt idx="29">
                  <c:v>0.84861399999999998</c:v>
                </c:pt>
                <c:pt idx="30">
                  <c:v>1.0351636666666699</c:v>
                </c:pt>
                <c:pt idx="31">
                  <c:v>0.67513353333333403</c:v>
                </c:pt>
                <c:pt idx="32">
                  <c:v>0.25816099999999997</c:v>
                </c:pt>
                <c:pt idx="33">
                  <c:v>0.340094333333334</c:v>
                </c:pt>
                <c:pt idx="34">
                  <c:v>1.3482513333333299</c:v>
                </c:pt>
                <c:pt idx="35">
                  <c:v>0.58255049999999897</c:v>
                </c:pt>
                <c:pt idx="36">
                  <c:v>0.9870042</c:v>
                </c:pt>
                <c:pt idx="37">
                  <c:v>0.56003233333333302</c:v>
                </c:pt>
                <c:pt idx="38">
                  <c:v>1.09955433333333</c:v>
                </c:pt>
                <c:pt idx="39">
                  <c:v>7.9494333333333403E-2</c:v>
                </c:pt>
                <c:pt idx="40">
                  <c:v>0.250776</c:v>
                </c:pt>
                <c:pt idx="41">
                  <c:v>8.0498666666666593E-2</c:v>
                </c:pt>
                <c:pt idx="42">
                  <c:v>0.22034566666666699</c:v>
                </c:pt>
                <c:pt idx="43">
                  <c:v>1.0015213333333299</c:v>
                </c:pt>
                <c:pt idx="44">
                  <c:v>0.05</c:v>
                </c:pt>
                <c:pt idx="45">
                  <c:v>0.238334666666667</c:v>
                </c:pt>
                <c:pt idx="46">
                  <c:v>0.11862200000000001</c:v>
                </c:pt>
                <c:pt idx="47">
                  <c:v>7.5681999999999999E-2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671-4CBF-A21D-2207AE37D7C7}"/>
            </c:ext>
          </c:extLst>
        </c:ser>
        <c:ser>
          <c:idx val="57"/>
          <c:order val="57"/>
          <c:tx>
            <c:v>BES_TR1_six723_B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Demand_kW!$BH$2:$BH$49</c:f>
              <c:numCache>
                <c:formatCode>#,##0.000</c:formatCode>
                <c:ptCount val="48"/>
                <c:pt idx="0">
                  <c:v>0.184294666666667</c:v>
                </c:pt>
                <c:pt idx="1">
                  <c:v>6.8223333333333303E-2</c:v>
                </c:pt>
                <c:pt idx="2">
                  <c:v>0.243796333333333</c:v>
                </c:pt>
                <c:pt idx="3">
                  <c:v>5.5E-2</c:v>
                </c:pt>
                <c:pt idx="4">
                  <c:v>0.171073</c:v>
                </c:pt>
                <c:pt idx="5">
                  <c:v>0.140951666666667</c:v>
                </c:pt>
                <c:pt idx="6">
                  <c:v>0.111568</c:v>
                </c:pt>
                <c:pt idx="7">
                  <c:v>0.15417500000000001</c:v>
                </c:pt>
                <c:pt idx="8">
                  <c:v>0.10128166666666701</c:v>
                </c:pt>
                <c:pt idx="9">
                  <c:v>0.114505</c:v>
                </c:pt>
                <c:pt idx="10">
                  <c:v>0.19751666666666701</c:v>
                </c:pt>
                <c:pt idx="11">
                  <c:v>5.5E-2</c:v>
                </c:pt>
                <c:pt idx="12">
                  <c:v>0.243798666666667</c:v>
                </c:pt>
                <c:pt idx="13">
                  <c:v>6.8223333333333303E-2</c:v>
                </c:pt>
                <c:pt idx="14">
                  <c:v>8.1446666666666695E-2</c:v>
                </c:pt>
                <c:pt idx="15">
                  <c:v>0.17401</c:v>
                </c:pt>
                <c:pt idx="16">
                  <c:v>9.5854666666666699E-2</c:v>
                </c:pt>
                <c:pt idx="17">
                  <c:v>7.0713333333333295E-2</c:v>
                </c:pt>
                <c:pt idx="18">
                  <c:v>0.187233333333333</c:v>
                </c:pt>
                <c:pt idx="19">
                  <c:v>0.12479066666666699</c:v>
                </c:pt>
                <c:pt idx="20">
                  <c:v>0.130870666666667</c:v>
                </c:pt>
                <c:pt idx="21">
                  <c:v>0.18115000000000001</c:v>
                </c:pt>
                <c:pt idx="22">
                  <c:v>0.25059999999999999</c:v>
                </c:pt>
                <c:pt idx="23">
                  <c:v>0.22461800000000001</c:v>
                </c:pt>
                <c:pt idx="24">
                  <c:v>6.7570666666666598E-2</c:v>
                </c:pt>
                <c:pt idx="25">
                  <c:v>0.200456666666667</c:v>
                </c:pt>
                <c:pt idx="26">
                  <c:v>0.111568</c:v>
                </c:pt>
                <c:pt idx="27">
                  <c:v>5.5E-2</c:v>
                </c:pt>
                <c:pt idx="28">
                  <c:v>0.23392299999999999</c:v>
                </c:pt>
                <c:pt idx="29">
                  <c:v>0.14625533333333299</c:v>
                </c:pt>
                <c:pt idx="30">
                  <c:v>5.5E-2</c:v>
                </c:pt>
                <c:pt idx="31">
                  <c:v>0.190906666666667</c:v>
                </c:pt>
                <c:pt idx="32">
                  <c:v>0.121116666666667</c:v>
                </c:pt>
                <c:pt idx="33">
                  <c:v>7.3039833333333304E-2</c:v>
                </c:pt>
                <c:pt idx="34">
                  <c:v>0.378514666666667</c:v>
                </c:pt>
                <c:pt idx="35">
                  <c:v>0.155247733333333</c:v>
                </c:pt>
                <c:pt idx="36">
                  <c:v>0.19555513333333299</c:v>
                </c:pt>
                <c:pt idx="37">
                  <c:v>0.367807</c:v>
                </c:pt>
                <c:pt idx="38">
                  <c:v>0.37044833333333299</c:v>
                </c:pt>
                <c:pt idx="39">
                  <c:v>0.71634466666666696</c:v>
                </c:pt>
                <c:pt idx="40">
                  <c:v>0.61302833333333395</c:v>
                </c:pt>
                <c:pt idx="41">
                  <c:v>0.389564666666667</c:v>
                </c:pt>
                <c:pt idx="42">
                  <c:v>0.45306733333333299</c:v>
                </c:pt>
                <c:pt idx="43">
                  <c:v>8.3283999999999997E-2</c:v>
                </c:pt>
                <c:pt idx="44">
                  <c:v>0.14591799999999999</c:v>
                </c:pt>
                <c:pt idx="45">
                  <c:v>0.247594333333333</c:v>
                </c:pt>
                <c:pt idx="46">
                  <c:v>5.5E-2</c:v>
                </c:pt>
                <c:pt idx="47">
                  <c:v>0.118179666666667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2671-4CBF-A21D-2207AE37D7C7}"/>
            </c:ext>
          </c:extLst>
        </c:ser>
        <c:ser>
          <c:idx val="58"/>
          <c:order val="58"/>
          <c:tx>
            <c:v>BES_TR1_six784_B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Demand_kW!$BI$2:$BI$49</c:f>
              <c:numCache>
                <c:formatCode>#,##0.000</c:formatCode>
                <c:ptCount val="48"/>
                <c:pt idx="0">
                  <c:v>0.35906199999999999</c:v>
                </c:pt>
                <c:pt idx="1">
                  <c:v>0.94815066666666703</c:v>
                </c:pt>
                <c:pt idx="2">
                  <c:v>4.3999999999999997E-2</c:v>
                </c:pt>
                <c:pt idx="3">
                  <c:v>0.11325866666666699</c:v>
                </c:pt>
                <c:pt idx="4">
                  <c:v>5.2657333333333403E-2</c:v>
                </c:pt>
                <c:pt idx="5">
                  <c:v>4.3999999999999997E-2</c:v>
                </c:pt>
                <c:pt idx="6">
                  <c:v>6.5643333333333304E-2</c:v>
                </c:pt>
                <c:pt idx="7">
                  <c:v>0.100272666666667</c:v>
                </c:pt>
                <c:pt idx="8">
                  <c:v>4.3999999999999997E-2</c:v>
                </c:pt>
                <c:pt idx="9">
                  <c:v>6.5643333333333304E-2</c:v>
                </c:pt>
                <c:pt idx="10">
                  <c:v>0.100272666666667</c:v>
                </c:pt>
                <c:pt idx="11">
                  <c:v>7.8629333333333301E-2</c:v>
                </c:pt>
                <c:pt idx="12">
                  <c:v>8.7286666666666707E-2</c:v>
                </c:pt>
                <c:pt idx="13">
                  <c:v>8.2958000000000004E-2</c:v>
                </c:pt>
                <c:pt idx="14">
                  <c:v>8.2958000000000004E-2</c:v>
                </c:pt>
                <c:pt idx="15">
                  <c:v>4.3999999999999997E-2</c:v>
                </c:pt>
                <c:pt idx="16">
                  <c:v>0.121916</c:v>
                </c:pt>
                <c:pt idx="17">
                  <c:v>9.9733333333333396E-2</c:v>
                </c:pt>
                <c:pt idx="18">
                  <c:v>0.30707000000000001</c:v>
                </c:pt>
                <c:pt idx="19">
                  <c:v>0.92461033333333298</c:v>
                </c:pt>
                <c:pt idx="20">
                  <c:v>6.3229333333333304E-2</c:v>
                </c:pt>
                <c:pt idx="21">
                  <c:v>0.15075733333333299</c:v>
                </c:pt>
                <c:pt idx="22">
                  <c:v>0.13855626666666701</c:v>
                </c:pt>
                <c:pt idx="23">
                  <c:v>0.396381066666667</c:v>
                </c:pt>
                <c:pt idx="24">
                  <c:v>1.02139333333333</c:v>
                </c:pt>
                <c:pt idx="25">
                  <c:v>4.8637E-2</c:v>
                </c:pt>
                <c:pt idx="26">
                  <c:v>4.95564E-2</c:v>
                </c:pt>
                <c:pt idx="27">
                  <c:v>0.19153973333333299</c:v>
                </c:pt>
                <c:pt idx="28">
                  <c:v>0.1774464</c:v>
                </c:pt>
                <c:pt idx="29">
                  <c:v>0.25252000000000002</c:v>
                </c:pt>
                <c:pt idx="30">
                  <c:v>0.28714666666666699</c:v>
                </c:pt>
                <c:pt idx="31">
                  <c:v>0.45738466666666699</c:v>
                </c:pt>
                <c:pt idx="32">
                  <c:v>1.9350016666666701</c:v>
                </c:pt>
                <c:pt idx="33">
                  <c:v>0.235056666666667</c:v>
                </c:pt>
                <c:pt idx="34">
                  <c:v>0.229911</c:v>
                </c:pt>
                <c:pt idx="35">
                  <c:v>1.3185180000000001</c:v>
                </c:pt>
                <c:pt idx="36">
                  <c:v>1.1607736666666699</c:v>
                </c:pt>
                <c:pt idx="37">
                  <c:v>0.47960900000000001</c:v>
                </c:pt>
                <c:pt idx="38">
                  <c:v>0.28428900000000001</c:v>
                </c:pt>
                <c:pt idx="39">
                  <c:v>0.57269199999999998</c:v>
                </c:pt>
                <c:pt idx="40">
                  <c:v>0.53225733333333403</c:v>
                </c:pt>
                <c:pt idx="41">
                  <c:v>0.58071933333333403</c:v>
                </c:pt>
                <c:pt idx="42">
                  <c:v>0.62329999999999997</c:v>
                </c:pt>
                <c:pt idx="43">
                  <c:v>0.36091200000000001</c:v>
                </c:pt>
                <c:pt idx="44">
                  <c:v>4.3999999999999997E-2</c:v>
                </c:pt>
                <c:pt idx="45">
                  <c:v>0.121916</c:v>
                </c:pt>
                <c:pt idx="46">
                  <c:v>4.3999999999999997E-2</c:v>
                </c:pt>
                <c:pt idx="47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671-4CBF-A21D-2207AE37D7C7}"/>
            </c:ext>
          </c:extLst>
        </c:ser>
        <c:ser>
          <c:idx val="59"/>
          <c:order val="59"/>
          <c:tx>
            <c:v>BES_TR1_six90_B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Demand_kW!$BJ$2:$BJ$49</c:f>
              <c:numCache>
                <c:formatCode>#,##0.000</c:formatCode>
                <c:ptCount val="48"/>
                <c:pt idx="0">
                  <c:v>0.71899433333333296</c:v>
                </c:pt>
                <c:pt idx="1">
                  <c:v>9.3563333333333304E-2</c:v>
                </c:pt>
                <c:pt idx="2">
                  <c:v>6.0264333333333302E-2</c:v>
                </c:pt>
                <c:pt idx="3">
                  <c:v>0.27856500000000001</c:v>
                </c:pt>
                <c:pt idx="4">
                  <c:v>5.2999999999999999E-2</c:v>
                </c:pt>
                <c:pt idx="5">
                  <c:v>0.183758</c:v>
                </c:pt>
                <c:pt idx="6">
                  <c:v>8.2057333333333302E-2</c:v>
                </c:pt>
                <c:pt idx="7">
                  <c:v>0.12601399999999999</c:v>
                </c:pt>
                <c:pt idx="8">
                  <c:v>0.15470066666666701</c:v>
                </c:pt>
                <c:pt idx="9">
                  <c:v>0.111114666666667</c:v>
                </c:pt>
                <c:pt idx="10">
                  <c:v>0.12601399999999999</c:v>
                </c:pt>
                <c:pt idx="11">
                  <c:v>0.212815333333333</c:v>
                </c:pt>
                <c:pt idx="12">
                  <c:v>5.2999999999999999E-2</c:v>
                </c:pt>
                <c:pt idx="13">
                  <c:v>0.161302</c:v>
                </c:pt>
                <c:pt idx="14">
                  <c:v>0.17752733333333301</c:v>
                </c:pt>
                <c:pt idx="15">
                  <c:v>5.2999999999999999E-2</c:v>
                </c:pt>
                <c:pt idx="16">
                  <c:v>0.28582933333333299</c:v>
                </c:pt>
                <c:pt idx="17">
                  <c:v>5.2999999999999999E-2</c:v>
                </c:pt>
                <c:pt idx="18">
                  <c:v>0.27223900000000001</c:v>
                </c:pt>
                <c:pt idx="19">
                  <c:v>1.2855876666666699</c:v>
                </c:pt>
                <c:pt idx="20">
                  <c:v>3.5096766666666701</c:v>
                </c:pt>
                <c:pt idx="21">
                  <c:v>2.2409233333333298</c:v>
                </c:pt>
                <c:pt idx="22">
                  <c:v>0.51722366666666697</c:v>
                </c:pt>
                <c:pt idx="23">
                  <c:v>2.7507820000000001</c:v>
                </c:pt>
                <c:pt idx="24">
                  <c:v>2.98936</c:v>
                </c:pt>
                <c:pt idx="25">
                  <c:v>2.0161866666666701</c:v>
                </c:pt>
                <c:pt idx="26">
                  <c:v>0.25561499999999998</c:v>
                </c:pt>
                <c:pt idx="27">
                  <c:v>0.40327400000000002</c:v>
                </c:pt>
                <c:pt idx="28">
                  <c:v>0.10978866666666701</c:v>
                </c:pt>
                <c:pt idx="29">
                  <c:v>0.19347600000000001</c:v>
                </c:pt>
                <c:pt idx="30">
                  <c:v>0.28712333333333301</c:v>
                </c:pt>
                <c:pt idx="31">
                  <c:v>5.2999999999999999E-2</c:v>
                </c:pt>
                <c:pt idx="32">
                  <c:v>0.105732333333333</c:v>
                </c:pt>
                <c:pt idx="33">
                  <c:v>0.233097</c:v>
                </c:pt>
                <c:pt idx="34">
                  <c:v>0.12601399999999999</c:v>
                </c:pt>
                <c:pt idx="35">
                  <c:v>0.125643333333333</c:v>
                </c:pt>
                <c:pt idx="36">
                  <c:v>0.14017199999999999</c:v>
                </c:pt>
                <c:pt idx="37">
                  <c:v>0.12601399999999999</c:v>
                </c:pt>
                <c:pt idx="38">
                  <c:v>5.2999999999999999E-2</c:v>
                </c:pt>
                <c:pt idx="39">
                  <c:v>0.28582933333333299</c:v>
                </c:pt>
                <c:pt idx="40">
                  <c:v>5.2999999999999999E-2</c:v>
                </c:pt>
                <c:pt idx="41">
                  <c:v>0.147436333333333</c:v>
                </c:pt>
                <c:pt idx="42">
                  <c:v>0.118379</c:v>
                </c:pt>
                <c:pt idx="43">
                  <c:v>0.12601399999999999</c:v>
                </c:pt>
                <c:pt idx="44">
                  <c:v>0.212815333333333</c:v>
                </c:pt>
                <c:pt idx="45">
                  <c:v>5.2999999999999999E-2</c:v>
                </c:pt>
                <c:pt idx="46">
                  <c:v>8.9507000000000003E-2</c:v>
                </c:pt>
                <c:pt idx="47">
                  <c:v>0.24932233333333301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2671-4CBF-A21D-2207AE37D7C7}"/>
            </c:ext>
          </c:extLst>
        </c:ser>
        <c:ser>
          <c:idx val="60"/>
          <c:order val="60"/>
          <c:tx>
            <c:v>BES_TR1_six807_A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Demand_kW!$BK$2:$BK$49</c:f>
              <c:numCache>
                <c:formatCode>#,##0.000</c:formatCode>
                <c:ptCount val="48"/>
                <c:pt idx="0">
                  <c:v>0.21899533333333299</c:v>
                </c:pt>
                <c:pt idx="1">
                  <c:v>5.5E-2</c:v>
                </c:pt>
                <c:pt idx="2">
                  <c:v>5.5E-2</c:v>
                </c:pt>
                <c:pt idx="3">
                  <c:v>0.21899533333333299</c:v>
                </c:pt>
                <c:pt idx="4">
                  <c:v>5.5E-2</c:v>
                </c:pt>
                <c:pt idx="5">
                  <c:v>0.21154100000000001</c:v>
                </c:pt>
                <c:pt idx="6">
                  <c:v>6.2454333333333299E-2</c:v>
                </c:pt>
                <c:pt idx="7">
                  <c:v>0.18568066666666699</c:v>
                </c:pt>
                <c:pt idx="8">
                  <c:v>0.151906333333333</c:v>
                </c:pt>
                <c:pt idx="9">
                  <c:v>5.5E-2</c:v>
                </c:pt>
                <c:pt idx="10">
                  <c:v>5.5E-2</c:v>
                </c:pt>
                <c:pt idx="11">
                  <c:v>0.19663233333333299</c:v>
                </c:pt>
                <c:pt idx="12">
                  <c:v>7.7363000000000001E-2</c:v>
                </c:pt>
                <c:pt idx="13">
                  <c:v>0.151906333333333</c:v>
                </c:pt>
                <c:pt idx="14">
                  <c:v>0.122089</c:v>
                </c:pt>
                <c:pt idx="15">
                  <c:v>0.17885999999999999</c:v>
                </c:pt>
                <c:pt idx="16">
                  <c:v>0.13699766666666699</c:v>
                </c:pt>
                <c:pt idx="17">
                  <c:v>0.21957133333333301</c:v>
                </c:pt>
                <c:pt idx="18">
                  <c:v>0.18631466666666699</c:v>
                </c:pt>
                <c:pt idx="19">
                  <c:v>0.34597600000000001</c:v>
                </c:pt>
                <c:pt idx="20">
                  <c:v>0.19206999999999999</c:v>
                </c:pt>
                <c:pt idx="21">
                  <c:v>0.140215333333333</c:v>
                </c:pt>
                <c:pt idx="22">
                  <c:v>0.275770666666667</c:v>
                </c:pt>
                <c:pt idx="23">
                  <c:v>0.122089</c:v>
                </c:pt>
                <c:pt idx="24">
                  <c:v>0.17885999999999999</c:v>
                </c:pt>
                <c:pt idx="25">
                  <c:v>0.93368600000000002</c:v>
                </c:pt>
                <c:pt idx="26">
                  <c:v>0.76222066666666699</c:v>
                </c:pt>
                <c:pt idx="27">
                  <c:v>9.2271666666666696E-2</c:v>
                </c:pt>
                <c:pt idx="28">
                  <c:v>0.18172366666666701</c:v>
                </c:pt>
                <c:pt idx="29">
                  <c:v>5.5E-2</c:v>
                </c:pt>
                <c:pt idx="30">
                  <c:v>9.9188666666666703E-2</c:v>
                </c:pt>
                <c:pt idx="31">
                  <c:v>0.53182033333333301</c:v>
                </c:pt>
                <c:pt idx="32">
                  <c:v>0.41488333333333299</c:v>
                </c:pt>
                <c:pt idx="33">
                  <c:v>2.0475729999999999</c:v>
                </c:pt>
                <c:pt idx="34">
                  <c:v>2.9623400000000002</c:v>
                </c:pt>
                <c:pt idx="35">
                  <c:v>0.44723366666666697</c:v>
                </c:pt>
                <c:pt idx="36">
                  <c:v>1.6712959999999999</c:v>
                </c:pt>
                <c:pt idx="37">
                  <c:v>0.2060592</c:v>
                </c:pt>
                <c:pt idx="38">
                  <c:v>1.56106566666667</c:v>
                </c:pt>
                <c:pt idx="39">
                  <c:v>1.3089723333333301</c:v>
                </c:pt>
                <c:pt idx="40">
                  <c:v>0.48948433333333302</c:v>
                </c:pt>
                <c:pt idx="41">
                  <c:v>0.83949300000000004</c:v>
                </c:pt>
                <c:pt idx="42">
                  <c:v>0.843878666666666</c:v>
                </c:pt>
                <c:pt idx="43">
                  <c:v>0.83569233333333404</c:v>
                </c:pt>
                <c:pt idx="44">
                  <c:v>0.55227633333333304</c:v>
                </c:pt>
                <c:pt idx="45">
                  <c:v>0.455141666666667</c:v>
                </c:pt>
                <c:pt idx="46">
                  <c:v>0.45371166666666601</c:v>
                </c:pt>
                <c:pt idx="47">
                  <c:v>0.687666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671-4CBF-A21D-2207AE37D7C7}"/>
            </c:ext>
          </c:extLst>
        </c:ser>
        <c:ser>
          <c:idx val="61"/>
          <c:order val="61"/>
          <c:tx>
            <c:v>BES_TR1_six852_B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Demand_kW!$BL$2:$BL$49</c:f>
              <c:numCache>
                <c:formatCode>#,##0.000</c:formatCode>
                <c:ptCount val="48"/>
                <c:pt idx="0">
                  <c:v>0.28485466666666698</c:v>
                </c:pt>
                <c:pt idx="1">
                  <c:v>0.23675966666666601</c:v>
                </c:pt>
                <c:pt idx="2">
                  <c:v>0.19776666666666701</c:v>
                </c:pt>
                <c:pt idx="3">
                  <c:v>0.23016300000000001</c:v>
                </c:pt>
                <c:pt idx="4">
                  <c:v>0.14868366666666699</c:v>
                </c:pt>
                <c:pt idx="5">
                  <c:v>0.154936666666667</c:v>
                </c:pt>
                <c:pt idx="6">
                  <c:v>0.19250266666666699</c:v>
                </c:pt>
                <c:pt idx="7">
                  <c:v>0.23566799999999999</c:v>
                </c:pt>
                <c:pt idx="8">
                  <c:v>0.211566333333333</c:v>
                </c:pt>
                <c:pt idx="9">
                  <c:v>0.12938566666666701</c:v>
                </c:pt>
                <c:pt idx="10">
                  <c:v>0.126253</c:v>
                </c:pt>
                <c:pt idx="11">
                  <c:v>0.15792100000000001</c:v>
                </c:pt>
                <c:pt idx="12">
                  <c:v>0.179005</c:v>
                </c:pt>
                <c:pt idx="13">
                  <c:v>0.34261433333333302</c:v>
                </c:pt>
                <c:pt idx="14">
                  <c:v>6.1762333333333301E-2</c:v>
                </c:pt>
                <c:pt idx="15">
                  <c:v>0.142910333333333</c:v>
                </c:pt>
                <c:pt idx="16">
                  <c:v>0.249298666666667</c:v>
                </c:pt>
                <c:pt idx="17">
                  <c:v>8.2049333333333294E-2</c:v>
                </c:pt>
                <c:pt idx="18">
                  <c:v>0.58017733333333399</c:v>
                </c:pt>
                <c:pt idx="19">
                  <c:v>9.2823333333333397E-2</c:v>
                </c:pt>
                <c:pt idx="20">
                  <c:v>0.12938566666666701</c:v>
                </c:pt>
                <c:pt idx="21">
                  <c:v>0.38509533333333301</c:v>
                </c:pt>
                <c:pt idx="22">
                  <c:v>6.2138333333333302E-2</c:v>
                </c:pt>
                <c:pt idx="23">
                  <c:v>0.178226</c:v>
                </c:pt>
                <c:pt idx="24">
                  <c:v>0.34339133333333299</c:v>
                </c:pt>
                <c:pt idx="25">
                  <c:v>5.5E-2</c:v>
                </c:pt>
                <c:pt idx="26">
                  <c:v>0.39847866666666698</c:v>
                </c:pt>
                <c:pt idx="27">
                  <c:v>0.12313966666666699</c:v>
                </c:pt>
                <c:pt idx="28">
                  <c:v>0.23011899999999999</c:v>
                </c:pt>
                <c:pt idx="29">
                  <c:v>0.53047900000000003</c:v>
                </c:pt>
                <c:pt idx="30">
                  <c:v>0.164316666666667</c:v>
                </c:pt>
                <c:pt idx="31">
                  <c:v>1.23289633333333</c:v>
                </c:pt>
                <c:pt idx="32">
                  <c:v>0.378915</c:v>
                </c:pt>
                <c:pt idx="33">
                  <c:v>0.36373266666666698</c:v>
                </c:pt>
                <c:pt idx="34">
                  <c:v>0.54119933333333403</c:v>
                </c:pt>
                <c:pt idx="35">
                  <c:v>0.46557166666666699</c:v>
                </c:pt>
                <c:pt idx="36">
                  <c:v>0.64709166666666695</c:v>
                </c:pt>
                <c:pt idx="37">
                  <c:v>0.25405293333333301</c:v>
                </c:pt>
                <c:pt idx="38">
                  <c:v>0.36026586666666699</c:v>
                </c:pt>
                <c:pt idx="39">
                  <c:v>0.78564599999999996</c:v>
                </c:pt>
                <c:pt idx="40">
                  <c:v>1.668593</c:v>
                </c:pt>
                <c:pt idx="41">
                  <c:v>0.616954</c:v>
                </c:pt>
                <c:pt idx="42">
                  <c:v>0.80081233333333302</c:v>
                </c:pt>
                <c:pt idx="43">
                  <c:v>0.73638733333333395</c:v>
                </c:pt>
                <c:pt idx="44">
                  <c:v>0.74327066666666697</c:v>
                </c:pt>
                <c:pt idx="45">
                  <c:v>0.79313766666666696</c:v>
                </c:pt>
                <c:pt idx="46">
                  <c:v>0.93160100000000001</c:v>
                </c:pt>
                <c:pt idx="47">
                  <c:v>0.66742733333333304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2671-4CBF-A21D-2207AE37D7C7}"/>
            </c:ext>
          </c:extLst>
        </c:ser>
        <c:ser>
          <c:idx val="62"/>
          <c:order val="62"/>
          <c:tx>
            <c:v>BES_TR1_six860_C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Demand_kW!$BM$2:$BM$49</c:f>
              <c:numCache>
                <c:formatCode>#,##0.000</c:formatCode>
                <c:ptCount val="48"/>
                <c:pt idx="0">
                  <c:v>1.791776</c:v>
                </c:pt>
                <c:pt idx="1">
                  <c:v>0.369694666666667</c:v>
                </c:pt>
                <c:pt idx="2">
                  <c:v>0.11758666666666701</c:v>
                </c:pt>
                <c:pt idx="3">
                  <c:v>0.110013333333333</c:v>
                </c:pt>
                <c:pt idx="4">
                  <c:v>0.1706</c:v>
                </c:pt>
                <c:pt idx="5">
                  <c:v>5.7000000000000002E-2</c:v>
                </c:pt>
                <c:pt idx="6">
                  <c:v>0.223613333333334</c:v>
                </c:pt>
                <c:pt idx="7">
                  <c:v>5.7000000000000002E-2</c:v>
                </c:pt>
                <c:pt idx="8">
                  <c:v>5.7000000000000002E-2</c:v>
                </c:pt>
                <c:pt idx="9">
                  <c:v>0.10244</c:v>
                </c:pt>
                <c:pt idx="10">
                  <c:v>0.17817333333333399</c:v>
                </c:pt>
                <c:pt idx="11">
                  <c:v>5.7000000000000002E-2</c:v>
                </c:pt>
                <c:pt idx="12">
                  <c:v>0.223613333333334</c:v>
                </c:pt>
                <c:pt idx="13">
                  <c:v>5.7000000000000002E-2</c:v>
                </c:pt>
                <c:pt idx="14">
                  <c:v>5.7000000000000002E-2</c:v>
                </c:pt>
                <c:pt idx="15">
                  <c:v>0.14788000000000001</c:v>
                </c:pt>
                <c:pt idx="16">
                  <c:v>0.13273333333333301</c:v>
                </c:pt>
                <c:pt idx="17">
                  <c:v>5.7000000000000002E-2</c:v>
                </c:pt>
                <c:pt idx="18">
                  <c:v>0.223613333333334</c:v>
                </c:pt>
                <c:pt idx="19">
                  <c:v>5.7000000000000002E-2</c:v>
                </c:pt>
                <c:pt idx="20">
                  <c:v>5.7000000000000002E-2</c:v>
                </c:pt>
                <c:pt idx="21">
                  <c:v>0.16302666666666699</c:v>
                </c:pt>
                <c:pt idx="22">
                  <c:v>0.11758666666666701</c:v>
                </c:pt>
                <c:pt idx="23">
                  <c:v>5.7000000000000002E-2</c:v>
                </c:pt>
                <c:pt idx="24">
                  <c:v>5.7000000000000002E-2</c:v>
                </c:pt>
                <c:pt idx="25">
                  <c:v>0.223613333333334</c:v>
                </c:pt>
                <c:pt idx="26">
                  <c:v>5.7000000000000002E-2</c:v>
                </c:pt>
                <c:pt idx="27">
                  <c:v>5.7000000000000002E-2</c:v>
                </c:pt>
                <c:pt idx="28">
                  <c:v>0.223613333333334</c:v>
                </c:pt>
                <c:pt idx="29">
                  <c:v>5.7000000000000002E-2</c:v>
                </c:pt>
                <c:pt idx="30">
                  <c:v>0.13273333333333301</c:v>
                </c:pt>
                <c:pt idx="31">
                  <c:v>0.33761200000000002</c:v>
                </c:pt>
                <c:pt idx="32">
                  <c:v>0.23916000000000001</c:v>
                </c:pt>
                <c:pt idx="33">
                  <c:v>0.52592566666666696</c:v>
                </c:pt>
                <c:pt idx="34">
                  <c:v>0.315494</c:v>
                </c:pt>
                <c:pt idx="35">
                  <c:v>0.34682000000000002</c:v>
                </c:pt>
                <c:pt idx="36">
                  <c:v>0.51306799999999997</c:v>
                </c:pt>
                <c:pt idx="37">
                  <c:v>0.41400999999999999</c:v>
                </c:pt>
                <c:pt idx="38">
                  <c:v>0.26496133333333299</c:v>
                </c:pt>
                <c:pt idx="39">
                  <c:v>0.45446999999999999</c:v>
                </c:pt>
                <c:pt idx="40">
                  <c:v>0.79364933333333298</c:v>
                </c:pt>
                <c:pt idx="41">
                  <c:v>0.34316933333333399</c:v>
                </c:pt>
                <c:pt idx="42">
                  <c:v>0.34153800000000001</c:v>
                </c:pt>
                <c:pt idx="43">
                  <c:v>0.60680800000000001</c:v>
                </c:pt>
                <c:pt idx="44">
                  <c:v>0.36919333333333298</c:v>
                </c:pt>
                <c:pt idx="45">
                  <c:v>5.7000000000000002E-2</c:v>
                </c:pt>
                <c:pt idx="46">
                  <c:v>0.223613333333334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2671-4CBF-A21D-2207AE37D7C7}"/>
            </c:ext>
          </c:extLst>
        </c:ser>
        <c:ser>
          <c:idx val="63"/>
          <c:order val="63"/>
          <c:tx>
            <c:v>BES_TR1_six869_C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Demand_kW!$BN$2:$BN$49</c:f>
              <c:numCache>
                <c:formatCode>#,##0.000</c:formatCode>
                <c:ptCount val="48"/>
                <c:pt idx="0">
                  <c:v>1.9460999999999999</c:v>
                </c:pt>
                <c:pt idx="1">
                  <c:v>0.53397666666666699</c:v>
                </c:pt>
                <c:pt idx="2">
                  <c:v>7.7342666666666698E-2</c:v>
                </c:pt>
                <c:pt idx="3">
                  <c:v>0.14737066666666701</c:v>
                </c:pt>
                <c:pt idx="4">
                  <c:v>0.146942666666667</c:v>
                </c:pt>
                <c:pt idx="5">
                  <c:v>0.14153499999999999</c:v>
                </c:pt>
                <c:pt idx="6">
                  <c:v>0.15277833333333299</c:v>
                </c:pt>
                <c:pt idx="7">
                  <c:v>5.3999999999999999E-2</c:v>
                </c:pt>
                <c:pt idx="8">
                  <c:v>0.146942666666667</c:v>
                </c:pt>
                <c:pt idx="9">
                  <c:v>0.14737066666666701</c:v>
                </c:pt>
                <c:pt idx="10">
                  <c:v>6.1733333333333397E-2</c:v>
                </c:pt>
                <c:pt idx="11">
                  <c:v>0.23486399999999999</c:v>
                </c:pt>
                <c:pt idx="12">
                  <c:v>6.51013333333334E-2</c:v>
                </c:pt>
                <c:pt idx="13">
                  <c:v>0.10551199999999999</c:v>
                </c:pt>
                <c:pt idx="14">
                  <c:v>0.156393333333333</c:v>
                </c:pt>
                <c:pt idx="15">
                  <c:v>0.38697233333333297</c:v>
                </c:pt>
                <c:pt idx="16">
                  <c:v>0.207764</c:v>
                </c:pt>
                <c:pt idx="17">
                  <c:v>0.33493333333333303</c:v>
                </c:pt>
                <c:pt idx="18">
                  <c:v>0.25640233333333301</c:v>
                </c:pt>
                <c:pt idx="19">
                  <c:v>8.7813333333333396E-2</c:v>
                </c:pt>
                <c:pt idx="20">
                  <c:v>0.10957600000000001</c:v>
                </c:pt>
                <c:pt idx="21">
                  <c:v>0.13056000000000001</c:v>
                </c:pt>
                <c:pt idx="22">
                  <c:v>0.10736</c:v>
                </c:pt>
                <c:pt idx="23">
                  <c:v>0.27272333333333298</c:v>
                </c:pt>
                <c:pt idx="24">
                  <c:v>0.164033333333333</c:v>
                </c:pt>
                <c:pt idx="25">
                  <c:v>0.220059</c:v>
                </c:pt>
                <c:pt idx="26">
                  <c:v>5.3999999999999999E-2</c:v>
                </c:pt>
                <c:pt idx="27">
                  <c:v>0.17071333333333299</c:v>
                </c:pt>
                <c:pt idx="28">
                  <c:v>0.104</c:v>
                </c:pt>
                <c:pt idx="29">
                  <c:v>0.21113499999999999</c:v>
                </c:pt>
                <c:pt idx="30">
                  <c:v>0.12862473333333299</c:v>
                </c:pt>
                <c:pt idx="31">
                  <c:v>0.17523493333333301</c:v>
                </c:pt>
                <c:pt idx="32">
                  <c:v>0.28841800000000001</c:v>
                </c:pt>
                <c:pt idx="33">
                  <c:v>0.23958133333333301</c:v>
                </c:pt>
                <c:pt idx="34">
                  <c:v>0.41134100000000001</c:v>
                </c:pt>
                <c:pt idx="35">
                  <c:v>0.25751400000000002</c:v>
                </c:pt>
                <c:pt idx="36">
                  <c:v>0.31840659999999998</c:v>
                </c:pt>
                <c:pt idx="37">
                  <c:v>0.17500640000000001</c:v>
                </c:pt>
                <c:pt idx="38">
                  <c:v>0.97088833333333402</c:v>
                </c:pt>
                <c:pt idx="39">
                  <c:v>0.81762400000000002</c:v>
                </c:pt>
                <c:pt idx="40">
                  <c:v>0.60692999999999997</c:v>
                </c:pt>
                <c:pt idx="41">
                  <c:v>0.48688466666666702</c:v>
                </c:pt>
                <c:pt idx="42">
                  <c:v>0.53748333333333298</c:v>
                </c:pt>
                <c:pt idx="43">
                  <c:v>0.49546733333333298</c:v>
                </c:pt>
                <c:pt idx="44">
                  <c:v>0.69118599999999997</c:v>
                </c:pt>
                <c:pt idx="45">
                  <c:v>0.50860399999999995</c:v>
                </c:pt>
                <c:pt idx="46">
                  <c:v>0.12986366666666699</c:v>
                </c:pt>
                <c:pt idx="47">
                  <c:v>9.4849666666666596E-2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2671-4CBF-A21D-2207AE37D7C7}"/>
            </c:ext>
          </c:extLst>
        </c:ser>
        <c:ser>
          <c:idx val="64"/>
          <c:order val="64"/>
          <c:tx>
            <c:v>BES_TR1_six885_A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Demand_kW!$BO$2:$BO$49</c:f>
              <c:numCache>
                <c:formatCode>#,##0.000</c:formatCode>
                <c:ptCount val="48"/>
                <c:pt idx="0">
                  <c:v>0.16842333333333401</c:v>
                </c:pt>
                <c:pt idx="1">
                  <c:v>8.4180000000000005E-2</c:v>
                </c:pt>
                <c:pt idx="2">
                  <c:v>0.156908666666667</c:v>
                </c:pt>
                <c:pt idx="3">
                  <c:v>8.4180000000000005E-2</c:v>
                </c:pt>
                <c:pt idx="4">
                  <c:v>4.9636E-2</c:v>
                </c:pt>
                <c:pt idx="5">
                  <c:v>0.16266600000000001</c:v>
                </c:pt>
                <c:pt idx="6">
                  <c:v>7.8422666666666599E-2</c:v>
                </c:pt>
                <c:pt idx="7">
                  <c:v>6.3987000000000002E-2</c:v>
                </c:pt>
                <c:pt idx="8">
                  <c:v>0.12528566666666699</c:v>
                </c:pt>
                <c:pt idx="9">
                  <c:v>4.1000000000000002E-2</c:v>
                </c:pt>
                <c:pt idx="10">
                  <c:v>0.200088666666667</c:v>
                </c:pt>
                <c:pt idx="11">
                  <c:v>4.1000000000000002E-2</c:v>
                </c:pt>
                <c:pt idx="12">
                  <c:v>8.4180000000000005E-2</c:v>
                </c:pt>
                <c:pt idx="13">
                  <c:v>0.156908666666667</c:v>
                </c:pt>
                <c:pt idx="14">
                  <c:v>8.99373333333333E-2</c:v>
                </c:pt>
                <c:pt idx="15">
                  <c:v>5.8118000000000003E-2</c:v>
                </c:pt>
                <c:pt idx="16">
                  <c:v>0.200088666666667</c:v>
                </c:pt>
                <c:pt idx="17">
                  <c:v>4.1000000000000002E-2</c:v>
                </c:pt>
                <c:pt idx="18">
                  <c:v>0.123465333333333</c:v>
                </c:pt>
                <c:pt idx="19">
                  <c:v>0.93936366666666704</c:v>
                </c:pt>
                <c:pt idx="20">
                  <c:v>0.1202</c:v>
                </c:pt>
                <c:pt idx="21">
                  <c:v>0.213856666666667</c:v>
                </c:pt>
                <c:pt idx="22">
                  <c:v>0.102298666666667</c:v>
                </c:pt>
                <c:pt idx="23">
                  <c:v>9.2815999999999996E-2</c:v>
                </c:pt>
                <c:pt idx="24">
                  <c:v>0.24379366666666699</c:v>
                </c:pt>
                <c:pt idx="25">
                  <c:v>4.1000000000000002E-2</c:v>
                </c:pt>
                <c:pt idx="26">
                  <c:v>9.2815999999999996E-2</c:v>
                </c:pt>
                <c:pt idx="27">
                  <c:v>0.1069928</c:v>
                </c:pt>
                <c:pt idx="28">
                  <c:v>0.19062599999999999</c:v>
                </c:pt>
                <c:pt idx="29">
                  <c:v>1.1988844000000001</c:v>
                </c:pt>
                <c:pt idx="30">
                  <c:v>0.159334266666667</c:v>
                </c:pt>
                <c:pt idx="31">
                  <c:v>0.20968466666666699</c:v>
                </c:pt>
                <c:pt idx="32">
                  <c:v>0.18315300000000001</c:v>
                </c:pt>
                <c:pt idx="33">
                  <c:v>0.10915433333333301</c:v>
                </c:pt>
                <c:pt idx="34">
                  <c:v>0.148272666666667</c:v>
                </c:pt>
                <c:pt idx="35">
                  <c:v>7.2665333333333304E-2</c:v>
                </c:pt>
                <c:pt idx="36">
                  <c:v>9.1800000000000007E-2</c:v>
                </c:pt>
                <c:pt idx="37">
                  <c:v>0.117623333333333</c:v>
                </c:pt>
                <c:pt idx="38">
                  <c:v>5.5393333333333301E-2</c:v>
                </c:pt>
                <c:pt idx="39">
                  <c:v>9.9922666666666701E-2</c:v>
                </c:pt>
                <c:pt idx="40">
                  <c:v>0.99060800000000004</c:v>
                </c:pt>
                <c:pt idx="41">
                  <c:v>0.85658999999999996</c:v>
                </c:pt>
                <c:pt idx="42">
                  <c:v>0.298952</c:v>
                </c:pt>
                <c:pt idx="43">
                  <c:v>0.182026666666667</c:v>
                </c:pt>
                <c:pt idx="44">
                  <c:v>0.38793133333333302</c:v>
                </c:pt>
                <c:pt idx="45">
                  <c:v>0.334502666666667</c:v>
                </c:pt>
                <c:pt idx="46">
                  <c:v>4.1000000000000002E-2</c:v>
                </c:pt>
                <c:pt idx="47">
                  <c:v>0.151151333333333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2671-4CBF-A21D-2207AE37D7C7}"/>
            </c:ext>
          </c:extLst>
        </c:ser>
        <c:ser>
          <c:idx val="65"/>
          <c:order val="65"/>
          <c:tx>
            <c:v>BES_TR1_six909_C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Demand_kW!$BP$2:$BP$49</c:f>
              <c:numCache>
                <c:formatCode>#,##0.000</c:formatCode>
                <c:ptCount val="4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0.201928</c:v>
                </c:pt>
                <c:pt idx="16">
                  <c:v>0.19459199999999999</c:v>
                </c:pt>
                <c:pt idx="17">
                  <c:v>0.136613333333333</c:v>
                </c:pt>
                <c:pt idx="18">
                  <c:v>0.05</c:v>
                </c:pt>
                <c:pt idx="19">
                  <c:v>0.18379466666666699</c:v>
                </c:pt>
                <c:pt idx="20">
                  <c:v>1.37974</c:v>
                </c:pt>
                <c:pt idx="21">
                  <c:v>0.22131933333333301</c:v>
                </c:pt>
                <c:pt idx="22">
                  <c:v>2.5823913333333302</c:v>
                </c:pt>
                <c:pt idx="23">
                  <c:v>1.09727666666667</c:v>
                </c:pt>
                <c:pt idx="24">
                  <c:v>1.7195069333333299</c:v>
                </c:pt>
                <c:pt idx="25">
                  <c:v>0.16915379999999999</c:v>
                </c:pt>
                <c:pt idx="26">
                  <c:v>6.2798566666666694E-2</c:v>
                </c:pt>
                <c:pt idx="27">
                  <c:v>0.29576659999999999</c:v>
                </c:pt>
                <c:pt idx="28">
                  <c:v>0.201848</c:v>
                </c:pt>
                <c:pt idx="29">
                  <c:v>0.149299866666667</c:v>
                </c:pt>
                <c:pt idx="30">
                  <c:v>0.188386</c:v>
                </c:pt>
                <c:pt idx="31">
                  <c:v>0.61119933333333298</c:v>
                </c:pt>
                <c:pt idx="32">
                  <c:v>1.5205266666666699</c:v>
                </c:pt>
                <c:pt idx="33">
                  <c:v>2.60683333333334</c:v>
                </c:pt>
                <c:pt idx="34">
                  <c:v>0.313669066666667</c:v>
                </c:pt>
                <c:pt idx="35">
                  <c:v>1.7603690000000001</c:v>
                </c:pt>
                <c:pt idx="36">
                  <c:v>4.0328633333333297</c:v>
                </c:pt>
                <c:pt idx="37">
                  <c:v>2.8136666666666699</c:v>
                </c:pt>
                <c:pt idx="38">
                  <c:v>0.654609</c:v>
                </c:pt>
                <c:pt idx="39">
                  <c:v>0.272890666666666</c:v>
                </c:pt>
                <c:pt idx="40">
                  <c:v>0.29419766666666702</c:v>
                </c:pt>
                <c:pt idx="41">
                  <c:v>1.8943540000000001</c:v>
                </c:pt>
                <c:pt idx="42">
                  <c:v>2.5317813333333299</c:v>
                </c:pt>
                <c:pt idx="43">
                  <c:v>1.14769066666667</c:v>
                </c:pt>
                <c:pt idx="44">
                  <c:v>0.33702666666666697</c:v>
                </c:pt>
                <c:pt idx="45">
                  <c:v>0.54580933333333304</c:v>
                </c:pt>
                <c:pt idx="46">
                  <c:v>0.34061533333333299</c:v>
                </c:pt>
                <c:pt idx="47">
                  <c:v>0.31285800000000002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2671-4CBF-A21D-2207AE37D7C7}"/>
            </c:ext>
          </c:extLst>
        </c:ser>
        <c:ser>
          <c:idx val="66"/>
          <c:order val="66"/>
          <c:tx>
            <c:v>BES_TR1_six105_A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Demand_kW!$BQ$2:$BQ$49</c:f>
              <c:numCache>
                <c:formatCode>#,##0.000</c:formatCode>
                <c:ptCount val="48"/>
                <c:pt idx="0">
                  <c:v>0.36297033333333301</c:v>
                </c:pt>
                <c:pt idx="1">
                  <c:v>3.6999999999999998E-2</c:v>
                </c:pt>
                <c:pt idx="2">
                  <c:v>3.6999999999999998E-2</c:v>
                </c:pt>
                <c:pt idx="3">
                  <c:v>0.207265333333333</c:v>
                </c:pt>
                <c:pt idx="4">
                  <c:v>3.6999999999999998E-2</c:v>
                </c:pt>
                <c:pt idx="5">
                  <c:v>0.12987199999999999</c:v>
                </c:pt>
                <c:pt idx="6">
                  <c:v>0.114393333333333</c:v>
                </c:pt>
                <c:pt idx="7">
                  <c:v>3.6999999999999998E-2</c:v>
                </c:pt>
                <c:pt idx="8">
                  <c:v>0.207265333333333</c:v>
                </c:pt>
                <c:pt idx="9">
                  <c:v>3.6999999999999998E-2</c:v>
                </c:pt>
                <c:pt idx="10">
                  <c:v>4.4739333333333298E-2</c:v>
                </c:pt>
                <c:pt idx="11">
                  <c:v>0.19952600000000001</c:v>
                </c:pt>
                <c:pt idx="12">
                  <c:v>3.6999999999999998E-2</c:v>
                </c:pt>
                <c:pt idx="13">
                  <c:v>0.207265333333333</c:v>
                </c:pt>
                <c:pt idx="14">
                  <c:v>3.6999999999999998E-2</c:v>
                </c:pt>
                <c:pt idx="15">
                  <c:v>0.249239666666667</c:v>
                </c:pt>
                <c:pt idx="16">
                  <c:v>0.25454500000000002</c:v>
                </c:pt>
                <c:pt idx="17">
                  <c:v>0.39828999999999998</c:v>
                </c:pt>
                <c:pt idx="18">
                  <c:v>0.207265333333333</c:v>
                </c:pt>
                <c:pt idx="19">
                  <c:v>3.9803499999999999E-2</c:v>
                </c:pt>
                <c:pt idx="20">
                  <c:v>0.294913166666667</c:v>
                </c:pt>
                <c:pt idx="21">
                  <c:v>9.4419500000000003E-2</c:v>
                </c:pt>
                <c:pt idx="22">
                  <c:v>0.18033299999999999</c:v>
                </c:pt>
                <c:pt idx="23">
                  <c:v>0.28033799999999998</c:v>
                </c:pt>
                <c:pt idx="24">
                  <c:v>0.112</c:v>
                </c:pt>
                <c:pt idx="25">
                  <c:v>0.28875499999999998</c:v>
                </c:pt>
                <c:pt idx="26">
                  <c:v>0.130592666666667</c:v>
                </c:pt>
                <c:pt idx="27">
                  <c:v>0.291995333333333</c:v>
                </c:pt>
                <c:pt idx="28">
                  <c:v>0.27282333333333397</c:v>
                </c:pt>
                <c:pt idx="29">
                  <c:v>0.316081</c:v>
                </c:pt>
                <c:pt idx="30">
                  <c:v>0.117414333333333</c:v>
                </c:pt>
                <c:pt idx="31">
                  <c:v>0.27615000000000001</c:v>
                </c:pt>
                <c:pt idx="32">
                  <c:v>0.205886666666667</c:v>
                </c:pt>
                <c:pt idx="33">
                  <c:v>3.6999999999999998E-2</c:v>
                </c:pt>
                <c:pt idx="34">
                  <c:v>0.23247799999999999</c:v>
                </c:pt>
                <c:pt idx="35">
                  <c:v>0.20183950000000001</c:v>
                </c:pt>
                <c:pt idx="36">
                  <c:v>0.11481483333333301</c:v>
                </c:pt>
                <c:pt idx="37">
                  <c:v>0.17630799999999999</c:v>
                </c:pt>
                <c:pt idx="38">
                  <c:v>3.6999999999999998E-2</c:v>
                </c:pt>
                <c:pt idx="39">
                  <c:v>0.114393333333333</c:v>
                </c:pt>
                <c:pt idx="40">
                  <c:v>0.12987199999999999</c:v>
                </c:pt>
                <c:pt idx="41">
                  <c:v>3.6999999999999998E-2</c:v>
                </c:pt>
                <c:pt idx="42">
                  <c:v>4.4476000000000002E-2</c:v>
                </c:pt>
                <c:pt idx="43">
                  <c:v>0.146666666666667</c:v>
                </c:pt>
                <c:pt idx="44">
                  <c:v>0.51225833333333304</c:v>
                </c:pt>
                <c:pt idx="45">
                  <c:v>0.31082733333333301</c:v>
                </c:pt>
                <c:pt idx="46">
                  <c:v>0.88343700000000003</c:v>
                </c:pt>
                <c:pt idx="47">
                  <c:v>0.75672766666666702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2671-4CBF-A21D-2207AE37D7C7}"/>
            </c:ext>
          </c:extLst>
        </c:ser>
        <c:ser>
          <c:idx val="67"/>
          <c:order val="67"/>
          <c:tx>
            <c:v>BES_TR1_six914_A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Demand_kW!$BR$2:$BR$49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4.8000000000000001E-2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4.8000000000000001E-2</c:v>
                </c:pt>
                <c:pt idx="7">
                  <c:v>4.8000000000000001E-2</c:v>
                </c:pt>
                <c:pt idx="8">
                  <c:v>7.5457666666666603E-2</c:v>
                </c:pt>
                <c:pt idx="9">
                  <c:v>4.8000000000000001E-2</c:v>
                </c:pt>
                <c:pt idx="10">
                  <c:v>4.8000000000000001E-2</c:v>
                </c:pt>
                <c:pt idx="11">
                  <c:v>4.8000000000000001E-2</c:v>
                </c:pt>
                <c:pt idx="12">
                  <c:v>5.2178333333333299E-2</c:v>
                </c:pt>
                <c:pt idx="13">
                  <c:v>0.28750783333333302</c:v>
                </c:pt>
                <c:pt idx="14">
                  <c:v>5.8000000000000003E-2</c:v>
                </c:pt>
                <c:pt idx="15">
                  <c:v>5.0086933333333403E-2</c:v>
                </c:pt>
                <c:pt idx="16">
                  <c:v>6.4944000000000002E-2</c:v>
                </c:pt>
                <c:pt idx="17">
                  <c:v>0.59167513333333299</c:v>
                </c:pt>
                <c:pt idx="18">
                  <c:v>0.803102800000001</c:v>
                </c:pt>
                <c:pt idx="19">
                  <c:v>9.8780199999999999E-2</c:v>
                </c:pt>
                <c:pt idx="20">
                  <c:v>7.7865066666666705E-2</c:v>
                </c:pt>
                <c:pt idx="21">
                  <c:v>0.10829999999999999</c:v>
                </c:pt>
                <c:pt idx="22">
                  <c:v>0.14849029999999999</c:v>
                </c:pt>
                <c:pt idx="23">
                  <c:v>0.13593333333333299</c:v>
                </c:pt>
                <c:pt idx="24">
                  <c:v>8.3210000000000006E-2</c:v>
                </c:pt>
                <c:pt idx="25">
                  <c:v>0.146649433333333</c:v>
                </c:pt>
                <c:pt idx="26">
                  <c:v>0.233305033333333</c:v>
                </c:pt>
                <c:pt idx="27">
                  <c:v>0.115874166666667</c:v>
                </c:pt>
                <c:pt idx="28">
                  <c:v>0.67389916666666705</c:v>
                </c:pt>
                <c:pt idx="29">
                  <c:v>0.382598933333333</c:v>
                </c:pt>
                <c:pt idx="30">
                  <c:v>0.10202799999999999</c:v>
                </c:pt>
                <c:pt idx="31">
                  <c:v>8.1162666666666702E-2</c:v>
                </c:pt>
                <c:pt idx="32">
                  <c:v>0.14454400000000001</c:v>
                </c:pt>
                <c:pt idx="33">
                  <c:v>0.149345333333333</c:v>
                </c:pt>
                <c:pt idx="34">
                  <c:v>0.112961666666667</c:v>
                </c:pt>
                <c:pt idx="35">
                  <c:v>6.0534999999999999E-2</c:v>
                </c:pt>
                <c:pt idx="36">
                  <c:v>0.14989366666666701</c:v>
                </c:pt>
                <c:pt idx="37">
                  <c:v>0.17888000000000001</c:v>
                </c:pt>
                <c:pt idx="38">
                  <c:v>0.24556800000000001</c:v>
                </c:pt>
                <c:pt idx="39">
                  <c:v>0.27392666666666698</c:v>
                </c:pt>
                <c:pt idx="40">
                  <c:v>1.3239926666666699</c:v>
                </c:pt>
                <c:pt idx="41">
                  <c:v>0.69980133333333305</c:v>
                </c:pt>
                <c:pt idx="42">
                  <c:v>0.48625200000000002</c:v>
                </c:pt>
                <c:pt idx="43">
                  <c:v>0.405214666666667</c:v>
                </c:pt>
                <c:pt idx="44">
                  <c:v>0.55188666666666697</c:v>
                </c:pt>
                <c:pt idx="45">
                  <c:v>0.54922633333333304</c:v>
                </c:pt>
                <c:pt idx="46">
                  <c:v>0.40676299999999999</c:v>
                </c:pt>
                <c:pt idx="47">
                  <c:v>0.20610400000000001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2671-4CBF-A21D-2207AE37D7C7}"/>
            </c:ext>
          </c:extLst>
        </c:ser>
        <c:ser>
          <c:idx val="68"/>
          <c:order val="68"/>
          <c:tx>
            <c:v>BES_TR1_six945_C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Demand_kW!$BS$2:$BS$49</c:f>
              <c:numCache>
                <c:formatCode>#,##0.000</c:formatCode>
                <c:ptCount val="48"/>
                <c:pt idx="0">
                  <c:v>0.10151300000000001</c:v>
                </c:pt>
                <c:pt idx="1">
                  <c:v>0.160385</c:v>
                </c:pt>
                <c:pt idx="2">
                  <c:v>0.05</c:v>
                </c:pt>
                <c:pt idx="3">
                  <c:v>0.12359000000000001</c:v>
                </c:pt>
                <c:pt idx="4">
                  <c:v>0.13830799999999999</c:v>
                </c:pt>
                <c:pt idx="5">
                  <c:v>0.05</c:v>
                </c:pt>
                <c:pt idx="6">
                  <c:v>0.211898</c:v>
                </c:pt>
                <c:pt idx="7">
                  <c:v>0.05</c:v>
                </c:pt>
                <c:pt idx="8">
                  <c:v>0.153045666666667</c:v>
                </c:pt>
                <c:pt idx="9">
                  <c:v>0.116231</c:v>
                </c:pt>
                <c:pt idx="10">
                  <c:v>0.05</c:v>
                </c:pt>
                <c:pt idx="11">
                  <c:v>0.211898</c:v>
                </c:pt>
                <c:pt idx="12">
                  <c:v>0.05</c:v>
                </c:pt>
                <c:pt idx="13">
                  <c:v>0.05</c:v>
                </c:pt>
                <c:pt idx="14">
                  <c:v>8.6794999999999997E-2</c:v>
                </c:pt>
                <c:pt idx="15">
                  <c:v>0.17510300000000001</c:v>
                </c:pt>
                <c:pt idx="16">
                  <c:v>0.28294320000000001</c:v>
                </c:pt>
                <c:pt idx="17">
                  <c:v>9.4425333333333306E-2</c:v>
                </c:pt>
                <c:pt idx="18">
                  <c:v>0.05</c:v>
                </c:pt>
                <c:pt idx="19">
                  <c:v>0.211898</c:v>
                </c:pt>
                <c:pt idx="20">
                  <c:v>0.05</c:v>
                </c:pt>
                <c:pt idx="21">
                  <c:v>0.113101333333333</c:v>
                </c:pt>
                <c:pt idx="22">
                  <c:v>0.30024640000000002</c:v>
                </c:pt>
                <c:pt idx="23">
                  <c:v>0.27875013333333298</c:v>
                </c:pt>
                <c:pt idx="24">
                  <c:v>0.198781666666667</c:v>
                </c:pt>
                <c:pt idx="25">
                  <c:v>0.96768600000000005</c:v>
                </c:pt>
                <c:pt idx="26">
                  <c:v>0.23673820000000001</c:v>
                </c:pt>
                <c:pt idx="27">
                  <c:v>8.0662200000000003E-2</c:v>
                </c:pt>
                <c:pt idx="28">
                  <c:v>0.05</c:v>
                </c:pt>
                <c:pt idx="29">
                  <c:v>0.183465666666667</c:v>
                </c:pt>
                <c:pt idx="30">
                  <c:v>0.66443366666666703</c:v>
                </c:pt>
                <c:pt idx="31">
                  <c:v>0.96208899999999997</c:v>
                </c:pt>
                <c:pt idx="32">
                  <c:v>0.411210666666667</c:v>
                </c:pt>
                <c:pt idx="33">
                  <c:v>0.50320200000000004</c:v>
                </c:pt>
                <c:pt idx="34">
                  <c:v>1.1996006666666701</c:v>
                </c:pt>
                <c:pt idx="35">
                  <c:v>0.66266066666666701</c:v>
                </c:pt>
                <c:pt idx="36">
                  <c:v>0.37968200000000002</c:v>
                </c:pt>
                <c:pt idx="37">
                  <c:v>0.23564199999999999</c:v>
                </c:pt>
                <c:pt idx="38">
                  <c:v>0.30014999999999997</c:v>
                </c:pt>
                <c:pt idx="39">
                  <c:v>0.79875833333333401</c:v>
                </c:pt>
                <c:pt idx="40">
                  <c:v>1.7474590000000001</c:v>
                </c:pt>
                <c:pt idx="41">
                  <c:v>0.55615999999999999</c:v>
                </c:pt>
                <c:pt idx="42">
                  <c:v>0.54532633333333302</c:v>
                </c:pt>
                <c:pt idx="43">
                  <c:v>0.407306</c:v>
                </c:pt>
                <c:pt idx="44">
                  <c:v>0.70490866666666696</c:v>
                </c:pt>
                <c:pt idx="45">
                  <c:v>0.44862333333333398</c:v>
                </c:pt>
                <c:pt idx="46">
                  <c:v>0.36399600000000099</c:v>
                </c:pt>
                <c:pt idx="47">
                  <c:v>0.204539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2671-4CBF-A21D-2207AE37D7C7}"/>
            </c:ext>
          </c:extLst>
        </c:ser>
        <c:ser>
          <c:idx val="69"/>
          <c:order val="69"/>
          <c:tx>
            <c:v>BES_TR1_six952_A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Demand_kW!$BT$2:$BT$49</c:f>
              <c:numCache>
                <c:formatCode>#,##0.000</c:formatCode>
                <c:ptCount val="48"/>
                <c:pt idx="0">
                  <c:v>5.5E-2</c:v>
                </c:pt>
                <c:pt idx="1">
                  <c:v>0.191381</c:v>
                </c:pt>
                <c:pt idx="2">
                  <c:v>0.104903</c:v>
                </c:pt>
                <c:pt idx="3">
                  <c:v>8.3825999999999998E-2</c:v>
                </c:pt>
                <c:pt idx="4">
                  <c:v>0.112652</c:v>
                </c:pt>
                <c:pt idx="5">
                  <c:v>0.16441466666666699</c:v>
                </c:pt>
                <c:pt idx="6">
                  <c:v>0.13186933333333301</c:v>
                </c:pt>
                <c:pt idx="7">
                  <c:v>0.154806</c:v>
                </c:pt>
                <c:pt idx="8">
                  <c:v>0.14147799999999999</c:v>
                </c:pt>
                <c:pt idx="9">
                  <c:v>5.5E-2</c:v>
                </c:pt>
                <c:pt idx="10">
                  <c:v>5.5E-2</c:v>
                </c:pt>
                <c:pt idx="11">
                  <c:v>0.154806</c:v>
                </c:pt>
                <c:pt idx="12">
                  <c:v>5.5E-2</c:v>
                </c:pt>
                <c:pt idx="13">
                  <c:v>0.18642166666666701</c:v>
                </c:pt>
                <c:pt idx="14">
                  <c:v>0.10986233333333301</c:v>
                </c:pt>
                <c:pt idx="15">
                  <c:v>1.48833866666667</c:v>
                </c:pt>
                <c:pt idx="16">
                  <c:v>0.24529200000000001</c:v>
                </c:pt>
                <c:pt idx="17">
                  <c:v>0.103669333333333</c:v>
                </c:pt>
                <c:pt idx="18">
                  <c:v>0.29261429999999999</c:v>
                </c:pt>
                <c:pt idx="19">
                  <c:v>0.16239999999999999</c:v>
                </c:pt>
                <c:pt idx="20">
                  <c:v>7.9021666666666698E-2</c:v>
                </c:pt>
                <c:pt idx="21">
                  <c:v>0.20300433333333301</c:v>
                </c:pt>
                <c:pt idx="22">
                  <c:v>0.122105666666667</c:v>
                </c:pt>
                <c:pt idx="23">
                  <c:v>8.8630333333333394E-2</c:v>
                </c:pt>
                <c:pt idx="24">
                  <c:v>0.21245800000000001</c:v>
                </c:pt>
                <c:pt idx="25">
                  <c:v>8.3825999999999998E-2</c:v>
                </c:pt>
                <c:pt idx="26">
                  <c:v>5.5E-2</c:v>
                </c:pt>
                <c:pt idx="27">
                  <c:v>0.236479666666667</c:v>
                </c:pt>
                <c:pt idx="28">
                  <c:v>5.98043333333333E-2</c:v>
                </c:pt>
                <c:pt idx="29">
                  <c:v>0.177123</c:v>
                </c:pt>
                <c:pt idx="30">
                  <c:v>0.43433513333333301</c:v>
                </c:pt>
                <c:pt idx="31">
                  <c:v>0.40267890000000001</c:v>
                </c:pt>
                <c:pt idx="32">
                  <c:v>0.49635693333333297</c:v>
                </c:pt>
                <c:pt idx="33">
                  <c:v>0.62429366666666697</c:v>
                </c:pt>
                <c:pt idx="34">
                  <c:v>0.73451633333333399</c:v>
                </c:pt>
                <c:pt idx="35">
                  <c:v>0.44218099999999999</c:v>
                </c:pt>
                <c:pt idx="36">
                  <c:v>0.47390300000000002</c:v>
                </c:pt>
                <c:pt idx="37">
                  <c:v>0.54163166666666696</c:v>
                </c:pt>
                <c:pt idx="38">
                  <c:v>0.44678099999999998</c:v>
                </c:pt>
                <c:pt idx="39">
                  <c:v>0.14147799999999999</c:v>
                </c:pt>
                <c:pt idx="40">
                  <c:v>0.154806</c:v>
                </c:pt>
                <c:pt idx="41">
                  <c:v>0.14147799999999999</c:v>
                </c:pt>
                <c:pt idx="42">
                  <c:v>0.119161</c:v>
                </c:pt>
                <c:pt idx="43">
                  <c:v>9.0645000000000003E-2</c:v>
                </c:pt>
                <c:pt idx="44">
                  <c:v>0.117456333333333</c:v>
                </c:pt>
                <c:pt idx="45">
                  <c:v>7.9021666666666698E-2</c:v>
                </c:pt>
                <c:pt idx="46">
                  <c:v>0.51053733333333295</c:v>
                </c:pt>
                <c:pt idx="47">
                  <c:v>0.42261233333333298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2671-4CBF-A21D-2207AE37D7C7}"/>
            </c:ext>
          </c:extLst>
        </c:ser>
        <c:ser>
          <c:idx val="70"/>
          <c:order val="70"/>
          <c:tx>
            <c:v>BES_TR1_six967_B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Demand_kW!$BU$2:$BU$49</c:f>
              <c:numCache>
                <c:formatCode>#,##0.000</c:formatCode>
                <c:ptCount val="48"/>
                <c:pt idx="0">
                  <c:v>0.21373</c:v>
                </c:pt>
                <c:pt idx="1">
                  <c:v>5.5E-2</c:v>
                </c:pt>
                <c:pt idx="2">
                  <c:v>5.5E-2</c:v>
                </c:pt>
                <c:pt idx="3">
                  <c:v>0.21373</c:v>
                </c:pt>
                <c:pt idx="4">
                  <c:v>5.5E-2</c:v>
                </c:pt>
                <c:pt idx="5">
                  <c:v>9.8290000000000002E-2</c:v>
                </c:pt>
                <c:pt idx="6">
                  <c:v>0.17044000000000001</c:v>
                </c:pt>
                <c:pt idx="7">
                  <c:v>5.5E-2</c:v>
                </c:pt>
                <c:pt idx="8">
                  <c:v>0.21373</c:v>
                </c:pt>
                <c:pt idx="9">
                  <c:v>5.5E-2</c:v>
                </c:pt>
                <c:pt idx="10">
                  <c:v>5.5E-2</c:v>
                </c:pt>
                <c:pt idx="11">
                  <c:v>0.19208500000000001</c:v>
                </c:pt>
                <c:pt idx="12">
                  <c:v>7.6645000000000005E-2</c:v>
                </c:pt>
                <c:pt idx="13">
                  <c:v>5.5E-2</c:v>
                </c:pt>
                <c:pt idx="14">
                  <c:v>0.18487000000000001</c:v>
                </c:pt>
                <c:pt idx="15">
                  <c:v>8.3860000000000004E-2</c:v>
                </c:pt>
                <c:pt idx="16">
                  <c:v>5.5E-2</c:v>
                </c:pt>
                <c:pt idx="17">
                  <c:v>0.21373</c:v>
                </c:pt>
                <c:pt idx="18">
                  <c:v>5.5E-2</c:v>
                </c:pt>
                <c:pt idx="19">
                  <c:v>0.19208500000000001</c:v>
                </c:pt>
                <c:pt idx="20">
                  <c:v>7.6645000000000005E-2</c:v>
                </c:pt>
                <c:pt idx="21">
                  <c:v>5.5E-2</c:v>
                </c:pt>
                <c:pt idx="22">
                  <c:v>0.18487000000000001</c:v>
                </c:pt>
                <c:pt idx="23">
                  <c:v>0.241956333333333</c:v>
                </c:pt>
                <c:pt idx="24">
                  <c:v>0.19481100000000001</c:v>
                </c:pt>
                <c:pt idx="25">
                  <c:v>0.27199200000000001</c:v>
                </c:pt>
                <c:pt idx="26">
                  <c:v>0.28403866666666699</c:v>
                </c:pt>
                <c:pt idx="27">
                  <c:v>0.18867566666666699</c:v>
                </c:pt>
                <c:pt idx="28">
                  <c:v>0.33118999999999998</c:v>
                </c:pt>
                <c:pt idx="29">
                  <c:v>7.2836999999999999E-2</c:v>
                </c:pt>
                <c:pt idx="30">
                  <c:v>0.19894793333333299</c:v>
                </c:pt>
                <c:pt idx="31">
                  <c:v>0.28586766666666702</c:v>
                </c:pt>
                <c:pt idx="32">
                  <c:v>0.11659133333333301</c:v>
                </c:pt>
                <c:pt idx="33">
                  <c:v>0.20025533333333301</c:v>
                </c:pt>
                <c:pt idx="34">
                  <c:v>5.5E-2</c:v>
                </c:pt>
                <c:pt idx="35">
                  <c:v>0.21651466666666699</c:v>
                </c:pt>
                <c:pt idx="36">
                  <c:v>1.8546433333333301</c:v>
                </c:pt>
                <c:pt idx="37">
                  <c:v>0.46843699999999999</c:v>
                </c:pt>
                <c:pt idx="38">
                  <c:v>2.2501799999999998</c:v>
                </c:pt>
                <c:pt idx="39">
                  <c:v>0.38286933333333301</c:v>
                </c:pt>
                <c:pt idx="40">
                  <c:v>0.69106000000000001</c:v>
                </c:pt>
                <c:pt idx="41">
                  <c:v>0.45908066666666703</c:v>
                </c:pt>
                <c:pt idx="42">
                  <c:v>1.38344633333333</c:v>
                </c:pt>
                <c:pt idx="43">
                  <c:v>0.71373466666666696</c:v>
                </c:pt>
                <c:pt idx="44">
                  <c:v>0.91003166666666702</c:v>
                </c:pt>
                <c:pt idx="45">
                  <c:v>0.81796766666666598</c:v>
                </c:pt>
                <c:pt idx="46">
                  <c:v>0.30544500000000002</c:v>
                </c:pt>
                <c:pt idx="47">
                  <c:v>0.19208500000000001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2671-4CBF-A21D-2207AE37D7C7}"/>
            </c:ext>
          </c:extLst>
        </c:ser>
        <c:ser>
          <c:idx val="71"/>
          <c:order val="71"/>
          <c:tx>
            <c:v>BES_TR1_six990_B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Demand_kW!$BV$2:$BV$49</c:f>
              <c:numCache>
                <c:formatCode>#,##0.000</c:formatCode>
                <c:ptCount val="48"/>
                <c:pt idx="0">
                  <c:v>0.14638200000000001</c:v>
                </c:pt>
                <c:pt idx="1">
                  <c:v>0.18135799999999999</c:v>
                </c:pt>
                <c:pt idx="2">
                  <c:v>0.13237966666666701</c:v>
                </c:pt>
                <c:pt idx="3">
                  <c:v>0.180447</c:v>
                </c:pt>
                <c:pt idx="4">
                  <c:v>0.215046666666667</c:v>
                </c:pt>
                <c:pt idx="5">
                  <c:v>5.0999999999999997E-2</c:v>
                </c:pt>
                <c:pt idx="6">
                  <c:v>0.35130666666666699</c:v>
                </c:pt>
                <c:pt idx="7">
                  <c:v>5.0999999999999997E-2</c:v>
                </c:pt>
                <c:pt idx="8">
                  <c:v>0.29910999999999999</c:v>
                </c:pt>
                <c:pt idx="9">
                  <c:v>0.10319666666666701</c:v>
                </c:pt>
                <c:pt idx="10">
                  <c:v>5.0999999999999997E-2</c:v>
                </c:pt>
                <c:pt idx="11">
                  <c:v>0.26826333333333302</c:v>
                </c:pt>
                <c:pt idx="12">
                  <c:v>0.13404333333333299</c:v>
                </c:pt>
                <c:pt idx="13">
                  <c:v>0.173666666666667</c:v>
                </c:pt>
                <c:pt idx="14">
                  <c:v>0.26928333333333399</c:v>
                </c:pt>
                <c:pt idx="15">
                  <c:v>0.17293</c:v>
                </c:pt>
                <c:pt idx="16">
                  <c:v>0.24439133333333299</c:v>
                </c:pt>
                <c:pt idx="17">
                  <c:v>0.26860066666666699</c:v>
                </c:pt>
                <c:pt idx="18">
                  <c:v>0.71008266666666697</c:v>
                </c:pt>
                <c:pt idx="19">
                  <c:v>0.70116433333333295</c:v>
                </c:pt>
                <c:pt idx="20">
                  <c:v>0.42570000000000002</c:v>
                </c:pt>
                <c:pt idx="21">
                  <c:v>0.224173333333333</c:v>
                </c:pt>
                <c:pt idx="22">
                  <c:v>0.14047999999999999</c:v>
                </c:pt>
                <c:pt idx="23">
                  <c:v>0.12556666666666699</c:v>
                </c:pt>
                <c:pt idx="24">
                  <c:v>8.8283333333333297E-2</c:v>
                </c:pt>
                <c:pt idx="25">
                  <c:v>0.31402333333333299</c:v>
                </c:pt>
                <c:pt idx="26">
                  <c:v>5.0999999999999997E-2</c:v>
                </c:pt>
                <c:pt idx="27">
                  <c:v>5.7813000000000003E-2</c:v>
                </c:pt>
                <c:pt idx="28">
                  <c:v>0.180447</c:v>
                </c:pt>
                <c:pt idx="29">
                  <c:v>5.0999999999999997E-2</c:v>
                </c:pt>
                <c:pt idx="30">
                  <c:v>1.2043773333333301</c:v>
                </c:pt>
                <c:pt idx="31">
                  <c:v>0.197239</c:v>
                </c:pt>
                <c:pt idx="32">
                  <c:v>0.30615999999999999</c:v>
                </c:pt>
                <c:pt idx="33">
                  <c:v>0.226986666666667</c:v>
                </c:pt>
                <c:pt idx="34">
                  <c:v>0.142143666666667</c:v>
                </c:pt>
                <c:pt idx="35">
                  <c:v>1.44784766666667</c:v>
                </c:pt>
                <c:pt idx="36">
                  <c:v>0.19876113333333301</c:v>
                </c:pt>
                <c:pt idx="37">
                  <c:v>0.26986399999999999</c:v>
                </c:pt>
                <c:pt idx="38">
                  <c:v>0.28004630000000003</c:v>
                </c:pt>
                <c:pt idx="39">
                  <c:v>0.113555</c:v>
                </c:pt>
                <c:pt idx="40">
                  <c:v>0.37227666666666698</c:v>
                </c:pt>
                <c:pt idx="41">
                  <c:v>0.33515733333333297</c:v>
                </c:pt>
                <c:pt idx="42">
                  <c:v>0.34597133333333302</c:v>
                </c:pt>
                <c:pt idx="43">
                  <c:v>0.25155666666666698</c:v>
                </c:pt>
                <c:pt idx="44">
                  <c:v>0.430433333333333</c:v>
                </c:pt>
                <c:pt idx="45">
                  <c:v>0.33869666666666698</c:v>
                </c:pt>
                <c:pt idx="46">
                  <c:v>0.39959299999999998</c:v>
                </c:pt>
                <c:pt idx="47">
                  <c:v>0.407393333333333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2671-4CBF-A21D-2207AE37D7C7}"/>
            </c:ext>
          </c:extLst>
        </c:ser>
        <c:ser>
          <c:idx val="72"/>
          <c:order val="72"/>
          <c:tx>
            <c:v>BES_TR1_six1006_C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Demand_kW!$BW$2:$BW$49</c:f>
              <c:numCache>
                <c:formatCode>#,##0.000</c:formatCode>
                <c:ptCount val="48"/>
                <c:pt idx="0">
                  <c:v>0.16771533333333299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0.16771533333333299</c:v>
                </c:pt>
                <c:pt idx="4">
                  <c:v>5.6000000000000001E-2</c:v>
                </c:pt>
                <c:pt idx="5">
                  <c:v>0.16771533333333299</c:v>
                </c:pt>
                <c:pt idx="6">
                  <c:v>5.6000000000000001E-2</c:v>
                </c:pt>
                <c:pt idx="7">
                  <c:v>5.6000000000000001E-2</c:v>
                </c:pt>
                <c:pt idx="8">
                  <c:v>5.6000000000000001E-2</c:v>
                </c:pt>
                <c:pt idx="9">
                  <c:v>0.16771533333333299</c:v>
                </c:pt>
                <c:pt idx="10">
                  <c:v>5.6000000000000001E-2</c:v>
                </c:pt>
                <c:pt idx="11">
                  <c:v>5.6000000000000001E-2</c:v>
                </c:pt>
                <c:pt idx="12">
                  <c:v>0.16771533333333299</c:v>
                </c:pt>
                <c:pt idx="13">
                  <c:v>5.6000000000000001E-2</c:v>
                </c:pt>
                <c:pt idx="14">
                  <c:v>0.12781699999999999</c:v>
                </c:pt>
                <c:pt idx="15">
                  <c:v>9.5898333333333405E-2</c:v>
                </c:pt>
                <c:pt idx="16">
                  <c:v>5.6000000000000001E-2</c:v>
                </c:pt>
                <c:pt idx="17">
                  <c:v>5.6000000000000001E-2</c:v>
                </c:pt>
                <c:pt idx="18">
                  <c:v>0.16771533333333299</c:v>
                </c:pt>
                <c:pt idx="19">
                  <c:v>5.6000000000000001E-2</c:v>
                </c:pt>
                <c:pt idx="20">
                  <c:v>0.12781699999999999</c:v>
                </c:pt>
                <c:pt idx="21">
                  <c:v>9.5898333333333405E-2</c:v>
                </c:pt>
                <c:pt idx="22">
                  <c:v>5.6000000000000001E-2</c:v>
                </c:pt>
                <c:pt idx="23">
                  <c:v>0.16771533333333299</c:v>
                </c:pt>
                <c:pt idx="24">
                  <c:v>5.6000000000000001E-2</c:v>
                </c:pt>
                <c:pt idx="25">
                  <c:v>5.6000000000000001E-2</c:v>
                </c:pt>
                <c:pt idx="26">
                  <c:v>5.6000000000000001E-2</c:v>
                </c:pt>
                <c:pt idx="27">
                  <c:v>0.16771533333333299</c:v>
                </c:pt>
                <c:pt idx="28">
                  <c:v>5.6000000000000001E-2</c:v>
                </c:pt>
                <c:pt idx="29">
                  <c:v>0.151756</c:v>
                </c:pt>
                <c:pt idx="30">
                  <c:v>7.1959333333333403E-2</c:v>
                </c:pt>
                <c:pt idx="31">
                  <c:v>5.6000000000000001E-2</c:v>
                </c:pt>
                <c:pt idx="32">
                  <c:v>0.16771533333333299</c:v>
                </c:pt>
                <c:pt idx="33">
                  <c:v>5.6000000000000001E-2</c:v>
                </c:pt>
                <c:pt idx="34">
                  <c:v>5.6000000000000001E-2</c:v>
                </c:pt>
                <c:pt idx="35">
                  <c:v>0.16771533333333299</c:v>
                </c:pt>
                <c:pt idx="36">
                  <c:v>5.6000000000000001E-2</c:v>
                </c:pt>
                <c:pt idx="37">
                  <c:v>5.6000000000000001E-2</c:v>
                </c:pt>
                <c:pt idx="38">
                  <c:v>5.6000000000000001E-2</c:v>
                </c:pt>
                <c:pt idx="39">
                  <c:v>0.203141666666667</c:v>
                </c:pt>
                <c:pt idx="40">
                  <c:v>0.20101666666666701</c:v>
                </c:pt>
                <c:pt idx="41">
                  <c:v>0.21578433333333299</c:v>
                </c:pt>
                <c:pt idx="42">
                  <c:v>0.289673666666667</c:v>
                </c:pt>
                <c:pt idx="43">
                  <c:v>0.23972433333333301</c:v>
                </c:pt>
                <c:pt idx="44">
                  <c:v>0.45039099999999999</c:v>
                </c:pt>
                <c:pt idx="45">
                  <c:v>0.31077966666666701</c:v>
                </c:pt>
                <c:pt idx="46">
                  <c:v>0.36795166666666701</c:v>
                </c:pt>
                <c:pt idx="47">
                  <c:v>0.62400733333333402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2671-4CBF-A21D-2207AE37D7C7}"/>
            </c:ext>
          </c:extLst>
        </c:ser>
        <c:ser>
          <c:idx val="73"/>
          <c:order val="73"/>
          <c:tx>
            <c:v>BES_TR1_six1020_A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Demand_kW!$BX$2:$BX$49</c:f>
              <c:numCache>
                <c:formatCode>#,##0.000</c:formatCode>
                <c:ptCount val="48"/>
                <c:pt idx="0">
                  <c:v>0.75989333333333298</c:v>
                </c:pt>
                <c:pt idx="1">
                  <c:v>5.1999999999999998E-2</c:v>
                </c:pt>
                <c:pt idx="2">
                  <c:v>0.15684933333333301</c:v>
                </c:pt>
                <c:pt idx="3">
                  <c:v>0.124588</c:v>
                </c:pt>
                <c:pt idx="4">
                  <c:v>6.81306666666667E-2</c:v>
                </c:pt>
                <c:pt idx="5">
                  <c:v>0.21330666666666701</c:v>
                </c:pt>
                <c:pt idx="6">
                  <c:v>5.1999999999999998E-2</c:v>
                </c:pt>
                <c:pt idx="7">
                  <c:v>0.15684933333333301</c:v>
                </c:pt>
                <c:pt idx="8">
                  <c:v>0.124588</c:v>
                </c:pt>
                <c:pt idx="9">
                  <c:v>0.100392</c:v>
                </c:pt>
                <c:pt idx="10">
                  <c:v>0.181045333333333</c:v>
                </c:pt>
                <c:pt idx="11">
                  <c:v>5.1999999999999998E-2</c:v>
                </c:pt>
                <c:pt idx="12">
                  <c:v>0.21330666666666701</c:v>
                </c:pt>
                <c:pt idx="13">
                  <c:v>6.81306666666667E-2</c:v>
                </c:pt>
                <c:pt idx="14">
                  <c:v>0.55397166666666697</c:v>
                </c:pt>
                <c:pt idx="15">
                  <c:v>0.45399133333333302</c:v>
                </c:pt>
                <c:pt idx="16">
                  <c:v>0.24165366666666699</c:v>
                </c:pt>
                <c:pt idx="17">
                  <c:v>0.36348000000000003</c:v>
                </c:pt>
                <c:pt idx="18">
                  <c:v>0.148226</c:v>
                </c:pt>
                <c:pt idx="19">
                  <c:v>0.13265333333333301</c:v>
                </c:pt>
                <c:pt idx="20">
                  <c:v>0.35425833333333301</c:v>
                </c:pt>
                <c:pt idx="21">
                  <c:v>5.1999999999999998E-2</c:v>
                </c:pt>
                <c:pt idx="22">
                  <c:v>8.3113999999999993E-2</c:v>
                </c:pt>
                <c:pt idx="23">
                  <c:v>0.32993593333333299</c:v>
                </c:pt>
                <c:pt idx="24">
                  <c:v>0.24792233333333399</c:v>
                </c:pt>
                <c:pt idx="25">
                  <c:v>0.20284666666666701</c:v>
                </c:pt>
                <c:pt idx="26">
                  <c:v>0.44591199999999998</c:v>
                </c:pt>
                <c:pt idx="27">
                  <c:v>0.25450499999999998</c:v>
                </c:pt>
                <c:pt idx="28">
                  <c:v>1.02392333333333</c:v>
                </c:pt>
                <c:pt idx="29">
                  <c:v>0.46081</c:v>
                </c:pt>
                <c:pt idx="30">
                  <c:v>0.27857999999999999</c:v>
                </c:pt>
                <c:pt idx="31">
                  <c:v>0.28500833333333297</c:v>
                </c:pt>
                <c:pt idx="32">
                  <c:v>0.36369166666666702</c:v>
                </c:pt>
                <c:pt idx="33">
                  <c:v>0.315747</c:v>
                </c:pt>
                <c:pt idx="34">
                  <c:v>0.100296</c:v>
                </c:pt>
                <c:pt idx="35">
                  <c:v>0.300547333333333</c:v>
                </c:pt>
                <c:pt idx="36">
                  <c:v>0.17836693333333301</c:v>
                </c:pt>
                <c:pt idx="37">
                  <c:v>0.45855699999999999</c:v>
                </c:pt>
                <c:pt idx="38">
                  <c:v>0.40526600000000002</c:v>
                </c:pt>
                <c:pt idx="39">
                  <c:v>0.42405549999999997</c:v>
                </c:pt>
                <c:pt idx="40">
                  <c:v>0.57737766666666701</c:v>
                </c:pt>
                <c:pt idx="41">
                  <c:v>0.75110699999999997</c:v>
                </c:pt>
                <c:pt idx="42">
                  <c:v>0.63821866666666704</c:v>
                </c:pt>
                <c:pt idx="43">
                  <c:v>0.116522666666667</c:v>
                </c:pt>
                <c:pt idx="44">
                  <c:v>0.16491466666666699</c:v>
                </c:pt>
                <c:pt idx="45">
                  <c:v>0.116051666666667</c:v>
                </c:pt>
                <c:pt idx="46">
                  <c:v>0.22137200000000001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2671-4CBF-A21D-2207AE37D7C7}"/>
            </c:ext>
          </c:extLst>
        </c:ser>
        <c:ser>
          <c:idx val="74"/>
          <c:order val="74"/>
          <c:tx>
            <c:v>BES_TR1_six1025_B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Demand_kW!$BY$2:$BY$49</c:f>
              <c:numCache>
                <c:formatCode>#,##0.000</c:formatCode>
                <c:ptCount val="48"/>
                <c:pt idx="0">
                  <c:v>0.106790333333333</c:v>
                </c:pt>
                <c:pt idx="1">
                  <c:v>0.26498333333333302</c:v>
                </c:pt>
                <c:pt idx="2">
                  <c:v>0.125596666666667</c:v>
                </c:pt>
                <c:pt idx="3">
                  <c:v>0.442927666666666</c:v>
                </c:pt>
                <c:pt idx="4">
                  <c:v>8.9308666666666703E-2</c:v>
                </c:pt>
                <c:pt idx="5">
                  <c:v>0.365968666666667</c:v>
                </c:pt>
                <c:pt idx="6">
                  <c:v>0.22318866666666701</c:v>
                </c:pt>
                <c:pt idx="7">
                  <c:v>0.23480100000000001</c:v>
                </c:pt>
                <c:pt idx="8">
                  <c:v>0.33478233333333302</c:v>
                </c:pt>
                <c:pt idx="9">
                  <c:v>0.189668</c:v>
                </c:pt>
                <c:pt idx="10">
                  <c:v>0.14228199999999999</c:v>
                </c:pt>
                <c:pt idx="11">
                  <c:v>0.306537</c:v>
                </c:pt>
                <c:pt idx="12">
                  <c:v>0.13437033333333301</c:v>
                </c:pt>
                <c:pt idx="13">
                  <c:v>0.25072333333333302</c:v>
                </c:pt>
                <c:pt idx="14">
                  <c:v>0.275179333333334</c:v>
                </c:pt>
                <c:pt idx="15">
                  <c:v>0.221453333333333</c:v>
                </c:pt>
                <c:pt idx="16">
                  <c:v>0.30320799999999998</c:v>
                </c:pt>
                <c:pt idx="17">
                  <c:v>0.35962666666666698</c:v>
                </c:pt>
                <c:pt idx="18">
                  <c:v>0.2039</c:v>
                </c:pt>
                <c:pt idx="19">
                  <c:v>0.29563266666666699</c:v>
                </c:pt>
                <c:pt idx="20">
                  <c:v>0.195662</c:v>
                </c:pt>
                <c:pt idx="21">
                  <c:v>0.16119600000000001</c:v>
                </c:pt>
                <c:pt idx="22">
                  <c:v>0.22557933333333299</c:v>
                </c:pt>
                <c:pt idx="23">
                  <c:v>0.31909533333333301</c:v>
                </c:pt>
                <c:pt idx="24">
                  <c:v>0.16593466666666701</c:v>
                </c:pt>
                <c:pt idx="25">
                  <c:v>0.25175500000000001</c:v>
                </c:pt>
                <c:pt idx="26">
                  <c:v>0.40524833333333299</c:v>
                </c:pt>
                <c:pt idx="27">
                  <c:v>0.39330866666666697</c:v>
                </c:pt>
                <c:pt idx="28">
                  <c:v>0.51268333333333305</c:v>
                </c:pt>
                <c:pt idx="29">
                  <c:v>0.17986133333333301</c:v>
                </c:pt>
                <c:pt idx="30">
                  <c:v>0.14490466666666699</c:v>
                </c:pt>
                <c:pt idx="31">
                  <c:v>0.26769866666666697</c:v>
                </c:pt>
                <c:pt idx="32">
                  <c:v>0.370763333333333</c:v>
                </c:pt>
                <c:pt idx="33">
                  <c:v>0.17686733333333299</c:v>
                </c:pt>
                <c:pt idx="34">
                  <c:v>0.445514666666667</c:v>
                </c:pt>
                <c:pt idx="35">
                  <c:v>9.5393999999999896E-2</c:v>
                </c:pt>
                <c:pt idx="36">
                  <c:v>0.41060133333333299</c:v>
                </c:pt>
                <c:pt idx="37">
                  <c:v>0.387241</c:v>
                </c:pt>
                <c:pt idx="38">
                  <c:v>0.39079233333333302</c:v>
                </c:pt>
                <c:pt idx="39">
                  <c:v>0.27796666666666697</c:v>
                </c:pt>
                <c:pt idx="40">
                  <c:v>1.7121710000000001</c:v>
                </c:pt>
                <c:pt idx="41">
                  <c:v>0.36566866666666697</c:v>
                </c:pt>
                <c:pt idx="42">
                  <c:v>0.627566333333333</c:v>
                </c:pt>
                <c:pt idx="43">
                  <c:v>0.86989333333333396</c:v>
                </c:pt>
                <c:pt idx="44">
                  <c:v>0.48017466666666703</c:v>
                </c:pt>
                <c:pt idx="45">
                  <c:v>0.46966333333333299</c:v>
                </c:pt>
                <c:pt idx="46">
                  <c:v>0.45231766666666701</c:v>
                </c:pt>
                <c:pt idx="47">
                  <c:v>0.67848033333333302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2671-4CBF-A21D-2207AE37D7C7}"/>
            </c:ext>
          </c:extLst>
        </c:ser>
        <c:ser>
          <c:idx val="75"/>
          <c:order val="75"/>
          <c:tx>
            <c:v>BES_TR1_six1064_C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Demand_kW!$BZ$2:$BZ$49</c:f>
              <c:numCache>
                <c:formatCode>#,##0.000</c:formatCode>
                <c:ptCount val="48"/>
                <c:pt idx="0">
                  <c:v>4.3999999999999997E-2</c:v>
                </c:pt>
                <c:pt idx="1">
                  <c:v>4.3999999999999997E-2</c:v>
                </c:pt>
                <c:pt idx="2">
                  <c:v>0.10526666666666699</c:v>
                </c:pt>
                <c:pt idx="3">
                  <c:v>0.15061333333333299</c:v>
                </c:pt>
                <c:pt idx="4">
                  <c:v>4.3999999999999997E-2</c:v>
                </c:pt>
                <c:pt idx="5">
                  <c:v>4.3999999999999997E-2</c:v>
                </c:pt>
                <c:pt idx="6">
                  <c:v>4.3999999999999997E-2</c:v>
                </c:pt>
                <c:pt idx="7">
                  <c:v>4.3999999999999997E-2</c:v>
                </c:pt>
                <c:pt idx="8">
                  <c:v>4.3999999999999997E-2</c:v>
                </c:pt>
                <c:pt idx="9">
                  <c:v>4.3999999999999997E-2</c:v>
                </c:pt>
                <c:pt idx="10">
                  <c:v>4.3999999999999997E-2</c:v>
                </c:pt>
                <c:pt idx="11">
                  <c:v>4.3999999999999997E-2</c:v>
                </c:pt>
                <c:pt idx="12">
                  <c:v>4.3999999999999997E-2</c:v>
                </c:pt>
                <c:pt idx="13">
                  <c:v>4.3999999999999997E-2</c:v>
                </c:pt>
                <c:pt idx="14">
                  <c:v>4.3999999999999997E-2</c:v>
                </c:pt>
                <c:pt idx="15">
                  <c:v>0.26813266666666702</c:v>
                </c:pt>
                <c:pt idx="16">
                  <c:v>0.20366000000000001</c:v>
                </c:pt>
                <c:pt idx="17">
                  <c:v>0.25366</c:v>
                </c:pt>
                <c:pt idx="18">
                  <c:v>0.35702333333333303</c:v>
                </c:pt>
                <c:pt idx="19">
                  <c:v>4.3999999999999997E-2</c:v>
                </c:pt>
                <c:pt idx="20">
                  <c:v>4.3999999999999997E-2</c:v>
                </c:pt>
                <c:pt idx="21">
                  <c:v>4.3999999999999997E-2</c:v>
                </c:pt>
                <c:pt idx="22">
                  <c:v>4.3999999999999997E-2</c:v>
                </c:pt>
                <c:pt idx="23">
                  <c:v>4.3999999999999997E-2</c:v>
                </c:pt>
                <c:pt idx="24">
                  <c:v>4.3999999999999997E-2</c:v>
                </c:pt>
                <c:pt idx="25">
                  <c:v>4.3999999999999997E-2</c:v>
                </c:pt>
                <c:pt idx="26">
                  <c:v>0.26983000000000001</c:v>
                </c:pt>
                <c:pt idx="27">
                  <c:v>0.26983000000000001</c:v>
                </c:pt>
                <c:pt idx="28">
                  <c:v>0.19039900000000001</c:v>
                </c:pt>
                <c:pt idx="29">
                  <c:v>0.20766000000000001</c:v>
                </c:pt>
                <c:pt idx="30">
                  <c:v>0.12082333333333301</c:v>
                </c:pt>
                <c:pt idx="31">
                  <c:v>8.7824000000000096E-2</c:v>
                </c:pt>
                <c:pt idx="32">
                  <c:v>0.38600099999999998</c:v>
                </c:pt>
                <c:pt idx="33">
                  <c:v>9.5390000000000003E-2</c:v>
                </c:pt>
                <c:pt idx="34">
                  <c:v>4.3999999999999997E-2</c:v>
                </c:pt>
                <c:pt idx="35">
                  <c:v>4.3999999999999997E-2</c:v>
                </c:pt>
                <c:pt idx="36">
                  <c:v>4.3999999999999997E-2</c:v>
                </c:pt>
                <c:pt idx="37">
                  <c:v>4.3999999999999997E-2</c:v>
                </c:pt>
                <c:pt idx="38">
                  <c:v>0.125882666666667</c:v>
                </c:pt>
                <c:pt idx="39">
                  <c:v>0.27015600000000001</c:v>
                </c:pt>
                <c:pt idx="40">
                  <c:v>0.41279666666666598</c:v>
                </c:pt>
                <c:pt idx="41">
                  <c:v>0.27030666666666697</c:v>
                </c:pt>
                <c:pt idx="42">
                  <c:v>0.35393333333333399</c:v>
                </c:pt>
                <c:pt idx="43">
                  <c:v>0.38381233333333298</c:v>
                </c:pt>
                <c:pt idx="44">
                  <c:v>0.38573833333333302</c:v>
                </c:pt>
                <c:pt idx="45">
                  <c:v>0.34885866666666698</c:v>
                </c:pt>
                <c:pt idx="46">
                  <c:v>0.21995000000000001</c:v>
                </c:pt>
                <c:pt idx="47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2671-4CBF-A21D-2207AE37D7C7}"/>
            </c:ext>
          </c:extLst>
        </c:ser>
        <c:ser>
          <c:idx val="76"/>
          <c:order val="76"/>
          <c:tx>
            <c:v>BES_TR1_six128_B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Demand_kW!$CA$2:$CA$49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4.8000000000000001E-2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4.8000000000000001E-2</c:v>
                </c:pt>
                <c:pt idx="7">
                  <c:v>4.8000000000000001E-2</c:v>
                </c:pt>
                <c:pt idx="8">
                  <c:v>4.8000000000000001E-2</c:v>
                </c:pt>
                <c:pt idx="9">
                  <c:v>4.8000000000000001E-2</c:v>
                </c:pt>
                <c:pt idx="10">
                  <c:v>4.8000000000000001E-2</c:v>
                </c:pt>
                <c:pt idx="11">
                  <c:v>4.8000000000000001E-2</c:v>
                </c:pt>
                <c:pt idx="12">
                  <c:v>4.8000000000000001E-2</c:v>
                </c:pt>
                <c:pt idx="13">
                  <c:v>4.8000000000000001E-2</c:v>
                </c:pt>
                <c:pt idx="14">
                  <c:v>4.8000000000000001E-2</c:v>
                </c:pt>
                <c:pt idx="15">
                  <c:v>4.8000000000000001E-2</c:v>
                </c:pt>
                <c:pt idx="16">
                  <c:v>4.8000000000000001E-2</c:v>
                </c:pt>
                <c:pt idx="17">
                  <c:v>4.8000000000000001E-2</c:v>
                </c:pt>
                <c:pt idx="18">
                  <c:v>0.337361666666667</c:v>
                </c:pt>
                <c:pt idx="19">
                  <c:v>0.39991793333333298</c:v>
                </c:pt>
                <c:pt idx="20">
                  <c:v>5.00892E-2</c:v>
                </c:pt>
                <c:pt idx="21">
                  <c:v>4.8000000000000001E-2</c:v>
                </c:pt>
                <c:pt idx="22">
                  <c:v>4.8000000000000001E-2</c:v>
                </c:pt>
                <c:pt idx="23">
                  <c:v>4.8000000000000001E-2</c:v>
                </c:pt>
                <c:pt idx="24">
                  <c:v>4.8000000000000001E-2</c:v>
                </c:pt>
                <c:pt idx="25">
                  <c:v>4.8000000000000001E-2</c:v>
                </c:pt>
                <c:pt idx="26">
                  <c:v>4.8000000000000001E-2</c:v>
                </c:pt>
                <c:pt idx="27">
                  <c:v>7.8204266666666605E-2</c:v>
                </c:pt>
                <c:pt idx="28">
                  <c:v>0.21789106666666699</c:v>
                </c:pt>
                <c:pt idx="29">
                  <c:v>0.50889866666666606</c:v>
                </c:pt>
                <c:pt idx="30">
                  <c:v>0.51470633333333304</c:v>
                </c:pt>
                <c:pt idx="31">
                  <c:v>6.0055999999999998E-2</c:v>
                </c:pt>
                <c:pt idx="32">
                  <c:v>6.4439999999999997E-2</c:v>
                </c:pt>
                <c:pt idx="33">
                  <c:v>5.9507999999999998E-2</c:v>
                </c:pt>
                <c:pt idx="34">
                  <c:v>7.3333333333333403E-2</c:v>
                </c:pt>
                <c:pt idx="35">
                  <c:v>0.13223033333333301</c:v>
                </c:pt>
                <c:pt idx="36">
                  <c:v>0.54496800000000001</c:v>
                </c:pt>
                <c:pt idx="37">
                  <c:v>0.46113053333333298</c:v>
                </c:pt>
                <c:pt idx="38">
                  <c:v>0.59462026666666701</c:v>
                </c:pt>
                <c:pt idx="39">
                  <c:v>0.491226</c:v>
                </c:pt>
                <c:pt idx="40">
                  <c:v>0.549769333333333</c:v>
                </c:pt>
                <c:pt idx="41">
                  <c:v>0.44009666666666702</c:v>
                </c:pt>
                <c:pt idx="42">
                  <c:v>0.60019666666666704</c:v>
                </c:pt>
                <c:pt idx="43">
                  <c:v>0.38672533333333398</c:v>
                </c:pt>
                <c:pt idx="44">
                  <c:v>0.51315066666666698</c:v>
                </c:pt>
                <c:pt idx="45">
                  <c:v>0.49411433333333299</c:v>
                </c:pt>
                <c:pt idx="46">
                  <c:v>0.67325433333333395</c:v>
                </c:pt>
                <c:pt idx="47">
                  <c:v>0.51275033333333297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2671-4CBF-A21D-2207AE37D7C7}"/>
            </c:ext>
          </c:extLst>
        </c:ser>
        <c:ser>
          <c:idx val="77"/>
          <c:order val="77"/>
          <c:tx>
            <c:v>fleet average</c:v>
          </c:tx>
          <c:spPr>
            <a:ln w="28575">
              <a:solidFill>
                <a:srgbClr val="2D7BD8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ChartData!$U$2:$U$49</c:f>
              <c:numCache>
                <c:formatCode>#,##0.000</c:formatCode>
                <c:ptCount val="48"/>
                <c:pt idx="0">
                  <c:v>0.27365083766233766</c:v>
                </c:pt>
                <c:pt idx="1">
                  <c:v>0.17791697748917748</c:v>
                </c:pt>
                <c:pt idx="2">
                  <c:v>0.12574829870129872</c:v>
                </c:pt>
                <c:pt idx="3">
                  <c:v>0.14186490822510817</c:v>
                </c:pt>
                <c:pt idx="4">
                  <c:v>0.10638473160173162</c:v>
                </c:pt>
                <c:pt idx="5">
                  <c:v>0.12450445800865813</c:v>
                </c:pt>
                <c:pt idx="6">
                  <c:v>0.13204340259740255</c:v>
                </c:pt>
                <c:pt idx="7">
                  <c:v>0.10227012554112556</c:v>
                </c:pt>
                <c:pt idx="8">
                  <c:v>0.12989527619047619</c:v>
                </c:pt>
                <c:pt idx="9">
                  <c:v>0.11673561904761907</c:v>
                </c:pt>
                <c:pt idx="10">
                  <c:v>0.10857823463203468</c:v>
                </c:pt>
                <c:pt idx="11">
                  <c:v>0.12560554372294375</c:v>
                </c:pt>
                <c:pt idx="12">
                  <c:v>0.12527523722943723</c:v>
                </c:pt>
                <c:pt idx="13">
                  <c:v>0.17732045021645029</c:v>
                </c:pt>
                <c:pt idx="14">
                  <c:v>0.1527245432900434</c:v>
                </c:pt>
                <c:pt idx="15">
                  <c:v>0.20312778701298703</c:v>
                </c:pt>
                <c:pt idx="16">
                  <c:v>0.24040257705627702</c:v>
                </c:pt>
                <c:pt idx="17">
                  <c:v>0.42736067878787914</c:v>
                </c:pt>
                <c:pt idx="18">
                  <c:v>0.38556298008658019</c:v>
                </c:pt>
                <c:pt idx="19">
                  <c:v>0.36969990952380977</c:v>
                </c:pt>
                <c:pt idx="20">
                  <c:v>0.3993810393939396</c:v>
                </c:pt>
                <c:pt idx="21">
                  <c:v>0.38356364199134185</c:v>
                </c:pt>
                <c:pt idx="22">
                  <c:v>0.38659549740259719</c:v>
                </c:pt>
                <c:pt idx="23">
                  <c:v>0.453529509090909</c:v>
                </c:pt>
                <c:pt idx="24">
                  <c:v>0.38887692597402596</c:v>
                </c:pt>
                <c:pt idx="25">
                  <c:v>0.35791836103896091</c:v>
                </c:pt>
                <c:pt idx="26">
                  <c:v>0.30579309480519462</c:v>
                </c:pt>
                <c:pt idx="27">
                  <c:v>0.27837458311688307</c:v>
                </c:pt>
                <c:pt idx="28">
                  <c:v>0.34091844372294361</c:v>
                </c:pt>
                <c:pt idx="29">
                  <c:v>0.32754866623376616</c:v>
                </c:pt>
                <c:pt idx="30">
                  <c:v>0.27066921385281395</c:v>
                </c:pt>
                <c:pt idx="31">
                  <c:v>0.30292930995671002</c:v>
                </c:pt>
                <c:pt idx="32">
                  <c:v>0.31358924675324679</c:v>
                </c:pt>
                <c:pt idx="33">
                  <c:v>0.34421677878787899</c:v>
                </c:pt>
                <c:pt idx="34">
                  <c:v>0.41339084935064951</c:v>
                </c:pt>
                <c:pt idx="35">
                  <c:v>0.37517899567099583</c:v>
                </c:pt>
                <c:pt idx="36">
                  <c:v>0.45408220909090907</c:v>
                </c:pt>
                <c:pt idx="37">
                  <c:v>0.36898482380952391</c:v>
                </c:pt>
                <c:pt idx="38">
                  <c:v>0.37846490259740262</c:v>
                </c:pt>
                <c:pt idx="39">
                  <c:v>0.41067065454545465</c:v>
                </c:pt>
                <c:pt idx="40">
                  <c:v>0.54073347402597383</c:v>
                </c:pt>
                <c:pt idx="41">
                  <c:v>0.57953029567099534</c:v>
                </c:pt>
                <c:pt idx="42">
                  <c:v>0.56880108874458879</c:v>
                </c:pt>
                <c:pt idx="43">
                  <c:v>0.57839648484848483</c:v>
                </c:pt>
                <c:pt idx="44">
                  <c:v>0.53050938961038996</c:v>
                </c:pt>
                <c:pt idx="45">
                  <c:v>0.4253522424242423</c:v>
                </c:pt>
                <c:pt idx="46">
                  <c:v>0.37002183549783546</c:v>
                </c:pt>
                <c:pt idx="47">
                  <c:v>0.2843093437229437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2671-4CBF-A21D-2207AE37D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4.8"/>
          <c:min val="-0.2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Demand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PV generation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BES_TR1_one223_B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PV_kW!$C$2:$C$49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61-40BA-BC45-36D0FF7B9416}"/>
            </c:ext>
          </c:extLst>
        </c:ser>
        <c:ser>
          <c:idx val="1"/>
          <c:order val="1"/>
          <c:tx>
            <c:v>BES_TR1_one313_A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PV_kW!$D$2:$D$49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61-40BA-BC45-36D0FF7B9416}"/>
            </c:ext>
          </c:extLst>
        </c:ser>
        <c:ser>
          <c:idx val="2"/>
          <c:order val="2"/>
          <c:tx>
            <c:v>BES_TR1_one320_B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PV_kW!$E$2:$E$49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61-40BA-BC45-36D0FF7B9416}"/>
            </c:ext>
          </c:extLst>
        </c:ser>
        <c:ser>
          <c:idx val="3"/>
          <c:order val="3"/>
          <c:tx>
            <c:v>BES_TR1_one321_C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61-40BA-BC45-36D0FF7B9416}"/>
            </c:ext>
          </c:extLst>
        </c:ser>
        <c:ser>
          <c:idx val="4"/>
          <c:order val="4"/>
          <c:tx>
            <c:v>BES_TR1_one346_C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61-40BA-BC45-36D0FF7B9416}"/>
            </c:ext>
          </c:extLst>
        </c:ser>
        <c:ser>
          <c:idx val="5"/>
          <c:order val="5"/>
          <c:tx>
            <c:v>BES_TR1_one366_B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PV_kW!$H$2:$H$49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61-40BA-BC45-36D0FF7B9416}"/>
            </c:ext>
          </c:extLst>
        </c:ser>
        <c:ser>
          <c:idx val="6"/>
          <c:order val="6"/>
          <c:tx>
            <c:v>BES_TR1_one375_C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PV_kW!$I$2:$I$49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61-40BA-BC45-36D0FF7B9416}"/>
            </c:ext>
          </c:extLst>
        </c:ser>
        <c:ser>
          <c:idx val="7"/>
          <c:order val="7"/>
          <c:tx>
            <c:v>BES_TR1_one410_B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PV_kW!$J$2:$J$49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861-40BA-BC45-36D0FF7B9416}"/>
            </c:ext>
          </c:extLst>
        </c:ser>
        <c:ser>
          <c:idx val="8"/>
          <c:order val="8"/>
          <c:tx>
            <c:v>BES_TR1_one50_A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PV_kW!$K$2:$K$49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61-40BA-BC45-36D0FF7B9416}"/>
            </c:ext>
          </c:extLst>
        </c:ser>
        <c:ser>
          <c:idx val="9"/>
          <c:order val="9"/>
          <c:tx>
            <c:v>BES_TR1_one423_B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PV_kW!$L$2:$L$49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861-40BA-BC45-36D0FF7B9416}"/>
            </c:ext>
          </c:extLst>
        </c:ser>
        <c:ser>
          <c:idx val="10"/>
          <c:order val="10"/>
          <c:tx>
            <c:v>BES_TR1_one469_A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PV_kW!$M$2:$M$49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861-40BA-BC45-36D0FF7B9416}"/>
            </c:ext>
          </c:extLst>
        </c:ser>
        <c:ser>
          <c:idx val="11"/>
          <c:order val="11"/>
          <c:tx>
            <c:v>BES_TR1_one480_A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PV_kW!$N$2:$N$49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861-40BA-BC45-36D0FF7B9416}"/>
            </c:ext>
          </c:extLst>
        </c:ser>
        <c:ser>
          <c:idx val="12"/>
          <c:order val="12"/>
          <c:tx>
            <c:v>BES_TR1_one482_B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PV_kW!$O$2:$O$49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861-40BA-BC45-36D0FF7B9416}"/>
            </c:ext>
          </c:extLst>
        </c:ser>
        <c:ser>
          <c:idx val="13"/>
          <c:order val="13"/>
          <c:tx>
            <c:v>BES_TR1_one521_C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PV_kW!$P$2:$P$49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861-40BA-BC45-36D0FF7B9416}"/>
            </c:ext>
          </c:extLst>
        </c:ser>
        <c:ser>
          <c:idx val="14"/>
          <c:order val="14"/>
          <c:tx>
            <c:v>BES_TR1_one528_C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PV_kW!$Q$2:$Q$49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861-40BA-BC45-36D0FF7B9416}"/>
            </c:ext>
          </c:extLst>
        </c:ser>
        <c:ser>
          <c:idx val="15"/>
          <c:order val="15"/>
          <c:tx>
            <c:v>BES_TR1_one537_A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PV_kW!$R$2:$R$49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861-40BA-BC45-36D0FF7B9416}"/>
            </c:ext>
          </c:extLst>
        </c:ser>
        <c:ser>
          <c:idx val="16"/>
          <c:order val="16"/>
          <c:tx>
            <c:v>BES_TR1_one61_A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PV_kW!$S$2:$S$49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861-40BA-BC45-36D0FF7B9416}"/>
            </c:ext>
          </c:extLst>
        </c:ser>
        <c:ser>
          <c:idx val="17"/>
          <c:order val="17"/>
          <c:tx>
            <c:v>BES_TR1_one544_A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PV_kW!$T$2:$T$49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861-40BA-BC45-36D0FF7B9416}"/>
            </c:ext>
          </c:extLst>
        </c:ser>
        <c:ser>
          <c:idx val="18"/>
          <c:order val="18"/>
          <c:tx>
            <c:v>BES_TR1_one552_B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PV_kW!$U$2:$U$49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861-40BA-BC45-36D0FF7B9416}"/>
            </c:ext>
          </c:extLst>
        </c:ser>
        <c:ser>
          <c:idx val="19"/>
          <c:order val="19"/>
          <c:tx>
            <c:v>BES_TR1_one559_C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861-40BA-BC45-36D0FF7B9416}"/>
            </c:ext>
          </c:extLst>
        </c:ser>
        <c:ser>
          <c:idx val="20"/>
          <c:order val="20"/>
          <c:tx>
            <c:v>BES_TR1_one560_C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861-40BA-BC45-36D0FF7B9416}"/>
            </c:ext>
          </c:extLst>
        </c:ser>
        <c:ser>
          <c:idx val="21"/>
          <c:order val="21"/>
          <c:tx>
            <c:v>BES_TR1_one605_A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PV_kW!$X$2:$X$49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861-40BA-BC45-36D0FF7B9416}"/>
            </c:ext>
          </c:extLst>
        </c:ser>
        <c:ser>
          <c:idx val="22"/>
          <c:order val="22"/>
          <c:tx>
            <c:v>BES_TR1_one617_A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PV_kW!$Y$2:$Y$49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861-40BA-BC45-36D0FF7B9416}"/>
            </c:ext>
          </c:extLst>
        </c:ser>
        <c:ser>
          <c:idx val="23"/>
          <c:order val="23"/>
          <c:tx>
            <c:v>BES_TR1_one73_A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PV_kW!$Z$2:$Z$49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861-40BA-BC45-36D0FF7B9416}"/>
            </c:ext>
          </c:extLst>
        </c:ser>
        <c:ser>
          <c:idx val="24"/>
          <c:order val="24"/>
          <c:tx>
            <c:v>BES_TR1_one76_A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PV_kW!$AA$2:$AA$49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861-40BA-BC45-36D0FF7B9416}"/>
            </c:ext>
          </c:extLst>
        </c:ser>
        <c:ser>
          <c:idx val="25"/>
          <c:order val="25"/>
          <c:tx>
            <c:v>BES_TR1_six64_A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861-40BA-BC45-36D0FF7B9416}"/>
            </c:ext>
          </c:extLst>
        </c:ser>
        <c:ser>
          <c:idx val="26"/>
          <c:order val="26"/>
          <c:tx>
            <c:v>BES_TR1_six154_C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PV_kW!$AC$2:$AC$49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861-40BA-BC45-36D0FF7B9416}"/>
            </c:ext>
          </c:extLst>
        </c:ser>
        <c:ser>
          <c:idx val="27"/>
          <c:order val="27"/>
          <c:tx>
            <c:v>BES_TR1_six173_C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PV_kW!$AD$2:$AD$49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861-40BA-BC45-36D0FF7B9416}"/>
            </c:ext>
          </c:extLst>
        </c:ser>
        <c:ser>
          <c:idx val="28"/>
          <c:order val="28"/>
          <c:tx>
            <c:v>BES_TR1_six186_A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PV_kW!$AE$2:$AE$49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861-40BA-BC45-36D0FF7B9416}"/>
            </c:ext>
          </c:extLst>
        </c:ser>
        <c:ser>
          <c:idx val="29"/>
          <c:order val="29"/>
          <c:tx>
            <c:v>BES_TR1_six191_B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PV_kW!$AF$2:$AF$49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861-40BA-BC45-36D0FF7B9416}"/>
            </c:ext>
          </c:extLst>
        </c:ser>
        <c:ser>
          <c:idx val="30"/>
          <c:order val="30"/>
          <c:tx>
            <c:v>BES_TR1_six249_B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PV_kW!$AG$2:$AG$49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861-40BA-BC45-36D0FF7B9416}"/>
            </c:ext>
          </c:extLst>
        </c:ser>
        <c:ser>
          <c:idx val="31"/>
          <c:order val="31"/>
          <c:tx>
            <c:v>BES_TR1_six254_B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PV_kW!$AH$2:$AH$49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861-40BA-BC45-36D0FF7B9416}"/>
            </c:ext>
          </c:extLst>
        </c:ser>
        <c:ser>
          <c:idx val="32"/>
          <c:order val="32"/>
          <c:tx>
            <c:v>BES_TR1_six269_C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PV_kW!$AI$2:$AI$49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861-40BA-BC45-36D0FF7B9416}"/>
            </c:ext>
          </c:extLst>
        </c:ser>
        <c:ser>
          <c:idx val="33"/>
          <c:order val="33"/>
          <c:tx>
            <c:v>BES_TR1_six68_C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PV_kW!$AJ$2:$AJ$49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7861-40BA-BC45-36D0FF7B9416}"/>
            </c:ext>
          </c:extLst>
        </c:ser>
        <c:ser>
          <c:idx val="34"/>
          <c:order val="34"/>
          <c:tx>
            <c:v>BES_TR1_six289_C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PV_kW!$AK$2:$AK$49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861-40BA-BC45-36D0FF7B9416}"/>
            </c:ext>
          </c:extLst>
        </c:ser>
        <c:ser>
          <c:idx val="35"/>
          <c:order val="35"/>
          <c:tx>
            <c:v>BES_TR1_six317_C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PV_kW!$AL$2:$AL$49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7861-40BA-BC45-36D0FF7B9416}"/>
            </c:ext>
          </c:extLst>
        </c:ser>
        <c:ser>
          <c:idx val="36"/>
          <c:order val="36"/>
          <c:tx>
            <c:v>BES_TR1_six326_A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PV_kW!$AM$2:$AM$49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861-40BA-BC45-36D0FF7B9416}"/>
            </c:ext>
          </c:extLst>
        </c:ser>
        <c:ser>
          <c:idx val="37"/>
          <c:order val="37"/>
          <c:tx>
            <c:v>BES_TR1_six329_A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PV_kW!$AN$2:$AN$49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7861-40BA-BC45-36D0FF7B9416}"/>
            </c:ext>
          </c:extLst>
        </c:ser>
        <c:ser>
          <c:idx val="38"/>
          <c:order val="38"/>
          <c:tx>
            <c:v>BES_TR1_six342_A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PV_kW!$AO$2:$AO$49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861-40BA-BC45-36D0FF7B9416}"/>
            </c:ext>
          </c:extLst>
        </c:ser>
        <c:ser>
          <c:idx val="39"/>
          <c:order val="39"/>
          <c:tx>
            <c:v>BES_TR1_six349_A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7861-40BA-BC45-36D0FF7B9416}"/>
            </c:ext>
          </c:extLst>
        </c:ser>
        <c:ser>
          <c:idx val="40"/>
          <c:order val="40"/>
          <c:tx>
            <c:v>BES_TR1_six350_B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PV_kW!$AQ$2:$AQ$49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861-40BA-BC45-36D0FF7B9416}"/>
            </c:ext>
          </c:extLst>
        </c:ser>
        <c:ser>
          <c:idx val="41"/>
          <c:order val="41"/>
          <c:tx>
            <c:v>BES_TR1_six378_A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PV_kW!$AR$2:$AR$49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7861-40BA-BC45-36D0FF7B9416}"/>
            </c:ext>
          </c:extLst>
        </c:ser>
        <c:ser>
          <c:idx val="42"/>
          <c:order val="42"/>
          <c:tx>
            <c:v>BES_TR1_six75_A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PV_kW!$AS$2:$AS$49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861-40BA-BC45-36D0FF7B9416}"/>
            </c:ext>
          </c:extLst>
        </c:ser>
        <c:ser>
          <c:idx val="43"/>
          <c:order val="43"/>
          <c:tx>
            <c:v>BES_TR1_six385_B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PV_kW!$AT$2:$AT$49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7861-40BA-BC45-36D0FF7B9416}"/>
            </c:ext>
          </c:extLst>
        </c:ser>
        <c:ser>
          <c:idx val="44"/>
          <c:order val="44"/>
          <c:tx>
            <c:v>BES_TR1_six387_A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PV_kW!$AU$2:$AU$49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861-40BA-BC45-36D0FF7B9416}"/>
            </c:ext>
          </c:extLst>
        </c:ser>
        <c:ser>
          <c:idx val="45"/>
          <c:order val="45"/>
          <c:tx>
            <c:v>BES_TR1_six410_A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PV_kW!$AV$2:$AV$49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7861-40BA-BC45-36D0FF7B9416}"/>
            </c:ext>
          </c:extLst>
        </c:ser>
        <c:ser>
          <c:idx val="46"/>
          <c:order val="46"/>
          <c:tx>
            <c:v>BES_TR1_six431_C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PV_kW!$AW$2:$AW$49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861-40BA-BC45-36D0FF7B9416}"/>
            </c:ext>
          </c:extLst>
        </c:ser>
        <c:ser>
          <c:idx val="47"/>
          <c:order val="47"/>
          <c:tx>
            <c:v>BES_TR1_six441_A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PV_kW!$AX$2:$AX$49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7861-40BA-BC45-36D0FF7B9416}"/>
            </c:ext>
          </c:extLst>
        </c:ser>
        <c:ser>
          <c:idx val="48"/>
          <c:order val="48"/>
          <c:tx>
            <c:v>BES_TR1_six484_B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PV_kW!$AY$2:$AY$49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861-40BA-BC45-36D0FF7B9416}"/>
            </c:ext>
          </c:extLst>
        </c:ser>
        <c:ser>
          <c:idx val="49"/>
          <c:order val="49"/>
          <c:tx>
            <c:v>BES_TR1_six501_A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PV_kW!$AZ$2:$AZ$49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7861-40BA-BC45-36D0FF7B9416}"/>
            </c:ext>
          </c:extLst>
        </c:ser>
        <c:ser>
          <c:idx val="50"/>
          <c:order val="50"/>
          <c:tx>
            <c:v>BES_TR1_six512_B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PV_kW!$BA$2:$BA$49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861-40BA-BC45-36D0FF7B9416}"/>
            </c:ext>
          </c:extLst>
        </c:ser>
        <c:ser>
          <c:idx val="51"/>
          <c:order val="51"/>
          <c:tx>
            <c:v>BES_TR1_six518_B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PV_kW!$BB$2:$BB$49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7861-40BA-BC45-36D0FF7B9416}"/>
            </c:ext>
          </c:extLst>
        </c:ser>
        <c:ser>
          <c:idx val="52"/>
          <c:order val="52"/>
          <c:tx>
            <c:v>BES_TR1_six595_B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PV_kW!$BC$2:$BC$49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861-40BA-BC45-36D0FF7B9416}"/>
            </c:ext>
          </c:extLst>
        </c:ser>
        <c:ser>
          <c:idx val="53"/>
          <c:order val="53"/>
          <c:tx>
            <c:v>BES_TR1_six646_B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PV_kW!$BD$2:$BD$49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7861-40BA-BC45-36D0FF7B9416}"/>
            </c:ext>
          </c:extLst>
        </c:ser>
        <c:ser>
          <c:idx val="54"/>
          <c:order val="54"/>
          <c:tx>
            <c:v>BES_TR1_six699_C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PV_kW!$BE$2:$BE$49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7861-40BA-BC45-36D0FF7B9416}"/>
            </c:ext>
          </c:extLst>
        </c:ser>
        <c:ser>
          <c:idx val="55"/>
          <c:order val="55"/>
          <c:tx>
            <c:v>BES_TR1_six718_C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PV_kW!$BF$2:$BF$49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7861-40BA-BC45-36D0FF7B9416}"/>
            </c:ext>
          </c:extLst>
        </c:ser>
        <c:ser>
          <c:idx val="56"/>
          <c:order val="56"/>
          <c:tx>
            <c:v>BES_TR1_six721_A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PV_kW!$BG$2:$BG$49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7861-40BA-BC45-36D0FF7B9416}"/>
            </c:ext>
          </c:extLst>
        </c:ser>
        <c:ser>
          <c:idx val="57"/>
          <c:order val="57"/>
          <c:tx>
            <c:v>BES_TR1_six723_B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PV_kW!$BH$2:$BH$49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7861-40BA-BC45-36D0FF7B9416}"/>
            </c:ext>
          </c:extLst>
        </c:ser>
        <c:ser>
          <c:idx val="58"/>
          <c:order val="58"/>
          <c:tx>
            <c:v>BES_TR1_six784_B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PV_kW!$BI$2:$BI$49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861-40BA-BC45-36D0FF7B9416}"/>
            </c:ext>
          </c:extLst>
        </c:ser>
        <c:ser>
          <c:idx val="59"/>
          <c:order val="59"/>
          <c:tx>
            <c:v>BES_TR1_six90_B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PV_kW!$BJ$2:$BJ$49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7861-40BA-BC45-36D0FF7B9416}"/>
            </c:ext>
          </c:extLst>
        </c:ser>
        <c:ser>
          <c:idx val="60"/>
          <c:order val="60"/>
          <c:tx>
            <c:v>BES_TR1_six807_A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PV_kW!$BK$2:$BK$49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7861-40BA-BC45-36D0FF7B9416}"/>
            </c:ext>
          </c:extLst>
        </c:ser>
        <c:ser>
          <c:idx val="61"/>
          <c:order val="61"/>
          <c:tx>
            <c:v>BES_TR1_six852_B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PV_kW!$BL$2:$BL$49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7861-40BA-BC45-36D0FF7B9416}"/>
            </c:ext>
          </c:extLst>
        </c:ser>
        <c:ser>
          <c:idx val="62"/>
          <c:order val="62"/>
          <c:tx>
            <c:v>BES_TR1_six860_C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PV_kW!$BM$2:$BM$49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7861-40BA-BC45-36D0FF7B9416}"/>
            </c:ext>
          </c:extLst>
        </c:ser>
        <c:ser>
          <c:idx val="63"/>
          <c:order val="63"/>
          <c:tx>
            <c:v>BES_TR1_six869_C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PV_kW!$BN$2:$BN$49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7861-40BA-BC45-36D0FF7B9416}"/>
            </c:ext>
          </c:extLst>
        </c:ser>
        <c:ser>
          <c:idx val="64"/>
          <c:order val="64"/>
          <c:tx>
            <c:v>BES_TR1_six885_A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PV_kW!$BO$2:$BO$49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7861-40BA-BC45-36D0FF7B9416}"/>
            </c:ext>
          </c:extLst>
        </c:ser>
        <c:ser>
          <c:idx val="65"/>
          <c:order val="65"/>
          <c:tx>
            <c:v>BES_TR1_six909_C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PV_kW!$BP$2:$BP$49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7861-40BA-BC45-36D0FF7B9416}"/>
            </c:ext>
          </c:extLst>
        </c:ser>
        <c:ser>
          <c:idx val="66"/>
          <c:order val="66"/>
          <c:tx>
            <c:v>BES_TR1_six105_A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PV_kW!$BQ$2:$BQ$49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7861-40BA-BC45-36D0FF7B9416}"/>
            </c:ext>
          </c:extLst>
        </c:ser>
        <c:ser>
          <c:idx val="67"/>
          <c:order val="67"/>
          <c:tx>
            <c:v>BES_TR1_six914_A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PV_kW!$BR$2:$BR$49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7861-40BA-BC45-36D0FF7B9416}"/>
            </c:ext>
          </c:extLst>
        </c:ser>
        <c:ser>
          <c:idx val="68"/>
          <c:order val="68"/>
          <c:tx>
            <c:v>BES_TR1_six945_C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PV_kW!$BS$2:$BS$49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7861-40BA-BC45-36D0FF7B9416}"/>
            </c:ext>
          </c:extLst>
        </c:ser>
        <c:ser>
          <c:idx val="69"/>
          <c:order val="69"/>
          <c:tx>
            <c:v>BES_TR1_six952_A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PV_kW!$BT$2:$BT$49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7861-40BA-BC45-36D0FF7B9416}"/>
            </c:ext>
          </c:extLst>
        </c:ser>
        <c:ser>
          <c:idx val="70"/>
          <c:order val="70"/>
          <c:tx>
            <c:v>BES_TR1_six967_B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PV_kW!$BU$2:$BU$49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8.6020086666666702E-4</c:v>
                </c:pt>
                <c:pt idx="8">
                  <c:v>1.2433623133333301E-2</c:v>
                </c:pt>
                <c:pt idx="9">
                  <c:v>5.8143389300000001E-2</c:v>
                </c:pt>
                <c:pt idx="10">
                  <c:v>0.115335072066667</c:v>
                </c:pt>
                <c:pt idx="11">
                  <c:v>0.18546449413333299</c:v>
                </c:pt>
                <c:pt idx="12">
                  <c:v>0.26197964816666702</c:v>
                </c:pt>
                <c:pt idx="13">
                  <c:v>0.33943529193333299</c:v>
                </c:pt>
                <c:pt idx="14">
                  <c:v>0.41648986370000002</c:v>
                </c:pt>
                <c:pt idx="15">
                  <c:v>0.49365652249999997</c:v>
                </c:pt>
                <c:pt idx="16">
                  <c:v>0.56608234956666703</c:v>
                </c:pt>
                <c:pt idx="17">
                  <c:v>0.63416273339999996</c:v>
                </c:pt>
                <c:pt idx="18">
                  <c:v>0.69214384066666701</c:v>
                </c:pt>
                <c:pt idx="19">
                  <c:v>0.74159585153333296</c:v>
                </c:pt>
                <c:pt idx="20">
                  <c:v>0.78500223576666694</c:v>
                </c:pt>
                <c:pt idx="21">
                  <c:v>0.82082628030000004</c:v>
                </c:pt>
                <c:pt idx="22">
                  <c:v>0.84624448116666695</c:v>
                </c:pt>
                <c:pt idx="23">
                  <c:v>0.85739167719999998</c:v>
                </c:pt>
                <c:pt idx="24">
                  <c:v>0.86062033226666701</c:v>
                </c:pt>
                <c:pt idx="25">
                  <c:v>0.85458041799999995</c:v>
                </c:pt>
                <c:pt idx="26">
                  <c:v>0.8342896205</c:v>
                </c:pt>
                <c:pt idx="27">
                  <c:v>0.80333358186666703</c:v>
                </c:pt>
                <c:pt idx="28">
                  <c:v>0.76637697329999999</c:v>
                </c:pt>
                <c:pt idx="29">
                  <c:v>0.71954754326666703</c:v>
                </c:pt>
                <c:pt idx="30">
                  <c:v>0.66978212370000001</c:v>
                </c:pt>
                <c:pt idx="31">
                  <c:v>0.60989596346666697</c:v>
                </c:pt>
                <c:pt idx="32">
                  <c:v>0.54245001433333295</c:v>
                </c:pt>
                <c:pt idx="33">
                  <c:v>0.46101781823333299</c:v>
                </c:pt>
                <c:pt idx="34">
                  <c:v>0.38480293183333297</c:v>
                </c:pt>
                <c:pt idx="35">
                  <c:v>0.30648740530000002</c:v>
                </c:pt>
                <c:pt idx="36">
                  <c:v>0.23072923366666701</c:v>
                </c:pt>
                <c:pt idx="37">
                  <c:v>0.15768768150000001</c:v>
                </c:pt>
                <c:pt idx="38">
                  <c:v>9.2080186933333294E-2</c:v>
                </c:pt>
                <c:pt idx="39">
                  <c:v>2.6789987099999999E-2</c:v>
                </c:pt>
                <c:pt idx="40">
                  <c:v>4.9409440666666696E-3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7861-40BA-BC45-36D0FF7B9416}"/>
            </c:ext>
          </c:extLst>
        </c:ser>
        <c:ser>
          <c:idx val="71"/>
          <c:order val="71"/>
          <c:tx>
            <c:v>BES_TR1_six990_B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PV_kW!$BV$2:$BV$49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7861-40BA-BC45-36D0FF7B9416}"/>
            </c:ext>
          </c:extLst>
        </c:ser>
        <c:ser>
          <c:idx val="72"/>
          <c:order val="72"/>
          <c:tx>
            <c:v>BES_TR1_six1006_C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PV_kW!$BW$2:$BW$49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7861-40BA-BC45-36D0FF7B9416}"/>
            </c:ext>
          </c:extLst>
        </c:ser>
        <c:ser>
          <c:idx val="73"/>
          <c:order val="73"/>
          <c:tx>
            <c:v>BES_TR1_six1020_A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PV_kW!$BX$2:$BX$49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7861-40BA-BC45-36D0FF7B9416}"/>
            </c:ext>
          </c:extLst>
        </c:ser>
        <c:ser>
          <c:idx val="74"/>
          <c:order val="74"/>
          <c:tx>
            <c:v>BES_TR1_six1025_B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PV_kW!$BY$2:$BY$49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7861-40BA-BC45-36D0FF7B9416}"/>
            </c:ext>
          </c:extLst>
        </c:ser>
        <c:ser>
          <c:idx val="75"/>
          <c:order val="75"/>
          <c:tx>
            <c:v>BES_TR1_six1064_C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PV_kW!$BZ$2:$BZ$49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8.6020086666666702E-4</c:v>
                </c:pt>
                <c:pt idx="8">
                  <c:v>1.2433623133333301E-2</c:v>
                </c:pt>
                <c:pt idx="9">
                  <c:v>5.8143389300000001E-2</c:v>
                </c:pt>
                <c:pt idx="10">
                  <c:v>0.115335072066667</c:v>
                </c:pt>
                <c:pt idx="11">
                  <c:v>0.18546449413333299</c:v>
                </c:pt>
                <c:pt idx="12">
                  <c:v>0.26197964816666702</c:v>
                </c:pt>
                <c:pt idx="13">
                  <c:v>0.33943529193333299</c:v>
                </c:pt>
                <c:pt idx="14">
                  <c:v>0.41648986370000002</c:v>
                </c:pt>
                <c:pt idx="15">
                  <c:v>0.49365652249999997</c:v>
                </c:pt>
                <c:pt idx="16">
                  <c:v>0.56608234956666703</c:v>
                </c:pt>
                <c:pt idx="17">
                  <c:v>0.63416273339999996</c:v>
                </c:pt>
                <c:pt idx="18">
                  <c:v>0.69214384066666701</c:v>
                </c:pt>
                <c:pt idx="19">
                  <c:v>0.74159585153333296</c:v>
                </c:pt>
                <c:pt idx="20">
                  <c:v>0.78500223576666694</c:v>
                </c:pt>
                <c:pt idx="21">
                  <c:v>0.82082628030000004</c:v>
                </c:pt>
                <c:pt idx="22">
                  <c:v>0.84624448116666695</c:v>
                </c:pt>
                <c:pt idx="23">
                  <c:v>0.85739167719999998</c:v>
                </c:pt>
                <c:pt idx="24">
                  <c:v>0.86062033226666701</c:v>
                </c:pt>
                <c:pt idx="25">
                  <c:v>0.85458041799999995</c:v>
                </c:pt>
                <c:pt idx="26">
                  <c:v>0.8342896205</c:v>
                </c:pt>
                <c:pt idx="27">
                  <c:v>0.80333358186666703</c:v>
                </c:pt>
                <c:pt idx="28">
                  <c:v>0.76637697329999999</c:v>
                </c:pt>
                <c:pt idx="29">
                  <c:v>0.71954754326666703</c:v>
                </c:pt>
                <c:pt idx="30">
                  <c:v>0.66978212370000001</c:v>
                </c:pt>
                <c:pt idx="31">
                  <c:v>0.60989596346666697</c:v>
                </c:pt>
                <c:pt idx="32">
                  <c:v>0.54245001433333295</c:v>
                </c:pt>
                <c:pt idx="33">
                  <c:v>0.46101781823333299</c:v>
                </c:pt>
                <c:pt idx="34">
                  <c:v>0.38480293183333297</c:v>
                </c:pt>
                <c:pt idx="35">
                  <c:v>0.30648740530000002</c:v>
                </c:pt>
                <c:pt idx="36">
                  <c:v>0.23072923366666701</c:v>
                </c:pt>
                <c:pt idx="37">
                  <c:v>0.15768768150000001</c:v>
                </c:pt>
                <c:pt idx="38">
                  <c:v>9.2080186933333294E-2</c:v>
                </c:pt>
                <c:pt idx="39">
                  <c:v>2.6789987099999999E-2</c:v>
                </c:pt>
                <c:pt idx="40">
                  <c:v>4.9409440666666696E-3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7861-40BA-BC45-36D0FF7B9416}"/>
            </c:ext>
          </c:extLst>
        </c:ser>
        <c:ser>
          <c:idx val="76"/>
          <c:order val="76"/>
          <c:tx>
            <c:v>BES_TR1_six128_B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PV_kW!$CA$2:$CA$49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7861-40BA-BC45-36D0FF7B9416}"/>
            </c:ext>
          </c:extLst>
        </c:ser>
        <c:ser>
          <c:idx val="77"/>
          <c:order val="77"/>
          <c:tx>
            <c:v>fleet average</c:v>
          </c:tx>
          <c:spPr>
            <a:ln w="28575">
              <a:solidFill>
                <a:srgbClr val="E6A000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2.4856453614718623E-3</c:v>
                </c:pt>
                <c:pt idx="8">
                  <c:v>3.592832658658001E-2</c:v>
                </c:pt>
                <c:pt idx="9">
                  <c:v>0.16801174180844164</c:v>
                </c:pt>
                <c:pt idx="10">
                  <c:v>0.33327342253030412</c:v>
                </c:pt>
                <c:pt idx="11">
                  <c:v>0.53592012915151432</c:v>
                </c:pt>
                <c:pt idx="12">
                  <c:v>0.75701911320887538</c:v>
                </c:pt>
                <c:pt idx="13">
                  <c:v>0.98083574617099456</c:v>
                </c:pt>
                <c:pt idx="14">
                  <c:v>1.2034934373149353</c:v>
                </c:pt>
                <c:pt idx="15">
                  <c:v>1.4264750163149347</c:v>
                </c:pt>
                <c:pt idx="16">
                  <c:v>1.6357574386829017</c:v>
                </c:pt>
                <c:pt idx="17">
                  <c:v>1.8324832231363626</c:v>
                </c:pt>
                <c:pt idx="18">
                  <c:v>2.0000260330952391</c:v>
                </c:pt>
                <c:pt idx="19">
                  <c:v>2.1429230774826822</c:v>
                </c:pt>
                <c:pt idx="20">
                  <c:v>2.2683506163387452</c:v>
                </c:pt>
                <c:pt idx="21">
                  <c:v>2.3718681476201291</c:v>
                </c:pt>
                <c:pt idx="22">
                  <c:v>2.4453168449296538</c:v>
                </c:pt>
                <c:pt idx="23">
                  <c:v>2.4775278984025979</c:v>
                </c:pt>
                <c:pt idx="24">
                  <c:v>2.4868574536277084</c:v>
                </c:pt>
                <c:pt idx="25">
                  <c:v>2.4694044546103897</c:v>
                </c:pt>
                <c:pt idx="26">
                  <c:v>2.4107719553409104</c:v>
                </c:pt>
                <c:pt idx="27">
                  <c:v>2.3213210644848488</c:v>
                </c:pt>
                <c:pt idx="28">
                  <c:v>2.2145308644058419</c:v>
                </c:pt>
                <c:pt idx="29">
                  <c:v>2.0792120568419916</c:v>
                </c:pt>
                <c:pt idx="30">
                  <c:v>1.935409383418832</c:v>
                </c:pt>
                <c:pt idx="31">
                  <c:v>1.7623617126147204</c:v>
                </c:pt>
                <c:pt idx="32">
                  <c:v>1.5674691972619035</c:v>
                </c:pt>
                <c:pt idx="33">
                  <c:v>1.3321618773625539</c:v>
                </c:pt>
                <c:pt idx="34">
                  <c:v>1.1119305497781382</c:v>
                </c:pt>
                <c:pt idx="35">
                  <c:v>0.88562919063961099</c:v>
                </c:pt>
                <c:pt idx="36">
                  <c:v>0.66671759079004422</c:v>
                </c:pt>
                <c:pt idx="37">
                  <c:v>0.45565596277597431</c:v>
                </c:pt>
                <c:pt idx="38">
                  <c:v>0.26607586483982665</c:v>
                </c:pt>
                <c:pt idx="39">
                  <c:v>7.7412625061688292E-2</c:v>
                </c:pt>
                <c:pt idx="40">
                  <c:v>1.4277403309523812E-2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7861-40BA-BC45-36D0FF7B9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.7"/>
          <c:min val="-0.2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PV generation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Battery charging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BES_TR1_one223_B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Charge_kW!$C$2:$C$49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0.39200000000000002</c:v>
                </c:pt>
                <c:pt idx="11">
                  <c:v>0.46</c:v>
                </c:pt>
                <c:pt idx="12">
                  <c:v>0.92599999999999993</c:v>
                </c:pt>
                <c:pt idx="13">
                  <c:v>1.2050000000000001</c:v>
                </c:pt>
                <c:pt idx="14">
                  <c:v>1.399</c:v>
                </c:pt>
                <c:pt idx="15">
                  <c:v>1.627</c:v>
                </c:pt>
                <c:pt idx="16">
                  <c:v>0.95499999999999996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3F-4CFE-A560-759BAE327A4B}"/>
            </c:ext>
          </c:extLst>
        </c:ser>
        <c:ser>
          <c:idx val="1"/>
          <c:order val="1"/>
          <c:tx>
            <c:v>BES_TR1_one313_A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Charge_kW!$D$2:$D$49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0.125</c:v>
                </c:pt>
                <c:pt idx="10">
                  <c:v>0.41499999999999998</c:v>
                </c:pt>
                <c:pt idx="11">
                  <c:v>0.55900000000000005</c:v>
                </c:pt>
                <c:pt idx="12">
                  <c:v>1.008</c:v>
                </c:pt>
                <c:pt idx="13">
                  <c:v>1.3180000000000001</c:v>
                </c:pt>
                <c:pt idx="14">
                  <c:v>1.3959999999999999</c:v>
                </c:pt>
                <c:pt idx="15">
                  <c:v>1.3180000000000001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3F-4CFE-A560-759BAE327A4B}"/>
            </c:ext>
          </c:extLst>
        </c:ser>
        <c:ser>
          <c:idx val="2"/>
          <c:order val="2"/>
          <c:tx>
            <c:v>BES_TR1_one320_B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Charge_kW!$E$2:$E$49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6.6000000000000003E-2</c:v>
                </c:pt>
                <c:pt idx="10">
                  <c:v>0.18099999999999999</c:v>
                </c:pt>
                <c:pt idx="11">
                  <c:v>0.23799999999999999</c:v>
                </c:pt>
                <c:pt idx="12">
                  <c:v>0.47399999999999998</c:v>
                </c:pt>
                <c:pt idx="13">
                  <c:v>0.629</c:v>
                </c:pt>
                <c:pt idx="14">
                  <c:v>0.76900000000000002</c:v>
                </c:pt>
                <c:pt idx="15">
                  <c:v>0.86799999999999999</c:v>
                </c:pt>
                <c:pt idx="16">
                  <c:v>1.0820000000000001</c:v>
                </c:pt>
                <c:pt idx="17">
                  <c:v>1.218</c:v>
                </c:pt>
                <c:pt idx="18">
                  <c:v>0.53500000000000003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3F-4CFE-A560-759BAE327A4B}"/>
            </c:ext>
          </c:extLst>
        </c:ser>
        <c:ser>
          <c:idx val="3"/>
          <c:order val="3"/>
          <c:tx>
            <c:v>BES_TR1_one321_C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6.8999999999999992E-2</c:v>
                </c:pt>
                <c:pt idx="10">
                  <c:v>0.39200000000000002</c:v>
                </c:pt>
                <c:pt idx="11">
                  <c:v>0.68499999999999994</c:v>
                </c:pt>
                <c:pt idx="12">
                  <c:v>0.94899999999999995</c:v>
                </c:pt>
                <c:pt idx="13">
                  <c:v>1.224</c:v>
                </c:pt>
                <c:pt idx="14">
                  <c:v>1.609</c:v>
                </c:pt>
                <c:pt idx="15">
                  <c:v>1.29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3F-4CFE-A560-759BAE327A4B}"/>
            </c:ext>
          </c:extLst>
        </c:ser>
        <c:ser>
          <c:idx val="4"/>
          <c:order val="4"/>
          <c:tx>
            <c:v>BES_TR1_one346_C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0.11899999999999999</c:v>
                </c:pt>
                <c:pt idx="10">
                  <c:v>0.29099999999999998</c:v>
                </c:pt>
                <c:pt idx="11">
                  <c:v>0.41499999999999998</c:v>
                </c:pt>
                <c:pt idx="12">
                  <c:v>0.65899999999999992</c:v>
                </c:pt>
                <c:pt idx="13">
                  <c:v>0.94899999999999995</c:v>
                </c:pt>
                <c:pt idx="14">
                  <c:v>1.05</c:v>
                </c:pt>
                <c:pt idx="15">
                  <c:v>1.4259999999999999</c:v>
                </c:pt>
                <c:pt idx="16">
                  <c:v>1.4410000000000001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3F-4CFE-A560-759BAE327A4B}"/>
            </c:ext>
          </c:extLst>
        </c:ser>
        <c:ser>
          <c:idx val="5"/>
          <c:order val="5"/>
          <c:tx>
            <c:v>BES_TR1_one366_B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Charge_kW!$H$2:$H$49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0.17699999999999999</c:v>
                </c:pt>
                <c:pt idx="11">
                  <c:v>0.111</c:v>
                </c:pt>
                <c:pt idx="12">
                  <c:v>0.32100000000000001</c:v>
                </c:pt>
                <c:pt idx="13">
                  <c:v>0.502</c:v>
                </c:pt>
                <c:pt idx="14">
                  <c:v>0.69499999999999995</c:v>
                </c:pt>
                <c:pt idx="15">
                  <c:v>0.72000000000000008</c:v>
                </c:pt>
                <c:pt idx="16">
                  <c:v>0.96799999999999997</c:v>
                </c:pt>
                <c:pt idx="17">
                  <c:v>1.0620000000000001</c:v>
                </c:pt>
                <c:pt idx="18">
                  <c:v>1.089</c:v>
                </c:pt>
                <c:pt idx="19">
                  <c:v>1.3129999999999999</c:v>
                </c:pt>
                <c:pt idx="20">
                  <c:v>0.33600000000000002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3F-4CFE-A560-759BAE327A4B}"/>
            </c:ext>
          </c:extLst>
        </c:ser>
        <c:ser>
          <c:idx val="6"/>
          <c:order val="6"/>
          <c:tx>
            <c:v>BES_TR1_one375_C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Charge_kW!$I$2:$I$49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0.188</c:v>
                </c:pt>
                <c:pt idx="11">
                  <c:v>0.22</c:v>
                </c:pt>
                <c:pt idx="12">
                  <c:v>0.60199999999999998</c:v>
                </c:pt>
                <c:pt idx="13">
                  <c:v>0.65899999999999992</c:v>
                </c:pt>
                <c:pt idx="14">
                  <c:v>0.83199999999999996</c:v>
                </c:pt>
                <c:pt idx="15">
                  <c:v>1.0109999999999999</c:v>
                </c:pt>
                <c:pt idx="16">
                  <c:v>1.0009999999999999</c:v>
                </c:pt>
                <c:pt idx="17">
                  <c:v>0</c:v>
                </c:pt>
                <c:pt idx="18">
                  <c:v>1.4890000000000001</c:v>
                </c:pt>
                <c:pt idx="19">
                  <c:v>0</c:v>
                </c:pt>
                <c:pt idx="20">
                  <c:v>1.25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3F-4CFE-A560-759BAE327A4B}"/>
            </c:ext>
          </c:extLst>
        </c:ser>
        <c:ser>
          <c:idx val="7"/>
          <c:order val="7"/>
          <c:tx>
            <c:v>BES_TR1_one410_B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Charge_kW!$J$2:$J$49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2.5000000000000001E-2</c:v>
                </c:pt>
                <c:pt idx="10">
                  <c:v>0.13900000000000001</c:v>
                </c:pt>
                <c:pt idx="11">
                  <c:v>0.307</c:v>
                </c:pt>
                <c:pt idx="12">
                  <c:v>0.32100000000000001</c:v>
                </c:pt>
                <c:pt idx="13">
                  <c:v>0.68599999999999994</c:v>
                </c:pt>
                <c:pt idx="14">
                  <c:v>0.99</c:v>
                </c:pt>
                <c:pt idx="15">
                  <c:v>1.0940000000000001</c:v>
                </c:pt>
                <c:pt idx="16">
                  <c:v>1.2549999999999999</c:v>
                </c:pt>
                <c:pt idx="17">
                  <c:v>1.4850000000000001</c:v>
                </c:pt>
                <c:pt idx="18">
                  <c:v>0.56300000000000006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1.6E-2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23F-4CFE-A560-759BAE327A4B}"/>
            </c:ext>
          </c:extLst>
        </c:ser>
        <c:ser>
          <c:idx val="8"/>
          <c:order val="8"/>
          <c:tx>
            <c:v>BES_TR1_one50_A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Charge_kW!$K$2:$K$49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6.0999999999999999E-2</c:v>
                </c:pt>
                <c:pt idx="10">
                  <c:v>0.17599999999999999</c:v>
                </c:pt>
                <c:pt idx="11">
                  <c:v>0.316</c:v>
                </c:pt>
                <c:pt idx="12">
                  <c:v>0.38900000000000001</c:v>
                </c:pt>
                <c:pt idx="13">
                  <c:v>0</c:v>
                </c:pt>
                <c:pt idx="14">
                  <c:v>0.77800000000000002</c:v>
                </c:pt>
                <c:pt idx="15">
                  <c:v>0.88600000000000001</c:v>
                </c:pt>
                <c:pt idx="16">
                  <c:v>0.93199999999999994</c:v>
                </c:pt>
                <c:pt idx="17">
                  <c:v>1.042</c:v>
                </c:pt>
                <c:pt idx="18">
                  <c:v>1.1579999999999999</c:v>
                </c:pt>
                <c:pt idx="19">
                  <c:v>1.2569999999999999</c:v>
                </c:pt>
                <c:pt idx="20">
                  <c:v>0.501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3.7999999999999999E-2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23F-4CFE-A560-759BAE327A4B}"/>
            </c:ext>
          </c:extLst>
        </c:ser>
        <c:ser>
          <c:idx val="9"/>
          <c:order val="9"/>
          <c:tx>
            <c:v>BES_TR1_one423_B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Charge_kW!$L$2:$L$49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0.17</c:v>
                </c:pt>
                <c:pt idx="11">
                  <c:v>0.31</c:v>
                </c:pt>
                <c:pt idx="12">
                  <c:v>0.29899999999999999</c:v>
                </c:pt>
                <c:pt idx="13">
                  <c:v>0.61799999999999999</c:v>
                </c:pt>
                <c:pt idx="14">
                  <c:v>0.66</c:v>
                </c:pt>
                <c:pt idx="15">
                  <c:v>0.84399999999999997</c:v>
                </c:pt>
                <c:pt idx="16">
                  <c:v>1.071</c:v>
                </c:pt>
                <c:pt idx="17">
                  <c:v>0.97099999999999997</c:v>
                </c:pt>
                <c:pt idx="18">
                  <c:v>1.1839999999999999</c:v>
                </c:pt>
                <c:pt idx="19">
                  <c:v>0.96100000000000008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23F-4CFE-A560-759BAE327A4B}"/>
            </c:ext>
          </c:extLst>
        </c:ser>
        <c:ser>
          <c:idx val="10"/>
          <c:order val="10"/>
          <c:tx>
            <c:v>BES_TR1_one469_A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Charge_kW!$M$2:$M$49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0.128</c:v>
                </c:pt>
                <c:pt idx="10">
                  <c:v>0.3</c:v>
                </c:pt>
                <c:pt idx="11">
                  <c:v>0.51</c:v>
                </c:pt>
                <c:pt idx="12">
                  <c:v>0.74</c:v>
                </c:pt>
                <c:pt idx="13">
                  <c:v>0.97199999999999998</c:v>
                </c:pt>
                <c:pt idx="14">
                  <c:v>1.2030000000000001</c:v>
                </c:pt>
                <c:pt idx="15">
                  <c:v>1.4350000000000001</c:v>
                </c:pt>
                <c:pt idx="16">
                  <c:v>1.6519999999999999</c:v>
                </c:pt>
                <c:pt idx="17">
                  <c:v>0.29499999999999998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23F-4CFE-A560-759BAE327A4B}"/>
            </c:ext>
          </c:extLst>
        </c:ser>
        <c:ser>
          <c:idx val="11"/>
          <c:order val="11"/>
          <c:tx>
            <c:v>BES_TR1_one480_A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Charge_kW!$N$2:$N$49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5.8999999999999997E-2</c:v>
                </c:pt>
                <c:pt idx="10">
                  <c:v>0</c:v>
                </c:pt>
                <c:pt idx="11">
                  <c:v>0.30599999999999999</c:v>
                </c:pt>
                <c:pt idx="12">
                  <c:v>0.38700000000000001</c:v>
                </c:pt>
                <c:pt idx="13">
                  <c:v>0.40899999999999997</c:v>
                </c:pt>
                <c:pt idx="14">
                  <c:v>0.68700000000000006</c:v>
                </c:pt>
                <c:pt idx="15">
                  <c:v>0.80699999999999994</c:v>
                </c:pt>
                <c:pt idx="16">
                  <c:v>0.94</c:v>
                </c:pt>
                <c:pt idx="17">
                  <c:v>0.72799999999999998</c:v>
                </c:pt>
                <c:pt idx="18">
                  <c:v>0.51500000000000001</c:v>
                </c:pt>
                <c:pt idx="19">
                  <c:v>1.262</c:v>
                </c:pt>
                <c:pt idx="20">
                  <c:v>1.4370000000000001</c:v>
                </c:pt>
                <c:pt idx="21">
                  <c:v>0.49099999999999999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8.6000000000000007E-2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23F-4CFE-A560-759BAE327A4B}"/>
            </c:ext>
          </c:extLst>
        </c:ser>
        <c:ser>
          <c:idx val="12"/>
          <c:order val="12"/>
          <c:tx>
            <c:v>BES_TR1_one482_B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Charge_kW!$O$2:$O$49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0.182</c:v>
                </c:pt>
                <c:pt idx="10">
                  <c:v>0.28599999999999998</c:v>
                </c:pt>
                <c:pt idx="11">
                  <c:v>0.64400000000000002</c:v>
                </c:pt>
                <c:pt idx="12">
                  <c:v>0.99700000000000011</c:v>
                </c:pt>
                <c:pt idx="13">
                  <c:v>1.2130000000000001</c:v>
                </c:pt>
                <c:pt idx="14">
                  <c:v>1.5369999999999999</c:v>
                </c:pt>
                <c:pt idx="15">
                  <c:v>1.6220000000000001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23F-4CFE-A560-759BAE327A4B}"/>
            </c:ext>
          </c:extLst>
        </c:ser>
        <c:ser>
          <c:idx val="13"/>
          <c:order val="13"/>
          <c:tx>
            <c:v>BES_TR1_one521_C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Charge_kW!$P$2:$P$49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7.2999999999999995E-2</c:v>
                </c:pt>
                <c:pt idx="11">
                  <c:v>0.38300000000000001</c:v>
                </c:pt>
                <c:pt idx="12">
                  <c:v>0.41599999999999998</c:v>
                </c:pt>
                <c:pt idx="13">
                  <c:v>0.68400000000000005</c:v>
                </c:pt>
                <c:pt idx="14">
                  <c:v>0.93400000000000005</c:v>
                </c:pt>
                <c:pt idx="15">
                  <c:v>0.86099999999999999</c:v>
                </c:pt>
                <c:pt idx="16">
                  <c:v>1.3180000000000001</c:v>
                </c:pt>
                <c:pt idx="17">
                  <c:v>1.38</c:v>
                </c:pt>
                <c:pt idx="18">
                  <c:v>0.82299999999999995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23F-4CFE-A560-759BAE327A4B}"/>
            </c:ext>
          </c:extLst>
        </c:ser>
        <c:ser>
          <c:idx val="14"/>
          <c:order val="14"/>
          <c:tx>
            <c:v>BES_TR1_one528_C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Charge_kW!$Q$2:$Q$49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0.22500000000000001</c:v>
                </c:pt>
                <c:pt idx="11">
                  <c:v>0.41599999999999998</c:v>
                </c:pt>
                <c:pt idx="12">
                  <c:v>0.59899999999999998</c:v>
                </c:pt>
                <c:pt idx="13">
                  <c:v>0.63700000000000001</c:v>
                </c:pt>
                <c:pt idx="14">
                  <c:v>0.99299999999999999</c:v>
                </c:pt>
                <c:pt idx="15">
                  <c:v>1.1859999999999999</c:v>
                </c:pt>
                <c:pt idx="16">
                  <c:v>1.204</c:v>
                </c:pt>
                <c:pt idx="17">
                  <c:v>1.169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0.03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23F-4CFE-A560-759BAE327A4B}"/>
            </c:ext>
          </c:extLst>
        </c:ser>
        <c:ser>
          <c:idx val="15"/>
          <c:order val="15"/>
          <c:tx>
            <c:v>BES_TR1_one537_A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Charge_kW!$R$2:$R$49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  <c:pt idx="10">
                  <c:v>0.24299999999999999</c:v>
                </c:pt>
                <c:pt idx="11">
                  <c:v>0.252</c:v>
                </c:pt>
                <c:pt idx="12">
                  <c:v>0.61</c:v>
                </c:pt>
                <c:pt idx="13">
                  <c:v>0.80400000000000005</c:v>
                </c:pt>
                <c:pt idx="14">
                  <c:v>0.9890000000000001</c:v>
                </c:pt>
                <c:pt idx="15">
                  <c:v>0.79500000000000004</c:v>
                </c:pt>
                <c:pt idx="16">
                  <c:v>1.3340000000000001</c:v>
                </c:pt>
                <c:pt idx="17">
                  <c:v>5.7000000000000002E-2</c:v>
                </c:pt>
                <c:pt idx="18">
                  <c:v>1.0960000000000001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1.4E-2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23F-4CFE-A560-759BAE327A4B}"/>
            </c:ext>
          </c:extLst>
        </c:ser>
        <c:ser>
          <c:idx val="16"/>
          <c:order val="16"/>
          <c:tx>
            <c:v>BES_TR1_one61_A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Charge_kW!$S$2:$S$49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7.4999999999999997E-2</c:v>
                </c:pt>
                <c:pt idx="10">
                  <c:v>0.253</c:v>
                </c:pt>
                <c:pt idx="11">
                  <c:v>0.64600000000000002</c:v>
                </c:pt>
                <c:pt idx="12">
                  <c:v>0.81400000000000006</c:v>
                </c:pt>
                <c:pt idx="13">
                  <c:v>1.272</c:v>
                </c:pt>
                <c:pt idx="14">
                  <c:v>1.4650000000000001</c:v>
                </c:pt>
                <c:pt idx="15">
                  <c:v>1.8089999999999999</c:v>
                </c:pt>
                <c:pt idx="16">
                  <c:v>0.309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23F-4CFE-A560-759BAE327A4B}"/>
            </c:ext>
          </c:extLst>
        </c:ser>
        <c:ser>
          <c:idx val="17"/>
          <c:order val="17"/>
          <c:tx>
            <c:v>BES_TR1_one544_A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Charge_kW!$T$2:$T$49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0.105</c:v>
                </c:pt>
                <c:pt idx="10">
                  <c:v>0.37</c:v>
                </c:pt>
                <c:pt idx="11">
                  <c:v>0.44400000000000001</c:v>
                </c:pt>
                <c:pt idx="12">
                  <c:v>0.99400000000000011</c:v>
                </c:pt>
                <c:pt idx="13">
                  <c:v>1.149</c:v>
                </c:pt>
                <c:pt idx="14">
                  <c:v>1.605</c:v>
                </c:pt>
                <c:pt idx="15">
                  <c:v>1.8540000000000001</c:v>
                </c:pt>
                <c:pt idx="16">
                  <c:v>0.35499999999999998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23F-4CFE-A560-759BAE327A4B}"/>
            </c:ext>
          </c:extLst>
        </c:ser>
        <c:ser>
          <c:idx val="18"/>
          <c:order val="18"/>
          <c:tx>
            <c:v>BES_TR1_one552_B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Charge_kW!$U$2:$U$49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0.157</c:v>
                </c:pt>
                <c:pt idx="10">
                  <c:v>0.312</c:v>
                </c:pt>
                <c:pt idx="11">
                  <c:v>0.48199999999999998</c:v>
                </c:pt>
                <c:pt idx="12">
                  <c:v>0.87</c:v>
                </c:pt>
                <c:pt idx="13">
                  <c:v>0.97599999999999998</c:v>
                </c:pt>
                <c:pt idx="14">
                  <c:v>1.411</c:v>
                </c:pt>
                <c:pt idx="15">
                  <c:v>1.5680000000000001</c:v>
                </c:pt>
                <c:pt idx="16">
                  <c:v>0.68300000000000005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23F-4CFE-A560-759BAE327A4B}"/>
            </c:ext>
          </c:extLst>
        </c:ser>
        <c:ser>
          <c:idx val="19"/>
          <c:order val="19"/>
          <c:tx>
            <c:v>BES_TR1_one559_C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1.2999999999999999E-2</c:v>
                </c:pt>
                <c:pt idx="10">
                  <c:v>0</c:v>
                </c:pt>
                <c:pt idx="11">
                  <c:v>0.32200000000000001</c:v>
                </c:pt>
                <c:pt idx="12">
                  <c:v>0.28699999999999998</c:v>
                </c:pt>
                <c:pt idx="13">
                  <c:v>0.47799999999999998</c:v>
                </c:pt>
                <c:pt idx="14">
                  <c:v>0.78400000000000003</c:v>
                </c:pt>
                <c:pt idx="15">
                  <c:v>0.76900000000000002</c:v>
                </c:pt>
                <c:pt idx="16">
                  <c:v>0.90900000000000003</c:v>
                </c:pt>
                <c:pt idx="17">
                  <c:v>0.42299999999999999</c:v>
                </c:pt>
                <c:pt idx="18">
                  <c:v>2.8000000000000001E-2</c:v>
                </c:pt>
                <c:pt idx="19">
                  <c:v>4.2999999999999997E-2</c:v>
                </c:pt>
                <c:pt idx="20">
                  <c:v>8.8999999999999996E-2</c:v>
                </c:pt>
                <c:pt idx="21">
                  <c:v>1.395</c:v>
                </c:pt>
                <c:pt idx="22">
                  <c:v>1.6160000000000001</c:v>
                </c:pt>
                <c:pt idx="23">
                  <c:v>1.7999999999999999E-2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0.19</c:v>
                </c:pt>
                <c:pt idx="36">
                  <c:v>0</c:v>
                </c:pt>
                <c:pt idx="37">
                  <c:v>0</c:v>
                </c:pt>
                <c:pt idx="38">
                  <c:v>0.11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23F-4CFE-A560-759BAE327A4B}"/>
            </c:ext>
          </c:extLst>
        </c:ser>
        <c:ser>
          <c:idx val="20"/>
          <c:order val="20"/>
          <c:tx>
            <c:v>BES_TR1_one560_C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3.4000000000000002E-2</c:v>
                </c:pt>
                <c:pt idx="10">
                  <c:v>0.30099999999999999</c:v>
                </c:pt>
                <c:pt idx="11">
                  <c:v>0.61799999999999999</c:v>
                </c:pt>
                <c:pt idx="12">
                  <c:v>0.82499999999999996</c:v>
                </c:pt>
                <c:pt idx="13">
                  <c:v>1.2310000000000001</c:v>
                </c:pt>
                <c:pt idx="14">
                  <c:v>1.5189999999999999</c:v>
                </c:pt>
                <c:pt idx="15">
                  <c:v>1.6559999999999999</c:v>
                </c:pt>
                <c:pt idx="16">
                  <c:v>0.94200000000000006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23F-4CFE-A560-759BAE327A4B}"/>
            </c:ext>
          </c:extLst>
        </c:ser>
        <c:ser>
          <c:idx val="21"/>
          <c:order val="21"/>
          <c:tx>
            <c:v>BES_TR1_one605_A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Charge_kW!$X$2:$X$49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4.3999999999999997E-2</c:v>
                </c:pt>
                <c:pt idx="10">
                  <c:v>0.22500000000000001</c:v>
                </c:pt>
                <c:pt idx="11">
                  <c:v>0.36199999999999999</c:v>
                </c:pt>
                <c:pt idx="12">
                  <c:v>0.59799999999999998</c:v>
                </c:pt>
                <c:pt idx="13">
                  <c:v>0.77200000000000002</c:v>
                </c:pt>
                <c:pt idx="14">
                  <c:v>0.84199999999999997</c:v>
                </c:pt>
                <c:pt idx="15">
                  <c:v>1.1479999999999999</c:v>
                </c:pt>
                <c:pt idx="16">
                  <c:v>0.40300000000000002</c:v>
                </c:pt>
                <c:pt idx="17">
                  <c:v>1.4850000000000001</c:v>
                </c:pt>
                <c:pt idx="18">
                  <c:v>0.48099999999999998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4.2000000000000003E-2</c:v>
                </c:pt>
                <c:pt idx="38">
                  <c:v>0.106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23F-4CFE-A560-759BAE327A4B}"/>
            </c:ext>
          </c:extLst>
        </c:ser>
        <c:ser>
          <c:idx val="22"/>
          <c:order val="22"/>
          <c:tx>
            <c:v>BES_TR1_one617_A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Charge_kW!$Y$2:$Y$49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0.124</c:v>
                </c:pt>
                <c:pt idx="10">
                  <c:v>0.29599999999999999</c:v>
                </c:pt>
                <c:pt idx="11">
                  <c:v>0.50600000000000001</c:v>
                </c:pt>
                <c:pt idx="12">
                  <c:v>0.73599999999999999</c:v>
                </c:pt>
                <c:pt idx="13">
                  <c:v>0.96799999999999997</c:v>
                </c:pt>
                <c:pt idx="14">
                  <c:v>1.1990000000000001</c:v>
                </c:pt>
                <c:pt idx="15">
                  <c:v>1.431</c:v>
                </c:pt>
                <c:pt idx="16">
                  <c:v>0.50700000000000001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23F-4CFE-A560-759BAE327A4B}"/>
            </c:ext>
          </c:extLst>
        </c:ser>
        <c:ser>
          <c:idx val="23"/>
          <c:order val="23"/>
          <c:tx>
            <c:v>BES_TR1_one73_A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Charge_kW!$Z$2:$Z$49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0.11899999999999999</c:v>
                </c:pt>
                <c:pt idx="10">
                  <c:v>0.29099999999999998</c:v>
                </c:pt>
                <c:pt idx="11">
                  <c:v>0.45900000000000002</c:v>
                </c:pt>
                <c:pt idx="12">
                  <c:v>0.59100000000000008</c:v>
                </c:pt>
                <c:pt idx="13">
                  <c:v>0.91500000000000004</c:v>
                </c:pt>
                <c:pt idx="14">
                  <c:v>1.194</c:v>
                </c:pt>
                <c:pt idx="15">
                  <c:v>1.4259999999999999</c:v>
                </c:pt>
                <c:pt idx="16">
                  <c:v>1.3069999999999999</c:v>
                </c:pt>
                <c:pt idx="17">
                  <c:v>1.667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0.123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23F-4CFE-A560-759BAE327A4B}"/>
            </c:ext>
          </c:extLst>
        </c:ser>
        <c:ser>
          <c:idx val="24"/>
          <c:order val="24"/>
          <c:tx>
            <c:v>BES_TR1_one76_A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Charge_kW!$AA$2:$AA$49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0.14599999999999999</c:v>
                </c:pt>
                <c:pt idx="10">
                  <c:v>0.34599999999999997</c:v>
                </c:pt>
                <c:pt idx="11">
                  <c:v>0.59100000000000008</c:v>
                </c:pt>
                <c:pt idx="12">
                  <c:v>0.77500000000000002</c:v>
                </c:pt>
                <c:pt idx="13">
                  <c:v>1.1299999999999999</c:v>
                </c:pt>
                <c:pt idx="14">
                  <c:v>1.4</c:v>
                </c:pt>
                <c:pt idx="15">
                  <c:v>1.53</c:v>
                </c:pt>
                <c:pt idx="16">
                  <c:v>0.29399999999999998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0.23200000000000001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23F-4CFE-A560-759BAE327A4B}"/>
            </c:ext>
          </c:extLst>
        </c:ser>
        <c:ser>
          <c:idx val="25"/>
          <c:order val="25"/>
          <c:tx>
            <c:v>BES_TR1_six64_A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8.7999999999999995E-2</c:v>
                </c:pt>
                <c:pt idx="10">
                  <c:v>0.158</c:v>
                </c:pt>
                <c:pt idx="11">
                  <c:v>0.36699999999999999</c:v>
                </c:pt>
                <c:pt idx="12">
                  <c:v>0.59799999999999998</c:v>
                </c:pt>
                <c:pt idx="13">
                  <c:v>0.79199999999999993</c:v>
                </c:pt>
                <c:pt idx="14">
                  <c:v>0.96199999999999997</c:v>
                </c:pt>
                <c:pt idx="15">
                  <c:v>1.087</c:v>
                </c:pt>
                <c:pt idx="16">
                  <c:v>1.1100000000000001</c:v>
                </c:pt>
                <c:pt idx="17">
                  <c:v>0.38900000000000001</c:v>
                </c:pt>
                <c:pt idx="18">
                  <c:v>1.113</c:v>
                </c:pt>
                <c:pt idx="19">
                  <c:v>7.6999999999999999E-2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23F-4CFE-A560-759BAE327A4B}"/>
            </c:ext>
          </c:extLst>
        </c:ser>
        <c:ser>
          <c:idx val="26"/>
          <c:order val="26"/>
          <c:tx>
            <c:v>BES_TR1_six154_C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Charge_kW!$AC$2:$AC$49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0.183</c:v>
                </c:pt>
                <c:pt idx="10">
                  <c:v>0.39600000000000002</c:v>
                </c:pt>
                <c:pt idx="11">
                  <c:v>0.60400000000000009</c:v>
                </c:pt>
                <c:pt idx="12">
                  <c:v>0.998</c:v>
                </c:pt>
                <c:pt idx="13">
                  <c:v>1.3080000000000001</c:v>
                </c:pt>
                <c:pt idx="14">
                  <c:v>1.57</c:v>
                </c:pt>
                <c:pt idx="15">
                  <c:v>1.0189999999999999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23F-4CFE-A560-759BAE327A4B}"/>
            </c:ext>
          </c:extLst>
        </c:ser>
        <c:ser>
          <c:idx val="27"/>
          <c:order val="27"/>
          <c:tx>
            <c:v>BES_TR1_six173_C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Charge_kW!$AD$2:$AD$49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0.16600000000000001</c:v>
                </c:pt>
                <c:pt idx="10">
                  <c:v>0.33900000000000002</c:v>
                </c:pt>
                <c:pt idx="11">
                  <c:v>0.52300000000000002</c:v>
                </c:pt>
                <c:pt idx="12">
                  <c:v>0.92599999999999993</c:v>
                </c:pt>
                <c:pt idx="13">
                  <c:v>1.1990000000000001</c:v>
                </c:pt>
                <c:pt idx="14">
                  <c:v>1.4950000000000001</c:v>
                </c:pt>
                <c:pt idx="15">
                  <c:v>1.9079999999999999</c:v>
                </c:pt>
                <c:pt idx="16">
                  <c:v>0.36699999999999999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23F-4CFE-A560-759BAE327A4B}"/>
            </c:ext>
          </c:extLst>
        </c:ser>
        <c:ser>
          <c:idx val="28"/>
          <c:order val="28"/>
          <c:tx>
            <c:v>BES_TR1_six186_A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Charge_kW!$AE$2:$AE$49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8.0000000000000002E-3</c:v>
                </c:pt>
                <c:pt idx="10">
                  <c:v>0.10299999999999999</c:v>
                </c:pt>
                <c:pt idx="11">
                  <c:v>0.32100000000000001</c:v>
                </c:pt>
                <c:pt idx="12">
                  <c:v>0.193</c:v>
                </c:pt>
                <c:pt idx="13">
                  <c:v>0.629</c:v>
                </c:pt>
                <c:pt idx="14">
                  <c:v>0.55699999999999994</c:v>
                </c:pt>
                <c:pt idx="15">
                  <c:v>0.78500000000000003</c:v>
                </c:pt>
                <c:pt idx="16">
                  <c:v>0.81800000000000006</c:v>
                </c:pt>
                <c:pt idx="17">
                  <c:v>0.90799999999999992</c:v>
                </c:pt>
                <c:pt idx="18">
                  <c:v>1.0649999999999999</c:v>
                </c:pt>
                <c:pt idx="19">
                  <c:v>1.3939999999999999</c:v>
                </c:pt>
                <c:pt idx="20">
                  <c:v>1.079</c:v>
                </c:pt>
                <c:pt idx="21">
                  <c:v>0.108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0.57600000000000007</c:v>
                </c:pt>
                <c:pt idx="33">
                  <c:v>0.83799999999999997</c:v>
                </c:pt>
                <c:pt idx="34">
                  <c:v>0.43</c:v>
                </c:pt>
                <c:pt idx="35">
                  <c:v>0.219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23F-4CFE-A560-759BAE327A4B}"/>
            </c:ext>
          </c:extLst>
        </c:ser>
        <c:ser>
          <c:idx val="29"/>
          <c:order val="29"/>
          <c:tx>
            <c:v>BES_TR1_six191_B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Charge_kW!$AF$2:$AF$49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0.17899999999999999</c:v>
                </c:pt>
                <c:pt idx="10">
                  <c:v>0.40699999999999997</c:v>
                </c:pt>
                <c:pt idx="11">
                  <c:v>0.67199999999999993</c:v>
                </c:pt>
                <c:pt idx="12">
                  <c:v>0.127</c:v>
                </c:pt>
                <c:pt idx="13">
                  <c:v>0</c:v>
                </c:pt>
                <c:pt idx="14">
                  <c:v>1.603</c:v>
                </c:pt>
                <c:pt idx="15">
                  <c:v>1.7270000000000001</c:v>
                </c:pt>
                <c:pt idx="16">
                  <c:v>1.7929999999999999</c:v>
                </c:pt>
                <c:pt idx="17">
                  <c:v>0.33900000000000002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23F-4CFE-A560-759BAE327A4B}"/>
            </c:ext>
          </c:extLst>
        </c:ser>
        <c:ser>
          <c:idx val="30"/>
          <c:order val="30"/>
          <c:tx>
            <c:v>BES_TR1_six249_B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Charge_kW!$AG$2:$AG$49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0.17399999999999999</c:v>
                </c:pt>
                <c:pt idx="10">
                  <c:v>0.29499999999999998</c:v>
                </c:pt>
                <c:pt idx="11">
                  <c:v>0.68300000000000005</c:v>
                </c:pt>
                <c:pt idx="12">
                  <c:v>0.88200000000000001</c:v>
                </c:pt>
                <c:pt idx="13">
                  <c:v>1.1850000000000001</c:v>
                </c:pt>
                <c:pt idx="14">
                  <c:v>1.607</c:v>
                </c:pt>
                <c:pt idx="15">
                  <c:v>1.62</c:v>
                </c:pt>
                <c:pt idx="16">
                  <c:v>0.14199999999999999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23F-4CFE-A560-759BAE327A4B}"/>
            </c:ext>
          </c:extLst>
        </c:ser>
        <c:ser>
          <c:idx val="31"/>
          <c:order val="31"/>
          <c:tx>
            <c:v>BES_TR1_six254_B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Charge_kW!$AH$2:$AH$49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4.3999999999999997E-2</c:v>
                </c:pt>
                <c:pt idx="10">
                  <c:v>0.157</c:v>
                </c:pt>
                <c:pt idx="11">
                  <c:v>0.1</c:v>
                </c:pt>
                <c:pt idx="12">
                  <c:v>0.48</c:v>
                </c:pt>
                <c:pt idx="13">
                  <c:v>0.378</c:v>
                </c:pt>
                <c:pt idx="14">
                  <c:v>0.60400000000000009</c:v>
                </c:pt>
                <c:pt idx="15">
                  <c:v>0</c:v>
                </c:pt>
                <c:pt idx="16">
                  <c:v>0.875</c:v>
                </c:pt>
                <c:pt idx="17">
                  <c:v>1.1299999999999999</c:v>
                </c:pt>
                <c:pt idx="18">
                  <c:v>1.0760000000000001</c:v>
                </c:pt>
                <c:pt idx="19">
                  <c:v>1.417</c:v>
                </c:pt>
                <c:pt idx="20">
                  <c:v>0.57799999999999996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23F-4CFE-A560-759BAE327A4B}"/>
            </c:ext>
          </c:extLst>
        </c:ser>
        <c:ser>
          <c:idx val="32"/>
          <c:order val="32"/>
          <c:tx>
            <c:v>BES_TR1_six269_C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Charge_kW!$AI$2:$AI$49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0.114</c:v>
                </c:pt>
                <c:pt idx="10">
                  <c:v>0.28599999999999998</c:v>
                </c:pt>
                <c:pt idx="11">
                  <c:v>0.28799999999999998</c:v>
                </c:pt>
                <c:pt idx="12">
                  <c:v>0.72599999999999998</c:v>
                </c:pt>
                <c:pt idx="13">
                  <c:v>0.876</c:v>
                </c:pt>
                <c:pt idx="14">
                  <c:v>1.0640000000000001</c:v>
                </c:pt>
                <c:pt idx="15">
                  <c:v>1.3480000000000001</c:v>
                </c:pt>
                <c:pt idx="16">
                  <c:v>1.5029999999999999</c:v>
                </c:pt>
                <c:pt idx="17">
                  <c:v>0.61499999999999999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23F-4CFE-A560-759BAE327A4B}"/>
            </c:ext>
          </c:extLst>
        </c:ser>
        <c:ser>
          <c:idx val="33"/>
          <c:order val="33"/>
          <c:tx>
            <c:v>BES_TR1_six68_C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Charge_kW!$AJ$2:$AJ$49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5.0999999999999997E-2</c:v>
                </c:pt>
                <c:pt idx="11">
                  <c:v>0.14199999999999999</c:v>
                </c:pt>
                <c:pt idx="12">
                  <c:v>0.34300000000000003</c:v>
                </c:pt>
                <c:pt idx="13">
                  <c:v>0.438</c:v>
                </c:pt>
                <c:pt idx="14">
                  <c:v>0.435</c:v>
                </c:pt>
                <c:pt idx="15">
                  <c:v>0.621</c:v>
                </c:pt>
                <c:pt idx="16">
                  <c:v>0.46899999999999997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0.98</c:v>
                </c:pt>
                <c:pt idx="21">
                  <c:v>1.0249999999999999</c:v>
                </c:pt>
                <c:pt idx="22">
                  <c:v>0.86899999999999999</c:v>
                </c:pt>
                <c:pt idx="23">
                  <c:v>0.84199999999999997</c:v>
                </c:pt>
                <c:pt idx="24">
                  <c:v>0.27300000000000002</c:v>
                </c:pt>
                <c:pt idx="25">
                  <c:v>0.89400000000000002</c:v>
                </c:pt>
                <c:pt idx="26">
                  <c:v>1.19</c:v>
                </c:pt>
                <c:pt idx="27">
                  <c:v>5.5E-2</c:v>
                </c:pt>
                <c:pt idx="28">
                  <c:v>0</c:v>
                </c:pt>
                <c:pt idx="29">
                  <c:v>8.6999999999999994E-2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23F-4CFE-A560-759BAE327A4B}"/>
            </c:ext>
          </c:extLst>
        </c:ser>
        <c:ser>
          <c:idx val="34"/>
          <c:order val="34"/>
          <c:tx>
            <c:v>BES_TR1_six289_C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Charge_kW!$AK$2:$AK$49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5.8000000000000003E-2</c:v>
                </c:pt>
                <c:pt idx="10">
                  <c:v>1.0999999999999999E-2</c:v>
                </c:pt>
                <c:pt idx="11">
                  <c:v>0.18</c:v>
                </c:pt>
                <c:pt idx="12">
                  <c:v>0.41199999999999998</c:v>
                </c:pt>
                <c:pt idx="13">
                  <c:v>0.51999999999999991</c:v>
                </c:pt>
                <c:pt idx="14">
                  <c:v>0.63700000000000001</c:v>
                </c:pt>
                <c:pt idx="15">
                  <c:v>4.0000000000000001E-3</c:v>
                </c:pt>
                <c:pt idx="16">
                  <c:v>0.63100000000000001</c:v>
                </c:pt>
                <c:pt idx="17">
                  <c:v>0.93400000000000005</c:v>
                </c:pt>
                <c:pt idx="18">
                  <c:v>0.11</c:v>
                </c:pt>
                <c:pt idx="19">
                  <c:v>0.23799999999999999</c:v>
                </c:pt>
                <c:pt idx="20">
                  <c:v>1.091</c:v>
                </c:pt>
                <c:pt idx="21">
                  <c:v>1.18</c:v>
                </c:pt>
                <c:pt idx="22">
                  <c:v>1.1359999999999999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23F-4CFE-A560-759BAE327A4B}"/>
            </c:ext>
          </c:extLst>
        </c:ser>
        <c:ser>
          <c:idx val="35"/>
          <c:order val="35"/>
          <c:tx>
            <c:v>BES_TR1_six317_C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Charge_kW!$AL$2:$AL$49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7.8E-2</c:v>
                </c:pt>
                <c:pt idx="11">
                  <c:v>0.36099999999999999</c:v>
                </c:pt>
                <c:pt idx="12">
                  <c:v>0.44</c:v>
                </c:pt>
                <c:pt idx="13">
                  <c:v>0.67599999999999993</c:v>
                </c:pt>
                <c:pt idx="14">
                  <c:v>0.73299999999999998</c:v>
                </c:pt>
                <c:pt idx="15">
                  <c:v>1.0469999999999999</c:v>
                </c:pt>
                <c:pt idx="16">
                  <c:v>0.88600000000000001</c:v>
                </c:pt>
                <c:pt idx="17">
                  <c:v>0.14899999999999999</c:v>
                </c:pt>
                <c:pt idx="18">
                  <c:v>1.6279999999999999</c:v>
                </c:pt>
                <c:pt idx="19">
                  <c:v>1.3089999999999999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0.155</c:v>
                </c:pt>
                <c:pt idx="37">
                  <c:v>0.28399999999999997</c:v>
                </c:pt>
                <c:pt idx="38">
                  <c:v>0</c:v>
                </c:pt>
                <c:pt idx="39">
                  <c:v>5.0000000000000001E-3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23F-4CFE-A560-759BAE327A4B}"/>
            </c:ext>
          </c:extLst>
        </c:ser>
        <c:ser>
          <c:idx val="36"/>
          <c:order val="36"/>
          <c:tx>
            <c:v>BES_TR1_six326_A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Charge_kW!$AM$2:$AM$49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9.7000000000000003E-2</c:v>
                </c:pt>
                <c:pt idx="10">
                  <c:v>0.14299999999999999</c:v>
                </c:pt>
                <c:pt idx="11">
                  <c:v>0.41599999999999998</c:v>
                </c:pt>
                <c:pt idx="12">
                  <c:v>0.60699999999999998</c:v>
                </c:pt>
                <c:pt idx="13">
                  <c:v>0.63200000000000001</c:v>
                </c:pt>
                <c:pt idx="14">
                  <c:v>0.99299999999999999</c:v>
                </c:pt>
                <c:pt idx="15">
                  <c:v>1.1819999999999999</c:v>
                </c:pt>
                <c:pt idx="16">
                  <c:v>1.133</c:v>
                </c:pt>
                <c:pt idx="17">
                  <c:v>1.1160000000000001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23F-4CFE-A560-759BAE327A4B}"/>
            </c:ext>
          </c:extLst>
        </c:ser>
        <c:ser>
          <c:idx val="37"/>
          <c:order val="37"/>
          <c:tx>
            <c:v>BES_TR1_six329_A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Charge_kW!$AN$2:$AN$49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0.21</c:v>
                </c:pt>
                <c:pt idx="11">
                  <c:v>0.29699999999999999</c:v>
                </c:pt>
                <c:pt idx="12">
                  <c:v>0.5109999999999999</c:v>
                </c:pt>
                <c:pt idx="13">
                  <c:v>0.433</c:v>
                </c:pt>
                <c:pt idx="14">
                  <c:v>0</c:v>
                </c:pt>
                <c:pt idx="15">
                  <c:v>0.83699999999999997</c:v>
                </c:pt>
                <c:pt idx="16">
                  <c:v>1.099</c:v>
                </c:pt>
                <c:pt idx="17">
                  <c:v>1.335</c:v>
                </c:pt>
                <c:pt idx="18">
                  <c:v>1.526</c:v>
                </c:pt>
                <c:pt idx="19">
                  <c:v>0.79199999999999993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23F-4CFE-A560-759BAE327A4B}"/>
            </c:ext>
          </c:extLst>
        </c:ser>
        <c:ser>
          <c:idx val="38"/>
          <c:order val="38"/>
          <c:tx>
            <c:v>BES_TR1_six342_A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Charge_kW!$AO$2:$AO$49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0.127</c:v>
                </c:pt>
                <c:pt idx="10">
                  <c:v>0.26800000000000002</c:v>
                </c:pt>
                <c:pt idx="11">
                  <c:v>0.46</c:v>
                </c:pt>
                <c:pt idx="12">
                  <c:v>0.69899999999999995</c:v>
                </c:pt>
                <c:pt idx="13">
                  <c:v>0.93099999999999994</c:v>
                </c:pt>
                <c:pt idx="14">
                  <c:v>1.202</c:v>
                </c:pt>
                <c:pt idx="15">
                  <c:v>1.4339999999999999</c:v>
                </c:pt>
                <c:pt idx="16">
                  <c:v>1.089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23F-4CFE-A560-759BAE327A4B}"/>
            </c:ext>
          </c:extLst>
        </c:ser>
        <c:ser>
          <c:idx val="39"/>
          <c:order val="39"/>
          <c:tx>
            <c:v>BES_TR1_six349_A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9.2999999999999999E-2</c:v>
                </c:pt>
                <c:pt idx="10">
                  <c:v>0.23599999999999999</c:v>
                </c:pt>
                <c:pt idx="11">
                  <c:v>0.41199999999999998</c:v>
                </c:pt>
                <c:pt idx="12">
                  <c:v>0.60299999999999998</c:v>
                </c:pt>
                <c:pt idx="13">
                  <c:v>0.748</c:v>
                </c:pt>
                <c:pt idx="14">
                  <c:v>0.9890000000000001</c:v>
                </c:pt>
                <c:pt idx="15">
                  <c:v>1.1819999999999999</c:v>
                </c:pt>
                <c:pt idx="16">
                  <c:v>1.363</c:v>
                </c:pt>
                <c:pt idx="17">
                  <c:v>1.1339999999999999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1.2230000000000001</c:v>
                </c:pt>
                <c:pt idx="30">
                  <c:v>0.8899999999999999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23F-4CFE-A560-759BAE327A4B}"/>
            </c:ext>
          </c:extLst>
        </c:ser>
        <c:ser>
          <c:idx val="40"/>
          <c:order val="40"/>
          <c:tx>
            <c:v>BES_TR1_six350_B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Charge_kW!$AQ$2:$AQ$49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0.158</c:v>
                </c:pt>
                <c:pt idx="10">
                  <c:v>0.35199999999999998</c:v>
                </c:pt>
                <c:pt idx="11">
                  <c:v>0.68900000000000006</c:v>
                </c:pt>
                <c:pt idx="12">
                  <c:v>0.93800000000000006</c:v>
                </c:pt>
                <c:pt idx="13">
                  <c:v>1.2829999999999999</c:v>
                </c:pt>
                <c:pt idx="14">
                  <c:v>1.613</c:v>
                </c:pt>
                <c:pt idx="15">
                  <c:v>1.012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23F-4CFE-A560-759BAE327A4B}"/>
            </c:ext>
          </c:extLst>
        </c:ser>
        <c:ser>
          <c:idx val="41"/>
          <c:order val="41"/>
          <c:tx>
            <c:v>BES_TR1_six378_A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Charge_kW!$AR$2:$AR$49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4.0000000000000001E-3</c:v>
                </c:pt>
                <c:pt idx="9">
                  <c:v>0.187</c:v>
                </c:pt>
                <c:pt idx="10">
                  <c:v>0.41499999999999998</c:v>
                </c:pt>
                <c:pt idx="11">
                  <c:v>0.69599999999999995</c:v>
                </c:pt>
                <c:pt idx="12">
                  <c:v>1.002</c:v>
                </c:pt>
                <c:pt idx="13">
                  <c:v>1.3120000000000001</c:v>
                </c:pt>
                <c:pt idx="14">
                  <c:v>1.62</c:v>
                </c:pt>
                <c:pt idx="15">
                  <c:v>0.58899999999999997</c:v>
                </c:pt>
                <c:pt idx="16">
                  <c:v>0</c:v>
                </c:pt>
                <c:pt idx="17">
                  <c:v>0</c:v>
                </c:pt>
                <c:pt idx="18">
                  <c:v>0.253</c:v>
                </c:pt>
                <c:pt idx="19">
                  <c:v>0.34200000000000003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23F-4CFE-A560-759BAE327A4B}"/>
            </c:ext>
          </c:extLst>
        </c:ser>
        <c:ser>
          <c:idx val="42"/>
          <c:order val="42"/>
          <c:tx>
            <c:v>BES_TR1_six75_A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Charge_kW!$AS$2:$AS$49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6.0999999999999999E-2</c:v>
                </c:pt>
                <c:pt idx="10">
                  <c:v>0.245</c:v>
                </c:pt>
                <c:pt idx="11">
                  <c:v>0.51400000000000001</c:v>
                </c:pt>
                <c:pt idx="12">
                  <c:v>0.65300000000000002</c:v>
                </c:pt>
                <c:pt idx="13">
                  <c:v>0.93700000000000006</c:v>
                </c:pt>
                <c:pt idx="14">
                  <c:v>1.2070000000000001</c:v>
                </c:pt>
                <c:pt idx="15">
                  <c:v>1.3540000000000001</c:v>
                </c:pt>
                <c:pt idx="16">
                  <c:v>1.611</c:v>
                </c:pt>
                <c:pt idx="17">
                  <c:v>1.0069999999999999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23F-4CFE-A560-759BAE327A4B}"/>
            </c:ext>
          </c:extLst>
        </c:ser>
        <c:ser>
          <c:idx val="43"/>
          <c:order val="43"/>
          <c:tx>
            <c:v>BES_TR1_six385_B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Charge_kW!$AT$2:$AT$49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</c:v>
                </c:pt>
                <c:pt idx="11">
                  <c:v>0.16600000000000001</c:v>
                </c:pt>
                <c:pt idx="12">
                  <c:v>0.35599999999999998</c:v>
                </c:pt>
                <c:pt idx="13">
                  <c:v>0.28699999999999998</c:v>
                </c:pt>
                <c:pt idx="14">
                  <c:v>0.58799999999999997</c:v>
                </c:pt>
                <c:pt idx="15">
                  <c:v>0.628</c:v>
                </c:pt>
                <c:pt idx="16">
                  <c:v>0.70299999999999996</c:v>
                </c:pt>
                <c:pt idx="17">
                  <c:v>0.88900000000000001</c:v>
                </c:pt>
                <c:pt idx="18">
                  <c:v>0.84199999999999997</c:v>
                </c:pt>
                <c:pt idx="19">
                  <c:v>1.075</c:v>
                </c:pt>
                <c:pt idx="20">
                  <c:v>0.871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23F-4CFE-A560-759BAE327A4B}"/>
            </c:ext>
          </c:extLst>
        </c:ser>
        <c:ser>
          <c:idx val="44"/>
          <c:order val="44"/>
          <c:tx>
            <c:v>BES_TR1_six387_A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Charge_kW!$AU$2:$AU$49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9.0999999999999998E-2</c:v>
                </c:pt>
                <c:pt idx="11">
                  <c:v>0.10199999999999999</c:v>
                </c:pt>
                <c:pt idx="12">
                  <c:v>0.23599999999999999</c:v>
                </c:pt>
                <c:pt idx="13">
                  <c:v>0.46899999999999997</c:v>
                </c:pt>
                <c:pt idx="14">
                  <c:v>0.40699999999999997</c:v>
                </c:pt>
                <c:pt idx="15">
                  <c:v>0.59500000000000008</c:v>
                </c:pt>
                <c:pt idx="16">
                  <c:v>0.73299999999999998</c:v>
                </c:pt>
                <c:pt idx="17">
                  <c:v>0.71500000000000008</c:v>
                </c:pt>
                <c:pt idx="18">
                  <c:v>0.95600000000000007</c:v>
                </c:pt>
                <c:pt idx="19">
                  <c:v>0.93599999999999994</c:v>
                </c:pt>
                <c:pt idx="20">
                  <c:v>0.98199999999999998</c:v>
                </c:pt>
                <c:pt idx="21">
                  <c:v>0.53300000000000003</c:v>
                </c:pt>
                <c:pt idx="22">
                  <c:v>0</c:v>
                </c:pt>
                <c:pt idx="23">
                  <c:v>0</c:v>
                </c:pt>
                <c:pt idx="24">
                  <c:v>0.91299999999999992</c:v>
                </c:pt>
                <c:pt idx="25">
                  <c:v>0</c:v>
                </c:pt>
                <c:pt idx="26">
                  <c:v>0</c:v>
                </c:pt>
                <c:pt idx="27">
                  <c:v>0.22</c:v>
                </c:pt>
                <c:pt idx="28">
                  <c:v>0.5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7.6999999999999999E-2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23F-4CFE-A560-759BAE327A4B}"/>
            </c:ext>
          </c:extLst>
        </c:ser>
        <c:ser>
          <c:idx val="45"/>
          <c:order val="45"/>
          <c:tx>
            <c:v>BES_TR1_six410_A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Charge_kW!$AV$2:$AV$49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9.2999999999999999E-2</c:v>
                </c:pt>
                <c:pt idx="11">
                  <c:v>0.307</c:v>
                </c:pt>
                <c:pt idx="12">
                  <c:v>0.308</c:v>
                </c:pt>
                <c:pt idx="13">
                  <c:v>0.61599999999999999</c:v>
                </c:pt>
                <c:pt idx="14">
                  <c:v>0.78400000000000003</c:v>
                </c:pt>
                <c:pt idx="15">
                  <c:v>0.82799999999999996</c:v>
                </c:pt>
                <c:pt idx="16">
                  <c:v>0.99400000000000011</c:v>
                </c:pt>
                <c:pt idx="17">
                  <c:v>1.208</c:v>
                </c:pt>
                <c:pt idx="18">
                  <c:v>1.0309999999999999</c:v>
                </c:pt>
                <c:pt idx="19">
                  <c:v>0.41099999999999998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23F-4CFE-A560-759BAE327A4B}"/>
            </c:ext>
          </c:extLst>
        </c:ser>
        <c:ser>
          <c:idx val="46"/>
          <c:order val="46"/>
          <c:tx>
            <c:v>BES_TR1_six431_C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Charge_kW!$AW$2:$AW$49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0.182</c:v>
                </c:pt>
                <c:pt idx="11">
                  <c:v>0.38</c:v>
                </c:pt>
                <c:pt idx="12">
                  <c:v>0.48199999999999998</c:v>
                </c:pt>
                <c:pt idx="13">
                  <c:v>0.66900000000000004</c:v>
                </c:pt>
                <c:pt idx="14">
                  <c:v>0.91699999999999993</c:v>
                </c:pt>
                <c:pt idx="15">
                  <c:v>1.0169999999999999</c:v>
                </c:pt>
                <c:pt idx="16">
                  <c:v>1.2909999999999999</c:v>
                </c:pt>
                <c:pt idx="17">
                  <c:v>1.429</c:v>
                </c:pt>
                <c:pt idx="18">
                  <c:v>0.65200000000000002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23F-4CFE-A560-759BAE327A4B}"/>
            </c:ext>
          </c:extLst>
        </c:ser>
        <c:ser>
          <c:idx val="47"/>
          <c:order val="47"/>
          <c:tx>
            <c:v>BES_TR1_six441_A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Charge_kW!$AX$2:$AX$49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0.218</c:v>
                </c:pt>
                <c:pt idx="11">
                  <c:v>0.71199999999999997</c:v>
                </c:pt>
                <c:pt idx="12">
                  <c:v>1.018</c:v>
                </c:pt>
                <c:pt idx="13">
                  <c:v>1.2290000000000001</c:v>
                </c:pt>
                <c:pt idx="14">
                  <c:v>1.603</c:v>
                </c:pt>
                <c:pt idx="15">
                  <c:v>1.905</c:v>
                </c:pt>
                <c:pt idx="16">
                  <c:v>0.29199999999999998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23F-4CFE-A560-759BAE327A4B}"/>
            </c:ext>
          </c:extLst>
        </c:ser>
        <c:ser>
          <c:idx val="48"/>
          <c:order val="48"/>
          <c:tx>
            <c:v>BES_TR1_six484_B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Charge_kW!$AY$2:$AY$49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0.19900000000000001</c:v>
                </c:pt>
                <c:pt idx="11">
                  <c:v>0.32800000000000001</c:v>
                </c:pt>
                <c:pt idx="12">
                  <c:v>0.64</c:v>
                </c:pt>
                <c:pt idx="13">
                  <c:v>0.89200000000000002</c:v>
                </c:pt>
                <c:pt idx="14">
                  <c:v>0.97299999999999998</c:v>
                </c:pt>
                <c:pt idx="15">
                  <c:v>1.4330000000000001</c:v>
                </c:pt>
                <c:pt idx="16">
                  <c:v>0.33500000000000002</c:v>
                </c:pt>
                <c:pt idx="17">
                  <c:v>0</c:v>
                </c:pt>
                <c:pt idx="18">
                  <c:v>0.16300000000000001</c:v>
                </c:pt>
                <c:pt idx="19">
                  <c:v>0.59399999999999997</c:v>
                </c:pt>
                <c:pt idx="20">
                  <c:v>0</c:v>
                </c:pt>
                <c:pt idx="21">
                  <c:v>0.153</c:v>
                </c:pt>
                <c:pt idx="22">
                  <c:v>2.0539999999999998</c:v>
                </c:pt>
                <c:pt idx="23">
                  <c:v>1.321</c:v>
                </c:pt>
                <c:pt idx="24">
                  <c:v>0.45400000000000001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2.1000000000000001E-2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23F-4CFE-A560-759BAE327A4B}"/>
            </c:ext>
          </c:extLst>
        </c:ser>
        <c:ser>
          <c:idx val="49"/>
          <c:order val="49"/>
          <c:tx>
            <c:v>BES_TR1_six501_A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Charge_kW!$AZ$2:$AZ$49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0.113</c:v>
                </c:pt>
                <c:pt idx="10">
                  <c:v>0.218</c:v>
                </c:pt>
                <c:pt idx="11">
                  <c:v>0.254</c:v>
                </c:pt>
                <c:pt idx="12">
                  <c:v>0.745</c:v>
                </c:pt>
                <c:pt idx="13">
                  <c:v>0.68700000000000006</c:v>
                </c:pt>
                <c:pt idx="14">
                  <c:v>1.07</c:v>
                </c:pt>
                <c:pt idx="15">
                  <c:v>1.337</c:v>
                </c:pt>
                <c:pt idx="16">
                  <c:v>1.4890000000000001</c:v>
                </c:pt>
                <c:pt idx="17">
                  <c:v>1.0409999999999999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0.21</c:v>
                </c:pt>
                <c:pt idx="34">
                  <c:v>0</c:v>
                </c:pt>
                <c:pt idx="35">
                  <c:v>0</c:v>
                </c:pt>
                <c:pt idx="36">
                  <c:v>0.13</c:v>
                </c:pt>
                <c:pt idx="37">
                  <c:v>3.1E-2</c:v>
                </c:pt>
                <c:pt idx="38">
                  <c:v>7.1000000000000008E-2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23F-4CFE-A560-759BAE327A4B}"/>
            </c:ext>
          </c:extLst>
        </c:ser>
        <c:ser>
          <c:idx val="50"/>
          <c:order val="50"/>
          <c:tx>
            <c:v>BES_TR1_six512_B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Charge_kW!$BA$2:$BA$49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2E-3</c:v>
                </c:pt>
                <c:pt idx="10">
                  <c:v>0.28599999999999998</c:v>
                </c:pt>
                <c:pt idx="11">
                  <c:v>0.50900000000000001</c:v>
                </c:pt>
                <c:pt idx="12">
                  <c:v>0.86099999999999999</c:v>
                </c:pt>
                <c:pt idx="13">
                  <c:v>0.92400000000000004</c:v>
                </c:pt>
                <c:pt idx="14">
                  <c:v>1.4019999999999999</c:v>
                </c:pt>
                <c:pt idx="15">
                  <c:v>1.514</c:v>
                </c:pt>
                <c:pt idx="16">
                  <c:v>1.093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23F-4CFE-A560-759BAE327A4B}"/>
            </c:ext>
          </c:extLst>
        </c:ser>
        <c:ser>
          <c:idx val="51"/>
          <c:order val="51"/>
          <c:tx>
            <c:v>BES_TR1_six518_B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Charge_kW!$BB$2:$BB$49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0.16200000000000001</c:v>
                </c:pt>
                <c:pt idx="10">
                  <c:v>0.40300000000000002</c:v>
                </c:pt>
                <c:pt idx="11">
                  <c:v>0.68400000000000005</c:v>
                </c:pt>
                <c:pt idx="12">
                  <c:v>0.99</c:v>
                </c:pt>
                <c:pt idx="13">
                  <c:v>1.2250000000000001</c:v>
                </c:pt>
                <c:pt idx="14">
                  <c:v>1.6080000000000001</c:v>
                </c:pt>
                <c:pt idx="15">
                  <c:v>1.08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1.103</c:v>
                </c:pt>
                <c:pt idx="36">
                  <c:v>0</c:v>
                </c:pt>
                <c:pt idx="37">
                  <c:v>0.33500000000000002</c:v>
                </c:pt>
                <c:pt idx="38">
                  <c:v>0.19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23F-4CFE-A560-759BAE327A4B}"/>
            </c:ext>
          </c:extLst>
        </c:ser>
        <c:ser>
          <c:idx val="52"/>
          <c:order val="52"/>
          <c:tx>
            <c:v>BES_TR1_six595_B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Charge_kW!$BC$2:$BC$49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0.10199999999999999</c:v>
                </c:pt>
                <c:pt idx="10">
                  <c:v>0.17100000000000001</c:v>
                </c:pt>
                <c:pt idx="11">
                  <c:v>0.42099999999999999</c:v>
                </c:pt>
                <c:pt idx="12">
                  <c:v>0.56200000000000006</c:v>
                </c:pt>
                <c:pt idx="13">
                  <c:v>0.78100000000000003</c:v>
                </c:pt>
                <c:pt idx="14">
                  <c:v>0.998</c:v>
                </c:pt>
                <c:pt idx="15">
                  <c:v>1.1910000000000001</c:v>
                </c:pt>
                <c:pt idx="16">
                  <c:v>1.1739999999999999</c:v>
                </c:pt>
                <c:pt idx="17">
                  <c:v>0.60499999999999998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23F-4CFE-A560-759BAE327A4B}"/>
            </c:ext>
          </c:extLst>
        </c:ser>
        <c:ser>
          <c:idx val="53"/>
          <c:order val="53"/>
          <c:tx>
            <c:v>BES_TR1_six646_B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Charge_kW!$BD$2:$BD$49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0.215</c:v>
                </c:pt>
                <c:pt idx="11">
                  <c:v>0.42799999999999999</c:v>
                </c:pt>
                <c:pt idx="12">
                  <c:v>0.46500000000000002</c:v>
                </c:pt>
                <c:pt idx="13">
                  <c:v>0.72799999999999998</c:v>
                </c:pt>
                <c:pt idx="14">
                  <c:v>0.97900000000000009</c:v>
                </c:pt>
                <c:pt idx="15">
                  <c:v>0.92699999999999994</c:v>
                </c:pt>
                <c:pt idx="16">
                  <c:v>1.3380000000000001</c:v>
                </c:pt>
                <c:pt idx="17">
                  <c:v>1.4570000000000001</c:v>
                </c:pt>
                <c:pt idx="18">
                  <c:v>0.439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23F-4CFE-A560-759BAE327A4B}"/>
            </c:ext>
          </c:extLst>
        </c:ser>
        <c:ser>
          <c:idx val="54"/>
          <c:order val="54"/>
          <c:tx>
            <c:v>BES_TR1_six699_C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Charge_kW!$BE$2:$BE$49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0.08</c:v>
                </c:pt>
                <c:pt idx="10">
                  <c:v>0.34599999999999997</c:v>
                </c:pt>
                <c:pt idx="11">
                  <c:v>0.54</c:v>
                </c:pt>
                <c:pt idx="12">
                  <c:v>0.84399999999999997</c:v>
                </c:pt>
                <c:pt idx="13">
                  <c:v>1.1299999999999999</c:v>
                </c:pt>
                <c:pt idx="14">
                  <c:v>1.4</c:v>
                </c:pt>
                <c:pt idx="15">
                  <c:v>1.6220000000000001</c:v>
                </c:pt>
                <c:pt idx="16">
                  <c:v>2.5999999999999999E-2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23F-4CFE-A560-759BAE327A4B}"/>
            </c:ext>
          </c:extLst>
        </c:ser>
        <c:ser>
          <c:idx val="55"/>
          <c:order val="55"/>
          <c:tx>
            <c:v>BES_TR1_six718_C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Charge_kW!$BF$2:$BF$49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3.1E-2</c:v>
                </c:pt>
                <c:pt idx="10">
                  <c:v>0</c:v>
                </c:pt>
                <c:pt idx="11">
                  <c:v>0.222</c:v>
                </c:pt>
                <c:pt idx="12">
                  <c:v>9.8999999999999991E-2</c:v>
                </c:pt>
                <c:pt idx="13">
                  <c:v>0.41499999999999998</c:v>
                </c:pt>
                <c:pt idx="14">
                  <c:v>0.56899999999999995</c:v>
                </c:pt>
                <c:pt idx="15">
                  <c:v>0.59799999999999998</c:v>
                </c:pt>
                <c:pt idx="16">
                  <c:v>0.79299999999999993</c:v>
                </c:pt>
                <c:pt idx="17">
                  <c:v>0.61799999999999999</c:v>
                </c:pt>
                <c:pt idx="18">
                  <c:v>0.95399999999999996</c:v>
                </c:pt>
                <c:pt idx="19">
                  <c:v>0.71899999999999997</c:v>
                </c:pt>
                <c:pt idx="20">
                  <c:v>0.58100000000000007</c:v>
                </c:pt>
                <c:pt idx="21">
                  <c:v>0.83100000000000007</c:v>
                </c:pt>
                <c:pt idx="22">
                  <c:v>0.41</c:v>
                </c:pt>
                <c:pt idx="23">
                  <c:v>0</c:v>
                </c:pt>
                <c:pt idx="24">
                  <c:v>0</c:v>
                </c:pt>
                <c:pt idx="25">
                  <c:v>0.36699999999999999</c:v>
                </c:pt>
                <c:pt idx="26">
                  <c:v>0</c:v>
                </c:pt>
                <c:pt idx="27">
                  <c:v>1.149</c:v>
                </c:pt>
                <c:pt idx="28">
                  <c:v>0.92900000000000005</c:v>
                </c:pt>
                <c:pt idx="29">
                  <c:v>0.83699999999999997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23F-4CFE-A560-759BAE327A4B}"/>
            </c:ext>
          </c:extLst>
        </c:ser>
        <c:ser>
          <c:idx val="56"/>
          <c:order val="56"/>
          <c:tx>
            <c:v>BES_TR1_six721_A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Charge_kW!$BG$2:$BG$49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0.123</c:v>
                </c:pt>
                <c:pt idx="11">
                  <c:v>0</c:v>
                </c:pt>
                <c:pt idx="12">
                  <c:v>0.33400000000000002</c:v>
                </c:pt>
                <c:pt idx="13">
                  <c:v>0</c:v>
                </c:pt>
                <c:pt idx="14">
                  <c:v>0</c:v>
                </c:pt>
                <c:pt idx="15">
                  <c:v>0.52600000000000002</c:v>
                </c:pt>
                <c:pt idx="16">
                  <c:v>0.309</c:v>
                </c:pt>
                <c:pt idx="17">
                  <c:v>0.12</c:v>
                </c:pt>
                <c:pt idx="18">
                  <c:v>4.2000000000000003E-2</c:v>
                </c:pt>
                <c:pt idx="19">
                  <c:v>0.504</c:v>
                </c:pt>
                <c:pt idx="20">
                  <c:v>0.79299999999999993</c:v>
                </c:pt>
                <c:pt idx="21">
                  <c:v>1.087</c:v>
                </c:pt>
                <c:pt idx="22">
                  <c:v>0.72199999999999998</c:v>
                </c:pt>
                <c:pt idx="23">
                  <c:v>1.125</c:v>
                </c:pt>
                <c:pt idx="24">
                  <c:v>1.1839999999999999</c:v>
                </c:pt>
                <c:pt idx="25">
                  <c:v>0.50600000000000001</c:v>
                </c:pt>
                <c:pt idx="26">
                  <c:v>0.161</c:v>
                </c:pt>
                <c:pt idx="27">
                  <c:v>0.53200000000000003</c:v>
                </c:pt>
                <c:pt idx="28">
                  <c:v>0</c:v>
                </c:pt>
                <c:pt idx="29">
                  <c:v>0.23100000000000001</c:v>
                </c:pt>
                <c:pt idx="30">
                  <c:v>0</c:v>
                </c:pt>
                <c:pt idx="31">
                  <c:v>0.20399999999999999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23F-4CFE-A560-759BAE327A4B}"/>
            </c:ext>
          </c:extLst>
        </c:ser>
        <c:ser>
          <c:idx val="57"/>
          <c:order val="57"/>
          <c:tx>
            <c:v>BES_TR1_six723_B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Charge_kW!$BH$2:$BH$49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0.11799999999999999</c:v>
                </c:pt>
                <c:pt idx="10">
                  <c:v>0.26400000000000001</c:v>
                </c:pt>
                <c:pt idx="11">
                  <c:v>0.68700000000000006</c:v>
                </c:pt>
                <c:pt idx="12">
                  <c:v>0.80400000000000005</c:v>
                </c:pt>
                <c:pt idx="13">
                  <c:v>1.29</c:v>
                </c:pt>
                <c:pt idx="14">
                  <c:v>1.585</c:v>
                </c:pt>
                <c:pt idx="15">
                  <c:v>1.8009999999999999</c:v>
                </c:pt>
                <c:pt idx="16">
                  <c:v>7.2999999999999995E-2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23F-4CFE-A560-759BAE327A4B}"/>
            </c:ext>
          </c:extLst>
        </c:ser>
        <c:ser>
          <c:idx val="58"/>
          <c:order val="58"/>
          <c:tx>
            <c:v>BES_TR1_six784_B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Charge_kW!$BI$2:$BI$49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0.109</c:v>
                </c:pt>
                <c:pt idx="10">
                  <c:v>0.246</c:v>
                </c:pt>
                <c:pt idx="11">
                  <c:v>0.47799999999999998</c:v>
                </c:pt>
                <c:pt idx="12">
                  <c:v>0.69899999999999995</c:v>
                </c:pt>
                <c:pt idx="13">
                  <c:v>0.93499999999999994</c:v>
                </c:pt>
                <c:pt idx="14">
                  <c:v>1.167</c:v>
                </c:pt>
                <c:pt idx="15">
                  <c:v>1.4370000000000001</c:v>
                </c:pt>
                <c:pt idx="16">
                  <c:v>1.5760000000000001</c:v>
                </c:pt>
                <c:pt idx="17">
                  <c:v>0.59000000000000008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0.34200000000000003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23F-4CFE-A560-759BAE327A4B}"/>
            </c:ext>
          </c:extLst>
        </c:ser>
        <c:ser>
          <c:idx val="59"/>
          <c:order val="59"/>
          <c:tx>
            <c:v>BES_TR1_six90_B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Charge_kW!$BJ$2:$BJ$49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5.0000000000000001E-3</c:v>
                </c:pt>
                <c:pt idx="10">
                  <c:v>0.105</c:v>
                </c:pt>
                <c:pt idx="11">
                  <c:v>0.158</c:v>
                </c:pt>
                <c:pt idx="12">
                  <c:v>0.47099999999999997</c:v>
                </c:pt>
                <c:pt idx="13">
                  <c:v>0.51800000000000002</c:v>
                </c:pt>
                <c:pt idx="14">
                  <c:v>0.65500000000000003</c:v>
                </c:pt>
                <c:pt idx="15">
                  <c:v>0.93400000000000005</c:v>
                </c:pt>
                <c:pt idx="16">
                  <c:v>0.84599999999999997</c:v>
                </c:pt>
                <c:pt idx="17">
                  <c:v>1.2150000000000001</c:v>
                </c:pt>
                <c:pt idx="18">
                  <c:v>1.1120000000000001</c:v>
                </c:pt>
                <c:pt idx="19">
                  <c:v>0.19800000000000001</c:v>
                </c:pt>
                <c:pt idx="20">
                  <c:v>0</c:v>
                </c:pt>
                <c:pt idx="21">
                  <c:v>0</c:v>
                </c:pt>
                <c:pt idx="22">
                  <c:v>1.175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1.413</c:v>
                </c:pt>
                <c:pt idx="27">
                  <c:v>1.2030000000000001</c:v>
                </c:pt>
                <c:pt idx="28">
                  <c:v>1.423</c:v>
                </c:pt>
                <c:pt idx="29">
                  <c:v>1.246</c:v>
                </c:pt>
                <c:pt idx="30">
                  <c:v>0.27300000000000002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23F-4CFE-A560-759BAE327A4B}"/>
            </c:ext>
          </c:extLst>
        </c:ser>
        <c:ser>
          <c:idx val="60"/>
          <c:order val="60"/>
          <c:tx>
            <c:v>BES_TR1_six807_A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Charge_kW!$BK$2:$BK$49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6.0999999999999999E-2</c:v>
                </c:pt>
                <c:pt idx="10">
                  <c:v>0.17599999999999999</c:v>
                </c:pt>
                <c:pt idx="11">
                  <c:v>0.17399999999999999</c:v>
                </c:pt>
                <c:pt idx="12">
                  <c:v>0.44700000000000001</c:v>
                </c:pt>
                <c:pt idx="13">
                  <c:v>0.52700000000000002</c:v>
                </c:pt>
                <c:pt idx="14">
                  <c:v>0.71100000000000008</c:v>
                </c:pt>
                <c:pt idx="15">
                  <c:v>0.80800000000000005</c:v>
                </c:pt>
                <c:pt idx="16">
                  <c:v>0.995</c:v>
                </c:pt>
                <c:pt idx="17">
                  <c:v>1.0489999999999999</c:v>
                </c:pt>
                <c:pt idx="18">
                  <c:v>1.198</c:v>
                </c:pt>
                <c:pt idx="19">
                  <c:v>0.48599999999999999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0.16600000000000001</c:v>
                </c:pt>
                <c:pt idx="36">
                  <c:v>0</c:v>
                </c:pt>
                <c:pt idx="37">
                  <c:v>0.109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23F-4CFE-A560-759BAE327A4B}"/>
            </c:ext>
          </c:extLst>
        </c:ser>
        <c:ser>
          <c:idx val="61"/>
          <c:order val="61"/>
          <c:tx>
            <c:v>BES_TR1_six852_B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Charge_kW!$BL$2:$BL$49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0.10299999999999999</c:v>
                </c:pt>
                <c:pt idx="10">
                  <c:v>0.33500000000000002</c:v>
                </c:pt>
                <c:pt idx="11">
                  <c:v>0.58399999999999996</c:v>
                </c:pt>
                <c:pt idx="12">
                  <c:v>0.86899999999999999</c:v>
                </c:pt>
                <c:pt idx="13">
                  <c:v>1.0149999999999999</c:v>
                </c:pt>
                <c:pt idx="14">
                  <c:v>1.6040000000000001</c:v>
                </c:pt>
                <c:pt idx="15">
                  <c:v>1.8320000000000001</c:v>
                </c:pt>
                <c:pt idx="16">
                  <c:v>1.014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23F-4CFE-A560-759BAE327A4B}"/>
            </c:ext>
          </c:extLst>
        </c:ser>
        <c:ser>
          <c:idx val="62"/>
          <c:order val="62"/>
          <c:tx>
            <c:v>BES_TR1_six860_C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Charge_kW!$BM$2:$BM$49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0.13</c:v>
                </c:pt>
                <c:pt idx="10">
                  <c:v>0.28299999999999997</c:v>
                </c:pt>
                <c:pt idx="11">
                  <c:v>0.68499999999999994</c:v>
                </c:pt>
                <c:pt idx="12">
                  <c:v>0.82399999999999995</c:v>
                </c:pt>
                <c:pt idx="13">
                  <c:v>1.3009999999999999</c:v>
                </c:pt>
                <c:pt idx="14">
                  <c:v>1.609</c:v>
                </c:pt>
                <c:pt idx="15">
                  <c:v>1.827</c:v>
                </c:pt>
                <c:pt idx="16">
                  <c:v>1.31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23F-4CFE-A560-759BAE327A4B}"/>
            </c:ext>
          </c:extLst>
        </c:ser>
        <c:ser>
          <c:idx val="63"/>
          <c:order val="63"/>
          <c:tx>
            <c:v>BES_TR1_six869_C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Charge_kW!$BN$2:$BN$49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8.5000000000000006E-2</c:v>
                </c:pt>
                <c:pt idx="10">
                  <c:v>0.4</c:v>
                </c:pt>
                <c:pt idx="11">
                  <c:v>0.50700000000000001</c:v>
                </c:pt>
                <c:pt idx="12">
                  <c:v>0.98299999999999998</c:v>
                </c:pt>
                <c:pt idx="13">
                  <c:v>1.252</c:v>
                </c:pt>
                <c:pt idx="14">
                  <c:v>1.51</c:v>
                </c:pt>
                <c:pt idx="15">
                  <c:v>1.5880000000000001</c:v>
                </c:pt>
                <c:pt idx="16">
                  <c:v>1.645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23F-4CFE-A560-759BAE327A4B}"/>
            </c:ext>
          </c:extLst>
        </c:ser>
        <c:ser>
          <c:idx val="64"/>
          <c:order val="64"/>
          <c:tx>
            <c:v>BES_TR1_six885_A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Charge_kW!$BO$2:$BO$49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7.4999999999999997E-2</c:v>
                </c:pt>
                <c:pt idx="10">
                  <c:v>3.1E-2</c:v>
                </c:pt>
                <c:pt idx="11">
                  <c:v>0.33</c:v>
                </c:pt>
                <c:pt idx="12">
                  <c:v>0.44</c:v>
                </c:pt>
                <c:pt idx="13">
                  <c:v>0.52200000000000002</c:v>
                </c:pt>
                <c:pt idx="14">
                  <c:v>0.74299999999999999</c:v>
                </c:pt>
                <c:pt idx="15">
                  <c:v>0.92900000000000005</c:v>
                </c:pt>
                <c:pt idx="16">
                  <c:v>0.93199999999999994</c:v>
                </c:pt>
                <c:pt idx="17">
                  <c:v>1.2270000000000001</c:v>
                </c:pt>
                <c:pt idx="18">
                  <c:v>1.1359999999999999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23F-4CFE-A560-759BAE327A4B}"/>
            </c:ext>
          </c:extLst>
        </c:ser>
        <c:ser>
          <c:idx val="65"/>
          <c:order val="65"/>
          <c:tx>
            <c:v>BES_TR1_six909_C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Charge_kW!$BP$2:$BP$49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9.5000000000000001E-2</c:v>
                </c:pt>
                <c:pt idx="10">
                  <c:v>0.23799999999999999</c:v>
                </c:pt>
                <c:pt idx="11">
                  <c:v>0.41399999999999998</c:v>
                </c:pt>
                <c:pt idx="12">
                  <c:v>0.60499999999999998</c:v>
                </c:pt>
                <c:pt idx="13">
                  <c:v>0.79900000000000004</c:v>
                </c:pt>
                <c:pt idx="14">
                  <c:v>0.99099999999999988</c:v>
                </c:pt>
                <c:pt idx="15">
                  <c:v>1.032</c:v>
                </c:pt>
                <c:pt idx="16">
                  <c:v>1.2210000000000001</c:v>
                </c:pt>
                <c:pt idx="17">
                  <c:v>0.38100000000000001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0.51900000000000002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0.64800000000000002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23F-4CFE-A560-759BAE327A4B}"/>
            </c:ext>
          </c:extLst>
        </c:ser>
        <c:ser>
          <c:idx val="66"/>
          <c:order val="66"/>
          <c:tx>
            <c:v>BES_TR1_six105_A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Charge_kW!$BQ$2:$BQ$49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0.108</c:v>
                </c:pt>
                <c:pt idx="10">
                  <c:v>0.24399999999999999</c:v>
                </c:pt>
                <c:pt idx="11">
                  <c:v>0.26400000000000001</c:v>
                </c:pt>
                <c:pt idx="12">
                  <c:v>0.61799999999999999</c:v>
                </c:pt>
                <c:pt idx="13">
                  <c:v>0.64100000000000001</c:v>
                </c:pt>
                <c:pt idx="14">
                  <c:v>1.004</c:v>
                </c:pt>
                <c:pt idx="15">
                  <c:v>0.98499999999999999</c:v>
                </c:pt>
                <c:pt idx="16">
                  <c:v>1.161</c:v>
                </c:pt>
                <c:pt idx="17">
                  <c:v>1.1870000000000001</c:v>
                </c:pt>
                <c:pt idx="18">
                  <c:v>0.36299999999999999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23F-4CFE-A560-759BAE327A4B}"/>
            </c:ext>
          </c:extLst>
        </c:ser>
        <c:ser>
          <c:idx val="67"/>
          <c:order val="67"/>
          <c:tx>
            <c:v>BES_TR1_six914_A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Charge_kW!$BR$2:$BR$49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0.156</c:v>
                </c:pt>
                <c:pt idx="10">
                  <c:v>0.35599999999999998</c:v>
                </c:pt>
                <c:pt idx="11">
                  <c:v>0.60099999999999998</c:v>
                </c:pt>
                <c:pt idx="12">
                  <c:v>0.86499999999999999</c:v>
                </c:pt>
                <c:pt idx="13">
                  <c:v>0.90100000000000002</c:v>
                </c:pt>
                <c:pt idx="14">
                  <c:v>1.4</c:v>
                </c:pt>
                <c:pt idx="15">
                  <c:v>1.494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23F-4CFE-A560-759BAE327A4B}"/>
            </c:ext>
          </c:extLst>
        </c:ser>
        <c:ser>
          <c:idx val="68"/>
          <c:order val="68"/>
          <c:tx>
            <c:v>BES_TR1_six945_C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Charge_kW!$BS$2:$BS$49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0.11600000000000001</c:v>
                </c:pt>
                <c:pt idx="10">
                  <c:v>0.41099999999999998</c:v>
                </c:pt>
                <c:pt idx="11">
                  <c:v>0.53</c:v>
                </c:pt>
                <c:pt idx="12">
                  <c:v>0.998</c:v>
                </c:pt>
                <c:pt idx="13">
                  <c:v>1.3080000000000001</c:v>
                </c:pt>
                <c:pt idx="14">
                  <c:v>1.579</c:v>
                </c:pt>
                <c:pt idx="15">
                  <c:v>1.4650000000000001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23F-4CFE-A560-759BAE327A4B}"/>
            </c:ext>
          </c:extLst>
        </c:ser>
        <c:ser>
          <c:idx val="69"/>
          <c:order val="69"/>
          <c:tx>
            <c:v>BES_TR1_six952_A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Charge_kW!$BT$2:$BT$49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6.0999999999999999E-2</c:v>
                </c:pt>
                <c:pt idx="10">
                  <c:v>0.17599999999999999</c:v>
                </c:pt>
                <c:pt idx="11">
                  <c:v>0.216</c:v>
                </c:pt>
                <c:pt idx="12">
                  <c:v>0.46899999999999997</c:v>
                </c:pt>
                <c:pt idx="13">
                  <c:v>0.49199999999999999</c:v>
                </c:pt>
                <c:pt idx="14">
                  <c:v>0.72299999999999998</c:v>
                </c:pt>
                <c:pt idx="15">
                  <c:v>0</c:v>
                </c:pt>
                <c:pt idx="16">
                  <c:v>0.88700000000000001</c:v>
                </c:pt>
                <c:pt idx="17">
                  <c:v>1.165</c:v>
                </c:pt>
                <c:pt idx="18">
                  <c:v>1.0920000000000001</c:v>
                </c:pt>
                <c:pt idx="19">
                  <c:v>1.321</c:v>
                </c:pt>
                <c:pt idx="20">
                  <c:v>0.505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23F-4CFE-A560-759BAE327A4B}"/>
            </c:ext>
          </c:extLst>
        </c:ser>
        <c:ser>
          <c:idx val="70"/>
          <c:order val="70"/>
          <c:tx>
            <c:v>BES_TR1_six967_B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Charge_kW!$BU$2:$BU$49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3.0000000000000001E-3</c:v>
                </c:pt>
                <c:pt idx="10">
                  <c:v>0.06</c:v>
                </c:pt>
                <c:pt idx="11">
                  <c:v>0</c:v>
                </c:pt>
                <c:pt idx="12">
                  <c:v>0.185</c:v>
                </c:pt>
                <c:pt idx="13">
                  <c:v>0.28399999999999997</c:v>
                </c:pt>
                <c:pt idx="14">
                  <c:v>0.23200000000000001</c:v>
                </c:pt>
                <c:pt idx="15">
                  <c:v>0.41</c:v>
                </c:pt>
                <c:pt idx="16">
                  <c:v>0.5109999999999999</c:v>
                </c:pt>
                <c:pt idx="17">
                  <c:v>0.42</c:v>
                </c:pt>
                <c:pt idx="18">
                  <c:v>0.63700000000000001</c:v>
                </c:pt>
                <c:pt idx="19">
                  <c:v>0.55000000000000004</c:v>
                </c:pt>
                <c:pt idx="20">
                  <c:v>0.70799999999999996</c:v>
                </c:pt>
                <c:pt idx="21">
                  <c:v>0.76600000000000001</c:v>
                </c:pt>
                <c:pt idx="22">
                  <c:v>0.66100000000000003</c:v>
                </c:pt>
                <c:pt idx="23">
                  <c:v>0.61499999999999999</c:v>
                </c:pt>
                <c:pt idx="24">
                  <c:v>0.51700000000000002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23F-4CFE-A560-759BAE327A4B}"/>
            </c:ext>
          </c:extLst>
        </c:ser>
        <c:ser>
          <c:idx val="71"/>
          <c:order val="71"/>
          <c:tx>
            <c:v>BES_TR1_six990_B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Charge_kW!$BV$2:$BV$49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0.129</c:v>
                </c:pt>
                <c:pt idx="10">
                  <c:v>0.41</c:v>
                </c:pt>
                <c:pt idx="11">
                  <c:v>0.47399999999999998</c:v>
                </c:pt>
                <c:pt idx="12">
                  <c:v>0.91400000000000003</c:v>
                </c:pt>
                <c:pt idx="13">
                  <c:v>1.1839999999999999</c:v>
                </c:pt>
                <c:pt idx="14">
                  <c:v>1.397</c:v>
                </c:pt>
                <c:pt idx="15">
                  <c:v>1.802</c:v>
                </c:pt>
                <c:pt idx="16">
                  <c:v>0.73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0.247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23F-4CFE-A560-759BAE327A4B}"/>
            </c:ext>
          </c:extLst>
        </c:ser>
        <c:ser>
          <c:idx val="72"/>
          <c:order val="72"/>
          <c:tx>
            <c:v>BES_TR1_six1006_C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Charge_kW!$BW$2:$BW$49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3.5999999999999997E-2</c:v>
                </c:pt>
                <c:pt idx="10">
                  <c:v>0.34799999999999998</c:v>
                </c:pt>
                <c:pt idx="11">
                  <c:v>0.59299999999999997</c:v>
                </c:pt>
                <c:pt idx="12">
                  <c:v>0.749</c:v>
                </c:pt>
                <c:pt idx="13">
                  <c:v>1.1319999999999999</c:v>
                </c:pt>
                <c:pt idx="14">
                  <c:v>1.33</c:v>
                </c:pt>
                <c:pt idx="15">
                  <c:v>1.6319999999999999</c:v>
                </c:pt>
                <c:pt idx="16">
                  <c:v>0.374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0.8630000000000001</c:v>
                </c:pt>
                <c:pt idx="28">
                  <c:v>2.6259999999999999</c:v>
                </c:pt>
                <c:pt idx="29">
                  <c:v>4.0000000000000001E-3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23F-4CFE-A560-759BAE327A4B}"/>
            </c:ext>
          </c:extLst>
        </c:ser>
        <c:ser>
          <c:idx val="73"/>
          <c:order val="73"/>
          <c:tx>
            <c:v>BES_TR1_six1020_A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Charge_kW!$BX$2:$BX$49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0.13200000000000001</c:v>
                </c:pt>
                <c:pt idx="10">
                  <c:v>0.28000000000000003</c:v>
                </c:pt>
                <c:pt idx="11">
                  <c:v>0.69</c:v>
                </c:pt>
                <c:pt idx="12">
                  <c:v>0.83500000000000008</c:v>
                </c:pt>
                <c:pt idx="13">
                  <c:v>1.29</c:v>
                </c:pt>
                <c:pt idx="14">
                  <c:v>1.1120000000000001</c:v>
                </c:pt>
                <c:pt idx="15">
                  <c:v>1.5209999999999999</c:v>
                </c:pt>
                <c:pt idx="16">
                  <c:v>1.292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23F-4CFE-A560-759BAE327A4B}"/>
            </c:ext>
          </c:extLst>
        </c:ser>
        <c:ser>
          <c:idx val="74"/>
          <c:order val="74"/>
          <c:tx>
            <c:v>BES_TR1_six1025_B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Charge_kW!$BY$2:$BY$49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0.20399999999999999</c:v>
                </c:pt>
                <c:pt idx="11">
                  <c:v>0.25</c:v>
                </c:pt>
                <c:pt idx="12">
                  <c:v>0.65200000000000002</c:v>
                </c:pt>
                <c:pt idx="13">
                  <c:v>0.76800000000000002</c:v>
                </c:pt>
                <c:pt idx="14">
                  <c:v>0.97400000000000009</c:v>
                </c:pt>
                <c:pt idx="15">
                  <c:v>1.26</c:v>
                </c:pt>
                <c:pt idx="16">
                  <c:v>1.395</c:v>
                </c:pt>
                <c:pt idx="17">
                  <c:v>1.4239999999999999</c:v>
                </c:pt>
                <c:pt idx="18">
                  <c:v>6.3E-2</c:v>
                </c:pt>
                <c:pt idx="19">
                  <c:v>0</c:v>
                </c:pt>
                <c:pt idx="20">
                  <c:v>0</c:v>
                </c:pt>
                <c:pt idx="21">
                  <c:v>3.2000000000000001E-2</c:v>
                </c:pt>
                <c:pt idx="22">
                  <c:v>0</c:v>
                </c:pt>
                <c:pt idx="23">
                  <c:v>0.19800000000000001</c:v>
                </c:pt>
                <c:pt idx="24">
                  <c:v>0.499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23F-4CFE-A560-759BAE327A4B}"/>
            </c:ext>
          </c:extLst>
        </c:ser>
        <c:ser>
          <c:idx val="75"/>
          <c:order val="75"/>
          <c:tx>
            <c:v>BES_TR1_six1064_C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Charge_kW!$BZ$2:$BZ$49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1.4E-2</c:v>
                </c:pt>
                <c:pt idx="10">
                  <c:v>7.1000000000000008E-2</c:v>
                </c:pt>
                <c:pt idx="11">
                  <c:v>0.14099999999999999</c:v>
                </c:pt>
                <c:pt idx="12">
                  <c:v>0.218</c:v>
                </c:pt>
                <c:pt idx="13">
                  <c:v>0.29499999999999998</c:v>
                </c:pt>
                <c:pt idx="14">
                  <c:v>0.372</c:v>
                </c:pt>
                <c:pt idx="15">
                  <c:v>0.22600000000000001</c:v>
                </c:pt>
                <c:pt idx="16">
                  <c:v>0.36199999999999999</c:v>
                </c:pt>
                <c:pt idx="17">
                  <c:v>0.38100000000000001</c:v>
                </c:pt>
                <c:pt idx="18">
                  <c:v>0.33500000000000002</c:v>
                </c:pt>
                <c:pt idx="19">
                  <c:v>0.69800000000000006</c:v>
                </c:pt>
                <c:pt idx="20">
                  <c:v>0.74099999999999999</c:v>
                </c:pt>
                <c:pt idx="21">
                  <c:v>0.77700000000000002</c:v>
                </c:pt>
                <c:pt idx="22">
                  <c:v>0.80199999999999994</c:v>
                </c:pt>
                <c:pt idx="23">
                  <c:v>0.49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2.7E-2</c:v>
                </c:pt>
                <c:pt idx="28">
                  <c:v>0.57600000000000007</c:v>
                </c:pt>
                <c:pt idx="29">
                  <c:v>0.48499999999999999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23F-4CFE-A560-759BAE327A4B}"/>
            </c:ext>
          </c:extLst>
        </c:ser>
        <c:ser>
          <c:idx val="76"/>
          <c:order val="76"/>
          <c:tx>
            <c:v>BES_TR1_six128_B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Charge_kW!$CA$2:$CA$49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0.126</c:v>
                </c:pt>
                <c:pt idx="10">
                  <c:v>0.29799999999999999</c:v>
                </c:pt>
                <c:pt idx="11">
                  <c:v>0.50800000000000001</c:v>
                </c:pt>
                <c:pt idx="12">
                  <c:v>0.7380000000000001</c:v>
                </c:pt>
                <c:pt idx="13">
                  <c:v>0.97000000000000008</c:v>
                </c:pt>
                <c:pt idx="14">
                  <c:v>1.2010000000000001</c:v>
                </c:pt>
                <c:pt idx="15">
                  <c:v>1.4330000000000001</c:v>
                </c:pt>
                <c:pt idx="16">
                  <c:v>0.47299999999999998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23F-4CFE-A560-759BAE327A4B}"/>
            </c:ext>
          </c:extLst>
        </c:ser>
        <c:ser>
          <c:idx val="77"/>
          <c:order val="77"/>
          <c:tx>
            <c:v>fleet average</c:v>
          </c:tx>
          <c:spPr>
            <a:ln w="28575">
              <a:solidFill>
                <a:srgbClr val="19A974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5.1948051948051951E-5</c:v>
                </c:pt>
                <c:pt idx="9">
                  <c:v>7.4155844155844114E-2</c:v>
                </c:pt>
                <c:pt idx="10">
                  <c:v>0.22951948051948048</c:v>
                </c:pt>
                <c:pt idx="11">
                  <c:v>0.41070129870129873</c:v>
                </c:pt>
                <c:pt idx="12">
                  <c:v>0.6317922077922079</c:v>
                </c:pt>
                <c:pt idx="13">
                  <c:v>0.8201688311688311</c:v>
                </c:pt>
                <c:pt idx="14">
                  <c:v>1.0652987012987012</c:v>
                </c:pt>
                <c:pt idx="15">
                  <c:v>1.1604415584415586</c:v>
                </c:pt>
                <c:pt idx="16">
                  <c:v>0.81971428571428573</c:v>
                </c:pt>
                <c:pt idx="17">
                  <c:v>0.50855844155844154</c:v>
                </c:pt>
                <c:pt idx="18">
                  <c:v>0.34736363636363637</c:v>
                </c:pt>
                <c:pt idx="19">
                  <c:v>0.2324285714285714</c:v>
                </c:pt>
                <c:pt idx="20">
                  <c:v>0.16262337662337661</c:v>
                </c:pt>
                <c:pt idx="21">
                  <c:v>0.10880519480519481</c:v>
                </c:pt>
                <c:pt idx="22">
                  <c:v>0.12266233766233767</c:v>
                </c:pt>
                <c:pt idx="23">
                  <c:v>6.8194805194805197E-2</c:v>
                </c:pt>
                <c:pt idx="24">
                  <c:v>4.987012987012987E-2</c:v>
                </c:pt>
                <c:pt idx="25">
                  <c:v>2.294805194805195E-2</c:v>
                </c:pt>
                <c:pt idx="26">
                  <c:v>3.5896103896103898E-2</c:v>
                </c:pt>
                <c:pt idx="27">
                  <c:v>5.2584415584415588E-2</c:v>
                </c:pt>
                <c:pt idx="28">
                  <c:v>7.8623376623376623E-2</c:v>
                </c:pt>
                <c:pt idx="29">
                  <c:v>5.3415584415584423E-2</c:v>
                </c:pt>
                <c:pt idx="30">
                  <c:v>1.5103896103896102E-2</c:v>
                </c:pt>
                <c:pt idx="31">
                  <c:v>2.6493506493506492E-3</c:v>
                </c:pt>
                <c:pt idx="32">
                  <c:v>7.4805194805194816E-3</c:v>
                </c:pt>
                <c:pt idx="33">
                  <c:v>1.8051948051948055E-2</c:v>
                </c:pt>
                <c:pt idx="34">
                  <c:v>1.7012987012987014E-2</c:v>
                </c:pt>
                <c:pt idx="35">
                  <c:v>2.179220779220779E-2</c:v>
                </c:pt>
                <c:pt idx="36">
                  <c:v>8.2077922077922073E-3</c:v>
                </c:pt>
                <c:pt idx="37">
                  <c:v>1.0792207792207792E-2</c:v>
                </c:pt>
                <c:pt idx="38">
                  <c:v>7.9610389610389604E-3</c:v>
                </c:pt>
                <c:pt idx="39">
                  <c:v>2.7272727272727274E-4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23F-4CFE-A560-759BAE327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2.8"/>
          <c:min val="-0.1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Charging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Battery discharging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BES_TR1_one223_B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Discharge_kW!$C$2:$C$49</c:f>
              <c:numCache>
                <c:formatCode>#,##0.000</c:formatCode>
                <c:ptCount val="48"/>
                <c:pt idx="0">
                  <c:v>0.183</c:v>
                </c:pt>
                <c:pt idx="1">
                  <c:v>0.24</c:v>
                </c:pt>
                <c:pt idx="2">
                  <c:v>0.152</c:v>
                </c:pt>
                <c:pt idx="3">
                  <c:v>0.223</c:v>
                </c:pt>
                <c:pt idx="4">
                  <c:v>0.14099999999999999</c:v>
                </c:pt>
                <c:pt idx="5">
                  <c:v>0.14799999999999999</c:v>
                </c:pt>
                <c:pt idx="6">
                  <c:v>0.27900000000000003</c:v>
                </c:pt>
                <c:pt idx="7">
                  <c:v>4.2999999999999997E-2</c:v>
                </c:pt>
                <c:pt idx="8">
                  <c:v>9.5000000000000001E-2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0.35</c:v>
                </c:pt>
                <c:pt idx="40">
                  <c:v>0.98599999999999988</c:v>
                </c:pt>
                <c:pt idx="41">
                  <c:v>0.72699999999999998</c:v>
                </c:pt>
                <c:pt idx="42">
                  <c:v>0.96899999999999997</c:v>
                </c:pt>
                <c:pt idx="43">
                  <c:v>0.59599999999999997</c:v>
                </c:pt>
                <c:pt idx="44">
                  <c:v>1.7250000000000001</c:v>
                </c:pt>
                <c:pt idx="45">
                  <c:v>0.70799999999999996</c:v>
                </c:pt>
                <c:pt idx="46">
                  <c:v>0.52600000000000002</c:v>
                </c:pt>
                <c:pt idx="47">
                  <c:v>0.53200000000000003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C6-48D2-B267-6E73371D52BB}"/>
            </c:ext>
          </c:extLst>
        </c:ser>
        <c:ser>
          <c:idx val="1"/>
          <c:order val="1"/>
          <c:tx>
            <c:v>BES_TR1_one313_A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Discharge_kW!$D$2:$D$49</c:f>
              <c:numCache>
                <c:formatCode>#,##0.000</c:formatCode>
                <c:ptCount val="48"/>
                <c:pt idx="0">
                  <c:v>9.4E-2</c:v>
                </c:pt>
                <c:pt idx="1">
                  <c:v>0.04</c:v>
                </c:pt>
                <c:pt idx="2">
                  <c:v>0.04</c:v>
                </c:pt>
                <c:pt idx="3">
                  <c:v>9.4E-2</c:v>
                </c:pt>
                <c:pt idx="4">
                  <c:v>0.13500000000000001</c:v>
                </c:pt>
                <c:pt idx="5">
                  <c:v>0.04</c:v>
                </c:pt>
                <c:pt idx="6">
                  <c:v>0.19</c:v>
                </c:pt>
                <c:pt idx="7">
                  <c:v>3.6999999999999998E-2</c:v>
                </c:pt>
                <c:pt idx="8">
                  <c:v>7.2000000000000008E-2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0.17</c:v>
                </c:pt>
                <c:pt idx="41">
                  <c:v>0.04</c:v>
                </c:pt>
                <c:pt idx="42">
                  <c:v>0.04</c:v>
                </c:pt>
                <c:pt idx="43">
                  <c:v>0.06</c:v>
                </c:pt>
                <c:pt idx="44">
                  <c:v>0.16900000000000001</c:v>
                </c:pt>
                <c:pt idx="45">
                  <c:v>0.04</c:v>
                </c:pt>
                <c:pt idx="46">
                  <c:v>0.122</c:v>
                </c:pt>
                <c:pt idx="47">
                  <c:v>0.108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C6-48D2-B267-6E73371D52BB}"/>
            </c:ext>
          </c:extLst>
        </c:ser>
        <c:ser>
          <c:idx val="2"/>
          <c:order val="2"/>
          <c:tx>
            <c:v>BES_TR1_one320_B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Discharge_kW!$E$2:$E$49</c:f>
              <c:numCache>
                <c:formatCode>#,##0.000</c:formatCode>
                <c:ptCount val="48"/>
                <c:pt idx="0">
                  <c:v>0.05</c:v>
                </c:pt>
                <c:pt idx="1">
                  <c:v>0.13300000000000001</c:v>
                </c:pt>
                <c:pt idx="2">
                  <c:v>0.05</c:v>
                </c:pt>
                <c:pt idx="3">
                  <c:v>0.13300000000000001</c:v>
                </c:pt>
                <c:pt idx="4">
                  <c:v>0.05</c:v>
                </c:pt>
                <c:pt idx="5">
                  <c:v>6.4000000000000001E-2</c:v>
                </c:pt>
                <c:pt idx="6">
                  <c:v>0.11899999999999999</c:v>
                </c:pt>
                <c:pt idx="7">
                  <c:v>4.8000000000000001E-2</c:v>
                </c:pt>
                <c:pt idx="8">
                  <c:v>2.5000000000000001E-2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0.189</c:v>
                </c:pt>
                <c:pt idx="39">
                  <c:v>1.2729999999999999</c:v>
                </c:pt>
                <c:pt idx="40">
                  <c:v>0.46200000000000002</c:v>
                </c:pt>
                <c:pt idx="41">
                  <c:v>0.5</c:v>
                </c:pt>
                <c:pt idx="42">
                  <c:v>0.40699999999999997</c:v>
                </c:pt>
                <c:pt idx="43">
                  <c:v>0.45300000000000001</c:v>
                </c:pt>
                <c:pt idx="44">
                  <c:v>0.27300000000000002</c:v>
                </c:pt>
                <c:pt idx="45">
                  <c:v>0.503</c:v>
                </c:pt>
                <c:pt idx="46">
                  <c:v>0.45600000000000002</c:v>
                </c:pt>
                <c:pt idx="47">
                  <c:v>0.311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C6-48D2-B267-6E73371D52BB}"/>
            </c:ext>
          </c:extLst>
        </c:ser>
        <c:ser>
          <c:idx val="3"/>
          <c:order val="3"/>
          <c:tx>
            <c:v>BES_TR1_one321_C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Discharge_kW!$F$2:$F$49</c:f>
              <c:numCache>
                <c:formatCode>#,##0.000</c:formatCode>
                <c:ptCount val="48"/>
                <c:pt idx="0">
                  <c:v>5.7000000000000002E-2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0.17499999999999999</c:v>
                </c:pt>
                <c:pt idx="4">
                  <c:v>5.7000000000000002E-2</c:v>
                </c:pt>
                <c:pt idx="5">
                  <c:v>0.17499999999999999</c:v>
                </c:pt>
                <c:pt idx="6">
                  <c:v>5.7000000000000002E-2</c:v>
                </c:pt>
                <c:pt idx="7">
                  <c:v>0.16</c:v>
                </c:pt>
                <c:pt idx="8">
                  <c:v>1.9E-2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5.6000000000000001E-2</c:v>
                </c:pt>
                <c:pt idx="40">
                  <c:v>4.9000000000000002E-2</c:v>
                </c:pt>
                <c:pt idx="41">
                  <c:v>9.2999999999999999E-2</c:v>
                </c:pt>
                <c:pt idx="42">
                  <c:v>0.14000000000000001</c:v>
                </c:pt>
                <c:pt idx="43">
                  <c:v>9.2999999999999999E-2</c:v>
                </c:pt>
                <c:pt idx="44">
                  <c:v>0.14000000000000001</c:v>
                </c:pt>
                <c:pt idx="45">
                  <c:v>5.7000000000000002E-2</c:v>
                </c:pt>
                <c:pt idx="46">
                  <c:v>5.7000000000000002E-2</c:v>
                </c:pt>
                <c:pt idx="47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C6-48D2-B267-6E73371D52BB}"/>
            </c:ext>
          </c:extLst>
        </c:ser>
        <c:ser>
          <c:idx val="4"/>
          <c:order val="4"/>
          <c:tx>
            <c:v>BES_TR1_one346_C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Discharge_kW!$G$2:$G$49</c:f>
              <c:numCache>
                <c:formatCode>#,##0.000</c:formatCode>
                <c:ptCount val="48"/>
                <c:pt idx="0">
                  <c:v>5.5E-2</c:v>
                </c:pt>
                <c:pt idx="1">
                  <c:v>5.5E-2</c:v>
                </c:pt>
                <c:pt idx="2">
                  <c:v>0.214</c:v>
                </c:pt>
                <c:pt idx="3">
                  <c:v>5.5E-2</c:v>
                </c:pt>
                <c:pt idx="4">
                  <c:v>0.16400000000000001</c:v>
                </c:pt>
                <c:pt idx="5">
                  <c:v>0.106</c:v>
                </c:pt>
                <c:pt idx="6">
                  <c:v>7.6999999999999999E-2</c:v>
                </c:pt>
                <c:pt idx="7">
                  <c:v>0.19</c:v>
                </c:pt>
                <c:pt idx="8">
                  <c:v>1.7999999999999999E-2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8.3000000000000004E-2</c:v>
                </c:pt>
                <c:pt idx="40">
                  <c:v>0.04</c:v>
                </c:pt>
                <c:pt idx="41">
                  <c:v>6.2E-2</c:v>
                </c:pt>
                <c:pt idx="42">
                  <c:v>0.20699999999999999</c:v>
                </c:pt>
                <c:pt idx="43">
                  <c:v>5.5E-2</c:v>
                </c:pt>
                <c:pt idx="44">
                  <c:v>0.214</c:v>
                </c:pt>
                <c:pt idx="45">
                  <c:v>5.5E-2</c:v>
                </c:pt>
                <c:pt idx="46">
                  <c:v>8.3999999999999991E-2</c:v>
                </c:pt>
                <c:pt idx="47">
                  <c:v>0.185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C6-48D2-B267-6E73371D52BB}"/>
            </c:ext>
          </c:extLst>
        </c:ser>
        <c:ser>
          <c:idx val="5"/>
          <c:order val="5"/>
          <c:tx>
            <c:v>BES_TR1_one366_B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Discharge_kW!$H$2:$H$49</c:f>
              <c:numCache>
                <c:formatCode>#,##0.000</c:formatCode>
                <c:ptCount val="48"/>
                <c:pt idx="0">
                  <c:v>0.192</c:v>
                </c:pt>
                <c:pt idx="1">
                  <c:v>0.218</c:v>
                </c:pt>
                <c:pt idx="2">
                  <c:v>0.08</c:v>
                </c:pt>
                <c:pt idx="3">
                  <c:v>0.30599999999999999</c:v>
                </c:pt>
                <c:pt idx="4">
                  <c:v>0.151</c:v>
                </c:pt>
                <c:pt idx="5">
                  <c:v>0.14899999999999999</c:v>
                </c:pt>
                <c:pt idx="6">
                  <c:v>0.315</c:v>
                </c:pt>
                <c:pt idx="7">
                  <c:v>9.2999999999999999E-2</c:v>
                </c:pt>
                <c:pt idx="8">
                  <c:v>0.182</c:v>
                </c:pt>
                <c:pt idx="9">
                  <c:v>9.8999999999999991E-2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0.109</c:v>
                </c:pt>
                <c:pt idx="36">
                  <c:v>1.9079999999999999</c:v>
                </c:pt>
                <c:pt idx="37">
                  <c:v>0.17499999999999999</c:v>
                </c:pt>
                <c:pt idx="38">
                  <c:v>0.23499999999999999</c:v>
                </c:pt>
                <c:pt idx="39">
                  <c:v>0.66699999999999993</c:v>
                </c:pt>
                <c:pt idx="40">
                  <c:v>0.7649999999999999</c:v>
                </c:pt>
                <c:pt idx="41">
                  <c:v>1.2070000000000001</c:v>
                </c:pt>
                <c:pt idx="42">
                  <c:v>1.081</c:v>
                </c:pt>
                <c:pt idx="43">
                  <c:v>0.86099999999999999</c:v>
                </c:pt>
                <c:pt idx="44">
                  <c:v>0.16500000000000001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C6-48D2-B267-6E73371D52BB}"/>
            </c:ext>
          </c:extLst>
        </c:ser>
        <c:ser>
          <c:idx val="6"/>
          <c:order val="6"/>
          <c:tx>
            <c:v>BES_TR1_one375_C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Discharge_kW!$I$2:$I$49</c:f>
              <c:numCache>
                <c:formatCode>#,##0.000</c:formatCode>
                <c:ptCount val="48"/>
                <c:pt idx="0">
                  <c:v>0.22900000000000001</c:v>
                </c:pt>
                <c:pt idx="1">
                  <c:v>0.108</c:v>
                </c:pt>
                <c:pt idx="2">
                  <c:v>0.111</c:v>
                </c:pt>
                <c:pt idx="3">
                  <c:v>0.222</c:v>
                </c:pt>
                <c:pt idx="4">
                  <c:v>7.4999999999999997E-2</c:v>
                </c:pt>
                <c:pt idx="5">
                  <c:v>0.14699999999999999</c:v>
                </c:pt>
                <c:pt idx="6">
                  <c:v>0.19700000000000001</c:v>
                </c:pt>
                <c:pt idx="7">
                  <c:v>5.0999999999999997E-2</c:v>
                </c:pt>
                <c:pt idx="8">
                  <c:v>0.14699999999999999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0.13</c:v>
                </c:pt>
                <c:pt idx="18">
                  <c:v>0</c:v>
                </c:pt>
                <c:pt idx="19">
                  <c:v>0.308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0.16600000000000001</c:v>
                </c:pt>
                <c:pt idx="39">
                  <c:v>0.63500000000000001</c:v>
                </c:pt>
                <c:pt idx="40">
                  <c:v>1.054</c:v>
                </c:pt>
                <c:pt idx="41">
                  <c:v>0.56300000000000006</c:v>
                </c:pt>
                <c:pt idx="42">
                  <c:v>0.72000000000000008</c:v>
                </c:pt>
                <c:pt idx="43">
                  <c:v>0.50600000000000001</c:v>
                </c:pt>
                <c:pt idx="44">
                  <c:v>0.89899999999999991</c:v>
                </c:pt>
                <c:pt idx="45">
                  <c:v>0.67599999999999993</c:v>
                </c:pt>
                <c:pt idx="46">
                  <c:v>1.825</c:v>
                </c:pt>
                <c:pt idx="47">
                  <c:v>0.128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C6-48D2-B267-6E73371D52BB}"/>
            </c:ext>
          </c:extLst>
        </c:ser>
        <c:ser>
          <c:idx val="7"/>
          <c:order val="7"/>
          <c:tx>
            <c:v>BES_TR1_one410_B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Discharge_kW!$J$2:$J$49</c:f>
              <c:numCache>
                <c:formatCode>#,##0.000</c:formatCode>
                <c:ptCount val="48"/>
                <c:pt idx="0">
                  <c:v>0.25600000000000001</c:v>
                </c:pt>
                <c:pt idx="1">
                  <c:v>9.5000000000000001E-2</c:v>
                </c:pt>
                <c:pt idx="2">
                  <c:v>5.0999999999999997E-2</c:v>
                </c:pt>
                <c:pt idx="3">
                  <c:v>0.3</c:v>
                </c:pt>
                <c:pt idx="4">
                  <c:v>5.0999999999999997E-2</c:v>
                </c:pt>
                <c:pt idx="5">
                  <c:v>0.10199999999999999</c:v>
                </c:pt>
                <c:pt idx="6">
                  <c:v>0.249</c:v>
                </c:pt>
                <c:pt idx="7">
                  <c:v>9.4E-2</c:v>
                </c:pt>
                <c:pt idx="8">
                  <c:v>0.19900000000000001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5.3999999999999999E-2</c:v>
                </c:pt>
                <c:pt idx="39">
                  <c:v>0</c:v>
                </c:pt>
                <c:pt idx="40">
                  <c:v>0.27600000000000002</c:v>
                </c:pt>
                <c:pt idx="41">
                  <c:v>6.2E-2</c:v>
                </c:pt>
                <c:pt idx="42">
                  <c:v>0.17499999999999999</c:v>
                </c:pt>
                <c:pt idx="43">
                  <c:v>0.27700000000000002</c:v>
                </c:pt>
                <c:pt idx="44">
                  <c:v>8.2000000000000003E-2</c:v>
                </c:pt>
                <c:pt idx="45">
                  <c:v>0.26900000000000002</c:v>
                </c:pt>
                <c:pt idx="46">
                  <c:v>5.0999999999999997E-2</c:v>
                </c:pt>
                <c:pt idx="47">
                  <c:v>0.23100000000000001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2C6-48D2-B267-6E73371D52BB}"/>
            </c:ext>
          </c:extLst>
        </c:ser>
        <c:ser>
          <c:idx val="8"/>
          <c:order val="8"/>
          <c:tx>
            <c:v>BES_TR1_one50_A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Discharge_kW!$K$2:$K$49</c:f>
              <c:numCache>
                <c:formatCode>#,##0.000</c:formatCode>
                <c:ptCount val="48"/>
                <c:pt idx="0">
                  <c:v>0.55999999999999994</c:v>
                </c:pt>
                <c:pt idx="1">
                  <c:v>0.53399999999999992</c:v>
                </c:pt>
                <c:pt idx="2">
                  <c:v>5.5E-2</c:v>
                </c:pt>
                <c:pt idx="3">
                  <c:v>5.5E-2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5.2999999999999999E-2</c:v>
                </c:pt>
                <c:pt idx="8">
                  <c:v>0.03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0.51200000000000001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0.151</c:v>
                </c:pt>
                <c:pt idx="38">
                  <c:v>0</c:v>
                </c:pt>
                <c:pt idx="39">
                  <c:v>0.17100000000000001</c:v>
                </c:pt>
                <c:pt idx="40">
                  <c:v>0.40899999999999997</c:v>
                </c:pt>
                <c:pt idx="41">
                  <c:v>1.6850000000000001</c:v>
                </c:pt>
                <c:pt idx="42">
                  <c:v>0.60499999999999998</c:v>
                </c:pt>
                <c:pt idx="43">
                  <c:v>0.73899999999999999</c:v>
                </c:pt>
                <c:pt idx="44">
                  <c:v>0.77700000000000002</c:v>
                </c:pt>
                <c:pt idx="45">
                  <c:v>0.54500000000000004</c:v>
                </c:pt>
                <c:pt idx="46">
                  <c:v>0.219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2C6-48D2-B267-6E73371D52BB}"/>
            </c:ext>
          </c:extLst>
        </c:ser>
        <c:ser>
          <c:idx val="9"/>
          <c:order val="9"/>
          <c:tx>
            <c:v>BES_TR1_one423_B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Discharge_kW!$L$2:$L$49</c:f>
              <c:numCache>
                <c:formatCode>#,##0.000</c:formatCode>
                <c:ptCount val="48"/>
                <c:pt idx="0">
                  <c:v>0.378</c:v>
                </c:pt>
                <c:pt idx="1">
                  <c:v>0.38200000000000001</c:v>
                </c:pt>
                <c:pt idx="2">
                  <c:v>6.0999999999999999E-2</c:v>
                </c:pt>
                <c:pt idx="3">
                  <c:v>0.22500000000000001</c:v>
                </c:pt>
                <c:pt idx="4">
                  <c:v>6.0999999999999999E-2</c:v>
                </c:pt>
                <c:pt idx="5">
                  <c:v>6.0999999999999999E-2</c:v>
                </c:pt>
                <c:pt idx="6">
                  <c:v>0.21</c:v>
                </c:pt>
                <c:pt idx="7">
                  <c:v>7.3999999999999996E-2</c:v>
                </c:pt>
                <c:pt idx="8">
                  <c:v>3.5999999999999997E-2</c:v>
                </c:pt>
                <c:pt idx="9">
                  <c:v>0.109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5.6000000000000001E-2</c:v>
                </c:pt>
                <c:pt idx="37">
                  <c:v>5.8000000000000003E-2</c:v>
                </c:pt>
                <c:pt idx="38">
                  <c:v>0.46500000000000002</c:v>
                </c:pt>
                <c:pt idx="39">
                  <c:v>0.76700000000000002</c:v>
                </c:pt>
                <c:pt idx="40">
                  <c:v>1.423</c:v>
                </c:pt>
                <c:pt idx="41">
                  <c:v>0.98</c:v>
                </c:pt>
                <c:pt idx="42">
                  <c:v>0.69599999999999995</c:v>
                </c:pt>
                <c:pt idx="43">
                  <c:v>1.744</c:v>
                </c:pt>
                <c:pt idx="44">
                  <c:v>0.98299999999999998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2C6-48D2-B267-6E73371D52BB}"/>
            </c:ext>
          </c:extLst>
        </c:ser>
        <c:ser>
          <c:idx val="10"/>
          <c:order val="10"/>
          <c:tx>
            <c:v>BES_TR1_one469_A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Discharge_kW!$M$2:$M$49</c:f>
              <c:numCache>
                <c:formatCode>#,##0.000</c:formatCode>
                <c:ptCount val="48"/>
                <c:pt idx="0">
                  <c:v>0.48399999999999999</c:v>
                </c:pt>
                <c:pt idx="1">
                  <c:v>0.50600000000000001</c:v>
                </c:pt>
                <c:pt idx="2">
                  <c:v>0.38400000000000001</c:v>
                </c:pt>
                <c:pt idx="3">
                  <c:v>0.16700000000000001</c:v>
                </c:pt>
                <c:pt idx="4">
                  <c:v>4.5999999999999999E-2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4.2999999999999997E-2</c:v>
                </c:pt>
                <c:pt idx="8">
                  <c:v>9.0000000000000011E-3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0.23699999999999999</c:v>
                </c:pt>
                <c:pt idx="40">
                  <c:v>0.29499999999999998</c:v>
                </c:pt>
                <c:pt idx="41">
                  <c:v>0.47599999999999998</c:v>
                </c:pt>
                <c:pt idx="42">
                  <c:v>0.438</c:v>
                </c:pt>
                <c:pt idx="43">
                  <c:v>0.48799999999999999</c:v>
                </c:pt>
                <c:pt idx="44">
                  <c:v>0.40500000000000003</c:v>
                </c:pt>
                <c:pt idx="45">
                  <c:v>0.32300000000000001</c:v>
                </c:pt>
                <c:pt idx="46">
                  <c:v>0.59399999999999997</c:v>
                </c:pt>
                <c:pt idx="47">
                  <c:v>0.504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2C6-48D2-B267-6E73371D52BB}"/>
            </c:ext>
          </c:extLst>
        </c:ser>
        <c:ser>
          <c:idx val="11"/>
          <c:order val="11"/>
          <c:tx>
            <c:v>BES_TR1_one480_A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Discharge_kW!$N$2:$N$49</c:f>
              <c:numCache>
                <c:formatCode>#,##0.000</c:formatCode>
                <c:ptCount val="48"/>
                <c:pt idx="0">
                  <c:v>0.35299999999999998</c:v>
                </c:pt>
                <c:pt idx="1">
                  <c:v>0.503</c:v>
                </c:pt>
                <c:pt idx="2">
                  <c:v>0.71</c:v>
                </c:pt>
                <c:pt idx="3">
                  <c:v>0.36900000000000011</c:v>
                </c:pt>
                <c:pt idx="4">
                  <c:v>0.23499999999999999</c:v>
                </c:pt>
                <c:pt idx="5">
                  <c:v>0.13900000000000001</c:v>
                </c:pt>
                <c:pt idx="6">
                  <c:v>4.8000000000000001E-2</c:v>
                </c:pt>
                <c:pt idx="7">
                  <c:v>3.3000000000000002E-2</c:v>
                </c:pt>
                <c:pt idx="8">
                  <c:v>0</c:v>
                </c:pt>
                <c:pt idx="9">
                  <c:v>0</c:v>
                </c:pt>
                <c:pt idx="10">
                  <c:v>5.2999999999999999E-2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1.069</c:v>
                </c:pt>
                <c:pt idx="36">
                  <c:v>0</c:v>
                </c:pt>
                <c:pt idx="37">
                  <c:v>2.4319999999999999</c:v>
                </c:pt>
                <c:pt idx="38">
                  <c:v>0.44500000000000001</c:v>
                </c:pt>
                <c:pt idx="39">
                  <c:v>0.36699999999999999</c:v>
                </c:pt>
                <c:pt idx="40">
                  <c:v>0.47399999999999998</c:v>
                </c:pt>
                <c:pt idx="41">
                  <c:v>0.63100000000000001</c:v>
                </c:pt>
                <c:pt idx="42">
                  <c:v>0.7</c:v>
                </c:pt>
                <c:pt idx="43">
                  <c:v>0.30199999999999999</c:v>
                </c:pt>
                <c:pt idx="44">
                  <c:v>0.221</c:v>
                </c:pt>
                <c:pt idx="45">
                  <c:v>0.186</c:v>
                </c:pt>
                <c:pt idx="46">
                  <c:v>0.39400000000000002</c:v>
                </c:pt>
                <c:pt idx="4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2C6-48D2-B267-6E73371D52BB}"/>
            </c:ext>
          </c:extLst>
        </c:ser>
        <c:ser>
          <c:idx val="12"/>
          <c:order val="12"/>
          <c:tx>
            <c:v>BES_TR1_one482_B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Discharge_kW!$O$2:$O$49</c:f>
              <c:numCache>
                <c:formatCode>#,##0.000</c:formatCode>
                <c:ptCount val="48"/>
                <c:pt idx="0">
                  <c:v>0.183</c:v>
                </c:pt>
                <c:pt idx="1">
                  <c:v>5.0999999999999997E-2</c:v>
                </c:pt>
                <c:pt idx="2">
                  <c:v>6.7000000000000004E-2</c:v>
                </c:pt>
                <c:pt idx="3">
                  <c:v>0.20699999999999999</c:v>
                </c:pt>
                <c:pt idx="4">
                  <c:v>5.0999999999999997E-2</c:v>
                </c:pt>
                <c:pt idx="5">
                  <c:v>0.20699999999999999</c:v>
                </c:pt>
                <c:pt idx="6">
                  <c:v>6.7000000000000004E-2</c:v>
                </c:pt>
                <c:pt idx="7">
                  <c:v>4.8000000000000001E-2</c:v>
                </c:pt>
                <c:pt idx="8">
                  <c:v>0.17199999999999999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0.186</c:v>
                </c:pt>
                <c:pt idx="40">
                  <c:v>0.42799999999999999</c:v>
                </c:pt>
                <c:pt idx="41">
                  <c:v>0.629</c:v>
                </c:pt>
                <c:pt idx="42">
                  <c:v>0.56800000000000006</c:v>
                </c:pt>
                <c:pt idx="43">
                  <c:v>0.437</c:v>
                </c:pt>
                <c:pt idx="44">
                  <c:v>0.46700000000000003</c:v>
                </c:pt>
                <c:pt idx="45">
                  <c:v>0.76200000000000001</c:v>
                </c:pt>
                <c:pt idx="46">
                  <c:v>0.317</c:v>
                </c:pt>
                <c:pt idx="47">
                  <c:v>0.434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2C6-48D2-B267-6E73371D52BB}"/>
            </c:ext>
          </c:extLst>
        </c:ser>
        <c:ser>
          <c:idx val="13"/>
          <c:order val="13"/>
          <c:tx>
            <c:v>BES_TR1_one521_C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Discharge_kW!$P$2:$P$49</c:f>
              <c:numCache>
                <c:formatCode>#,##0.000</c:formatCode>
                <c:ptCount val="48"/>
                <c:pt idx="0">
                  <c:v>0.22900000000000001</c:v>
                </c:pt>
                <c:pt idx="1">
                  <c:v>8.3999999999999991E-2</c:v>
                </c:pt>
                <c:pt idx="2">
                  <c:v>0.31900000000000001</c:v>
                </c:pt>
                <c:pt idx="3">
                  <c:v>5.1999999999999998E-2</c:v>
                </c:pt>
                <c:pt idx="4">
                  <c:v>6.4000000000000001E-2</c:v>
                </c:pt>
                <c:pt idx="5">
                  <c:v>0.33100000000000002</c:v>
                </c:pt>
                <c:pt idx="6">
                  <c:v>0.06</c:v>
                </c:pt>
                <c:pt idx="7">
                  <c:v>0.17299999999999999</c:v>
                </c:pt>
                <c:pt idx="8">
                  <c:v>2.1000000000000001E-2</c:v>
                </c:pt>
                <c:pt idx="9">
                  <c:v>7.1000000000000008E-2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0.17799999999999999</c:v>
                </c:pt>
                <c:pt idx="39">
                  <c:v>4.1000000000000002E-2</c:v>
                </c:pt>
                <c:pt idx="40">
                  <c:v>0.28299999999999997</c:v>
                </c:pt>
                <c:pt idx="41">
                  <c:v>5.1999999999999998E-2</c:v>
                </c:pt>
                <c:pt idx="42">
                  <c:v>0.22800000000000001</c:v>
                </c:pt>
                <c:pt idx="43">
                  <c:v>5.1999999999999998E-2</c:v>
                </c:pt>
                <c:pt idx="44">
                  <c:v>0.17499999999999999</c:v>
                </c:pt>
                <c:pt idx="45">
                  <c:v>0.13200000000000001</c:v>
                </c:pt>
                <c:pt idx="46">
                  <c:v>0.27100000000000002</c:v>
                </c:pt>
                <c:pt idx="47">
                  <c:v>6.8000000000000005E-2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2C6-48D2-B267-6E73371D52BB}"/>
            </c:ext>
          </c:extLst>
        </c:ser>
        <c:ser>
          <c:idx val="14"/>
          <c:order val="14"/>
          <c:tx>
            <c:v>BES_TR1_one528_C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Discharge_kW!$Q$2:$Q$49</c:f>
              <c:numCache>
                <c:formatCode>#,##0.000</c:formatCode>
                <c:ptCount val="48"/>
                <c:pt idx="0">
                  <c:v>0.13</c:v>
                </c:pt>
                <c:pt idx="1">
                  <c:v>0.13</c:v>
                </c:pt>
                <c:pt idx="2">
                  <c:v>0.112</c:v>
                </c:pt>
                <c:pt idx="3">
                  <c:v>0.107</c:v>
                </c:pt>
                <c:pt idx="4">
                  <c:v>0.152</c:v>
                </c:pt>
                <c:pt idx="5">
                  <c:v>4.8000000000000001E-2</c:v>
                </c:pt>
                <c:pt idx="6">
                  <c:v>6.3E-2</c:v>
                </c:pt>
                <c:pt idx="7">
                  <c:v>0.19500000000000001</c:v>
                </c:pt>
                <c:pt idx="8">
                  <c:v>1.7000000000000001E-2</c:v>
                </c:pt>
                <c:pt idx="9">
                  <c:v>5.0999999999999997E-2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2.7E-2</c:v>
                </c:pt>
                <c:pt idx="37">
                  <c:v>0</c:v>
                </c:pt>
                <c:pt idx="38">
                  <c:v>0.63300000000000001</c:v>
                </c:pt>
                <c:pt idx="39">
                  <c:v>0.86099999999999999</c:v>
                </c:pt>
                <c:pt idx="40">
                  <c:v>1.5329999999999999</c:v>
                </c:pt>
                <c:pt idx="41">
                  <c:v>0.86399999999999999</c:v>
                </c:pt>
                <c:pt idx="42">
                  <c:v>0.49299999999999988</c:v>
                </c:pt>
                <c:pt idx="43">
                  <c:v>1.5620000000000001</c:v>
                </c:pt>
                <c:pt idx="44">
                  <c:v>0.38500000000000001</c:v>
                </c:pt>
                <c:pt idx="45">
                  <c:v>0.40100000000000002</c:v>
                </c:pt>
                <c:pt idx="46">
                  <c:v>0.441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2C6-48D2-B267-6E73371D52BB}"/>
            </c:ext>
          </c:extLst>
        </c:ser>
        <c:ser>
          <c:idx val="15"/>
          <c:order val="15"/>
          <c:tx>
            <c:v>BES_TR1_one537_A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Discharge_kW!$R$2:$R$49</c:f>
              <c:numCache>
                <c:formatCode>#,##0.000</c:formatCode>
                <c:ptCount val="48"/>
                <c:pt idx="0">
                  <c:v>4.5000000000000012E-2</c:v>
                </c:pt>
                <c:pt idx="1">
                  <c:v>4.5000000000000012E-2</c:v>
                </c:pt>
                <c:pt idx="2">
                  <c:v>0.06</c:v>
                </c:pt>
                <c:pt idx="3">
                  <c:v>0.19600000000000001</c:v>
                </c:pt>
                <c:pt idx="4">
                  <c:v>4.5000000000000012E-2</c:v>
                </c:pt>
                <c:pt idx="5">
                  <c:v>7.4999999999999997E-2</c:v>
                </c:pt>
                <c:pt idx="6">
                  <c:v>0.18099999999999999</c:v>
                </c:pt>
                <c:pt idx="7">
                  <c:v>4.2999999999999997E-2</c:v>
                </c:pt>
                <c:pt idx="8">
                  <c:v>0.18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1.08</c:v>
                </c:pt>
                <c:pt idx="35">
                  <c:v>6.7000000000000004E-2</c:v>
                </c:pt>
                <c:pt idx="36">
                  <c:v>0</c:v>
                </c:pt>
                <c:pt idx="37">
                  <c:v>0.33</c:v>
                </c:pt>
                <c:pt idx="38">
                  <c:v>0.251</c:v>
                </c:pt>
                <c:pt idx="39">
                  <c:v>0.28899999999999998</c:v>
                </c:pt>
                <c:pt idx="40">
                  <c:v>0.47299999999999998</c:v>
                </c:pt>
                <c:pt idx="41">
                  <c:v>1.657</c:v>
                </c:pt>
                <c:pt idx="42">
                  <c:v>1.1879999999999999</c:v>
                </c:pt>
                <c:pt idx="43">
                  <c:v>0.86699999999999999</c:v>
                </c:pt>
                <c:pt idx="44">
                  <c:v>0.9</c:v>
                </c:pt>
                <c:pt idx="45">
                  <c:v>8.3000000000000004E-2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2C6-48D2-B267-6E73371D52BB}"/>
            </c:ext>
          </c:extLst>
        </c:ser>
        <c:ser>
          <c:idx val="16"/>
          <c:order val="16"/>
          <c:tx>
            <c:v>BES_TR1_one61_A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Discharge_kW!$S$2:$S$49</c:f>
              <c:numCache>
                <c:formatCode>#,##0.000</c:formatCode>
                <c:ptCount val="48"/>
                <c:pt idx="0">
                  <c:v>7.9000000000000001E-2</c:v>
                </c:pt>
                <c:pt idx="1">
                  <c:v>0.28799999999999998</c:v>
                </c:pt>
                <c:pt idx="2">
                  <c:v>0.05</c:v>
                </c:pt>
                <c:pt idx="3">
                  <c:v>0.05</c:v>
                </c:pt>
                <c:pt idx="4">
                  <c:v>0.29499999999999998</c:v>
                </c:pt>
                <c:pt idx="5">
                  <c:v>7.2000000000000008E-2</c:v>
                </c:pt>
                <c:pt idx="6">
                  <c:v>0.127</c:v>
                </c:pt>
                <c:pt idx="7">
                  <c:v>0.222</c:v>
                </c:pt>
                <c:pt idx="8">
                  <c:v>1.4999999999999999E-2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0.309</c:v>
                </c:pt>
                <c:pt idx="40">
                  <c:v>1.865</c:v>
                </c:pt>
                <c:pt idx="41">
                  <c:v>0.60899999999999999</c:v>
                </c:pt>
                <c:pt idx="42">
                  <c:v>0.76300000000000001</c:v>
                </c:pt>
                <c:pt idx="43">
                  <c:v>0.92900000000000005</c:v>
                </c:pt>
                <c:pt idx="44">
                  <c:v>0.73099999999999998</c:v>
                </c:pt>
                <c:pt idx="45">
                  <c:v>0.55000000000000004</c:v>
                </c:pt>
                <c:pt idx="46">
                  <c:v>0.442</c:v>
                </c:pt>
                <c:pt idx="47">
                  <c:v>0.61599999999999999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2C6-48D2-B267-6E73371D52BB}"/>
            </c:ext>
          </c:extLst>
        </c:ser>
        <c:ser>
          <c:idx val="17"/>
          <c:order val="17"/>
          <c:tx>
            <c:v>BES_TR1_one544_A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Discharge_kW!$T$2:$T$49</c:f>
              <c:numCache>
                <c:formatCode>#,##0.000</c:formatCode>
                <c:ptCount val="48"/>
                <c:pt idx="0">
                  <c:v>0.378</c:v>
                </c:pt>
                <c:pt idx="1">
                  <c:v>0.216</c:v>
                </c:pt>
                <c:pt idx="2">
                  <c:v>5.3999999999999999E-2</c:v>
                </c:pt>
                <c:pt idx="3">
                  <c:v>5.3999999999999999E-2</c:v>
                </c:pt>
                <c:pt idx="4">
                  <c:v>5.3999999999999999E-2</c:v>
                </c:pt>
                <c:pt idx="5">
                  <c:v>0.12</c:v>
                </c:pt>
                <c:pt idx="6">
                  <c:v>0.26800000000000002</c:v>
                </c:pt>
                <c:pt idx="7">
                  <c:v>5.0999999999999997E-2</c:v>
                </c:pt>
                <c:pt idx="8">
                  <c:v>0.21099999999999999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0.53799999999999992</c:v>
                </c:pt>
                <c:pt idx="40">
                  <c:v>0.309</c:v>
                </c:pt>
                <c:pt idx="41">
                  <c:v>0.437</c:v>
                </c:pt>
                <c:pt idx="42">
                  <c:v>0.7380000000000001</c:v>
                </c:pt>
                <c:pt idx="43">
                  <c:v>0.72400000000000009</c:v>
                </c:pt>
                <c:pt idx="44">
                  <c:v>0.65399999999999991</c:v>
                </c:pt>
                <c:pt idx="45">
                  <c:v>0.82499999999999996</c:v>
                </c:pt>
                <c:pt idx="46">
                  <c:v>0.82600000000000007</c:v>
                </c:pt>
                <c:pt idx="47">
                  <c:v>0.64700000000000002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2C6-48D2-B267-6E73371D52BB}"/>
            </c:ext>
          </c:extLst>
        </c:ser>
        <c:ser>
          <c:idx val="18"/>
          <c:order val="18"/>
          <c:tx>
            <c:v>BES_TR1_one552_B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Discharge_kW!$U$2:$U$49</c:f>
              <c:numCache>
                <c:formatCode>#,##0.000</c:formatCode>
                <c:ptCount val="48"/>
                <c:pt idx="0">
                  <c:v>0.107</c:v>
                </c:pt>
                <c:pt idx="1">
                  <c:v>4.7E-2</c:v>
                </c:pt>
                <c:pt idx="2">
                  <c:v>0.16</c:v>
                </c:pt>
                <c:pt idx="3">
                  <c:v>0.1</c:v>
                </c:pt>
                <c:pt idx="4">
                  <c:v>5.0999999999999997E-2</c:v>
                </c:pt>
                <c:pt idx="5">
                  <c:v>0.19400000000000001</c:v>
                </c:pt>
                <c:pt idx="6">
                  <c:v>0.16</c:v>
                </c:pt>
                <c:pt idx="7">
                  <c:v>4.3999999999999997E-2</c:v>
                </c:pt>
                <c:pt idx="8">
                  <c:v>0.16900000000000001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0.11799999999999999</c:v>
                </c:pt>
                <c:pt idx="40">
                  <c:v>0.03</c:v>
                </c:pt>
                <c:pt idx="41">
                  <c:v>7.1000000000000008E-2</c:v>
                </c:pt>
                <c:pt idx="42">
                  <c:v>0.21299999999999999</c:v>
                </c:pt>
                <c:pt idx="43">
                  <c:v>0.47799999999999998</c:v>
                </c:pt>
                <c:pt idx="44">
                  <c:v>0.32600000000000001</c:v>
                </c:pt>
                <c:pt idx="45">
                  <c:v>0.26600000000000001</c:v>
                </c:pt>
                <c:pt idx="46">
                  <c:v>0.36199999999999999</c:v>
                </c:pt>
                <c:pt idx="47">
                  <c:v>0.55699999999999994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2C6-48D2-B267-6E73371D52BB}"/>
            </c:ext>
          </c:extLst>
        </c:ser>
        <c:ser>
          <c:idx val="19"/>
          <c:order val="19"/>
          <c:tx>
            <c:v>BES_TR1_one559_C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Discharge_kW!$V$2:$V$49</c:f>
              <c:numCache>
                <c:formatCode>#,##0.000</c:formatCode>
                <c:ptCount val="48"/>
                <c:pt idx="0">
                  <c:v>0.22</c:v>
                </c:pt>
                <c:pt idx="1">
                  <c:v>0.104</c:v>
                </c:pt>
                <c:pt idx="2">
                  <c:v>0.28899999999999998</c:v>
                </c:pt>
                <c:pt idx="3">
                  <c:v>7.3999999999999996E-2</c:v>
                </c:pt>
                <c:pt idx="4">
                  <c:v>0.13200000000000001</c:v>
                </c:pt>
                <c:pt idx="5">
                  <c:v>0.223</c:v>
                </c:pt>
                <c:pt idx="6">
                  <c:v>0.108</c:v>
                </c:pt>
                <c:pt idx="7">
                  <c:v>0.27900000000000003</c:v>
                </c:pt>
                <c:pt idx="8">
                  <c:v>0.14099999999999999</c:v>
                </c:pt>
                <c:pt idx="9">
                  <c:v>0</c:v>
                </c:pt>
                <c:pt idx="10">
                  <c:v>0.105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0.42199999999999999</c:v>
                </c:pt>
                <c:pt idx="34">
                  <c:v>8.0000000000000002E-3</c:v>
                </c:pt>
                <c:pt idx="35">
                  <c:v>0</c:v>
                </c:pt>
                <c:pt idx="36">
                  <c:v>5.7000000000000002E-2</c:v>
                </c:pt>
                <c:pt idx="37">
                  <c:v>0.47499999999999998</c:v>
                </c:pt>
                <c:pt idx="38">
                  <c:v>0</c:v>
                </c:pt>
                <c:pt idx="39">
                  <c:v>0.29799999999999999</c:v>
                </c:pt>
                <c:pt idx="40">
                  <c:v>0.33600000000000002</c:v>
                </c:pt>
                <c:pt idx="41">
                  <c:v>0.99299999999999999</c:v>
                </c:pt>
                <c:pt idx="42">
                  <c:v>0.28100000000000003</c:v>
                </c:pt>
                <c:pt idx="43">
                  <c:v>5.7000000000000002E-2</c:v>
                </c:pt>
                <c:pt idx="44">
                  <c:v>0.93400000000000005</c:v>
                </c:pt>
                <c:pt idx="45">
                  <c:v>0.13700000000000001</c:v>
                </c:pt>
                <c:pt idx="46">
                  <c:v>0.151</c:v>
                </c:pt>
                <c:pt idx="47">
                  <c:v>0.187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2C6-48D2-B267-6E73371D52BB}"/>
            </c:ext>
          </c:extLst>
        </c:ser>
        <c:ser>
          <c:idx val="20"/>
          <c:order val="20"/>
          <c:tx>
            <c:v>BES_TR1_one560_C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Discharge_kW!$W$2:$W$49</c:f>
              <c:numCache>
                <c:formatCode>#,##0.000</c:formatCode>
                <c:ptCount val="48"/>
                <c:pt idx="0">
                  <c:v>0.1</c:v>
                </c:pt>
                <c:pt idx="1">
                  <c:v>0.33100000000000002</c:v>
                </c:pt>
                <c:pt idx="2">
                  <c:v>5.8000000000000003E-2</c:v>
                </c:pt>
                <c:pt idx="3">
                  <c:v>0.22600000000000001</c:v>
                </c:pt>
                <c:pt idx="4">
                  <c:v>0.155</c:v>
                </c:pt>
                <c:pt idx="5">
                  <c:v>0.17399999999999999</c:v>
                </c:pt>
                <c:pt idx="6">
                  <c:v>0.20899999999999999</c:v>
                </c:pt>
                <c:pt idx="7">
                  <c:v>0.24399999999999999</c:v>
                </c:pt>
                <c:pt idx="8">
                  <c:v>0.13400000000000001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0.33800000000000002</c:v>
                </c:pt>
                <c:pt idx="40">
                  <c:v>0.59299999999999997</c:v>
                </c:pt>
                <c:pt idx="41">
                  <c:v>0.505</c:v>
                </c:pt>
                <c:pt idx="42">
                  <c:v>0.217</c:v>
                </c:pt>
                <c:pt idx="43">
                  <c:v>0.36099999999999999</c:v>
                </c:pt>
                <c:pt idx="44">
                  <c:v>5.8000000000000003E-2</c:v>
                </c:pt>
                <c:pt idx="45">
                  <c:v>0.30599999999999999</c:v>
                </c:pt>
                <c:pt idx="46">
                  <c:v>0.151</c:v>
                </c:pt>
                <c:pt idx="47">
                  <c:v>6.2E-2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2C6-48D2-B267-6E73371D52BB}"/>
            </c:ext>
          </c:extLst>
        </c:ser>
        <c:ser>
          <c:idx val="21"/>
          <c:order val="21"/>
          <c:tx>
            <c:v>BES_TR1_one605_A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Discharge_kW!$X$2:$X$49</c:f>
              <c:numCache>
                <c:formatCode>#,##0.000</c:formatCode>
                <c:ptCount val="48"/>
                <c:pt idx="0">
                  <c:v>5.0999999999999997E-2</c:v>
                </c:pt>
                <c:pt idx="1">
                  <c:v>0.16800000000000001</c:v>
                </c:pt>
                <c:pt idx="2">
                  <c:v>0.108</c:v>
                </c:pt>
                <c:pt idx="3">
                  <c:v>5.0999999999999997E-2</c:v>
                </c:pt>
                <c:pt idx="4">
                  <c:v>0.184</c:v>
                </c:pt>
                <c:pt idx="5">
                  <c:v>9.1999999999999998E-2</c:v>
                </c:pt>
                <c:pt idx="6">
                  <c:v>5.0999999999999997E-2</c:v>
                </c:pt>
                <c:pt idx="7">
                  <c:v>7.6999999999999999E-2</c:v>
                </c:pt>
                <c:pt idx="8">
                  <c:v>0.159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0.45300000000000001</c:v>
                </c:pt>
                <c:pt idx="35">
                  <c:v>5.8999999999999997E-2</c:v>
                </c:pt>
                <c:pt idx="36">
                  <c:v>1.0209999999999999</c:v>
                </c:pt>
                <c:pt idx="37">
                  <c:v>0</c:v>
                </c:pt>
                <c:pt idx="38">
                  <c:v>0</c:v>
                </c:pt>
                <c:pt idx="39">
                  <c:v>0.249</c:v>
                </c:pt>
                <c:pt idx="40">
                  <c:v>0.30399999999999999</c:v>
                </c:pt>
                <c:pt idx="41">
                  <c:v>0.108</c:v>
                </c:pt>
                <c:pt idx="42">
                  <c:v>0.11</c:v>
                </c:pt>
                <c:pt idx="43">
                  <c:v>0.16600000000000001</c:v>
                </c:pt>
                <c:pt idx="44">
                  <c:v>5.0999999999999997E-2</c:v>
                </c:pt>
                <c:pt idx="45">
                  <c:v>0.108</c:v>
                </c:pt>
                <c:pt idx="46">
                  <c:v>0.109</c:v>
                </c:pt>
                <c:pt idx="47">
                  <c:v>0.16700000000000001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2C6-48D2-B267-6E73371D52BB}"/>
            </c:ext>
          </c:extLst>
        </c:ser>
        <c:ser>
          <c:idx val="22"/>
          <c:order val="22"/>
          <c:tx>
            <c:v>BES_TR1_one617_A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Discharge_kW!$Y$2:$Y$49</c:f>
              <c:numCache>
                <c:formatCode>#,##0.000</c:formatCode>
                <c:ptCount val="4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4.7E-2</c:v>
                </c:pt>
                <c:pt idx="8">
                  <c:v>1.2999999999999999E-2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0.13100000000000001</c:v>
                </c:pt>
                <c:pt idx="41">
                  <c:v>0.48299999999999998</c:v>
                </c:pt>
                <c:pt idx="42">
                  <c:v>0.50600000000000001</c:v>
                </c:pt>
                <c:pt idx="43">
                  <c:v>0.61399999999999999</c:v>
                </c:pt>
                <c:pt idx="44">
                  <c:v>0.124</c:v>
                </c:pt>
                <c:pt idx="45">
                  <c:v>0.70200000000000007</c:v>
                </c:pt>
                <c:pt idx="46">
                  <c:v>0.41399999999999998</c:v>
                </c:pt>
                <c:pt idx="47">
                  <c:v>0.34100000000000003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2C6-48D2-B267-6E73371D52BB}"/>
            </c:ext>
          </c:extLst>
        </c:ser>
        <c:ser>
          <c:idx val="23"/>
          <c:order val="23"/>
          <c:tx>
            <c:v>BES_TR1_one73_A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Discharge_kW!$Z$2:$Z$49</c:f>
              <c:numCache>
                <c:formatCode>#,##0.000</c:formatCode>
                <c:ptCount val="48"/>
                <c:pt idx="0">
                  <c:v>2.391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0.04</c:v>
                </c:pt>
                <c:pt idx="41">
                  <c:v>5.5E-2</c:v>
                </c:pt>
                <c:pt idx="42">
                  <c:v>5.5E-2</c:v>
                </c:pt>
                <c:pt idx="43">
                  <c:v>0.30599999999999999</c:v>
                </c:pt>
                <c:pt idx="44">
                  <c:v>0.36399999999999999</c:v>
                </c:pt>
                <c:pt idx="45">
                  <c:v>0.25900000000000001</c:v>
                </c:pt>
                <c:pt idx="46">
                  <c:v>5.5E-2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2C6-48D2-B267-6E73371D52BB}"/>
            </c:ext>
          </c:extLst>
        </c:ser>
        <c:ser>
          <c:idx val="24"/>
          <c:order val="24"/>
          <c:tx>
            <c:v>BES_TR1_one76_A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Discharge_kW!$AA$2:$AA$49</c:f>
              <c:numCache>
                <c:formatCode>#,##0.000</c:formatCode>
                <c:ptCount val="48"/>
                <c:pt idx="0">
                  <c:v>9.5000000000000001E-2</c:v>
                </c:pt>
                <c:pt idx="1">
                  <c:v>0.104</c:v>
                </c:pt>
                <c:pt idx="2">
                  <c:v>5.8000000000000003E-2</c:v>
                </c:pt>
                <c:pt idx="3">
                  <c:v>0.13200000000000001</c:v>
                </c:pt>
                <c:pt idx="4">
                  <c:v>6.7000000000000004E-2</c:v>
                </c:pt>
                <c:pt idx="5">
                  <c:v>0.1</c:v>
                </c:pt>
                <c:pt idx="6">
                  <c:v>0.1</c:v>
                </c:pt>
                <c:pt idx="7">
                  <c:v>5.5E-2</c:v>
                </c:pt>
                <c:pt idx="8">
                  <c:v>9.8000000000000004E-2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0.20899999999999999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2.1000000000000001E-2</c:v>
                </c:pt>
                <c:pt idx="40">
                  <c:v>0.17199999999999999</c:v>
                </c:pt>
                <c:pt idx="41">
                  <c:v>1.7809999999999999</c:v>
                </c:pt>
                <c:pt idx="42">
                  <c:v>1.476</c:v>
                </c:pt>
                <c:pt idx="43">
                  <c:v>1.0189999999999999</c:v>
                </c:pt>
                <c:pt idx="44">
                  <c:v>0.51</c:v>
                </c:pt>
                <c:pt idx="45">
                  <c:v>0.31900000000000001</c:v>
                </c:pt>
                <c:pt idx="46">
                  <c:v>0.14199999999999999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2C6-48D2-B267-6E73371D52BB}"/>
            </c:ext>
          </c:extLst>
        </c:ser>
        <c:ser>
          <c:idx val="25"/>
          <c:order val="25"/>
          <c:tx>
            <c:v>BES_TR1_six64_A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Discharge_kW!$AB$2:$AB$49</c:f>
              <c:numCache>
                <c:formatCode>#,##0.000</c:formatCode>
                <c:ptCount val="48"/>
                <c:pt idx="0">
                  <c:v>0.52200000000000002</c:v>
                </c:pt>
                <c:pt idx="1">
                  <c:v>9.7000000000000003E-2</c:v>
                </c:pt>
                <c:pt idx="2">
                  <c:v>0.13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6.8000000000000005E-2</c:v>
                </c:pt>
                <c:pt idx="6">
                  <c:v>0.159</c:v>
                </c:pt>
                <c:pt idx="7">
                  <c:v>5.5E-2</c:v>
                </c:pt>
                <c:pt idx="8">
                  <c:v>0.13900000000000001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0.46100000000000002</c:v>
                </c:pt>
                <c:pt idx="40">
                  <c:v>0.81599999999999995</c:v>
                </c:pt>
                <c:pt idx="41">
                  <c:v>0.73499999999999999</c:v>
                </c:pt>
                <c:pt idx="42">
                  <c:v>0.54600000000000004</c:v>
                </c:pt>
                <c:pt idx="43">
                  <c:v>0.55300000000000005</c:v>
                </c:pt>
                <c:pt idx="44">
                  <c:v>0.96899999999999997</c:v>
                </c:pt>
                <c:pt idx="45">
                  <c:v>0.69</c:v>
                </c:pt>
                <c:pt idx="46">
                  <c:v>1.179</c:v>
                </c:pt>
                <c:pt idx="47">
                  <c:v>0.70399999999999996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2C6-48D2-B267-6E73371D52BB}"/>
            </c:ext>
          </c:extLst>
        </c:ser>
        <c:ser>
          <c:idx val="26"/>
          <c:order val="26"/>
          <c:tx>
            <c:v>BES_TR1_six154_C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Discharge_kW!$AC$2:$AC$49</c:f>
              <c:numCache>
                <c:formatCode>#,##0.000</c:formatCode>
                <c:ptCount val="48"/>
                <c:pt idx="0">
                  <c:v>0.13300000000000001</c:v>
                </c:pt>
                <c:pt idx="1">
                  <c:v>0.05</c:v>
                </c:pt>
                <c:pt idx="2">
                  <c:v>8.6000000000000007E-2</c:v>
                </c:pt>
                <c:pt idx="3">
                  <c:v>0.11700000000000001</c:v>
                </c:pt>
                <c:pt idx="4">
                  <c:v>0.05</c:v>
                </c:pt>
                <c:pt idx="5">
                  <c:v>0.154</c:v>
                </c:pt>
                <c:pt idx="6">
                  <c:v>0.05</c:v>
                </c:pt>
                <c:pt idx="7">
                  <c:v>4.7E-2</c:v>
                </c:pt>
                <c:pt idx="8">
                  <c:v>2.6551649999999999E-4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8.7999999999999995E-2</c:v>
                </c:pt>
                <c:pt idx="40">
                  <c:v>0.14699999999999999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0.14899999999999999</c:v>
                </c:pt>
                <c:pt idx="45">
                  <c:v>5.5E-2</c:v>
                </c:pt>
                <c:pt idx="46">
                  <c:v>6.6000000000000003E-2</c:v>
                </c:pt>
                <c:pt idx="47">
                  <c:v>0.13800000000000001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2C6-48D2-B267-6E73371D52BB}"/>
            </c:ext>
          </c:extLst>
        </c:ser>
        <c:ser>
          <c:idx val="27"/>
          <c:order val="27"/>
          <c:tx>
            <c:v>BES_TR1_six173_C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Discharge_kW!$AD$2:$AD$49</c:f>
              <c:numCache>
                <c:formatCode>#,##0.000</c:formatCode>
                <c:ptCount val="48"/>
                <c:pt idx="0">
                  <c:v>0.19700000000000001</c:v>
                </c:pt>
                <c:pt idx="1">
                  <c:v>5.5E-2</c:v>
                </c:pt>
                <c:pt idx="2">
                  <c:v>0.38800000000000001</c:v>
                </c:pt>
                <c:pt idx="3">
                  <c:v>6.9999999999999993E-2</c:v>
                </c:pt>
                <c:pt idx="4">
                  <c:v>0.107</c:v>
                </c:pt>
                <c:pt idx="5">
                  <c:v>0.23400000000000001</c:v>
                </c:pt>
                <c:pt idx="6">
                  <c:v>0.1</c:v>
                </c:pt>
                <c:pt idx="7">
                  <c:v>0.16300000000000001</c:v>
                </c:pt>
                <c:pt idx="8">
                  <c:v>0.13600000000000001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7.2000000000000008E-2</c:v>
                </c:pt>
                <c:pt idx="39">
                  <c:v>0.26300000000000001</c:v>
                </c:pt>
                <c:pt idx="40">
                  <c:v>0.65</c:v>
                </c:pt>
                <c:pt idx="41">
                  <c:v>1.325</c:v>
                </c:pt>
                <c:pt idx="42">
                  <c:v>3.07</c:v>
                </c:pt>
                <c:pt idx="43">
                  <c:v>1.792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2C6-48D2-B267-6E73371D52BB}"/>
            </c:ext>
          </c:extLst>
        </c:ser>
        <c:ser>
          <c:idx val="28"/>
          <c:order val="28"/>
          <c:tx>
            <c:v>BES_TR1_six186_A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Discharge_kW!$AE$2:$AE$49</c:f>
              <c:numCache>
                <c:formatCode>#,##0.000</c:formatCode>
                <c:ptCount val="48"/>
                <c:pt idx="0">
                  <c:v>0.65500000000000003</c:v>
                </c:pt>
                <c:pt idx="1">
                  <c:v>0.69300000000000006</c:v>
                </c:pt>
                <c:pt idx="2">
                  <c:v>0.47899999999999998</c:v>
                </c:pt>
                <c:pt idx="3">
                  <c:v>9.0999999999999998E-2</c:v>
                </c:pt>
                <c:pt idx="4">
                  <c:v>0.16</c:v>
                </c:pt>
                <c:pt idx="5">
                  <c:v>0.05</c:v>
                </c:pt>
                <c:pt idx="6">
                  <c:v>0.20799999999999999</c:v>
                </c:pt>
                <c:pt idx="7">
                  <c:v>5.3999999999999999E-2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1.538</c:v>
                </c:pt>
                <c:pt idx="31">
                  <c:v>1.397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1.1040000000000001</c:v>
                </c:pt>
                <c:pt idx="37">
                  <c:v>3.2309999999999999</c:v>
                </c:pt>
                <c:pt idx="38">
                  <c:v>1.76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2C6-48D2-B267-6E73371D52BB}"/>
            </c:ext>
          </c:extLst>
        </c:ser>
        <c:ser>
          <c:idx val="29"/>
          <c:order val="29"/>
          <c:tx>
            <c:v>BES_TR1_six191_B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Discharge_kW!$AF$2:$AF$49</c:f>
              <c:numCache>
                <c:formatCode>#,##0.000</c:formatCode>
                <c:ptCount val="48"/>
                <c:pt idx="0">
                  <c:v>0.245</c:v>
                </c:pt>
                <c:pt idx="1">
                  <c:v>0.38800000000000001</c:v>
                </c:pt>
                <c:pt idx="2">
                  <c:v>0.26900000000000002</c:v>
                </c:pt>
                <c:pt idx="3">
                  <c:v>5.3999999999999999E-2</c:v>
                </c:pt>
                <c:pt idx="4">
                  <c:v>5.3999999999999999E-2</c:v>
                </c:pt>
                <c:pt idx="5">
                  <c:v>5.3999999999999999E-2</c:v>
                </c:pt>
                <c:pt idx="6">
                  <c:v>5.3999999999999999E-2</c:v>
                </c:pt>
                <c:pt idx="7">
                  <c:v>5.0999999999999997E-2</c:v>
                </c:pt>
                <c:pt idx="8">
                  <c:v>4.0000000000000001E-3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0.20799999999999999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0.13700000000000001</c:v>
                </c:pt>
                <c:pt idx="40">
                  <c:v>0.221</c:v>
                </c:pt>
                <c:pt idx="41">
                  <c:v>0.29899999999999999</c:v>
                </c:pt>
                <c:pt idx="42">
                  <c:v>0.29899999999999999</c:v>
                </c:pt>
                <c:pt idx="43">
                  <c:v>0.59899999999999998</c:v>
                </c:pt>
                <c:pt idx="44">
                  <c:v>0.32</c:v>
                </c:pt>
                <c:pt idx="45">
                  <c:v>0.66500000000000004</c:v>
                </c:pt>
                <c:pt idx="46">
                  <c:v>5.3999999999999999E-2</c:v>
                </c:pt>
                <c:pt idx="47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2C6-48D2-B267-6E73371D52BB}"/>
            </c:ext>
          </c:extLst>
        </c:ser>
        <c:ser>
          <c:idx val="30"/>
          <c:order val="30"/>
          <c:tx>
            <c:v>BES_TR1_six249_B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Discharge_kW!$AG$2:$AG$49</c:f>
              <c:numCache>
                <c:formatCode>#,##0.000</c:formatCode>
                <c:ptCount val="48"/>
                <c:pt idx="0">
                  <c:v>5.8999999999999997E-2</c:v>
                </c:pt>
                <c:pt idx="1">
                  <c:v>0.17299999999999999</c:v>
                </c:pt>
                <c:pt idx="2">
                  <c:v>0.16600000000000001</c:v>
                </c:pt>
                <c:pt idx="3">
                  <c:v>0.17299999999999999</c:v>
                </c:pt>
                <c:pt idx="4">
                  <c:v>5.8999999999999997E-2</c:v>
                </c:pt>
                <c:pt idx="5">
                  <c:v>0.26800000000000002</c:v>
                </c:pt>
                <c:pt idx="6">
                  <c:v>6.9999999999999993E-2</c:v>
                </c:pt>
                <c:pt idx="7">
                  <c:v>7.8E-2</c:v>
                </c:pt>
                <c:pt idx="8">
                  <c:v>0.1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0.14099999999999999</c:v>
                </c:pt>
                <c:pt idx="40">
                  <c:v>0.55300000000000005</c:v>
                </c:pt>
                <c:pt idx="41">
                  <c:v>0.63600000000000001</c:v>
                </c:pt>
                <c:pt idx="42">
                  <c:v>0.49399999999999999</c:v>
                </c:pt>
                <c:pt idx="43">
                  <c:v>0.60499999999999998</c:v>
                </c:pt>
                <c:pt idx="44">
                  <c:v>0.85499999999999998</c:v>
                </c:pt>
                <c:pt idx="45">
                  <c:v>0.60499999999999998</c:v>
                </c:pt>
                <c:pt idx="46">
                  <c:v>0.151</c:v>
                </c:pt>
                <c:pt idx="47">
                  <c:v>0.16500000000000001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2C6-48D2-B267-6E73371D52BB}"/>
            </c:ext>
          </c:extLst>
        </c:ser>
        <c:ser>
          <c:idx val="31"/>
          <c:order val="31"/>
          <c:tx>
            <c:v>BES_TR1_six254_B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Discharge_kW!$AH$2:$AH$49</c:f>
              <c:numCache>
                <c:formatCode>#,##0.000</c:formatCode>
                <c:ptCount val="48"/>
                <c:pt idx="0">
                  <c:v>0.14699999999999999</c:v>
                </c:pt>
                <c:pt idx="1">
                  <c:v>0.19800000000000001</c:v>
                </c:pt>
                <c:pt idx="2">
                  <c:v>9.6000000000000002E-2</c:v>
                </c:pt>
                <c:pt idx="3">
                  <c:v>9.6000000000000002E-2</c:v>
                </c:pt>
                <c:pt idx="4">
                  <c:v>4.3999999999999997E-2</c:v>
                </c:pt>
                <c:pt idx="5">
                  <c:v>0.17499999999999999</c:v>
                </c:pt>
                <c:pt idx="6">
                  <c:v>0.17</c:v>
                </c:pt>
                <c:pt idx="7">
                  <c:v>0.05</c:v>
                </c:pt>
                <c:pt idx="8">
                  <c:v>0.24099999999999999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0.158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3.9E-2</c:v>
                </c:pt>
                <c:pt idx="39">
                  <c:v>0.372</c:v>
                </c:pt>
                <c:pt idx="40">
                  <c:v>0.56800000000000006</c:v>
                </c:pt>
                <c:pt idx="41">
                  <c:v>0.61699999999999999</c:v>
                </c:pt>
                <c:pt idx="42">
                  <c:v>0.24299999999999999</c:v>
                </c:pt>
                <c:pt idx="43">
                  <c:v>0.65300000000000002</c:v>
                </c:pt>
                <c:pt idx="44">
                  <c:v>0.45300000000000001</c:v>
                </c:pt>
                <c:pt idx="45">
                  <c:v>0.40899999999999997</c:v>
                </c:pt>
                <c:pt idx="46">
                  <c:v>0.312</c:v>
                </c:pt>
                <c:pt idx="47">
                  <c:v>0.11799999999999999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2C6-48D2-B267-6E73371D52BB}"/>
            </c:ext>
          </c:extLst>
        </c:ser>
        <c:ser>
          <c:idx val="32"/>
          <c:order val="32"/>
          <c:tx>
            <c:v>BES_TR1_six269_C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Discharge_kW!$AI$2:$AI$49</c:f>
              <c:numCache>
                <c:formatCode>#,##0.000</c:formatCode>
                <c:ptCount val="48"/>
                <c:pt idx="0">
                  <c:v>0.16800000000000001</c:v>
                </c:pt>
                <c:pt idx="1">
                  <c:v>0.11700000000000001</c:v>
                </c:pt>
                <c:pt idx="2">
                  <c:v>0.161</c:v>
                </c:pt>
                <c:pt idx="3">
                  <c:v>0.161</c:v>
                </c:pt>
                <c:pt idx="4">
                  <c:v>0.13500000000000001</c:v>
                </c:pt>
                <c:pt idx="5">
                  <c:v>0.16800000000000001</c:v>
                </c:pt>
                <c:pt idx="6">
                  <c:v>0.161</c:v>
                </c:pt>
                <c:pt idx="7">
                  <c:v>0.121</c:v>
                </c:pt>
                <c:pt idx="8">
                  <c:v>0.16700000000000001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</c:v>
                </c:pt>
                <c:pt idx="39">
                  <c:v>0.35199999999999998</c:v>
                </c:pt>
                <c:pt idx="40">
                  <c:v>0.41899999999999998</c:v>
                </c:pt>
                <c:pt idx="41">
                  <c:v>0.29899999999999999</c:v>
                </c:pt>
                <c:pt idx="42">
                  <c:v>0.307</c:v>
                </c:pt>
                <c:pt idx="43">
                  <c:v>0.317</c:v>
                </c:pt>
                <c:pt idx="44">
                  <c:v>0.29699999999999999</c:v>
                </c:pt>
                <c:pt idx="45">
                  <c:v>0.40799999999999997</c:v>
                </c:pt>
                <c:pt idx="46">
                  <c:v>0.14099999999999999</c:v>
                </c:pt>
                <c:pt idx="47">
                  <c:v>0.14199999999999999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2C6-48D2-B267-6E73371D52BB}"/>
            </c:ext>
          </c:extLst>
        </c:ser>
        <c:ser>
          <c:idx val="33"/>
          <c:order val="33"/>
          <c:tx>
            <c:v>BES_TR1_six68_C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Discharge_kW!$AJ$2:$AJ$49</c:f>
              <c:numCache>
                <c:formatCode>#,##0.000</c:formatCode>
                <c:ptCount val="48"/>
                <c:pt idx="0">
                  <c:v>6.9999999999999993E-2</c:v>
                </c:pt>
                <c:pt idx="1">
                  <c:v>0.372</c:v>
                </c:pt>
                <c:pt idx="2">
                  <c:v>0.161</c:v>
                </c:pt>
                <c:pt idx="3">
                  <c:v>0.05</c:v>
                </c:pt>
                <c:pt idx="4">
                  <c:v>0.20799999999999999</c:v>
                </c:pt>
                <c:pt idx="5">
                  <c:v>0.05</c:v>
                </c:pt>
                <c:pt idx="6">
                  <c:v>0.20799999999999999</c:v>
                </c:pt>
                <c:pt idx="7">
                  <c:v>4.9000000000000002E-2</c:v>
                </c:pt>
                <c:pt idx="8">
                  <c:v>0.14699999999999999</c:v>
                </c:pt>
                <c:pt idx="9">
                  <c:v>6.0000000000000001E-3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0.59899999999999998</c:v>
                </c:pt>
                <c:pt idx="18">
                  <c:v>1.0189999999999999</c:v>
                </c:pt>
                <c:pt idx="19">
                  <c:v>4.3999999999999997E-2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7.8E-2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0.158</c:v>
                </c:pt>
                <c:pt idx="37">
                  <c:v>2.8000000000000001E-2</c:v>
                </c:pt>
                <c:pt idx="38">
                  <c:v>1.474</c:v>
                </c:pt>
                <c:pt idx="39">
                  <c:v>0.93700000000000006</c:v>
                </c:pt>
                <c:pt idx="40">
                  <c:v>1.1830000000000001</c:v>
                </c:pt>
                <c:pt idx="41">
                  <c:v>0.21299999999999999</c:v>
                </c:pt>
                <c:pt idx="42">
                  <c:v>0.315</c:v>
                </c:pt>
                <c:pt idx="43">
                  <c:v>0.42299999999999999</c:v>
                </c:pt>
                <c:pt idx="44">
                  <c:v>0.27</c:v>
                </c:pt>
                <c:pt idx="45">
                  <c:v>0.25</c:v>
                </c:pt>
                <c:pt idx="46">
                  <c:v>0.17899999999999999</c:v>
                </c:pt>
                <c:pt idx="47">
                  <c:v>0.10199999999999999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E2C6-48D2-B267-6E73371D52BB}"/>
            </c:ext>
          </c:extLst>
        </c:ser>
        <c:ser>
          <c:idx val="34"/>
          <c:order val="34"/>
          <c:tx>
            <c:v>BES_TR1_six289_C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Discharge_kW!$AK$2:$AK$49</c:f>
              <c:numCache>
                <c:formatCode>#,##0.000</c:formatCode>
                <c:ptCount val="48"/>
                <c:pt idx="0">
                  <c:v>7.2999999999999995E-2</c:v>
                </c:pt>
                <c:pt idx="1">
                  <c:v>0.29799999999999999</c:v>
                </c:pt>
                <c:pt idx="2">
                  <c:v>0.15</c:v>
                </c:pt>
                <c:pt idx="3">
                  <c:v>0.16600000000000001</c:v>
                </c:pt>
                <c:pt idx="4">
                  <c:v>0.25600000000000001</c:v>
                </c:pt>
                <c:pt idx="5">
                  <c:v>0.1</c:v>
                </c:pt>
                <c:pt idx="6">
                  <c:v>0.31900000000000001</c:v>
                </c:pt>
                <c:pt idx="7">
                  <c:v>0.14299999999999999</c:v>
                </c:pt>
                <c:pt idx="8">
                  <c:v>0.14099999999999999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0.121</c:v>
                </c:pt>
                <c:pt idx="39">
                  <c:v>0.57099999999999995</c:v>
                </c:pt>
                <c:pt idx="40">
                  <c:v>0.91100000000000003</c:v>
                </c:pt>
                <c:pt idx="41">
                  <c:v>1.546</c:v>
                </c:pt>
                <c:pt idx="42">
                  <c:v>1.0169999999999999</c:v>
                </c:pt>
                <c:pt idx="43">
                  <c:v>0.95600000000000007</c:v>
                </c:pt>
                <c:pt idx="44">
                  <c:v>1.359</c:v>
                </c:pt>
                <c:pt idx="45">
                  <c:v>0.57300000000000006</c:v>
                </c:pt>
                <c:pt idx="46">
                  <c:v>0.11899999999999999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2C6-48D2-B267-6E73371D52BB}"/>
            </c:ext>
          </c:extLst>
        </c:ser>
        <c:ser>
          <c:idx val="35"/>
          <c:order val="35"/>
          <c:tx>
            <c:v>BES_TR1_six317_C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Discharge_kW!$AL$2:$AL$49</c:f>
              <c:numCache>
                <c:formatCode>#,##0.000</c:formatCode>
                <c:ptCount val="48"/>
                <c:pt idx="0">
                  <c:v>0.26900000000000002</c:v>
                </c:pt>
                <c:pt idx="1">
                  <c:v>0.22500000000000001</c:v>
                </c:pt>
                <c:pt idx="2">
                  <c:v>0.18099999999999999</c:v>
                </c:pt>
                <c:pt idx="3">
                  <c:v>0.13100000000000001</c:v>
                </c:pt>
                <c:pt idx="4">
                  <c:v>0.184</c:v>
                </c:pt>
                <c:pt idx="5">
                  <c:v>0.25700000000000001</c:v>
                </c:pt>
                <c:pt idx="6">
                  <c:v>0.223</c:v>
                </c:pt>
                <c:pt idx="7">
                  <c:v>0.152</c:v>
                </c:pt>
                <c:pt idx="8">
                  <c:v>9.4E-2</c:v>
                </c:pt>
                <c:pt idx="9">
                  <c:v>7.8E-2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0.67800000000000005</c:v>
                </c:pt>
                <c:pt idx="35">
                  <c:v>0.77399999999999991</c:v>
                </c:pt>
                <c:pt idx="36">
                  <c:v>0</c:v>
                </c:pt>
                <c:pt idx="37">
                  <c:v>0</c:v>
                </c:pt>
                <c:pt idx="38">
                  <c:v>0.126</c:v>
                </c:pt>
                <c:pt idx="39">
                  <c:v>0</c:v>
                </c:pt>
                <c:pt idx="40">
                  <c:v>0.20399999999999999</c:v>
                </c:pt>
                <c:pt idx="41">
                  <c:v>0.41599999999999998</c:v>
                </c:pt>
                <c:pt idx="42">
                  <c:v>0.219</c:v>
                </c:pt>
                <c:pt idx="43">
                  <c:v>0.40600000000000003</c:v>
                </c:pt>
                <c:pt idx="44">
                  <c:v>5.2999999999999999E-2</c:v>
                </c:pt>
                <c:pt idx="45">
                  <c:v>0.308</c:v>
                </c:pt>
                <c:pt idx="46">
                  <c:v>0.17299999999999999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E2C6-48D2-B267-6E73371D52BB}"/>
            </c:ext>
          </c:extLst>
        </c:ser>
        <c:ser>
          <c:idx val="36"/>
          <c:order val="36"/>
          <c:tx>
            <c:v>BES_TR1_six326_A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Discharge_kW!$AM$2:$AM$49</c:f>
              <c:numCache>
                <c:formatCode>#,##0.000</c:formatCode>
                <c:ptCount val="48"/>
                <c:pt idx="0">
                  <c:v>0.112</c:v>
                </c:pt>
                <c:pt idx="1">
                  <c:v>8.2000000000000003E-2</c:v>
                </c:pt>
                <c:pt idx="2">
                  <c:v>4.8000000000000001E-2</c:v>
                </c:pt>
                <c:pt idx="3">
                  <c:v>0.11899999999999999</c:v>
                </c:pt>
                <c:pt idx="4">
                  <c:v>4.8000000000000001E-2</c:v>
                </c:pt>
                <c:pt idx="5">
                  <c:v>0.11899999999999999</c:v>
                </c:pt>
                <c:pt idx="6">
                  <c:v>0.14599999999999999</c:v>
                </c:pt>
                <c:pt idx="7">
                  <c:v>0.05</c:v>
                </c:pt>
                <c:pt idx="8">
                  <c:v>0.182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0.46800000000000003</c:v>
                </c:pt>
                <c:pt idx="40">
                  <c:v>0.66600000000000004</c:v>
                </c:pt>
                <c:pt idx="41">
                  <c:v>1.0409999999999999</c:v>
                </c:pt>
                <c:pt idx="42">
                  <c:v>1.153</c:v>
                </c:pt>
                <c:pt idx="43">
                  <c:v>1.1739999999999999</c:v>
                </c:pt>
                <c:pt idx="44">
                  <c:v>1.0429999999999999</c:v>
                </c:pt>
                <c:pt idx="45">
                  <c:v>1.2749999999999999</c:v>
                </c:pt>
                <c:pt idx="46">
                  <c:v>0.35299999999999998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2C6-48D2-B267-6E73371D52BB}"/>
            </c:ext>
          </c:extLst>
        </c:ser>
        <c:ser>
          <c:idx val="37"/>
          <c:order val="37"/>
          <c:tx>
            <c:v>BES_TR1_six329_A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Discharge_kW!$AN$2:$AN$49</c:f>
              <c:numCache>
                <c:formatCode>#,##0.000</c:formatCode>
                <c:ptCount val="48"/>
                <c:pt idx="0">
                  <c:v>5.8999999999999997E-2</c:v>
                </c:pt>
                <c:pt idx="1">
                  <c:v>0.29299999999999998</c:v>
                </c:pt>
                <c:pt idx="2">
                  <c:v>5.8999999999999997E-2</c:v>
                </c:pt>
                <c:pt idx="3">
                  <c:v>0.20799999999999999</c:v>
                </c:pt>
                <c:pt idx="4">
                  <c:v>0.14399999999999999</c:v>
                </c:pt>
                <c:pt idx="5">
                  <c:v>5.8999999999999997E-2</c:v>
                </c:pt>
                <c:pt idx="6">
                  <c:v>0.185</c:v>
                </c:pt>
                <c:pt idx="7">
                  <c:v>5.7000000000000002E-2</c:v>
                </c:pt>
                <c:pt idx="8">
                  <c:v>0.14199999999999999</c:v>
                </c:pt>
                <c:pt idx="9">
                  <c:v>3.4000000000000002E-2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0.315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4.5999999999999999E-2</c:v>
                </c:pt>
                <c:pt idx="40">
                  <c:v>0.10100000000000001</c:v>
                </c:pt>
                <c:pt idx="41">
                  <c:v>0.17899999999999999</c:v>
                </c:pt>
                <c:pt idx="42">
                  <c:v>0.17299999999999999</c:v>
                </c:pt>
                <c:pt idx="43">
                  <c:v>0.154</c:v>
                </c:pt>
                <c:pt idx="44">
                  <c:v>0.17499999999999999</c:v>
                </c:pt>
                <c:pt idx="45">
                  <c:v>8.2000000000000003E-2</c:v>
                </c:pt>
                <c:pt idx="46">
                  <c:v>5.8999999999999997E-2</c:v>
                </c:pt>
                <c:pt idx="47">
                  <c:v>5.8999999999999997E-2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E2C6-48D2-B267-6E73371D52BB}"/>
            </c:ext>
          </c:extLst>
        </c:ser>
        <c:ser>
          <c:idx val="38"/>
          <c:order val="38"/>
          <c:tx>
            <c:v>BES_TR1_six342_A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Discharge_kW!$AO$2:$AO$49</c:f>
              <c:numCache>
                <c:formatCode>#,##0.000</c:formatCode>
                <c:ptCount val="48"/>
                <c:pt idx="0">
                  <c:v>0.39100000000000001</c:v>
                </c:pt>
                <c:pt idx="1">
                  <c:v>4.7E-2</c:v>
                </c:pt>
                <c:pt idx="2">
                  <c:v>4.7E-2</c:v>
                </c:pt>
                <c:pt idx="3">
                  <c:v>4.7E-2</c:v>
                </c:pt>
                <c:pt idx="4">
                  <c:v>0.128</c:v>
                </c:pt>
                <c:pt idx="5">
                  <c:v>4.7E-2</c:v>
                </c:pt>
                <c:pt idx="6">
                  <c:v>4.7E-2</c:v>
                </c:pt>
                <c:pt idx="7">
                  <c:v>4.3999999999999997E-2</c:v>
                </c:pt>
                <c:pt idx="8">
                  <c:v>0.01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9.5000000000000001E-2</c:v>
                </c:pt>
                <c:pt idx="41">
                  <c:v>0.22600000000000001</c:v>
                </c:pt>
                <c:pt idx="42">
                  <c:v>0.29199999999999998</c:v>
                </c:pt>
                <c:pt idx="43">
                  <c:v>0.52899999999999991</c:v>
                </c:pt>
                <c:pt idx="44">
                  <c:v>0.34799999999999998</c:v>
                </c:pt>
                <c:pt idx="45">
                  <c:v>0.32200000000000001</c:v>
                </c:pt>
                <c:pt idx="46">
                  <c:v>0.61399999999999999</c:v>
                </c:pt>
                <c:pt idx="47">
                  <c:v>0.442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2C6-48D2-B267-6E73371D52BB}"/>
            </c:ext>
          </c:extLst>
        </c:ser>
        <c:ser>
          <c:idx val="39"/>
          <c:order val="39"/>
          <c:tx>
            <c:v>BES_TR1_six349_A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Discharge_kW!$AP$2:$AP$49</c:f>
              <c:numCache>
                <c:formatCode>#,##0.000</c:formatCode>
                <c:ptCount val="48"/>
                <c:pt idx="0">
                  <c:v>0.52600000000000002</c:v>
                </c:pt>
                <c:pt idx="1">
                  <c:v>0.44700000000000001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0.05</c:v>
                </c:pt>
                <c:pt idx="8">
                  <c:v>2.1000000000000001E-2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0.78700000000000003</c:v>
                </c:pt>
                <c:pt idx="28">
                  <c:v>1.1140000000000001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9.4E-2</c:v>
                </c:pt>
                <c:pt idx="40">
                  <c:v>0.442</c:v>
                </c:pt>
                <c:pt idx="41">
                  <c:v>0.437</c:v>
                </c:pt>
                <c:pt idx="42">
                  <c:v>0.99900000000000011</c:v>
                </c:pt>
                <c:pt idx="43">
                  <c:v>2.823</c:v>
                </c:pt>
                <c:pt idx="44">
                  <c:v>2.3759999999999999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E2C6-48D2-B267-6E73371D52BB}"/>
            </c:ext>
          </c:extLst>
        </c:ser>
        <c:ser>
          <c:idx val="40"/>
          <c:order val="40"/>
          <c:tx>
            <c:v>BES_TR1_six350_B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Discharge_kW!$AQ$2:$AQ$49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0.13100000000000001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0.13100000000000001</c:v>
                </c:pt>
                <c:pt idx="5">
                  <c:v>5.2999999999999999E-2</c:v>
                </c:pt>
                <c:pt idx="6">
                  <c:v>0.105</c:v>
                </c:pt>
                <c:pt idx="7">
                  <c:v>7.5999999999999998E-2</c:v>
                </c:pt>
                <c:pt idx="8">
                  <c:v>3.0000000000000001E-3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0.55699999999999994</c:v>
                </c:pt>
                <c:pt idx="40">
                  <c:v>0.54199999999999993</c:v>
                </c:pt>
                <c:pt idx="41">
                  <c:v>0.39100000000000001</c:v>
                </c:pt>
                <c:pt idx="42">
                  <c:v>0.51500000000000001</c:v>
                </c:pt>
                <c:pt idx="43">
                  <c:v>0.502</c:v>
                </c:pt>
                <c:pt idx="44">
                  <c:v>0.44900000000000001</c:v>
                </c:pt>
                <c:pt idx="45">
                  <c:v>0.23</c:v>
                </c:pt>
                <c:pt idx="46">
                  <c:v>5.2999999999999999E-2</c:v>
                </c:pt>
                <c:pt idx="47">
                  <c:v>0.13100000000000001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2C6-48D2-B267-6E73371D52BB}"/>
            </c:ext>
          </c:extLst>
        </c:ser>
        <c:ser>
          <c:idx val="41"/>
          <c:order val="41"/>
          <c:tx>
            <c:v>BES_TR1_six378_A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Discharge_kW!$AR$2:$AR$49</c:f>
              <c:numCache>
                <c:formatCode>#,##0.000</c:formatCode>
                <c:ptCount val="48"/>
                <c:pt idx="0">
                  <c:v>0.14199999999999999</c:v>
                </c:pt>
                <c:pt idx="1">
                  <c:v>4.5999999999999999E-2</c:v>
                </c:pt>
                <c:pt idx="2">
                  <c:v>4.5999999999999999E-2</c:v>
                </c:pt>
                <c:pt idx="3">
                  <c:v>4.5999999999999999E-2</c:v>
                </c:pt>
                <c:pt idx="4">
                  <c:v>4.5999999999999999E-2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4.2999999999999997E-2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0.53500000000000003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0.03</c:v>
                </c:pt>
                <c:pt idx="39">
                  <c:v>0.47399999999999998</c:v>
                </c:pt>
                <c:pt idx="40">
                  <c:v>0.46300000000000002</c:v>
                </c:pt>
                <c:pt idx="41">
                  <c:v>0.57899999999999996</c:v>
                </c:pt>
                <c:pt idx="42">
                  <c:v>0.72799999999999998</c:v>
                </c:pt>
                <c:pt idx="43">
                  <c:v>0.90799999999999992</c:v>
                </c:pt>
                <c:pt idx="44">
                  <c:v>0.55599999999999994</c:v>
                </c:pt>
                <c:pt idx="45">
                  <c:v>0.40799999999999997</c:v>
                </c:pt>
                <c:pt idx="46">
                  <c:v>0.20100000000000001</c:v>
                </c:pt>
                <c:pt idx="47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E2C6-48D2-B267-6E73371D52BB}"/>
            </c:ext>
          </c:extLst>
        </c:ser>
        <c:ser>
          <c:idx val="42"/>
          <c:order val="42"/>
          <c:tx>
            <c:v>BES_TR1_six75_A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Discharge_kW!$AS$2:$AS$49</c:f>
              <c:numCache>
                <c:formatCode>#,##0.000</c:formatCode>
                <c:ptCount val="48"/>
                <c:pt idx="0">
                  <c:v>4.2000000000000003E-2</c:v>
                </c:pt>
                <c:pt idx="1">
                  <c:v>0.127</c:v>
                </c:pt>
                <c:pt idx="2">
                  <c:v>0.13900000000000001</c:v>
                </c:pt>
                <c:pt idx="3">
                  <c:v>0.35099999999999998</c:v>
                </c:pt>
                <c:pt idx="4">
                  <c:v>0.46300000000000002</c:v>
                </c:pt>
                <c:pt idx="5">
                  <c:v>0.54199999999999993</c:v>
                </c:pt>
                <c:pt idx="6">
                  <c:v>0.21</c:v>
                </c:pt>
                <c:pt idx="7">
                  <c:v>0.13700000000000001</c:v>
                </c:pt>
                <c:pt idx="8">
                  <c:v>3.6999999999999998E-2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0.58600000000000008</c:v>
                </c:pt>
                <c:pt idx="40">
                  <c:v>0.745</c:v>
                </c:pt>
                <c:pt idx="41">
                  <c:v>0.60899999999999999</c:v>
                </c:pt>
                <c:pt idx="42">
                  <c:v>0.67100000000000004</c:v>
                </c:pt>
                <c:pt idx="43">
                  <c:v>0.154</c:v>
                </c:pt>
                <c:pt idx="44">
                  <c:v>0.443</c:v>
                </c:pt>
                <c:pt idx="45">
                  <c:v>0.45400000000000001</c:v>
                </c:pt>
                <c:pt idx="46">
                  <c:v>0.36</c:v>
                </c:pt>
                <c:pt idx="47">
                  <c:v>0.33700000000000002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2C6-48D2-B267-6E73371D52BB}"/>
            </c:ext>
          </c:extLst>
        </c:ser>
        <c:ser>
          <c:idx val="43"/>
          <c:order val="43"/>
          <c:tx>
            <c:v>BES_TR1_six385_B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Discharge_kW!$AT$2:$AT$49</c:f>
              <c:numCache>
                <c:formatCode>#,##0.000</c:formatCode>
                <c:ptCount val="48"/>
                <c:pt idx="0">
                  <c:v>0.19700000000000001</c:v>
                </c:pt>
                <c:pt idx="1">
                  <c:v>3.6999999999999998E-2</c:v>
                </c:pt>
                <c:pt idx="2">
                  <c:v>3.6999999999999998E-2</c:v>
                </c:pt>
                <c:pt idx="3">
                  <c:v>0.20499999999999999</c:v>
                </c:pt>
                <c:pt idx="4">
                  <c:v>5.3999999999999999E-2</c:v>
                </c:pt>
                <c:pt idx="5">
                  <c:v>4.5000000000000012E-2</c:v>
                </c:pt>
                <c:pt idx="6">
                  <c:v>0.21299999999999999</c:v>
                </c:pt>
                <c:pt idx="7">
                  <c:v>3.5999999999999997E-2</c:v>
                </c:pt>
                <c:pt idx="8">
                  <c:v>0.20300000000000001</c:v>
                </c:pt>
                <c:pt idx="9">
                  <c:v>0</c:v>
                </c:pt>
                <c:pt idx="10">
                  <c:v>2E-3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0.21</c:v>
                </c:pt>
                <c:pt idx="40">
                  <c:v>0.16400000000000001</c:v>
                </c:pt>
                <c:pt idx="41">
                  <c:v>1.212</c:v>
                </c:pt>
                <c:pt idx="42">
                  <c:v>0.64</c:v>
                </c:pt>
                <c:pt idx="43">
                  <c:v>0.41199999999999998</c:v>
                </c:pt>
                <c:pt idx="44">
                  <c:v>0.46899999999999997</c:v>
                </c:pt>
                <c:pt idx="45">
                  <c:v>0.17</c:v>
                </c:pt>
                <c:pt idx="46">
                  <c:v>0.19700000000000001</c:v>
                </c:pt>
                <c:pt idx="47">
                  <c:v>3.6999999999999998E-2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E2C6-48D2-B267-6E73371D52BB}"/>
            </c:ext>
          </c:extLst>
        </c:ser>
        <c:ser>
          <c:idx val="44"/>
          <c:order val="44"/>
          <c:tx>
            <c:v>BES_TR1_six387_A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Discharge_kW!$AU$2:$AU$49</c:f>
              <c:numCache>
                <c:formatCode>#,##0.000</c:formatCode>
                <c:ptCount val="48"/>
                <c:pt idx="0">
                  <c:v>0.11600000000000001</c:v>
                </c:pt>
                <c:pt idx="1">
                  <c:v>0.248</c:v>
                </c:pt>
                <c:pt idx="2">
                  <c:v>0.04</c:v>
                </c:pt>
                <c:pt idx="3">
                  <c:v>0.183</c:v>
                </c:pt>
                <c:pt idx="4">
                  <c:v>0.18099999999999999</c:v>
                </c:pt>
                <c:pt idx="5">
                  <c:v>0.04</c:v>
                </c:pt>
                <c:pt idx="6">
                  <c:v>0.191</c:v>
                </c:pt>
                <c:pt idx="7">
                  <c:v>5.3999999999999999E-2</c:v>
                </c:pt>
                <c:pt idx="8">
                  <c:v>0.127</c:v>
                </c:pt>
                <c:pt idx="9">
                  <c:v>0.11899999999999999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0.82200000000000006</c:v>
                </c:pt>
                <c:pt idx="24">
                  <c:v>0</c:v>
                </c:pt>
                <c:pt idx="25">
                  <c:v>0</c:v>
                </c:pt>
                <c:pt idx="26">
                  <c:v>0.64800000000000002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6.8999999999999992E-2</c:v>
                </c:pt>
                <c:pt idx="38">
                  <c:v>0</c:v>
                </c:pt>
                <c:pt idx="39">
                  <c:v>0.29299999999999998</c:v>
                </c:pt>
                <c:pt idx="40">
                  <c:v>0.55099999999999993</c:v>
                </c:pt>
                <c:pt idx="41">
                  <c:v>2.3090000000000002</c:v>
                </c:pt>
                <c:pt idx="42">
                  <c:v>0.42699999999999999</c:v>
                </c:pt>
                <c:pt idx="43">
                  <c:v>0.245</c:v>
                </c:pt>
                <c:pt idx="44">
                  <c:v>0.24</c:v>
                </c:pt>
                <c:pt idx="45">
                  <c:v>0.24199999999999999</c:v>
                </c:pt>
                <c:pt idx="46">
                  <c:v>0.25900000000000001</c:v>
                </c:pt>
                <c:pt idx="47">
                  <c:v>0.28499999999999998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2C6-48D2-B267-6E73371D52BB}"/>
            </c:ext>
          </c:extLst>
        </c:ser>
        <c:ser>
          <c:idx val="45"/>
          <c:order val="45"/>
          <c:tx>
            <c:v>BES_TR1_six410_A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Discharge_kW!$AV$2:$AV$49</c:f>
              <c:numCache>
                <c:formatCode>#,##0.000</c:formatCode>
                <c:ptCount val="48"/>
                <c:pt idx="0">
                  <c:v>0.218</c:v>
                </c:pt>
                <c:pt idx="1">
                  <c:v>8.1000000000000003E-2</c:v>
                </c:pt>
                <c:pt idx="2">
                  <c:v>0.128</c:v>
                </c:pt>
                <c:pt idx="3">
                  <c:v>0.17399999999999999</c:v>
                </c:pt>
                <c:pt idx="4">
                  <c:v>6.8000000000000005E-2</c:v>
                </c:pt>
                <c:pt idx="5">
                  <c:v>0.11799999999999999</c:v>
                </c:pt>
                <c:pt idx="6">
                  <c:v>0.156</c:v>
                </c:pt>
                <c:pt idx="7">
                  <c:v>9.6000000000000002E-2</c:v>
                </c:pt>
                <c:pt idx="8">
                  <c:v>7.1000000000000008E-2</c:v>
                </c:pt>
                <c:pt idx="9">
                  <c:v>3.2000000000000001E-2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5.0000000000000001E-3</c:v>
                </c:pt>
                <c:pt idx="38">
                  <c:v>3.5999999999999997E-2</c:v>
                </c:pt>
                <c:pt idx="39">
                  <c:v>0.36399999999999999</c:v>
                </c:pt>
                <c:pt idx="40">
                  <c:v>7.8E-2</c:v>
                </c:pt>
                <c:pt idx="41">
                  <c:v>0.224</c:v>
                </c:pt>
                <c:pt idx="42">
                  <c:v>0.35</c:v>
                </c:pt>
                <c:pt idx="43">
                  <c:v>0.46700000000000003</c:v>
                </c:pt>
                <c:pt idx="44">
                  <c:v>0.52300000000000002</c:v>
                </c:pt>
                <c:pt idx="45">
                  <c:v>0.50700000000000001</c:v>
                </c:pt>
                <c:pt idx="46">
                  <c:v>0.155</c:v>
                </c:pt>
                <c:pt idx="47">
                  <c:v>0.16200000000000001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E2C6-48D2-B267-6E73371D52BB}"/>
            </c:ext>
          </c:extLst>
        </c:ser>
        <c:ser>
          <c:idx val="46"/>
          <c:order val="46"/>
          <c:tx>
            <c:v>BES_TR1_six431_C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Discharge_kW!$AW$2:$AW$49</c:f>
              <c:numCache>
                <c:formatCode>#,##0.000</c:formatCode>
                <c:ptCount val="48"/>
                <c:pt idx="0">
                  <c:v>0.313</c:v>
                </c:pt>
                <c:pt idx="1">
                  <c:v>8.1000000000000003E-2</c:v>
                </c:pt>
                <c:pt idx="2">
                  <c:v>0.26</c:v>
                </c:pt>
                <c:pt idx="3">
                  <c:v>5.5E-2</c:v>
                </c:pt>
                <c:pt idx="4">
                  <c:v>0.18</c:v>
                </c:pt>
                <c:pt idx="5">
                  <c:v>0.157</c:v>
                </c:pt>
                <c:pt idx="6">
                  <c:v>0.13200000000000001</c:v>
                </c:pt>
                <c:pt idx="7">
                  <c:v>0.20799999999999999</c:v>
                </c:pt>
                <c:pt idx="8">
                  <c:v>9.2999999999999999E-2</c:v>
                </c:pt>
                <c:pt idx="9">
                  <c:v>5.7000000000000002E-2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0.49700000000000011</c:v>
                </c:pt>
                <c:pt idx="40">
                  <c:v>0.35499999999999998</c:v>
                </c:pt>
                <c:pt idx="41">
                  <c:v>0.59399999999999997</c:v>
                </c:pt>
                <c:pt idx="42">
                  <c:v>0.68700000000000006</c:v>
                </c:pt>
                <c:pt idx="43">
                  <c:v>0.66299999999999992</c:v>
                </c:pt>
                <c:pt idx="44">
                  <c:v>0.13400000000000001</c:v>
                </c:pt>
                <c:pt idx="45">
                  <c:v>0.25800000000000001</c:v>
                </c:pt>
                <c:pt idx="46">
                  <c:v>0.27400000000000002</c:v>
                </c:pt>
                <c:pt idx="47">
                  <c:v>9.1999999999999998E-2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2C6-48D2-B267-6E73371D52BB}"/>
            </c:ext>
          </c:extLst>
        </c:ser>
        <c:ser>
          <c:idx val="47"/>
          <c:order val="47"/>
          <c:tx>
            <c:v>BES_TR1_six441_A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Discharge_kW!$AX$2:$AX$49</c:f>
              <c:numCache>
                <c:formatCode>#,##0.000</c:formatCode>
                <c:ptCount val="48"/>
                <c:pt idx="0">
                  <c:v>0.03</c:v>
                </c:pt>
                <c:pt idx="1">
                  <c:v>0.161</c:v>
                </c:pt>
                <c:pt idx="2">
                  <c:v>0.03</c:v>
                </c:pt>
                <c:pt idx="3">
                  <c:v>0.161</c:v>
                </c:pt>
                <c:pt idx="4">
                  <c:v>0.03</c:v>
                </c:pt>
                <c:pt idx="5">
                  <c:v>0.115</c:v>
                </c:pt>
                <c:pt idx="6">
                  <c:v>7.5999999999999998E-2</c:v>
                </c:pt>
                <c:pt idx="7">
                  <c:v>7.9000000000000001E-2</c:v>
                </c:pt>
                <c:pt idx="8">
                  <c:v>5.8999999999999997E-2</c:v>
                </c:pt>
                <c:pt idx="9">
                  <c:v>0.755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2.1000000000000001E-2</c:v>
                </c:pt>
                <c:pt idx="40">
                  <c:v>2.3E-2</c:v>
                </c:pt>
                <c:pt idx="41">
                  <c:v>0.32300000000000001</c:v>
                </c:pt>
                <c:pt idx="42">
                  <c:v>0.30499999999999999</c:v>
                </c:pt>
                <c:pt idx="43">
                  <c:v>0.43</c:v>
                </c:pt>
                <c:pt idx="44">
                  <c:v>0.41599999999999998</c:v>
                </c:pt>
                <c:pt idx="45">
                  <c:v>0.03</c:v>
                </c:pt>
                <c:pt idx="46">
                  <c:v>0.03</c:v>
                </c:pt>
                <c:pt idx="4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E2C6-48D2-B267-6E73371D52BB}"/>
            </c:ext>
          </c:extLst>
        </c:ser>
        <c:ser>
          <c:idx val="48"/>
          <c:order val="48"/>
          <c:tx>
            <c:v>BES_TR1_six484_B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Discharge_kW!$AY$2:$AY$49</c:f>
              <c:numCache>
                <c:formatCode>#,##0.000</c:formatCode>
                <c:ptCount val="48"/>
                <c:pt idx="0">
                  <c:v>0.16</c:v>
                </c:pt>
                <c:pt idx="1">
                  <c:v>0.24199999999999999</c:v>
                </c:pt>
                <c:pt idx="2">
                  <c:v>0.14699999999999999</c:v>
                </c:pt>
                <c:pt idx="3">
                  <c:v>0.187</c:v>
                </c:pt>
                <c:pt idx="4">
                  <c:v>0.159</c:v>
                </c:pt>
                <c:pt idx="5">
                  <c:v>0.14000000000000001</c:v>
                </c:pt>
                <c:pt idx="6">
                  <c:v>0.21299999999999999</c:v>
                </c:pt>
                <c:pt idx="7">
                  <c:v>0.222</c:v>
                </c:pt>
                <c:pt idx="8">
                  <c:v>4.5000000000000012E-2</c:v>
                </c:pt>
                <c:pt idx="9">
                  <c:v>8.2000000000000003E-2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1.637</c:v>
                </c:pt>
                <c:pt idx="18">
                  <c:v>0</c:v>
                </c:pt>
                <c:pt idx="19">
                  <c:v>0</c:v>
                </c:pt>
                <c:pt idx="20">
                  <c:v>0.56700000000000006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1.9E-2</c:v>
                </c:pt>
                <c:pt idx="38">
                  <c:v>0</c:v>
                </c:pt>
                <c:pt idx="39">
                  <c:v>0.219</c:v>
                </c:pt>
                <c:pt idx="40">
                  <c:v>0.25800000000000001</c:v>
                </c:pt>
                <c:pt idx="41">
                  <c:v>0.47599999999999998</c:v>
                </c:pt>
                <c:pt idx="42">
                  <c:v>0.84799999999999998</c:v>
                </c:pt>
                <c:pt idx="43">
                  <c:v>1.0009999999999999</c:v>
                </c:pt>
                <c:pt idx="44">
                  <c:v>1.0269999999999999</c:v>
                </c:pt>
                <c:pt idx="45">
                  <c:v>1.9570000000000001</c:v>
                </c:pt>
                <c:pt idx="46">
                  <c:v>0.57399999999999995</c:v>
                </c:pt>
                <c:pt idx="47">
                  <c:v>0.81400000000000006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2C6-48D2-B267-6E73371D52BB}"/>
            </c:ext>
          </c:extLst>
        </c:ser>
        <c:ser>
          <c:idx val="49"/>
          <c:order val="49"/>
          <c:tx>
            <c:v>BES_TR1_six501_A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Discharge_kW!$AZ$2:$AZ$49</c:f>
              <c:numCache>
                <c:formatCode>#,##0.000</c:formatCode>
                <c:ptCount val="48"/>
                <c:pt idx="0">
                  <c:v>0.29299999999999998</c:v>
                </c:pt>
                <c:pt idx="1">
                  <c:v>8.7999999999999995E-2</c:v>
                </c:pt>
                <c:pt idx="2">
                  <c:v>0.19800000000000001</c:v>
                </c:pt>
                <c:pt idx="3">
                  <c:v>5.8000000000000003E-2</c:v>
                </c:pt>
                <c:pt idx="4">
                  <c:v>9.0999999999999998E-2</c:v>
                </c:pt>
                <c:pt idx="5">
                  <c:v>0.33900000000000002</c:v>
                </c:pt>
                <c:pt idx="6">
                  <c:v>4.1000000000000002E-2</c:v>
                </c:pt>
                <c:pt idx="7">
                  <c:v>0.219</c:v>
                </c:pt>
                <c:pt idx="8">
                  <c:v>0.151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0.189</c:v>
                </c:pt>
                <c:pt idx="33">
                  <c:v>0</c:v>
                </c:pt>
                <c:pt idx="34">
                  <c:v>9.0000000000000011E-3</c:v>
                </c:pt>
                <c:pt idx="35">
                  <c:v>1.139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0.35799999999999998</c:v>
                </c:pt>
                <c:pt idx="40">
                  <c:v>0.53700000000000003</c:v>
                </c:pt>
                <c:pt idx="41">
                  <c:v>0.40400000000000003</c:v>
                </c:pt>
                <c:pt idx="42">
                  <c:v>0.755</c:v>
                </c:pt>
                <c:pt idx="43">
                  <c:v>0.66200000000000003</c:v>
                </c:pt>
                <c:pt idx="44">
                  <c:v>0.54199999999999993</c:v>
                </c:pt>
                <c:pt idx="45">
                  <c:v>0.41199999999999998</c:v>
                </c:pt>
                <c:pt idx="46">
                  <c:v>5.8000000000000003E-2</c:v>
                </c:pt>
                <c:pt idx="47">
                  <c:v>0.191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E2C6-48D2-B267-6E73371D52BB}"/>
            </c:ext>
          </c:extLst>
        </c:ser>
        <c:ser>
          <c:idx val="50"/>
          <c:order val="50"/>
          <c:tx>
            <c:v>BES_TR1_six512_B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Discharge_kW!$BA$2:$BA$49</c:f>
              <c:numCache>
                <c:formatCode>#,##0.000</c:formatCode>
                <c:ptCount val="48"/>
                <c:pt idx="0">
                  <c:v>0.124</c:v>
                </c:pt>
                <c:pt idx="1">
                  <c:v>0.14000000000000001</c:v>
                </c:pt>
                <c:pt idx="2">
                  <c:v>0.18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0.112</c:v>
                </c:pt>
                <c:pt idx="6">
                  <c:v>8.3999999999999991E-2</c:v>
                </c:pt>
                <c:pt idx="7">
                  <c:v>0.13300000000000001</c:v>
                </c:pt>
                <c:pt idx="8">
                  <c:v>5.6000000000000001E-2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0.01</c:v>
                </c:pt>
                <c:pt idx="39">
                  <c:v>0.50800000000000001</c:v>
                </c:pt>
                <c:pt idx="40">
                  <c:v>0.54799999999999993</c:v>
                </c:pt>
                <c:pt idx="41">
                  <c:v>0.55900000000000005</c:v>
                </c:pt>
                <c:pt idx="42">
                  <c:v>0.68</c:v>
                </c:pt>
                <c:pt idx="43">
                  <c:v>0.41199999999999998</c:v>
                </c:pt>
                <c:pt idx="44">
                  <c:v>0.51300000000000001</c:v>
                </c:pt>
                <c:pt idx="45">
                  <c:v>0.438</c:v>
                </c:pt>
                <c:pt idx="46">
                  <c:v>0.17599999999999999</c:v>
                </c:pt>
                <c:pt idx="47">
                  <c:v>6.9999999999999993E-2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2C6-48D2-B267-6E73371D52BB}"/>
            </c:ext>
          </c:extLst>
        </c:ser>
        <c:ser>
          <c:idx val="51"/>
          <c:order val="51"/>
          <c:tx>
            <c:v>BES_TR1_six518_B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Discharge_kW!$BB$2:$BB$49</c:f>
              <c:numCache>
                <c:formatCode>#,##0.000</c:formatCode>
                <c:ptCount val="48"/>
                <c:pt idx="0">
                  <c:v>9.5000000000000001E-2</c:v>
                </c:pt>
                <c:pt idx="1">
                  <c:v>9.5000000000000001E-2</c:v>
                </c:pt>
                <c:pt idx="2">
                  <c:v>5.8000000000000003E-2</c:v>
                </c:pt>
                <c:pt idx="3">
                  <c:v>0.13300000000000001</c:v>
                </c:pt>
                <c:pt idx="4">
                  <c:v>5.8000000000000003E-2</c:v>
                </c:pt>
                <c:pt idx="5">
                  <c:v>0.13300000000000001</c:v>
                </c:pt>
                <c:pt idx="6">
                  <c:v>5.8000000000000003E-2</c:v>
                </c:pt>
                <c:pt idx="7">
                  <c:v>5.5E-2</c:v>
                </c:pt>
                <c:pt idx="8">
                  <c:v>7.1000000000000008E-2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1.35</c:v>
                </c:pt>
                <c:pt idx="35">
                  <c:v>0</c:v>
                </c:pt>
                <c:pt idx="36">
                  <c:v>0.34699999999999998</c:v>
                </c:pt>
                <c:pt idx="37">
                  <c:v>0</c:v>
                </c:pt>
                <c:pt idx="38">
                  <c:v>0</c:v>
                </c:pt>
                <c:pt idx="39">
                  <c:v>0.374</c:v>
                </c:pt>
                <c:pt idx="40">
                  <c:v>0.59899999999999998</c:v>
                </c:pt>
                <c:pt idx="41">
                  <c:v>0.55500000000000005</c:v>
                </c:pt>
                <c:pt idx="42">
                  <c:v>0.53100000000000003</c:v>
                </c:pt>
                <c:pt idx="43">
                  <c:v>0.55300000000000005</c:v>
                </c:pt>
                <c:pt idx="44">
                  <c:v>0.501</c:v>
                </c:pt>
                <c:pt idx="45">
                  <c:v>0.81800000000000006</c:v>
                </c:pt>
                <c:pt idx="46">
                  <c:v>0.89300000000000002</c:v>
                </c:pt>
                <c:pt idx="47">
                  <c:v>1.4330000000000001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E2C6-48D2-B267-6E73371D52BB}"/>
            </c:ext>
          </c:extLst>
        </c:ser>
        <c:ser>
          <c:idx val="52"/>
          <c:order val="52"/>
          <c:tx>
            <c:v>BES_TR1_six595_B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Discharge_kW!$BC$2:$BC$49</c:f>
              <c:numCache>
                <c:formatCode>#,##0.000</c:formatCode>
                <c:ptCount val="48"/>
                <c:pt idx="0">
                  <c:v>8.8999999999999996E-2</c:v>
                </c:pt>
                <c:pt idx="1">
                  <c:v>0.08</c:v>
                </c:pt>
                <c:pt idx="2">
                  <c:v>0.08</c:v>
                </c:pt>
                <c:pt idx="3">
                  <c:v>0.10100000000000001</c:v>
                </c:pt>
                <c:pt idx="4">
                  <c:v>0.06</c:v>
                </c:pt>
                <c:pt idx="5">
                  <c:v>4.2999999999999997E-2</c:v>
                </c:pt>
                <c:pt idx="6">
                  <c:v>4.2999999999999997E-2</c:v>
                </c:pt>
                <c:pt idx="7">
                  <c:v>0.115</c:v>
                </c:pt>
                <c:pt idx="8">
                  <c:v>1.2E-2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1.9E-2</c:v>
                </c:pt>
                <c:pt idx="39">
                  <c:v>0.18</c:v>
                </c:pt>
                <c:pt idx="40">
                  <c:v>0.39900000000000002</c:v>
                </c:pt>
                <c:pt idx="41">
                  <c:v>0.40400000000000003</c:v>
                </c:pt>
                <c:pt idx="42">
                  <c:v>0.42099999999999999</c:v>
                </c:pt>
                <c:pt idx="43">
                  <c:v>0.503</c:v>
                </c:pt>
                <c:pt idx="44">
                  <c:v>0.65799999999999992</c:v>
                </c:pt>
                <c:pt idx="45">
                  <c:v>0.51200000000000001</c:v>
                </c:pt>
                <c:pt idx="46">
                  <c:v>0.34499999999999997</c:v>
                </c:pt>
                <c:pt idx="47">
                  <c:v>0.28899999999999998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2C6-48D2-B267-6E73371D52BB}"/>
            </c:ext>
          </c:extLst>
        </c:ser>
        <c:ser>
          <c:idx val="53"/>
          <c:order val="53"/>
          <c:tx>
            <c:v>BES_TR1_six646_B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Discharge_kW!$BD$2:$BD$49</c:f>
              <c:numCache>
                <c:formatCode>#,##0.000</c:formatCode>
                <c:ptCount val="48"/>
                <c:pt idx="0">
                  <c:v>0.40100000000000002</c:v>
                </c:pt>
                <c:pt idx="1">
                  <c:v>9.0999999999999998E-2</c:v>
                </c:pt>
                <c:pt idx="2">
                  <c:v>0.254</c:v>
                </c:pt>
                <c:pt idx="3">
                  <c:v>3.5999999999999997E-2</c:v>
                </c:pt>
                <c:pt idx="4">
                  <c:v>0.247</c:v>
                </c:pt>
                <c:pt idx="5">
                  <c:v>6.4000000000000001E-2</c:v>
                </c:pt>
                <c:pt idx="6">
                  <c:v>0.14799999999999999</c:v>
                </c:pt>
                <c:pt idx="7">
                  <c:v>0.161</c:v>
                </c:pt>
                <c:pt idx="8">
                  <c:v>3.3000000000000002E-2</c:v>
                </c:pt>
                <c:pt idx="9">
                  <c:v>6.4000000000000001E-2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0.29599999999999999</c:v>
                </c:pt>
                <c:pt idx="40">
                  <c:v>0.42199999999999999</c:v>
                </c:pt>
                <c:pt idx="41">
                  <c:v>0.77300000000000002</c:v>
                </c:pt>
                <c:pt idx="42">
                  <c:v>0.57200000000000006</c:v>
                </c:pt>
                <c:pt idx="43">
                  <c:v>0.49799999999999989</c:v>
                </c:pt>
                <c:pt idx="44">
                  <c:v>0.51</c:v>
                </c:pt>
                <c:pt idx="45">
                  <c:v>0.20799999999999999</c:v>
                </c:pt>
                <c:pt idx="46">
                  <c:v>0.14399999999999999</c:v>
                </c:pt>
                <c:pt idx="47">
                  <c:v>0.27500000000000002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E2C6-48D2-B267-6E73371D52BB}"/>
            </c:ext>
          </c:extLst>
        </c:ser>
        <c:ser>
          <c:idx val="54"/>
          <c:order val="54"/>
          <c:tx>
            <c:v>BES_TR1_six699_C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Discharge_kW!$BE$2:$BE$49</c:f>
              <c:numCache>
                <c:formatCode>#,##0.000</c:formatCode>
                <c:ptCount val="48"/>
                <c:pt idx="0">
                  <c:v>5.8000000000000003E-2</c:v>
                </c:pt>
                <c:pt idx="1">
                  <c:v>5.8000000000000003E-2</c:v>
                </c:pt>
                <c:pt idx="2">
                  <c:v>5.8000000000000003E-2</c:v>
                </c:pt>
                <c:pt idx="3">
                  <c:v>0.124</c:v>
                </c:pt>
                <c:pt idx="4">
                  <c:v>5.8000000000000003E-2</c:v>
                </c:pt>
                <c:pt idx="5">
                  <c:v>5.8000000000000003E-2</c:v>
                </c:pt>
                <c:pt idx="6">
                  <c:v>0.124</c:v>
                </c:pt>
                <c:pt idx="7">
                  <c:v>5.5E-2</c:v>
                </c:pt>
                <c:pt idx="8">
                  <c:v>1.4E-2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0.107</c:v>
                </c:pt>
                <c:pt idx="41">
                  <c:v>5.8000000000000003E-2</c:v>
                </c:pt>
                <c:pt idx="42">
                  <c:v>5.8000000000000003E-2</c:v>
                </c:pt>
                <c:pt idx="43">
                  <c:v>9.8000000000000004E-2</c:v>
                </c:pt>
                <c:pt idx="44">
                  <c:v>8.3999999999999991E-2</c:v>
                </c:pt>
                <c:pt idx="45">
                  <c:v>5.8000000000000003E-2</c:v>
                </c:pt>
                <c:pt idx="46">
                  <c:v>5.8000000000000003E-2</c:v>
                </c:pt>
                <c:pt idx="47">
                  <c:v>0.124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2C6-48D2-B267-6E73371D52BB}"/>
            </c:ext>
          </c:extLst>
        </c:ser>
        <c:ser>
          <c:idx val="55"/>
          <c:order val="55"/>
          <c:tx>
            <c:v>BES_TR1_six718_C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Discharge_kW!$BF$2:$BF$49</c:f>
              <c:numCache>
                <c:formatCode>#,##0.000</c:formatCode>
                <c:ptCount val="48"/>
                <c:pt idx="0">
                  <c:v>0.153</c:v>
                </c:pt>
                <c:pt idx="1">
                  <c:v>0.16800000000000001</c:v>
                </c:pt>
                <c:pt idx="2">
                  <c:v>8.5000000000000006E-2</c:v>
                </c:pt>
                <c:pt idx="3">
                  <c:v>0.29499999999999998</c:v>
                </c:pt>
                <c:pt idx="4">
                  <c:v>6.4999999999999988E-2</c:v>
                </c:pt>
                <c:pt idx="5">
                  <c:v>0.17699999999999999</c:v>
                </c:pt>
                <c:pt idx="6">
                  <c:v>0.21199999999999999</c:v>
                </c:pt>
                <c:pt idx="7">
                  <c:v>7.9000000000000001E-2</c:v>
                </c:pt>
                <c:pt idx="8">
                  <c:v>0.1</c:v>
                </c:pt>
                <c:pt idx="9">
                  <c:v>0</c:v>
                </c:pt>
                <c:pt idx="10">
                  <c:v>0.16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1.4850000000000001</c:v>
                </c:pt>
                <c:pt idx="24">
                  <c:v>1.351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0.13200000000000001</c:v>
                </c:pt>
                <c:pt idx="34">
                  <c:v>0.33800000000000002</c:v>
                </c:pt>
                <c:pt idx="35">
                  <c:v>0.67199999999999993</c:v>
                </c:pt>
                <c:pt idx="36">
                  <c:v>0.499</c:v>
                </c:pt>
                <c:pt idx="37">
                  <c:v>6.2E-2</c:v>
                </c:pt>
                <c:pt idx="38">
                  <c:v>0.105</c:v>
                </c:pt>
                <c:pt idx="39">
                  <c:v>0.41599999999999998</c:v>
                </c:pt>
                <c:pt idx="40">
                  <c:v>0.40200000000000002</c:v>
                </c:pt>
                <c:pt idx="41">
                  <c:v>0.74099999999999999</c:v>
                </c:pt>
                <c:pt idx="42">
                  <c:v>0.65200000000000002</c:v>
                </c:pt>
                <c:pt idx="43">
                  <c:v>0.68099999999999994</c:v>
                </c:pt>
                <c:pt idx="44">
                  <c:v>7.4999999999999997E-2</c:v>
                </c:pt>
                <c:pt idx="45">
                  <c:v>0.52700000000000002</c:v>
                </c:pt>
                <c:pt idx="46">
                  <c:v>0.35599999999999998</c:v>
                </c:pt>
                <c:pt idx="47">
                  <c:v>9.8999999999999991E-2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E2C6-48D2-B267-6E73371D52BB}"/>
            </c:ext>
          </c:extLst>
        </c:ser>
        <c:ser>
          <c:idx val="56"/>
          <c:order val="56"/>
          <c:tx>
            <c:v>BES_TR1_six721_A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Discharge_kW!$BG$2:$BG$49</c:f>
              <c:numCache>
                <c:formatCode>#,##0.000</c:formatCode>
                <c:ptCount val="48"/>
                <c:pt idx="0">
                  <c:v>0.187</c:v>
                </c:pt>
                <c:pt idx="1">
                  <c:v>0.16600000000000001</c:v>
                </c:pt>
                <c:pt idx="2">
                  <c:v>8.7999999999999995E-2</c:v>
                </c:pt>
                <c:pt idx="3">
                  <c:v>0.27300000000000002</c:v>
                </c:pt>
                <c:pt idx="4">
                  <c:v>0.05</c:v>
                </c:pt>
                <c:pt idx="5">
                  <c:v>0.05</c:v>
                </c:pt>
                <c:pt idx="6">
                  <c:v>0.153</c:v>
                </c:pt>
                <c:pt idx="7">
                  <c:v>0.13400000000000001</c:v>
                </c:pt>
                <c:pt idx="8">
                  <c:v>7.9000000000000001E-2</c:v>
                </c:pt>
                <c:pt idx="9">
                  <c:v>0.17199999999999999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0.55900000000000005</c:v>
                </c:pt>
                <c:pt idx="14">
                  <c:v>0.80199999999999994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0.107</c:v>
                </c:pt>
                <c:pt idx="29">
                  <c:v>0</c:v>
                </c:pt>
                <c:pt idx="30">
                  <c:v>0.03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0.77100000000000002</c:v>
                </c:pt>
                <c:pt idx="35">
                  <c:v>0.123</c:v>
                </c:pt>
                <c:pt idx="36">
                  <c:v>0.64100000000000001</c:v>
                </c:pt>
                <c:pt idx="37">
                  <c:v>0.32400000000000001</c:v>
                </c:pt>
                <c:pt idx="38">
                  <c:v>0.96100000000000008</c:v>
                </c:pt>
                <c:pt idx="39">
                  <c:v>3.9E-2</c:v>
                </c:pt>
                <c:pt idx="40">
                  <c:v>0.24299999999999999</c:v>
                </c:pt>
                <c:pt idx="41">
                  <c:v>0.08</c:v>
                </c:pt>
                <c:pt idx="42">
                  <c:v>0.22</c:v>
                </c:pt>
                <c:pt idx="43">
                  <c:v>1.002</c:v>
                </c:pt>
                <c:pt idx="44">
                  <c:v>0.05</c:v>
                </c:pt>
                <c:pt idx="45">
                  <c:v>0.23799999999999999</c:v>
                </c:pt>
                <c:pt idx="46">
                  <c:v>0.11899999999999999</c:v>
                </c:pt>
                <c:pt idx="47">
                  <c:v>7.5999999999999998E-2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E2C6-48D2-B267-6E73371D52BB}"/>
            </c:ext>
          </c:extLst>
        </c:ser>
        <c:ser>
          <c:idx val="57"/>
          <c:order val="57"/>
          <c:tx>
            <c:v>BES_TR1_six723_B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Discharge_kW!$BH$2:$BH$49</c:f>
              <c:numCache>
                <c:formatCode>#,##0.000</c:formatCode>
                <c:ptCount val="48"/>
                <c:pt idx="0">
                  <c:v>0.184</c:v>
                </c:pt>
                <c:pt idx="1">
                  <c:v>6.8000000000000005E-2</c:v>
                </c:pt>
                <c:pt idx="2">
                  <c:v>0.24399999999999999</c:v>
                </c:pt>
                <c:pt idx="3">
                  <c:v>5.5E-2</c:v>
                </c:pt>
                <c:pt idx="4">
                  <c:v>0.17100000000000001</c:v>
                </c:pt>
                <c:pt idx="5">
                  <c:v>0.14099999999999999</c:v>
                </c:pt>
                <c:pt idx="6">
                  <c:v>0.112</c:v>
                </c:pt>
                <c:pt idx="7">
                  <c:v>0.151</c:v>
                </c:pt>
                <c:pt idx="8">
                  <c:v>5.1999999999999998E-2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2E-3</c:v>
                </c:pt>
                <c:pt idx="39">
                  <c:v>0.60899999999999999</c:v>
                </c:pt>
                <c:pt idx="40">
                  <c:v>0.59299999999999997</c:v>
                </c:pt>
                <c:pt idx="41">
                  <c:v>0.39</c:v>
                </c:pt>
                <c:pt idx="42">
                  <c:v>0.45300000000000001</c:v>
                </c:pt>
                <c:pt idx="43">
                  <c:v>8.3000000000000004E-2</c:v>
                </c:pt>
                <c:pt idx="44">
                  <c:v>0.14599999999999999</c:v>
                </c:pt>
                <c:pt idx="45">
                  <c:v>0.248</c:v>
                </c:pt>
                <c:pt idx="46">
                  <c:v>5.5E-2</c:v>
                </c:pt>
                <c:pt idx="47">
                  <c:v>0.11799999999999999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E2C6-48D2-B267-6E73371D52BB}"/>
            </c:ext>
          </c:extLst>
        </c:ser>
        <c:ser>
          <c:idx val="58"/>
          <c:order val="58"/>
          <c:tx>
            <c:v>BES_TR1_six784_B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Discharge_kW!$BI$2:$BI$49</c:f>
              <c:numCache>
                <c:formatCode>#,##0.000</c:formatCode>
                <c:ptCount val="48"/>
                <c:pt idx="0">
                  <c:v>0.35899999999999999</c:v>
                </c:pt>
                <c:pt idx="1">
                  <c:v>0.94799999999999995</c:v>
                </c:pt>
                <c:pt idx="2">
                  <c:v>4.3999999999999997E-2</c:v>
                </c:pt>
                <c:pt idx="3">
                  <c:v>0.113</c:v>
                </c:pt>
                <c:pt idx="4">
                  <c:v>5.2999999999999999E-2</c:v>
                </c:pt>
                <c:pt idx="5">
                  <c:v>4.3999999999999997E-2</c:v>
                </c:pt>
                <c:pt idx="6">
                  <c:v>6.6000000000000003E-2</c:v>
                </c:pt>
                <c:pt idx="7">
                  <c:v>9.8000000000000004E-2</c:v>
                </c:pt>
                <c:pt idx="8">
                  <c:v>7.0000000000000001E-3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0.308</c:v>
                </c:pt>
                <c:pt idx="33">
                  <c:v>0</c:v>
                </c:pt>
                <c:pt idx="34">
                  <c:v>0</c:v>
                </c:pt>
                <c:pt idx="35">
                  <c:v>0.39900000000000002</c:v>
                </c:pt>
                <c:pt idx="36">
                  <c:v>0.46899999999999997</c:v>
                </c:pt>
                <c:pt idx="37">
                  <c:v>7.0000000000000001E-3</c:v>
                </c:pt>
                <c:pt idx="38">
                  <c:v>8.0000000000000002E-3</c:v>
                </c:pt>
                <c:pt idx="39">
                  <c:v>0.49199999999999999</c:v>
                </c:pt>
                <c:pt idx="40">
                  <c:v>0.51700000000000002</c:v>
                </c:pt>
                <c:pt idx="41">
                  <c:v>0.58100000000000007</c:v>
                </c:pt>
                <c:pt idx="42">
                  <c:v>0.623</c:v>
                </c:pt>
                <c:pt idx="43">
                  <c:v>0.36099999999999999</c:v>
                </c:pt>
                <c:pt idx="44">
                  <c:v>4.3999999999999997E-2</c:v>
                </c:pt>
                <c:pt idx="45">
                  <c:v>0.122</c:v>
                </c:pt>
                <c:pt idx="46">
                  <c:v>4.3999999999999997E-2</c:v>
                </c:pt>
                <c:pt idx="47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E2C6-48D2-B267-6E73371D52BB}"/>
            </c:ext>
          </c:extLst>
        </c:ser>
        <c:ser>
          <c:idx val="59"/>
          <c:order val="59"/>
          <c:tx>
            <c:v>BES_TR1_six90_B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Discharge_kW!$BJ$2:$BJ$49</c:f>
              <c:numCache>
                <c:formatCode>#,##0.000</c:formatCode>
                <c:ptCount val="48"/>
                <c:pt idx="0">
                  <c:v>0.71899999999999997</c:v>
                </c:pt>
                <c:pt idx="1">
                  <c:v>9.4E-2</c:v>
                </c:pt>
                <c:pt idx="2">
                  <c:v>0.06</c:v>
                </c:pt>
                <c:pt idx="3">
                  <c:v>0.27900000000000003</c:v>
                </c:pt>
                <c:pt idx="4">
                  <c:v>5.2999999999999999E-2</c:v>
                </c:pt>
                <c:pt idx="5">
                  <c:v>0.184</c:v>
                </c:pt>
                <c:pt idx="6">
                  <c:v>8.2000000000000003E-2</c:v>
                </c:pt>
                <c:pt idx="7">
                  <c:v>0.124</c:v>
                </c:pt>
                <c:pt idx="8">
                  <c:v>0.13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1.94</c:v>
                </c:pt>
                <c:pt idx="21">
                  <c:v>0.59899999999999998</c:v>
                </c:pt>
                <c:pt idx="22">
                  <c:v>0</c:v>
                </c:pt>
                <c:pt idx="23">
                  <c:v>1.036</c:v>
                </c:pt>
                <c:pt idx="24">
                  <c:v>1.268</c:v>
                </c:pt>
                <c:pt idx="25">
                  <c:v>0.307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0.23200000000000001</c:v>
                </c:pt>
                <c:pt idx="40">
                  <c:v>4.2999999999999997E-2</c:v>
                </c:pt>
                <c:pt idx="41">
                  <c:v>0.14699999999999999</c:v>
                </c:pt>
                <c:pt idx="42">
                  <c:v>0.11799999999999999</c:v>
                </c:pt>
                <c:pt idx="43">
                  <c:v>0.126</c:v>
                </c:pt>
                <c:pt idx="44">
                  <c:v>0.21299999999999999</c:v>
                </c:pt>
                <c:pt idx="45">
                  <c:v>5.2999999999999999E-2</c:v>
                </c:pt>
                <c:pt idx="46">
                  <c:v>9.0000000000000011E-2</c:v>
                </c:pt>
                <c:pt idx="47">
                  <c:v>0.249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E2C6-48D2-B267-6E73371D52BB}"/>
            </c:ext>
          </c:extLst>
        </c:ser>
        <c:ser>
          <c:idx val="60"/>
          <c:order val="60"/>
          <c:tx>
            <c:v>BES_TR1_six807_A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Discharge_kW!$BK$2:$BK$49</c:f>
              <c:numCache>
                <c:formatCode>#,##0.000</c:formatCode>
                <c:ptCount val="48"/>
                <c:pt idx="0">
                  <c:v>0.219</c:v>
                </c:pt>
                <c:pt idx="1">
                  <c:v>5.5E-2</c:v>
                </c:pt>
                <c:pt idx="2">
                  <c:v>5.5E-2</c:v>
                </c:pt>
                <c:pt idx="3">
                  <c:v>0.219</c:v>
                </c:pt>
                <c:pt idx="4">
                  <c:v>5.5E-2</c:v>
                </c:pt>
                <c:pt idx="5">
                  <c:v>0.21199999999999999</c:v>
                </c:pt>
                <c:pt idx="6">
                  <c:v>6.2E-2</c:v>
                </c:pt>
                <c:pt idx="7">
                  <c:v>0.184</c:v>
                </c:pt>
                <c:pt idx="8">
                  <c:v>0.127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1.1259999999999999</c:v>
                </c:pt>
                <c:pt idx="34">
                  <c:v>2.1930000000000001</c:v>
                </c:pt>
                <c:pt idx="35">
                  <c:v>0</c:v>
                </c:pt>
                <c:pt idx="36">
                  <c:v>1.21</c:v>
                </c:pt>
                <c:pt idx="37">
                  <c:v>0</c:v>
                </c:pt>
                <c:pt idx="38">
                  <c:v>1.377</c:v>
                </c:pt>
                <c:pt idx="39">
                  <c:v>1.2549999999999999</c:v>
                </c:pt>
                <c:pt idx="40">
                  <c:v>0.25900000000000001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2C6-48D2-B267-6E73371D52BB}"/>
            </c:ext>
          </c:extLst>
        </c:ser>
        <c:ser>
          <c:idx val="61"/>
          <c:order val="61"/>
          <c:tx>
            <c:v>BES_TR1_six852_B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Discharge_kW!$BL$2:$BL$49</c:f>
              <c:numCache>
                <c:formatCode>#,##0.000</c:formatCode>
                <c:ptCount val="48"/>
                <c:pt idx="0">
                  <c:v>0.28499999999999998</c:v>
                </c:pt>
                <c:pt idx="1">
                  <c:v>0.23699999999999999</c:v>
                </c:pt>
                <c:pt idx="2">
                  <c:v>0.19800000000000001</c:v>
                </c:pt>
                <c:pt idx="3">
                  <c:v>0.23</c:v>
                </c:pt>
                <c:pt idx="4">
                  <c:v>0.14899999999999999</c:v>
                </c:pt>
                <c:pt idx="5">
                  <c:v>0.155</c:v>
                </c:pt>
                <c:pt idx="6">
                  <c:v>0.193</c:v>
                </c:pt>
                <c:pt idx="7">
                  <c:v>0.23200000000000001</c:v>
                </c:pt>
                <c:pt idx="8">
                  <c:v>0.16200000000000001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0.67800000000000005</c:v>
                </c:pt>
                <c:pt idx="40">
                  <c:v>1.649</c:v>
                </c:pt>
                <c:pt idx="41">
                  <c:v>0.61699999999999999</c:v>
                </c:pt>
                <c:pt idx="42">
                  <c:v>0.80099999999999993</c:v>
                </c:pt>
                <c:pt idx="43">
                  <c:v>0.73599999999999999</c:v>
                </c:pt>
                <c:pt idx="44">
                  <c:v>0.74299999999999999</c:v>
                </c:pt>
                <c:pt idx="45">
                  <c:v>0.79299999999999993</c:v>
                </c:pt>
                <c:pt idx="46">
                  <c:v>0.93199999999999994</c:v>
                </c:pt>
                <c:pt idx="47">
                  <c:v>0.223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E2C6-48D2-B267-6E73371D52BB}"/>
            </c:ext>
          </c:extLst>
        </c:ser>
        <c:ser>
          <c:idx val="62"/>
          <c:order val="62"/>
          <c:tx>
            <c:v>BES_TR1_six860_C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Discharge_kW!$BM$2:$BM$49</c:f>
              <c:numCache>
                <c:formatCode>#,##0.000</c:formatCode>
                <c:ptCount val="48"/>
                <c:pt idx="0">
                  <c:v>1.792</c:v>
                </c:pt>
                <c:pt idx="1">
                  <c:v>0.37</c:v>
                </c:pt>
                <c:pt idx="2">
                  <c:v>0.11799999999999999</c:v>
                </c:pt>
                <c:pt idx="3">
                  <c:v>0.11</c:v>
                </c:pt>
                <c:pt idx="4">
                  <c:v>2E-3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0.34699999999999998</c:v>
                </c:pt>
                <c:pt idx="40">
                  <c:v>0.77399999999999991</c:v>
                </c:pt>
                <c:pt idx="41">
                  <c:v>0.34300000000000003</c:v>
                </c:pt>
                <c:pt idx="42">
                  <c:v>0.34200000000000003</c:v>
                </c:pt>
                <c:pt idx="43">
                  <c:v>0.60699999999999998</c:v>
                </c:pt>
                <c:pt idx="44">
                  <c:v>0.36900000000000011</c:v>
                </c:pt>
                <c:pt idx="45">
                  <c:v>5.7000000000000002E-2</c:v>
                </c:pt>
                <c:pt idx="46">
                  <c:v>0.224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2C6-48D2-B267-6E73371D52BB}"/>
            </c:ext>
          </c:extLst>
        </c:ser>
        <c:ser>
          <c:idx val="63"/>
          <c:order val="63"/>
          <c:tx>
            <c:v>BES_TR1_six869_C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Discharge_kW!$BN$2:$BN$49</c:f>
              <c:numCache>
                <c:formatCode>#,##0.000</c:formatCode>
                <c:ptCount val="48"/>
                <c:pt idx="0">
                  <c:v>1.946</c:v>
                </c:pt>
                <c:pt idx="1">
                  <c:v>0.44500000000000001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0.60299999999999998</c:v>
                </c:pt>
                <c:pt idx="39">
                  <c:v>0.71</c:v>
                </c:pt>
                <c:pt idx="40">
                  <c:v>0.58699999999999997</c:v>
                </c:pt>
                <c:pt idx="41">
                  <c:v>0.48699999999999999</c:v>
                </c:pt>
                <c:pt idx="42">
                  <c:v>0.53700000000000003</c:v>
                </c:pt>
                <c:pt idx="43">
                  <c:v>0.495</c:v>
                </c:pt>
                <c:pt idx="44">
                  <c:v>0.69099999999999995</c:v>
                </c:pt>
                <c:pt idx="45">
                  <c:v>0.50900000000000001</c:v>
                </c:pt>
                <c:pt idx="46">
                  <c:v>0.13</c:v>
                </c:pt>
                <c:pt idx="47">
                  <c:v>9.5000000000000001E-2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E2C6-48D2-B267-6E73371D52BB}"/>
            </c:ext>
          </c:extLst>
        </c:ser>
        <c:ser>
          <c:idx val="64"/>
          <c:order val="64"/>
          <c:tx>
            <c:v>BES_TR1_six885_A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Discharge_kW!$BO$2:$BO$49</c:f>
              <c:numCache>
                <c:formatCode>#,##0.000</c:formatCode>
                <c:ptCount val="48"/>
                <c:pt idx="0">
                  <c:v>0.16800000000000001</c:v>
                </c:pt>
                <c:pt idx="1">
                  <c:v>8.3999999999999991E-2</c:v>
                </c:pt>
                <c:pt idx="2">
                  <c:v>0.157</c:v>
                </c:pt>
                <c:pt idx="3">
                  <c:v>8.3999999999999991E-2</c:v>
                </c:pt>
                <c:pt idx="4">
                  <c:v>0.05</c:v>
                </c:pt>
                <c:pt idx="5">
                  <c:v>0.16300000000000001</c:v>
                </c:pt>
                <c:pt idx="6">
                  <c:v>7.8E-2</c:v>
                </c:pt>
                <c:pt idx="7">
                  <c:v>6.2E-2</c:v>
                </c:pt>
                <c:pt idx="8">
                  <c:v>0.1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4.5999999999999999E-2</c:v>
                </c:pt>
                <c:pt idx="40">
                  <c:v>0.98100000000000009</c:v>
                </c:pt>
                <c:pt idx="41">
                  <c:v>0.85699999999999998</c:v>
                </c:pt>
                <c:pt idx="42">
                  <c:v>0.29899999999999999</c:v>
                </c:pt>
                <c:pt idx="43">
                  <c:v>0.182</c:v>
                </c:pt>
                <c:pt idx="44">
                  <c:v>0.38800000000000001</c:v>
                </c:pt>
                <c:pt idx="45">
                  <c:v>0.33500000000000002</c:v>
                </c:pt>
                <c:pt idx="46">
                  <c:v>4.1000000000000002E-2</c:v>
                </c:pt>
                <c:pt idx="47">
                  <c:v>0.151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2C6-48D2-B267-6E73371D52BB}"/>
            </c:ext>
          </c:extLst>
        </c:ser>
        <c:ser>
          <c:idx val="65"/>
          <c:order val="65"/>
          <c:tx>
            <c:v>BES_TR1_six909_C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Discharge_kW!$BP$2:$BP$49</c:f>
              <c:numCache>
                <c:formatCode>#,##0.000</c:formatCode>
                <c:ptCount val="4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4.8000000000000001E-2</c:v>
                </c:pt>
                <c:pt idx="8">
                  <c:v>1.9E-2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0.46700000000000003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0.16400000000000001</c:v>
                </c:pt>
                <c:pt idx="33">
                  <c:v>1.454</c:v>
                </c:pt>
                <c:pt idx="34">
                  <c:v>0</c:v>
                </c:pt>
                <c:pt idx="35">
                  <c:v>0.99400000000000011</c:v>
                </c:pt>
                <c:pt idx="36">
                  <c:v>3.456</c:v>
                </c:pt>
                <c:pt idx="37">
                  <c:v>1.6870000000000001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E2C6-48D2-B267-6E73371D52BB}"/>
            </c:ext>
          </c:extLst>
        </c:ser>
        <c:ser>
          <c:idx val="66"/>
          <c:order val="66"/>
          <c:tx>
            <c:v>BES_TR1_six105_A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Discharge_kW!$BQ$2:$BQ$49</c:f>
              <c:numCache>
                <c:formatCode>#,##0.000</c:formatCode>
                <c:ptCount val="48"/>
                <c:pt idx="0">
                  <c:v>0.36299999999999999</c:v>
                </c:pt>
                <c:pt idx="1">
                  <c:v>3.6999999999999998E-2</c:v>
                </c:pt>
                <c:pt idx="2">
                  <c:v>3.6999999999999998E-2</c:v>
                </c:pt>
                <c:pt idx="3">
                  <c:v>0.20699999999999999</c:v>
                </c:pt>
                <c:pt idx="4">
                  <c:v>3.6999999999999998E-2</c:v>
                </c:pt>
                <c:pt idx="5">
                  <c:v>0.13</c:v>
                </c:pt>
                <c:pt idx="6">
                  <c:v>0.114</c:v>
                </c:pt>
                <c:pt idx="7">
                  <c:v>3.5000000000000003E-2</c:v>
                </c:pt>
                <c:pt idx="8">
                  <c:v>0.17599999999999999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4.7E-2</c:v>
                </c:pt>
                <c:pt idx="40">
                  <c:v>0.11799999999999999</c:v>
                </c:pt>
                <c:pt idx="41">
                  <c:v>3.6999999999999998E-2</c:v>
                </c:pt>
                <c:pt idx="42">
                  <c:v>4.3999999999999997E-2</c:v>
                </c:pt>
                <c:pt idx="43">
                  <c:v>0.14699999999999999</c:v>
                </c:pt>
                <c:pt idx="44">
                  <c:v>0.51200000000000001</c:v>
                </c:pt>
                <c:pt idx="45">
                  <c:v>0.311</c:v>
                </c:pt>
                <c:pt idx="46">
                  <c:v>0.88300000000000001</c:v>
                </c:pt>
                <c:pt idx="47">
                  <c:v>0.75700000000000001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E2C6-48D2-B267-6E73371D52BB}"/>
            </c:ext>
          </c:extLst>
        </c:ser>
        <c:ser>
          <c:idx val="67"/>
          <c:order val="67"/>
          <c:tx>
            <c:v>BES_TR1_six914_A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Discharge_kW!$BR$2:$BR$49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4.8000000000000001E-2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4.8000000000000001E-2</c:v>
                </c:pt>
                <c:pt idx="7">
                  <c:v>4.5000000000000012E-2</c:v>
                </c:pt>
                <c:pt idx="8">
                  <c:v>3.2000000000000001E-2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0.18</c:v>
                </c:pt>
                <c:pt idx="40">
                  <c:v>1.3069999999999999</c:v>
                </c:pt>
                <c:pt idx="41">
                  <c:v>0.7</c:v>
                </c:pt>
                <c:pt idx="42">
                  <c:v>0.48599999999999999</c:v>
                </c:pt>
                <c:pt idx="43">
                  <c:v>0.40500000000000003</c:v>
                </c:pt>
                <c:pt idx="44">
                  <c:v>0.55199999999999994</c:v>
                </c:pt>
                <c:pt idx="45">
                  <c:v>0.54900000000000004</c:v>
                </c:pt>
                <c:pt idx="46">
                  <c:v>0.40699999999999997</c:v>
                </c:pt>
                <c:pt idx="47">
                  <c:v>0.20599999999999999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E2C6-48D2-B267-6E73371D52BB}"/>
            </c:ext>
          </c:extLst>
        </c:ser>
        <c:ser>
          <c:idx val="68"/>
          <c:order val="68"/>
          <c:tx>
            <c:v>BES_TR1_six945_C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Discharge_kW!$BS$2:$BS$49</c:f>
              <c:numCache>
                <c:formatCode>#,##0.000</c:formatCode>
                <c:ptCount val="48"/>
                <c:pt idx="0">
                  <c:v>0.10199999999999999</c:v>
                </c:pt>
                <c:pt idx="1">
                  <c:v>0.16</c:v>
                </c:pt>
                <c:pt idx="2">
                  <c:v>0.05</c:v>
                </c:pt>
                <c:pt idx="3">
                  <c:v>0.124</c:v>
                </c:pt>
                <c:pt idx="4">
                  <c:v>0.13800000000000001</c:v>
                </c:pt>
                <c:pt idx="5">
                  <c:v>0.05</c:v>
                </c:pt>
                <c:pt idx="6">
                  <c:v>0.21199999999999999</c:v>
                </c:pt>
                <c:pt idx="7">
                  <c:v>4.7E-2</c:v>
                </c:pt>
                <c:pt idx="8">
                  <c:v>0.10299999999999999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0.69200000000000006</c:v>
                </c:pt>
                <c:pt idx="40">
                  <c:v>1.728</c:v>
                </c:pt>
                <c:pt idx="41">
                  <c:v>0.55599999999999994</c:v>
                </c:pt>
                <c:pt idx="42">
                  <c:v>0.54500000000000004</c:v>
                </c:pt>
                <c:pt idx="43">
                  <c:v>0.40699999999999997</c:v>
                </c:pt>
                <c:pt idx="44">
                  <c:v>0.70499999999999996</c:v>
                </c:pt>
                <c:pt idx="45">
                  <c:v>0.44900000000000001</c:v>
                </c:pt>
                <c:pt idx="46">
                  <c:v>0.36399999999999999</c:v>
                </c:pt>
                <c:pt idx="47">
                  <c:v>0.20499999999999999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E2C6-48D2-B267-6E73371D52BB}"/>
            </c:ext>
          </c:extLst>
        </c:ser>
        <c:ser>
          <c:idx val="69"/>
          <c:order val="69"/>
          <c:tx>
            <c:v>BES_TR1_six952_A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Discharge_kW!$BT$2:$BT$49</c:f>
              <c:numCache>
                <c:formatCode>#,##0.000</c:formatCode>
                <c:ptCount val="48"/>
                <c:pt idx="0">
                  <c:v>5.5E-2</c:v>
                </c:pt>
                <c:pt idx="1">
                  <c:v>0.191</c:v>
                </c:pt>
                <c:pt idx="2">
                  <c:v>0.105</c:v>
                </c:pt>
                <c:pt idx="3">
                  <c:v>8.3999999999999991E-2</c:v>
                </c:pt>
                <c:pt idx="4">
                  <c:v>0.113</c:v>
                </c:pt>
                <c:pt idx="5">
                  <c:v>0.16400000000000001</c:v>
                </c:pt>
                <c:pt idx="6">
                  <c:v>0.13200000000000001</c:v>
                </c:pt>
                <c:pt idx="7">
                  <c:v>0.153</c:v>
                </c:pt>
                <c:pt idx="8">
                  <c:v>0.11700000000000001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0.501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1.2E-2</c:v>
                </c:pt>
                <c:pt idx="37">
                  <c:v>0.22600000000000001</c:v>
                </c:pt>
                <c:pt idx="38">
                  <c:v>0.26300000000000001</c:v>
                </c:pt>
                <c:pt idx="39">
                  <c:v>8.7999999999999995E-2</c:v>
                </c:pt>
                <c:pt idx="40">
                  <c:v>0.14499999999999999</c:v>
                </c:pt>
                <c:pt idx="41">
                  <c:v>0.14099999999999999</c:v>
                </c:pt>
                <c:pt idx="42">
                  <c:v>0.11899999999999999</c:v>
                </c:pt>
                <c:pt idx="43">
                  <c:v>9.0999999999999998E-2</c:v>
                </c:pt>
                <c:pt idx="44">
                  <c:v>0.11700000000000001</c:v>
                </c:pt>
                <c:pt idx="45">
                  <c:v>7.9000000000000001E-2</c:v>
                </c:pt>
                <c:pt idx="46">
                  <c:v>0.5109999999999999</c:v>
                </c:pt>
                <c:pt idx="47">
                  <c:v>0.42299999999999999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E2C6-48D2-B267-6E73371D52BB}"/>
            </c:ext>
          </c:extLst>
        </c:ser>
        <c:ser>
          <c:idx val="70"/>
          <c:order val="70"/>
          <c:tx>
            <c:v>BES_TR1_six967_B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Discharge_kW!$BU$2:$BU$49</c:f>
              <c:numCache>
                <c:formatCode>#,##0.000</c:formatCode>
                <c:ptCount val="48"/>
                <c:pt idx="0">
                  <c:v>0.214</c:v>
                </c:pt>
                <c:pt idx="1">
                  <c:v>5.5E-2</c:v>
                </c:pt>
                <c:pt idx="2">
                  <c:v>5.5E-2</c:v>
                </c:pt>
                <c:pt idx="3">
                  <c:v>0.214</c:v>
                </c:pt>
                <c:pt idx="4">
                  <c:v>5.5E-2</c:v>
                </c:pt>
                <c:pt idx="5">
                  <c:v>9.8000000000000004E-2</c:v>
                </c:pt>
                <c:pt idx="6">
                  <c:v>0.17</c:v>
                </c:pt>
                <c:pt idx="7">
                  <c:v>5.3999999999999999E-2</c:v>
                </c:pt>
                <c:pt idx="8">
                  <c:v>0.20100000000000001</c:v>
                </c:pt>
                <c:pt idx="9">
                  <c:v>0</c:v>
                </c:pt>
                <c:pt idx="10">
                  <c:v>0</c:v>
                </c:pt>
                <c:pt idx="11">
                  <c:v>7.0000000000000001E-3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1.6240000000000001</c:v>
                </c:pt>
                <c:pt idx="37">
                  <c:v>0.311</c:v>
                </c:pt>
                <c:pt idx="38">
                  <c:v>2.1579999999999999</c:v>
                </c:pt>
                <c:pt idx="39">
                  <c:v>0.35599999999999998</c:v>
                </c:pt>
                <c:pt idx="40">
                  <c:v>0.68599999999999994</c:v>
                </c:pt>
                <c:pt idx="41">
                  <c:v>0.45900000000000002</c:v>
                </c:pt>
                <c:pt idx="42">
                  <c:v>1.383</c:v>
                </c:pt>
                <c:pt idx="43">
                  <c:v>0.19500000000000001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2C6-48D2-B267-6E73371D52BB}"/>
            </c:ext>
          </c:extLst>
        </c:ser>
        <c:ser>
          <c:idx val="71"/>
          <c:order val="71"/>
          <c:tx>
            <c:v>BES_TR1_six990_B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Discharge_kW!$BV$2:$BV$49</c:f>
              <c:numCache>
                <c:formatCode>#,##0.000</c:formatCode>
                <c:ptCount val="48"/>
                <c:pt idx="0">
                  <c:v>0.14599999999999999</c:v>
                </c:pt>
                <c:pt idx="1">
                  <c:v>0.18099999999999999</c:v>
                </c:pt>
                <c:pt idx="2">
                  <c:v>0.13200000000000001</c:v>
                </c:pt>
                <c:pt idx="3">
                  <c:v>0.18</c:v>
                </c:pt>
                <c:pt idx="4">
                  <c:v>0.215</c:v>
                </c:pt>
                <c:pt idx="5">
                  <c:v>5.0999999999999997E-2</c:v>
                </c:pt>
                <c:pt idx="6">
                  <c:v>0.35099999999999998</c:v>
                </c:pt>
                <c:pt idx="7">
                  <c:v>4.8000000000000001E-2</c:v>
                </c:pt>
                <c:pt idx="8">
                  <c:v>0.249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0.222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6.0000000000000001E-3</c:v>
                </c:pt>
                <c:pt idx="40">
                  <c:v>0.35299999999999998</c:v>
                </c:pt>
                <c:pt idx="41">
                  <c:v>0.33500000000000002</c:v>
                </c:pt>
                <c:pt idx="42">
                  <c:v>0.34599999999999997</c:v>
                </c:pt>
                <c:pt idx="43">
                  <c:v>0.252</c:v>
                </c:pt>
                <c:pt idx="44">
                  <c:v>0.43</c:v>
                </c:pt>
                <c:pt idx="45">
                  <c:v>0.33900000000000002</c:v>
                </c:pt>
                <c:pt idx="46">
                  <c:v>0.4</c:v>
                </c:pt>
                <c:pt idx="47">
                  <c:v>0.40699999999999997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E2C6-48D2-B267-6E73371D52BB}"/>
            </c:ext>
          </c:extLst>
        </c:ser>
        <c:ser>
          <c:idx val="72"/>
          <c:order val="72"/>
          <c:tx>
            <c:v>BES_TR1_six1006_C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Discharge_kW!$BW$2:$BW$49</c:f>
              <c:numCache>
                <c:formatCode>#,##0.000</c:formatCode>
                <c:ptCount val="48"/>
                <c:pt idx="0">
                  <c:v>0.16800000000000001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0.16800000000000001</c:v>
                </c:pt>
                <c:pt idx="4">
                  <c:v>5.6000000000000001E-2</c:v>
                </c:pt>
                <c:pt idx="5">
                  <c:v>0.16800000000000001</c:v>
                </c:pt>
                <c:pt idx="6">
                  <c:v>5.6000000000000001E-2</c:v>
                </c:pt>
                <c:pt idx="7">
                  <c:v>5.2999999999999999E-2</c:v>
                </c:pt>
                <c:pt idx="8">
                  <c:v>1.2E-2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0.94300000000000006</c:v>
                </c:pt>
                <c:pt idx="26">
                  <c:v>2.2000000000000002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0.109</c:v>
                </c:pt>
                <c:pt idx="40">
                  <c:v>0.184</c:v>
                </c:pt>
                <c:pt idx="41">
                  <c:v>0.216</c:v>
                </c:pt>
                <c:pt idx="42">
                  <c:v>0.28999999999999998</c:v>
                </c:pt>
                <c:pt idx="43">
                  <c:v>0.24</c:v>
                </c:pt>
                <c:pt idx="44">
                  <c:v>0.45</c:v>
                </c:pt>
                <c:pt idx="45">
                  <c:v>0.311</c:v>
                </c:pt>
                <c:pt idx="46">
                  <c:v>0.36799999999999999</c:v>
                </c:pt>
                <c:pt idx="47">
                  <c:v>0.624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E2C6-48D2-B267-6E73371D52BB}"/>
            </c:ext>
          </c:extLst>
        </c:ser>
        <c:ser>
          <c:idx val="73"/>
          <c:order val="73"/>
          <c:tx>
            <c:v>BES_TR1_six1020_A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Discharge_kW!$BX$2:$BX$49</c:f>
              <c:numCache>
                <c:formatCode>#,##0.000</c:formatCode>
                <c:ptCount val="48"/>
                <c:pt idx="0">
                  <c:v>0.76</c:v>
                </c:pt>
                <c:pt idx="1">
                  <c:v>5.1999999999999998E-2</c:v>
                </c:pt>
                <c:pt idx="2">
                  <c:v>0.157</c:v>
                </c:pt>
                <c:pt idx="3">
                  <c:v>0.125</c:v>
                </c:pt>
                <c:pt idx="4">
                  <c:v>6.8000000000000005E-2</c:v>
                </c:pt>
                <c:pt idx="5">
                  <c:v>0.21299999999999999</c:v>
                </c:pt>
                <c:pt idx="6">
                  <c:v>5.1999999999999998E-2</c:v>
                </c:pt>
                <c:pt idx="7">
                  <c:v>0.153</c:v>
                </c:pt>
                <c:pt idx="8">
                  <c:v>7.4999999999999997E-2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3.6999999999999998E-2</c:v>
                </c:pt>
                <c:pt idx="39">
                  <c:v>0.317</c:v>
                </c:pt>
                <c:pt idx="40">
                  <c:v>0.55800000000000005</c:v>
                </c:pt>
                <c:pt idx="41">
                  <c:v>0.751</c:v>
                </c:pt>
                <c:pt idx="42">
                  <c:v>0.63800000000000001</c:v>
                </c:pt>
                <c:pt idx="43">
                  <c:v>0.11700000000000001</c:v>
                </c:pt>
                <c:pt idx="44">
                  <c:v>0.16500000000000001</c:v>
                </c:pt>
                <c:pt idx="45">
                  <c:v>0.11600000000000001</c:v>
                </c:pt>
                <c:pt idx="46">
                  <c:v>0.221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E2C6-48D2-B267-6E73371D52BB}"/>
            </c:ext>
          </c:extLst>
        </c:ser>
        <c:ser>
          <c:idx val="74"/>
          <c:order val="74"/>
          <c:tx>
            <c:v>BES_TR1_six1025_B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Discharge_kW!$BY$2:$BY$49</c:f>
              <c:numCache>
                <c:formatCode>#,##0.000</c:formatCode>
                <c:ptCount val="48"/>
                <c:pt idx="0">
                  <c:v>0.107</c:v>
                </c:pt>
                <c:pt idx="1">
                  <c:v>0.26500000000000001</c:v>
                </c:pt>
                <c:pt idx="2">
                  <c:v>0.126</c:v>
                </c:pt>
                <c:pt idx="3">
                  <c:v>0.443</c:v>
                </c:pt>
                <c:pt idx="4">
                  <c:v>8.8999999999999996E-2</c:v>
                </c:pt>
                <c:pt idx="5">
                  <c:v>0.36599999999999999</c:v>
                </c:pt>
                <c:pt idx="6">
                  <c:v>0.223</c:v>
                </c:pt>
                <c:pt idx="7">
                  <c:v>0.23200000000000001</c:v>
                </c:pt>
                <c:pt idx="8">
                  <c:v>0.29699999999999999</c:v>
                </c:pt>
                <c:pt idx="9">
                  <c:v>1.4999999999999999E-2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0.115</c:v>
                </c:pt>
                <c:pt idx="39">
                  <c:v>0.19800000000000001</c:v>
                </c:pt>
                <c:pt idx="40">
                  <c:v>1.6970000000000001</c:v>
                </c:pt>
                <c:pt idx="41">
                  <c:v>0.36599999999999999</c:v>
                </c:pt>
                <c:pt idx="42">
                  <c:v>0.628</c:v>
                </c:pt>
                <c:pt idx="43">
                  <c:v>0.87</c:v>
                </c:pt>
                <c:pt idx="44">
                  <c:v>0.48</c:v>
                </c:pt>
                <c:pt idx="45">
                  <c:v>0.47</c:v>
                </c:pt>
                <c:pt idx="46">
                  <c:v>0.45200000000000001</c:v>
                </c:pt>
                <c:pt idx="47">
                  <c:v>0.67800000000000005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E2C6-48D2-B267-6E73371D52BB}"/>
            </c:ext>
          </c:extLst>
        </c:ser>
        <c:ser>
          <c:idx val="75"/>
          <c:order val="75"/>
          <c:tx>
            <c:v>BES_TR1_six1064_C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Discharge_kW!$BZ$2:$BZ$49</c:f>
              <c:numCache>
                <c:formatCode>#,##0.000</c:formatCode>
                <c:ptCount val="48"/>
                <c:pt idx="0">
                  <c:v>4.3999999999999997E-2</c:v>
                </c:pt>
                <c:pt idx="1">
                  <c:v>4.3999999999999997E-2</c:v>
                </c:pt>
                <c:pt idx="2">
                  <c:v>0.105</c:v>
                </c:pt>
                <c:pt idx="3">
                  <c:v>0.151</c:v>
                </c:pt>
                <c:pt idx="4">
                  <c:v>4.3999999999999997E-2</c:v>
                </c:pt>
                <c:pt idx="5">
                  <c:v>4.3999999999999997E-2</c:v>
                </c:pt>
                <c:pt idx="6">
                  <c:v>4.3999999999999997E-2</c:v>
                </c:pt>
                <c:pt idx="7">
                  <c:v>4.2999999999999997E-2</c:v>
                </c:pt>
                <c:pt idx="8">
                  <c:v>3.2000000000000001E-2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0.48</c:v>
                </c:pt>
                <c:pt idx="26">
                  <c:v>0.499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3.4000000000000002E-2</c:v>
                </c:pt>
                <c:pt idx="39">
                  <c:v>0.24299999999999999</c:v>
                </c:pt>
                <c:pt idx="40">
                  <c:v>0.40799999999999997</c:v>
                </c:pt>
                <c:pt idx="41">
                  <c:v>0.27</c:v>
                </c:pt>
                <c:pt idx="42">
                  <c:v>0.35399999999999998</c:v>
                </c:pt>
                <c:pt idx="43">
                  <c:v>0.38400000000000001</c:v>
                </c:pt>
                <c:pt idx="44">
                  <c:v>0.38600000000000001</c:v>
                </c:pt>
                <c:pt idx="45">
                  <c:v>0.34899999999999998</c:v>
                </c:pt>
                <c:pt idx="46">
                  <c:v>0.22</c:v>
                </c:pt>
                <c:pt idx="47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E2C6-48D2-B267-6E73371D52BB}"/>
            </c:ext>
          </c:extLst>
        </c:ser>
        <c:ser>
          <c:idx val="76"/>
          <c:order val="76"/>
          <c:tx>
            <c:v>BES_TR1_six128_B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Discharge_kW!$CA$2:$CA$49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4.8000000000000001E-2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4.8000000000000001E-2</c:v>
                </c:pt>
                <c:pt idx="7">
                  <c:v>4.5000000000000012E-2</c:v>
                </c:pt>
                <c:pt idx="8">
                  <c:v>1.0999999999999999E-2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0.318</c:v>
                </c:pt>
                <c:pt idx="39">
                  <c:v>0.41099999999999998</c:v>
                </c:pt>
                <c:pt idx="40">
                  <c:v>0.53500000000000003</c:v>
                </c:pt>
                <c:pt idx="41">
                  <c:v>0.44</c:v>
                </c:pt>
                <c:pt idx="42">
                  <c:v>0.6</c:v>
                </c:pt>
                <c:pt idx="43">
                  <c:v>0.38700000000000001</c:v>
                </c:pt>
                <c:pt idx="44">
                  <c:v>0.51300000000000001</c:v>
                </c:pt>
                <c:pt idx="45">
                  <c:v>0.49399999999999999</c:v>
                </c:pt>
                <c:pt idx="46">
                  <c:v>0.67300000000000004</c:v>
                </c:pt>
                <c:pt idx="47">
                  <c:v>0.51300000000000001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E2C6-48D2-B267-6E73371D52BB}"/>
            </c:ext>
          </c:extLst>
        </c:ser>
        <c:ser>
          <c:idx val="77"/>
          <c:order val="77"/>
          <c:tx>
            <c:v>fleet average</c:v>
          </c:tx>
          <c:spPr>
            <a:ln w="28575">
              <a:solidFill>
                <a:srgbClr val="F05A28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ChartData!$X$2:$X$49</c:f>
              <c:numCache>
                <c:formatCode>#,##0.000</c:formatCode>
                <c:ptCount val="48"/>
                <c:pt idx="0">
                  <c:v>0.27302597402597395</c:v>
                </c:pt>
                <c:pt idx="1">
                  <c:v>0.17599999999999996</c:v>
                </c:pt>
                <c:pt idx="2">
                  <c:v>0.12401298701298701</c:v>
                </c:pt>
                <c:pt idx="3">
                  <c:v>0.13924675324675323</c:v>
                </c:pt>
                <c:pt idx="4">
                  <c:v>0.10158441558441557</c:v>
                </c:pt>
                <c:pt idx="5">
                  <c:v>0.12122077922077919</c:v>
                </c:pt>
                <c:pt idx="6">
                  <c:v>0.12644155844155838</c:v>
                </c:pt>
                <c:pt idx="7">
                  <c:v>9.4415584415584397E-2</c:v>
                </c:pt>
                <c:pt idx="8">
                  <c:v>8.7561889824675249E-2</c:v>
                </c:pt>
                <c:pt idx="9">
                  <c:v>2.290909090909091E-2</c:v>
                </c:pt>
                <c:pt idx="10">
                  <c:v>4.1558441558441558E-3</c:v>
                </c:pt>
                <c:pt idx="11">
                  <c:v>3.5064935064935067E-4</c:v>
                </c:pt>
                <c:pt idx="12">
                  <c:v>0</c:v>
                </c:pt>
                <c:pt idx="13">
                  <c:v>1.661038961038961E-2</c:v>
                </c:pt>
                <c:pt idx="14">
                  <c:v>1.4506493506493506E-2</c:v>
                </c:pt>
                <c:pt idx="15">
                  <c:v>8.5584415584415586E-3</c:v>
                </c:pt>
                <c:pt idx="16">
                  <c:v>0</c:v>
                </c:pt>
                <c:pt idx="17">
                  <c:v>3.7675324675324674E-2</c:v>
                </c:pt>
                <c:pt idx="18">
                  <c:v>1.3233766233766233E-2</c:v>
                </c:pt>
                <c:pt idx="19">
                  <c:v>4.5714285714285709E-3</c:v>
                </c:pt>
                <c:pt idx="20">
                  <c:v>3.2558441558441557E-2</c:v>
                </c:pt>
                <c:pt idx="21">
                  <c:v>7.7792207792207789E-3</c:v>
                </c:pt>
                <c:pt idx="22">
                  <c:v>7.4935064935064948E-3</c:v>
                </c:pt>
                <c:pt idx="23">
                  <c:v>4.3415584415584421E-2</c:v>
                </c:pt>
                <c:pt idx="24">
                  <c:v>3.4012987012987009E-2</c:v>
                </c:pt>
                <c:pt idx="25">
                  <c:v>2.2467532467532466E-2</c:v>
                </c:pt>
                <c:pt idx="26">
                  <c:v>4.3467532467532474E-2</c:v>
                </c:pt>
                <c:pt idx="27">
                  <c:v>1.0220779220779221E-2</c:v>
                </c:pt>
                <c:pt idx="28">
                  <c:v>1.6870129870129872E-2</c:v>
                </c:pt>
                <c:pt idx="29">
                  <c:v>0</c:v>
                </c:pt>
                <c:pt idx="30">
                  <c:v>2.0363636363636365E-2</c:v>
                </c:pt>
                <c:pt idx="31">
                  <c:v>1.8142857142857145E-2</c:v>
                </c:pt>
                <c:pt idx="32">
                  <c:v>8.5844155844155851E-3</c:v>
                </c:pt>
                <c:pt idx="33">
                  <c:v>4.3415584415584414E-2</c:v>
                </c:pt>
                <c:pt idx="34">
                  <c:v>8.9350649350649361E-2</c:v>
                </c:pt>
                <c:pt idx="35">
                  <c:v>7.3077922077922075E-2</c:v>
                </c:pt>
                <c:pt idx="36">
                  <c:v>0.16349350649350652</c:v>
                </c:pt>
                <c:pt idx="37">
                  <c:v>0.12454545454545454</c:v>
                </c:pt>
                <c:pt idx="38">
                  <c:v>0.16212987012987015</c:v>
                </c:pt>
                <c:pt idx="39">
                  <c:v>0.31418181818181823</c:v>
                </c:pt>
                <c:pt idx="40">
                  <c:v>0.51212987012987021</c:v>
                </c:pt>
                <c:pt idx="41">
                  <c:v>0.53601298701298716</c:v>
                </c:pt>
                <c:pt idx="42">
                  <c:v>0.51762337662337643</c:v>
                </c:pt>
                <c:pt idx="43">
                  <c:v>0.52020779220779201</c:v>
                </c:pt>
                <c:pt idx="44">
                  <c:v>0.44796103896103906</c:v>
                </c:pt>
                <c:pt idx="45">
                  <c:v>0.34941558441558446</c:v>
                </c:pt>
                <c:pt idx="46">
                  <c:v>0.28150649350649343</c:v>
                </c:pt>
                <c:pt idx="47">
                  <c:v>0.21720779220779232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E2C6-48D2-B267-6E73371D5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.7"/>
          <c:min val="-0.1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Discharging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8</xdr:col>
      <xdr:colOff>0</xdr:colOff>
      <xdr:row>41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8</xdr:col>
      <xdr:colOff>0</xdr:colOff>
      <xdr:row>59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showGridLines="0" workbookViewId="0"/>
  </sheetViews>
  <sheetFormatPr defaultRowHeight="15" x14ac:dyDescent="0.25"/>
  <cols>
    <col min="1" max="1" width="118" customWidth="1"/>
  </cols>
  <sheetData>
    <row r="1" spans="1:1" ht="27.95" customHeight="1" x14ac:dyDescent="0.25">
      <c r="A1" s="1" t="s">
        <v>0</v>
      </c>
    </row>
    <row r="2" spans="1:1" ht="33.950000000000003" customHeight="1" x14ac:dyDescent="0.25">
      <c r="A2" s="2" t="s">
        <v>1</v>
      </c>
    </row>
    <row r="3" spans="1:1" ht="33.950000000000003" customHeight="1" x14ac:dyDescent="0.25">
      <c r="A3" s="2" t="s">
        <v>2</v>
      </c>
    </row>
    <row r="4" spans="1:1" ht="33.950000000000003" customHeight="1" x14ac:dyDescent="0.25">
      <c r="A4" s="2" t="s">
        <v>3</v>
      </c>
    </row>
    <row r="5" spans="1:1" ht="33.950000000000003" customHeight="1" x14ac:dyDescent="0.25">
      <c r="A5" s="2" t="s">
        <v>4</v>
      </c>
    </row>
    <row r="6" spans="1:1" ht="33.950000000000003" customHeight="1" x14ac:dyDescent="0.25">
      <c r="A6" s="2" t="s">
        <v>5</v>
      </c>
    </row>
    <row r="7" spans="1:1" ht="33.950000000000003" customHeight="1" x14ac:dyDescent="0.25">
      <c r="A7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showGridLines="0" workbookViewId="0">
      <selection activeCell="D8" sqref="D8"/>
    </sheetView>
  </sheetViews>
  <sheetFormatPr defaultRowHeight="15" x14ac:dyDescent="0.25"/>
  <cols>
    <col min="1" max="1" width="30" customWidth="1"/>
    <col min="2" max="2" width="42.42578125" customWidth="1"/>
  </cols>
  <sheetData>
    <row r="1" spans="1:2" ht="30" customHeight="1" x14ac:dyDescent="0.25">
      <c r="A1" s="8" t="s">
        <v>7</v>
      </c>
      <c r="B1" s="9" t="s">
        <v>8</v>
      </c>
    </row>
    <row r="2" spans="1:2" ht="30" x14ac:dyDescent="0.25">
      <c r="A2" s="10" t="s">
        <v>9</v>
      </c>
      <c r="B2" s="12" t="s">
        <v>10</v>
      </c>
    </row>
    <row r="3" spans="1:2" x14ac:dyDescent="0.25">
      <c r="A3" s="10" t="s">
        <v>11</v>
      </c>
      <c r="B3" s="12" t="s">
        <v>12</v>
      </c>
    </row>
    <row r="4" spans="1:2" x14ac:dyDescent="0.25">
      <c r="A4" s="10" t="s">
        <v>13</v>
      </c>
      <c r="B4" s="12" t="s">
        <v>14</v>
      </c>
    </row>
    <row r="5" spans="1:2" x14ac:dyDescent="0.25">
      <c r="A5" s="13" t="s">
        <v>15</v>
      </c>
      <c r="B5" s="15">
        <v>77</v>
      </c>
    </row>
    <row r="6" spans="1:2" x14ac:dyDescent="0.25">
      <c r="A6" s="13" t="s">
        <v>16</v>
      </c>
      <c r="B6" s="15">
        <v>1797</v>
      </c>
    </row>
    <row r="7" spans="1:2" x14ac:dyDescent="0.25">
      <c r="A7" s="13" t="s">
        <v>17</v>
      </c>
      <c r="B7" s="15">
        <v>572.79999999999995</v>
      </c>
    </row>
    <row r="8" spans="1:2" x14ac:dyDescent="0.25">
      <c r="A8" s="13" t="s">
        <v>18</v>
      </c>
      <c r="B8" s="15">
        <v>1201.3</v>
      </c>
    </row>
    <row r="9" spans="1:2" x14ac:dyDescent="0.25">
      <c r="A9" s="13" t="s">
        <v>19</v>
      </c>
      <c r="B9" s="15">
        <v>22.6</v>
      </c>
    </row>
    <row r="10" spans="1:2" x14ac:dyDescent="0.25">
      <c r="A10" s="13" t="s">
        <v>20</v>
      </c>
      <c r="B10" s="16">
        <v>33.1</v>
      </c>
    </row>
    <row r="11" spans="1:2" x14ac:dyDescent="0.25">
      <c r="A11" s="13" t="s">
        <v>21</v>
      </c>
      <c r="B11" s="16">
        <v>96</v>
      </c>
    </row>
    <row r="12" spans="1:2" x14ac:dyDescent="0.25">
      <c r="A12" s="13" t="s">
        <v>22</v>
      </c>
      <c r="B12" s="16">
        <v>58.2</v>
      </c>
    </row>
    <row r="13" spans="1:2" x14ac:dyDescent="0.25">
      <c r="A13" s="13" t="s">
        <v>23</v>
      </c>
      <c r="B13" s="56" t="s">
        <v>24</v>
      </c>
    </row>
    <row r="14" spans="1:2" x14ac:dyDescent="0.25">
      <c r="A14" s="14" t="s">
        <v>25</v>
      </c>
      <c r="B14" s="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3" width="18.140625" customWidth="1"/>
    <col min="4" max="5" width="15" customWidth="1"/>
    <col min="6" max="6" width="19.140625" customWidth="1"/>
    <col min="7" max="8" width="15" customWidth="1"/>
    <col min="9" max="9" width="18.5703125" customWidth="1"/>
    <col min="10" max="11" width="15" customWidth="1"/>
  </cols>
  <sheetData>
    <row r="1" spans="1:11" ht="30" customHeight="1" x14ac:dyDescent="0.25">
      <c r="A1" s="8" t="s">
        <v>26</v>
      </c>
      <c r="B1" s="20" t="s">
        <v>27</v>
      </c>
      <c r="C1" s="20" t="s">
        <v>28</v>
      </c>
      <c r="D1" s="20" t="s">
        <v>29</v>
      </c>
      <c r="E1" s="20" t="s">
        <v>30</v>
      </c>
      <c r="F1" s="20" t="s">
        <v>31</v>
      </c>
      <c r="G1" s="20" t="s">
        <v>32</v>
      </c>
      <c r="H1" s="20" t="s">
        <v>33</v>
      </c>
      <c r="I1" s="20" t="s">
        <v>34</v>
      </c>
      <c r="J1" s="20" t="s">
        <v>35</v>
      </c>
      <c r="K1" s="9" t="s">
        <v>36</v>
      </c>
    </row>
    <row r="2" spans="1:11" x14ac:dyDescent="0.25">
      <c r="A2" s="23">
        <f>Demand_kW!A2</f>
        <v>1</v>
      </c>
      <c r="B2" s="25">
        <f>Demand_kW!B2</f>
        <v>0</v>
      </c>
      <c r="C2" s="27">
        <f>AVERAGE(Demand_kW!$C2:$CA2)</f>
        <v>0.27365083766233766</v>
      </c>
      <c r="D2" s="27">
        <f>AVERAGE(PV_kW!$C2:$CA2)</f>
        <v>0</v>
      </c>
      <c r="E2" s="27">
        <f>AVERAGE(Charge_kW!$C2:$CA2)</f>
        <v>0</v>
      </c>
      <c r="F2" s="27">
        <f>AVERAGE(Discharge_kW!$C2:$CA2)</f>
        <v>0.27302597402597395</v>
      </c>
      <c r="G2" s="27">
        <f t="shared" ref="G2:G49" si="0">C2-D2+E2-F2</f>
        <v>6.24863636363715E-4</v>
      </c>
      <c r="H2" s="25">
        <f>AVERAGE(SOC_pct!$C2:$CA2)</f>
        <v>40</v>
      </c>
      <c r="I2" s="29">
        <f>SUM(Demand_kW!$C2:$CA2)</f>
        <v>21.0711145</v>
      </c>
      <c r="J2" s="29">
        <f>SUM(PV_kW!$C2:$CA2)</f>
        <v>0</v>
      </c>
      <c r="K2" s="15">
        <f>I2-J2+SUM(Charge_kW!$C2:$CA2)-SUM(Discharge_kW!$C2:$CA2)</f>
        <v>4.811450000000761E-2</v>
      </c>
    </row>
    <row r="3" spans="1:11" x14ac:dyDescent="0.25">
      <c r="A3" s="23">
        <f>Demand_kW!A3</f>
        <v>2</v>
      </c>
      <c r="B3" s="25">
        <f>Demand_kW!B3</f>
        <v>0.5</v>
      </c>
      <c r="C3" s="27">
        <f>AVERAGE(Demand_kW!$C3:$CA3)</f>
        <v>0.17791697748917748</v>
      </c>
      <c r="D3" s="27">
        <f>AVERAGE(PV_kW!$C3:$CA3)</f>
        <v>0</v>
      </c>
      <c r="E3" s="27">
        <f>AVERAGE(Charge_kW!$C3:$CA3)</f>
        <v>0</v>
      </c>
      <c r="F3" s="27">
        <f>AVERAGE(Discharge_kW!$C3:$CA3)</f>
        <v>0.17599999999999996</v>
      </c>
      <c r="G3" s="27">
        <f t="shared" si="0"/>
        <v>1.9169774891775182E-3</v>
      </c>
      <c r="H3" s="25">
        <f>AVERAGE(SOC_pct!$C3:$CA3)</f>
        <v>36.573880519480525</v>
      </c>
      <c r="I3" s="29">
        <f>SUM(Demand_kW!$C3:$CA3)</f>
        <v>13.699607266666666</v>
      </c>
      <c r="J3" s="29">
        <f>SUM(PV_kW!$C3:$CA3)</f>
        <v>0</v>
      </c>
      <c r="K3" s="15">
        <f>I3-J3+SUM(Charge_kW!$C3:$CA3)-SUM(Discharge_kW!$C3:$CA3)</f>
        <v>0.1476072666666699</v>
      </c>
    </row>
    <row r="4" spans="1:11" x14ac:dyDescent="0.25">
      <c r="A4" s="23">
        <f>Demand_kW!A4</f>
        <v>3</v>
      </c>
      <c r="B4" s="25">
        <f>Demand_kW!B4</f>
        <v>1</v>
      </c>
      <c r="C4" s="27">
        <f>AVERAGE(Demand_kW!$C4:$CA4)</f>
        <v>0.12574829870129872</v>
      </c>
      <c r="D4" s="27">
        <f>AVERAGE(PV_kW!$C4:$CA4)</f>
        <v>0</v>
      </c>
      <c r="E4" s="27">
        <f>AVERAGE(Charge_kW!$C4:$CA4)</f>
        <v>0</v>
      </c>
      <c r="F4" s="27">
        <f>AVERAGE(Discharge_kW!$C4:$CA4)</f>
        <v>0.12401298701298701</v>
      </c>
      <c r="G4" s="27">
        <f t="shared" si="0"/>
        <v>1.7353116883117164E-3</v>
      </c>
      <c r="H4" s="25">
        <f>AVERAGE(SOC_pct!$C4:$CA4)</f>
        <v>34.364816883116895</v>
      </c>
      <c r="I4" s="29">
        <f>SUM(Demand_kW!$C4:$CA4)</f>
        <v>9.6826190000000025</v>
      </c>
      <c r="J4" s="29">
        <f>SUM(PV_kW!$C4:$CA4)</f>
        <v>0</v>
      </c>
      <c r="K4" s="15">
        <f>I4-J4+SUM(Charge_kW!$C4:$CA4)-SUM(Discharge_kW!$C4:$CA4)</f>
        <v>0.13361900000000304</v>
      </c>
    </row>
    <row r="5" spans="1:11" x14ac:dyDescent="0.25">
      <c r="A5" s="23">
        <f>Demand_kW!A5</f>
        <v>4</v>
      </c>
      <c r="B5" s="25">
        <f>Demand_kW!B5</f>
        <v>1.5</v>
      </c>
      <c r="C5" s="27">
        <f>AVERAGE(Demand_kW!$C5:$CA5)</f>
        <v>0.14186490822510817</v>
      </c>
      <c r="D5" s="27">
        <f>AVERAGE(PV_kW!$C5:$CA5)</f>
        <v>0</v>
      </c>
      <c r="E5" s="27">
        <f>AVERAGE(Charge_kW!$C5:$CA5)</f>
        <v>0</v>
      </c>
      <c r="F5" s="27">
        <f>AVERAGE(Discharge_kW!$C5:$CA5)</f>
        <v>0.13924675324675323</v>
      </c>
      <c r="G5" s="27">
        <f t="shared" si="0"/>
        <v>2.6181549783549363E-3</v>
      </c>
      <c r="H5" s="25">
        <f>AVERAGE(SOC_pct!$C5:$CA5)</f>
        <v>32.808424675324666</v>
      </c>
      <c r="I5" s="29">
        <f>SUM(Demand_kW!$C5:$CA5)</f>
        <v>10.92359793333333</v>
      </c>
      <c r="J5" s="29">
        <f>SUM(PV_kW!$C5:$CA5)</f>
        <v>0</v>
      </c>
      <c r="K5" s="15">
        <f>I5-J5+SUM(Charge_kW!$C5:$CA5)-SUM(Discharge_kW!$C5:$CA5)</f>
        <v>0.20159793333333198</v>
      </c>
    </row>
    <row r="6" spans="1:11" x14ac:dyDescent="0.25">
      <c r="A6" s="23">
        <f>Demand_kW!A6</f>
        <v>5</v>
      </c>
      <c r="B6" s="25">
        <f>Demand_kW!B6</f>
        <v>2</v>
      </c>
      <c r="C6" s="27">
        <f>AVERAGE(Demand_kW!$C6:$CA6)</f>
        <v>0.10638473160173162</v>
      </c>
      <c r="D6" s="27">
        <f>AVERAGE(PV_kW!$C6:$CA6)</f>
        <v>0</v>
      </c>
      <c r="E6" s="27">
        <f>AVERAGE(Charge_kW!$C6:$CA6)</f>
        <v>0</v>
      </c>
      <c r="F6" s="27">
        <f>AVERAGE(Discharge_kW!$C6:$CA6)</f>
        <v>0.10158441558441557</v>
      </c>
      <c r="G6" s="27">
        <f t="shared" si="0"/>
        <v>4.8003160173160503E-3</v>
      </c>
      <c r="H6" s="25">
        <f>AVERAGE(SOC_pct!$C6:$CA6)</f>
        <v>31.061216883116892</v>
      </c>
      <c r="I6" s="29">
        <f>SUM(Demand_kW!$C6:$CA6)</f>
        <v>8.1916243333333352</v>
      </c>
      <c r="J6" s="29">
        <f>SUM(PV_kW!$C6:$CA6)</f>
        <v>0</v>
      </c>
      <c r="K6" s="15">
        <f>I6-J6+SUM(Charge_kW!$C6:$CA6)-SUM(Discharge_kW!$C6:$CA6)</f>
        <v>0.369624333333336</v>
      </c>
    </row>
    <row r="7" spans="1:11" x14ac:dyDescent="0.25">
      <c r="A7" s="23">
        <f>Demand_kW!A7</f>
        <v>6</v>
      </c>
      <c r="B7" s="25">
        <f>Demand_kW!B7</f>
        <v>2.5</v>
      </c>
      <c r="C7" s="27">
        <f>AVERAGE(Demand_kW!$C7:$CA7)</f>
        <v>0.12450445800865813</v>
      </c>
      <c r="D7" s="27">
        <f>AVERAGE(PV_kW!$C7:$CA7)</f>
        <v>0</v>
      </c>
      <c r="E7" s="27">
        <f>AVERAGE(Charge_kW!$C7:$CA7)</f>
        <v>0</v>
      </c>
      <c r="F7" s="27">
        <f>AVERAGE(Discharge_kW!$C7:$CA7)</f>
        <v>0.12122077922077919</v>
      </c>
      <c r="G7" s="27">
        <f t="shared" si="0"/>
        <v>3.2836787878789409E-3</v>
      </c>
      <c r="H7" s="25">
        <f>AVERAGE(SOC_pct!$C7:$CA7)</f>
        <v>29.7866909090909</v>
      </c>
      <c r="I7" s="29">
        <f>SUM(Demand_kW!$C7:$CA7)</f>
        <v>9.5868432666666763</v>
      </c>
      <c r="J7" s="29">
        <f>SUM(PV_kW!$C7:$CA7)</f>
        <v>0</v>
      </c>
      <c r="K7" s="15">
        <f>I7-J7+SUM(Charge_kW!$C7:$CA7)-SUM(Discharge_kW!$C7:$CA7)</f>
        <v>0.25284326666667845</v>
      </c>
    </row>
    <row r="8" spans="1:11" x14ac:dyDescent="0.25">
      <c r="A8" s="23">
        <f>Demand_kW!A8</f>
        <v>7</v>
      </c>
      <c r="B8" s="25">
        <f>Demand_kW!B8</f>
        <v>3</v>
      </c>
      <c r="C8" s="27">
        <f>AVERAGE(Demand_kW!$C8:$CA8)</f>
        <v>0.13204340259740255</v>
      </c>
      <c r="D8" s="27">
        <f>AVERAGE(PV_kW!$C8:$CA8)</f>
        <v>0</v>
      </c>
      <c r="E8" s="27">
        <f>AVERAGE(Charge_kW!$C8:$CA8)</f>
        <v>0</v>
      </c>
      <c r="F8" s="27">
        <f>AVERAGE(Discharge_kW!$C8:$CA8)</f>
        <v>0.12644155844155838</v>
      </c>
      <c r="G8" s="27">
        <f t="shared" si="0"/>
        <v>5.6018441558441656E-3</v>
      </c>
      <c r="H8" s="25">
        <f>AVERAGE(SOC_pct!$C8:$CA8)</f>
        <v>28.265666233766233</v>
      </c>
      <c r="I8" s="29">
        <f>SUM(Demand_kW!$C8:$CA8)</f>
        <v>10.167341999999996</v>
      </c>
      <c r="J8" s="29">
        <f>SUM(PV_kW!$C8:$CA8)</f>
        <v>0</v>
      </c>
      <c r="K8" s="15">
        <f>I8-J8+SUM(Charge_kW!$C8:$CA8)-SUM(Discharge_kW!$C8:$CA8)</f>
        <v>0.43134200000000078</v>
      </c>
    </row>
    <row r="9" spans="1:11" x14ac:dyDescent="0.25">
      <c r="A9" s="23">
        <f>Demand_kW!A9</f>
        <v>8</v>
      </c>
      <c r="B9" s="25">
        <f>Demand_kW!B9</f>
        <v>3.5</v>
      </c>
      <c r="C9" s="27">
        <f>AVERAGE(Demand_kW!$C9:$CA9)</f>
        <v>0.10227012554112556</v>
      </c>
      <c r="D9" s="27">
        <f>AVERAGE(PV_kW!$C9:$CA9)</f>
        <v>2.4856453614718623E-3</v>
      </c>
      <c r="E9" s="27">
        <f>AVERAGE(Charge_kW!$C9:$CA9)</f>
        <v>0</v>
      </c>
      <c r="F9" s="27">
        <f>AVERAGE(Discharge_kW!$C9:$CA9)</f>
        <v>9.4415584415584397E-2</v>
      </c>
      <c r="G9" s="27">
        <f t="shared" si="0"/>
        <v>5.3688957640693064E-3</v>
      </c>
      <c r="H9" s="25">
        <f>AVERAGE(SOC_pct!$C9:$CA9)</f>
        <v>26.67901688311688</v>
      </c>
      <c r="I9" s="29">
        <f>SUM(Demand_kW!$C9:$CA9)</f>
        <v>7.8747996666666689</v>
      </c>
      <c r="J9" s="29">
        <f>SUM(PV_kW!$C9:$CA9)</f>
        <v>0.19139469283333341</v>
      </c>
      <c r="K9" s="15">
        <f>I9-J9+SUM(Charge_kW!$C9:$CA9)-SUM(Discharge_kW!$C9:$CA9)</f>
        <v>0.41340497383333652</v>
      </c>
    </row>
    <row r="10" spans="1:11" x14ac:dyDescent="0.25">
      <c r="A10" s="23">
        <f>Demand_kW!A10</f>
        <v>9</v>
      </c>
      <c r="B10" s="25">
        <f>Demand_kW!B10</f>
        <v>4</v>
      </c>
      <c r="C10" s="27">
        <f>AVERAGE(Demand_kW!$C10:$CA10)</f>
        <v>0.12989527619047619</v>
      </c>
      <c r="D10" s="27">
        <f>AVERAGE(PV_kW!$C10:$CA10)</f>
        <v>3.592832658658001E-2</v>
      </c>
      <c r="E10" s="27">
        <f>AVERAGE(Charge_kW!$C10:$CA10)</f>
        <v>5.1948051948051951E-5</v>
      </c>
      <c r="F10" s="27">
        <f>AVERAGE(Discharge_kW!$C10:$CA10)</f>
        <v>8.7561889824675249E-2</v>
      </c>
      <c r="G10" s="27">
        <f t="shared" si="0"/>
        <v>6.4570078311689816E-3</v>
      </c>
      <c r="H10" s="25">
        <f>AVERAGE(SOC_pct!$C10:$CA10)</f>
        <v>25.494477922077916</v>
      </c>
      <c r="I10" s="29">
        <f>SUM(Demand_kW!$C10:$CA10)</f>
        <v>10.001936266666666</v>
      </c>
      <c r="J10" s="29">
        <f>SUM(PV_kW!$C10:$CA10)</f>
        <v>2.7664811471666608</v>
      </c>
      <c r="K10" s="15">
        <f>I10-J10+SUM(Charge_kW!$C10:$CA10)-SUM(Discharge_kW!$C10:$CA10)</f>
        <v>0.49718960300001047</v>
      </c>
    </row>
    <row r="11" spans="1:11" x14ac:dyDescent="0.25">
      <c r="A11" s="23">
        <f>Demand_kW!A11</f>
        <v>10</v>
      </c>
      <c r="B11" s="25">
        <f>Demand_kW!B11</f>
        <v>4.5</v>
      </c>
      <c r="C11" s="27">
        <f>AVERAGE(Demand_kW!$C11:$CA11)</f>
        <v>0.11673561904761907</v>
      </c>
      <c r="D11" s="27">
        <f>AVERAGE(PV_kW!$C11:$CA11)</f>
        <v>0.16801174180844164</v>
      </c>
      <c r="E11" s="27">
        <f>AVERAGE(Charge_kW!$C11:$CA11)</f>
        <v>7.4155844155844114E-2</v>
      </c>
      <c r="F11" s="27">
        <f>AVERAGE(Discharge_kW!$C11:$CA11)</f>
        <v>2.290909090909091E-2</v>
      </c>
      <c r="G11" s="27">
        <f t="shared" si="0"/>
        <v>-2.9369514069361308E-5</v>
      </c>
      <c r="H11" s="25">
        <f>AVERAGE(SOC_pct!$C11:$CA11)</f>
        <v>24.396470129870128</v>
      </c>
      <c r="I11" s="29">
        <f>SUM(Demand_kW!$C11:$CA11)</f>
        <v>8.988642666666669</v>
      </c>
      <c r="J11" s="29">
        <f>SUM(PV_kW!$C11:$CA11)</f>
        <v>12.936904119250006</v>
      </c>
      <c r="K11" s="15">
        <f>I11-J11+SUM(Charge_kW!$C11:$CA11)-SUM(Discharge_kW!$C11:$CA11)</f>
        <v>-2.2614525833393184E-3</v>
      </c>
    </row>
    <row r="12" spans="1:11" x14ac:dyDescent="0.25">
      <c r="A12" s="23">
        <f>Demand_kW!A12</f>
        <v>11</v>
      </c>
      <c r="B12" s="25">
        <f>Demand_kW!B12</f>
        <v>5</v>
      </c>
      <c r="C12" s="27">
        <f>AVERAGE(Demand_kW!$C12:$CA12)</f>
        <v>0.10857823463203468</v>
      </c>
      <c r="D12" s="27">
        <f>AVERAGE(PV_kW!$C12:$CA12)</f>
        <v>0.33327342253030412</v>
      </c>
      <c r="E12" s="27">
        <f>AVERAGE(Charge_kW!$C12:$CA12)</f>
        <v>0.22951948051948048</v>
      </c>
      <c r="F12" s="27">
        <f>AVERAGE(Discharge_kW!$C12:$CA12)</f>
        <v>4.1558441558441558E-3</v>
      </c>
      <c r="G12" s="27">
        <f t="shared" si="0"/>
        <v>6.6844846536690677E-4</v>
      </c>
      <c r="H12" s="25">
        <f>AVERAGE(SOC_pct!$C12:$CA12)</f>
        <v>24.946828571428572</v>
      </c>
      <c r="I12" s="29">
        <f>SUM(Demand_kW!$C12:$CA12)</f>
        <v>8.3605240666666703</v>
      </c>
      <c r="J12" s="29">
        <f>SUM(PV_kW!$C12:$CA12)</f>
        <v>25.662053534833415</v>
      </c>
      <c r="K12" s="15">
        <f>I12-J12+SUM(Charge_kW!$C12:$CA12)-SUM(Discharge_kW!$C12:$CA12)</f>
        <v>5.1470531833253397E-2</v>
      </c>
    </row>
    <row r="13" spans="1:11" x14ac:dyDescent="0.25">
      <c r="A13" s="23">
        <f>Demand_kW!A13</f>
        <v>12</v>
      </c>
      <c r="B13" s="25">
        <f>Demand_kW!B13</f>
        <v>5.5</v>
      </c>
      <c r="C13" s="27">
        <f>AVERAGE(Demand_kW!$C13:$CA13)</f>
        <v>0.12560554372294375</v>
      </c>
      <c r="D13" s="27">
        <f>AVERAGE(PV_kW!$C13:$CA13)</f>
        <v>0.53592012915151432</v>
      </c>
      <c r="E13" s="27">
        <f>AVERAGE(Charge_kW!$C13:$CA13)</f>
        <v>0.41070129870129873</v>
      </c>
      <c r="F13" s="27">
        <f>AVERAGE(Discharge_kW!$C13:$CA13)</f>
        <v>3.5064935064935067E-4</v>
      </c>
      <c r="G13" s="27">
        <f t="shared" si="0"/>
        <v>3.6063922078805695E-5</v>
      </c>
      <c r="H13" s="25">
        <f>AVERAGE(SOC_pct!$C13:$CA13)</f>
        <v>27.486579220779216</v>
      </c>
      <c r="I13" s="29">
        <f>SUM(Demand_kW!$C13:$CA13)</f>
        <v>9.6716268666666689</v>
      </c>
      <c r="J13" s="29">
        <f>SUM(PV_kW!$C13:$CA13)</f>
        <v>41.265849944666606</v>
      </c>
      <c r="K13" s="15">
        <f>I13-J13+SUM(Charge_kW!$C13:$CA13)-SUM(Discharge_kW!$C13:$CA13)</f>
        <v>2.7769220000674298E-3</v>
      </c>
    </row>
    <row r="14" spans="1:11" x14ac:dyDescent="0.25">
      <c r="A14" s="23">
        <f>Demand_kW!A14</f>
        <v>13</v>
      </c>
      <c r="B14" s="25">
        <f>Demand_kW!B14</f>
        <v>6</v>
      </c>
      <c r="C14" s="27">
        <f>AVERAGE(Demand_kW!$C14:$CA14)</f>
        <v>0.12527523722943723</v>
      </c>
      <c r="D14" s="27">
        <f>AVERAGE(PV_kW!$C14:$CA14)</f>
        <v>0.75701911320887538</v>
      </c>
      <c r="E14" s="27">
        <f>AVERAGE(Charge_kW!$C14:$CA14)</f>
        <v>0.6317922077922079</v>
      </c>
      <c r="F14" s="27">
        <f>AVERAGE(Discharge_kW!$C14:$CA14)</f>
        <v>0</v>
      </c>
      <c r="G14" s="27">
        <f t="shared" si="0"/>
        <v>4.8331812769752958E-5</v>
      </c>
      <c r="H14" s="25">
        <f>AVERAGE(SOC_pct!$C14:$CA14)</f>
        <v>32.120254545454557</v>
      </c>
      <c r="I14" s="29">
        <f>SUM(Demand_kW!$C14:$CA14)</f>
        <v>9.6461932666666677</v>
      </c>
      <c r="J14" s="29">
        <f>SUM(PV_kW!$C14:$CA14)</f>
        <v>58.290471717083406</v>
      </c>
      <c r="K14" s="15">
        <f>I14-J14+SUM(Charge_kW!$C14:$CA14)-SUM(Discharge_kW!$C14:$CA14)</f>
        <v>3.7215495832754186E-3</v>
      </c>
    </row>
    <row r="15" spans="1:11" x14ac:dyDescent="0.25">
      <c r="A15" s="23">
        <f>Demand_kW!A15</f>
        <v>14</v>
      </c>
      <c r="B15" s="25">
        <f>Demand_kW!B15</f>
        <v>6.5</v>
      </c>
      <c r="C15" s="27">
        <f>AVERAGE(Demand_kW!$C15:$CA15)</f>
        <v>0.17732045021645029</v>
      </c>
      <c r="D15" s="27">
        <f>AVERAGE(PV_kW!$C15:$CA15)</f>
        <v>0.98083574617099456</v>
      </c>
      <c r="E15" s="27">
        <f>AVERAGE(Charge_kW!$C15:$CA15)</f>
        <v>0.8201688311688311</v>
      </c>
      <c r="F15" s="27">
        <f>AVERAGE(Discharge_kW!$C15:$CA15)</f>
        <v>1.661038961038961E-2</v>
      </c>
      <c r="G15" s="27">
        <f t="shared" si="0"/>
        <v>4.3145603897197515E-5</v>
      </c>
      <c r="H15" s="25">
        <f>AVERAGE(SOC_pct!$C15:$CA15)</f>
        <v>39.255199999999995</v>
      </c>
      <c r="I15" s="29">
        <f>SUM(Demand_kW!$C15:$CA15)</f>
        <v>13.653674666666673</v>
      </c>
      <c r="J15" s="29">
        <f>SUM(PV_kW!$C15:$CA15)</f>
        <v>75.524352455166579</v>
      </c>
      <c r="K15" s="15">
        <f>I15-J15+SUM(Charge_kW!$C15:$CA15)-SUM(Discharge_kW!$C15:$CA15)</f>
        <v>3.3222115000945962E-3</v>
      </c>
    </row>
    <row r="16" spans="1:11" x14ac:dyDescent="0.25">
      <c r="A16" s="23">
        <f>Demand_kW!A16</f>
        <v>15</v>
      </c>
      <c r="B16" s="25">
        <f>Demand_kW!B16</f>
        <v>7</v>
      </c>
      <c r="C16" s="27">
        <f>AVERAGE(Demand_kW!$C16:$CA16)</f>
        <v>0.1527245432900434</v>
      </c>
      <c r="D16" s="27">
        <f>AVERAGE(PV_kW!$C16:$CA16)</f>
        <v>1.2034934373149353</v>
      </c>
      <c r="E16" s="27">
        <f>AVERAGE(Charge_kW!$C16:$CA16)</f>
        <v>1.0652987012987012</v>
      </c>
      <c r="F16" s="27">
        <f>AVERAGE(Discharge_kW!$C16:$CA16)</f>
        <v>1.4506493506493506E-2</v>
      </c>
      <c r="G16" s="27">
        <f t="shared" si="0"/>
        <v>2.3313767315864126E-5</v>
      </c>
      <c r="H16" s="25">
        <f>AVERAGE(SOC_pct!$C16:$CA16)</f>
        <v>48.309303896103891</v>
      </c>
      <c r="I16" s="29">
        <f>SUM(Demand_kW!$C16:$CA16)</f>
        <v>11.759789833333341</v>
      </c>
      <c r="J16" s="29">
        <f>SUM(PV_kW!$C16:$CA16)</f>
        <v>92.668994673250026</v>
      </c>
      <c r="K16" s="15">
        <f>I16-J16+SUM(Charge_kW!$C16:$CA16)-SUM(Discharge_kW!$C16:$CA16)</f>
        <v>1.7951600833088222E-3</v>
      </c>
    </row>
    <row r="17" spans="1:11" x14ac:dyDescent="0.25">
      <c r="A17" s="23">
        <f>Demand_kW!A17</f>
        <v>16</v>
      </c>
      <c r="B17" s="25">
        <f>Demand_kW!B17</f>
        <v>7.5</v>
      </c>
      <c r="C17" s="27">
        <f>AVERAGE(Demand_kW!$C17:$CA17)</f>
        <v>0.20312778701298703</v>
      </c>
      <c r="D17" s="27">
        <f>AVERAGE(PV_kW!$C17:$CA17)</f>
        <v>1.4264750163149347</v>
      </c>
      <c r="E17" s="27">
        <f>AVERAGE(Charge_kW!$C17:$CA17)</f>
        <v>1.1604415584415586</v>
      </c>
      <c r="F17" s="27">
        <f>AVERAGE(Discharge_kW!$C17:$CA17)</f>
        <v>8.5584415584415586E-3</v>
      </c>
      <c r="G17" s="27">
        <f t="shared" si="0"/>
        <v>-7.1464112418830564E-2</v>
      </c>
      <c r="H17" s="25">
        <f>AVERAGE(SOC_pct!$C17:$CA17)</f>
        <v>60.158535064935066</v>
      </c>
      <c r="I17" s="29">
        <f>SUM(Demand_kW!$C17:$CA17)</f>
        <v>15.640839600000001</v>
      </c>
      <c r="J17" s="29">
        <f>SUM(PV_kW!$C17:$CA17)</f>
        <v>109.83857625624997</v>
      </c>
      <c r="K17" s="15">
        <f>I17-J17+SUM(Charge_kW!$C17:$CA17)-SUM(Discharge_kW!$C17:$CA17)</f>
        <v>-5.5027366562499447</v>
      </c>
    </row>
    <row r="18" spans="1:11" x14ac:dyDescent="0.25">
      <c r="A18" s="23">
        <f>Demand_kW!A18</f>
        <v>17</v>
      </c>
      <c r="B18" s="25">
        <f>Demand_kW!B18</f>
        <v>8</v>
      </c>
      <c r="C18" s="27">
        <f>AVERAGE(Demand_kW!$C18:$CA18)</f>
        <v>0.24040257705627702</v>
      </c>
      <c r="D18" s="27">
        <f>AVERAGE(PV_kW!$C18:$CA18)</f>
        <v>1.6357574386829017</v>
      </c>
      <c r="E18" s="27">
        <f>AVERAGE(Charge_kW!$C18:$CA18)</f>
        <v>0.81971428571428573</v>
      </c>
      <c r="F18" s="27">
        <f>AVERAGE(Discharge_kW!$C18:$CA18)</f>
        <v>0</v>
      </c>
      <c r="G18" s="27">
        <f t="shared" si="0"/>
        <v>-0.57564057591233897</v>
      </c>
      <c r="H18" s="25">
        <f>AVERAGE(SOC_pct!$C18:$CA18)</f>
        <v>73.156985714285739</v>
      </c>
      <c r="I18" s="29">
        <f>SUM(Demand_kW!$C18:$CA18)</f>
        <v>18.510998433333331</v>
      </c>
      <c r="J18" s="29">
        <f>SUM(PV_kW!$C18:$CA18)</f>
        <v>125.95332277858343</v>
      </c>
      <c r="K18" s="15">
        <f>I18-J18+SUM(Charge_kW!$C18:$CA18)-SUM(Discharge_kW!$C18:$CA18)</f>
        <v>-44.324324345250098</v>
      </c>
    </row>
    <row r="19" spans="1:11" x14ac:dyDescent="0.25">
      <c r="A19" s="23">
        <f>Demand_kW!A19</f>
        <v>18</v>
      </c>
      <c r="B19" s="25">
        <f>Demand_kW!B19</f>
        <v>8.5</v>
      </c>
      <c r="C19" s="27">
        <f>AVERAGE(Demand_kW!$C19:$CA19)</f>
        <v>0.42736067878787914</v>
      </c>
      <c r="D19" s="27">
        <f>AVERAGE(PV_kW!$C19:$CA19)</f>
        <v>1.8324832231363626</v>
      </c>
      <c r="E19" s="27">
        <f>AVERAGE(Charge_kW!$C19:$CA19)</f>
        <v>0.50855844155844154</v>
      </c>
      <c r="F19" s="27">
        <f>AVERAGE(Discharge_kW!$C19:$CA19)</f>
        <v>3.7675324675324674E-2</v>
      </c>
      <c r="G19" s="27">
        <f t="shared" si="0"/>
        <v>-0.93423942746536648</v>
      </c>
      <c r="H19" s="25">
        <f>AVERAGE(SOC_pct!$C19:$CA19)</f>
        <v>82.415048051948077</v>
      </c>
      <c r="I19" s="29">
        <f>SUM(Demand_kW!$C19:$CA19)</f>
        <v>32.906772266666692</v>
      </c>
      <c r="J19" s="29">
        <f>SUM(PV_kW!$C19:$CA19)</f>
        <v>141.10120818149991</v>
      </c>
      <c r="K19" s="15">
        <f>I19-J19+SUM(Charge_kW!$C19:$CA19)-SUM(Discharge_kW!$C19:$CA19)</f>
        <v>-71.936435914833211</v>
      </c>
    </row>
    <row r="20" spans="1:11" x14ac:dyDescent="0.25">
      <c r="A20" s="23">
        <f>Demand_kW!A20</f>
        <v>19</v>
      </c>
      <c r="B20" s="25">
        <f>Demand_kW!B20</f>
        <v>9</v>
      </c>
      <c r="C20" s="27">
        <f>AVERAGE(Demand_kW!$C20:$CA20)</f>
        <v>0.38556298008658019</v>
      </c>
      <c r="D20" s="27">
        <f>AVERAGE(PV_kW!$C20:$CA20)</f>
        <v>2.0000260330952391</v>
      </c>
      <c r="E20" s="27">
        <f>AVERAGE(Charge_kW!$C20:$CA20)</f>
        <v>0.34736363636363637</v>
      </c>
      <c r="F20" s="27">
        <f>AVERAGE(Discharge_kW!$C20:$CA20)</f>
        <v>1.3233766233766233E-2</v>
      </c>
      <c r="G20" s="27">
        <f t="shared" si="0"/>
        <v>-1.2803331828787889</v>
      </c>
      <c r="H20" s="25">
        <f>AVERAGE(SOC_pct!$C20:$CA20)</f>
        <v>87.685548051948061</v>
      </c>
      <c r="I20" s="29">
        <f>SUM(Demand_kW!$C20:$CA20)</f>
        <v>29.688349466666676</v>
      </c>
      <c r="J20" s="29">
        <f>SUM(PV_kW!$C20:$CA20)</f>
        <v>154.00200454833342</v>
      </c>
      <c r="K20" s="15">
        <f>I20-J20+SUM(Charge_kW!$C20:$CA20)-SUM(Discharge_kW!$C20:$CA20)</f>
        <v>-98.585655081666744</v>
      </c>
    </row>
    <row r="21" spans="1:11" x14ac:dyDescent="0.25">
      <c r="A21" s="23">
        <f>Demand_kW!A21</f>
        <v>20</v>
      </c>
      <c r="B21" s="25">
        <f>Demand_kW!B21</f>
        <v>9.5</v>
      </c>
      <c r="C21" s="27">
        <f>AVERAGE(Demand_kW!$C21:$CA21)</f>
        <v>0.36969990952380977</v>
      </c>
      <c r="D21" s="27">
        <f>AVERAGE(PV_kW!$C21:$CA21)</f>
        <v>2.1429230774826822</v>
      </c>
      <c r="E21" s="27">
        <f>AVERAGE(Charge_kW!$C21:$CA21)</f>
        <v>0.2324285714285714</v>
      </c>
      <c r="F21" s="27">
        <f>AVERAGE(Discharge_kW!$C21:$CA21)</f>
        <v>4.5714285714285709E-3</v>
      </c>
      <c r="G21" s="27">
        <f t="shared" si="0"/>
        <v>-1.5453660251017296</v>
      </c>
      <c r="H21" s="25">
        <f>AVERAGE(SOC_pct!$C21:$CA21)</f>
        <v>91.442580519480543</v>
      </c>
      <c r="I21" s="29">
        <f>SUM(Demand_kW!$C21:$CA21)</f>
        <v>28.466893033333353</v>
      </c>
      <c r="J21" s="29">
        <f>SUM(PV_kW!$C21:$CA21)</f>
        <v>165.00507696616654</v>
      </c>
      <c r="K21" s="15">
        <f>I21-J21+SUM(Charge_kW!$C21:$CA21)-SUM(Discharge_kW!$C21:$CA21)</f>
        <v>-118.9931839328332</v>
      </c>
    </row>
    <row r="22" spans="1:11" x14ac:dyDescent="0.25">
      <c r="A22" s="23">
        <f>Demand_kW!A22</f>
        <v>21</v>
      </c>
      <c r="B22" s="25">
        <f>Demand_kW!B22</f>
        <v>10</v>
      </c>
      <c r="C22" s="27">
        <f>AVERAGE(Demand_kW!$C22:$CA22)</f>
        <v>0.3993810393939396</v>
      </c>
      <c r="D22" s="27">
        <f>AVERAGE(PV_kW!$C22:$CA22)</f>
        <v>2.2683506163387452</v>
      </c>
      <c r="E22" s="27">
        <f>AVERAGE(Charge_kW!$C22:$CA22)</f>
        <v>0.16262337662337661</v>
      </c>
      <c r="F22" s="27">
        <f>AVERAGE(Discharge_kW!$C22:$CA22)</f>
        <v>3.2558441558441557E-2</v>
      </c>
      <c r="G22" s="27">
        <f t="shared" si="0"/>
        <v>-1.7389046418798704</v>
      </c>
      <c r="H22" s="25">
        <f>AVERAGE(SOC_pct!$C22:$CA22)</f>
        <v>94.010220779220774</v>
      </c>
      <c r="I22" s="29">
        <f>SUM(Demand_kW!$C22:$CA22)</f>
        <v>30.752340033333347</v>
      </c>
      <c r="J22" s="29">
        <f>SUM(PV_kW!$C22:$CA22)</f>
        <v>174.6629974580834</v>
      </c>
      <c r="K22" s="15">
        <f>I22-J22+SUM(Charge_kW!$C22:$CA22)-SUM(Discharge_kW!$C22:$CA22)</f>
        <v>-133.89565742475006</v>
      </c>
    </row>
    <row r="23" spans="1:11" x14ac:dyDescent="0.25">
      <c r="A23" s="23">
        <f>Demand_kW!A23</f>
        <v>22</v>
      </c>
      <c r="B23" s="25">
        <f>Demand_kW!B23</f>
        <v>10.5</v>
      </c>
      <c r="C23" s="27">
        <f>AVERAGE(Demand_kW!$C23:$CA23)</f>
        <v>0.38356364199134185</v>
      </c>
      <c r="D23" s="27">
        <f>AVERAGE(PV_kW!$C23:$CA23)</f>
        <v>2.3718681476201291</v>
      </c>
      <c r="E23" s="27">
        <f>AVERAGE(Charge_kW!$C23:$CA23)</f>
        <v>0.10880519480519481</v>
      </c>
      <c r="F23" s="27">
        <f>AVERAGE(Discharge_kW!$C23:$CA23)</f>
        <v>7.7792207792207789E-3</v>
      </c>
      <c r="G23" s="27">
        <f t="shared" si="0"/>
        <v>-1.8872785316028131</v>
      </c>
      <c r="H23" s="25">
        <f>AVERAGE(SOC_pct!$C23:$CA23)</f>
        <v>95.438800000000001</v>
      </c>
      <c r="I23" s="29">
        <f>SUM(Demand_kW!$C23:$CA23)</f>
        <v>29.534400433333325</v>
      </c>
      <c r="J23" s="29">
        <f>SUM(PV_kW!$C23:$CA23)</f>
        <v>182.63384736674993</v>
      </c>
      <c r="K23" s="15">
        <f>I23-J23+SUM(Charge_kW!$C23:$CA23)-SUM(Discharge_kW!$C23:$CA23)</f>
        <v>-145.32044693341658</v>
      </c>
    </row>
    <row r="24" spans="1:11" x14ac:dyDescent="0.25">
      <c r="A24" s="23">
        <f>Demand_kW!A24</f>
        <v>23</v>
      </c>
      <c r="B24" s="25">
        <f>Demand_kW!B24</f>
        <v>11</v>
      </c>
      <c r="C24" s="27">
        <f>AVERAGE(Demand_kW!$C24:$CA24)</f>
        <v>0.38659549740259719</v>
      </c>
      <c r="D24" s="27">
        <f>AVERAGE(PV_kW!$C24:$CA24)</f>
        <v>2.4453168449296538</v>
      </c>
      <c r="E24" s="27">
        <f>AVERAGE(Charge_kW!$C24:$CA24)</f>
        <v>0.12266233766233767</v>
      </c>
      <c r="F24" s="27">
        <f>AVERAGE(Discharge_kW!$C24:$CA24)</f>
        <v>7.4935064935064948E-3</v>
      </c>
      <c r="G24" s="27">
        <f t="shared" si="0"/>
        <v>-1.9435525163582255</v>
      </c>
      <c r="H24" s="25">
        <f>AVERAGE(SOC_pct!$C24:$CA24)</f>
        <v>96.5696948051948</v>
      </c>
      <c r="I24" s="29">
        <f>SUM(Demand_kW!$C24:$CA24)</f>
        <v>29.767853299999985</v>
      </c>
      <c r="J24" s="29">
        <f>SUM(PV_kW!$C24:$CA24)</f>
        <v>188.28939705958334</v>
      </c>
      <c r="K24" s="15">
        <f>I24-J24+SUM(Charge_kW!$C24:$CA24)-SUM(Discharge_kW!$C24:$CA24)</f>
        <v>-149.65354375958336</v>
      </c>
    </row>
    <row r="25" spans="1:11" x14ac:dyDescent="0.25">
      <c r="A25" s="23">
        <f>Demand_kW!A25</f>
        <v>24</v>
      </c>
      <c r="B25" s="25">
        <f>Demand_kW!B25</f>
        <v>11.5</v>
      </c>
      <c r="C25" s="27">
        <f>AVERAGE(Demand_kW!$C25:$CA25)</f>
        <v>0.453529509090909</v>
      </c>
      <c r="D25" s="27">
        <f>AVERAGE(PV_kW!$C25:$CA25)</f>
        <v>2.4775278984025979</v>
      </c>
      <c r="E25" s="27">
        <f>AVERAGE(Charge_kW!$C25:$CA25)</f>
        <v>6.8194805194805197E-2</v>
      </c>
      <c r="F25" s="27">
        <f>AVERAGE(Discharge_kW!$C25:$CA25)</f>
        <v>4.3415584415584421E-2</v>
      </c>
      <c r="G25" s="27">
        <f t="shared" si="0"/>
        <v>-1.9992191685324681</v>
      </c>
      <c r="H25" s="25">
        <f>AVERAGE(SOC_pct!$C25:$CA25)</f>
        <v>97.860992207792194</v>
      </c>
      <c r="I25" s="29">
        <f>SUM(Demand_kW!$C25:$CA25)</f>
        <v>34.921772199999992</v>
      </c>
      <c r="J25" s="29">
        <f>SUM(PV_kW!$C25:$CA25)</f>
        <v>190.76964817700002</v>
      </c>
      <c r="K25" s="15">
        <f>I25-J25+SUM(Charge_kW!$C25:$CA25)-SUM(Discharge_kW!$C25:$CA25)</f>
        <v>-153.93987597700001</v>
      </c>
    </row>
    <row r="26" spans="1:11" x14ac:dyDescent="0.25">
      <c r="A26" s="23">
        <f>Demand_kW!A26</f>
        <v>25</v>
      </c>
      <c r="B26" s="25">
        <f>Demand_kW!B26</f>
        <v>12</v>
      </c>
      <c r="C26" s="27">
        <f>AVERAGE(Demand_kW!$C26:$CA26)</f>
        <v>0.38887692597402596</v>
      </c>
      <c r="D26" s="27">
        <f>AVERAGE(PV_kW!$C26:$CA26)</f>
        <v>2.4868574536277084</v>
      </c>
      <c r="E26" s="27">
        <f>AVERAGE(Charge_kW!$C26:$CA26)</f>
        <v>4.987012987012987E-2</v>
      </c>
      <c r="F26" s="27">
        <f>AVERAGE(Discharge_kW!$C26:$CA26)</f>
        <v>3.4012987012987009E-2</v>
      </c>
      <c r="G26" s="27">
        <f t="shared" si="0"/>
        <v>-2.0821233847965392</v>
      </c>
      <c r="H26" s="25">
        <f>AVERAGE(SOC_pct!$C26:$CA26)</f>
        <v>98.086123376623391</v>
      </c>
      <c r="I26" s="29">
        <f>SUM(Demand_kW!$C26:$CA26)</f>
        <v>29.943523299999999</v>
      </c>
      <c r="J26" s="29">
        <f>SUM(PV_kW!$C26:$CA26)</f>
        <v>191.48802392933354</v>
      </c>
      <c r="K26" s="15">
        <f>I26-J26+SUM(Charge_kW!$C26:$CA26)-SUM(Discharge_kW!$C26:$CA26)</f>
        <v>-160.32350062933352</v>
      </c>
    </row>
    <row r="27" spans="1:11" x14ac:dyDescent="0.25">
      <c r="A27" s="23">
        <f>Demand_kW!A27</f>
        <v>26</v>
      </c>
      <c r="B27" s="25">
        <f>Demand_kW!B27</f>
        <v>12.5</v>
      </c>
      <c r="C27" s="27">
        <f>AVERAGE(Demand_kW!$C27:$CA27)</f>
        <v>0.35791836103896091</v>
      </c>
      <c r="D27" s="27">
        <f>AVERAGE(PV_kW!$C27:$CA27)</f>
        <v>2.4694044546103897</v>
      </c>
      <c r="E27" s="27">
        <f>AVERAGE(Charge_kW!$C27:$CA27)</f>
        <v>2.294805194805195E-2</v>
      </c>
      <c r="F27" s="27">
        <f>AVERAGE(Discharge_kW!$C27:$CA27)</f>
        <v>2.2467532467532466E-2</v>
      </c>
      <c r="G27" s="27">
        <f t="shared" si="0"/>
        <v>-2.1110055740909095</v>
      </c>
      <c r="H27" s="25">
        <f>AVERAGE(SOC_pct!$C27:$CA27)</f>
        <v>98.222411688311681</v>
      </c>
      <c r="I27" s="29">
        <f>SUM(Demand_kW!$C27:$CA27)</f>
        <v>27.55971379999999</v>
      </c>
      <c r="J27" s="29">
        <f>SUM(PV_kW!$C27:$CA27)</f>
        <v>190.14414300500002</v>
      </c>
      <c r="K27" s="15">
        <f>I27-J27+SUM(Charge_kW!$C27:$CA27)-SUM(Discharge_kW!$C27:$CA27)</f>
        <v>-162.54742920500001</v>
      </c>
    </row>
    <row r="28" spans="1:11" x14ac:dyDescent="0.25">
      <c r="A28" s="23">
        <f>Demand_kW!A28</f>
        <v>27</v>
      </c>
      <c r="B28" s="25">
        <f>Demand_kW!B28</f>
        <v>13</v>
      </c>
      <c r="C28" s="27">
        <f>AVERAGE(Demand_kW!$C28:$CA28)</f>
        <v>0.30579309480519462</v>
      </c>
      <c r="D28" s="27">
        <f>AVERAGE(PV_kW!$C28:$CA28)</f>
        <v>2.4107719553409104</v>
      </c>
      <c r="E28" s="27">
        <f>AVERAGE(Charge_kW!$C28:$CA28)</f>
        <v>3.5896103896103898E-2</v>
      </c>
      <c r="F28" s="27">
        <f>AVERAGE(Discharge_kW!$C28:$CA28)</f>
        <v>4.3467532467532474E-2</v>
      </c>
      <c r="G28" s="27">
        <f t="shared" si="0"/>
        <v>-2.1125502891071442</v>
      </c>
      <c r="H28" s="25">
        <f>AVERAGE(SOC_pct!$C28:$CA28)</f>
        <v>98.199619480519488</v>
      </c>
      <c r="I28" s="29">
        <f>SUM(Demand_kW!$C28:$CA28)</f>
        <v>23.546068299999984</v>
      </c>
      <c r="J28" s="29">
        <f>SUM(PV_kW!$C28:$CA28)</f>
        <v>185.62944056125011</v>
      </c>
      <c r="K28" s="15">
        <f>I28-J28+SUM(Charge_kW!$C28:$CA28)-SUM(Discharge_kW!$C28:$CA28)</f>
        <v>-162.66637226125013</v>
      </c>
    </row>
    <row r="29" spans="1:11" x14ac:dyDescent="0.25">
      <c r="A29" s="23">
        <f>Demand_kW!A29</f>
        <v>28</v>
      </c>
      <c r="B29" s="25">
        <f>Demand_kW!B29</f>
        <v>13.5</v>
      </c>
      <c r="C29" s="27">
        <f>AVERAGE(Demand_kW!$C29:$CA29)</f>
        <v>0.27837458311688307</v>
      </c>
      <c r="D29" s="27">
        <f>AVERAGE(PV_kW!$C29:$CA29)</f>
        <v>2.3213210644848488</v>
      </c>
      <c r="E29" s="27">
        <f>AVERAGE(Charge_kW!$C29:$CA29)</f>
        <v>5.2584415584415588E-2</v>
      </c>
      <c r="F29" s="27">
        <f>AVERAGE(Discharge_kW!$C29:$CA29)</f>
        <v>1.0220779220779221E-2</v>
      </c>
      <c r="G29" s="27">
        <f t="shared" si="0"/>
        <v>-2.0005828450043293</v>
      </c>
      <c r="H29" s="25">
        <f>AVERAGE(SOC_pct!$C29:$CA29)</f>
        <v>98.059544155844165</v>
      </c>
      <c r="I29" s="29">
        <f>SUM(Demand_kW!$C29:$CA29)</f>
        <v>21.434842899999996</v>
      </c>
      <c r="J29" s="29">
        <f>SUM(PV_kW!$C29:$CA29)</f>
        <v>178.74172196533337</v>
      </c>
      <c r="K29" s="15">
        <f>I29-J29+SUM(Charge_kW!$C29:$CA29)-SUM(Discharge_kW!$C29:$CA29)</f>
        <v>-154.04487906533336</v>
      </c>
    </row>
    <row r="30" spans="1:11" x14ac:dyDescent="0.25">
      <c r="A30" s="23">
        <f>Demand_kW!A30</f>
        <v>29</v>
      </c>
      <c r="B30" s="25">
        <f>Demand_kW!B30</f>
        <v>14</v>
      </c>
      <c r="C30" s="27">
        <f>AVERAGE(Demand_kW!$C30:$CA30)</f>
        <v>0.34091844372294361</v>
      </c>
      <c r="D30" s="27">
        <f>AVERAGE(PV_kW!$C30:$CA30)</f>
        <v>2.2145308644058419</v>
      </c>
      <c r="E30" s="27">
        <f>AVERAGE(Charge_kW!$C30:$CA30)</f>
        <v>7.8623376623376623E-2</v>
      </c>
      <c r="F30" s="27">
        <f>AVERAGE(Discharge_kW!$C30:$CA30)</f>
        <v>1.6870129870129872E-2</v>
      </c>
      <c r="G30" s="27">
        <f t="shared" si="0"/>
        <v>-1.8118591739296517</v>
      </c>
      <c r="H30" s="25">
        <f>AVERAGE(SOC_pct!$C30:$CA30)</f>
        <v>98.525183116883099</v>
      </c>
      <c r="I30" s="29">
        <f>SUM(Demand_kW!$C30:$CA30)</f>
        <v>26.250720166666657</v>
      </c>
      <c r="J30" s="29">
        <f>SUM(PV_kW!$C30:$CA30)</f>
        <v>170.51887655924983</v>
      </c>
      <c r="K30" s="15">
        <f>I30-J30+SUM(Charge_kW!$C30:$CA30)-SUM(Discharge_kW!$C30:$CA30)</f>
        <v>-139.51315639258317</v>
      </c>
    </row>
    <row r="31" spans="1:11" x14ac:dyDescent="0.25">
      <c r="A31" s="23">
        <f>Demand_kW!A31</f>
        <v>30</v>
      </c>
      <c r="B31" s="25">
        <f>Demand_kW!B31</f>
        <v>14.5</v>
      </c>
      <c r="C31" s="27">
        <f>AVERAGE(Demand_kW!$C31:$CA31)</f>
        <v>0.32754866623376616</v>
      </c>
      <c r="D31" s="27">
        <f>AVERAGE(PV_kW!$C31:$CA31)</f>
        <v>2.0792120568419916</v>
      </c>
      <c r="E31" s="27">
        <f>AVERAGE(Charge_kW!$C31:$CA31)</f>
        <v>5.3415584415584423E-2</v>
      </c>
      <c r="F31" s="27">
        <f>AVERAGE(Discharge_kW!$C31:$CA31)</f>
        <v>0</v>
      </c>
      <c r="G31" s="27">
        <f t="shared" si="0"/>
        <v>-1.6982478061926412</v>
      </c>
      <c r="H31" s="25">
        <f>AVERAGE(SOC_pct!$C31:$CA31)</f>
        <v>99.201398701298686</v>
      </c>
      <c r="I31" s="29">
        <f>SUM(Demand_kW!$C31:$CA31)</f>
        <v>25.221247299999995</v>
      </c>
      <c r="J31" s="29">
        <f>SUM(PV_kW!$C31:$CA31)</f>
        <v>160.09932837683334</v>
      </c>
      <c r="K31" s="15">
        <f>I31-J31+SUM(Charge_kW!$C31:$CA31)-SUM(Discharge_kW!$C31:$CA31)</f>
        <v>-130.76508107683335</v>
      </c>
    </row>
    <row r="32" spans="1:11" x14ac:dyDescent="0.25">
      <c r="A32" s="23">
        <f>Demand_kW!A32</f>
        <v>31</v>
      </c>
      <c r="B32" s="25">
        <f>Demand_kW!B32</f>
        <v>15</v>
      </c>
      <c r="C32" s="27">
        <f>AVERAGE(Demand_kW!$C32:$CA32)</f>
        <v>0.27066921385281395</v>
      </c>
      <c r="D32" s="27">
        <f>AVERAGE(PV_kW!$C32:$CA32)</f>
        <v>1.935409383418832</v>
      </c>
      <c r="E32" s="27">
        <f>AVERAGE(Charge_kW!$C32:$CA32)</f>
        <v>1.5103896103896102E-2</v>
      </c>
      <c r="F32" s="27">
        <f>AVERAGE(Discharge_kW!$C32:$CA32)</f>
        <v>2.0363636363636365E-2</v>
      </c>
      <c r="G32" s="27">
        <f t="shared" si="0"/>
        <v>-1.6699999098257583</v>
      </c>
      <c r="H32" s="25">
        <f>AVERAGE(SOC_pct!$C32:$CA32)</f>
        <v>99.804535064935067</v>
      </c>
      <c r="I32" s="29">
        <f>SUM(Demand_kW!$C32:$CA32)</f>
        <v>20.841529466666675</v>
      </c>
      <c r="J32" s="29">
        <f>SUM(PV_kW!$C32:$CA32)</f>
        <v>149.02652252325007</v>
      </c>
      <c r="K32" s="15">
        <f>I32-J32+SUM(Charge_kW!$C32:$CA32)-SUM(Discharge_kW!$C32:$CA32)</f>
        <v>-128.58999305658338</v>
      </c>
    </row>
    <row r="33" spans="1:11" x14ac:dyDescent="0.25">
      <c r="A33" s="23">
        <f>Demand_kW!A33</f>
        <v>32</v>
      </c>
      <c r="B33" s="25">
        <f>Demand_kW!B33</f>
        <v>15.5</v>
      </c>
      <c r="C33" s="27">
        <f>AVERAGE(Demand_kW!$C33:$CA33)</f>
        <v>0.30292930995671002</v>
      </c>
      <c r="D33" s="27">
        <f>AVERAGE(PV_kW!$C33:$CA33)</f>
        <v>1.7623617126147204</v>
      </c>
      <c r="E33" s="27">
        <f>AVERAGE(Charge_kW!$C33:$CA33)</f>
        <v>2.6493506493506492E-3</v>
      </c>
      <c r="F33" s="27">
        <f>AVERAGE(Discharge_kW!$C33:$CA33)</f>
        <v>1.8142857142857145E-2</v>
      </c>
      <c r="G33" s="27">
        <f t="shared" si="0"/>
        <v>-1.474925909151517</v>
      </c>
      <c r="H33" s="25">
        <f>AVERAGE(SOC_pct!$C33:$CA33)</f>
        <v>99.719503896103888</v>
      </c>
      <c r="I33" s="29">
        <f>SUM(Demand_kW!$C33:$CA33)</f>
        <v>23.325556866666673</v>
      </c>
      <c r="J33" s="29">
        <f>SUM(PV_kW!$C33:$CA33)</f>
        <v>135.70185187133347</v>
      </c>
      <c r="K33" s="15">
        <f>I33-J33+SUM(Charge_kW!$C33:$CA33)-SUM(Discharge_kW!$C33:$CA33)</f>
        <v>-113.56929500466681</v>
      </c>
    </row>
    <row r="34" spans="1:11" x14ac:dyDescent="0.25">
      <c r="A34" s="23">
        <f>Demand_kW!A34</f>
        <v>33</v>
      </c>
      <c r="B34" s="25">
        <f>Demand_kW!B34</f>
        <v>16</v>
      </c>
      <c r="C34" s="27">
        <f>AVERAGE(Demand_kW!$C34:$CA34)</f>
        <v>0.31358924675324679</v>
      </c>
      <c r="D34" s="27">
        <f>AVERAGE(PV_kW!$C34:$CA34)</f>
        <v>1.5674691972619035</v>
      </c>
      <c r="E34" s="27">
        <f>AVERAGE(Charge_kW!$C34:$CA34)</f>
        <v>7.4805194805194816E-3</v>
      </c>
      <c r="F34" s="27">
        <f>AVERAGE(Discharge_kW!$C34:$CA34)</f>
        <v>8.5844155844155851E-3</v>
      </c>
      <c r="G34" s="27">
        <f t="shared" si="0"/>
        <v>-1.2549838466125529</v>
      </c>
      <c r="H34" s="25">
        <f>AVERAGE(SOC_pct!$C34:$CA34)</f>
        <v>99.52173636363635</v>
      </c>
      <c r="I34" s="29">
        <f>SUM(Demand_kW!$C34:$CA34)</f>
        <v>24.146372000000003</v>
      </c>
      <c r="J34" s="29">
        <f>SUM(PV_kW!$C34:$CA34)</f>
        <v>120.69512818916657</v>
      </c>
      <c r="K34" s="15">
        <f>I34-J34+SUM(Charge_kW!$C34:$CA34)-SUM(Discharge_kW!$C34:$CA34)</f>
        <v>-96.633756189166576</v>
      </c>
    </row>
    <row r="35" spans="1:11" x14ac:dyDescent="0.25">
      <c r="A35" s="23">
        <f>Demand_kW!A35</f>
        <v>34</v>
      </c>
      <c r="B35" s="25">
        <f>Demand_kW!B35</f>
        <v>16.5</v>
      </c>
      <c r="C35" s="27">
        <f>AVERAGE(Demand_kW!$C35:$CA35)</f>
        <v>0.34421677878787899</v>
      </c>
      <c r="D35" s="27">
        <f>AVERAGE(PV_kW!$C35:$CA35)</f>
        <v>1.3321618773625539</v>
      </c>
      <c r="E35" s="27">
        <f>AVERAGE(Charge_kW!$C35:$CA35)</f>
        <v>1.8051948051948055E-2</v>
      </c>
      <c r="F35" s="27">
        <f>AVERAGE(Discharge_kW!$C35:$CA35)</f>
        <v>4.3415584415584414E-2</v>
      </c>
      <c r="G35" s="27">
        <f t="shared" si="0"/>
        <v>-1.0133087349383112</v>
      </c>
      <c r="H35" s="25">
        <f>AVERAGE(SOC_pct!$C35:$CA35)</f>
        <v>99.498601298701288</v>
      </c>
      <c r="I35" s="29">
        <f>SUM(Demand_kW!$C35:$CA35)</f>
        <v>26.50469196666668</v>
      </c>
      <c r="J35" s="29">
        <f>SUM(PV_kW!$C35:$CA35)</f>
        <v>102.57646455691665</v>
      </c>
      <c r="K35" s="15">
        <f>I35-J35+SUM(Charge_kW!$C35:$CA35)-SUM(Discharge_kW!$C35:$CA35)</f>
        <v>-78.024772590249967</v>
      </c>
    </row>
    <row r="36" spans="1:11" x14ac:dyDescent="0.25">
      <c r="A36" s="23">
        <f>Demand_kW!A36</f>
        <v>35</v>
      </c>
      <c r="B36" s="25">
        <f>Demand_kW!B36</f>
        <v>17</v>
      </c>
      <c r="C36" s="27">
        <f>AVERAGE(Demand_kW!$C36:$CA36)</f>
        <v>0.41339084935064951</v>
      </c>
      <c r="D36" s="27">
        <f>AVERAGE(PV_kW!$C36:$CA36)</f>
        <v>1.1119305497781382</v>
      </c>
      <c r="E36" s="27">
        <f>AVERAGE(Charge_kW!$C36:$CA36)</f>
        <v>1.7012987012987014E-2</v>
      </c>
      <c r="F36" s="27">
        <f>AVERAGE(Discharge_kW!$C36:$CA36)</f>
        <v>8.9350649350649361E-2</v>
      </c>
      <c r="G36" s="27">
        <f t="shared" si="0"/>
        <v>-0.77087736276515106</v>
      </c>
      <c r="H36" s="25">
        <f>AVERAGE(SOC_pct!$C36:$CA36)</f>
        <v>99.157610389610383</v>
      </c>
      <c r="I36" s="29">
        <f>SUM(Demand_kW!$C36:$CA36)</f>
        <v>31.831095400000013</v>
      </c>
      <c r="J36" s="29">
        <f>SUM(PV_kW!$C36:$CA36)</f>
        <v>85.618652332916639</v>
      </c>
      <c r="K36" s="15">
        <f>I36-J36+SUM(Charge_kW!$C36:$CA36)-SUM(Discharge_kW!$C36:$CA36)</f>
        <v>-59.35755693291663</v>
      </c>
    </row>
    <row r="37" spans="1:11" x14ac:dyDescent="0.25">
      <c r="A37" s="23">
        <f>Demand_kW!A37</f>
        <v>36</v>
      </c>
      <c r="B37" s="25">
        <f>Demand_kW!B37</f>
        <v>17.5</v>
      </c>
      <c r="C37" s="27">
        <f>AVERAGE(Demand_kW!$C37:$CA37)</f>
        <v>0.37517899567099583</v>
      </c>
      <c r="D37" s="27">
        <f>AVERAGE(PV_kW!$C37:$CA37)</f>
        <v>0.88562919063961099</v>
      </c>
      <c r="E37" s="27">
        <f>AVERAGE(Charge_kW!$C37:$CA37)</f>
        <v>2.179220779220779E-2</v>
      </c>
      <c r="F37" s="27">
        <f>AVERAGE(Discharge_kW!$C37:$CA37)</f>
        <v>7.3077922077922075E-2</v>
      </c>
      <c r="G37" s="27">
        <f t="shared" si="0"/>
        <v>-0.56173590925432937</v>
      </c>
      <c r="H37" s="25">
        <f>AVERAGE(SOC_pct!$C37:$CA37)</f>
        <v>98.228785714285706</v>
      </c>
      <c r="I37" s="29">
        <f>SUM(Demand_kW!$C37:$CA37)</f>
        <v>28.888782666666678</v>
      </c>
      <c r="J37" s="29">
        <f>SUM(PV_kW!$C37:$CA37)</f>
        <v>68.193447679250042</v>
      </c>
      <c r="K37" s="15">
        <f>I37-J37+SUM(Charge_kW!$C37:$CA37)-SUM(Discharge_kW!$C37:$CA37)</f>
        <v>-43.253665012583369</v>
      </c>
    </row>
    <row r="38" spans="1:11" x14ac:dyDescent="0.25">
      <c r="A38" s="23">
        <f>Demand_kW!A38</f>
        <v>37</v>
      </c>
      <c r="B38" s="25">
        <f>Demand_kW!B38</f>
        <v>18</v>
      </c>
      <c r="C38" s="27">
        <f>AVERAGE(Demand_kW!$C38:$CA38)</f>
        <v>0.45408220909090907</v>
      </c>
      <c r="D38" s="27">
        <f>AVERAGE(PV_kW!$C38:$CA38)</f>
        <v>0.66671759079004422</v>
      </c>
      <c r="E38" s="27">
        <f>AVERAGE(Charge_kW!$C38:$CA38)</f>
        <v>8.2077922077922073E-3</v>
      </c>
      <c r="F38" s="27">
        <f>AVERAGE(Discharge_kW!$C38:$CA38)</f>
        <v>0.16349350649350652</v>
      </c>
      <c r="G38" s="27">
        <f t="shared" si="0"/>
        <v>-0.36792109598484946</v>
      </c>
      <c r="H38" s="25">
        <f>AVERAGE(SOC_pct!$C38:$CA38)</f>
        <v>97.557605194805205</v>
      </c>
      <c r="I38" s="29">
        <f>SUM(Demand_kW!$C38:$CA38)</f>
        <v>34.964330099999998</v>
      </c>
      <c r="J38" s="29">
        <f>SUM(PV_kW!$C38:$CA38)</f>
        <v>51.337254490833402</v>
      </c>
      <c r="K38" s="15">
        <f>I38-J38+SUM(Charge_kW!$C38:$CA38)-SUM(Discharge_kW!$C38:$CA38)</f>
        <v>-28.329924390833405</v>
      </c>
    </row>
    <row r="39" spans="1:11" x14ac:dyDescent="0.25">
      <c r="A39" s="23">
        <f>Demand_kW!A39</f>
        <v>38</v>
      </c>
      <c r="B39" s="25">
        <f>Demand_kW!B39</f>
        <v>18.5</v>
      </c>
      <c r="C39" s="27">
        <f>AVERAGE(Demand_kW!$C39:$CA39)</f>
        <v>0.36898482380952391</v>
      </c>
      <c r="D39" s="27">
        <f>AVERAGE(PV_kW!$C39:$CA39)</f>
        <v>0.45565596277597431</v>
      </c>
      <c r="E39" s="27">
        <f>AVERAGE(Charge_kW!$C39:$CA39)</f>
        <v>1.0792207792207792E-2</v>
      </c>
      <c r="F39" s="27">
        <f>AVERAGE(Discharge_kW!$C39:$CA39)</f>
        <v>0.12454545454545454</v>
      </c>
      <c r="G39" s="27">
        <f t="shared" si="0"/>
        <v>-0.20042438571969715</v>
      </c>
      <c r="H39" s="25">
        <f>AVERAGE(SOC_pct!$C39:$CA39)</f>
        <v>95.599067532467515</v>
      </c>
      <c r="I39" s="29">
        <f>SUM(Demand_kW!$C39:$CA39)</f>
        <v>28.41183143333334</v>
      </c>
      <c r="J39" s="29">
        <f>SUM(PV_kW!$C39:$CA39)</f>
        <v>35.085509133750023</v>
      </c>
      <c r="K39" s="15">
        <f>I39-J39+SUM(Charge_kW!$C39:$CA39)-SUM(Discharge_kW!$C39:$CA39)</f>
        <v>-15.432677700416683</v>
      </c>
    </row>
    <row r="40" spans="1:11" x14ac:dyDescent="0.25">
      <c r="A40" s="23">
        <f>Demand_kW!A40</f>
        <v>39</v>
      </c>
      <c r="B40" s="25">
        <f>Demand_kW!B40</f>
        <v>19</v>
      </c>
      <c r="C40" s="27">
        <f>AVERAGE(Demand_kW!$C40:$CA40)</f>
        <v>0.37846490259740262</v>
      </c>
      <c r="D40" s="27">
        <f>AVERAGE(PV_kW!$C40:$CA40)</f>
        <v>0.26607586483982665</v>
      </c>
      <c r="E40" s="27">
        <f>AVERAGE(Charge_kW!$C40:$CA40)</f>
        <v>7.9610389610389604E-3</v>
      </c>
      <c r="F40" s="27">
        <f>AVERAGE(Discharge_kW!$C40:$CA40)</f>
        <v>0.16212987012987015</v>
      </c>
      <c r="G40" s="27">
        <f t="shared" si="0"/>
        <v>-4.177979341125522E-2</v>
      </c>
      <c r="H40" s="25">
        <f>AVERAGE(SOC_pct!$C40:$CA40)</f>
        <v>94.158225974025996</v>
      </c>
      <c r="I40" s="29">
        <f>SUM(Demand_kW!$C40:$CA40)</f>
        <v>29.141797500000003</v>
      </c>
      <c r="J40" s="29">
        <f>SUM(PV_kW!$C40:$CA40)</f>
        <v>20.487841592666651</v>
      </c>
      <c r="K40" s="15">
        <f>I40-J40+SUM(Charge_kW!$C40:$CA40)-SUM(Discharge_kW!$C40:$CA40)</f>
        <v>-3.2170440926666508</v>
      </c>
    </row>
    <row r="41" spans="1:11" x14ac:dyDescent="0.25">
      <c r="A41" s="23">
        <f>Demand_kW!A41</f>
        <v>40</v>
      </c>
      <c r="B41" s="25">
        <f>Demand_kW!B41</f>
        <v>19.5</v>
      </c>
      <c r="C41" s="27">
        <f>AVERAGE(Demand_kW!$C41:$CA41)</f>
        <v>0.41067065454545465</v>
      </c>
      <c r="D41" s="27">
        <f>AVERAGE(PV_kW!$C41:$CA41)</f>
        <v>7.7412625061688292E-2</v>
      </c>
      <c r="E41" s="27">
        <f>AVERAGE(Charge_kW!$C41:$CA41)</f>
        <v>2.7272727272727274E-4</v>
      </c>
      <c r="F41" s="27">
        <f>AVERAGE(Discharge_kW!$C41:$CA41)</f>
        <v>0.31418181818181823</v>
      </c>
      <c r="G41" s="27">
        <f t="shared" si="0"/>
        <v>1.9348938574675401E-2</v>
      </c>
      <c r="H41" s="25">
        <f>AVERAGE(SOC_pct!$C41:$CA41)</f>
        <v>92.214076623376599</v>
      </c>
      <c r="I41" s="29">
        <f>SUM(Demand_kW!$C41:$CA41)</f>
        <v>31.621640400000008</v>
      </c>
      <c r="J41" s="29">
        <f>SUM(PV_kW!$C41:$CA41)</f>
        <v>5.9607721297499987</v>
      </c>
      <c r="K41" s="15">
        <f>I41-J41+SUM(Charge_kW!$C41:$CA41)-SUM(Discharge_kW!$C41:$CA41)</f>
        <v>1.4898682702500068</v>
      </c>
    </row>
    <row r="42" spans="1:11" x14ac:dyDescent="0.25">
      <c r="A42" s="23">
        <f>Demand_kW!A42</f>
        <v>41</v>
      </c>
      <c r="B42" s="25">
        <f>Demand_kW!B42</f>
        <v>20</v>
      </c>
      <c r="C42" s="27">
        <f>AVERAGE(Demand_kW!$C42:$CA42)</f>
        <v>0.54073347402597383</v>
      </c>
      <c r="D42" s="27">
        <f>AVERAGE(PV_kW!$C42:$CA42)</f>
        <v>1.4277403309523812E-2</v>
      </c>
      <c r="E42" s="27">
        <f>AVERAGE(Charge_kW!$C42:$CA42)</f>
        <v>0</v>
      </c>
      <c r="F42" s="27">
        <f>AVERAGE(Discharge_kW!$C42:$CA42)</f>
        <v>0.51212987012987021</v>
      </c>
      <c r="G42" s="27">
        <f t="shared" si="0"/>
        <v>1.4326200586579851E-2</v>
      </c>
      <c r="H42" s="25">
        <f>AVERAGE(SOC_pct!$C42:$CA42)</f>
        <v>88.273620779220778</v>
      </c>
      <c r="I42" s="29">
        <f>SUM(Demand_kW!$C42:$CA42)</f>
        <v>41.636477499999984</v>
      </c>
      <c r="J42" s="29">
        <f>SUM(PV_kW!$C42:$CA42)</f>
        <v>1.0993600548333335</v>
      </c>
      <c r="K42" s="15">
        <f>I42-J42+SUM(Charge_kW!$C42:$CA42)-SUM(Discharge_kW!$C42:$CA42)</f>
        <v>1.1031174451666459</v>
      </c>
    </row>
    <row r="43" spans="1:11" x14ac:dyDescent="0.25">
      <c r="A43" s="23">
        <f>Demand_kW!A43</f>
        <v>42</v>
      </c>
      <c r="B43" s="25">
        <f>Demand_kW!B43</f>
        <v>20.5</v>
      </c>
      <c r="C43" s="27">
        <f>AVERAGE(Demand_kW!$C43:$CA43)</f>
        <v>0.57953029567099534</v>
      </c>
      <c r="D43" s="27">
        <f>AVERAGE(PV_kW!$C43:$CA43)</f>
        <v>0</v>
      </c>
      <c r="E43" s="27">
        <f>AVERAGE(Charge_kW!$C43:$CA43)</f>
        <v>0</v>
      </c>
      <c r="F43" s="27">
        <f>AVERAGE(Discharge_kW!$C43:$CA43)</f>
        <v>0.53601298701298716</v>
      </c>
      <c r="G43" s="27">
        <f t="shared" si="0"/>
        <v>4.351730865800818E-2</v>
      </c>
      <c r="H43" s="25">
        <f>AVERAGE(SOC_pct!$C43:$CA43)</f>
        <v>81.847402597402564</v>
      </c>
      <c r="I43" s="29">
        <f>SUM(Demand_kW!$C43:$CA43)</f>
        <v>44.623832766666645</v>
      </c>
      <c r="J43" s="29">
        <f>SUM(PV_kW!$C43:$CA43)</f>
        <v>0</v>
      </c>
      <c r="K43" s="15">
        <f>I43-J43+SUM(Charge_kW!$C43:$CA43)-SUM(Discharge_kW!$C43:$CA43)</f>
        <v>3.3508327666666347</v>
      </c>
    </row>
    <row r="44" spans="1:11" x14ac:dyDescent="0.25">
      <c r="A44" s="23">
        <f>Demand_kW!A44</f>
        <v>43</v>
      </c>
      <c r="B44" s="25">
        <f>Demand_kW!B44</f>
        <v>21</v>
      </c>
      <c r="C44" s="27">
        <f>AVERAGE(Demand_kW!$C44:$CA44)</f>
        <v>0.56880108874458879</v>
      </c>
      <c r="D44" s="27">
        <f>AVERAGE(PV_kW!$C44:$CA44)</f>
        <v>0</v>
      </c>
      <c r="E44" s="27">
        <f>AVERAGE(Charge_kW!$C44:$CA44)</f>
        <v>0</v>
      </c>
      <c r="F44" s="27">
        <f>AVERAGE(Discharge_kW!$C44:$CA44)</f>
        <v>0.51762337662337643</v>
      </c>
      <c r="G44" s="27">
        <f t="shared" si="0"/>
        <v>5.117771212121236E-2</v>
      </c>
      <c r="H44" s="25">
        <f>AVERAGE(SOC_pct!$C44:$CA44)</f>
        <v>75.120500000000007</v>
      </c>
      <c r="I44" s="29">
        <f>SUM(Demand_kW!$C44:$CA44)</f>
        <v>43.797683833333338</v>
      </c>
      <c r="J44" s="29">
        <f>SUM(PV_kW!$C44:$CA44)</f>
        <v>0</v>
      </c>
      <c r="K44" s="15">
        <f>I44-J44+SUM(Charge_kW!$C44:$CA44)-SUM(Discharge_kW!$C44:$CA44)</f>
        <v>3.9406838333333525</v>
      </c>
    </row>
    <row r="45" spans="1:11" x14ac:dyDescent="0.25">
      <c r="A45" s="23">
        <f>Demand_kW!A45</f>
        <v>44</v>
      </c>
      <c r="B45" s="25">
        <f>Demand_kW!B45</f>
        <v>21.5</v>
      </c>
      <c r="C45" s="27">
        <f>AVERAGE(Demand_kW!$C45:$CA45)</f>
        <v>0.57839648484848483</v>
      </c>
      <c r="D45" s="27">
        <f>AVERAGE(PV_kW!$C45:$CA45)</f>
        <v>0</v>
      </c>
      <c r="E45" s="27">
        <f>AVERAGE(Charge_kW!$C45:$CA45)</f>
        <v>0</v>
      </c>
      <c r="F45" s="27">
        <f>AVERAGE(Discharge_kW!$C45:$CA45)</f>
        <v>0.52020779220779201</v>
      </c>
      <c r="G45" s="27">
        <f t="shared" si="0"/>
        <v>5.8188692640692818E-2</v>
      </c>
      <c r="H45" s="25">
        <f>AVERAGE(SOC_pct!$C45:$CA45)</f>
        <v>68.624637662337648</v>
      </c>
      <c r="I45" s="29">
        <f>SUM(Demand_kW!$C45:$CA45)</f>
        <v>44.536529333333334</v>
      </c>
      <c r="J45" s="29">
        <f>SUM(PV_kW!$C45:$CA45)</f>
        <v>0</v>
      </c>
      <c r="K45" s="15">
        <f>I45-J45+SUM(Charge_kW!$C45:$CA45)-SUM(Discharge_kW!$C45:$CA45)</f>
        <v>4.4805293333333509</v>
      </c>
    </row>
    <row r="46" spans="1:11" x14ac:dyDescent="0.25">
      <c r="A46" s="23">
        <f>Demand_kW!A46</f>
        <v>45</v>
      </c>
      <c r="B46" s="25">
        <f>Demand_kW!B46</f>
        <v>22</v>
      </c>
      <c r="C46" s="27">
        <f>AVERAGE(Demand_kW!$C46:$CA46)</f>
        <v>0.53050938961038996</v>
      </c>
      <c r="D46" s="27">
        <f>AVERAGE(PV_kW!$C46:$CA46)</f>
        <v>0</v>
      </c>
      <c r="E46" s="27">
        <f>AVERAGE(Charge_kW!$C46:$CA46)</f>
        <v>0</v>
      </c>
      <c r="F46" s="27">
        <f>AVERAGE(Discharge_kW!$C46:$CA46)</f>
        <v>0.44796103896103906</v>
      </c>
      <c r="G46" s="27">
        <f t="shared" si="0"/>
        <v>8.2548350649350899E-2</v>
      </c>
      <c r="H46" s="25">
        <f>AVERAGE(SOC_pct!$C46:$CA46)</f>
        <v>62.097371428571435</v>
      </c>
      <c r="I46" s="29">
        <f>SUM(Demand_kW!$C46:$CA46)</f>
        <v>40.84922300000003</v>
      </c>
      <c r="J46" s="29">
        <f>SUM(PV_kW!$C46:$CA46)</f>
        <v>0</v>
      </c>
      <c r="K46" s="15">
        <f>I46-J46+SUM(Charge_kW!$C46:$CA46)-SUM(Discharge_kW!$C46:$CA46)</f>
        <v>6.3562230000000213</v>
      </c>
    </row>
    <row r="47" spans="1:11" x14ac:dyDescent="0.25">
      <c r="A47" s="23">
        <f>Demand_kW!A47</f>
        <v>46</v>
      </c>
      <c r="B47" s="25">
        <f>Demand_kW!B47</f>
        <v>22.5</v>
      </c>
      <c r="C47" s="27">
        <f>AVERAGE(Demand_kW!$C47:$CA47)</f>
        <v>0.4253522424242423</v>
      </c>
      <c r="D47" s="27">
        <f>AVERAGE(PV_kW!$C47:$CA47)</f>
        <v>0</v>
      </c>
      <c r="E47" s="27">
        <f>AVERAGE(Charge_kW!$C47:$CA47)</f>
        <v>0</v>
      </c>
      <c r="F47" s="27">
        <f>AVERAGE(Discharge_kW!$C47:$CA47)</f>
        <v>0.34941558441558446</v>
      </c>
      <c r="G47" s="27">
        <f t="shared" si="0"/>
        <v>7.5936658008657842E-2</v>
      </c>
      <c r="H47" s="25">
        <f>AVERAGE(SOC_pct!$C47:$CA47)</f>
        <v>56.475854545454538</v>
      </c>
      <c r="I47" s="29">
        <f>SUM(Demand_kW!$C47:$CA47)</f>
        <v>32.752122666666658</v>
      </c>
      <c r="J47" s="29">
        <f>SUM(PV_kW!$C47:$CA47)</f>
        <v>0</v>
      </c>
      <c r="K47" s="15">
        <f>I47-J47+SUM(Charge_kW!$C47:$CA47)-SUM(Discharge_kW!$C47:$CA47)</f>
        <v>5.8471226666666567</v>
      </c>
    </row>
    <row r="48" spans="1:11" x14ac:dyDescent="0.25">
      <c r="A48" s="23">
        <f>Demand_kW!A48</f>
        <v>47</v>
      </c>
      <c r="B48" s="25">
        <f>Demand_kW!B48</f>
        <v>23</v>
      </c>
      <c r="C48" s="27">
        <f>AVERAGE(Demand_kW!$C48:$CA48)</f>
        <v>0.37002183549783546</v>
      </c>
      <c r="D48" s="27">
        <f>AVERAGE(PV_kW!$C48:$CA48)</f>
        <v>0</v>
      </c>
      <c r="E48" s="27">
        <f>AVERAGE(Charge_kW!$C48:$CA48)</f>
        <v>0</v>
      </c>
      <c r="F48" s="27">
        <f>AVERAGE(Discharge_kW!$C48:$CA48)</f>
        <v>0.28150649350649343</v>
      </c>
      <c r="G48" s="27">
        <f t="shared" si="0"/>
        <v>8.8515341991342034E-2</v>
      </c>
      <c r="H48" s="25">
        <f>AVERAGE(SOC_pct!$C48:$CA48)</f>
        <v>52.091388311688313</v>
      </c>
      <c r="I48" s="29">
        <f>SUM(Demand_kW!$C48:$CA48)</f>
        <v>28.491681333333329</v>
      </c>
      <c r="J48" s="29">
        <f>SUM(PV_kW!$C48:$CA48)</f>
        <v>0</v>
      </c>
      <c r="K48" s="15">
        <f>I48-J48+SUM(Charge_kW!$C48:$CA48)-SUM(Discharge_kW!$C48:$CA48)</f>
        <v>6.8156813333333339</v>
      </c>
    </row>
    <row r="49" spans="1:11" x14ac:dyDescent="0.25">
      <c r="A49" s="24">
        <f>Demand_kW!A49</f>
        <v>48</v>
      </c>
      <c r="B49" s="26">
        <f>Demand_kW!B49</f>
        <v>23.5</v>
      </c>
      <c r="C49" s="28">
        <f>AVERAGE(Demand_kW!$C49:$CA49)</f>
        <v>0.2843093437229437</v>
      </c>
      <c r="D49" s="28">
        <f>AVERAGE(PV_kW!$C49:$CA49)</f>
        <v>0</v>
      </c>
      <c r="E49" s="28">
        <f>AVERAGE(Charge_kW!$C49:$CA49)</f>
        <v>0</v>
      </c>
      <c r="F49" s="28">
        <f>AVERAGE(Discharge_kW!$C49:$CA49)</f>
        <v>0.21720779220779232</v>
      </c>
      <c r="G49" s="28">
        <f t="shared" si="0"/>
        <v>6.7101551515151375E-2</v>
      </c>
      <c r="H49" s="26">
        <f>AVERAGE(SOC_pct!$C49:$CA49)</f>
        <v>48.559493506493517</v>
      </c>
      <c r="I49" s="30">
        <f>SUM(Demand_kW!$C49:$CA49)</f>
        <v>21.891819466666664</v>
      </c>
      <c r="J49" s="30">
        <f>SUM(PV_kW!$C49:$CA49)</f>
        <v>0</v>
      </c>
      <c r="K49" s="31">
        <f>I49-J49+SUM(Charge_kW!$C49:$CA49)-SUM(Discharge_kW!$C49:$CA49)</f>
        <v>5.1668194666666558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C49"/>
  <sheetViews>
    <sheetView showGridLines="0" topLeftCell="CP1" workbookViewId="0">
      <selection activeCell="Y1" sqref="Y1:Y1048576"/>
    </sheetView>
  </sheetViews>
  <sheetFormatPr defaultRowHeight="15" x14ac:dyDescent="0.25"/>
  <cols>
    <col min="1" max="1" width="10" customWidth="1"/>
    <col min="2" max="2" width="9" customWidth="1"/>
    <col min="3" max="3" width="18" customWidth="1"/>
    <col min="4" max="4" width="19" customWidth="1"/>
    <col min="5" max="5" width="18.85546875" customWidth="1"/>
    <col min="6" max="6" width="18.140625" customWidth="1"/>
    <col min="7" max="7" width="17.85546875" customWidth="1"/>
    <col min="8" max="8" width="19" customWidth="1"/>
    <col min="9" max="10" width="18.85546875" customWidth="1"/>
    <col min="11" max="11" width="17.5703125" customWidth="1"/>
    <col min="12" max="12" width="19.42578125" customWidth="1"/>
    <col min="13" max="13" width="19.5703125" customWidth="1"/>
    <col min="14" max="14" width="18.85546875" customWidth="1"/>
    <col min="15" max="15" width="19.42578125" customWidth="1"/>
    <col min="16" max="16" width="19.140625" customWidth="1"/>
    <col min="17" max="17" width="19.28515625" customWidth="1"/>
    <col min="18" max="18" width="18.5703125" customWidth="1"/>
    <col min="19" max="19" width="17.140625" customWidth="1"/>
    <col min="20" max="20" width="18.5703125" customWidth="1"/>
    <col min="21" max="21" width="18.140625" customWidth="1"/>
    <col min="22" max="22" width="18.5703125" customWidth="1"/>
    <col min="23" max="23" width="18.28515625" customWidth="1"/>
    <col min="24" max="24" width="19.28515625" customWidth="1"/>
    <col min="25" max="81" width="15" customWidth="1"/>
  </cols>
  <sheetData>
    <row r="1" spans="1:81" ht="30" customHeight="1" x14ac:dyDescent="0.25">
      <c r="A1" s="8" t="s">
        <v>26</v>
      </c>
      <c r="B1" s="20" t="s">
        <v>27</v>
      </c>
      <c r="C1" s="20" t="s">
        <v>37</v>
      </c>
      <c r="D1" s="20" t="s">
        <v>38</v>
      </c>
      <c r="E1" s="20" t="s">
        <v>39</v>
      </c>
      <c r="F1" s="20" t="s">
        <v>40</v>
      </c>
      <c r="G1" s="20" t="s">
        <v>41</v>
      </c>
      <c r="H1" s="20" t="s">
        <v>42</v>
      </c>
      <c r="I1" s="20" t="s">
        <v>43</v>
      </c>
      <c r="J1" s="20" t="s">
        <v>44</v>
      </c>
      <c r="K1" s="20" t="s">
        <v>45</v>
      </c>
      <c r="L1" s="20" t="s">
        <v>46</v>
      </c>
      <c r="M1" s="20" t="s">
        <v>47</v>
      </c>
      <c r="N1" s="20" t="s">
        <v>48</v>
      </c>
      <c r="O1" s="20" t="s">
        <v>49</v>
      </c>
      <c r="P1" s="20" t="s">
        <v>50</v>
      </c>
      <c r="Q1" s="20" t="s">
        <v>51</v>
      </c>
      <c r="R1" s="20" t="s">
        <v>52</v>
      </c>
      <c r="S1" s="20" t="s">
        <v>53</v>
      </c>
      <c r="T1" s="20" t="s">
        <v>54</v>
      </c>
      <c r="U1" s="20" t="s">
        <v>55</v>
      </c>
      <c r="V1" s="20" t="s">
        <v>56</v>
      </c>
      <c r="W1" s="20" t="s">
        <v>57</v>
      </c>
      <c r="X1" s="20" t="s">
        <v>58</v>
      </c>
      <c r="Y1" s="20" t="s">
        <v>59</v>
      </c>
      <c r="Z1" s="20" t="s">
        <v>60</v>
      </c>
      <c r="AA1" s="20" t="s">
        <v>61</v>
      </c>
      <c r="AB1" s="20" t="s">
        <v>62</v>
      </c>
      <c r="AC1" s="20" t="s">
        <v>63</v>
      </c>
      <c r="AD1" s="20" t="s">
        <v>64</v>
      </c>
      <c r="AE1" s="20" t="s">
        <v>65</v>
      </c>
      <c r="AF1" s="20" t="s">
        <v>66</v>
      </c>
      <c r="AG1" s="20" t="s">
        <v>67</v>
      </c>
      <c r="AH1" s="20" t="s">
        <v>68</v>
      </c>
      <c r="AI1" s="20" t="s">
        <v>69</v>
      </c>
      <c r="AJ1" s="20" t="s">
        <v>70</v>
      </c>
      <c r="AK1" s="20" t="s">
        <v>71</v>
      </c>
      <c r="AL1" s="20" t="s">
        <v>72</v>
      </c>
      <c r="AM1" s="20" t="s">
        <v>73</v>
      </c>
      <c r="AN1" s="20" t="s">
        <v>74</v>
      </c>
      <c r="AO1" s="20" t="s">
        <v>75</v>
      </c>
      <c r="AP1" s="20" t="s">
        <v>76</v>
      </c>
      <c r="AQ1" s="20" t="s">
        <v>77</v>
      </c>
      <c r="AR1" s="20" t="s">
        <v>78</v>
      </c>
      <c r="AS1" s="20" t="s">
        <v>79</v>
      </c>
      <c r="AT1" s="20" t="s">
        <v>80</v>
      </c>
      <c r="AU1" s="20" t="s">
        <v>81</v>
      </c>
      <c r="AV1" s="20" t="s">
        <v>82</v>
      </c>
      <c r="AW1" s="20" t="s">
        <v>83</v>
      </c>
      <c r="AX1" s="20" t="s">
        <v>84</v>
      </c>
      <c r="AY1" s="20" t="s">
        <v>85</v>
      </c>
      <c r="AZ1" s="20" t="s">
        <v>86</v>
      </c>
      <c r="BA1" s="20" t="s">
        <v>87</v>
      </c>
      <c r="BB1" s="20" t="s">
        <v>88</v>
      </c>
      <c r="BC1" s="20" t="s">
        <v>89</v>
      </c>
      <c r="BD1" s="20" t="s">
        <v>90</v>
      </c>
      <c r="BE1" s="20" t="s">
        <v>91</v>
      </c>
      <c r="BF1" s="20" t="s">
        <v>92</v>
      </c>
      <c r="BG1" s="20" t="s">
        <v>93</v>
      </c>
      <c r="BH1" s="20" t="s">
        <v>94</v>
      </c>
      <c r="BI1" s="20" t="s">
        <v>95</v>
      </c>
      <c r="BJ1" s="20" t="s">
        <v>96</v>
      </c>
      <c r="BK1" s="20" t="s">
        <v>97</v>
      </c>
      <c r="BL1" s="20" t="s">
        <v>98</v>
      </c>
      <c r="BM1" s="20" t="s">
        <v>99</v>
      </c>
      <c r="BN1" s="20" t="s">
        <v>100</v>
      </c>
      <c r="BO1" s="20" t="s">
        <v>101</v>
      </c>
      <c r="BP1" s="20" t="s">
        <v>102</v>
      </c>
      <c r="BQ1" s="20" t="s">
        <v>103</v>
      </c>
      <c r="BR1" s="20" t="s">
        <v>104</v>
      </c>
      <c r="BS1" s="20" t="s">
        <v>105</v>
      </c>
      <c r="BT1" s="20" t="s">
        <v>106</v>
      </c>
      <c r="BU1" s="20" t="s">
        <v>107</v>
      </c>
      <c r="BV1" s="20" t="s">
        <v>108</v>
      </c>
      <c r="BW1" s="20" t="s">
        <v>109</v>
      </c>
      <c r="BX1" s="20" t="s">
        <v>110</v>
      </c>
      <c r="BY1" s="20" t="s">
        <v>111</v>
      </c>
      <c r="BZ1" s="20" t="s">
        <v>112</v>
      </c>
      <c r="CA1" s="20" t="s">
        <v>113</v>
      </c>
      <c r="CB1" s="20" t="s">
        <v>114</v>
      </c>
      <c r="CC1" s="9" t="s">
        <v>115</v>
      </c>
    </row>
    <row r="2" spans="1:81" x14ac:dyDescent="0.25">
      <c r="A2" s="23">
        <v>1</v>
      </c>
      <c r="B2" s="25">
        <v>0</v>
      </c>
      <c r="C2" s="25">
        <v>40</v>
      </c>
      <c r="D2" s="25">
        <v>40</v>
      </c>
      <c r="E2" s="25">
        <v>40</v>
      </c>
      <c r="F2" s="25">
        <v>40</v>
      </c>
      <c r="G2" s="25">
        <v>40</v>
      </c>
      <c r="H2" s="25">
        <v>40</v>
      </c>
      <c r="I2" s="25">
        <v>40</v>
      </c>
      <c r="J2" s="25">
        <v>40</v>
      </c>
      <c r="K2" s="25">
        <v>40</v>
      </c>
      <c r="L2" s="25">
        <v>40</v>
      </c>
      <c r="M2" s="25">
        <v>40</v>
      </c>
      <c r="N2" s="25">
        <v>40</v>
      </c>
      <c r="O2" s="25">
        <v>40</v>
      </c>
      <c r="P2" s="25">
        <v>40</v>
      </c>
      <c r="Q2" s="25">
        <v>40</v>
      </c>
      <c r="R2" s="25">
        <v>40</v>
      </c>
      <c r="S2" s="25">
        <v>40</v>
      </c>
      <c r="T2" s="25">
        <v>40</v>
      </c>
      <c r="U2" s="25">
        <v>40</v>
      </c>
      <c r="V2" s="25">
        <v>40</v>
      </c>
      <c r="W2" s="25">
        <v>40</v>
      </c>
      <c r="X2" s="25">
        <v>40</v>
      </c>
      <c r="Y2" s="25">
        <v>40</v>
      </c>
      <c r="Z2" s="25">
        <v>40</v>
      </c>
      <c r="AA2" s="25">
        <v>40</v>
      </c>
      <c r="AB2" s="25">
        <v>40</v>
      </c>
      <c r="AC2" s="25">
        <v>40</v>
      </c>
      <c r="AD2" s="25">
        <v>40</v>
      </c>
      <c r="AE2" s="25">
        <v>40</v>
      </c>
      <c r="AF2" s="25">
        <v>40</v>
      </c>
      <c r="AG2" s="25">
        <v>40</v>
      </c>
      <c r="AH2" s="25">
        <v>40</v>
      </c>
      <c r="AI2" s="25">
        <v>40</v>
      </c>
      <c r="AJ2" s="25">
        <v>40</v>
      </c>
      <c r="AK2" s="25">
        <v>40</v>
      </c>
      <c r="AL2" s="25">
        <v>40</v>
      </c>
      <c r="AM2" s="25">
        <v>40</v>
      </c>
      <c r="AN2" s="25">
        <v>40</v>
      </c>
      <c r="AO2" s="25">
        <v>40</v>
      </c>
      <c r="AP2" s="25">
        <v>40</v>
      </c>
      <c r="AQ2" s="25">
        <v>40</v>
      </c>
      <c r="AR2" s="25">
        <v>40</v>
      </c>
      <c r="AS2" s="25">
        <v>40</v>
      </c>
      <c r="AT2" s="25">
        <v>40</v>
      </c>
      <c r="AU2" s="25">
        <v>40</v>
      </c>
      <c r="AV2" s="25">
        <v>40</v>
      </c>
      <c r="AW2" s="25">
        <v>40</v>
      </c>
      <c r="AX2" s="25">
        <v>40</v>
      </c>
      <c r="AY2" s="25">
        <v>40</v>
      </c>
      <c r="AZ2" s="25">
        <v>40</v>
      </c>
      <c r="BA2" s="25">
        <v>40</v>
      </c>
      <c r="BB2" s="25">
        <v>40</v>
      </c>
      <c r="BC2" s="25">
        <v>40</v>
      </c>
      <c r="BD2" s="25">
        <v>40</v>
      </c>
      <c r="BE2" s="25">
        <v>40</v>
      </c>
      <c r="BF2" s="25">
        <v>40</v>
      </c>
      <c r="BG2" s="25">
        <v>40</v>
      </c>
      <c r="BH2" s="25">
        <v>40</v>
      </c>
      <c r="BI2" s="25">
        <v>40</v>
      </c>
      <c r="BJ2" s="25">
        <v>40</v>
      </c>
      <c r="BK2" s="25">
        <v>40</v>
      </c>
      <c r="BL2" s="25">
        <v>40</v>
      </c>
      <c r="BM2" s="25">
        <v>40</v>
      </c>
      <c r="BN2" s="25">
        <v>40</v>
      </c>
      <c r="BO2" s="25">
        <v>40</v>
      </c>
      <c r="BP2" s="25">
        <v>40</v>
      </c>
      <c r="BQ2" s="25">
        <v>40</v>
      </c>
      <c r="BR2" s="25">
        <v>40</v>
      </c>
      <c r="BS2" s="25">
        <v>40</v>
      </c>
      <c r="BT2" s="25">
        <v>40</v>
      </c>
      <c r="BU2" s="25">
        <v>40</v>
      </c>
      <c r="BV2" s="25">
        <v>40</v>
      </c>
      <c r="BW2" s="25">
        <v>40</v>
      </c>
      <c r="BX2" s="25">
        <v>40</v>
      </c>
      <c r="BY2" s="25">
        <v>40</v>
      </c>
      <c r="BZ2" s="25">
        <v>40</v>
      </c>
      <c r="CA2" s="25">
        <v>40</v>
      </c>
      <c r="CB2" s="25">
        <v>40</v>
      </c>
      <c r="CC2" s="16">
        <v>3080</v>
      </c>
    </row>
    <row r="3" spans="1:81" x14ac:dyDescent="0.25">
      <c r="A3" s="23">
        <v>2</v>
      </c>
      <c r="B3" s="25">
        <v>0.5</v>
      </c>
      <c r="C3" s="25">
        <v>37.6999</v>
      </c>
      <c r="D3" s="25">
        <v>38.815100000000001</v>
      </c>
      <c r="E3" s="25">
        <v>39.372600000000013</v>
      </c>
      <c r="F3" s="25">
        <v>39.284700000000001</v>
      </c>
      <c r="G3" s="25">
        <v>39.309800000000003</v>
      </c>
      <c r="H3" s="25">
        <v>37.595399999999998</v>
      </c>
      <c r="I3" s="25">
        <v>37.126399999999997</v>
      </c>
      <c r="J3" s="25">
        <v>36.785499999999999</v>
      </c>
      <c r="K3" s="25">
        <v>32.973200000000013</v>
      </c>
      <c r="L3" s="25">
        <v>35.253</v>
      </c>
      <c r="M3" s="25">
        <v>33.921799999999998</v>
      </c>
      <c r="N3" s="25">
        <v>35.5687</v>
      </c>
      <c r="O3" s="25">
        <v>37.700400000000002</v>
      </c>
      <c r="P3" s="25">
        <v>37.1295</v>
      </c>
      <c r="Q3" s="25">
        <v>38.371600000000001</v>
      </c>
      <c r="R3" s="25">
        <v>39.435299999999998</v>
      </c>
      <c r="S3" s="25">
        <v>39.010800000000003</v>
      </c>
      <c r="T3" s="25">
        <v>35.251900000000013</v>
      </c>
      <c r="U3" s="25">
        <v>38.656399999999998</v>
      </c>
      <c r="V3" s="25">
        <v>37.240900000000003</v>
      </c>
      <c r="W3" s="25">
        <v>38.742699999999999</v>
      </c>
      <c r="X3" s="25">
        <v>39.36</v>
      </c>
      <c r="Y3" s="25">
        <v>39.372600000000013</v>
      </c>
      <c r="Z3" s="25">
        <v>10</v>
      </c>
      <c r="AA3" s="25">
        <v>38.806100000000001</v>
      </c>
      <c r="AB3" s="25">
        <v>33.445799999999998</v>
      </c>
      <c r="AC3" s="25">
        <v>38.330300000000001</v>
      </c>
      <c r="AD3" s="25">
        <v>37.532400000000003</v>
      </c>
      <c r="AE3" s="25">
        <v>31.7818</v>
      </c>
      <c r="AF3" s="25">
        <v>36.923999999999999</v>
      </c>
      <c r="AG3" s="25">
        <v>39.259599999999999</v>
      </c>
      <c r="AH3" s="25">
        <v>38.155000000000001</v>
      </c>
      <c r="AI3" s="25">
        <v>37.898099999999999</v>
      </c>
      <c r="AJ3" s="25">
        <v>39.124299999999998</v>
      </c>
      <c r="AK3" s="25">
        <v>39.0792</v>
      </c>
      <c r="AL3" s="25">
        <v>36.621699999999997</v>
      </c>
      <c r="AM3" s="25">
        <v>38.600200000000001</v>
      </c>
      <c r="AN3" s="25">
        <v>39.259599999999999</v>
      </c>
      <c r="AO3" s="25">
        <v>35.087800000000001</v>
      </c>
      <c r="AP3" s="25">
        <v>33.399000000000001</v>
      </c>
      <c r="AQ3" s="25">
        <v>39.334899999999998</v>
      </c>
      <c r="AR3" s="25">
        <v>38.2194</v>
      </c>
      <c r="AS3" s="25">
        <v>39.472999999999999</v>
      </c>
      <c r="AT3" s="25">
        <v>37.533999999999999</v>
      </c>
      <c r="AU3" s="25">
        <v>38.5488</v>
      </c>
      <c r="AV3" s="25">
        <v>37.265999999999998</v>
      </c>
      <c r="AW3" s="25">
        <v>36.069000000000003</v>
      </c>
      <c r="AX3" s="25">
        <v>39.6235</v>
      </c>
      <c r="AY3" s="25">
        <v>37.987499999999997</v>
      </c>
      <c r="AZ3" s="25">
        <v>36.320300000000003</v>
      </c>
      <c r="BA3" s="25">
        <v>38.442700000000002</v>
      </c>
      <c r="BB3" s="25">
        <v>38.802999999999997</v>
      </c>
      <c r="BC3" s="25">
        <v>38.888599999999997</v>
      </c>
      <c r="BD3" s="25">
        <v>34.973199999999999</v>
      </c>
      <c r="BE3" s="25">
        <v>39.272199999999998</v>
      </c>
      <c r="BF3" s="25">
        <v>38.079099999999997</v>
      </c>
      <c r="BG3" s="25">
        <v>37.653799999999997</v>
      </c>
      <c r="BH3" s="25">
        <v>37.687399999999997</v>
      </c>
      <c r="BI3" s="25">
        <v>35.494300000000003</v>
      </c>
      <c r="BJ3" s="25">
        <v>30.977699999999999</v>
      </c>
      <c r="BK3" s="25">
        <v>37.251899999999999</v>
      </c>
      <c r="BL3" s="25">
        <v>36.4255</v>
      </c>
      <c r="BM3" s="25">
        <v>17.515899999999998</v>
      </c>
      <c r="BN3" s="25">
        <v>15.5794</v>
      </c>
      <c r="BO3" s="25">
        <v>37.886499999999998</v>
      </c>
      <c r="BP3" s="25">
        <v>39.372600000000013</v>
      </c>
      <c r="BQ3" s="25">
        <v>35.445300000000003</v>
      </c>
      <c r="BR3" s="25">
        <v>39.3977</v>
      </c>
      <c r="BS3" s="25">
        <v>38.726199999999999</v>
      </c>
      <c r="BT3" s="25">
        <v>39.309800000000003</v>
      </c>
      <c r="BU3" s="25">
        <v>37.317999999999998</v>
      </c>
      <c r="BV3" s="25">
        <v>38.1631</v>
      </c>
      <c r="BW3" s="25">
        <v>37.895400000000002</v>
      </c>
      <c r="BX3" s="25">
        <v>30.464500000000001</v>
      </c>
      <c r="BY3" s="25">
        <v>38.6599</v>
      </c>
      <c r="BZ3" s="25">
        <v>39.447899999999997</v>
      </c>
      <c r="CA3" s="25">
        <v>39.3977</v>
      </c>
      <c r="CB3" s="25">
        <v>36.573880519480532</v>
      </c>
      <c r="CC3" s="16">
        <v>2816.1887999999999</v>
      </c>
    </row>
    <row r="4" spans="1:81" x14ac:dyDescent="0.25">
      <c r="A4" s="23">
        <v>3</v>
      </c>
      <c r="B4" s="25">
        <v>1</v>
      </c>
      <c r="C4" s="25">
        <v>34.683199999999999</v>
      </c>
      <c r="D4" s="25">
        <v>38.313099999999999</v>
      </c>
      <c r="E4" s="25">
        <v>37.700899999999997</v>
      </c>
      <c r="F4" s="25">
        <v>38.569499999999998</v>
      </c>
      <c r="G4" s="25">
        <v>38.619700000000002</v>
      </c>
      <c r="H4" s="25">
        <v>34.861400000000003</v>
      </c>
      <c r="I4" s="25">
        <v>35.773299999999999</v>
      </c>
      <c r="J4" s="25">
        <v>35.597900000000003</v>
      </c>
      <c r="K4" s="25">
        <v>26.277999999999999</v>
      </c>
      <c r="L4" s="25">
        <v>30.458100000000002</v>
      </c>
      <c r="M4" s="25">
        <v>27.5684</v>
      </c>
      <c r="N4" s="25">
        <v>29.254000000000001</v>
      </c>
      <c r="O4" s="25">
        <v>37.060400000000001</v>
      </c>
      <c r="P4" s="25">
        <v>36.074800000000003</v>
      </c>
      <c r="Q4" s="25">
        <v>36.743200000000002</v>
      </c>
      <c r="R4" s="25">
        <v>38.870600000000003</v>
      </c>
      <c r="S4" s="25">
        <v>35.400500000000001</v>
      </c>
      <c r="T4" s="25">
        <v>32.539900000000003</v>
      </c>
      <c r="U4" s="25">
        <v>38.066600000000001</v>
      </c>
      <c r="V4" s="25">
        <v>35.936199999999999</v>
      </c>
      <c r="W4" s="25">
        <v>34.588700000000003</v>
      </c>
      <c r="X4" s="25">
        <v>37.255000000000003</v>
      </c>
      <c r="Y4" s="25">
        <v>38.745100000000001</v>
      </c>
      <c r="Z4" s="25">
        <v>10</v>
      </c>
      <c r="AA4" s="25">
        <v>37.495699999999999</v>
      </c>
      <c r="AB4" s="25">
        <v>32.233899999999998</v>
      </c>
      <c r="AC4" s="25">
        <v>37.7029</v>
      </c>
      <c r="AD4" s="25">
        <v>36.842300000000002</v>
      </c>
      <c r="AE4" s="25">
        <v>23.083300000000001</v>
      </c>
      <c r="AF4" s="25">
        <v>32.051600000000001</v>
      </c>
      <c r="AG4" s="25">
        <v>37.090800000000002</v>
      </c>
      <c r="AH4" s="25">
        <v>35.673100000000012</v>
      </c>
      <c r="AI4" s="25">
        <v>36.435299999999998</v>
      </c>
      <c r="AJ4" s="25">
        <v>34.455000000000013</v>
      </c>
      <c r="AK4" s="25">
        <v>35.336599999999997</v>
      </c>
      <c r="AL4" s="25">
        <v>33.793599999999998</v>
      </c>
      <c r="AM4" s="25">
        <v>37.568399999999997</v>
      </c>
      <c r="AN4" s="25">
        <v>35.582299999999996</v>
      </c>
      <c r="AO4" s="25">
        <v>34.498100000000001</v>
      </c>
      <c r="AP4" s="25">
        <v>27.794</v>
      </c>
      <c r="AQ4" s="25">
        <v>37.687399999999997</v>
      </c>
      <c r="AR4" s="25">
        <v>37.642099999999999</v>
      </c>
      <c r="AS4" s="25">
        <v>37.881799999999998</v>
      </c>
      <c r="AT4" s="25">
        <v>37.069699999999997</v>
      </c>
      <c r="AU4" s="25">
        <v>35.4373</v>
      </c>
      <c r="AV4" s="25">
        <v>36.247199999999999</v>
      </c>
      <c r="AW4" s="25">
        <v>35.049400000000013</v>
      </c>
      <c r="AX4" s="25">
        <v>37.597700000000003</v>
      </c>
      <c r="AY4" s="25">
        <v>34.947200000000002</v>
      </c>
      <c r="AZ4" s="25">
        <v>35.2104</v>
      </c>
      <c r="BA4" s="25">
        <v>36.685499999999998</v>
      </c>
      <c r="BB4" s="25">
        <v>37.606000000000002</v>
      </c>
      <c r="BC4" s="25">
        <v>37.8812</v>
      </c>
      <c r="BD4" s="25">
        <v>33.830599999999997</v>
      </c>
      <c r="BE4" s="25">
        <v>38.544400000000003</v>
      </c>
      <c r="BF4" s="25">
        <v>35.965400000000002</v>
      </c>
      <c r="BG4" s="25">
        <v>35.568600000000004</v>
      </c>
      <c r="BH4" s="25">
        <v>36.831299999999999</v>
      </c>
      <c r="BI4" s="25">
        <v>23.596399999999999</v>
      </c>
      <c r="BJ4" s="25">
        <v>29.803599999999999</v>
      </c>
      <c r="BK4" s="25">
        <v>36.561799999999998</v>
      </c>
      <c r="BL4" s="25">
        <v>33.454500000000003</v>
      </c>
      <c r="BM4" s="25">
        <v>12.876799999999999</v>
      </c>
      <c r="BN4" s="25">
        <v>10</v>
      </c>
      <c r="BO4" s="25">
        <v>36.830199999999998</v>
      </c>
      <c r="BP4" s="25">
        <v>38.745100000000001</v>
      </c>
      <c r="BQ4" s="25">
        <v>34.981000000000002</v>
      </c>
      <c r="BR4" s="25">
        <v>38.795299999999997</v>
      </c>
      <c r="BS4" s="25">
        <v>36.7136</v>
      </c>
      <c r="BT4" s="25">
        <v>36.908299999999997</v>
      </c>
      <c r="BU4" s="25">
        <v>36.627800000000001</v>
      </c>
      <c r="BV4" s="25">
        <v>35.8874</v>
      </c>
      <c r="BW4" s="25">
        <v>37.192700000000002</v>
      </c>
      <c r="BX4" s="25">
        <v>29.812000000000001</v>
      </c>
      <c r="BY4" s="25">
        <v>35.334800000000001</v>
      </c>
      <c r="BZ4" s="25">
        <v>38.895699999999998</v>
      </c>
      <c r="CA4" s="25">
        <v>38.795299999999997</v>
      </c>
      <c r="CB4" s="25">
        <v>34.364816883116887</v>
      </c>
      <c r="CC4" s="16">
        <v>2646.0909000000011</v>
      </c>
    </row>
    <row r="5" spans="1:81" x14ac:dyDescent="0.25">
      <c r="A5" s="23">
        <v>4</v>
      </c>
      <c r="B5" s="25">
        <v>1.5</v>
      </c>
      <c r="C5" s="25">
        <v>32.780099999999997</v>
      </c>
      <c r="D5" s="25">
        <v>37.811199999999999</v>
      </c>
      <c r="E5" s="25">
        <v>37.073399999999999</v>
      </c>
      <c r="F5" s="25">
        <v>37.854199999999999</v>
      </c>
      <c r="G5" s="25">
        <v>35.930999999999997</v>
      </c>
      <c r="H5" s="25">
        <v>33.855800000000002</v>
      </c>
      <c r="I5" s="25">
        <v>34.380899999999997</v>
      </c>
      <c r="J5" s="25">
        <v>34.957900000000002</v>
      </c>
      <c r="K5" s="25">
        <v>25.587800000000001</v>
      </c>
      <c r="L5" s="25">
        <v>29.692599999999999</v>
      </c>
      <c r="M5" s="25">
        <v>22.746400000000001</v>
      </c>
      <c r="N5" s="25">
        <v>20.3386</v>
      </c>
      <c r="O5" s="25">
        <v>36.225200000000001</v>
      </c>
      <c r="P5" s="25">
        <v>32.069600000000001</v>
      </c>
      <c r="Q5" s="25">
        <v>35.334800000000001</v>
      </c>
      <c r="R5" s="25">
        <v>38.116</v>
      </c>
      <c r="S5" s="25">
        <v>34.773000000000003</v>
      </c>
      <c r="T5" s="25">
        <v>31.862300000000001</v>
      </c>
      <c r="U5" s="25">
        <v>36.063400000000001</v>
      </c>
      <c r="V5" s="25">
        <v>32.305100000000003</v>
      </c>
      <c r="W5" s="25">
        <v>33.865200000000002</v>
      </c>
      <c r="X5" s="25">
        <v>35.896299999999997</v>
      </c>
      <c r="Y5" s="25">
        <v>38.117699999999999</v>
      </c>
      <c r="Z5" s="25">
        <v>10</v>
      </c>
      <c r="AA5" s="25">
        <v>36.767899999999997</v>
      </c>
      <c r="AB5" s="25">
        <v>30.596399999999999</v>
      </c>
      <c r="AC5" s="25">
        <v>36.619399999999999</v>
      </c>
      <c r="AD5" s="25">
        <v>31.970300000000002</v>
      </c>
      <c r="AE5" s="25">
        <v>17.067</v>
      </c>
      <c r="AF5" s="25">
        <v>28.674600000000002</v>
      </c>
      <c r="AG5" s="25">
        <v>35.008699999999997</v>
      </c>
      <c r="AH5" s="25">
        <v>34.474600000000002</v>
      </c>
      <c r="AI5" s="25">
        <v>34.412799999999997</v>
      </c>
      <c r="AJ5" s="25">
        <v>32.434100000000001</v>
      </c>
      <c r="AK5" s="25">
        <v>33.452300000000001</v>
      </c>
      <c r="AL5" s="25">
        <v>31.526800000000001</v>
      </c>
      <c r="AM5" s="25">
        <v>36.966099999999997</v>
      </c>
      <c r="AN5" s="25">
        <v>34.841900000000003</v>
      </c>
      <c r="AO5" s="25">
        <v>33.908299999999997</v>
      </c>
      <c r="AP5" s="25">
        <v>27.141500000000001</v>
      </c>
      <c r="AQ5" s="25">
        <v>37.022300000000001</v>
      </c>
      <c r="AR5" s="25">
        <v>37.064900000000002</v>
      </c>
      <c r="AS5" s="25">
        <v>36.1327</v>
      </c>
      <c r="AT5" s="25">
        <v>36.605400000000003</v>
      </c>
      <c r="AU5" s="25">
        <v>34.935400000000001</v>
      </c>
      <c r="AV5" s="25">
        <v>34.644199999999998</v>
      </c>
      <c r="AW5" s="25">
        <v>31.785699999999999</v>
      </c>
      <c r="AX5" s="25">
        <v>37.221299999999999</v>
      </c>
      <c r="AY5" s="25">
        <v>33.101799999999997</v>
      </c>
      <c r="AZ5" s="25">
        <v>32.727699999999999</v>
      </c>
      <c r="BA5" s="25">
        <v>34.429000000000002</v>
      </c>
      <c r="BB5" s="25">
        <v>36.8782</v>
      </c>
      <c r="BC5" s="25">
        <v>36.873800000000003</v>
      </c>
      <c r="BD5" s="25">
        <v>30.644200000000001</v>
      </c>
      <c r="BE5" s="25">
        <v>37.816600000000001</v>
      </c>
      <c r="BF5" s="25">
        <v>34.900700000000001</v>
      </c>
      <c r="BG5" s="25">
        <v>34.4636</v>
      </c>
      <c r="BH5" s="25">
        <v>33.772000000000013</v>
      </c>
      <c r="BI5" s="25">
        <v>23.0443</v>
      </c>
      <c r="BJ5" s="25">
        <v>29.0474</v>
      </c>
      <c r="BK5" s="25">
        <v>35.871600000000001</v>
      </c>
      <c r="BL5" s="25">
        <v>30.972799999999999</v>
      </c>
      <c r="BM5" s="25">
        <v>11.401199999999999</v>
      </c>
      <c r="BN5" s="25">
        <v>10</v>
      </c>
      <c r="BO5" s="25">
        <v>34.861199999999997</v>
      </c>
      <c r="BP5" s="25">
        <v>38.117699999999999</v>
      </c>
      <c r="BQ5" s="25">
        <v>34.5167</v>
      </c>
      <c r="BR5" s="25">
        <v>38.192999999999998</v>
      </c>
      <c r="BS5" s="25">
        <v>36.086100000000002</v>
      </c>
      <c r="BT5" s="25">
        <v>35.591900000000003</v>
      </c>
      <c r="BU5" s="25">
        <v>35.9377</v>
      </c>
      <c r="BV5" s="25">
        <v>34.226199999999999</v>
      </c>
      <c r="BW5" s="25">
        <v>36.49</v>
      </c>
      <c r="BX5" s="25">
        <v>27.843699999999998</v>
      </c>
      <c r="BY5" s="25">
        <v>33.758699999999997</v>
      </c>
      <c r="BZ5" s="25">
        <v>37.574800000000003</v>
      </c>
      <c r="CA5" s="25">
        <v>38.192999999999998</v>
      </c>
      <c r="CB5" s="25">
        <v>32.808424675324673</v>
      </c>
      <c r="CC5" s="16">
        <v>2526.2486999999992</v>
      </c>
    </row>
    <row r="6" spans="1:81" x14ac:dyDescent="0.25">
      <c r="A6" s="23">
        <v>5</v>
      </c>
      <c r="B6" s="25">
        <v>2</v>
      </c>
      <c r="C6" s="25">
        <v>29.9816</v>
      </c>
      <c r="D6" s="25">
        <v>36.626300000000001</v>
      </c>
      <c r="E6" s="25">
        <v>35.401700000000012</v>
      </c>
      <c r="F6" s="25">
        <v>35.652500000000003</v>
      </c>
      <c r="G6" s="25">
        <v>35.240900000000003</v>
      </c>
      <c r="H6" s="25">
        <v>30.021000000000001</v>
      </c>
      <c r="I6" s="25">
        <v>31.592500000000001</v>
      </c>
      <c r="J6" s="25">
        <v>31.195799999999998</v>
      </c>
      <c r="K6" s="25">
        <v>24.897600000000001</v>
      </c>
      <c r="L6" s="25">
        <v>26.8705</v>
      </c>
      <c r="M6" s="25">
        <v>20.6526</v>
      </c>
      <c r="N6" s="25">
        <v>15.7113</v>
      </c>
      <c r="O6" s="25">
        <v>33.632599999999996</v>
      </c>
      <c r="P6" s="25">
        <v>31.417100000000001</v>
      </c>
      <c r="Q6" s="25">
        <v>33.9863</v>
      </c>
      <c r="R6" s="25">
        <v>35.651800000000001</v>
      </c>
      <c r="S6" s="25">
        <v>34.145600000000002</v>
      </c>
      <c r="T6" s="25">
        <v>31.184699999999999</v>
      </c>
      <c r="U6" s="25">
        <v>34.814100000000003</v>
      </c>
      <c r="V6" s="25">
        <v>31.3767</v>
      </c>
      <c r="W6" s="25">
        <v>31.028300000000002</v>
      </c>
      <c r="X6" s="25">
        <v>35.256399999999999</v>
      </c>
      <c r="Y6" s="25">
        <v>37.490299999999998</v>
      </c>
      <c r="Z6" s="25">
        <v>10</v>
      </c>
      <c r="AA6" s="25">
        <v>35.107999999999997</v>
      </c>
      <c r="AB6" s="25">
        <v>29.8811</v>
      </c>
      <c r="AC6" s="25">
        <v>35.145099999999999</v>
      </c>
      <c r="AD6" s="25">
        <v>31.093299999999999</v>
      </c>
      <c r="AE6" s="25">
        <v>15.921099999999999</v>
      </c>
      <c r="AF6" s="25">
        <v>27.9969</v>
      </c>
      <c r="AG6" s="25">
        <v>32.839799999999997</v>
      </c>
      <c r="AH6" s="25">
        <v>33.276000000000003</v>
      </c>
      <c r="AI6" s="25">
        <v>32.397300000000001</v>
      </c>
      <c r="AJ6" s="25">
        <v>31.806699999999999</v>
      </c>
      <c r="AK6" s="25">
        <v>31.373699999999999</v>
      </c>
      <c r="AL6" s="25">
        <v>29.877199999999998</v>
      </c>
      <c r="AM6" s="25">
        <v>35.4711</v>
      </c>
      <c r="AN6" s="25">
        <v>32.237000000000002</v>
      </c>
      <c r="AO6" s="25">
        <v>33.3185</v>
      </c>
      <c r="AP6" s="25">
        <v>26.489000000000001</v>
      </c>
      <c r="AQ6" s="25">
        <v>36.357199999999999</v>
      </c>
      <c r="AR6" s="25">
        <v>36.487699999999997</v>
      </c>
      <c r="AS6" s="25">
        <v>31.732500000000002</v>
      </c>
      <c r="AT6" s="25">
        <v>34.034100000000002</v>
      </c>
      <c r="AU6" s="25">
        <v>32.6419</v>
      </c>
      <c r="AV6" s="25">
        <v>32.4559</v>
      </c>
      <c r="AW6" s="25">
        <v>31.094899999999999</v>
      </c>
      <c r="AX6" s="25">
        <v>35.195399999999999</v>
      </c>
      <c r="AY6" s="25">
        <v>30.755099999999999</v>
      </c>
      <c r="AZ6" s="25">
        <v>31.997399999999999</v>
      </c>
      <c r="BA6" s="25">
        <v>32.671799999999998</v>
      </c>
      <c r="BB6" s="25">
        <v>35.212000000000003</v>
      </c>
      <c r="BC6" s="25">
        <v>35.606499999999997</v>
      </c>
      <c r="BD6" s="25">
        <v>30.192499999999999</v>
      </c>
      <c r="BE6" s="25">
        <v>36.2607</v>
      </c>
      <c r="BF6" s="25">
        <v>31.194700000000001</v>
      </c>
      <c r="BG6" s="25">
        <v>31.041499999999999</v>
      </c>
      <c r="BH6" s="25">
        <v>33.081800000000001</v>
      </c>
      <c r="BI6" s="25">
        <v>21.623100000000001</v>
      </c>
      <c r="BJ6" s="25">
        <v>25.5518</v>
      </c>
      <c r="BK6" s="25">
        <v>33.1235</v>
      </c>
      <c r="BL6" s="25">
        <v>28.084599999999998</v>
      </c>
      <c r="BM6" s="25">
        <v>10.0207</v>
      </c>
      <c r="BN6" s="25">
        <v>10</v>
      </c>
      <c r="BO6" s="25">
        <v>33.804900000000004</v>
      </c>
      <c r="BP6" s="25">
        <v>37.490299999999998</v>
      </c>
      <c r="BQ6" s="25">
        <v>31.915800000000001</v>
      </c>
      <c r="BR6" s="25">
        <v>37.590699999999998</v>
      </c>
      <c r="BS6" s="25">
        <v>34.535299999999999</v>
      </c>
      <c r="BT6" s="25">
        <v>34.54</v>
      </c>
      <c r="BU6" s="25">
        <v>33.255699999999997</v>
      </c>
      <c r="BV6" s="25">
        <v>31.9618</v>
      </c>
      <c r="BW6" s="25">
        <v>34.385399999999997</v>
      </c>
      <c r="BX6" s="25">
        <v>26.2803</v>
      </c>
      <c r="BY6" s="25">
        <v>28.200700000000001</v>
      </c>
      <c r="BZ6" s="25">
        <v>35.684800000000003</v>
      </c>
      <c r="CA6" s="25">
        <v>37.590699999999998</v>
      </c>
      <c r="CB6" s="25">
        <v>31.061216883116892</v>
      </c>
      <c r="CC6" s="16">
        <v>2391.7137000000012</v>
      </c>
    </row>
    <row r="7" spans="1:81" x14ac:dyDescent="0.25">
      <c r="A7" s="23">
        <v>6</v>
      </c>
      <c r="B7" s="25">
        <v>2.5</v>
      </c>
      <c r="C7" s="25">
        <v>28.2135</v>
      </c>
      <c r="D7" s="25">
        <v>34.929200000000002</v>
      </c>
      <c r="E7" s="25">
        <v>34.774299999999997</v>
      </c>
      <c r="F7" s="25">
        <v>34.9373</v>
      </c>
      <c r="G7" s="25">
        <v>33.188099999999999</v>
      </c>
      <c r="H7" s="25">
        <v>28.1281</v>
      </c>
      <c r="I7" s="25">
        <v>30.6523</v>
      </c>
      <c r="J7" s="25">
        <v>30.555800000000001</v>
      </c>
      <c r="K7" s="25">
        <v>24.2075</v>
      </c>
      <c r="L7" s="25">
        <v>26.1051</v>
      </c>
      <c r="M7" s="25">
        <v>20.075299999999999</v>
      </c>
      <c r="N7" s="25">
        <v>12.7654</v>
      </c>
      <c r="O7" s="25">
        <v>32.992699999999999</v>
      </c>
      <c r="P7" s="25">
        <v>30.610299999999999</v>
      </c>
      <c r="Q7" s="25">
        <v>32.078000000000003</v>
      </c>
      <c r="R7" s="25">
        <v>35.0871</v>
      </c>
      <c r="S7" s="25">
        <v>30.444800000000001</v>
      </c>
      <c r="T7" s="25">
        <v>30.507000000000001</v>
      </c>
      <c r="U7" s="25">
        <v>34.167999999999999</v>
      </c>
      <c r="V7" s="25">
        <v>29.724399999999999</v>
      </c>
      <c r="W7" s="25">
        <v>29.083200000000001</v>
      </c>
      <c r="X7" s="25">
        <v>32.951700000000002</v>
      </c>
      <c r="Y7" s="25">
        <v>36.862900000000003</v>
      </c>
      <c r="Z7" s="25">
        <v>10</v>
      </c>
      <c r="AA7" s="25">
        <v>34.263599999999997</v>
      </c>
      <c r="AB7" s="25">
        <v>29.165800000000001</v>
      </c>
      <c r="AC7" s="25">
        <v>34.517699999999998</v>
      </c>
      <c r="AD7" s="25">
        <v>29.7469</v>
      </c>
      <c r="AE7" s="25">
        <v>13.911</v>
      </c>
      <c r="AF7" s="25">
        <v>27.319299999999998</v>
      </c>
      <c r="AG7" s="25">
        <v>32.099400000000003</v>
      </c>
      <c r="AH7" s="25">
        <v>32.7239</v>
      </c>
      <c r="AI7" s="25">
        <v>30.697800000000001</v>
      </c>
      <c r="AJ7" s="25">
        <v>29.191500000000001</v>
      </c>
      <c r="AK7" s="25">
        <v>28.165099999999999</v>
      </c>
      <c r="AL7" s="25">
        <v>27.574300000000001</v>
      </c>
      <c r="AM7" s="25">
        <v>34.868699999999997</v>
      </c>
      <c r="AN7" s="25">
        <v>30.424199999999999</v>
      </c>
      <c r="AO7" s="25">
        <v>31.718499999999999</v>
      </c>
      <c r="AP7" s="25">
        <v>25.836500000000001</v>
      </c>
      <c r="AQ7" s="25">
        <v>34.709699999999998</v>
      </c>
      <c r="AR7" s="25">
        <v>35.910400000000003</v>
      </c>
      <c r="AS7" s="25">
        <v>25.920500000000001</v>
      </c>
      <c r="AT7" s="25">
        <v>33.359100000000012</v>
      </c>
      <c r="AU7" s="25">
        <v>30.372699999999998</v>
      </c>
      <c r="AV7" s="25">
        <v>31.603400000000001</v>
      </c>
      <c r="AW7" s="25">
        <v>28.831199999999999</v>
      </c>
      <c r="AX7" s="25">
        <v>34.819000000000003</v>
      </c>
      <c r="AY7" s="25">
        <v>28.759399999999999</v>
      </c>
      <c r="AZ7" s="25">
        <v>30.851199999999999</v>
      </c>
      <c r="BA7" s="25">
        <v>30.415299999999998</v>
      </c>
      <c r="BB7" s="25">
        <v>34.484200000000001</v>
      </c>
      <c r="BC7" s="25">
        <v>34.859000000000002</v>
      </c>
      <c r="BD7" s="25">
        <v>27.098299999999998</v>
      </c>
      <c r="BE7" s="25">
        <v>35.532899999999998</v>
      </c>
      <c r="BF7" s="25">
        <v>30.383400000000002</v>
      </c>
      <c r="BG7" s="25">
        <v>30.414000000000001</v>
      </c>
      <c r="BH7" s="25">
        <v>30.935099999999998</v>
      </c>
      <c r="BI7" s="25">
        <v>20.962299999999999</v>
      </c>
      <c r="BJ7" s="25">
        <v>24.886700000000001</v>
      </c>
      <c r="BK7" s="25">
        <v>32.433399999999999</v>
      </c>
      <c r="BL7" s="25">
        <v>26.218900000000001</v>
      </c>
      <c r="BM7" s="25">
        <v>10</v>
      </c>
      <c r="BN7" s="25">
        <v>10</v>
      </c>
      <c r="BO7" s="25">
        <v>33.182000000000002</v>
      </c>
      <c r="BP7" s="25">
        <v>36.862900000000003</v>
      </c>
      <c r="BQ7" s="25">
        <v>31.451499999999999</v>
      </c>
      <c r="BR7" s="25">
        <v>36.988399999999999</v>
      </c>
      <c r="BS7" s="25">
        <v>32.799700000000001</v>
      </c>
      <c r="BT7" s="25">
        <v>33.126399999999997</v>
      </c>
      <c r="BU7" s="25">
        <v>32.5655</v>
      </c>
      <c r="BV7" s="25">
        <v>29.263300000000001</v>
      </c>
      <c r="BW7" s="25">
        <v>33.682699999999997</v>
      </c>
      <c r="BX7" s="25">
        <v>25.4254</v>
      </c>
      <c r="BY7" s="25">
        <v>27.08</v>
      </c>
      <c r="BZ7" s="25">
        <v>35.1327</v>
      </c>
      <c r="CA7" s="25">
        <v>36.988399999999999</v>
      </c>
      <c r="CB7" s="25">
        <v>29.7866909090909</v>
      </c>
      <c r="CC7" s="16">
        <v>2293.5751999999989</v>
      </c>
    </row>
    <row r="8" spans="1:81" x14ac:dyDescent="0.25">
      <c r="A8" s="23">
        <v>7</v>
      </c>
      <c r="B8" s="25">
        <v>3</v>
      </c>
      <c r="C8" s="25">
        <v>26.351800000000001</v>
      </c>
      <c r="D8" s="25">
        <v>34.427199999999999</v>
      </c>
      <c r="E8" s="25">
        <v>33.972799999999999</v>
      </c>
      <c r="F8" s="25">
        <v>32.735599999999998</v>
      </c>
      <c r="G8" s="25">
        <v>31.862100000000002</v>
      </c>
      <c r="H8" s="25">
        <v>26.2622</v>
      </c>
      <c r="I8" s="25">
        <v>28.807600000000001</v>
      </c>
      <c r="J8" s="25">
        <v>29.277100000000001</v>
      </c>
      <c r="K8" s="25">
        <v>23.517299999999999</v>
      </c>
      <c r="L8" s="25">
        <v>25.339600000000001</v>
      </c>
      <c r="M8" s="25">
        <v>19.498100000000001</v>
      </c>
      <c r="N8" s="25">
        <v>11.0219</v>
      </c>
      <c r="O8" s="25">
        <v>30.400099999999998</v>
      </c>
      <c r="P8" s="25">
        <v>26.457799999999999</v>
      </c>
      <c r="Q8" s="25">
        <v>31.4757</v>
      </c>
      <c r="R8" s="25">
        <v>34.142499999999998</v>
      </c>
      <c r="S8" s="25">
        <v>29.546099999999999</v>
      </c>
      <c r="T8" s="25">
        <v>28.997199999999999</v>
      </c>
      <c r="U8" s="25">
        <v>31.736000000000001</v>
      </c>
      <c r="V8" s="25">
        <v>26.9298</v>
      </c>
      <c r="W8" s="25">
        <v>26.904</v>
      </c>
      <c r="X8" s="25">
        <v>31.7927</v>
      </c>
      <c r="Y8" s="25">
        <v>36.235399999999998</v>
      </c>
      <c r="Z8" s="25">
        <v>10</v>
      </c>
      <c r="AA8" s="25">
        <v>33.011499999999998</v>
      </c>
      <c r="AB8" s="25">
        <v>28.308700000000002</v>
      </c>
      <c r="AC8" s="25">
        <v>32.587400000000002</v>
      </c>
      <c r="AD8" s="25">
        <v>26.814399999999999</v>
      </c>
      <c r="AE8" s="25">
        <v>13.2835</v>
      </c>
      <c r="AF8" s="25">
        <v>26.6417</v>
      </c>
      <c r="AG8" s="25">
        <v>28.7317</v>
      </c>
      <c r="AH8" s="25">
        <v>30.527999999999999</v>
      </c>
      <c r="AI8" s="25">
        <v>28.596</v>
      </c>
      <c r="AJ8" s="25">
        <v>28.5641</v>
      </c>
      <c r="AK8" s="25">
        <v>26.904599999999999</v>
      </c>
      <c r="AL8" s="25">
        <v>24.347799999999999</v>
      </c>
      <c r="AM8" s="25">
        <v>33.373699999999999</v>
      </c>
      <c r="AN8" s="25">
        <v>29.683800000000002</v>
      </c>
      <c r="AO8" s="25">
        <v>31.128699999999998</v>
      </c>
      <c r="AP8" s="25">
        <v>25.183900000000001</v>
      </c>
      <c r="AQ8" s="25">
        <v>34.044600000000003</v>
      </c>
      <c r="AR8" s="25">
        <v>35.333199999999998</v>
      </c>
      <c r="AS8" s="25">
        <v>19.118300000000001</v>
      </c>
      <c r="AT8" s="25">
        <v>32.789400000000001</v>
      </c>
      <c r="AU8" s="25">
        <v>29.870799999999999</v>
      </c>
      <c r="AV8" s="25">
        <v>30.125499999999999</v>
      </c>
      <c r="AW8" s="25">
        <v>26.862500000000001</v>
      </c>
      <c r="AX8" s="25">
        <v>33.370399999999997</v>
      </c>
      <c r="AY8" s="25">
        <v>27.002800000000001</v>
      </c>
      <c r="AZ8" s="25">
        <v>26.601199999999999</v>
      </c>
      <c r="BA8" s="25">
        <v>29.009599999999999</v>
      </c>
      <c r="BB8" s="25">
        <v>32.818100000000001</v>
      </c>
      <c r="BC8" s="25">
        <v>34.319400000000002</v>
      </c>
      <c r="BD8" s="25">
        <v>26.291</v>
      </c>
      <c r="BE8" s="25">
        <v>34.805100000000003</v>
      </c>
      <c r="BF8" s="25">
        <v>28.160599999999999</v>
      </c>
      <c r="BG8" s="25">
        <v>29.7866</v>
      </c>
      <c r="BH8" s="25">
        <v>29.166399999999999</v>
      </c>
      <c r="BI8" s="25">
        <v>20.4102</v>
      </c>
      <c r="BJ8" s="25">
        <v>22.5809</v>
      </c>
      <c r="BK8" s="25">
        <v>29.7788</v>
      </c>
      <c r="BL8" s="25">
        <v>24.274699999999999</v>
      </c>
      <c r="BM8" s="25">
        <v>10</v>
      </c>
      <c r="BN8" s="25">
        <v>10</v>
      </c>
      <c r="BO8" s="25">
        <v>31.140799999999999</v>
      </c>
      <c r="BP8" s="25">
        <v>36.235399999999998</v>
      </c>
      <c r="BQ8" s="25">
        <v>29.8218</v>
      </c>
      <c r="BR8" s="25">
        <v>36.386000000000003</v>
      </c>
      <c r="BS8" s="25">
        <v>32.1723</v>
      </c>
      <c r="BT8" s="25">
        <v>31.063300000000002</v>
      </c>
      <c r="BU8" s="25">
        <v>31.332100000000001</v>
      </c>
      <c r="BV8" s="25">
        <v>28.6234</v>
      </c>
      <c r="BW8" s="25">
        <v>31.578099999999999</v>
      </c>
      <c r="BX8" s="25">
        <v>22.748699999999999</v>
      </c>
      <c r="BY8" s="25">
        <v>22.4876</v>
      </c>
      <c r="BZ8" s="25">
        <v>34.580599999999997</v>
      </c>
      <c r="CA8" s="25">
        <v>36.386000000000003</v>
      </c>
      <c r="CB8" s="25">
        <v>28.265666233766229</v>
      </c>
      <c r="CC8" s="16">
        <v>2176.4562999999998</v>
      </c>
    </row>
    <row r="9" spans="1:81" x14ac:dyDescent="0.25">
      <c r="A9" s="23">
        <v>8</v>
      </c>
      <c r="B9" s="25">
        <v>3.5</v>
      </c>
      <c r="C9" s="25">
        <v>22.852499999999999</v>
      </c>
      <c r="D9" s="25">
        <v>32.0471</v>
      </c>
      <c r="E9" s="25">
        <v>32.475200000000001</v>
      </c>
      <c r="F9" s="25">
        <v>32.020299999999999</v>
      </c>
      <c r="G9" s="25">
        <v>30.8994</v>
      </c>
      <c r="H9" s="25">
        <v>22.3155</v>
      </c>
      <c r="I9" s="25">
        <v>26.3339</v>
      </c>
      <c r="J9" s="25">
        <v>26.153700000000001</v>
      </c>
      <c r="K9" s="25">
        <v>22.827100000000002</v>
      </c>
      <c r="L9" s="25">
        <v>22.704499999999999</v>
      </c>
      <c r="M9" s="25">
        <v>18.9209</v>
      </c>
      <c r="N9" s="25">
        <v>10.419499999999999</v>
      </c>
      <c r="O9" s="25">
        <v>29.564900000000002</v>
      </c>
      <c r="P9" s="25">
        <v>25.704699999999999</v>
      </c>
      <c r="Q9" s="25">
        <v>30.686800000000002</v>
      </c>
      <c r="R9" s="25">
        <v>31.868300000000001</v>
      </c>
      <c r="S9" s="25">
        <v>27.950700000000001</v>
      </c>
      <c r="T9" s="25">
        <v>25.628299999999999</v>
      </c>
      <c r="U9" s="25">
        <v>29.732800000000001</v>
      </c>
      <c r="V9" s="25">
        <v>25.575099999999999</v>
      </c>
      <c r="W9" s="25">
        <v>24.2776</v>
      </c>
      <c r="X9" s="25">
        <v>31.152699999999999</v>
      </c>
      <c r="Y9" s="25">
        <v>35.607999999999997</v>
      </c>
      <c r="Z9" s="25">
        <v>10</v>
      </c>
      <c r="AA9" s="25">
        <v>31.7593</v>
      </c>
      <c r="AB9" s="25">
        <v>26.316400000000002</v>
      </c>
      <c r="AC9" s="25">
        <v>31.96</v>
      </c>
      <c r="AD9" s="25">
        <v>25.561699999999998</v>
      </c>
      <c r="AE9" s="25">
        <v>10.6736</v>
      </c>
      <c r="AF9" s="25">
        <v>25.964099999999998</v>
      </c>
      <c r="AG9" s="25">
        <v>27.848500000000001</v>
      </c>
      <c r="AH9" s="25">
        <v>28.396999999999998</v>
      </c>
      <c r="AI9" s="25">
        <v>26.581</v>
      </c>
      <c r="AJ9" s="25">
        <v>25.949000000000002</v>
      </c>
      <c r="AK9" s="25">
        <v>22.906700000000001</v>
      </c>
      <c r="AL9" s="25">
        <v>21.544699999999999</v>
      </c>
      <c r="AM9" s="25">
        <v>31.5444</v>
      </c>
      <c r="AN9" s="25">
        <v>27.359100000000002</v>
      </c>
      <c r="AO9" s="25">
        <v>30.538900000000002</v>
      </c>
      <c r="AP9" s="25">
        <v>24.531400000000001</v>
      </c>
      <c r="AQ9" s="25">
        <v>32.724600000000002</v>
      </c>
      <c r="AR9" s="25">
        <v>34.756</v>
      </c>
      <c r="AS9" s="25">
        <v>16.479900000000001</v>
      </c>
      <c r="AT9" s="25">
        <v>30.1127</v>
      </c>
      <c r="AU9" s="25">
        <v>27.470199999999998</v>
      </c>
      <c r="AV9" s="25">
        <v>28.163399999999999</v>
      </c>
      <c r="AW9" s="25">
        <v>25.212299999999999</v>
      </c>
      <c r="AX9" s="25">
        <v>32.416699999999999</v>
      </c>
      <c r="AY9" s="25">
        <v>24.3292</v>
      </c>
      <c r="AZ9" s="25">
        <v>26.0868</v>
      </c>
      <c r="BA9" s="25">
        <v>27.955300000000001</v>
      </c>
      <c r="BB9" s="25">
        <v>32.090299999999999</v>
      </c>
      <c r="BC9" s="25">
        <v>33.779800000000002</v>
      </c>
      <c r="BD9" s="25">
        <v>24.4346</v>
      </c>
      <c r="BE9" s="25">
        <v>33.249200000000002</v>
      </c>
      <c r="BF9" s="25">
        <v>25.504200000000001</v>
      </c>
      <c r="BG9" s="25">
        <v>27.870100000000001</v>
      </c>
      <c r="BH9" s="25">
        <v>27.766400000000001</v>
      </c>
      <c r="BI9" s="25">
        <v>19.586500000000001</v>
      </c>
      <c r="BJ9" s="25">
        <v>21.551200000000001</v>
      </c>
      <c r="BK9" s="25">
        <v>28.995100000000001</v>
      </c>
      <c r="BL9" s="25">
        <v>21.859000000000002</v>
      </c>
      <c r="BM9" s="25">
        <v>10</v>
      </c>
      <c r="BN9" s="25">
        <v>10</v>
      </c>
      <c r="BO9" s="25">
        <v>30.156700000000001</v>
      </c>
      <c r="BP9" s="25">
        <v>35.607999999999997</v>
      </c>
      <c r="BQ9" s="25">
        <v>28.386299999999999</v>
      </c>
      <c r="BR9" s="25">
        <v>35.783700000000003</v>
      </c>
      <c r="BS9" s="25">
        <v>29.513300000000001</v>
      </c>
      <c r="BT9" s="25">
        <v>29.4085</v>
      </c>
      <c r="BU9" s="25">
        <v>29.1934</v>
      </c>
      <c r="BV9" s="25">
        <v>24.215</v>
      </c>
      <c r="BW9" s="25">
        <v>30.875399999999999</v>
      </c>
      <c r="BX9" s="25">
        <v>22.0962</v>
      </c>
      <c r="BY9" s="25">
        <v>19.686900000000001</v>
      </c>
      <c r="BZ9" s="25">
        <v>34.028399999999998</v>
      </c>
      <c r="CA9" s="25">
        <v>35.783700000000003</v>
      </c>
      <c r="CB9" s="25">
        <v>26.67901688311688</v>
      </c>
      <c r="CC9" s="16">
        <v>2054.2842999999998</v>
      </c>
    </row>
    <row r="10" spans="1:81" x14ac:dyDescent="0.25">
      <c r="A10" s="23">
        <v>9</v>
      </c>
      <c r="B10" s="25">
        <v>4</v>
      </c>
      <c r="C10" s="25">
        <v>22.3184</v>
      </c>
      <c r="D10" s="25">
        <v>31.5883</v>
      </c>
      <c r="E10" s="25">
        <v>31.869299999999999</v>
      </c>
      <c r="F10" s="25">
        <v>30.0105</v>
      </c>
      <c r="G10" s="25">
        <v>28.515699999999999</v>
      </c>
      <c r="H10" s="25">
        <v>21.150200000000002</v>
      </c>
      <c r="I10" s="25">
        <v>25.695799999999998</v>
      </c>
      <c r="J10" s="25">
        <v>24.9802</v>
      </c>
      <c r="K10" s="25">
        <v>22.1585</v>
      </c>
      <c r="L10" s="25">
        <v>21.773700000000002</v>
      </c>
      <c r="M10" s="25">
        <v>18.376000000000001</v>
      </c>
      <c r="N10" s="25">
        <v>10</v>
      </c>
      <c r="O10" s="25">
        <v>28.9681</v>
      </c>
      <c r="P10" s="25">
        <v>23.536300000000001</v>
      </c>
      <c r="Q10" s="25">
        <v>28.245799999999999</v>
      </c>
      <c r="R10" s="25">
        <v>31.3306</v>
      </c>
      <c r="S10" s="25">
        <v>25.1706</v>
      </c>
      <c r="T10" s="25">
        <v>24.9938</v>
      </c>
      <c r="U10" s="25">
        <v>29.180800000000001</v>
      </c>
      <c r="V10" s="25">
        <v>22.0684</v>
      </c>
      <c r="W10" s="25">
        <v>21.210100000000001</v>
      </c>
      <c r="X10" s="25">
        <v>30.180399999999999</v>
      </c>
      <c r="Y10" s="25">
        <v>35.012999999999998</v>
      </c>
      <c r="Z10" s="25">
        <v>10</v>
      </c>
      <c r="AA10" s="25">
        <v>31.069299999999998</v>
      </c>
      <c r="AB10" s="25">
        <v>25.6281</v>
      </c>
      <c r="AC10" s="25">
        <v>31.375699999999998</v>
      </c>
      <c r="AD10" s="25">
        <v>23.512699999999999</v>
      </c>
      <c r="AE10" s="25">
        <v>10</v>
      </c>
      <c r="AF10" s="25">
        <v>25.329599999999999</v>
      </c>
      <c r="AG10" s="25">
        <v>26.865600000000001</v>
      </c>
      <c r="AH10" s="25">
        <v>27.774100000000001</v>
      </c>
      <c r="AI10" s="25">
        <v>25.056699999999999</v>
      </c>
      <c r="AJ10" s="25">
        <v>25.337800000000001</v>
      </c>
      <c r="AK10" s="25">
        <v>21.106400000000001</v>
      </c>
      <c r="AL10" s="25">
        <v>19.640599999999999</v>
      </c>
      <c r="AM10" s="25">
        <v>30.919499999999999</v>
      </c>
      <c r="AN10" s="25">
        <v>26.645800000000001</v>
      </c>
      <c r="AO10" s="25">
        <v>29.9815</v>
      </c>
      <c r="AP10" s="25">
        <v>23.905899999999999</v>
      </c>
      <c r="AQ10" s="25">
        <v>31.775200000000002</v>
      </c>
      <c r="AR10" s="25">
        <v>34.221899999999998</v>
      </c>
      <c r="AS10" s="25">
        <v>14.757400000000001</v>
      </c>
      <c r="AT10" s="25">
        <v>29.6646</v>
      </c>
      <c r="AU10" s="25">
        <v>26.794599999999999</v>
      </c>
      <c r="AV10" s="25">
        <v>26.9572</v>
      </c>
      <c r="AW10" s="25">
        <v>22.606300000000001</v>
      </c>
      <c r="AX10" s="25">
        <v>31.4237</v>
      </c>
      <c r="AY10" s="25">
        <v>21.538399999999999</v>
      </c>
      <c r="AZ10" s="25">
        <v>23.343699999999998</v>
      </c>
      <c r="BA10" s="25">
        <v>26.2805</v>
      </c>
      <c r="BB10" s="25">
        <v>31.4056</v>
      </c>
      <c r="BC10" s="25">
        <v>32.331600000000002</v>
      </c>
      <c r="BD10" s="25">
        <v>22.416499999999999</v>
      </c>
      <c r="BE10" s="25">
        <v>32.559199999999997</v>
      </c>
      <c r="BF10" s="25">
        <v>24.515999999999998</v>
      </c>
      <c r="BG10" s="25">
        <v>26.1846</v>
      </c>
      <c r="BH10" s="25">
        <v>25.8749</v>
      </c>
      <c r="BI10" s="25">
        <v>18.360600000000002</v>
      </c>
      <c r="BJ10" s="25">
        <v>19.991499999999998</v>
      </c>
      <c r="BK10" s="25">
        <v>26.686699999999998</v>
      </c>
      <c r="BL10" s="25">
        <v>18.944900000000001</v>
      </c>
      <c r="BM10" s="25">
        <v>10</v>
      </c>
      <c r="BN10" s="25">
        <v>10</v>
      </c>
      <c r="BO10" s="25">
        <v>29.375399999999999</v>
      </c>
      <c r="BP10" s="25">
        <v>35.007599999999996</v>
      </c>
      <c r="BQ10" s="25">
        <v>27.949000000000002</v>
      </c>
      <c r="BR10" s="25">
        <v>35.219200000000001</v>
      </c>
      <c r="BS10" s="25">
        <v>28.928999999999998</v>
      </c>
      <c r="BT10" s="25">
        <v>27.487500000000001</v>
      </c>
      <c r="BU10" s="25">
        <v>28.513999999999999</v>
      </c>
      <c r="BV10" s="25">
        <v>23.618200000000002</v>
      </c>
      <c r="BW10" s="25">
        <v>30.2105</v>
      </c>
      <c r="BX10" s="25">
        <v>20.171199999999999</v>
      </c>
      <c r="BY10" s="25">
        <v>16.7729</v>
      </c>
      <c r="BZ10" s="25">
        <v>33.487099999999998</v>
      </c>
      <c r="CA10" s="25">
        <v>35.213799999999999</v>
      </c>
      <c r="CB10" s="25">
        <v>25.49447792207792</v>
      </c>
      <c r="CC10" s="16">
        <v>1963.0748000000001</v>
      </c>
    </row>
    <row r="11" spans="1:81" x14ac:dyDescent="0.25">
      <c r="A11" s="23">
        <v>10</v>
      </c>
      <c r="B11" s="25">
        <v>4.5</v>
      </c>
      <c r="C11" s="25">
        <v>21.1295</v>
      </c>
      <c r="D11" s="25">
        <v>30.686</v>
      </c>
      <c r="E11" s="25">
        <v>31.553999999999998</v>
      </c>
      <c r="F11" s="25">
        <v>29.770700000000001</v>
      </c>
      <c r="G11" s="25">
        <v>28.293600000000001</v>
      </c>
      <c r="H11" s="25">
        <v>18.860299999999999</v>
      </c>
      <c r="I11" s="25">
        <v>23.847999999999999</v>
      </c>
      <c r="J11" s="25">
        <v>22.4815</v>
      </c>
      <c r="K11" s="25">
        <v>21.7804</v>
      </c>
      <c r="L11" s="25">
        <v>21.3203</v>
      </c>
      <c r="M11" s="25">
        <v>18.2668</v>
      </c>
      <c r="N11" s="25">
        <v>10</v>
      </c>
      <c r="O11" s="25">
        <v>26.804400000000001</v>
      </c>
      <c r="P11" s="25">
        <v>23.273900000000001</v>
      </c>
      <c r="Q11" s="25">
        <v>28.0335</v>
      </c>
      <c r="R11" s="25">
        <v>29.066500000000001</v>
      </c>
      <c r="S11" s="25">
        <v>24.9864</v>
      </c>
      <c r="T11" s="25">
        <v>22.3415</v>
      </c>
      <c r="U11" s="25">
        <v>27.0641</v>
      </c>
      <c r="V11" s="25">
        <v>20.2973</v>
      </c>
      <c r="W11" s="25">
        <v>19.534400000000002</v>
      </c>
      <c r="X11" s="25">
        <v>28.179300000000001</v>
      </c>
      <c r="Y11" s="25">
        <v>34.8536</v>
      </c>
      <c r="Z11" s="25">
        <v>10</v>
      </c>
      <c r="AA11" s="25">
        <v>29.838899999999999</v>
      </c>
      <c r="AB11" s="25">
        <v>23.884</v>
      </c>
      <c r="AC11" s="25">
        <v>31.372399999999999</v>
      </c>
      <c r="AD11" s="25">
        <v>21.8095</v>
      </c>
      <c r="AE11" s="25">
        <v>10</v>
      </c>
      <c r="AF11" s="25">
        <v>25.2761</v>
      </c>
      <c r="AG11" s="25">
        <v>25.6065</v>
      </c>
      <c r="AH11" s="25">
        <v>24.7546</v>
      </c>
      <c r="AI11" s="25">
        <v>22.964600000000001</v>
      </c>
      <c r="AJ11" s="25">
        <v>23.498799999999999</v>
      </c>
      <c r="AK11" s="25">
        <v>19.3398</v>
      </c>
      <c r="AL11" s="25">
        <v>18.4603</v>
      </c>
      <c r="AM11" s="25">
        <v>28.6372</v>
      </c>
      <c r="AN11" s="25">
        <v>24.869599999999998</v>
      </c>
      <c r="AO11" s="25">
        <v>29.8598</v>
      </c>
      <c r="AP11" s="25">
        <v>23.6434</v>
      </c>
      <c r="AQ11" s="25">
        <v>31.734200000000001</v>
      </c>
      <c r="AR11" s="25">
        <v>34.264099999999999</v>
      </c>
      <c r="AS11" s="25">
        <v>14.289199999999999</v>
      </c>
      <c r="AT11" s="25">
        <v>27.116599999999998</v>
      </c>
      <c r="AU11" s="25">
        <v>25.197700000000001</v>
      </c>
      <c r="AV11" s="25">
        <v>26.069400000000002</v>
      </c>
      <c r="AW11" s="25">
        <v>21.440999999999999</v>
      </c>
      <c r="AX11" s="25">
        <v>30.681699999999999</v>
      </c>
      <c r="AY11" s="25">
        <v>20.976400000000002</v>
      </c>
      <c r="AZ11" s="25">
        <v>21.451000000000001</v>
      </c>
      <c r="BA11" s="25">
        <v>25.58</v>
      </c>
      <c r="BB11" s="25">
        <v>30.5199</v>
      </c>
      <c r="BC11" s="25">
        <v>32.182100000000013</v>
      </c>
      <c r="BD11" s="25">
        <v>22.003599999999999</v>
      </c>
      <c r="BE11" s="25">
        <v>32.377400000000002</v>
      </c>
      <c r="BF11" s="25">
        <v>23.263000000000002</v>
      </c>
      <c r="BG11" s="25">
        <v>25.1937</v>
      </c>
      <c r="BH11" s="25">
        <v>25.228100000000001</v>
      </c>
      <c r="BI11" s="25">
        <v>18.276499999999999</v>
      </c>
      <c r="BJ11" s="25">
        <v>18.362300000000001</v>
      </c>
      <c r="BK11" s="25">
        <v>25.092600000000001</v>
      </c>
      <c r="BL11" s="25">
        <v>16.914200000000001</v>
      </c>
      <c r="BM11" s="25">
        <v>10</v>
      </c>
      <c r="BN11" s="25">
        <v>10</v>
      </c>
      <c r="BO11" s="25">
        <v>28.115300000000001</v>
      </c>
      <c r="BP11" s="25">
        <v>34.770200000000003</v>
      </c>
      <c r="BQ11" s="25">
        <v>25.738199999999999</v>
      </c>
      <c r="BR11" s="25">
        <v>34.818399999999997</v>
      </c>
      <c r="BS11" s="25">
        <v>27.6326</v>
      </c>
      <c r="BT11" s="25">
        <v>26.0242</v>
      </c>
      <c r="BU11" s="25">
        <v>25.988</v>
      </c>
      <c r="BV11" s="25">
        <v>20.488900000000001</v>
      </c>
      <c r="BW11" s="25">
        <v>30.053799999999999</v>
      </c>
      <c r="BX11" s="25">
        <v>19.2319</v>
      </c>
      <c r="BY11" s="25">
        <v>13.04</v>
      </c>
      <c r="BZ11" s="25">
        <v>33.091000000000001</v>
      </c>
      <c r="CA11" s="25">
        <v>35.079500000000003</v>
      </c>
      <c r="CB11" s="25">
        <v>24.396470129870131</v>
      </c>
      <c r="CC11" s="16">
        <v>1878.5282</v>
      </c>
    </row>
    <row r="12" spans="1:81" x14ac:dyDescent="0.25">
      <c r="A12" s="23">
        <v>11</v>
      </c>
      <c r="B12" s="25">
        <v>5</v>
      </c>
      <c r="C12" s="25">
        <v>21.352</v>
      </c>
      <c r="D12" s="25">
        <v>32.092599999999997</v>
      </c>
      <c r="E12" s="25">
        <v>32.302599999999998</v>
      </c>
      <c r="F12" s="25">
        <v>30.549600000000002</v>
      </c>
      <c r="G12" s="25">
        <v>29.642399999999999</v>
      </c>
      <c r="H12" s="25">
        <v>17.618200000000002</v>
      </c>
      <c r="I12" s="25">
        <v>23.5915</v>
      </c>
      <c r="J12" s="25">
        <v>22.761099999999999</v>
      </c>
      <c r="K12" s="25">
        <v>22.4726</v>
      </c>
      <c r="L12" s="25">
        <v>19.9574</v>
      </c>
      <c r="M12" s="25">
        <v>19.717300000000002</v>
      </c>
      <c r="N12" s="25">
        <v>10.6685</v>
      </c>
      <c r="O12" s="25">
        <v>28.8551</v>
      </c>
      <c r="P12" s="25">
        <v>22.383400000000002</v>
      </c>
      <c r="Q12" s="25">
        <v>27.389600000000002</v>
      </c>
      <c r="R12" s="25">
        <v>30.2</v>
      </c>
      <c r="S12" s="25">
        <v>25.828800000000001</v>
      </c>
      <c r="T12" s="25">
        <v>23.5261</v>
      </c>
      <c r="U12" s="25">
        <v>28.831700000000001</v>
      </c>
      <c r="V12" s="25">
        <v>20.446000000000002</v>
      </c>
      <c r="W12" s="25">
        <v>19.921900000000001</v>
      </c>
      <c r="X12" s="25">
        <v>28.675999999999998</v>
      </c>
      <c r="Y12" s="25">
        <v>36.258899999999997</v>
      </c>
      <c r="Z12" s="25">
        <v>11.3489</v>
      </c>
      <c r="AA12" s="25">
        <v>31.482199999999999</v>
      </c>
      <c r="AB12" s="25">
        <v>24.881900000000002</v>
      </c>
      <c r="AC12" s="25">
        <v>33.434399999999997</v>
      </c>
      <c r="AD12" s="25">
        <v>23.688400000000001</v>
      </c>
      <c r="AE12" s="25">
        <v>10.085599999999999</v>
      </c>
      <c r="AF12" s="25">
        <v>27.292899999999999</v>
      </c>
      <c r="AG12" s="25">
        <v>27.566800000000001</v>
      </c>
      <c r="AH12" s="25">
        <v>25.255299999999998</v>
      </c>
      <c r="AI12" s="25">
        <v>24.257000000000001</v>
      </c>
      <c r="AJ12" s="25">
        <v>23.4237</v>
      </c>
      <c r="AK12" s="25">
        <v>19.998100000000001</v>
      </c>
      <c r="AL12" s="25">
        <v>17.481300000000001</v>
      </c>
      <c r="AM12" s="25">
        <v>29.736799999999999</v>
      </c>
      <c r="AN12" s="25">
        <v>24.4421</v>
      </c>
      <c r="AO12" s="25">
        <v>31.298999999999999</v>
      </c>
      <c r="AP12" s="25">
        <v>24.697800000000001</v>
      </c>
      <c r="AQ12" s="25">
        <v>33.5167</v>
      </c>
      <c r="AR12" s="25">
        <v>36.371299999999998</v>
      </c>
      <c r="AS12" s="25">
        <v>14.974500000000001</v>
      </c>
      <c r="AT12" s="25">
        <v>27.683700000000002</v>
      </c>
      <c r="AU12" s="25">
        <v>23.7074</v>
      </c>
      <c r="AV12" s="25">
        <v>25.663699999999999</v>
      </c>
      <c r="AW12" s="25">
        <v>20.726900000000001</v>
      </c>
      <c r="AX12" s="25">
        <v>21.206700000000001</v>
      </c>
      <c r="AY12" s="25">
        <v>19.941700000000001</v>
      </c>
      <c r="AZ12" s="25">
        <v>22.724</v>
      </c>
      <c r="BA12" s="25">
        <v>25.5976</v>
      </c>
      <c r="BB12" s="25">
        <v>32.3508</v>
      </c>
      <c r="BC12" s="25">
        <v>33.338099999999997</v>
      </c>
      <c r="BD12" s="25">
        <v>21.203099999999999</v>
      </c>
      <c r="BE12" s="25">
        <v>33.275500000000001</v>
      </c>
      <c r="BF12" s="25">
        <v>23.615600000000001</v>
      </c>
      <c r="BG12" s="25">
        <v>23.033799999999999</v>
      </c>
      <c r="BH12" s="25">
        <v>26.561499999999999</v>
      </c>
      <c r="BI12" s="25">
        <v>19.505099999999999</v>
      </c>
      <c r="BJ12" s="25">
        <v>18.4207</v>
      </c>
      <c r="BK12" s="25">
        <v>25.784700000000001</v>
      </c>
      <c r="BL12" s="25">
        <v>18.079599999999999</v>
      </c>
      <c r="BM12" s="25">
        <v>11.4697</v>
      </c>
      <c r="BN12" s="25">
        <v>10.962300000000001</v>
      </c>
      <c r="BO12" s="25">
        <v>28.965599999999998</v>
      </c>
      <c r="BP12" s="25">
        <v>35.847200000000001</v>
      </c>
      <c r="BQ12" s="25">
        <v>26.962</v>
      </c>
      <c r="BR12" s="25">
        <v>36.574599999999997</v>
      </c>
      <c r="BS12" s="25">
        <v>28.9466</v>
      </c>
      <c r="BT12" s="25">
        <v>26.7164</v>
      </c>
      <c r="BU12" s="25">
        <v>26.023499999999999</v>
      </c>
      <c r="BV12" s="25">
        <v>21.950099999999999</v>
      </c>
      <c r="BW12" s="25">
        <v>30.457999999999998</v>
      </c>
      <c r="BX12" s="25">
        <v>20.724699999999999</v>
      </c>
      <c r="BY12" s="25">
        <v>12.848800000000001</v>
      </c>
      <c r="BZ12" s="25">
        <v>33.250700000000002</v>
      </c>
      <c r="CA12" s="25">
        <v>36.507399999999997</v>
      </c>
      <c r="CB12" s="25">
        <v>24.946828571428568</v>
      </c>
      <c r="CC12" s="16">
        <v>1920.9058</v>
      </c>
    </row>
    <row r="13" spans="1:81" x14ac:dyDescent="0.25">
      <c r="A13" s="23">
        <v>12</v>
      </c>
      <c r="B13" s="25">
        <v>5.5</v>
      </c>
      <c r="C13" s="25">
        <v>25.779800000000002</v>
      </c>
      <c r="D13" s="25">
        <v>36.7744</v>
      </c>
      <c r="E13" s="25">
        <v>34.3431</v>
      </c>
      <c r="F13" s="25">
        <v>34.982400000000013</v>
      </c>
      <c r="G13" s="25">
        <v>32.929099999999998</v>
      </c>
      <c r="H13" s="25">
        <v>19.613499999999998</v>
      </c>
      <c r="I13" s="25">
        <v>25.718499999999999</v>
      </c>
      <c r="J13" s="25">
        <v>24.332999999999998</v>
      </c>
      <c r="K13" s="25">
        <v>24.456600000000002</v>
      </c>
      <c r="L13" s="25">
        <v>21.873699999999999</v>
      </c>
      <c r="M13" s="25">
        <v>23.105599999999999</v>
      </c>
      <c r="N13" s="25">
        <v>10</v>
      </c>
      <c r="O13" s="25">
        <v>32.0837</v>
      </c>
      <c r="P13" s="25">
        <v>23.209599999999998</v>
      </c>
      <c r="Q13" s="25">
        <v>29.9361</v>
      </c>
      <c r="R13" s="25">
        <v>32.9482</v>
      </c>
      <c r="S13" s="25">
        <v>28.683800000000002</v>
      </c>
      <c r="T13" s="25">
        <v>27.7104</v>
      </c>
      <c r="U13" s="25">
        <v>32.351100000000002</v>
      </c>
      <c r="V13" s="25">
        <v>19.134399999999999</v>
      </c>
      <c r="W13" s="25">
        <v>23.316299999999998</v>
      </c>
      <c r="X13" s="25">
        <v>31.212800000000001</v>
      </c>
      <c r="Y13" s="25">
        <v>39.601999999999997</v>
      </c>
      <c r="Z13" s="25">
        <v>14.6355</v>
      </c>
      <c r="AA13" s="25">
        <v>35.386299999999999</v>
      </c>
      <c r="AB13" s="25">
        <v>26.6646</v>
      </c>
      <c r="AC13" s="25">
        <v>37.904200000000003</v>
      </c>
      <c r="AD13" s="25">
        <v>27.5183</v>
      </c>
      <c r="AE13" s="25">
        <v>11.248200000000001</v>
      </c>
      <c r="AF13" s="25">
        <v>31.8934</v>
      </c>
      <c r="AG13" s="25">
        <v>30.903300000000002</v>
      </c>
      <c r="AH13" s="25">
        <v>27.031099999999999</v>
      </c>
      <c r="AI13" s="25">
        <v>27.487100000000002</v>
      </c>
      <c r="AJ13" s="25">
        <v>23.999700000000001</v>
      </c>
      <c r="AK13" s="25">
        <v>20.123699999999999</v>
      </c>
      <c r="AL13" s="25">
        <v>18.3643</v>
      </c>
      <c r="AM13" s="25">
        <v>31.346900000000002</v>
      </c>
      <c r="AN13" s="25">
        <v>26.8184</v>
      </c>
      <c r="AO13" s="25">
        <v>34.322399999999988</v>
      </c>
      <c r="AP13" s="25">
        <v>27.367000000000001</v>
      </c>
      <c r="AQ13" s="25">
        <v>37.489899999999999</v>
      </c>
      <c r="AR13" s="25">
        <v>41.062100000000001</v>
      </c>
      <c r="AS13" s="25">
        <v>17.744900000000001</v>
      </c>
      <c r="AT13" s="25">
        <v>27.661899999999999</v>
      </c>
      <c r="AU13" s="25">
        <v>24.735499999999998</v>
      </c>
      <c r="AV13" s="25">
        <v>26.7135</v>
      </c>
      <c r="AW13" s="25">
        <v>22.7789</v>
      </c>
      <c r="AX13" s="25">
        <v>23.663900000000002</v>
      </c>
      <c r="AY13" s="25">
        <v>22.188600000000001</v>
      </c>
      <c r="AZ13" s="25">
        <v>25.186299999999999</v>
      </c>
      <c r="BA13" s="25">
        <v>28.824999999999999</v>
      </c>
      <c r="BB13" s="25">
        <v>36.906199999999998</v>
      </c>
      <c r="BC13" s="25">
        <v>35.2669</v>
      </c>
      <c r="BD13" s="25">
        <v>23.6264</v>
      </c>
      <c r="BE13" s="25">
        <v>37.179499999999997</v>
      </c>
      <c r="BF13" s="25">
        <v>21.61</v>
      </c>
      <c r="BG13" s="25">
        <v>24.422999999999998</v>
      </c>
      <c r="BH13" s="25">
        <v>29.5412</v>
      </c>
      <c r="BI13" s="25">
        <v>22.2805</v>
      </c>
      <c r="BJ13" s="25">
        <v>19.602699999999999</v>
      </c>
      <c r="BK13" s="25">
        <v>27.768799999999999</v>
      </c>
      <c r="BL13" s="25">
        <v>21.864100000000001</v>
      </c>
      <c r="BM13" s="25">
        <v>14.6678</v>
      </c>
      <c r="BN13" s="25">
        <v>15.4755</v>
      </c>
      <c r="BO13" s="25">
        <v>29.311</v>
      </c>
      <c r="BP13" s="25">
        <v>38.539000000000001</v>
      </c>
      <c r="BQ13" s="25">
        <v>29.713200000000001</v>
      </c>
      <c r="BR13" s="25">
        <v>40.5916</v>
      </c>
      <c r="BS13" s="25">
        <v>33.592300000000002</v>
      </c>
      <c r="BT13" s="25">
        <v>28.700399999999998</v>
      </c>
      <c r="BU13" s="25">
        <v>26.704899999999999</v>
      </c>
      <c r="BV13" s="25">
        <v>26.584499999999998</v>
      </c>
      <c r="BW13" s="25">
        <v>34.384599999999999</v>
      </c>
      <c r="BX13" s="25">
        <v>23.8904</v>
      </c>
      <c r="BY13" s="25">
        <v>15.1496</v>
      </c>
      <c r="BZ13" s="25">
        <v>34.056399999999996</v>
      </c>
      <c r="CA13" s="25">
        <v>39.873100000000001</v>
      </c>
      <c r="CB13" s="25">
        <v>27.48657922077922</v>
      </c>
      <c r="CC13" s="16">
        <v>2116.4666000000002</v>
      </c>
    </row>
    <row r="14" spans="1:81" x14ac:dyDescent="0.25">
      <c r="A14" s="23">
        <v>13</v>
      </c>
      <c r="B14" s="25">
        <v>6</v>
      </c>
      <c r="C14" s="25">
        <v>30.9725</v>
      </c>
      <c r="D14" s="25">
        <v>43.087599999999988</v>
      </c>
      <c r="E14" s="25">
        <v>37.027799999999999</v>
      </c>
      <c r="F14" s="25">
        <v>42.717199999999998</v>
      </c>
      <c r="G14" s="25">
        <v>37.610700000000001</v>
      </c>
      <c r="H14" s="25">
        <v>20.861899999999999</v>
      </c>
      <c r="I14" s="25">
        <v>28.197900000000001</v>
      </c>
      <c r="J14" s="25">
        <v>27.796600000000002</v>
      </c>
      <c r="K14" s="25">
        <v>28.024699999999999</v>
      </c>
      <c r="L14" s="25">
        <v>25.374099999999999</v>
      </c>
      <c r="M14" s="25">
        <v>28.87</v>
      </c>
      <c r="N14" s="25">
        <v>13.459300000000001</v>
      </c>
      <c r="O14" s="25">
        <v>39.359000000000002</v>
      </c>
      <c r="P14" s="25">
        <v>27.536100000000001</v>
      </c>
      <c r="Q14" s="25">
        <v>34.630600000000001</v>
      </c>
      <c r="R14" s="25">
        <v>35.795999999999999</v>
      </c>
      <c r="S14" s="25">
        <v>35.974899999999998</v>
      </c>
      <c r="T14" s="25">
        <v>32.723999999999997</v>
      </c>
      <c r="U14" s="25">
        <v>37.794699999999999</v>
      </c>
      <c r="V14" s="25">
        <v>22.770299999999999</v>
      </c>
      <c r="W14" s="25">
        <v>30.2928</v>
      </c>
      <c r="X14" s="25">
        <v>35.298499999999997</v>
      </c>
      <c r="Y14" s="25">
        <v>45.321300000000001</v>
      </c>
      <c r="Z14" s="25">
        <v>19.822600000000001</v>
      </c>
      <c r="AA14" s="25">
        <v>42.0625</v>
      </c>
      <c r="AB14" s="25">
        <v>30.810500000000001</v>
      </c>
      <c r="AC14" s="25">
        <v>44.721400000000003</v>
      </c>
      <c r="AD14" s="25">
        <v>33.426299999999998</v>
      </c>
      <c r="AE14" s="25">
        <v>14.8728</v>
      </c>
      <c r="AF14" s="25">
        <v>39.4818</v>
      </c>
      <c r="AG14" s="25">
        <v>38.615499999999997</v>
      </c>
      <c r="AH14" s="25">
        <v>28.1554</v>
      </c>
      <c r="AI14" s="25">
        <v>30.743400000000001</v>
      </c>
      <c r="AJ14" s="25">
        <v>25.601199999999999</v>
      </c>
      <c r="AK14" s="25">
        <v>22.159099999999999</v>
      </c>
      <c r="AL14" s="25">
        <v>22.438300000000002</v>
      </c>
      <c r="AM14" s="25">
        <v>36.041400000000003</v>
      </c>
      <c r="AN14" s="25">
        <v>30.176600000000001</v>
      </c>
      <c r="AO14" s="25">
        <v>39.519799999999996</v>
      </c>
      <c r="AP14" s="25">
        <v>32.016300000000001</v>
      </c>
      <c r="AQ14" s="25">
        <v>45.2699</v>
      </c>
      <c r="AR14" s="25">
        <v>48.921199999999999</v>
      </c>
      <c r="AS14" s="25">
        <v>23.554500000000001</v>
      </c>
      <c r="AT14" s="25">
        <v>29.532599999999999</v>
      </c>
      <c r="AU14" s="25">
        <v>25.887799999999999</v>
      </c>
      <c r="AV14" s="25">
        <v>30.1858</v>
      </c>
      <c r="AW14" s="25">
        <v>27.073399999999999</v>
      </c>
      <c r="AX14" s="25">
        <v>31.703700000000001</v>
      </c>
      <c r="AY14" s="25">
        <v>25.895700000000001</v>
      </c>
      <c r="AZ14" s="25">
        <v>28.059000000000001</v>
      </c>
      <c r="BA14" s="25">
        <v>34.5747</v>
      </c>
      <c r="BB14" s="25">
        <v>44.6297</v>
      </c>
      <c r="BC14" s="25">
        <v>40.017800000000001</v>
      </c>
      <c r="BD14" s="25">
        <v>28.456399999999999</v>
      </c>
      <c r="BE14" s="25">
        <v>43.2761</v>
      </c>
      <c r="BF14" s="25">
        <v>24.119499999999999</v>
      </c>
      <c r="BG14" s="25">
        <v>24.169499999999999</v>
      </c>
      <c r="BH14" s="25">
        <v>37.2986</v>
      </c>
      <c r="BI14" s="25">
        <v>27.676300000000001</v>
      </c>
      <c r="BJ14" s="25">
        <v>21.388400000000001</v>
      </c>
      <c r="BK14" s="25">
        <v>29.737300000000001</v>
      </c>
      <c r="BL14" s="25">
        <v>28.459099999999999</v>
      </c>
      <c r="BM14" s="25">
        <v>22.402699999999999</v>
      </c>
      <c r="BN14" s="25">
        <v>21.201499999999999</v>
      </c>
      <c r="BO14" s="25">
        <v>33.037199999999999</v>
      </c>
      <c r="BP14" s="25">
        <v>43.210900000000002</v>
      </c>
      <c r="BQ14" s="25">
        <v>32.696399999999997</v>
      </c>
      <c r="BR14" s="25">
        <v>47.380699999999997</v>
      </c>
      <c r="BS14" s="25">
        <v>39.5777</v>
      </c>
      <c r="BT14" s="25">
        <v>31.141300000000001</v>
      </c>
      <c r="BU14" s="25">
        <v>26.6219</v>
      </c>
      <c r="BV14" s="25">
        <v>31.933299999999999</v>
      </c>
      <c r="BW14" s="25">
        <v>41.083399999999997</v>
      </c>
      <c r="BX14" s="25">
        <v>31.681699999999999</v>
      </c>
      <c r="BY14" s="25">
        <v>17.971499999999999</v>
      </c>
      <c r="BZ14" s="25">
        <v>35.6541</v>
      </c>
      <c r="CA14" s="25">
        <v>45.614900000000013</v>
      </c>
      <c r="CB14" s="25">
        <v>32.120254545454557</v>
      </c>
      <c r="CC14" s="16">
        <v>2473.2596000000008</v>
      </c>
    </row>
    <row r="15" spans="1:81" x14ac:dyDescent="0.25">
      <c r="A15" s="23">
        <v>14</v>
      </c>
      <c r="B15" s="25">
        <v>6.5</v>
      </c>
      <c r="C15" s="25">
        <v>41.431600000000003</v>
      </c>
      <c r="D15" s="25">
        <v>54.471099999999993</v>
      </c>
      <c r="E15" s="25">
        <v>42.380699999999997</v>
      </c>
      <c r="F15" s="25">
        <v>53.4405</v>
      </c>
      <c r="G15" s="25">
        <v>45.048400000000001</v>
      </c>
      <c r="H15" s="25">
        <v>24.488900000000001</v>
      </c>
      <c r="I15" s="25">
        <v>34.996300000000012</v>
      </c>
      <c r="J15" s="25">
        <v>31.4253</v>
      </c>
      <c r="K15" s="25">
        <v>32.414900000000003</v>
      </c>
      <c r="L15" s="25">
        <v>28.7517</v>
      </c>
      <c r="M15" s="25">
        <v>37.226900000000001</v>
      </c>
      <c r="N15" s="25">
        <v>17.832899999999999</v>
      </c>
      <c r="O15" s="25">
        <v>50.618299999999998</v>
      </c>
      <c r="P15" s="25">
        <v>32.2333</v>
      </c>
      <c r="Q15" s="25">
        <v>41.392299999999999</v>
      </c>
      <c r="R15" s="25">
        <v>42.684800000000003</v>
      </c>
      <c r="S15" s="25">
        <v>45.1648</v>
      </c>
      <c r="T15" s="25">
        <v>43.949399999999997</v>
      </c>
      <c r="U15" s="25">
        <v>47.619699999999987</v>
      </c>
      <c r="V15" s="25">
        <v>26.011399999999998</v>
      </c>
      <c r="W15" s="25">
        <v>39.605499999999999</v>
      </c>
      <c r="X15" s="25">
        <v>42.047600000000003</v>
      </c>
      <c r="Y15" s="25">
        <v>53.633000000000003</v>
      </c>
      <c r="Z15" s="25">
        <v>26.4925</v>
      </c>
      <c r="AA15" s="25">
        <v>50.819400000000002</v>
      </c>
      <c r="AB15" s="25">
        <v>37.563699999999997</v>
      </c>
      <c r="AC15" s="25">
        <v>55.991899999999987</v>
      </c>
      <c r="AD15" s="25">
        <v>43.881</v>
      </c>
      <c r="AE15" s="25">
        <v>17.051400000000001</v>
      </c>
      <c r="AF15" s="25">
        <v>40.921500000000002</v>
      </c>
      <c r="AG15" s="25">
        <v>48.576799999999999</v>
      </c>
      <c r="AH15" s="25">
        <v>33.576099999999997</v>
      </c>
      <c r="AI15" s="25">
        <v>38.9422</v>
      </c>
      <c r="AJ15" s="25">
        <v>29.474699999999999</v>
      </c>
      <c r="AK15" s="25">
        <v>26.8171</v>
      </c>
      <c r="AL15" s="25">
        <v>27.4025</v>
      </c>
      <c r="AM15" s="25">
        <v>42.896299999999997</v>
      </c>
      <c r="AN15" s="25">
        <v>35.950699999999998</v>
      </c>
      <c r="AO15" s="25">
        <v>47.410799999999988</v>
      </c>
      <c r="AP15" s="25">
        <v>38.826099999999997</v>
      </c>
      <c r="AQ15" s="25">
        <v>55.867900000000013</v>
      </c>
      <c r="AR15" s="25">
        <v>60.236900000000013</v>
      </c>
      <c r="AS15" s="25">
        <v>30.9252</v>
      </c>
      <c r="AT15" s="25">
        <v>33.552900000000001</v>
      </c>
      <c r="AU15" s="25">
        <v>28.550899999999999</v>
      </c>
      <c r="AV15" s="25">
        <v>33.667900000000003</v>
      </c>
      <c r="AW15" s="25">
        <v>32.519399999999997</v>
      </c>
      <c r="AX15" s="25">
        <v>43.200099999999999</v>
      </c>
      <c r="AY15" s="25">
        <v>33.121000000000002</v>
      </c>
      <c r="AZ15" s="25">
        <v>36.4724</v>
      </c>
      <c r="BA15" s="25">
        <v>44.298099999999998</v>
      </c>
      <c r="BB15" s="25">
        <v>55.809899999999999</v>
      </c>
      <c r="BC15" s="25">
        <v>46.367800000000003</v>
      </c>
      <c r="BD15" s="25">
        <v>33.708500000000001</v>
      </c>
      <c r="BE15" s="25">
        <v>52.811199999999999</v>
      </c>
      <c r="BF15" s="25">
        <v>25.2331</v>
      </c>
      <c r="BG15" s="25">
        <v>27.946400000000001</v>
      </c>
      <c r="BH15" s="25">
        <v>46.380300000000013</v>
      </c>
      <c r="BI15" s="25">
        <v>35.567</v>
      </c>
      <c r="BJ15" s="25">
        <v>26.7074</v>
      </c>
      <c r="BK15" s="25">
        <v>34.781199999999998</v>
      </c>
      <c r="BL15" s="25">
        <v>38.2727</v>
      </c>
      <c r="BM15" s="25">
        <v>31.712399999999999</v>
      </c>
      <c r="BN15" s="25">
        <v>32.301499999999997</v>
      </c>
      <c r="BO15" s="25">
        <v>38.004100000000001</v>
      </c>
      <c r="BP15" s="25">
        <v>50.043199999999999</v>
      </c>
      <c r="BQ15" s="25">
        <v>39.675600000000003</v>
      </c>
      <c r="BR15" s="25">
        <v>57.147300000000001</v>
      </c>
      <c r="BS15" s="25">
        <v>50.848300000000002</v>
      </c>
      <c r="BT15" s="25">
        <v>36.437800000000003</v>
      </c>
      <c r="BU15" s="25">
        <v>28.715</v>
      </c>
      <c r="BV15" s="25">
        <v>42.254600000000003</v>
      </c>
      <c r="BW15" s="25">
        <v>49.545099999999998</v>
      </c>
      <c r="BX15" s="25">
        <v>41.107799999999997</v>
      </c>
      <c r="BY15" s="25">
        <v>25.330400000000001</v>
      </c>
      <c r="BZ15" s="25">
        <v>38.115900000000003</v>
      </c>
      <c r="CA15" s="25">
        <v>53.949199999999998</v>
      </c>
      <c r="CB15" s="25">
        <v>39.255199999999988</v>
      </c>
      <c r="CC15" s="16">
        <v>3022.6504</v>
      </c>
    </row>
    <row r="16" spans="1:81" x14ac:dyDescent="0.25">
      <c r="A16" s="23">
        <v>15</v>
      </c>
      <c r="B16" s="25">
        <v>7</v>
      </c>
      <c r="C16" s="25">
        <v>55.046499999999988</v>
      </c>
      <c r="D16" s="25">
        <v>69.353699999999989</v>
      </c>
      <c r="E16" s="25">
        <v>49.483199999999997</v>
      </c>
      <c r="F16" s="25">
        <v>67.261499999999998</v>
      </c>
      <c r="G16" s="25">
        <v>55.764499999999998</v>
      </c>
      <c r="H16" s="25">
        <v>30.1631</v>
      </c>
      <c r="I16" s="25">
        <v>42.442399999999999</v>
      </c>
      <c r="J16" s="25">
        <v>39.172199999999997</v>
      </c>
      <c r="K16" s="25">
        <v>25.985399999999998</v>
      </c>
      <c r="L16" s="25">
        <v>35.729999999999997</v>
      </c>
      <c r="M16" s="25">
        <v>48.208199999999998</v>
      </c>
      <c r="N16" s="25">
        <v>22.447800000000001</v>
      </c>
      <c r="O16" s="25">
        <v>64.322299999999998</v>
      </c>
      <c r="P16" s="25">
        <v>39.963099999999997</v>
      </c>
      <c r="Q16" s="25">
        <v>48.5871</v>
      </c>
      <c r="R16" s="25">
        <v>51.760599999999997</v>
      </c>
      <c r="S16" s="25">
        <v>59.527500000000003</v>
      </c>
      <c r="T16" s="25">
        <v>56.926100000000012</v>
      </c>
      <c r="U16" s="25">
        <v>58.640700000000002</v>
      </c>
      <c r="V16" s="25">
        <v>31.404800000000002</v>
      </c>
      <c r="W16" s="25">
        <v>53.506799999999998</v>
      </c>
      <c r="X16" s="25">
        <v>50.768199999999993</v>
      </c>
      <c r="Y16" s="25">
        <v>64.569100000000006</v>
      </c>
      <c r="Z16" s="25">
        <v>36.821100000000001</v>
      </c>
      <c r="AA16" s="25">
        <v>63.582000000000008</v>
      </c>
      <c r="AB16" s="25">
        <v>46.503999999999998</v>
      </c>
      <c r="AC16" s="25">
        <v>70.761600000000001</v>
      </c>
      <c r="AD16" s="25">
        <v>57.417299999999997</v>
      </c>
      <c r="AE16" s="25">
        <v>24.1539</v>
      </c>
      <c r="AF16" s="25">
        <v>38.316400000000002</v>
      </c>
      <c r="AG16" s="25">
        <v>61.959200000000003</v>
      </c>
      <c r="AH16" s="25">
        <v>37.843200000000003</v>
      </c>
      <c r="AI16" s="25">
        <v>48.8352</v>
      </c>
      <c r="AJ16" s="25">
        <v>34.416400000000003</v>
      </c>
      <c r="AK16" s="25">
        <v>32.695</v>
      </c>
      <c r="AL16" s="25">
        <v>35.037400000000012</v>
      </c>
      <c r="AM16" s="25">
        <v>50.0304</v>
      </c>
      <c r="AN16" s="25">
        <v>40.8386</v>
      </c>
      <c r="AO16" s="25">
        <v>57.926200000000009</v>
      </c>
      <c r="AP16" s="25">
        <v>47.273000000000003</v>
      </c>
      <c r="AQ16" s="25">
        <v>70.358100000000007</v>
      </c>
      <c r="AR16" s="25">
        <v>75.0518</v>
      </c>
      <c r="AS16" s="25">
        <v>41.509599999999999</v>
      </c>
      <c r="AT16" s="25">
        <v>36.799399999999999</v>
      </c>
      <c r="AU16" s="25">
        <v>33.849499999999999</v>
      </c>
      <c r="AV16" s="25">
        <v>40.624099999999999</v>
      </c>
      <c r="AW16" s="25">
        <v>40.075300000000013</v>
      </c>
      <c r="AX16" s="25">
        <v>57.082299999999996</v>
      </c>
      <c r="AY16" s="25">
        <v>43.195399999999999</v>
      </c>
      <c r="AZ16" s="25">
        <v>44.231200000000001</v>
      </c>
      <c r="BA16" s="25">
        <v>54.735599999999998</v>
      </c>
      <c r="BB16" s="25">
        <v>69.6447</v>
      </c>
      <c r="BC16" s="25">
        <v>55.185499999999998</v>
      </c>
      <c r="BD16" s="25">
        <v>41.925899999999999</v>
      </c>
      <c r="BE16" s="25">
        <v>65.573800000000006</v>
      </c>
      <c r="BF16" s="25">
        <v>29.916599999999999</v>
      </c>
      <c r="BG16" s="25">
        <v>20.933</v>
      </c>
      <c r="BH16" s="25">
        <v>60.944200000000002</v>
      </c>
      <c r="BI16" s="25">
        <v>46.130800000000001</v>
      </c>
      <c r="BJ16" s="25">
        <v>32.552900000000001</v>
      </c>
      <c r="BK16" s="25">
        <v>40.732700000000001</v>
      </c>
      <c r="BL16" s="25">
        <v>49.7376</v>
      </c>
      <c r="BM16" s="25">
        <v>46.402999999999999</v>
      </c>
      <c r="BN16" s="25">
        <v>46.444200000000002</v>
      </c>
      <c r="BO16" s="25">
        <v>43.8992</v>
      </c>
      <c r="BP16" s="25">
        <v>59.062499999999993</v>
      </c>
      <c r="BQ16" s="25">
        <v>46.918700000000001</v>
      </c>
      <c r="BR16" s="25">
        <v>67.317700000000002</v>
      </c>
      <c r="BS16" s="25">
        <v>65.617899999999992</v>
      </c>
      <c r="BT16" s="25">
        <v>41.999499999999998</v>
      </c>
      <c r="BU16" s="25">
        <v>31.927499999999998</v>
      </c>
      <c r="BV16" s="25">
        <v>55.627600000000001</v>
      </c>
      <c r="BW16" s="25">
        <v>62.330199999999998</v>
      </c>
      <c r="BX16" s="25">
        <v>55.672699999999999</v>
      </c>
      <c r="BY16" s="25">
        <v>33.999499999999998</v>
      </c>
      <c r="BZ16" s="25">
        <v>41.452599999999997</v>
      </c>
      <c r="CA16" s="25">
        <v>64.907899999999998</v>
      </c>
      <c r="CB16" s="25">
        <v>48.309303896103891</v>
      </c>
      <c r="CC16" s="16">
        <v>3719.8164000000002</v>
      </c>
    </row>
    <row r="17" spans="1:81" x14ac:dyDescent="0.25">
      <c r="A17" s="23">
        <v>16</v>
      </c>
      <c r="B17" s="25">
        <v>7.5</v>
      </c>
      <c r="C17" s="25">
        <v>70.841899999999995</v>
      </c>
      <c r="D17" s="25">
        <v>85.115399999999994</v>
      </c>
      <c r="E17" s="25">
        <v>58.169600000000003</v>
      </c>
      <c r="F17" s="25">
        <v>85.433199999999999</v>
      </c>
      <c r="G17" s="25">
        <v>67.619799999999998</v>
      </c>
      <c r="H17" s="25">
        <v>38.013000000000012</v>
      </c>
      <c r="I17" s="25">
        <v>51.841200000000001</v>
      </c>
      <c r="J17" s="25">
        <v>50.355899999999998</v>
      </c>
      <c r="K17" s="25">
        <v>34.771900000000002</v>
      </c>
      <c r="L17" s="25">
        <v>43.186700000000002</v>
      </c>
      <c r="M17" s="25">
        <v>61.800199999999997</v>
      </c>
      <c r="N17" s="25">
        <v>30.203399999999998</v>
      </c>
      <c r="O17" s="25">
        <v>81.682999999999993</v>
      </c>
      <c r="P17" s="25">
        <v>50.510599999999997</v>
      </c>
      <c r="Q17" s="25">
        <v>59.804599999999994</v>
      </c>
      <c r="R17" s="25">
        <v>62.926499999999997</v>
      </c>
      <c r="S17" s="25">
        <v>76.070300000000003</v>
      </c>
      <c r="T17" s="25">
        <v>75.048400000000001</v>
      </c>
      <c r="U17" s="25">
        <v>74.573400000000007</v>
      </c>
      <c r="V17" s="25">
        <v>40.259099999999997</v>
      </c>
      <c r="W17" s="25">
        <v>70.659000000000006</v>
      </c>
      <c r="X17" s="25">
        <v>60.273800000000001</v>
      </c>
      <c r="Y17" s="25">
        <v>78.116</v>
      </c>
      <c r="Z17" s="25">
        <v>50.311500000000002</v>
      </c>
      <c r="AA17" s="25">
        <v>79.3904</v>
      </c>
      <c r="AB17" s="25">
        <v>57.364400000000003</v>
      </c>
      <c r="AC17" s="25">
        <v>88.493499999999997</v>
      </c>
      <c r="AD17" s="25">
        <v>74.306200000000004</v>
      </c>
      <c r="AE17" s="25">
        <v>30.444800000000001</v>
      </c>
      <c r="AF17" s="25">
        <v>56.417900000000003</v>
      </c>
      <c r="AG17" s="25">
        <v>80.108199999999997</v>
      </c>
      <c r="AH17" s="25">
        <v>44.660800000000002</v>
      </c>
      <c r="AI17" s="25">
        <v>60.849200000000003</v>
      </c>
      <c r="AJ17" s="25">
        <v>39.325500000000012</v>
      </c>
      <c r="AK17" s="25">
        <v>39.884099999999997</v>
      </c>
      <c r="AL17" s="25">
        <v>43.319299999999998</v>
      </c>
      <c r="AM17" s="25">
        <v>61.247999999999998</v>
      </c>
      <c r="AN17" s="25">
        <v>36.880499999999998</v>
      </c>
      <c r="AO17" s="25">
        <v>71.506900000000002</v>
      </c>
      <c r="AP17" s="25">
        <v>58.445400000000006</v>
      </c>
      <c r="AQ17" s="25">
        <v>88.5749</v>
      </c>
      <c r="AR17" s="25">
        <v>93.347700000000003</v>
      </c>
      <c r="AS17" s="25">
        <v>55.146799999999999</v>
      </c>
      <c r="AT17" s="25">
        <v>43.4373</v>
      </c>
      <c r="AU17" s="25">
        <v>38.441499999999998</v>
      </c>
      <c r="AV17" s="25">
        <v>49.478299999999997</v>
      </c>
      <c r="AW17" s="25">
        <v>50.435099999999998</v>
      </c>
      <c r="AX17" s="25">
        <v>75.18780000000001</v>
      </c>
      <c r="AY17" s="25">
        <v>54.185699999999997</v>
      </c>
      <c r="AZ17" s="25">
        <v>56.319000000000003</v>
      </c>
      <c r="BA17" s="25">
        <v>70.566699999999997</v>
      </c>
      <c r="BB17" s="25">
        <v>87.805000000000007</v>
      </c>
      <c r="BC17" s="25">
        <v>66.459400000000002</v>
      </c>
      <c r="BD17" s="25">
        <v>52.986800000000002</v>
      </c>
      <c r="BE17" s="25">
        <v>81.382200000000012</v>
      </c>
      <c r="BF17" s="25">
        <v>36.3399</v>
      </c>
      <c r="BG17" s="25">
        <v>10.872</v>
      </c>
      <c r="BH17" s="25">
        <v>78.839800000000011</v>
      </c>
      <c r="BI17" s="25">
        <v>59.305500000000002</v>
      </c>
      <c r="BJ17" s="25">
        <v>39.955599999999997</v>
      </c>
      <c r="BK17" s="25">
        <v>48.761600000000001</v>
      </c>
      <c r="BL17" s="25">
        <v>67.855400000000003</v>
      </c>
      <c r="BM17" s="25">
        <v>64.574699999999993</v>
      </c>
      <c r="BN17" s="25">
        <v>63.493299999999998</v>
      </c>
      <c r="BO17" s="25">
        <v>52.2911</v>
      </c>
      <c r="BP17" s="25">
        <v>70.257499999999993</v>
      </c>
      <c r="BQ17" s="25">
        <v>58.260399999999997</v>
      </c>
      <c r="BR17" s="25">
        <v>83.126199999999997</v>
      </c>
      <c r="BS17" s="25">
        <v>83.453100000000006</v>
      </c>
      <c r="BT17" s="25">
        <v>50.166400000000003</v>
      </c>
      <c r="BU17" s="25">
        <v>34.543400000000013</v>
      </c>
      <c r="BV17" s="25">
        <v>71.401800000000009</v>
      </c>
      <c r="BW17" s="25">
        <v>77.350099999999998</v>
      </c>
      <c r="BX17" s="25">
        <v>68.2316</v>
      </c>
      <c r="BY17" s="25">
        <v>45.0032</v>
      </c>
      <c r="BZ17" s="25">
        <v>45.659499999999987</v>
      </c>
      <c r="CA17" s="25">
        <v>78.477400000000003</v>
      </c>
      <c r="CB17" s="25">
        <v>60.158535064935073</v>
      </c>
      <c r="CC17" s="16">
        <v>4632.2071999999998</v>
      </c>
    </row>
    <row r="18" spans="1:81" x14ac:dyDescent="0.25">
      <c r="A18" s="23">
        <v>17</v>
      </c>
      <c r="B18" s="25">
        <v>8</v>
      </c>
      <c r="C18" s="25">
        <v>89.217699999999994</v>
      </c>
      <c r="D18" s="25">
        <v>100</v>
      </c>
      <c r="E18" s="25">
        <v>67.972399999999993</v>
      </c>
      <c r="F18" s="25">
        <v>100</v>
      </c>
      <c r="G18" s="25">
        <v>83.724699999999999</v>
      </c>
      <c r="H18" s="25">
        <v>46.146000000000001</v>
      </c>
      <c r="I18" s="25">
        <v>63.258200000000002</v>
      </c>
      <c r="J18" s="25">
        <v>62.709499999999998</v>
      </c>
      <c r="K18" s="25">
        <v>44.773899999999998</v>
      </c>
      <c r="L18" s="25">
        <v>52.714000000000013</v>
      </c>
      <c r="M18" s="25">
        <v>78.006900000000002</v>
      </c>
      <c r="N18" s="25">
        <v>39.316899999999997</v>
      </c>
      <c r="O18" s="25">
        <v>100</v>
      </c>
      <c r="P18" s="25">
        <v>60.232200000000013</v>
      </c>
      <c r="Q18" s="25">
        <v>73.201000000000008</v>
      </c>
      <c r="R18" s="25">
        <v>71.907299999999992</v>
      </c>
      <c r="S18" s="25">
        <v>96.504800000000003</v>
      </c>
      <c r="T18" s="25">
        <v>95.990899999999996</v>
      </c>
      <c r="U18" s="25">
        <v>92.284300000000002</v>
      </c>
      <c r="V18" s="25">
        <v>48.943899999999999</v>
      </c>
      <c r="W18" s="25">
        <v>89.362499999999997</v>
      </c>
      <c r="X18" s="25">
        <v>73.243600000000001</v>
      </c>
      <c r="Y18" s="25">
        <v>94.2774</v>
      </c>
      <c r="Z18" s="25">
        <v>66.416499999999999</v>
      </c>
      <c r="AA18" s="25">
        <v>96.674999999999997</v>
      </c>
      <c r="AB18" s="25">
        <v>69.637500000000003</v>
      </c>
      <c r="AC18" s="25">
        <v>100</v>
      </c>
      <c r="AD18" s="25">
        <v>95.86</v>
      </c>
      <c r="AE18" s="25">
        <v>39.311100000000003</v>
      </c>
      <c r="AF18" s="25">
        <v>75.918099999999995</v>
      </c>
      <c r="AG18" s="25">
        <v>98.399199999999993</v>
      </c>
      <c r="AH18" s="25">
        <v>42.6753</v>
      </c>
      <c r="AI18" s="25">
        <v>76.070899999999995</v>
      </c>
      <c r="AJ18" s="25">
        <v>46.34</v>
      </c>
      <c r="AK18" s="25">
        <v>39.9315</v>
      </c>
      <c r="AL18" s="25">
        <v>55.149500000000003</v>
      </c>
      <c r="AM18" s="25">
        <v>74.599699999999999</v>
      </c>
      <c r="AN18" s="25">
        <v>46.337200000000003</v>
      </c>
      <c r="AO18" s="25">
        <v>87.702199999999991</v>
      </c>
      <c r="AP18" s="25">
        <v>71.796499999999995</v>
      </c>
      <c r="AQ18" s="25">
        <v>100</v>
      </c>
      <c r="AR18" s="25">
        <v>100</v>
      </c>
      <c r="AS18" s="25">
        <v>70.440899999999999</v>
      </c>
      <c r="AT18" s="25">
        <v>50.529100000000007</v>
      </c>
      <c r="AU18" s="25">
        <v>45.161799999999999</v>
      </c>
      <c r="AV18" s="25">
        <v>58.832999999999998</v>
      </c>
      <c r="AW18" s="25">
        <v>61.918300000000002</v>
      </c>
      <c r="AX18" s="25">
        <v>96.705100000000002</v>
      </c>
      <c r="AY18" s="25">
        <v>70.369699999999995</v>
      </c>
      <c r="AZ18" s="25">
        <v>71.420900000000003</v>
      </c>
      <c r="BA18" s="25">
        <v>87.661000000000001</v>
      </c>
      <c r="BB18" s="25">
        <v>100</v>
      </c>
      <c r="BC18" s="25">
        <v>79.912300000000002</v>
      </c>
      <c r="BD18" s="25">
        <v>63.461199999999998</v>
      </c>
      <c r="BE18" s="25">
        <v>99.702699999999993</v>
      </c>
      <c r="BF18" s="25">
        <v>43.093200000000003</v>
      </c>
      <c r="BG18" s="25">
        <v>16.817599999999999</v>
      </c>
      <c r="BH18" s="25">
        <v>99.176000000000002</v>
      </c>
      <c r="BI18" s="25">
        <v>75.534700000000001</v>
      </c>
      <c r="BJ18" s="25">
        <v>50.507800000000003</v>
      </c>
      <c r="BK18" s="25">
        <v>57.892299999999999</v>
      </c>
      <c r="BL18" s="25">
        <v>88.542900000000003</v>
      </c>
      <c r="BM18" s="25">
        <v>85.206000000000003</v>
      </c>
      <c r="BN18" s="25">
        <v>81.424300000000002</v>
      </c>
      <c r="BO18" s="25">
        <v>62.785500000000013</v>
      </c>
      <c r="BP18" s="25">
        <v>81.915300000000002</v>
      </c>
      <c r="BQ18" s="25">
        <v>69.384</v>
      </c>
      <c r="BR18" s="25">
        <v>100</v>
      </c>
      <c r="BS18" s="25">
        <v>100</v>
      </c>
      <c r="BT18" s="25">
        <v>43.879300000000001</v>
      </c>
      <c r="BU18" s="25">
        <v>39.171700000000001</v>
      </c>
      <c r="BV18" s="25">
        <v>91.750200000000007</v>
      </c>
      <c r="BW18" s="25">
        <v>95.780900000000003</v>
      </c>
      <c r="BX18" s="25">
        <v>85.405699999999996</v>
      </c>
      <c r="BY18" s="25">
        <v>59.228200000000001</v>
      </c>
      <c r="BZ18" s="25">
        <v>48.206600000000002</v>
      </c>
      <c r="CA18" s="25">
        <v>94.6614</v>
      </c>
      <c r="CB18" s="25">
        <v>73.156985714285739</v>
      </c>
      <c r="CC18" s="16">
        <v>5633.0879000000023</v>
      </c>
    </row>
    <row r="19" spans="1:81" x14ac:dyDescent="0.25">
      <c r="A19" s="23">
        <v>18</v>
      </c>
      <c r="B19" s="25">
        <v>8.5</v>
      </c>
      <c r="C19" s="25">
        <v>100</v>
      </c>
      <c r="D19" s="25">
        <v>100</v>
      </c>
      <c r="E19" s="25">
        <v>80.194400000000002</v>
      </c>
      <c r="F19" s="25">
        <v>100</v>
      </c>
      <c r="G19" s="25">
        <v>100</v>
      </c>
      <c r="H19" s="25">
        <v>57.083599999999997</v>
      </c>
      <c r="I19" s="25">
        <v>74.566699999999997</v>
      </c>
      <c r="J19" s="25">
        <v>76.878999999999991</v>
      </c>
      <c r="K19" s="25">
        <v>55.301400000000001</v>
      </c>
      <c r="L19" s="25">
        <v>64.811799999999991</v>
      </c>
      <c r="M19" s="25">
        <v>96.667400000000001</v>
      </c>
      <c r="N19" s="25">
        <v>49.927599999999998</v>
      </c>
      <c r="O19" s="25">
        <v>100</v>
      </c>
      <c r="P19" s="25">
        <v>75.119699999999995</v>
      </c>
      <c r="Q19" s="25">
        <v>86.795199999999994</v>
      </c>
      <c r="R19" s="25">
        <v>86.974099999999993</v>
      </c>
      <c r="S19" s="25">
        <v>100</v>
      </c>
      <c r="T19" s="25">
        <v>100</v>
      </c>
      <c r="U19" s="25">
        <v>100</v>
      </c>
      <c r="V19" s="25">
        <v>59.212400000000002</v>
      </c>
      <c r="W19" s="25">
        <v>100</v>
      </c>
      <c r="X19" s="25">
        <v>77.799099999999996</v>
      </c>
      <c r="Y19" s="25">
        <v>100</v>
      </c>
      <c r="Z19" s="25">
        <v>81.175399999999996</v>
      </c>
      <c r="AA19" s="25">
        <v>100</v>
      </c>
      <c r="AB19" s="25">
        <v>82.170299999999997</v>
      </c>
      <c r="AC19" s="25">
        <v>100</v>
      </c>
      <c r="AD19" s="25">
        <v>100</v>
      </c>
      <c r="AE19" s="25">
        <v>48.554699999999997</v>
      </c>
      <c r="AF19" s="25">
        <v>96.169800000000009</v>
      </c>
      <c r="AG19" s="25">
        <v>100</v>
      </c>
      <c r="AH19" s="25">
        <v>52.554299999999998</v>
      </c>
      <c r="AI19" s="25">
        <v>93.0501</v>
      </c>
      <c r="AJ19" s="25">
        <v>51.640500000000003</v>
      </c>
      <c r="AK19" s="25">
        <v>47.052999999999997</v>
      </c>
      <c r="AL19" s="25">
        <v>65.159300000000002</v>
      </c>
      <c r="AM19" s="25">
        <v>87.392499999999998</v>
      </c>
      <c r="AN19" s="25">
        <v>58.747100000000003</v>
      </c>
      <c r="AO19" s="25">
        <v>100</v>
      </c>
      <c r="AP19" s="25">
        <v>87.192599999999999</v>
      </c>
      <c r="AQ19" s="25">
        <v>100</v>
      </c>
      <c r="AR19" s="25">
        <v>100</v>
      </c>
      <c r="AS19" s="25">
        <v>88.630899999999997</v>
      </c>
      <c r="AT19" s="25">
        <v>58.468600000000002</v>
      </c>
      <c r="AU19" s="25">
        <v>53.445700000000002</v>
      </c>
      <c r="AV19" s="25">
        <v>70.064300000000003</v>
      </c>
      <c r="AW19" s="25">
        <v>76.501900000000006</v>
      </c>
      <c r="AX19" s="25">
        <v>100</v>
      </c>
      <c r="AY19" s="25">
        <v>74.150099999999995</v>
      </c>
      <c r="AZ19" s="25">
        <v>88.2423</v>
      </c>
      <c r="BA19" s="25">
        <v>100</v>
      </c>
      <c r="BB19" s="25">
        <v>100</v>
      </c>
      <c r="BC19" s="25">
        <v>93.167400000000001</v>
      </c>
      <c r="BD19" s="25">
        <v>78.578000000000003</v>
      </c>
      <c r="BE19" s="25">
        <v>100</v>
      </c>
      <c r="BF19" s="25">
        <v>52.050800000000002</v>
      </c>
      <c r="BG19" s="25">
        <v>20.3019</v>
      </c>
      <c r="BH19" s="25">
        <v>100</v>
      </c>
      <c r="BI19" s="25">
        <v>93.337800000000001</v>
      </c>
      <c r="BJ19" s="25">
        <v>60.066299999999998</v>
      </c>
      <c r="BK19" s="25">
        <v>69.131699999999995</v>
      </c>
      <c r="BL19" s="25">
        <v>100</v>
      </c>
      <c r="BM19" s="25">
        <v>100</v>
      </c>
      <c r="BN19" s="25">
        <v>100</v>
      </c>
      <c r="BO19" s="25">
        <v>73.312399999999997</v>
      </c>
      <c r="BP19" s="25">
        <v>95.701000000000008</v>
      </c>
      <c r="BQ19" s="25">
        <v>82.492500000000007</v>
      </c>
      <c r="BR19" s="25">
        <v>100</v>
      </c>
      <c r="BS19" s="25">
        <v>100</v>
      </c>
      <c r="BT19" s="25">
        <v>53.895700000000012</v>
      </c>
      <c r="BU19" s="25">
        <v>44.943800000000003</v>
      </c>
      <c r="BV19" s="25">
        <v>100</v>
      </c>
      <c r="BW19" s="25">
        <v>100</v>
      </c>
      <c r="BX19" s="25">
        <v>100</v>
      </c>
      <c r="BY19" s="25">
        <v>74.983800000000002</v>
      </c>
      <c r="BZ19" s="25">
        <v>52.299799999999998</v>
      </c>
      <c r="CA19" s="25">
        <v>100</v>
      </c>
      <c r="CB19" s="25">
        <v>82.415048051948077</v>
      </c>
      <c r="CC19" s="16">
        <v>6345.958700000002</v>
      </c>
    </row>
    <row r="20" spans="1:81" x14ac:dyDescent="0.25">
      <c r="A20" s="23">
        <v>19</v>
      </c>
      <c r="B20" s="25">
        <v>9</v>
      </c>
      <c r="C20" s="25">
        <v>100</v>
      </c>
      <c r="D20" s="25">
        <v>100</v>
      </c>
      <c r="E20" s="25">
        <v>93.9542</v>
      </c>
      <c r="F20" s="25">
        <v>100</v>
      </c>
      <c r="G20" s="25">
        <v>100</v>
      </c>
      <c r="H20" s="25">
        <v>69.0732</v>
      </c>
      <c r="I20" s="25">
        <v>72.930399999999992</v>
      </c>
      <c r="J20" s="25">
        <v>93.645399999999995</v>
      </c>
      <c r="K20" s="25">
        <v>67.067700000000002</v>
      </c>
      <c r="L20" s="25">
        <v>75.776299999999992</v>
      </c>
      <c r="M20" s="25">
        <v>100</v>
      </c>
      <c r="N20" s="25">
        <v>58.146600000000007</v>
      </c>
      <c r="O20" s="25">
        <v>100</v>
      </c>
      <c r="P20" s="25">
        <v>90.703699999999998</v>
      </c>
      <c r="Q20" s="25">
        <v>100</v>
      </c>
      <c r="R20" s="25">
        <v>87.619699999999995</v>
      </c>
      <c r="S20" s="25">
        <v>100</v>
      </c>
      <c r="T20" s="25">
        <v>100</v>
      </c>
      <c r="U20" s="25">
        <v>100</v>
      </c>
      <c r="V20" s="25">
        <v>63.988399999999999</v>
      </c>
      <c r="W20" s="25">
        <v>100</v>
      </c>
      <c r="X20" s="25">
        <v>94.569299999999998</v>
      </c>
      <c r="Y20" s="25">
        <v>100</v>
      </c>
      <c r="Z20" s="25">
        <v>100</v>
      </c>
      <c r="AA20" s="25">
        <v>100</v>
      </c>
      <c r="AB20" s="25">
        <v>86.5642</v>
      </c>
      <c r="AC20" s="25">
        <v>100</v>
      </c>
      <c r="AD20" s="25">
        <v>100</v>
      </c>
      <c r="AE20" s="25">
        <v>58.812899999999999</v>
      </c>
      <c r="AF20" s="25">
        <v>100</v>
      </c>
      <c r="AG20" s="25">
        <v>100</v>
      </c>
      <c r="AH20" s="25">
        <v>65.313600000000008</v>
      </c>
      <c r="AI20" s="25">
        <v>100</v>
      </c>
      <c r="AJ20" s="25">
        <v>44.128500000000003</v>
      </c>
      <c r="AK20" s="25">
        <v>57.605499999999999</v>
      </c>
      <c r="AL20" s="25">
        <v>66.838799999999992</v>
      </c>
      <c r="AM20" s="25">
        <v>100</v>
      </c>
      <c r="AN20" s="25">
        <v>73.819999999999993</v>
      </c>
      <c r="AO20" s="25">
        <v>100</v>
      </c>
      <c r="AP20" s="25">
        <v>100</v>
      </c>
      <c r="AQ20" s="25">
        <v>100</v>
      </c>
      <c r="AR20" s="25">
        <v>93.280799999999999</v>
      </c>
      <c r="AS20" s="25">
        <v>100</v>
      </c>
      <c r="AT20" s="25">
        <v>68.509600000000006</v>
      </c>
      <c r="AU20" s="25">
        <v>61.521000000000001</v>
      </c>
      <c r="AV20" s="25">
        <v>83.70689999999999</v>
      </c>
      <c r="AW20" s="25">
        <v>92.6357</v>
      </c>
      <c r="AX20" s="25">
        <v>100</v>
      </c>
      <c r="AY20" s="25">
        <v>53.603599999999993</v>
      </c>
      <c r="AZ20" s="25">
        <v>100</v>
      </c>
      <c r="BA20" s="25">
        <v>100</v>
      </c>
      <c r="BB20" s="25">
        <v>100</v>
      </c>
      <c r="BC20" s="25">
        <v>100</v>
      </c>
      <c r="BD20" s="25">
        <v>95.036299999999997</v>
      </c>
      <c r="BE20" s="25">
        <v>100</v>
      </c>
      <c r="BF20" s="25">
        <v>59.035099999999993</v>
      </c>
      <c r="BG20" s="25">
        <v>21.6526</v>
      </c>
      <c r="BH20" s="25">
        <v>100</v>
      </c>
      <c r="BI20" s="25">
        <v>100</v>
      </c>
      <c r="BJ20" s="25">
        <v>73.792299999999997</v>
      </c>
      <c r="BK20" s="25">
        <v>80.976399999999998</v>
      </c>
      <c r="BL20" s="25">
        <v>100</v>
      </c>
      <c r="BM20" s="25">
        <v>100</v>
      </c>
      <c r="BN20" s="25">
        <v>100</v>
      </c>
      <c r="BO20" s="25">
        <v>87.173900000000003</v>
      </c>
      <c r="BP20" s="25">
        <v>100</v>
      </c>
      <c r="BQ20" s="25">
        <v>95.899900000000002</v>
      </c>
      <c r="BR20" s="25">
        <v>100</v>
      </c>
      <c r="BS20" s="25">
        <v>100</v>
      </c>
      <c r="BT20" s="25">
        <v>67.049400000000006</v>
      </c>
      <c r="BU20" s="25">
        <v>49.6922</v>
      </c>
      <c r="BV20" s="25">
        <v>100</v>
      </c>
      <c r="BW20" s="25">
        <v>100</v>
      </c>
      <c r="BX20" s="25">
        <v>100</v>
      </c>
      <c r="BY20" s="25">
        <v>91.065899999999999</v>
      </c>
      <c r="BZ20" s="25">
        <v>56.597200000000001</v>
      </c>
      <c r="CA20" s="25">
        <v>100</v>
      </c>
      <c r="CB20" s="25">
        <v>87.685548051948061</v>
      </c>
      <c r="CC20" s="16">
        <v>6751.7872000000007</v>
      </c>
    </row>
    <row r="21" spans="1:81" x14ac:dyDescent="0.25">
      <c r="A21" s="23">
        <v>20</v>
      </c>
      <c r="B21" s="25">
        <v>9.5</v>
      </c>
      <c r="C21" s="25">
        <v>100</v>
      </c>
      <c r="D21" s="25">
        <v>100</v>
      </c>
      <c r="E21" s="25">
        <v>100</v>
      </c>
      <c r="F21" s="25">
        <v>100</v>
      </c>
      <c r="G21" s="25">
        <v>100</v>
      </c>
      <c r="H21" s="25">
        <v>81.374200000000002</v>
      </c>
      <c r="I21" s="25">
        <v>89.749099999999999</v>
      </c>
      <c r="J21" s="25">
        <v>100</v>
      </c>
      <c r="K21" s="25">
        <v>80.143699999999995</v>
      </c>
      <c r="L21" s="25">
        <v>89.149100000000004</v>
      </c>
      <c r="M21" s="25">
        <v>100</v>
      </c>
      <c r="N21" s="25">
        <v>63.966299999999997</v>
      </c>
      <c r="O21" s="25">
        <v>100</v>
      </c>
      <c r="P21" s="25">
        <v>100</v>
      </c>
      <c r="Q21" s="25">
        <v>100</v>
      </c>
      <c r="R21" s="25">
        <v>100</v>
      </c>
      <c r="S21" s="25">
        <v>100</v>
      </c>
      <c r="T21" s="25">
        <v>100</v>
      </c>
      <c r="U21" s="25">
        <v>100</v>
      </c>
      <c r="V21" s="25">
        <v>64.310100000000006</v>
      </c>
      <c r="W21" s="25">
        <v>100</v>
      </c>
      <c r="X21" s="25">
        <v>100</v>
      </c>
      <c r="Y21" s="25">
        <v>100</v>
      </c>
      <c r="Z21" s="25">
        <v>100</v>
      </c>
      <c r="AA21" s="25">
        <v>100</v>
      </c>
      <c r="AB21" s="25">
        <v>99.130799999999994</v>
      </c>
      <c r="AC21" s="25">
        <v>100</v>
      </c>
      <c r="AD21" s="25">
        <v>100</v>
      </c>
      <c r="AE21" s="25">
        <v>70.840899999999991</v>
      </c>
      <c r="AF21" s="25">
        <v>100</v>
      </c>
      <c r="AG21" s="25">
        <v>100</v>
      </c>
      <c r="AH21" s="25">
        <v>77.466500000000011</v>
      </c>
      <c r="AI21" s="25">
        <v>100</v>
      </c>
      <c r="AJ21" s="25">
        <v>31.346900000000002</v>
      </c>
      <c r="AK21" s="25">
        <v>58.843100000000007</v>
      </c>
      <c r="AL21" s="25">
        <v>85.221400000000003</v>
      </c>
      <c r="AM21" s="25">
        <v>100</v>
      </c>
      <c r="AN21" s="25">
        <v>91.051099999999991</v>
      </c>
      <c r="AO21" s="25">
        <v>100</v>
      </c>
      <c r="AP21" s="25">
        <v>100</v>
      </c>
      <c r="AQ21" s="25">
        <v>100</v>
      </c>
      <c r="AR21" s="25">
        <v>96.135899999999992</v>
      </c>
      <c r="AS21" s="25">
        <v>100</v>
      </c>
      <c r="AT21" s="25">
        <v>78.015799999999999</v>
      </c>
      <c r="AU21" s="25">
        <v>72.320799999999991</v>
      </c>
      <c r="AV21" s="25">
        <v>95.352499999999992</v>
      </c>
      <c r="AW21" s="25">
        <v>100</v>
      </c>
      <c r="AX21" s="25">
        <v>100</v>
      </c>
      <c r="AY21" s="25">
        <v>55.441499999999998</v>
      </c>
      <c r="AZ21" s="25">
        <v>100</v>
      </c>
      <c r="BA21" s="25">
        <v>100</v>
      </c>
      <c r="BB21" s="25">
        <v>100</v>
      </c>
      <c r="BC21" s="25">
        <v>100</v>
      </c>
      <c r="BD21" s="25">
        <v>100</v>
      </c>
      <c r="BE21" s="25">
        <v>100</v>
      </c>
      <c r="BF21" s="25">
        <v>69.808300000000003</v>
      </c>
      <c r="BG21" s="25">
        <v>22.122399999999999</v>
      </c>
      <c r="BH21" s="25">
        <v>100</v>
      </c>
      <c r="BI21" s="25">
        <v>100</v>
      </c>
      <c r="BJ21" s="25">
        <v>86.351799999999997</v>
      </c>
      <c r="BK21" s="25">
        <v>94.506399999999999</v>
      </c>
      <c r="BL21" s="25">
        <v>100</v>
      </c>
      <c r="BM21" s="25">
        <v>100</v>
      </c>
      <c r="BN21" s="25">
        <v>100</v>
      </c>
      <c r="BO21" s="25">
        <v>100</v>
      </c>
      <c r="BP21" s="25">
        <v>100</v>
      </c>
      <c r="BQ21" s="25">
        <v>100</v>
      </c>
      <c r="BR21" s="25">
        <v>100</v>
      </c>
      <c r="BS21" s="25">
        <v>100</v>
      </c>
      <c r="BT21" s="25">
        <v>79.378799999999998</v>
      </c>
      <c r="BU21" s="25">
        <v>56.888199999999998</v>
      </c>
      <c r="BV21" s="25">
        <v>100</v>
      </c>
      <c r="BW21" s="25">
        <v>100</v>
      </c>
      <c r="BX21" s="25">
        <v>100</v>
      </c>
      <c r="BY21" s="25">
        <v>91.781000000000006</v>
      </c>
      <c r="BZ21" s="25">
        <v>60.382100000000008</v>
      </c>
      <c r="CA21" s="25">
        <v>100</v>
      </c>
      <c r="CB21" s="25">
        <v>91.442580519480543</v>
      </c>
      <c r="CC21" s="16">
        <v>7041.0787000000018</v>
      </c>
    </row>
    <row r="22" spans="1:81" x14ac:dyDescent="0.25">
      <c r="A22" s="23">
        <v>21</v>
      </c>
      <c r="B22" s="25">
        <v>10</v>
      </c>
      <c r="C22" s="25">
        <v>100</v>
      </c>
      <c r="D22" s="25">
        <v>100</v>
      </c>
      <c r="E22" s="25">
        <v>100</v>
      </c>
      <c r="F22" s="25">
        <v>100</v>
      </c>
      <c r="G22" s="25">
        <v>100</v>
      </c>
      <c r="H22" s="25">
        <v>96.203000000000003</v>
      </c>
      <c r="I22" s="25">
        <v>85.879000000000005</v>
      </c>
      <c r="J22" s="25">
        <v>100</v>
      </c>
      <c r="K22" s="25">
        <v>94.336699999999993</v>
      </c>
      <c r="L22" s="25">
        <v>100</v>
      </c>
      <c r="M22" s="25">
        <v>100</v>
      </c>
      <c r="N22" s="25">
        <v>78.2239</v>
      </c>
      <c r="O22" s="25">
        <v>100</v>
      </c>
      <c r="P22" s="25">
        <v>100</v>
      </c>
      <c r="Q22" s="25">
        <v>100</v>
      </c>
      <c r="R22" s="25">
        <v>100</v>
      </c>
      <c r="S22" s="25">
        <v>100</v>
      </c>
      <c r="T22" s="25">
        <v>100</v>
      </c>
      <c r="U22" s="25">
        <v>100</v>
      </c>
      <c r="V22" s="25">
        <v>64.79549999999999</v>
      </c>
      <c r="W22" s="25">
        <v>100</v>
      </c>
      <c r="X22" s="25">
        <v>100</v>
      </c>
      <c r="Y22" s="25">
        <v>100</v>
      </c>
      <c r="Z22" s="25">
        <v>100</v>
      </c>
      <c r="AA22" s="25">
        <v>100</v>
      </c>
      <c r="AB22" s="25">
        <v>100</v>
      </c>
      <c r="AC22" s="25">
        <v>100</v>
      </c>
      <c r="AD22" s="25">
        <v>100</v>
      </c>
      <c r="AE22" s="25">
        <v>86.588399999999993</v>
      </c>
      <c r="AF22" s="25">
        <v>100</v>
      </c>
      <c r="AG22" s="25">
        <v>100</v>
      </c>
      <c r="AH22" s="25">
        <v>93.471400000000003</v>
      </c>
      <c r="AI22" s="25">
        <v>100</v>
      </c>
      <c r="AJ22" s="25">
        <v>30.798300000000001</v>
      </c>
      <c r="AK22" s="25">
        <v>61.5259</v>
      </c>
      <c r="AL22" s="25">
        <v>100</v>
      </c>
      <c r="AM22" s="25">
        <v>100</v>
      </c>
      <c r="AN22" s="25">
        <v>100</v>
      </c>
      <c r="AO22" s="25">
        <v>100</v>
      </c>
      <c r="AP22" s="25">
        <v>100</v>
      </c>
      <c r="AQ22" s="25">
        <v>100</v>
      </c>
      <c r="AR22" s="25">
        <v>100</v>
      </c>
      <c r="AS22" s="25">
        <v>100</v>
      </c>
      <c r="AT22" s="25">
        <v>90.1614</v>
      </c>
      <c r="AU22" s="25">
        <v>82.894599999999997</v>
      </c>
      <c r="AV22" s="25">
        <v>100</v>
      </c>
      <c r="AW22" s="25">
        <v>100</v>
      </c>
      <c r="AX22" s="25">
        <v>100</v>
      </c>
      <c r="AY22" s="25">
        <v>62.151000000000003</v>
      </c>
      <c r="AZ22" s="25">
        <v>100</v>
      </c>
      <c r="BA22" s="25">
        <v>100</v>
      </c>
      <c r="BB22" s="25">
        <v>100</v>
      </c>
      <c r="BC22" s="25">
        <v>100</v>
      </c>
      <c r="BD22" s="25">
        <v>100</v>
      </c>
      <c r="BE22" s="25">
        <v>100</v>
      </c>
      <c r="BF22" s="25">
        <v>77.931100000000001</v>
      </c>
      <c r="BG22" s="25">
        <v>27.811299999999999</v>
      </c>
      <c r="BH22" s="25">
        <v>100</v>
      </c>
      <c r="BI22" s="25">
        <v>100</v>
      </c>
      <c r="BJ22" s="25">
        <v>88.583500000000001</v>
      </c>
      <c r="BK22" s="25">
        <v>100</v>
      </c>
      <c r="BL22" s="25">
        <v>100</v>
      </c>
      <c r="BM22" s="25">
        <v>100</v>
      </c>
      <c r="BN22" s="25">
        <v>100</v>
      </c>
      <c r="BO22" s="25">
        <v>100</v>
      </c>
      <c r="BP22" s="25">
        <v>100</v>
      </c>
      <c r="BQ22" s="25">
        <v>100</v>
      </c>
      <c r="BR22" s="25">
        <v>100</v>
      </c>
      <c r="BS22" s="25">
        <v>100</v>
      </c>
      <c r="BT22" s="25">
        <v>94.2958</v>
      </c>
      <c r="BU22" s="25">
        <v>63.094399999999993</v>
      </c>
      <c r="BV22" s="25">
        <v>100</v>
      </c>
      <c r="BW22" s="25">
        <v>100</v>
      </c>
      <c r="BX22" s="25">
        <v>100</v>
      </c>
      <c r="BY22" s="25">
        <v>91.781000000000006</v>
      </c>
      <c r="BZ22" s="25">
        <v>68.260800000000003</v>
      </c>
      <c r="CA22" s="25">
        <v>100</v>
      </c>
      <c r="CB22" s="25">
        <v>94.010220779220774</v>
      </c>
      <c r="CC22" s="16">
        <v>7238.7869999999994</v>
      </c>
    </row>
    <row r="23" spans="1:81" x14ac:dyDescent="0.25">
      <c r="A23" s="23">
        <v>22</v>
      </c>
      <c r="B23" s="25">
        <v>10.5</v>
      </c>
      <c r="C23" s="25">
        <v>100</v>
      </c>
      <c r="D23" s="25">
        <v>100</v>
      </c>
      <c r="E23" s="25">
        <v>100</v>
      </c>
      <c r="F23" s="25">
        <v>100</v>
      </c>
      <c r="G23" s="25">
        <v>100</v>
      </c>
      <c r="H23" s="25">
        <v>100</v>
      </c>
      <c r="I23" s="25">
        <v>100</v>
      </c>
      <c r="J23" s="25">
        <v>100</v>
      </c>
      <c r="K23" s="25">
        <v>100</v>
      </c>
      <c r="L23" s="25">
        <v>100</v>
      </c>
      <c r="M23" s="25">
        <v>100</v>
      </c>
      <c r="N23" s="25">
        <v>94.452600000000004</v>
      </c>
      <c r="O23" s="25">
        <v>100</v>
      </c>
      <c r="P23" s="25">
        <v>100</v>
      </c>
      <c r="Q23" s="25">
        <v>100</v>
      </c>
      <c r="R23" s="25">
        <v>100</v>
      </c>
      <c r="S23" s="25">
        <v>100</v>
      </c>
      <c r="T23" s="25">
        <v>100</v>
      </c>
      <c r="U23" s="25">
        <v>100</v>
      </c>
      <c r="V23" s="25">
        <v>65.8001</v>
      </c>
      <c r="W23" s="25">
        <v>100</v>
      </c>
      <c r="X23" s="25">
        <v>100</v>
      </c>
      <c r="Y23" s="25">
        <v>100</v>
      </c>
      <c r="Z23" s="25">
        <v>100</v>
      </c>
      <c r="AA23" s="25">
        <v>100</v>
      </c>
      <c r="AB23" s="25">
        <v>100</v>
      </c>
      <c r="AC23" s="25">
        <v>100</v>
      </c>
      <c r="AD23" s="25">
        <v>100</v>
      </c>
      <c r="AE23" s="25">
        <v>98.780299999999997</v>
      </c>
      <c r="AF23" s="25">
        <v>100</v>
      </c>
      <c r="AG23" s="25">
        <v>100</v>
      </c>
      <c r="AH23" s="25">
        <v>100</v>
      </c>
      <c r="AI23" s="25">
        <v>100</v>
      </c>
      <c r="AJ23" s="25">
        <v>41.865600000000001</v>
      </c>
      <c r="AK23" s="25">
        <v>73.8523</v>
      </c>
      <c r="AL23" s="25">
        <v>100</v>
      </c>
      <c r="AM23" s="25">
        <v>100</v>
      </c>
      <c r="AN23" s="25">
        <v>100</v>
      </c>
      <c r="AO23" s="25">
        <v>100</v>
      </c>
      <c r="AP23" s="25">
        <v>100</v>
      </c>
      <c r="AQ23" s="25">
        <v>100</v>
      </c>
      <c r="AR23" s="25">
        <v>100</v>
      </c>
      <c r="AS23" s="25">
        <v>100</v>
      </c>
      <c r="AT23" s="25">
        <v>100</v>
      </c>
      <c r="AU23" s="25">
        <v>93.980500000000006</v>
      </c>
      <c r="AV23" s="25">
        <v>100</v>
      </c>
      <c r="AW23" s="25">
        <v>100</v>
      </c>
      <c r="AX23" s="25">
        <v>100</v>
      </c>
      <c r="AY23" s="25">
        <v>55.042000000000002</v>
      </c>
      <c r="AZ23" s="25">
        <v>100</v>
      </c>
      <c r="BA23" s="25">
        <v>100</v>
      </c>
      <c r="BB23" s="25">
        <v>100</v>
      </c>
      <c r="BC23" s="25">
        <v>100</v>
      </c>
      <c r="BD23" s="25">
        <v>100</v>
      </c>
      <c r="BE23" s="25">
        <v>100</v>
      </c>
      <c r="BF23" s="25">
        <v>84.495400000000004</v>
      </c>
      <c r="BG23" s="25">
        <v>36.7699</v>
      </c>
      <c r="BH23" s="25">
        <v>100</v>
      </c>
      <c r="BI23" s="25">
        <v>100</v>
      </c>
      <c r="BJ23" s="25">
        <v>64.243600000000001</v>
      </c>
      <c r="BK23" s="25">
        <v>100</v>
      </c>
      <c r="BL23" s="25">
        <v>100</v>
      </c>
      <c r="BM23" s="25">
        <v>100</v>
      </c>
      <c r="BN23" s="25">
        <v>100</v>
      </c>
      <c r="BO23" s="25">
        <v>100</v>
      </c>
      <c r="BP23" s="25">
        <v>100</v>
      </c>
      <c r="BQ23" s="25">
        <v>100</v>
      </c>
      <c r="BR23" s="25">
        <v>100</v>
      </c>
      <c r="BS23" s="25">
        <v>100</v>
      </c>
      <c r="BT23" s="25">
        <v>100</v>
      </c>
      <c r="BU23" s="25">
        <v>71.0946</v>
      </c>
      <c r="BV23" s="25">
        <v>100</v>
      </c>
      <c r="BW23" s="25">
        <v>100</v>
      </c>
      <c r="BX23" s="25">
        <v>100</v>
      </c>
      <c r="BY23" s="25">
        <v>91.781000000000006</v>
      </c>
      <c r="BZ23" s="25">
        <v>76.6297</v>
      </c>
      <c r="CA23" s="25">
        <v>100</v>
      </c>
      <c r="CB23" s="25">
        <v>95.438800000000001</v>
      </c>
      <c r="CC23" s="16">
        <v>7348.7876000000006</v>
      </c>
    </row>
    <row r="24" spans="1:81" x14ac:dyDescent="0.25">
      <c r="A24" s="23">
        <v>23</v>
      </c>
      <c r="B24" s="25">
        <v>11</v>
      </c>
      <c r="C24" s="25">
        <v>100</v>
      </c>
      <c r="D24" s="25">
        <v>100</v>
      </c>
      <c r="E24" s="25">
        <v>100</v>
      </c>
      <c r="F24" s="25">
        <v>100</v>
      </c>
      <c r="G24" s="25">
        <v>100</v>
      </c>
      <c r="H24" s="25">
        <v>100</v>
      </c>
      <c r="I24" s="25">
        <v>100</v>
      </c>
      <c r="J24" s="25">
        <v>100</v>
      </c>
      <c r="K24" s="25">
        <v>100</v>
      </c>
      <c r="L24" s="25">
        <v>100</v>
      </c>
      <c r="M24" s="25">
        <v>100</v>
      </c>
      <c r="N24" s="25">
        <v>100</v>
      </c>
      <c r="O24" s="25">
        <v>100</v>
      </c>
      <c r="P24" s="25">
        <v>100</v>
      </c>
      <c r="Q24" s="25">
        <v>100</v>
      </c>
      <c r="R24" s="25">
        <v>100</v>
      </c>
      <c r="S24" s="25">
        <v>100</v>
      </c>
      <c r="T24" s="25">
        <v>100</v>
      </c>
      <c r="U24" s="25">
        <v>100</v>
      </c>
      <c r="V24" s="25">
        <v>81.551500000000004</v>
      </c>
      <c r="W24" s="25">
        <v>100</v>
      </c>
      <c r="X24" s="25">
        <v>100</v>
      </c>
      <c r="Y24" s="25">
        <v>100</v>
      </c>
      <c r="Z24" s="25">
        <v>100</v>
      </c>
      <c r="AA24" s="25">
        <v>100</v>
      </c>
      <c r="AB24" s="25">
        <v>100</v>
      </c>
      <c r="AC24" s="25">
        <v>100</v>
      </c>
      <c r="AD24" s="25">
        <v>100</v>
      </c>
      <c r="AE24" s="25">
        <v>100</v>
      </c>
      <c r="AF24" s="25">
        <v>100</v>
      </c>
      <c r="AG24" s="25">
        <v>100</v>
      </c>
      <c r="AH24" s="25">
        <v>100</v>
      </c>
      <c r="AI24" s="25">
        <v>100</v>
      </c>
      <c r="AJ24" s="25">
        <v>53.439500000000002</v>
      </c>
      <c r="AK24" s="25">
        <v>87.174700000000001</v>
      </c>
      <c r="AL24" s="25">
        <v>100</v>
      </c>
      <c r="AM24" s="25">
        <v>100</v>
      </c>
      <c r="AN24" s="25">
        <v>100</v>
      </c>
      <c r="AO24" s="25">
        <v>100</v>
      </c>
      <c r="AP24" s="25">
        <v>100</v>
      </c>
      <c r="AQ24" s="25">
        <v>100</v>
      </c>
      <c r="AR24" s="25">
        <v>100</v>
      </c>
      <c r="AS24" s="25">
        <v>100</v>
      </c>
      <c r="AT24" s="25">
        <v>100</v>
      </c>
      <c r="AU24" s="25">
        <v>100</v>
      </c>
      <c r="AV24" s="25">
        <v>100</v>
      </c>
      <c r="AW24" s="25">
        <v>100</v>
      </c>
      <c r="AX24" s="25">
        <v>100</v>
      </c>
      <c r="AY24" s="25">
        <v>56.766199999999998</v>
      </c>
      <c r="AZ24" s="25">
        <v>100</v>
      </c>
      <c r="BA24" s="25">
        <v>100</v>
      </c>
      <c r="BB24" s="25">
        <v>100</v>
      </c>
      <c r="BC24" s="25">
        <v>100</v>
      </c>
      <c r="BD24" s="25">
        <v>100</v>
      </c>
      <c r="BE24" s="25">
        <v>100</v>
      </c>
      <c r="BF24" s="25">
        <v>93.879800000000003</v>
      </c>
      <c r="BG24" s="25">
        <v>49.0473</v>
      </c>
      <c r="BH24" s="25">
        <v>100</v>
      </c>
      <c r="BI24" s="25">
        <v>100</v>
      </c>
      <c r="BJ24" s="25">
        <v>56.723599999999998</v>
      </c>
      <c r="BK24" s="25">
        <v>100</v>
      </c>
      <c r="BL24" s="25">
        <v>100</v>
      </c>
      <c r="BM24" s="25">
        <v>100</v>
      </c>
      <c r="BN24" s="25">
        <v>100</v>
      </c>
      <c r="BO24" s="25">
        <v>100</v>
      </c>
      <c r="BP24" s="25">
        <v>100</v>
      </c>
      <c r="BQ24" s="25">
        <v>100</v>
      </c>
      <c r="BR24" s="25">
        <v>100</v>
      </c>
      <c r="BS24" s="25">
        <v>100</v>
      </c>
      <c r="BT24" s="25">
        <v>100</v>
      </c>
      <c r="BU24" s="25">
        <v>79.743899999999996</v>
      </c>
      <c r="BV24" s="25">
        <v>100</v>
      </c>
      <c r="BW24" s="25">
        <v>100</v>
      </c>
      <c r="BX24" s="25">
        <v>100</v>
      </c>
      <c r="BY24" s="25">
        <v>92.136799999999994</v>
      </c>
      <c r="BZ24" s="25">
        <v>85.403199999999998</v>
      </c>
      <c r="CA24" s="25">
        <v>100</v>
      </c>
      <c r="CB24" s="25">
        <v>96.5696948051948</v>
      </c>
      <c r="CC24" s="16">
        <v>7435.8665000000001</v>
      </c>
    </row>
    <row r="25" spans="1:81" x14ac:dyDescent="0.25">
      <c r="A25" s="23">
        <v>24</v>
      </c>
      <c r="B25" s="25">
        <v>11.5</v>
      </c>
      <c r="C25" s="25">
        <v>100</v>
      </c>
      <c r="D25" s="25">
        <v>100</v>
      </c>
      <c r="E25" s="25">
        <v>100</v>
      </c>
      <c r="F25" s="25">
        <v>100</v>
      </c>
      <c r="G25" s="25">
        <v>100</v>
      </c>
      <c r="H25" s="25">
        <v>100</v>
      </c>
      <c r="I25" s="25">
        <v>100</v>
      </c>
      <c r="J25" s="25">
        <v>100</v>
      </c>
      <c r="K25" s="25">
        <v>100</v>
      </c>
      <c r="L25" s="25">
        <v>100</v>
      </c>
      <c r="M25" s="25">
        <v>100</v>
      </c>
      <c r="N25" s="25">
        <v>100</v>
      </c>
      <c r="O25" s="25">
        <v>100</v>
      </c>
      <c r="P25" s="25">
        <v>100</v>
      </c>
      <c r="Q25" s="25">
        <v>100</v>
      </c>
      <c r="R25" s="25">
        <v>100</v>
      </c>
      <c r="S25" s="25">
        <v>100</v>
      </c>
      <c r="T25" s="25">
        <v>100</v>
      </c>
      <c r="U25" s="25">
        <v>100</v>
      </c>
      <c r="V25" s="25">
        <v>99.800299999999993</v>
      </c>
      <c r="W25" s="25">
        <v>100</v>
      </c>
      <c r="X25" s="25">
        <v>100</v>
      </c>
      <c r="Y25" s="25">
        <v>100</v>
      </c>
      <c r="Z25" s="25">
        <v>98.615899999999996</v>
      </c>
      <c r="AA25" s="25">
        <v>100</v>
      </c>
      <c r="AB25" s="25">
        <v>100</v>
      </c>
      <c r="AC25" s="25">
        <v>100</v>
      </c>
      <c r="AD25" s="25">
        <v>100</v>
      </c>
      <c r="AE25" s="25">
        <v>100</v>
      </c>
      <c r="AF25" s="25">
        <v>100</v>
      </c>
      <c r="AG25" s="25">
        <v>100</v>
      </c>
      <c r="AH25" s="25">
        <v>100</v>
      </c>
      <c r="AI25" s="25">
        <v>100</v>
      </c>
      <c r="AJ25" s="25">
        <v>63.249299999999998</v>
      </c>
      <c r="AK25" s="25">
        <v>100</v>
      </c>
      <c r="AL25" s="25">
        <v>100</v>
      </c>
      <c r="AM25" s="25">
        <v>100</v>
      </c>
      <c r="AN25" s="25">
        <v>100</v>
      </c>
      <c r="AO25" s="25">
        <v>100</v>
      </c>
      <c r="AP25" s="25">
        <v>100</v>
      </c>
      <c r="AQ25" s="25">
        <v>100</v>
      </c>
      <c r="AR25" s="25">
        <v>100</v>
      </c>
      <c r="AS25" s="25">
        <v>100</v>
      </c>
      <c r="AT25" s="25">
        <v>100</v>
      </c>
      <c r="AU25" s="25">
        <v>100</v>
      </c>
      <c r="AV25" s="25">
        <v>100</v>
      </c>
      <c r="AW25" s="25">
        <v>100</v>
      </c>
      <c r="AX25" s="25">
        <v>100</v>
      </c>
      <c r="AY25" s="25">
        <v>79.960899999999995</v>
      </c>
      <c r="AZ25" s="25">
        <v>100</v>
      </c>
      <c r="BA25" s="25">
        <v>100</v>
      </c>
      <c r="BB25" s="25">
        <v>100</v>
      </c>
      <c r="BC25" s="25">
        <v>100</v>
      </c>
      <c r="BD25" s="25">
        <v>100</v>
      </c>
      <c r="BE25" s="25">
        <v>100</v>
      </c>
      <c r="BF25" s="25">
        <v>98.5107</v>
      </c>
      <c r="BG25" s="25">
        <v>57.205599999999997</v>
      </c>
      <c r="BH25" s="25">
        <v>100</v>
      </c>
      <c r="BI25" s="25">
        <v>100</v>
      </c>
      <c r="BJ25" s="25">
        <v>69.997100000000003</v>
      </c>
      <c r="BK25" s="25">
        <v>100</v>
      </c>
      <c r="BL25" s="25">
        <v>100</v>
      </c>
      <c r="BM25" s="25">
        <v>100</v>
      </c>
      <c r="BN25" s="25">
        <v>100</v>
      </c>
      <c r="BO25" s="25">
        <v>100</v>
      </c>
      <c r="BP25" s="25">
        <v>94.142600000000002</v>
      </c>
      <c r="BQ25" s="25">
        <v>100</v>
      </c>
      <c r="BR25" s="25">
        <v>100</v>
      </c>
      <c r="BS25" s="25">
        <v>100</v>
      </c>
      <c r="BT25" s="25">
        <v>100</v>
      </c>
      <c r="BU25" s="25">
        <v>87.213399999999993</v>
      </c>
      <c r="BV25" s="25">
        <v>100</v>
      </c>
      <c r="BW25" s="25">
        <v>100</v>
      </c>
      <c r="BX25" s="25">
        <v>100</v>
      </c>
      <c r="BY25" s="25">
        <v>92.136799999999994</v>
      </c>
      <c r="BZ25" s="25">
        <v>94.463799999999992</v>
      </c>
      <c r="CA25" s="25">
        <v>100</v>
      </c>
      <c r="CB25" s="25">
        <v>97.860992207792194</v>
      </c>
      <c r="CC25" s="16">
        <v>7535.2963999999993</v>
      </c>
    </row>
    <row r="26" spans="1:81" x14ac:dyDescent="0.25">
      <c r="A26" s="23">
        <v>25</v>
      </c>
      <c r="B26" s="25">
        <v>12</v>
      </c>
      <c r="C26" s="25">
        <v>100</v>
      </c>
      <c r="D26" s="25">
        <v>100</v>
      </c>
      <c r="E26" s="25">
        <v>100</v>
      </c>
      <c r="F26" s="25">
        <v>100</v>
      </c>
      <c r="G26" s="25">
        <v>100</v>
      </c>
      <c r="H26" s="25">
        <v>100</v>
      </c>
      <c r="I26" s="25">
        <v>100</v>
      </c>
      <c r="J26" s="25">
        <v>100</v>
      </c>
      <c r="K26" s="25">
        <v>100</v>
      </c>
      <c r="L26" s="25">
        <v>100</v>
      </c>
      <c r="M26" s="25">
        <v>100</v>
      </c>
      <c r="N26" s="25">
        <v>100</v>
      </c>
      <c r="O26" s="25">
        <v>100</v>
      </c>
      <c r="P26" s="25">
        <v>100</v>
      </c>
      <c r="Q26" s="25">
        <v>100</v>
      </c>
      <c r="R26" s="25">
        <v>100</v>
      </c>
      <c r="S26" s="25">
        <v>100</v>
      </c>
      <c r="T26" s="25">
        <v>100</v>
      </c>
      <c r="U26" s="25">
        <v>100</v>
      </c>
      <c r="V26" s="25">
        <v>100</v>
      </c>
      <c r="W26" s="25">
        <v>100</v>
      </c>
      <c r="X26" s="25">
        <v>100</v>
      </c>
      <c r="Y26" s="25">
        <v>100</v>
      </c>
      <c r="Z26" s="25">
        <v>100</v>
      </c>
      <c r="AA26" s="25">
        <v>100</v>
      </c>
      <c r="AB26" s="25">
        <v>100</v>
      </c>
      <c r="AC26" s="25">
        <v>100</v>
      </c>
      <c r="AD26" s="25">
        <v>100</v>
      </c>
      <c r="AE26" s="25">
        <v>100</v>
      </c>
      <c r="AF26" s="25">
        <v>100</v>
      </c>
      <c r="AG26" s="25">
        <v>100</v>
      </c>
      <c r="AH26" s="25">
        <v>100</v>
      </c>
      <c r="AI26" s="25">
        <v>100</v>
      </c>
      <c r="AJ26" s="25">
        <v>72.754800000000003</v>
      </c>
      <c r="AK26" s="25">
        <v>100</v>
      </c>
      <c r="AL26" s="25">
        <v>100</v>
      </c>
      <c r="AM26" s="25">
        <v>100</v>
      </c>
      <c r="AN26" s="25">
        <v>100</v>
      </c>
      <c r="AO26" s="25">
        <v>100</v>
      </c>
      <c r="AP26" s="25">
        <v>100</v>
      </c>
      <c r="AQ26" s="25">
        <v>100</v>
      </c>
      <c r="AR26" s="25">
        <v>100</v>
      </c>
      <c r="AS26" s="25">
        <v>100</v>
      </c>
      <c r="AT26" s="25">
        <v>100</v>
      </c>
      <c r="AU26" s="25">
        <v>89.689399999999992</v>
      </c>
      <c r="AV26" s="25">
        <v>100</v>
      </c>
      <c r="AW26" s="25">
        <v>100</v>
      </c>
      <c r="AX26" s="25">
        <v>100</v>
      </c>
      <c r="AY26" s="25">
        <v>94.877800000000008</v>
      </c>
      <c r="AZ26" s="25">
        <v>100</v>
      </c>
      <c r="BA26" s="25">
        <v>100</v>
      </c>
      <c r="BB26" s="25">
        <v>100</v>
      </c>
      <c r="BC26" s="25">
        <v>100</v>
      </c>
      <c r="BD26" s="25">
        <v>100</v>
      </c>
      <c r="BE26" s="25">
        <v>100</v>
      </c>
      <c r="BF26" s="25">
        <v>79.871000000000009</v>
      </c>
      <c r="BG26" s="25">
        <v>69.909300000000002</v>
      </c>
      <c r="BH26" s="25">
        <v>100</v>
      </c>
      <c r="BI26" s="25">
        <v>100</v>
      </c>
      <c r="BJ26" s="25">
        <v>56.996899999999997</v>
      </c>
      <c r="BK26" s="25">
        <v>100</v>
      </c>
      <c r="BL26" s="25">
        <v>100</v>
      </c>
      <c r="BM26" s="25">
        <v>100</v>
      </c>
      <c r="BN26" s="25">
        <v>100</v>
      </c>
      <c r="BO26" s="25">
        <v>100</v>
      </c>
      <c r="BP26" s="25">
        <v>100</v>
      </c>
      <c r="BQ26" s="25">
        <v>100</v>
      </c>
      <c r="BR26" s="25">
        <v>100</v>
      </c>
      <c r="BS26" s="25">
        <v>100</v>
      </c>
      <c r="BT26" s="25">
        <v>100</v>
      </c>
      <c r="BU26" s="25">
        <v>94.164199999999994</v>
      </c>
      <c r="BV26" s="25">
        <v>100</v>
      </c>
      <c r="BW26" s="25">
        <v>100</v>
      </c>
      <c r="BX26" s="25">
        <v>100</v>
      </c>
      <c r="BY26" s="25">
        <v>94.368099999999998</v>
      </c>
      <c r="BZ26" s="25">
        <v>100</v>
      </c>
      <c r="CA26" s="25">
        <v>100</v>
      </c>
      <c r="CB26" s="25">
        <v>98.086123376623391</v>
      </c>
      <c r="CC26" s="16">
        <v>7552.6315000000013</v>
      </c>
    </row>
    <row r="27" spans="1:81" x14ac:dyDescent="0.25">
      <c r="A27" s="23">
        <v>26</v>
      </c>
      <c r="B27" s="25">
        <v>12.5</v>
      </c>
      <c r="C27" s="25">
        <v>100</v>
      </c>
      <c r="D27" s="25">
        <v>100</v>
      </c>
      <c r="E27" s="25">
        <v>100</v>
      </c>
      <c r="F27" s="25">
        <v>100</v>
      </c>
      <c r="G27" s="25">
        <v>100</v>
      </c>
      <c r="H27" s="25">
        <v>100</v>
      </c>
      <c r="I27" s="25">
        <v>100</v>
      </c>
      <c r="J27" s="25">
        <v>100</v>
      </c>
      <c r="K27" s="25">
        <v>100</v>
      </c>
      <c r="L27" s="25">
        <v>100</v>
      </c>
      <c r="M27" s="25">
        <v>100</v>
      </c>
      <c r="N27" s="25">
        <v>100</v>
      </c>
      <c r="O27" s="25">
        <v>100</v>
      </c>
      <c r="P27" s="25">
        <v>100</v>
      </c>
      <c r="Q27" s="25">
        <v>100</v>
      </c>
      <c r="R27" s="25">
        <v>100</v>
      </c>
      <c r="S27" s="25">
        <v>100</v>
      </c>
      <c r="T27" s="25">
        <v>100</v>
      </c>
      <c r="U27" s="25">
        <v>100</v>
      </c>
      <c r="V27" s="25">
        <v>100</v>
      </c>
      <c r="W27" s="25">
        <v>100</v>
      </c>
      <c r="X27" s="25">
        <v>100</v>
      </c>
      <c r="Y27" s="25">
        <v>100</v>
      </c>
      <c r="Z27" s="25">
        <v>100</v>
      </c>
      <c r="AA27" s="25">
        <v>100</v>
      </c>
      <c r="AB27" s="25">
        <v>100</v>
      </c>
      <c r="AC27" s="25">
        <v>100</v>
      </c>
      <c r="AD27" s="25">
        <v>100</v>
      </c>
      <c r="AE27" s="25">
        <v>100</v>
      </c>
      <c r="AF27" s="25">
        <v>100</v>
      </c>
      <c r="AG27" s="25">
        <v>100</v>
      </c>
      <c r="AH27" s="25">
        <v>100</v>
      </c>
      <c r="AI27" s="25">
        <v>100</v>
      </c>
      <c r="AJ27" s="25">
        <v>75.842299999999994</v>
      </c>
      <c r="AK27" s="25">
        <v>100</v>
      </c>
      <c r="AL27" s="25">
        <v>100</v>
      </c>
      <c r="AM27" s="25">
        <v>100</v>
      </c>
      <c r="AN27" s="25">
        <v>100</v>
      </c>
      <c r="AO27" s="25">
        <v>100</v>
      </c>
      <c r="AP27" s="25">
        <v>100</v>
      </c>
      <c r="AQ27" s="25">
        <v>100</v>
      </c>
      <c r="AR27" s="25">
        <v>100</v>
      </c>
      <c r="AS27" s="25">
        <v>100</v>
      </c>
      <c r="AT27" s="25">
        <v>100</v>
      </c>
      <c r="AU27" s="25">
        <v>100</v>
      </c>
      <c r="AV27" s="25">
        <v>100</v>
      </c>
      <c r="AW27" s="25">
        <v>100</v>
      </c>
      <c r="AX27" s="25">
        <v>100</v>
      </c>
      <c r="AY27" s="25">
        <v>100</v>
      </c>
      <c r="AZ27" s="25">
        <v>100</v>
      </c>
      <c r="BA27" s="25">
        <v>100</v>
      </c>
      <c r="BB27" s="25">
        <v>100</v>
      </c>
      <c r="BC27" s="25">
        <v>100</v>
      </c>
      <c r="BD27" s="25">
        <v>100</v>
      </c>
      <c r="BE27" s="25">
        <v>100</v>
      </c>
      <c r="BF27" s="25">
        <v>62.923099999999998</v>
      </c>
      <c r="BG27" s="25">
        <v>83.276600000000002</v>
      </c>
      <c r="BH27" s="25">
        <v>100</v>
      </c>
      <c r="BI27" s="25">
        <v>100</v>
      </c>
      <c r="BJ27" s="25">
        <v>41.0839</v>
      </c>
      <c r="BK27" s="25">
        <v>100</v>
      </c>
      <c r="BL27" s="25">
        <v>100</v>
      </c>
      <c r="BM27" s="25">
        <v>100</v>
      </c>
      <c r="BN27" s="25">
        <v>100</v>
      </c>
      <c r="BO27" s="25">
        <v>100</v>
      </c>
      <c r="BP27" s="25">
        <v>100</v>
      </c>
      <c r="BQ27" s="25">
        <v>100</v>
      </c>
      <c r="BR27" s="25">
        <v>100</v>
      </c>
      <c r="BS27" s="25">
        <v>100</v>
      </c>
      <c r="BT27" s="25">
        <v>100</v>
      </c>
      <c r="BU27" s="25">
        <v>100</v>
      </c>
      <c r="BV27" s="25">
        <v>100</v>
      </c>
      <c r="BW27" s="25">
        <v>100</v>
      </c>
      <c r="BX27" s="25">
        <v>100</v>
      </c>
      <c r="BY27" s="25">
        <v>99.999800000000008</v>
      </c>
      <c r="BZ27" s="25">
        <v>100</v>
      </c>
      <c r="CA27" s="25">
        <v>100</v>
      </c>
      <c r="CB27" s="25">
        <v>98.222411688311681</v>
      </c>
      <c r="CC27" s="16">
        <v>7563.1256999999996</v>
      </c>
    </row>
    <row r="28" spans="1:81" x14ac:dyDescent="0.25">
      <c r="A28" s="23">
        <v>27</v>
      </c>
      <c r="B28" s="25">
        <v>13</v>
      </c>
      <c r="C28" s="25">
        <v>100</v>
      </c>
      <c r="D28" s="25">
        <v>100</v>
      </c>
      <c r="E28" s="25">
        <v>100</v>
      </c>
      <c r="F28" s="25">
        <v>100</v>
      </c>
      <c r="G28" s="25">
        <v>100</v>
      </c>
      <c r="H28" s="25">
        <v>100</v>
      </c>
      <c r="I28" s="25">
        <v>100</v>
      </c>
      <c r="J28" s="25">
        <v>100</v>
      </c>
      <c r="K28" s="25">
        <v>100</v>
      </c>
      <c r="L28" s="25">
        <v>100</v>
      </c>
      <c r="M28" s="25">
        <v>100</v>
      </c>
      <c r="N28" s="25">
        <v>100</v>
      </c>
      <c r="O28" s="25">
        <v>100</v>
      </c>
      <c r="P28" s="25">
        <v>100</v>
      </c>
      <c r="Q28" s="25">
        <v>100</v>
      </c>
      <c r="R28" s="25">
        <v>100</v>
      </c>
      <c r="S28" s="25">
        <v>100</v>
      </c>
      <c r="T28" s="25">
        <v>100</v>
      </c>
      <c r="U28" s="25">
        <v>100</v>
      </c>
      <c r="V28" s="25">
        <v>100</v>
      </c>
      <c r="W28" s="25">
        <v>100</v>
      </c>
      <c r="X28" s="25">
        <v>100</v>
      </c>
      <c r="Y28" s="25">
        <v>100</v>
      </c>
      <c r="Z28" s="25">
        <v>100</v>
      </c>
      <c r="AA28" s="25">
        <v>100</v>
      </c>
      <c r="AB28" s="25">
        <v>100</v>
      </c>
      <c r="AC28" s="25">
        <v>100</v>
      </c>
      <c r="AD28" s="25">
        <v>100</v>
      </c>
      <c r="AE28" s="25">
        <v>100</v>
      </c>
      <c r="AF28" s="25">
        <v>100</v>
      </c>
      <c r="AG28" s="25">
        <v>100</v>
      </c>
      <c r="AH28" s="25">
        <v>100</v>
      </c>
      <c r="AI28" s="25">
        <v>100</v>
      </c>
      <c r="AJ28" s="25">
        <v>85.941400000000002</v>
      </c>
      <c r="AK28" s="25">
        <v>100</v>
      </c>
      <c r="AL28" s="25">
        <v>100</v>
      </c>
      <c r="AM28" s="25">
        <v>100</v>
      </c>
      <c r="AN28" s="25">
        <v>100</v>
      </c>
      <c r="AO28" s="25">
        <v>100</v>
      </c>
      <c r="AP28" s="25">
        <v>100</v>
      </c>
      <c r="AQ28" s="25">
        <v>100</v>
      </c>
      <c r="AR28" s="25">
        <v>100</v>
      </c>
      <c r="AS28" s="25">
        <v>100</v>
      </c>
      <c r="AT28" s="25">
        <v>100</v>
      </c>
      <c r="AU28" s="25">
        <v>100</v>
      </c>
      <c r="AV28" s="25">
        <v>100</v>
      </c>
      <c r="AW28" s="25">
        <v>100</v>
      </c>
      <c r="AX28" s="25">
        <v>100</v>
      </c>
      <c r="AY28" s="25">
        <v>100</v>
      </c>
      <c r="AZ28" s="25">
        <v>100</v>
      </c>
      <c r="BA28" s="25">
        <v>100</v>
      </c>
      <c r="BB28" s="25">
        <v>100</v>
      </c>
      <c r="BC28" s="25">
        <v>100</v>
      </c>
      <c r="BD28" s="25">
        <v>100</v>
      </c>
      <c r="BE28" s="25">
        <v>100</v>
      </c>
      <c r="BF28" s="25">
        <v>67.069900000000004</v>
      </c>
      <c r="BG28" s="25">
        <v>88.991600000000005</v>
      </c>
      <c r="BH28" s="25">
        <v>100</v>
      </c>
      <c r="BI28" s="25">
        <v>100</v>
      </c>
      <c r="BJ28" s="25">
        <v>37.231200000000001</v>
      </c>
      <c r="BK28" s="25">
        <v>100</v>
      </c>
      <c r="BL28" s="25">
        <v>100</v>
      </c>
      <c r="BM28" s="25">
        <v>100</v>
      </c>
      <c r="BN28" s="25">
        <v>100</v>
      </c>
      <c r="BO28" s="25">
        <v>100</v>
      </c>
      <c r="BP28" s="25">
        <v>100</v>
      </c>
      <c r="BQ28" s="25">
        <v>100</v>
      </c>
      <c r="BR28" s="25">
        <v>100</v>
      </c>
      <c r="BS28" s="25">
        <v>100</v>
      </c>
      <c r="BT28" s="25">
        <v>100</v>
      </c>
      <c r="BU28" s="25">
        <v>100</v>
      </c>
      <c r="BV28" s="25">
        <v>100</v>
      </c>
      <c r="BW28" s="25">
        <v>88.161900000000003</v>
      </c>
      <c r="BX28" s="25">
        <v>100</v>
      </c>
      <c r="BY28" s="25">
        <v>99.999800000000008</v>
      </c>
      <c r="BZ28" s="25">
        <v>93.974899999999991</v>
      </c>
      <c r="CA28" s="25">
        <v>100</v>
      </c>
      <c r="CB28" s="25">
        <v>98.199619480519488</v>
      </c>
      <c r="CC28" s="16">
        <v>7561.3707000000004</v>
      </c>
    </row>
    <row r="29" spans="1:81" x14ac:dyDescent="0.25">
      <c r="A29" s="23">
        <v>28</v>
      </c>
      <c r="B29" s="25">
        <v>13.5</v>
      </c>
      <c r="C29" s="25">
        <v>100</v>
      </c>
      <c r="D29" s="25">
        <v>100</v>
      </c>
      <c r="E29" s="25">
        <v>100</v>
      </c>
      <c r="F29" s="25">
        <v>100</v>
      </c>
      <c r="G29" s="25">
        <v>100</v>
      </c>
      <c r="H29" s="25">
        <v>100</v>
      </c>
      <c r="I29" s="25">
        <v>100</v>
      </c>
      <c r="J29" s="25">
        <v>100</v>
      </c>
      <c r="K29" s="25">
        <v>100</v>
      </c>
      <c r="L29" s="25">
        <v>100</v>
      </c>
      <c r="M29" s="25">
        <v>100</v>
      </c>
      <c r="N29" s="25">
        <v>100</v>
      </c>
      <c r="O29" s="25">
        <v>100</v>
      </c>
      <c r="P29" s="25">
        <v>100</v>
      </c>
      <c r="Q29" s="25">
        <v>100</v>
      </c>
      <c r="R29" s="25">
        <v>100</v>
      </c>
      <c r="S29" s="25">
        <v>100</v>
      </c>
      <c r="T29" s="25">
        <v>100</v>
      </c>
      <c r="U29" s="25">
        <v>100</v>
      </c>
      <c r="V29" s="25">
        <v>100</v>
      </c>
      <c r="W29" s="25">
        <v>100</v>
      </c>
      <c r="X29" s="25">
        <v>100</v>
      </c>
      <c r="Y29" s="25">
        <v>100</v>
      </c>
      <c r="Z29" s="25">
        <v>100</v>
      </c>
      <c r="AA29" s="25">
        <v>100</v>
      </c>
      <c r="AB29" s="25">
        <v>100</v>
      </c>
      <c r="AC29" s="25">
        <v>100</v>
      </c>
      <c r="AD29" s="25">
        <v>100</v>
      </c>
      <c r="AE29" s="25">
        <v>100</v>
      </c>
      <c r="AF29" s="25">
        <v>100</v>
      </c>
      <c r="AG29" s="25">
        <v>100</v>
      </c>
      <c r="AH29" s="25">
        <v>100</v>
      </c>
      <c r="AI29" s="25">
        <v>100</v>
      </c>
      <c r="AJ29" s="25">
        <v>99.382899999999992</v>
      </c>
      <c r="AK29" s="25">
        <v>100</v>
      </c>
      <c r="AL29" s="25">
        <v>100</v>
      </c>
      <c r="AM29" s="25">
        <v>100</v>
      </c>
      <c r="AN29" s="25">
        <v>100</v>
      </c>
      <c r="AO29" s="25">
        <v>100</v>
      </c>
      <c r="AP29" s="25">
        <v>100</v>
      </c>
      <c r="AQ29" s="25">
        <v>100</v>
      </c>
      <c r="AR29" s="25">
        <v>100</v>
      </c>
      <c r="AS29" s="25">
        <v>100</v>
      </c>
      <c r="AT29" s="25">
        <v>100</v>
      </c>
      <c r="AU29" s="25">
        <v>91.862499999999997</v>
      </c>
      <c r="AV29" s="25">
        <v>100</v>
      </c>
      <c r="AW29" s="25">
        <v>100</v>
      </c>
      <c r="AX29" s="25">
        <v>100</v>
      </c>
      <c r="AY29" s="25">
        <v>100</v>
      </c>
      <c r="AZ29" s="25">
        <v>100</v>
      </c>
      <c r="BA29" s="25">
        <v>100</v>
      </c>
      <c r="BB29" s="25">
        <v>100</v>
      </c>
      <c r="BC29" s="25">
        <v>100</v>
      </c>
      <c r="BD29" s="25">
        <v>100</v>
      </c>
      <c r="BE29" s="25">
        <v>100</v>
      </c>
      <c r="BF29" s="25">
        <v>67.069900000000004</v>
      </c>
      <c r="BG29" s="25">
        <v>90.814399999999992</v>
      </c>
      <c r="BH29" s="25">
        <v>100</v>
      </c>
      <c r="BI29" s="25">
        <v>100</v>
      </c>
      <c r="BJ29" s="25">
        <v>53.189300000000003</v>
      </c>
      <c r="BK29" s="25">
        <v>100</v>
      </c>
      <c r="BL29" s="25">
        <v>100</v>
      </c>
      <c r="BM29" s="25">
        <v>100</v>
      </c>
      <c r="BN29" s="25">
        <v>100</v>
      </c>
      <c r="BO29" s="25">
        <v>100</v>
      </c>
      <c r="BP29" s="25">
        <v>100</v>
      </c>
      <c r="BQ29" s="25">
        <v>100</v>
      </c>
      <c r="BR29" s="25">
        <v>100</v>
      </c>
      <c r="BS29" s="25">
        <v>100</v>
      </c>
      <c r="BT29" s="25">
        <v>100</v>
      </c>
      <c r="BU29" s="25">
        <v>100</v>
      </c>
      <c r="BV29" s="25">
        <v>100</v>
      </c>
      <c r="BW29" s="25">
        <v>60.552399999999992</v>
      </c>
      <c r="BX29" s="25">
        <v>100</v>
      </c>
      <c r="BY29" s="25">
        <v>99.999800000000008</v>
      </c>
      <c r="BZ29" s="25">
        <v>87.713699999999989</v>
      </c>
      <c r="CA29" s="25">
        <v>100</v>
      </c>
      <c r="CB29" s="25">
        <v>98.059544155844165</v>
      </c>
      <c r="CC29" s="16">
        <v>7550.5849000000007</v>
      </c>
    </row>
    <row r="30" spans="1:81" x14ac:dyDescent="0.25">
      <c r="A30" s="23">
        <v>29</v>
      </c>
      <c r="B30" s="25">
        <v>14</v>
      </c>
      <c r="C30" s="25">
        <v>100</v>
      </c>
      <c r="D30" s="25">
        <v>100</v>
      </c>
      <c r="E30" s="25">
        <v>100</v>
      </c>
      <c r="F30" s="25">
        <v>100</v>
      </c>
      <c r="G30" s="25">
        <v>100</v>
      </c>
      <c r="H30" s="25">
        <v>100</v>
      </c>
      <c r="I30" s="25">
        <v>100</v>
      </c>
      <c r="J30" s="25">
        <v>100</v>
      </c>
      <c r="K30" s="25">
        <v>100</v>
      </c>
      <c r="L30" s="25">
        <v>100</v>
      </c>
      <c r="M30" s="25">
        <v>100</v>
      </c>
      <c r="N30" s="25">
        <v>100</v>
      </c>
      <c r="O30" s="25">
        <v>100</v>
      </c>
      <c r="P30" s="25">
        <v>100</v>
      </c>
      <c r="Q30" s="25">
        <v>100</v>
      </c>
      <c r="R30" s="25">
        <v>100</v>
      </c>
      <c r="S30" s="25">
        <v>100</v>
      </c>
      <c r="T30" s="25">
        <v>100</v>
      </c>
      <c r="U30" s="25">
        <v>100</v>
      </c>
      <c r="V30" s="25">
        <v>100</v>
      </c>
      <c r="W30" s="25">
        <v>100</v>
      </c>
      <c r="X30" s="25">
        <v>100</v>
      </c>
      <c r="Y30" s="25">
        <v>100</v>
      </c>
      <c r="Z30" s="25">
        <v>100</v>
      </c>
      <c r="AA30" s="25">
        <v>100</v>
      </c>
      <c r="AB30" s="25">
        <v>100</v>
      </c>
      <c r="AC30" s="25">
        <v>100</v>
      </c>
      <c r="AD30" s="25">
        <v>100</v>
      </c>
      <c r="AE30" s="25">
        <v>100</v>
      </c>
      <c r="AF30" s="25">
        <v>100</v>
      </c>
      <c r="AG30" s="25">
        <v>100</v>
      </c>
      <c r="AH30" s="25">
        <v>100</v>
      </c>
      <c r="AI30" s="25">
        <v>100</v>
      </c>
      <c r="AJ30" s="25">
        <v>100</v>
      </c>
      <c r="AK30" s="25">
        <v>100</v>
      </c>
      <c r="AL30" s="25">
        <v>100</v>
      </c>
      <c r="AM30" s="25">
        <v>100</v>
      </c>
      <c r="AN30" s="25">
        <v>100</v>
      </c>
      <c r="AO30" s="25">
        <v>100</v>
      </c>
      <c r="AP30" s="25">
        <v>90.122</v>
      </c>
      <c r="AQ30" s="25">
        <v>100</v>
      </c>
      <c r="AR30" s="25">
        <v>100</v>
      </c>
      <c r="AS30" s="25">
        <v>100</v>
      </c>
      <c r="AT30" s="25">
        <v>100</v>
      </c>
      <c r="AU30" s="25">
        <v>94.352199999999996</v>
      </c>
      <c r="AV30" s="25">
        <v>100</v>
      </c>
      <c r="AW30" s="25">
        <v>100</v>
      </c>
      <c r="AX30" s="25">
        <v>100</v>
      </c>
      <c r="AY30" s="25">
        <v>100</v>
      </c>
      <c r="AZ30" s="25">
        <v>100</v>
      </c>
      <c r="BA30" s="25">
        <v>100</v>
      </c>
      <c r="BB30" s="25">
        <v>100</v>
      </c>
      <c r="BC30" s="25">
        <v>100</v>
      </c>
      <c r="BD30" s="25">
        <v>100</v>
      </c>
      <c r="BE30" s="25">
        <v>100</v>
      </c>
      <c r="BF30" s="25">
        <v>80.046700000000001</v>
      </c>
      <c r="BG30" s="25">
        <v>96.822200000000009</v>
      </c>
      <c r="BH30" s="25">
        <v>100</v>
      </c>
      <c r="BI30" s="25">
        <v>100</v>
      </c>
      <c r="BJ30" s="25">
        <v>66.7804</v>
      </c>
      <c r="BK30" s="25">
        <v>100</v>
      </c>
      <c r="BL30" s="25">
        <v>100</v>
      </c>
      <c r="BM30" s="25">
        <v>100</v>
      </c>
      <c r="BN30" s="25">
        <v>100</v>
      </c>
      <c r="BO30" s="25">
        <v>100</v>
      </c>
      <c r="BP30" s="25">
        <v>100</v>
      </c>
      <c r="BQ30" s="25">
        <v>100</v>
      </c>
      <c r="BR30" s="25">
        <v>100</v>
      </c>
      <c r="BS30" s="25">
        <v>100</v>
      </c>
      <c r="BT30" s="25">
        <v>100</v>
      </c>
      <c r="BU30" s="25">
        <v>100</v>
      </c>
      <c r="BV30" s="25">
        <v>100</v>
      </c>
      <c r="BW30" s="25">
        <v>70.2941</v>
      </c>
      <c r="BX30" s="25">
        <v>100</v>
      </c>
      <c r="BY30" s="25">
        <v>99.999800000000008</v>
      </c>
      <c r="BZ30" s="25">
        <v>88.02170000000001</v>
      </c>
      <c r="CA30" s="25">
        <v>100</v>
      </c>
      <c r="CB30" s="25">
        <v>98.525183116883099</v>
      </c>
      <c r="CC30" s="16">
        <v>7586.4390999999987</v>
      </c>
    </row>
    <row r="31" spans="1:81" x14ac:dyDescent="0.25">
      <c r="A31" s="23">
        <v>30</v>
      </c>
      <c r="B31" s="25">
        <v>14.5</v>
      </c>
      <c r="C31" s="25">
        <v>100</v>
      </c>
      <c r="D31" s="25">
        <v>100</v>
      </c>
      <c r="E31" s="25">
        <v>100</v>
      </c>
      <c r="F31" s="25">
        <v>100</v>
      </c>
      <c r="G31" s="25">
        <v>100</v>
      </c>
      <c r="H31" s="25">
        <v>100</v>
      </c>
      <c r="I31" s="25">
        <v>100</v>
      </c>
      <c r="J31" s="25">
        <v>100</v>
      </c>
      <c r="K31" s="25">
        <v>100</v>
      </c>
      <c r="L31" s="25">
        <v>100</v>
      </c>
      <c r="M31" s="25">
        <v>100</v>
      </c>
      <c r="N31" s="25">
        <v>100</v>
      </c>
      <c r="O31" s="25">
        <v>100</v>
      </c>
      <c r="P31" s="25">
        <v>100</v>
      </c>
      <c r="Q31" s="25">
        <v>100</v>
      </c>
      <c r="R31" s="25">
        <v>100</v>
      </c>
      <c r="S31" s="25">
        <v>100</v>
      </c>
      <c r="T31" s="25">
        <v>100</v>
      </c>
      <c r="U31" s="25">
        <v>100</v>
      </c>
      <c r="V31" s="25">
        <v>100</v>
      </c>
      <c r="W31" s="25">
        <v>100</v>
      </c>
      <c r="X31" s="25">
        <v>100</v>
      </c>
      <c r="Y31" s="25">
        <v>100</v>
      </c>
      <c r="Z31" s="25">
        <v>100</v>
      </c>
      <c r="AA31" s="25">
        <v>100</v>
      </c>
      <c r="AB31" s="25">
        <v>100</v>
      </c>
      <c r="AC31" s="25">
        <v>100</v>
      </c>
      <c r="AD31" s="25">
        <v>100</v>
      </c>
      <c r="AE31" s="25">
        <v>100</v>
      </c>
      <c r="AF31" s="25">
        <v>100</v>
      </c>
      <c r="AG31" s="25">
        <v>100</v>
      </c>
      <c r="AH31" s="25">
        <v>100</v>
      </c>
      <c r="AI31" s="25">
        <v>100</v>
      </c>
      <c r="AJ31" s="25">
        <v>99.016999999999996</v>
      </c>
      <c r="AK31" s="25">
        <v>100</v>
      </c>
      <c r="AL31" s="25">
        <v>100</v>
      </c>
      <c r="AM31" s="25">
        <v>100</v>
      </c>
      <c r="AN31" s="25">
        <v>100</v>
      </c>
      <c r="AO31" s="25">
        <v>100</v>
      </c>
      <c r="AP31" s="25">
        <v>76.140799999999999</v>
      </c>
      <c r="AQ31" s="25">
        <v>100</v>
      </c>
      <c r="AR31" s="25">
        <v>100</v>
      </c>
      <c r="AS31" s="25">
        <v>100</v>
      </c>
      <c r="AT31" s="25">
        <v>100</v>
      </c>
      <c r="AU31" s="25">
        <v>100</v>
      </c>
      <c r="AV31" s="25">
        <v>100</v>
      </c>
      <c r="AW31" s="25">
        <v>100</v>
      </c>
      <c r="AX31" s="25">
        <v>100</v>
      </c>
      <c r="AY31" s="25">
        <v>100</v>
      </c>
      <c r="AZ31" s="25">
        <v>100</v>
      </c>
      <c r="BA31" s="25">
        <v>100</v>
      </c>
      <c r="BB31" s="25">
        <v>100</v>
      </c>
      <c r="BC31" s="25">
        <v>100</v>
      </c>
      <c r="BD31" s="25">
        <v>100</v>
      </c>
      <c r="BE31" s="25">
        <v>100</v>
      </c>
      <c r="BF31" s="25">
        <v>90.54140000000001</v>
      </c>
      <c r="BG31" s="25">
        <v>95.474499999999992</v>
      </c>
      <c r="BH31" s="25">
        <v>100</v>
      </c>
      <c r="BI31" s="25">
        <v>100</v>
      </c>
      <c r="BJ31" s="25">
        <v>82.851500000000001</v>
      </c>
      <c r="BK31" s="25">
        <v>100</v>
      </c>
      <c r="BL31" s="25">
        <v>100</v>
      </c>
      <c r="BM31" s="25">
        <v>100</v>
      </c>
      <c r="BN31" s="25">
        <v>100</v>
      </c>
      <c r="BO31" s="25">
        <v>100</v>
      </c>
      <c r="BP31" s="25">
        <v>100</v>
      </c>
      <c r="BQ31" s="25">
        <v>100</v>
      </c>
      <c r="BR31" s="25">
        <v>100</v>
      </c>
      <c r="BS31" s="25">
        <v>100</v>
      </c>
      <c r="BT31" s="25">
        <v>100</v>
      </c>
      <c r="BU31" s="25">
        <v>100</v>
      </c>
      <c r="BV31" s="25">
        <v>100</v>
      </c>
      <c r="BW31" s="25">
        <v>99.9559</v>
      </c>
      <c r="BX31" s="25">
        <v>100</v>
      </c>
      <c r="BY31" s="25">
        <v>99.999800000000008</v>
      </c>
      <c r="BZ31" s="25">
        <v>94.526799999999994</v>
      </c>
      <c r="CA31" s="25">
        <v>100</v>
      </c>
      <c r="CB31" s="25">
        <v>99.201398701298686</v>
      </c>
      <c r="CC31" s="16">
        <v>7638.5076999999992</v>
      </c>
    </row>
    <row r="32" spans="1:81" x14ac:dyDescent="0.25">
      <c r="A32" s="23">
        <v>31</v>
      </c>
      <c r="B32" s="25">
        <v>15</v>
      </c>
      <c r="C32" s="25">
        <v>100</v>
      </c>
      <c r="D32" s="25">
        <v>100</v>
      </c>
      <c r="E32" s="25">
        <v>100</v>
      </c>
      <c r="F32" s="25">
        <v>100</v>
      </c>
      <c r="G32" s="25">
        <v>100</v>
      </c>
      <c r="H32" s="25">
        <v>100</v>
      </c>
      <c r="I32" s="25">
        <v>100</v>
      </c>
      <c r="J32" s="25">
        <v>100</v>
      </c>
      <c r="K32" s="25">
        <v>100</v>
      </c>
      <c r="L32" s="25">
        <v>100</v>
      </c>
      <c r="M32" s="25">
        <v>100</v>
      </c>
      <c r="N32" s="25">
        <v>100</v>
      </c>
      <c r="O32" s="25">
        <v>100</v>
      </c>
      <c r="P32" s="25">
        <v>100</v>
      </c>
      <c r="Q32" s="25">
        <v>100</v>
      </c>
      <c r="R32" s="25">
        <v>100</v>
      </c>
      <c r="S32" s="25">
        <v>100</v>
      </c>
      <c r="T32" s="25">
        <v>100</v>
      </c>
      <c r="U32" s="25">
        <v>100</v>
      </c>
      <c r="V32" s="25">
        <v>100</v>
      </c>
      <c r="W32" s="25">
        <v>100</v>
      </c>
      <c r="X32" s="25">
        <v>100</v>
      </c>
      <c r="Y32" s="25">
        <v>100</v>
      </c>
      <c r="Z32" s="25">
        <v>100</v>
      </c>
      <c r="AA32" s="25">
        <v>100</v>
      </c>
      <c r="AB32" s="25">
        <v>100</v>
      </c>
      <c r="AC32" s="25">
        <v>100</v>
      </c>
      <c r="AD32" s="25">
        <v>100</v>
      </c>
      <c r="AE32" s="25">
        <v>100</v>
      </c>
      <c r="AF32" s="25">
        <v>100</v>
      </c>
      <c r="AG32" s="25">
        <v>100</v>
      </c>
      <c r="AH32" s="25">
        <v>100</v>
      </c>
      <c r="AI32" s="25">
        <v>100</v>
      </c>
      <c r="AJ32" s="25">
        <v>100</v>
      </c>
      <c r="AK32" s="25">
        <v>100</v>
      </c>
      <c r="AL32" s="25">
        <v>100</v>
      </c>
      <c r="AM32" s="25">
        <v>100</v>
      </c>
      <c r="AN32" s="25">
        <v>100</v>
      </c>
      <c r="AO32" s="25">
        <v>100</v>
      </c>
      <c r="AP32" s="25">
        <v>89.949699999999993</v>
      </c>
      <c r="AQ32" s="25">
        <v>100</v>
      </c>
      <c r="AR32" s="25">
        <v>100</v>
      </c>
      <c r="AS32" s="25">
        <v>100</v>
      </c>
      <c r="AT32" s="25">
        <v>100</v>
      </c>
      <c r="AU32" s="25">
        <v>100</v>
      </c>
      <c r="AV32" s="25">
        <v>100</v>
      </c>
      <c r="AW32" s="25">
        <v>100</v>
      </c>
      <c r="AX32" s="25">
        <v>100</v>
      </c>
      <c r="AY32" s="25">
        <v>100</v>
      </c>
      <c r="AZ32" s="25">
        <v>100</v>
      </c>
      <c r="BA32" s="25">
        <v>100</v>
      </c>
      <c r="BB32" s="25">
        <v>100</v>
      </c>
      <c r="BC32" s="25">
        <v>100</v>
      </c>
      <c r="BD32" s="25">
        <v>100</v>
      </c>
      <c r="BE32" s="25">
        <v>100</v>
      </c>
      <c r="BF32" s="25">
        <v>99.999899999999997</v>
      </c>
      <c r="BG32" s="25">
        <v>98.080199999999991</v>
      </c>
      <c r="BH32" s="25">
        <v>100</v>
      </c>
      <c r="BI32" s="25">
        <v>100</v>
      </c>
      <c r="BJ32" s="25">
        <v>96.919599999999988</v>
      </c>
      <c r="BK32" s="25">
        <v>100</v>
      </c>
      <c r="BL32" s="25">
        <v>100</v>
      </c>
      <c r="BM32" s="25">
        <v>100</v>
      </c>
      <c r="BN32" s="25">
        <v>100</v>
      </c>
      <c r="BO32" s="25">
        <v>100</v>
      </c>
      <c r="BP32" s="25">
        <v>100</v>
      </c>
      <c r="BQ32" s="25">
        <v>100</v>
      </c>
      <c r="BR32" s="25">
        <v>100</v>
      </c>
      <c r="BS32" s="25">
        <v>100</v>
      </c>
      <c r="BT32" s="25">
        <v>100</v>
      </c>
      <c r="BU32" s="25">
        <v>100</v>
      </c>
      <c r="BV32" s="25">
        <v>100</v>
      </c>
      <c r="BW32" s="25">
        <v>100</v>
      </c>
      <c r="BX32" s="25">
        <v>100</v>
      </c>
      <c r="BY32" s="25">
        <v>99.999800000000008</v>
      </c>
      <c r="BZ32" s="25">
        <v>100</v>
      </c>
      <c r="CA32" s="25">
        <v>100</v>
      </c>
      <c r="CB32" s="25">
        <v>99.804535064935067</v>
      </c>
      <c r="CC32" s="16">
        <v>7684.9492</v>
      </c>
    </row>
    <row r="33" spans="1:81" x14ac:dyDescent="0.25">
      <c r="A33" s="23">
        <v>32</v>
      </c>
      <c r="B33" s="25">
        <v>15.5</v>
      </c>
      <c r="C33" s="25">
        <v>100</v>
      </c>
      <c r="D33" s="25">
        <v>100</v>
      </c>
      <c r="E33" s="25">
        <v>100</v>
      </c>
      <c r="F33" s="25">
        <v>100</v>
      </c>
      <c r="G33" s="25">
        <v>100</v>
      </c>
      <c r="H33" s="25">
        <v>100</v>
      </c>
      <c r="I33" s="25">
        <v>100</v>
      </c>
      <c r="J33" s="25">
        <v>100</v>
      </c>
      <c r="K33" s="25">
        <v>100</v>
      </c>
      <c r="L33" s="25">
        <v>100</v>
      </c>
      <c r="M33" s="25">
        <v>100</v>
      </c>
      <c r="N33" s="25">
        <v>100</v>
      </c>
      <c r="O33" s="25">
        <v>100</v>
      </c>
      <c r="P33" s="25">
        <v>100</v>
      </c>
      <c r="Q33" s="25">
        <v>100</v>
      </c>
      <c r="R33" s="25">
        <v>100</v>
      </c>
      <c r="S33" s="25">
        <v>100</v>
      </c>
      <c r="T33" s="25">
        <v>100</v>
      </c>
      <c r="U33" s="25">
        <v>100</v>
      </c>
      <c r="V33" s="25">
        <v>100</v>
      </c>
      <c r="W33" s="25">
        <v>100</v>
      </c>
      <c r="X33" s="25">
        <v>100</v>
      </c>
      <c r="Y33" s="25">
        <v>100</v>
      </c>
      <c r="Z33" s="25">
        <v>100</v>
      </c>
      <c r="AA33" s="25">
        <v>100</v>
      </c>
      <c r="AB33" s="25">
        <v>100</v>
      </c>
      <c r="AC33" s="25">
        <v>100</v>
      </c>
      <c r="AD33" s="25">
        <v>100</v>
      </c>
      <c r="AE33" s="25">
        <v>80.704499999999996</v>
      </c>
      <c r="AF33" s="25">
        <v>100</v>
      </c>
      <c r="AG33" s="25">
        <v>100</v>
      </c>
      <c r="AH33" s="25">
        <v>100</v>
      </c>
      <c r="AI33" s="25">
        <v>100</v>
      </c>
      <c r="AJ33" s="25">
        <v>100</v>
      </c>
      <c r="AK33" s="25">
        <v>100</v>
      </c>
      <c r="AL33" s="25">
        <v>100</v>
      </c>
      <c r="AM33" s="25">
        <v>100</v>
      </c>
      <c r="AN33" s="25">
        <v>100</v>
      </c>
      <c r="AO33" s="25">
        <v>100</v>
      </c>
      <c r="AP33" s="25">
        <v>100</v>
      </c>
      <c r="AQ33" s="25">
        <v>100</v>
      </c>
      <c r="AR33" s="25">
        <v>100</v>
      </c>
      <c r="AS33" s="25">
        <v>100</v>
      </c>
      <c r="AT33" s="25">
        <v>100</v>
      </c>
      <c r="AU33" s="25">
        <v>100</v>
      </c>
      <c r="AV33" s="25">
        <v>100</v>
      </c>
      <c r="AW33" s="25">
        <v>100</v>
      </c>
      <c r="AX33" s="25">
        <v>100</v>
      </c>
      <c r="AY33" s="25">
        <v>100</v>
      </c>
      <c r="AZ33" s="25">
        <v>100</v>
      </c>
      <c r="BA33" s="25">
        <v>100</v>
      </c>
      <c r="BB33" s="25">
        <v>100</v>
      </c>
      <c r="BC33" s="25">
        <v>100</v>
      </c>
      <c r="BD33" s="25">
        <v>100</v>
      </c>
      <c r="BE33" s="25">
        <v>100</v>
      </c>
      <c r="BF33" s="25">
        <v>99.999899999999997</v>
      </c>
      <c r="BG33" s="25">
        <v>97.697599999999994</v>
      </c>
      <c r="BH33" s="25">
        <v>100</v>
      </c>
      <c r="BI33" s="25">
        <v>100</v>
      </c>
      <c r="BJ33" s="25">
        <v>100</v>
      </c>
      <c r="BK33" s="25">
        <v>100</v>
      </c>
      <c r="BL33" s="25">
        <v>100</v>
      </c>
      <c r="BM33" s="25">
        <v>100</v>
      </c>
      <c r="BN33" s="25">
        <v>100</v>
      </c>
      <c r="BO33" s="25">
        <v>100</v>
      </c>
      <c r="BP33" s="25">
        <v>100</v>
      </c>
      <c r="BQ33" s="25">
        <v>100</v>
      </c>
      <c r="BR33" s="25">
        <v>100</v>
      </c>
      <c r="BS33" s="25">
        <v>100</v>
      </c>
      <c r="BT33" s="25">
        <v>100</v>
      </c>
      <c r="BU33" s="25">
        <v>100</v>
      </c>
      <c r="BV33" s="25">
        <v>100</v>
      </c>
      <c r="BW33" s="25">
        <v>100</v>
      </c>
      <c r="BX33" s="25">
        <v>100</v>
      </c>
      <c r="BY33" s="25">
        <v>99.999800000000008</v>
      </c>
      <c r="BZ33" s="25">
        <v>100</v>
      </c>
      <c r="CA33" s="25">
        <v>100</v>
      </c>
      <c r="CB33" s="25">
        <v>99.719503896103888</v>
      </c>
      <c r="CC33" s="16">
        <v>7678.4017999999996</v>
      </c>
    </row>
    <row r="34" spans="1:81" x14ac:dyDescent="0.25">
      <c r="A34" s="23">
        <v>33</v>
      </c>
      <c r="B34" s="25">
        <v>16</v>
      </c>
      <c r="C34" s="25">
        <v>100</v>
      </c>
      <c r="D34" s="25">
        <v>100</v>
      </c>
      <c r="E34" s="25">
        <v>100</v>
      </c>
      <c r="F34" s="25">
        <v>100</v>
      </c>
      <c r="G34" s="25">
        <v>100</v>
      </c>
      <c r="H34" s="25">
        <v>100</v>
      </c>
      <c r="I34" s="25">
        <v>100</v>
      </c>
      <c r="J34" s="25">
        <v>100</v>
      </c>
      <c r="K34" s="25">
        <v>100</v>
      </c>
      <c r="L34" s="25">
        <v>100</v>
      </c>
      <c r="M34" s="25">
        <v>100</v>
      </c>
      <c r="N34" s="25">
        <v>100</v>
      </c>
      <c r="O34" s="25">
        <v>100</v>
      </c>
      <c r="P34" s="25">
        <v>100</v>
      </c>
      <c r="Q34" s="25">
        <v>100</v>
      </c>
      <c r="R34" s="25">
        <v>100</v>
      </c>
      <c r="S34" s="25">
        <v>100</v>
      </c>
      <c r="T34" s="25">
        <v>100</v>
      </c>
      <c r="U34" s="25">
        <v>100</v>
      </c>
      <c r="V34" s="25">
        <v>100</v>
      </c>
      <c r="W34" s="25">
        <v>100</v>
      </c>
      <c r="X34" s="25">
        <v>100</v>
      </c>
      <c r="Y34" s="25">
        <v>100</v>
      </c>
      <c r="Z34" s="25">
        <v>100</v>
      </c>
      <c r="AA34" s="25">
        <v>100</v>
      </c>
      <c r="AB34" s="25">
        <v>100</v>
      </c>
      <c r="AC34" s="25">
        <v>100</v>
      </c>
      <c r="AD34" s="25">
        <v>100</v>
      </c>
      <c r="AE34" s="25">
        <v>63.173999999999999</v>
      </c>
      <c r="AF34" s="25">
        <v>100</v>
      </c>
      <c r="AG34" s="25">
        <v>100</v>
      </c>
      <c r="AH34" s="25">
        <v>100</v>
      </c>
      <c r="AI34" s="25">
        <v>100</v>
      </c>
      <c r="AJ34" s="25">
        <v>100</v>
      </c>
      <c r="AK34" s="25">
        <v>100</v>
      </c>
      <c r="AL34" s="25">
        <v>100</v>
      </c>
      <c r="AM34" s="25">
        <v>100</v>
      </c>
      <c r="AN34" s="25">
        <v>100</v>
      </c>
      <c r="AO34" s="25">
        <v>100</v>
      </c>
      <c r="AP34" s="25">
        <v>100</v>
      </c>
      <c r="AQ34" s="25">
        <v>100</v>
      </c>
      <c r="AR34" s="25">
        <v>100</v>
      </c>
      <c r="AS34" s="25">
        <v>100</v>
      </c>
      <c r="AT34" s="25">
        <v>100</v>
      </c>
      <c r="AU34" s="25">
        <v>100</v>
      </c>
      <c r="AV34" s="25">
        <v>100</v>
      </c>
      <c r="AW34" s="25">
        <v>100</v>
      </c>
      <c r="AX34" s="25">
        <v>100</v>
      </c>
      <c r="AY34" s="25">
        <v>100</v>
      </c>
      <c r="AZ34" s="25">
        <v>100</v>
      </c>
      <c r="BA34" s="25">
        <v>100</v>
      </c>
      <c r="BB34" s="25">
        <v>100</v>
      </c>
      <c r="BC34" s="25">
        <v>100</v>
      </c>
      <c r="BD34" s="25">
        <v>100</v>
      </c>
      <c r="BE34" s="25">
        <v>100</v>
      </c>
      <c r="BF34" s="25">
        <v>99.999899999999997</v>
      </c>
      <c r="BG34" s="25">
        <v>100</v>
      </c>
      <c r="BH34" s="25">
        <v>100</v>
      </c>
      <c r="BI34" s="25">
        <v>100</v>
      </c>
      <c r="BJ34" s="25">
        <v>100</v>
      </c>
      <c r="BK34" s="25">
        <v>100</v>
      </c>
      <c r="BL34" s="25">
        <v>100</v>
      </c>
      <c r="BM34" s="25">
        <v>100</v>
      </c>
      <c r="BN34" s="25">
        <v>100</v>
      </c>
      <c r="BO34" s="25">
        <v>100</v>
      </c>
      <c r="BP34" s="25">
        <v>100</v>
      </c>
      <c r="BQ34" s="25">
        <v>100</v>
      </c>
      <c r="BR34" s="25">
        <v>100</v>
      </c>
      <c r="BS34" s="25">
        <v>100</v>
      </c>
      <c r="BT34" s="25">
        <v>100</v>
      </c>
      <c r="BU34" s="25">
        <v>100</v>
      </c>
      <c r="BV34" s="25">
        <v>100</v>
      </c>
      <c r="BW34" s="25">
        <v>100</v>
      </c>
      <c r="BX34" s="25">
        <v>100</v>
      </c>
      <c r="BY34" s="25">
        <v>99.999800000000008</v>
      </c>
      <c r="BZ34" s="25">
        <v>100</v>
      </c>
      <c r="CA34" s="25">
        <v>100</v>
      </c>
      <c r="CB34" s="25">
        <v>99.52173636363635</v>
      </c>
      <c r="CC34" s="16">
        <v>7663.1736999999994</v>
      </c>
    </row>
    <row r="35" spans="1:81" x14ac:dyDescent="0.25">
      <c r="A35" s="23">
        <v>34</v>
      </c>
      <c r="B35" s="25">
        <v>16.5</v>
      </c>
      <c r="C35" s="25">
        <v>100</v>
      </c>
      <c r="D35" s="25">
        <v>100</v>
      </c>
      <c r="E35" s="25">
        <v>100</v>
      </c>
      <c r="F35" s="25">
        <v>100</v>
      </c>
      <c r="G35" s="25">
        <v>100</v>
      </c>
      <c r="H35" s="25">
        <v>100</v>
      </c>
      <c r="I35" s="25">
        <v>100</v>
      </c>
      <c r="J35" s="25">
        <v>100</v>
      </c>
      <c r="K35" s="25">
        <v>100</v>
      </c>
      <c r="L35" s="25">
        <v>100</v>
      </c>
      <c r="M35" s="25">
        <v>100</v>
      </c>
      <c r="N35" s="25">
        <v>100</v>
      </c>
      <c r="O35" s="25">
        <v>100</v>
      </c>
      <c r="P35" s="25">
        <v>100</v>
      </c>
      <c r="Q35" s="25">
        <v>100</v>
      </c>
      <c r="R35" s="25">
        <v>100</v>
      </c>
      <c r="S35" s="25">
        <v>100</v>
      </c>
      <c r="T35" s="25">
        <v>100</v>
      </c>
      <c r="U35" s="25">
        <v>100</v>
      </c>
      <c r="V35" s="25">
        <v>100</v>
      </c>
      <c r="W35" s="25">
        <v>100</v>
      </c>
      <c r="X35" s="25">
        <v>100</v>
      </c>
      <c r="Y35" s="25">
        <v>100</v>
      </c>
      <c r="Z35" s="25">
        <v>100</v>
      </c>
      <c r="AA35" s="25">
        <v>100</v>
      </c>
      <c r="AB35" s="25">
        <v>100</v>
      </c>
      <c r="AC35" s="25">
        <v>100</v>
      </c>
      <c r="AD35" s="25">
        <v>100</v>
      </c>
      <c r="AE35" s="25">
        <v>69.682999999999993</v>
      </c>
      <c r="AF35" s="25">
        <v>100</v>
      </c>
      <c r="AG35" s="25">
        <v>100</v>
      </c>
      <c r="AH35" s="25">
        <v>100</v>
      </c>
      <c r="AI35" s="25">
        <v>100</v>
      </c>
      <c r="AJ35" s="25">
        <v>100</v>
      </c>
      <c r="AK35" s="25">
        <v>100</v>
      </c>
      <c r="AL35" s="25">
        <v>100</v>
      </c>
      <c r="AM35" s="25">
        <v>100</v>
      </c>
      <c r="AN35" s="25">
        <v>100</v>
      </c>
      <c r="AO35" s="25">
        <v>100</v>
      </c>
      <c r="AP35" s="25">
        <v>100</v>
      </c>
      <c r="AQ35" s="25">
        <v>100</v>
      </c>
      <c r="AR35" s="25">
        <v>100</v>
      </c>
      <c r="AS35" s="25">
        <v>100</v>
      </c>
      <c r="AT35" s="25">
        <v>100</v>
      </c>
      <c r="AU35" s="25">
        <v>100</v>
      </c>
      <c r="AV35" s="25">
        <v>100</v>
      </c>
      <c r="AW35" s="25">
        <v>100</v>
      </c>
      <c r="AX35" s="25">
        <v>100</v>
      </c>
      <c r="AY35" s="25">
        <v>100</v>
      </c>
      <c r="AZ35" s="25">
        <v>97.633200000000002</v>
      </c>
      <c r="BA35" s="25">
        <v>100</v>
      </c>
      <c r="BB35" s="25">
        <v>100</v>
      </c>
      <c r="BC35" s="25">
        <v>100</v>
      </c>
      <c r="BD35" s="25">
        <v>100</v>
      </c>
      <c r="BE35" s="25">
        <v>100</v>
      </c>
      <c r="BF35" s="25">
        <v>99.999899999999997</v>
      </c>
      <c r="BG35" s="25">
        <v>100</v>
      </c>
      <c r="BH35" s="25">
        <v>100</v>
      </c>
      <c r="BI35" s="25">
        <v>96.139399999999995</v>
      </c>
      <c r="BJ35" s="25">
        <v>100</v>
      </c>
      <c r="BK35" s="25">
        <v>100</v>
      </c>
      <c r="BL35" s="25">
        <v>100</v>
      </c>
      <c r="BM35" s="25">
        <v>100</v>
      </c>
      <c r="BN35" s="25">
        <v>100</v>
      </c>
      <c r="BO35" s="25">
        <v>100</v>
      </c>
      <c r="BP35" s="25">
        <v>97.936999999999998</v>
      </c>
      <c r="BQ35" s="25">
        <v>100</v>
      </c>
      <c r="BR35" s="25">
        <v>100</v>
      </c>
      <c r="BS35" s="25">
        <v>100</v>
      </c>
      <c r="BT35" s="25">
        <v>100</v>
      </c>
      <c r="BU35" s="25">
        <v>100</v>
      </c>
      <c r="BV35" s="25">
        <v>100</v>
      </c>
      <c r="BW35" s="25">
        <v>100</v>
      </c>
      <c r="BX35" s="25">
        <v>100</v>
      </c>
      <c r="BY35" s="25">
        <v>99.999800000000008</v>
      </c>
      <c r="BZ35" s="25">
        <v>100</v>
      </c>
      <c r="CA35" s="25">
        <v>100</v>
      </c>
      <c r="CB35" s="25">
        <v>99.498601298701288</v>
      </c>
      <c r="CC35" s="16">
        <v>7661.3923000000004</v>
      </c>
    </row>
    <row r="36" spans="1:81" x14ac:dyDescent="0.25">
      <c r="A36" s="23">
        <v>35</v>
      </c>
      <c r="B36" s="25">
        <v>17</v>
      </c>
      <c r="C36" s="25">
        <v>100</v>
      </c>
      <c r="D36" s="25">
        <v>100</v>
      </c>
      <c r="E36" s="25">
        <v>100</v>
      </c>
      <c r="F36" s="25">
        <v>100</v>
      </c>
      <c r="G36" s="25">
        <v>100</v>
      </c>
      <c r="H36" s="25">
        <v>100</v>
      </c>
      <c r="I36" s="25">
        <v>100</v>
      </c>
      <c r="J36" s="25">
        <v>100</v>
      </c>
      <c r="K36" s="25">
        <v>100</v>
      </c>
      <c r="L36" s="25">
        <v>100</v>
      </c>
      <c r="M36" s="25">
        <v>100</v>
      </c>
      <c r="N36" s="25">
        <v>100</v>
      </c>
      <c r="O36" s="25">
        <v>100</v>
      </c>
      <c r="P36" s="25">
        <v>100</v>
      </c>
      <c r="Q36" s="25">
        <v>100</v>
      </c>
      <c r="R36" s="25">
        <v>100</v>
      </c>
      <c r="S36" s="25">
        <v>100</v>
      </c>
      <c r="T36" s="25">
        <v>100</v>
      </c>
      <c r="U36" s="25">
        <v>100</v>
      </c>
      <c r="V36" s="25">
        <v>94.703599999999994</v>
      </c>
      <c r="W36" s="25">
        <v>100</v>
      </c>
      <c r="X36" s="25">
        <v>100</v>
      </c>
      <c r="Y36" s="25">
        <v>100</v>
      </c>
      <c r="Z36" s="25">
        <v>100</v>
      </c>
      <c r="AA36" s="25">
        <v>97.379300000000001</v>
      </c>
      <c r="AB36" s="25">
        <v>100</v>
      </c>
      <c r="AC36" s="25">
        <v>100</v>
      </c>
      <c r="AD36" s="25">
        <v>100</v>
      </c>
      <c r="AE36" s="25">
        <v>79.14909999999999</v>
      </c>
      <c r="AF36" s="25">
        <v>100</v>
      </c>
      <c r="AG36" s="25">
        <v>100</v>
      </c>
      <c r="AH36" s="25">
        <v>100</v>
      </c>
      <c r="AI36" s="25">
        <v>100</v>
      </c>
      <c r="AJ36" s="25">
        <v>100</v>
      </c>
      <c r="AK36" s="25">
        <v>100</v>
      </c>
      <c r="AL36" s="25">
        <v>100</v>
      </c>
      <c r="AM36" s="25">
        <v>100</v>
      </c>
      <c r="AN36" s="25">
        <v>100</v>
      </c>
      <c r="AO36" s="25">
        <v>100</v>
      </c>
      <c r="AP36" s="25">
        <v>100</v>
      </c>
      <c r="AQ36" s="25">
        <v>100</v>
      </c>
      <c r="AR36" s="25">
        <v>100</v>
      </c>
      <c r="AS36" s="25">
        <v>100</v>
      </c>
      <c r="AT36" s="25">
        <v>100</v>
      </c>
      <c r="AU36" s="25">
        <v>100</v>
      </c>
      <c r="AV36" s="25">
        <v>100</v>
      </c>
      <c r="AW36" s="25">
        <v>100</v>
      </c>
      <c r="AX36" s="25">
        <v>100</v>
      </c>
      <c r="AY36" s="25">
        <v>100</v>
      </c>
      <c r="AZ36" s="25">
        <v>100</v>
      </c>
      <c r="BA36" s="25">
        <v>100</v>
      </c>
      <c r="BB36" s="25">
        <v>100</v>
      </c>
      <c r="BC36" s="25">
        <v>100</v>
      </c>
      <c r="BD36" s="25">
        <v>100</v>
      </c>
      <c r="BE36" s="25">
        <v>100</v>
      </c>
      <c r="BF36" s="25">
        <v>98.340099999999993</v>
      </c>
      <c r="BG36" s="25">
        <v>100</v>
      </c>
      <c r="BH36" s="25">
        <v>100</v>
      </c>
      <c r="BI36" s="25">
        <v>100</v>
      </c>
      <c r="BJ36" s="25">
        <v>100</v>
      </c>
      <c r="BK36" s="25">
        <v>85.876199999999997</v>
      </c>
      <c r="BL36" s="25">
        <v>100</v>
      </c>
      <c r="BM36" s="25">
        <v>100</v>
      </c>
      <c r="BN36" s="25">
        <v>100</v>
      </c>
      <c r="BO36" s="25">
        <v>100</v>
      </c>
      <c r="BP36" s="25">
        <v>79.687899999999999</v>
      </c>
      <c r="BQ36" s="25">
        <v>100</v>
      </c>
      <c r="BR36" s="25">
        <v>100</v>
      </c>
      <c r="BS36" s="25">
        <v>100</v>
      </c>
      <c r="BT36" s="25">
        <v>100</v>
      </c>
      <c r="BU36" s="25">
        <v>100</v>
      </c>
      <c r="BV36" s="25">
        <v>100</v>
      </c>
      <c r="BW36" s="25">
        <v>100</v>
      </c>
      <c r="BX36" s="25">
        <v>100</v>
      </c>
      <c r="BY36" s="25">
        <v>99.999800000000008</v>
      </c>
      <c r="BZ36" s="25">
        <v>100</v>
      </c>
      <c r="CA36" s="25">
        <v>100</v>
      </c>
      <c r="CB36" s="25">
        <v>99.157610389610383</v>
      </c>
      <c r="CC36" s="16">
        <v>7635.1360000000004</v>
      </c>
    </row>
    <row r="37" spans="1:81" x14ac:dyDescent="0.25">
      <c r="A37" s="23">
        <v>36</v>
      </c>
      <c r="B37" s="25">
        <v>17.5</v>
      </c>
      <c r="C37" s="25">
        <v>100</v>
      </c>
      <c r="D37" s="25">
        <v>100</v>
      </c>
      <c r="E37" s="25">
        <v>100</v>
      </c>
      <c r="F37" s="25">
        <v>100</v>
      </c>
      <c r="G37" s="25">
        <v>100</v>
      </c>
      <c r="H37" s="25">
        <v>100</v>
      </c>
      <c r="I37" s="25">
        <v>100</v>
      </c>
      <c r="J37" s="25">
        <v>100</v>
      </c>
      <c r="K37" s="25">
        <v>100</v>
      </c>
      <c r="L37" s="25">
        <v>100</v>
      </c>
      <c r="M37" s="25">
        <v>100</v>
      </c>
      <c r="N37" s="25">
        <v>100</v>
      </c>
      <c r="O37" s="25">
        <v>100</v>
      </c>
      <c r="P37" s="25">
        <v>100</v>
      </c>
      <c r="Q37" s="25">
        <v>100</v>
      </c>
      <c r="R37" s="25">
        <v>86.449299999999994</v>
      </c>
      <c r="S37" s="25">
        <v>100</v>
      </c>
      <c r="T37" s="25">
        <v>100</v>
      </c>
      <c r="U37" s="25">
        <v>100</v>
      </c>
      <c r="V37" s="25">
        <v>94.599599999999995</v>
      </c>
      <c r="W37" s="25">
        <v>100</v>
      </c>
      <c r="X37" s="25">
        <v>94.318899999999999</v>
      </c>
      <c r="Y37" s="25">
        <v>100</v>
      </c>
      <c r="Z37" s="25">
        <v>100</v>
      </c>
      <c r="AA37" s="25">
        <v>100</v>
      </c>
      <c r="AB37" s="25">
        <v>100</v>
      </c>
      <c r="AC37" s="25">
        <v>100</v>
      </c>
      <c r="AD37" s="25">
        <v>100</v>
      </c>
      <c r="AE37" s="25">
        <v>84.010999999999996</v>
      </c>
      <c r="AF37" s="25">
        <v>100</v>
      </c>
      <c r="AG37" s="25">
        <v>100</v>
      </c>
      <c r="AH37" s="25">
        <v>100</v>
      </c>
      <c r="AI37" s="25">
        <v>100</v>
      </c>
      <c r="AJ37" s="25">
        <v>100</v>
      </c>
      <c r="AK37" s="25">
        <v>100</v>
      </c>
      <c r="AL37" s="25">
        <v>91.497900000000001</v>
      </c>
      <c r="AM37" s="25">
        <v>100</v>
      </c>
      <c r="AN37" s="25">
        <v>100</v>
      </c>
      <c r="AO37" s="25">
        <v>100</v>
      </c>
      <c r="AP37" s="25">
        <v>100</v>
      </c>
      <c r="AQ37" s="25">
        <v>100</v>
      </c>
      <c r="AR37" s="25">
        <v>100</v>
      </c>
      <c r="AS37" s="25">
        <v>100</v>
      </c>
      <c r="AT37" s="25">
        <v>100</v>
      </c>
      <c r="AU37" s="25">
        <v>100</v>
      </c>
      <c r="AV37" s="25">
        <v>100</v>
      </c>
      <c r="AW37" s="25">
        <v>100</v>
      </c>
      <c r="AX37" s="25">
        <v>100</v>
      </c>
      <c r="AY37" s="25">
        <v>100</v>
      </c>
      <c r="AZ37" s="25">
        <v>99.893200000000007</v>
      </c>
      <c r="BA37" s="25">
        <v>100</v>
      </c>
      <c r="BB37" s="25">
        <v>83.053399999999996</v>
      </c>
      <c r="BC37" s="25">
        <v>100</v>
      </c>
      <c r="BD37" s="25">
        <v>100</v>
      </c>
      <c r="BE37" s="25">
        <v>100</v>
      </c>
      <c r="BF37" s="25">
        <v>94.097999999999999</v>
      </c>
      <c r="BG37" s="25">
        <v>90.3245</v>
      </c>
      <c r="BH37" s="25">
        <v>100</v>
      </c>
      <c r="BI37" s="25">
        <v>100</v>
      </c>
      <c r="BJ37" s="25">
        <v>100</v>
      </c>
      <c r="BK37" s="25">
        <v>58.360700000000001</v>
      </c>
      <c r="BL37" s="25">
        <v>100</v>
      </c>
      <c r="BM37" s="25">
        <v>100</v>
      </c>
      <c r="BN37" s="25">
        <v>100</v>
      </c>
      <c r="BO37" s="25">
        <v>100</v>
      </c>
      <c r="BP37" s="25">
        <v>87.010199999999998</v>
      </c>
      <c r="BQ37" s="25">
        <v>100</v>
      </c>
      <c r="BR37" s="25">
        <v>100</v>
      </c>
      <c r="BS37" s="25">
        <v>100</v>
      </c>
      <c r="BT37" s="25">
        <v>100</v>
      </c>
      <c r="BU37" s="25">
        <v>100</v>
      </c>
      <c r="BV37" s="25">
        <v>100</v>
      </c>
      <c r="BW37" s="25">
        <v>100</v>
      </c>
      <c r="BX37" s="25">
        <v>100</v>
      </c>
      <c r="BY37" s="25">
        <v>99.999800000000008</v>
      </c>
      <c r="BZ37" s="25">
        <v>100</v>
      </c>
      <c r="CA37" s="25">
        <v>100</v>
      </c>
      <c r="CB37" s="25">
        <v>98.228785714285706</v>
      </c>
      <c r="CC37" s="16">
        <v>7563.6164999999992</v>
      </c>
    </row>
    <row r="38" spans="1:81" x14ac:dyDescent="0.25">
      <c r="A38" s="23">
        <v>37</v>
      </c>
      <c r="B38" s="25">
        <v>18</v>
      </c>
      <c r="C38" s="25">
        <v>100</v>
      </c>
      <c r="D38" s="25">
        <v>100</v>
      </c>
      <c r="E38" s="25">
        <v>100</v>
      </c>
      <c r="F38" s="25">
        <v>100</v>
      </c>
      <c r="G38" s="25">
        <v>100</v>
      </c>
      <c r="H38" s="25">
        <v>98.628099999999989</v>
      </c>
      <c r="I38" s="25">
        <v>100</v>
      </c>
      <c r="J38" s="25">
        <v>100</v>
      </c>
      <c r="K38" s="25">
        <v>100</v>
      </c>
      <c r="L38" s="25">
        <v>100</v>
      </c>
      <c r="M38" s="25">
        <v>100</v>
      </c>
      <c r="N38" s="25">
        <v>86.583500000000001</v>
      </c>
      <c r="O38" s="25">
        <v>100</v>
      </c>
      <c r="P38" s="25">
        <v>100</v>
      </c>
      <c r="Q38" s="25">
        <v>100</v>
      </c>
      <c r="R38" s="25">
        <v>85.602800000000002</v>
      </c>
      <c r="S38" s="25">
        <v>100</v>
      </c>
      <c r="T38" s="25">
        <v>100</v>
      </c>
      <c r="U38" s="25">
        <v>100</v>
      </c>
      <c r="V38" s="25">
        <v>96.745800000000003</v>
      </c>
      <c r="W38" s="25">
        <v>100</v>
      </c>
      <c r="X38" s="25">
        <v>93.576099999999997</v>
      </c>
      <c r="Y38" s="25">
        <v>100</v>
      </c>
      <c r="Z38" s="25">
        <v>100</v>
      </c>
      <c r="AA38" s="25">
        <v>100</v>
      </c>
      <c r="AB38" s="25">
        <v>100</v>
      </c>
      <c r="AC38" s="25">
        <v>100</v>
      </c>
      <c r="AD38" s="25">
        <v>100</v>
      </c>
      <c r="AE38" s="25">
        <v>86.480900000000005</v>
      </c>
      <c r="AF38" s="25">
        <v>100</v>
      </c>
      <c r="AG38" s="25">
        <v>100</v>
      </c>
      <c r="AH38" s="25">
        <v>100</v>
      </c>
      <c r="AI38" s="25">
        <v>100</v>
      </c>
      <c r="AJ38" s="25">
        <v>100</v>
      </c>
      <c r="AK38" s="25">
        <v>100</v>
      </c>
      <c r="AL38" s="25">
        <v>81.782600000000002</v>
      </c>
      <c r="AM38" s="25">
        <v>100</v>
      </c>
      <c r="AN38" s="25">
        <v>100</v>
      </c>
      <c r="AO38" s="25">
        <v>100</v>
      </c>
      <c r="AP38" s="25">
        <v>100</v>
      </c>
      <c r="AQ38" s="25">
        <v>100</v>
      </c>
      <c r="AR38" s="25">
        <v>100</v>
      </c>
      <c r="AS38" s="25">
        <v>100</v>
      </c>
      <c r="AT38" s="25">
        <v>100</v>
      </c>
      <c r="AU38" s="25">
        <v>100</v>
      </c>
      <c r="AV38" s="25">
        <v>100</v>
      </c>
      <c r="AW38" s="25">
        <v>100</v>
      </c>
      <c r="AX38" s="25">
        <v>100</v>
      </c>
      <c r="AY38" s="25">
        <v>100</v>
      </c>
      <c r="AZ38" s="25">
        <v>85.599000000000004</v>
      </c>
      <c r="BA38" s="25">
        <v>100</v>
      </c>
      <c r="BB38" s="25">
        <v>95.510999999999996</v>
      </c>
      <c r="BC38" s="25">
        <v>100</v>
      </c>
      <c r="BD38" s="25">
        <v>100</v>
      </c>
      <c r="BE38" s="25">
        <v>100</v>
      </c>
      <c r="BF38" s="25">
        <v>85.667099999999991</v>
      </c>
      <c r="BG38" s="25">
        <v>88.783299999999997</v>
      </c>
      <c r="BH38" s="25">
        <v>100</v>
      </c>
      <c r="BI38" s="25">
        <v>94.992400000000004</v>
      </c>
      <c r="BJ38" s="25">
        <v>100</v>
      </c>
      <c r="BK38" s="25">
        <v>60.232600000000012</v>
      </c>
      <c r="BL38" s="25">
        <v>100</v>
      </c>
      <c r="BM38" s="25">
        <v>100</v>
      </c>
      <c r="BN38" s="25">
        <v>100</v>
      </c>
      <c r="BO38" s="25">
        <v>100</v>
      </c>
      <c r="BP38" s="25">
        <v>74.5351</v>
      </c>
      <c r="BQ38" s="25">
        <v>100</v>
      </c>
      <c r="BR38" s="25">
        <v>100</v>
      </c>
      <c r="BS38" s="25">
        <v>100</v>
      </c>
      <c r="BT38" s="25">
        <v>100</v>
      </c>
      <c r="BU38" s="25">
        <v>100</v>
      </c>
      <c r="BV38" s="25">
        <v>97.215500000000006</v>
      </c>
      <c r="BW38" s="25">
        <v>100</v>
      </c>
      <c r="BX38" s="25">
        <v>100</v>
      </c>
      <c r="BY38" s="25">
        <v>99.999800000000008</v>
      </c>
      <c r="BZ38" s="25">
        <v>100</v>
      </c>
      <c r="CA38" s="25">
        <v>100</v>
      </c>
      <c r="CB38" s="25">
        <v>97.557605194805205</v>
      </c>
      <c r="CC38" s="16">
        <v>7511.9356000000007</v>
      </c>
    </row>
    <row r="39" spans="1:81" x14ac:dyDescent="0.25">
      <c r="A39" s="23">
        <v>38</v>
      </c>
      <c r="B39" s="25">
        <v>18.5</v>
      </c>
      <c r="C39" s="25">
        <v>100</v>
      </c>
      <c r="D39" s="25">
        <v>100</v>
      </c>
      <c r="E39" s="25">
        <v>100</v>
      </c>
      <c r="F39" s="25">
        <v>100</v>
      </c>
      <c r="G39" s="25">
        <v>100</v>
      </c>
      <c r="H39" s="25">
        <v>74.69019999999999</v>
      </c>
      <c r="I39" s="25">
        <v>100</v>
      </c>
      <c r="J39" s="25">
        <v>100</v>
      </c>
      <c r="K39" s="25">
        <v>100</v>
      </c>
      <c r="L39" s="25">
        <v>99.302000000000007</v>
      </c>
      <c r="M39" s="25">
        <v>100</v>
      </c>
      <c r="N39" s="25">
        <v>87.558000000000007</v>
      </c>
      <c r="O39" s="25">
        <v>100</v>
      </c>
      <c r="P39" s="25">
        <v>100</v>
      </c>
      <c r="Q39" s="25">
        <v>99.662300000000002</v>
      </c>
      <c r="R39" s="25">
        <v>85.766400000000004</v>
      </c>
      <c r="S39" s="25">
        <v>100</v>
      </c>
      <c r="T39" s="25">
        <v>100</v>
      </c>
      <c r="U39" s="25">
        <v>100</v>
      </c>
      <c r="V39" s="25">
        <v>96.0291</v>
      </c>
      <c r="W39" s="25">
        <v>100</v>
      </c>
      <c r="X39" s="25">
        <v>80.764499999999998</v>
      </c>
      <c r="Y39" s="25">
        <v>100</v>
      </c>
      <c r="Z39" s="25">
        <v>100</v>
      </c>
      <c r="AA39" s="25">
        <v>100</v>
      </c>
      <c r="AB39" s="25">
        <v>100</v>
      </c>
      <c r="AC39" s="25">
        <v>100</v>
      </c>
      <c r="AD39" s="25">
        <v>100</v>
      </c>
      <c r="AE39" s="25">
        <v>72.632800000000003</v>
      </c>
      <c r="AF39" s="25">
        <v>100</v>
      </c>
      <c r="AG39" s="25">
        <v>100</v>
      </c>
      <c r="AH39" s="25">
        <v>100</v>
      </c>
      <c r="AI39" s="25">
        <v>100</v>
      </c>
      <c r="AJ39" s="25">
        <v>98.017899999999997</v>
      </c>
      <c r="AK39" s="25">
        <v>100</v>
      </c>
      <c r="AL39" s="25">
        <v>83.536600000000007</v>
      </c>
      <c r="AM39" s="25">
        <v>100</v>
      </c>
      <c r="AN39" s="25">
        <v>100</v>
      </c>
      <c r="AO39" s="25">
        <v>100</v>
      </c>
      <c r="AP39" s="25">
        <v>100</v>
      </c>
      <c r="AQ39" s="25">
        <v>100</v>
      </c>
      <c r="AR39" s="25">
        <v>100</v>
      </c>
      <c r="AS39" s="25">
        <v>100</v>
      </c>
      <c r="AT39" s="25">
        <v>100</v>
      </c>
      <c r="AU39" s="25">
        <v>100</v>
      </c>
      <c r="AV39" s="25">
        <v>100</v>
      </c>
      <c r="AW39" s="25">
        <v>100</v>
      </c>
      <c r="AX39" s="25">
        <v>100</v>
      </c>
      <c r="AY39" s="25">
        <v>100</v>
      </c>
      <c r="AZ39" s="25">
        <v>87.069500000000005</v>
      </c>
      <c r="BA39" s="25">
        <v>100</v>
      </c>
      <c r="BB39" s="25">
        <v>91.161799999999999</v>
      </c>
      <c r="BC39" s="25">
        <v>100</v>
      </c>
      <c r="BD39" s="25">
        <v>100</v>
      </c>
      <c r="BE39" s="25">
        <v>100</v>
      </c>
      <c r="BF39" s="25">
        <v>79.400000000000006</v>
      </c>
      <c r="BG39" s="25">
        <v>80.740900000000011</v>
      </c>
      <c r="BH39" s="25">
        <v>100</v>
      </c>
      <c r="BI39" s="25">
        <v>89.112400000000008</v>
      </c>
      <c r="BJ39" s="25">
        <v>100</v>
      </c>
      <c r="BK39" s="25">
        <v>45.050899999999999</v>
      </c>
      <c r="BL39" s="25">
        <v>100</v>
      </c>
      <c r="BM39" s="25">
        <v>100</v>
      </c>
      <c r="BN39" s="25">
        <v>100</v>
      </c>
      <c r="BO39" s="25">
        <v>100</v>
      </c>
      <c r="BP39" s="25">
        <v>31.167000000000002</v>
      </c>
      <c r="BQ39" s="25">
        <v>100</v>
      </c>
      <c r="BR39" s="25">
        <v>100</v>
      </c>
      <c r="BS39" s="25">
        <v>100</v>
      </c>
      <c r="BT39" s="25">
        <v>99.843800000000002</v>
      </c>
      <c r="BU39" s="25">
        <v>79.622299999999996</v>
      </c>
      <c r="BV39" s="25">
        <v>100</v>
      </c>
      <c r="BW39" s="25">
        <v>100</v>
      </c>
      <c r="BX39" s="25">
        <v>100</v>
      </c>
      <c r="BY39" s="25">
        <v>99.999800000000008</v>
      </c>
      <c r="BZ39" s="25">
        <v>100</v>
      </c>
      <c r="CA39" s="25">
        <v>100</v>
      </c>
      <c r="CB39" s="25">
        <v>95.599067532467515</v>
      </c>
      <c r="CC39" s="16">
        <v>7361.1281999999983</v>
      </c>
    </row>
    <row r="40" spans="1:81" x14ac:dyDescent="0.25">
      <c r="A40" s="23">
        <v>39</v>
      </c>
      <c r="B40" s="25">
        <v>19</v>
      </c>
      <c r="C40" s="25">
        <v>100</v>
      </c>
      <c r="D40" s="25">
        <v>100</v>
      </c>
      <c r="E40" s="25">
        <v>100</v>
      </c>
      <c r="F40" s="25">
        <v>100</v>
      </c>
      <c r="G40" s="25">
        <v>100</v>
      </c>
      <c r="H40" s="25">
        <v>72.497599999999991</v>
      </c>
      <c r="I40" s="25">
        <v>100</v>
      </c>
      <c r="J40" s="25">
        <v>100</v>
      </c>
      <c r="K40" s="25">
        <v>98.106300000000005</v>
      </c>
      <c r="L40" s="25">
        <v>98.576799999999992</v>
      </c>
      <c r="M40" s="25">
        <v>100</v>
      </c>
      <c r="N40" s="25">
        <v>57.042900000000003</v>
      </c>
      <c r="O40" s="25">
        <v>100</v>
      </c>
      <c r="P40" s="25">
        <v>100</v>
      </c>
      <c r="Q40" s="25">
        <v>100</v>
      </c>
      <c r="R40" s="25">
        <v>81.631600000000006</v>
      </c>
      <c r="S40" s="25">
        <v>100</v>
      </c>
      <c r="T40" s="25">
        <v>100</v>
      </c>
      <c r="U40" s="25">
        <v>100</v>
      </c>
      <c r="V40" s="25">
        <v>90.070999999999998</v>
      </c>
      <c r="W40" s="25">
        <v>100</v>
      </c>
      <c r="X40" s="25">
        <v>81.235699999999994</v>
      </c>
      <c r="Y40" s="25">
        <v>100</v>
      </c>
      <c r="Z40" s="25">
        <v>100</v>
      </c>
      <c r="AA40" s="25">
        <v>100</v>
      </c>
      <c r="AB40" s="25">
        <v>100</v>
      </c>
      <c r="AC40" s="25">
        <v>100</v>
      </c>
      <c r="AD40" s="25">
        <v>100</v>
      </c>
      <c r="AE40" s="25">
        <v>32.085900000000002</v>
      </c>
      <c r="AF40" s="25">
        <v>100</v>
      </c>
      <c r="AG40" s="25">
        <v>100</v>
      </c>
      <c r="AH40" s="25">
        <v>100</v>
      </c>
      <c r="AI40" s="25">
        <v>100</v>
      </c>
      <c r="AJ40" s="25">
        <v>97.661000000000001</v>
      </c>
      <c r="AK40" s="25">
        <v>100</v>
      </c>
      <c r="AL40" s="25">
        <v>86.743300000000005</v>
      </c>
      <c r="AM40" s="25">
        <v>100</v>
      </c>
      <c r="AN40" s="25">
        <v>100</v>
      </c>
      <c r="AO40" s="25">
        <v>100</v>
      </c>
      <c r="AP40" s="25">
        <v>100</v>
      </c>
      <c r="AQ40" s="25">
        <v>100</v>
      </c>
      <c r="AR40" s="25">
        <v>100</v>
      </c>
      <c r="AS40" s="25">
        <v>100</v>
      </c>
      <c r="AT40" s="25">
        <v>100</v>
      </c>
      <c r="AU40" s="25">
        <v>99.127899999999997</v>
      </c>
      <c r="AV40" s="25">
        <v>99.9315</v>
      </c>
      <c r="AW40" s="25">
        <v>100</v>
      </c>
      <c r="AX40" s="25">
        <v>100</v>
      </c>
      <c r="AY40" s="25">
        <v>99.760099999999994</v>
      </c>
      <c r="AZ40" s="25">
        <v>87.423199999999994</v>
      </c>
      <c r="BA40" s="25">
        <v>100</v>
      </c>
      <c r="BB40" s="25">
        <v>94.943399999999997</v>
      </c>
      <c r="BC40" s="25">
        <v>100</v>
      </c>
      <c r="BD40" s="25">
        <v>100</v>
      </c>
      <c r="BE40" s="25">
        <v>100</v>
      </c>
      <c r="BF40" s="25">
        <v>78.620599999999996</v>
      </c>
      <c r="BG40" s="25">
        <v>76.681399999999996</v>
      </c>
      <c r="BH40" s="25">
        <v>100</v>
      </c>
      <c r="BI40" s="25">
        <v>89.030299999999997</v>
      </c>
      <c r="BJ40" s="25">
        <v>100</v>
      </c>
      <c r="BK40" s="25">
        <v>46.285499999999999</v>
      </c>
      <c r="BL40" s="25">
        <v>100</v>
      </c>
      <c r="BM40" s="25">
        <v>100</v>
      </c>
      <c r="BN40" s="25">
        <v>100</v>
      </c>
      <c r="BO40" s="25">
        <v>100</v>
      </c>
      <c r="BP40" s="25">
        <v>10</v>
      </c>
      <c r="BQ40" s="25">
        <v>100</v>
      </c>
      <c r="BR40" s="25">
        <v>100</v>
      </c>
      <c r="BS40" s="25">
        <v>100</v>
      </c>
      <c r="BT40" s="25">
        <v>97.0047</v>
      </c>
      <c r="BU40" s="25">
        <v>75.72290000000001</v>
      </c>
      <c r="BV40" s="25">
        <v>100</v>
      </c>
      <c r="BW40" s="25">
        <v>100</v>
      </c>
      <c r="BX40" s="25">
        <v>100</v>
      </c>
      <c r="BY40" s="25">
        <v>99.999800000000008</v>
      </c>
      <c r="BZ40" s="25">
        <v>100</v>
      </c>
      <c r="CA40" s="25">
        <v>100</v>
      </c>
      <c r="CB40" s="25">
        <v>94.158225974025996</v>
      </c>
      <c r="CC40" s="16">
        <v>7250.1834000000017</v>
      </c>
    </row>
    <row r="41" spans="1:81" x14ac:dyDescent="0.25">
      <c r="A41" s="23">
        <v>40</v>
      </c>
      <c r="B41" s="25">
        <v>19.5</v>
      </c>
      <c r="C41" s="25">
        <v>100</v>
      </c>
      <c r="D41" s="25">
        <v>100</v>
      </c>
      <c r="E41" s="25">
        <v>97.623099999999994</v>
      </c>
      <c r="F41" s="25">
        <v>100</v>
      </c>
      <c r="G41" s="25">
        <v>100</v>
      </c>
      <c r="H41" s="25">
        <v>69.554199999999994</v>
      </c>
      <c r="I41" s="25">
        <v>97.920200000000008</v>
      </c>
      <c r="J41" s="25">
        <v>99.318200000000004</v>
      </c>
      <c r="K41" s="25">
        <v>98.536500000000004</v>
      </c>
      <c r="L41" s="25">
        <v>92.744</v>
      </c>
      <c r="M41" s="25">
        <v>100</v>
      </c>
      <c r="N41" s="25">
        <v>51.4649</v>
      </c>
      <c r="O41" s="25">
        <v>100</v>
      </c>
      <c r="P41" s="25">
        <v>97.765799999999999</v>
      </c>
      <c r="Q41" s="25">
        <v>92.051400000000001</v>
      </c>
      <c r="R41" s="25">
        <v>78.484699999999989</v>
      </c>
      <c r="S41" s="25">
        <v>100</v>
      </c>
      <c r="T41" s="25">
        <v>100</v>
      </c>
      <c r="U41" s="25">
        <v>100</v>
      </c>
      <c r="V41" s="25">
        <v>91.315299999999993</v>
      </c>
      <c r="W41" s="25">
        <v>100</v>
      </c>
      <c r="X41" s="25">
        <v>82.434899999999999</v>
      </c>
      <c r="Y41" s="25">
        <v>100</v>
      </c>
      <c r="Z41" s="25">
        <v>100</v>
      </c>
      <c r="AA41" s="25">
        <v>100</v>
      </c>
      <c r="AB41" s="25">
        <v>100</v>
      </c>
      <c r="AC41" s="25">
        <v>100</v>
      </c>
      <c r="AD41" s="25">
        <v>99.099000000000004</v>
      </c>
      <c r="AE41" s="25">
        <v>10</v>
      </c>
      <c r="AF41" s="25">
        <v>100</v>
      </c>
      <c r="AG41" s="25">
        <v>100</v>
      </c>
      <c r="AH41" s="25">
        <v>99.515500000000003</v>
      </c>
      <c r="AI41" s="25">
        <v>97.492699999999999</v>
      </c>
      <c r="AJ41" s="25">
        <v>79.167299999999997</v>
      </c>
      <c r="AK41" s="25">
        <v>98.482099999999988</v>
      </c>
      <c r="AL41" s="25">
        <v>85.163199999999989</v>
      </c>
      <c r="AM41" s="25">
        <v>100</v>
      </c>
      <c r="AN41" s="25">
        <v>100</v>
      </c>
      <c r="AO41" s="25">
        <v>100</v>
      </c>
      <c r="AP41" s="25">
        <v>100</v>
      </c>
      <c r="AQ41" s="25">
        <v>100</v>
      </c>
      <c r="AR41" s="25">
        <v>99.627499999999998</v>
      </c>
      <c r="AS41" s="25">
        <v>100</v>
      </c>
      <c r="AT41" s="25">
        <v>100</v>
      </c>
      <c r="AU41" s="25">
        <v>100</v>
      </c>
      <c r="AV41" s="25">
        <v>99.48</v>
      </c>
      <c r="AW41" s="25">
        <v>100</v>
      </c>
      <c r="AX41" s="25">
        <v>100</v>
      </c>
      <c r="AY41" s="25">
        <v>100</v>
      </c>
      <c r="AZ41" s="25">
        <v>88.2256</v>
      </c>
      <c r="BA41" s="25">
        <v>99.870800000000003</v>
      </c>
      <c r="BB41" s="25">
        <v>97.089500000000001</v>
      </c>
      <c r="BC41" s="25">
        <v>99.760499999999993</v>
      </c>
      <c r="BD41" s="25">
        <v>100</v>
      </c>
      <c r="BE41" s="25">
        <v>100</v>
      </c>
      <c r="BF41" s="25">
        <v>77.301000000000002</v>
      </c>
      <c r="BG41" s="25">
        <v>64.616799999999998</v>
      </c>
      <c r="BH41" s="25">
        <v>99.973299999999995</v>
      </c>
      <c r="BI41" s="25">
        <v>88.929299999999998</v>
      </c>
      <c r="BJ41" s="25">
        <v>100</v>
      </c>
      <c r="BK41" s="25">
        <v>29.007400000000001</v>
      </c>
      <c r="BL41" s="25">
        <v>100</v>
      </c>
      <c r="BM41" s="25">
        <v>100</v>
      </c>
      <c r="BN41" s="25">
        <v>92.438699999999997</v>
      </c>
      <c r="BO41" s="25">
        <v>100</v>
      </c>
      <c r="BP41" s="25">
        <v>10</v>
      </c>
      <c r="BQ41" s="25">
        <v>100</v>
      </c>
      <c r="BR41" s="25">
        <v>100</v>
      </c>
      <c r="BS41" s="25">
        <v>100</v>
      </c>
      <c r="BT41" s="25">
        <v>93.70920000000001</v>
      </c>
      <c r="BU41" s="25">
        <v>48.642000000000003</v>
      </c>
      <c r="BV41" s="25">
        <v>100</v>
      </c>
      <c r="BW41" s="25">
        <v>100</v>
      </c>
      <c r="BX41" s="25">
        <v>99.5364</v>
      </c>
      <c r="BY41" s="25">
        <v>98.562300000000008</v>
      </c>
      <c r="BZ41" s="25">
        <v>99.575800000000001</v>
      </c>
      <c r="CA41" s="25">
        <v>96.004800000000003</v>
      </c>
      <c r="CB41" s="25">
        <v>92.214076623376599</v>
      </c>
      <c r="CC41" s="16">
        <v>7100.4838999999984</v>
      </c>
    </row>
    <row r="42" spans="1:81" x14ac:dyDescent="0.25">
      <c r="A42" s="23">
        <v>41</v>
      </c>
      <c r="B42" s="25">
        <v>20</v>
      </c>
      <c r="C42" s="25">
        <v>95.602100000000007</v>
      </c>
      <c r="D42" s="25">
        <v>100</v>
      </c>
      <c r="E42" s="25">
        <v>81.650100000000009</v>
      </c>
      <c r="F42" s="25">
        <v>99.291700000000006</v>
      </c>
      <c r="G42" s="25">
        <v>98.955800000000011</v>
      </c>
      <c r="H42" s="25">
        <v>61.185699999999997</v>
      </c>
      <c r="I42" s="25">
        <v>89.95450000000001</v>
      </c>
      <c r="J42" s="25">
        <v>99.498699999999999</v>
      </c>
      <c r="K42" s="25">
        <v>96.385600000000011</v>
      </c>
      <c r="L42" s="25">
        <v>83.11460000000001</v>
      </c>
      <c r="M42" s="25">
        <v>97.0321</v>
      </c>
      <c r="N42" s="25">
        <v>46.854500000000002</v>
      </c>
      <c r="O42" s="25">
        <v>97.662000000000006</v>
      </c>
      <c r="P42" s="25">
        <v>97.249899999999997</v>
      </c>
      <c r="Q42" s="25">
        <v>81.243899999999996</v>
      </c>
      <c r="R42" s="25">
        <v>74.853099999999998</v>
      </c>
      <c r="S42" s="25">
        <v>96.121600000000001</v>
      </c>
      <c r="T42" s="25">
        <v>93.247599999999991</v>
      </c>
      <c r="U42" s="25">
        <v>98.513799999999989</v>
      </c>
      <c r="V42" s="25">
        <v>87.575400000000002</v>
      </c>
      <c r="W42" s="25">
        <v>95.762100000000004</v>
      </c>
      <c r="X42" s="25">
        <v>79.310400000000001</v>
      </c>
      <c r="Y42" s="25">
        <v>100</v>
      </c>
      <c r="Z42" s="25">
        <v>100</v>
      </c>
      <c r="AA42" s="25">
        <v>99.740099999999998</v>
      </c>
      <c r="AB42" s="25">
        <v>94.218500000000006</v>
      </c>
      <c r="AC42" s="25">
        <v>98.894300000000001</v>
      </c>
      <c r="AD42" s="25">
        <v>95.801999999999992</v>
      </c>
      <c r="AE42" s="25">
        <v>10</v>
      </c>
      <c r="AF42" s="25">
        <v>98.277599999999993</v>
      </c>
      <c r="AG42" s="25">
        <v>98.2333</v>
      </c>
      <c r="AH42" s="25">
        <v>94.852599999999995</v>
      </c>
      <c r="AI42" s="25">
        <v>93.08189999999999</v>
      </c>
      <c r="AJ42" s="25">
        <v>67.404200000000003</v>
      </c>
      <c r="AK42" s="25">
        <v>91.32050000000001</v>
      </c>
      <c r="AL42" s="25">
        <v>85.218400000000003</v>
      </c>
      <c r="AM42" s="25">
        <v>94.13</v>
      </c>
      <c r="AN42" s="25">
        <v>99.423699999999997</v>
      </c>
      <c r="AO42" s="25">
        <v>100</v>
      </c>
      <c r="AP42" s="25">
        <v>98.814400000000006</v>
      </c>
      <c r="AQ42" s="25">
        <v>93.004199999999997</v>
      </c>
      <c r="AR42" s="25">
        <v>93.6785</v>
      </c>
      <c r="AS42" s="25">
        <v>92.643799999999999</v>
      </c>
      <c r="AT42" s="25">
        <v>97.369100000000003</v>
      </c>
      <c r="AU42" s="25">
        <v>96.328000000000003</v>
      </c>
      <c r="AV42" s="25">
        <v>94.911900000000003</v>
      </c>
      <c r="AW42" s="25">
        <v>93.758300000000006</v>
      </c>
      <c r="AX42" s="25">
        <v>99.731200000000001</v>
      </c>
      <c r="AY42" s="25">
        <v>97.251000000000005</v>
      </c>
      <c r="AZ42" s="25">
        <v>83.728700000000003</v>
      </c>
      <c r="BA42" s="25">
        <v>93.499499999999998</v>
      </c>
      <c r="BB42" s="25">
        <v>92.394900000000007</v>
      </c>
      <c r="BC42" s="25">
        <v>97.502600000000001</v>
      </c>
      <c r="BD42" s="25">
        <v>96.289599999999993</v>
      </c>
      <c r="BE42" s="25">
        <v>100</v>
      </c>
      <c r="BF42" s="25">
        <v>72.0809</v>
      </c>
      <c r="BG42" s="25">
        <v>64.123599999999996</v>
      </c>
      <c r="BH42" s="25">
        <v>92.328900000000004</v>
      </c>
      <c r="BI42" s="25">
        <v>82.751400000000004</v>
      </c>
      <c r="BJ42" s="25">
        <v>97.085599999999999</v>
      </c>
      <c r="BK42" s="25">
        <v>13.254099999999999</v>
      </c>
      <c r="BL42" s="25">
        <v>91.486000000000004</v>
      </c>
      <c r="BM42" s="25">
        <v>95.641800000000003</v>
      </c>
      <c r="BN42" s="25">
        <v>83.523400000000009</v>
      </c>
      <c r="BO42" s="25">
        <v>99.418499999999995</v>
      </c>
      <c r="BP42" s="25">
        <v>10</v>
      </c>
      <c r="BQ42" s="25">
        <v>99.405000000000001</v>
      </c>
      <c r="BR42" s="25">
        <v>97.739200000000011</v>
      </c>
      <c r="BS42" s="25">
        <v>91.3215</v>
      </c>
      <c r="BT42" s="25">
        <v>92.606200000000001</v>
      </c>
      <c r="BU42" s="25">
        <v>44.173699999999997</v>
      </c>
      <c r="BV42" s="25">
        <v>99.919800000000009</v>
      </c>
      <c r="BW42" s="25">
        <v>98.627499999999998</v>
      </c>
      <c r="BX42" s="25">
        <v>95.559799999999996</v>
      </c>
      <c r="BY42" s="25">
        <v>96.082800000000006</v>
      </c>
      <c r="BZ42" s="25">
        <v>96.521900000000002</v>
      </c>
      <c r="CA42" s="25">
        <v>90.849199999999996</v>
      </c>
      <c r="CB42" s="25">
        <v>88.273620779220778</v>
      </c>
      <c r="CC42" s="16">
        <v>6797.0688</v>
      </c>
    </row>
    <row r="43" spans="1:81" x14ac:dyDescent="0.25">
      <c r="A43" s="23">
        <v>42</v>
      </c>
      <c r="B43" s="25">
        <v>20.5</v>
      </c>
      <c r="C43" s="25">
        <v>83.2333</v>
      </c>
      <c r="D43" s="25">
        <v>97.867899999999992</v>
      </c>
      <c r="E43" s="25">
        <v>75.858899999999991</v>
      </c>
      <c r="F43" s="25">
        <v>98.67580000000001</v>
      </c>
      <c r="G43" s="25">
        <v>98.451599999999999</v>
      </c>
      <c r="H43" s="25">
        <v>51.5884</v>
      </c>
      <c r="I43" s="25">
        <v>76.722200000000001</v>
      </c>
      <c r="J43" s="25">
        <v>96.031599999999997</v>
      </c>
      <c r="K43" s="25">
        <v>91.251000000000005</v>
      </c>
      <c r="L43" s="25">
        <v>65.253500000000003</v>
      </c>
      <c r="M43" s="25">
        <v>93.336399999999998</v>
      </c>
      <c r="N43" s="25">
        <v>40.906199999999998</v>
      </c>
      <c r="O43" s="25">
        <v>92.286299999999997</v>
      </c>
      <c r="P43" s="25">
        <v>93.701400000000007</v>
      </c>
      <c r="Q43" s="25">
        <v>62.006799999999998</v>
      </c>
      <c r="R43" s="25">
        <v>68.920699999999997</v>
      </c>
      <c r="S43" s="25">
        <v>72.714299999999994</v>
      </c>
      <c r="T43" s="25">
        <v>89.373699999999999</v>
      </c>
      <c r="U43" s="25">
        <v>98.141100000000009</v>
      </c>
      <c r="V43" s="25">
        <v>83.364799999999988</v>
      </c>
      <c r="W43" s="25">
        <v>88.326300000000003</v>
      </c>
      <c r="X43" s="25">
        <v>75.497199999999992</v>
      </c>
      <c r="Y43" s="25">
        <v>98.3596</v>
      </c>
      <c r="Z43" s="25">
        <v>99.495800000000003</v>
      </c>
      <c r="AA43" s="25">
        <v>97.581299999999999</v>
      </c>
      <c r="AB43" s="25">
        <v>83.978200000000001</v>
      </c>
      <c r="AC43" s="25">
        <v>97.051299999999998</v>
      </c>
      <c r="AD43" s="25">
        <v>87.644100000000009</v>
      </c>
      <c r="AE43" s="25">
        <v>10</v>
      </c>
      <c r="AF43" s="25">
        <v>95.50269999999999</v>
      </c>
      <c r="AG43" s="25">
        <v>91.296900000000008</v>
      </c>
      <c r="AH43" s="25">
        <v>87.728799999999993</v>
      </c>
      <c r="AI43" s="25">
        <v>87.826899999999995</v>
      </c>
      <c r="AJ43" s="25">
        <v>52.553199999999997</v>
      </c>
      <c r="AK43" s="25">
        <v>79.890500000000003</v>
      </c>
      <c r="AL43" s="25">
        <v>82.652900000000002</v>
      </c>
      <c r="AM43" s="25">
        <v>85.77709999999999</v>
      </c>
      <c r="AN43" s="25">
        <v>98.162000000000006</v>
      </c>
      <c r="AO43" s="25">
        <v>98.810500000000005</v>
      </c>
      <c r="AP43" s="25">
        <v>93.266800000000003</v>
      </c>
      <c r="AQ43" s="25">
        <v>86.198999999999998</v>
      </c>
      <c r="AR43" s="25">
        <v>87.868400000000008</v>
      </c>
      <c r="AS43" s="25">
        <v>83.292600000000007</v>
      </c>
      <c r="AT43" s="25">
        <v>95.305700000000002</v>
      </c>
      <c r="AU43" s="25">
        <v>89.418800000000005</v>
      </c>
      <c r="AV43" s="25">
        <v>93.933199999999999</v>
      </c>
      <c r="AW43" s="25">
        <v>89.298400000000001</v>
      </c>
      <c r="AX43" s="25">
        <v>99.437799999999996</v>
      </c>
      <c r="AY43" s="25">
        <v>94.017399999999995</v>
      </c>
      <c r="AZ43" s="25">
        <v>76.993200000000002</v>
      </c>
      <c r="BA43" s="25">
        <v>86.619</v>
      </c>
      <c r="BB43" s="25">
        <v>84.876099999999994</v>
      </c>
      <c r="BC43" s="25">
        <v>92.489500000000007</v>
      </c>
      <c r="BD43" s="25">
        <v>90.994699999999995</v>
      </c>
      <c r="BE43" s="25">
        <v>98.661100000000005</v>
      </c>
      <c r="BF43" s="25">
        <v>67.0364</v>
      </c>
      <c r="BG43" s="25">
        <v>61.069699999999997</v>
      </c>
      <c r="BH43" s="25">
        <v>84.884399999999999</v>
      </c>
      <c r="BI43" s="25">
        <v>76.258300000000006</v>
      </c>
      <c r="BJ43" s="25">
        <v>96.544499999999999</v>
      </c>
      <c r="BK43" s="25">
        <v>10</v>
      </c>
      <c r="BL43" s="25">
        <v>70.795699999999997</v>
      </c>
      <c r="BM43" s="25">
        <v>85.930700000000002</v>
      </c>
      <c r="BN43" s="25">
        <v>76.1554</v>
      </c>
      <c r="BO43" s="25">
        <v>87.111799999999988</v>
      </c>
      <c r="BP43" s="25">
        <v>10</v>
      </c>
      <c r="BQ43" s="25">
        <v>97.930300000000003</v>
      </c>
      <c r="BR43" s="25">
        <v>81.342099999999988</v>
      </c>
      <c r="BS43" s="25">
        <v>69.641500000000008</v>
      </c>
      <c r="BT43" s="25">
        <v>90.787599999999998</v>
      </c>
      <c r="BU43" s="25">
        <v>35.563899999999997</v>
      </c>
      <c r="BV43" s="25">
        <v>95.496200000000002</v>
      </c>
      <c r="BW43" s="25">
        <v>96.322000000000003</v>
      </c>
      <c r="BX43" s="25">
        <v>88.562600000000003</v>
      </c>
      <c r="BY43" s="25">
        <v>74.783599999999993</v>
      </c>
      <c r="BZ43" s="25">
        <v>91.403999999999996</v>
      </c>
      <c r="CA43" s="25">
        <v>84.136399999999995</v>
      </c>
      <c r="CB43" s="25">
        <v>81.847402597402564</v>
      </c>
      <c r="CC43" s="16">
        <v>6302.2499999999973</v>
      </c>
    </row>
    <row r="44" spans="1:81" x14ac:dyDescent="0.25">
      <c r="A44" s="23">
        <v>43</v>
      </c>
      <c r="B44" s="25">
        <v>21</v>
      </c>
      <c r="C44" s="25">
        <v>74.107100000000003</v>
      </c>
      <c r="D44" s="25">
        <v>97.365900000000011</v>
      </c>
      <c r="E44" s="25">
        <v>69.581699999999998</v>
      </c>
      <c r="F44" s="25">
        <v>97.514600000000002</v>
      </c>
      <c r="G44" s="25">
        <v>97.670599999999993</v>
      </c>
      <c r="H44" s="25">
        <v>36.439700000000002</v>
      </c>
      <c r="I44" s="25">
        <v>69.653300000000002</v>
      </c>
      <c r="J44" s="25">
        <v>95.251499999999993</v>
      </c>
      <c r="K44" s="25">
        <v>70.105699999999999</v>
      </c>
      <c r="L44" s="25">
        <v>52.956499999999998</v>
      </c>
      <c r="M44" s="25">
        <v>87.362399999999994</v>
      </c>
      <c r="N44" s="25">
        <v>32.991399999999999</v>
      </c>
      <c r="O44" s="25">
        <v>84.389200000000002</v>
      </c>
      <c r="P44" s="25">
        <v>93.048900000000003</v>
      </c>
      <c r="Q44" s="25">
        <v>51.169800000000002</v>
      </c>
      <c r="R44" s="25">
        <v>48.125</v>
      </c>
      <c r="S44" s="25">
        <v>65.069999999999993</v>
      </c>
      <c r="T44" s="25">
        <v>83.883700000000005</v>
      </c>
      <c r="U44" s="25">
        <v>97.246399999999994</v>
      </c>
      <c r="V44" s="25">
        <v>70.89800000000001</v>
      </c>
      <c r="W44" s="25">
        <v>81.986899999999991</v>
      </c>
      <c r="X44" s="25">
        <v>74.137799999999999</v>
      </c>
      <c r="Y44" s="25">
        <v>92.296199999999999</v>
      </c>
      <c r="Z44" s="25">
        <v>98.805700000000002</v>
      </c>
      <c r="AA44" s="25">
        <v>75.236899999999991</v>
      </c>
      <c r="AB44" s="25">
        <v>74.752099999999999</v>
      </c>
      <c r="AC44" s="25">
        <v>96.423899999999989</v>
      </c>
      <c r="AD44" s="25">
        <v>71.013800000000003</v>
      </c>
      <c r="AE44" s="25">
        <v>10</v>
      </c>
      <c r="AF44" s="25">
        <v>91.752499999999998</v>
      </c>
      <c r="AG44" s="25">
        <v>83.314400000000006</v>
      </c>
      <c r="AH44" s="25">
        <v>79.990600000000001</v>
      </c>
      <c r="AI44" s="25">
        <v>84.075999999999993</v>
      </c>
      <c r="AJ44" s="25">
        <v>49.885199999999998</v>
      </c>
      <c r="AK44" s="25">
        <v>60.492999999999988</v>
      </c>
      <c r="AL44" s="25">
        <v>77.431700000000006</v>
      </c>
      <c r="AM44" s="25">
        <v>72.709800000000001</v>
      </c>
      <c r="AN44" s="25">
        <v>95.916499999999999</v>
      </c>
      <c r="AO44" s="25">
        <v>95.974800000000002</v>
      </c>
      <c r="AP44" s="25">
        <v>87.788299999999992</v>
      </c>
      <c r="AQ44" s="25">
        <v>81.292200000000008</v>
      </c>
      <c r="AR44" s="25">
        <v>80.596800000000002</v>
      </c>
      <c r="AS44" s="25">
        <v>75.646199999999993</v>
      </c>
      <c r="AT44" s="25">
        <v>80.096900000000005</v>
      </c>
      <c r="AU44" s="25">
        <v>60.442900000000002</v>
      </c>
      <c r="AV44" s="25">
        <v>91.120599999999996</v>
      </c>
      <c r="AW44" s="25">
        <v>81.841200000000001</v>
      </c>
      <c r="AX44" s="25">
        <v>95.382199999999997</v>
      </c>
      <c r="AY44" s="25">
        <v>88.042100000000005</v>
      </c>
      <c r="AZ44" s="25">
        <v>71.927300000000002</v>
      </c>
      <c r="BA44" s="25">
        <v>79.608000000000004</v>
      </c>
      <c r="BB44" s="25">
        <v>77.9084</v>
      </c>
      <c r="BC44" s="25">
        <v>87.415700000000001</v>
      </c>
      <c r="BD44" s="25">
        <v>81.298599999999993</v>
      </c>
      <c r="BE44" s="25">
        <v>97.933300000000003</v>
      </c>
      <c r="BF44" s="25">
        <v>57.733100000000007</v>
      </c>
      <c r="BG44" s="25">
        <v>60.059600000000003</v>
      </c>
      <c r="BH44" s="25">
        <v>79.995899999999992</v>
      </c>
      <c r="BI44" s="25">
        <v>68.971199999999996</v>
      </c>
      <c r="BJ44" s="25">
        <v>94.694400000000002</v>
      </c>
      <c r="BK44" s="25">
        <v>10</v>
      </c>
      <c r="BL44" s="25">
        <v>63.053800000000003</v>
      </c>
      <c r="BM44" s="25">
        <v>81.624399999999994</v>
      </c>
      <c r="BN44" s="25">
        <v>70.045699999999997</v>
      </c>
      <c r="BO44" s="25">
        <v>76.362899999999996</v>
      </c>
      <c r="BP44" s="25">
        <v>10</v>
      </c>
      <c r="BQ44" s="25">
        <v>97.465999999999994</v>
      </c>
      <c r="BR44" s="25">
        <v>72.560699999999997</v>
      </c>
      <c r="BS44" s="25">
        <v>62.662500000000001</v>
      </c>
      <c r="BT44" s="25">
        <v>89.012199999999993</v>
      </c>
      <c r="BU44" s="25">
        <v>29.8032</v>
      </c>
      <c r="BV44" s="25">
        <v>91.290499999999994</v>
      </c>
      <c r="BW44" s="25">
        <v>93.6143</v>
      </c>
      <c r="BX44" s="25">
        <v>79.137299999999996</v>
      </c>
      <c r="BY44" s="25">
        <v>70.194999999999993</v>
      </c>
      <c r="BZ44" s="25">
        <v>88.012</v>
      </c>
      <c r="CA44" s="25">
        <v>78.613900000000001</v>
      </c>
      <c r="CB44" s="25">
        <v>75.120500000000007</v>
      </c>
      <c r="CC44" s="16">
        <v>5784.2785000000003</v>
      </c>
    </row>
    <row r="45" spans="1:81" x14ac:dyDescent="0.25">
      <c r="A45" s="23">
        <v>44</v>
      </c>
      <c r="B45" s="25">
        <v>21.5</v>
      </c>
      <c r="C45" s="25">
        <v>61.943399999999997</v>
      </c>
      <c r="D45" s="25">
        <v>96.86399999999999</v>
      </c>
      <c r="E45" s="25">
        <v>64.4756</v>
      </c>
      <c r="F45" s="25">
        <v>95.758799999999994</v>
      </c>
      <c r="G45" s="25">
        <v>95.072800000000001</v>
      </c>
      <c r="H45" s="25">
        <v>22.873899999999999</v>
      </c>
      <c r="I45" s="25">
        <v>60.615600000000001</v>
      </c>
      <c r="J45" s="25">
        <v>93.0505</v>
      </c>
      <c r="K45" s="25">
        <v>62.510199999999998</v>
      </c>
      <c r="L45" s="25">
        <v>44.221299999999999</v>
      </c>
      <c r="M45" s="25">
        <v>81.865899999999996</v>
      </c>
      <c r="N45" s="25">
        <v>24.212599999999998</v>
      </c>
      <c r="O45" s="25">
        <v>77.261300000000006</v>
      </c>
      <c r="P45" s="25">
        <v>90.184299999999993</v>
      </c>
      <c r="Q45" s="25">
        <v>44.986600000000003</v>
      </c>
      <c r="R45" s="25">
        <v>33.219099999999997</v>
      </c>
      <c r="S45" s="25">
        <v>55.4998</v>
      </c>
      <c r="T45" s="25">
        <v>74.627799999999993</v>
      </c>
      <c r="U45" s="25">
        <v>94.578199999999995</v>
      </c>
      <c r="V45" s="25">
        <v>67.369100000000003</v>
      </c>
      <c r="W45" s="25">
        <v>79.267499999999998</v>
      </c>
      <c r="X45" s="25">
        <v>72.759</v>
      </c>
      <c r="Y45" s="25">
        <v>85.943100000000001</v>
      </c>
      <c r="Z45" s="25">
        <v>98.115499999999997</v>
      </c>
      <c r="AA45" s="25">
        <v>56.718299999999999</v>
      </c>
      <c r="AB45" s="25">
        <v>67.906300000000002</v>
      </c>
      <c r="AC45" s="25">
        <v>95.796499999999995</v>
      </c>
      <c r="AD45" s="25">
        <v>32.4861</v>
      </c>
      <c r="AE45" s="25">
        <v>10</v>
      </c>
      <c r="AF45" s="25">
        <v>88.005899999999997</v>
      </c>
      <c r="AG45" s="25">
        <v>77.109200000000001</v>
      </c>
      <c r="AH45" s="25">
        <v>76.939599999999999</v>
      </c>
      <c r="AI45" s="25">
        <v>80.219300000000004</v>
      </c>
      <c r="AJ45" s="25">
        <v>45.927399999999999</v>
      </c>
      <c r="AK45" s="25">
        <v>47.728299999999997</v>
      </c>
      <c r="AL45" s="25">
        <v>74.687700000000007</v>
      </c>
      <c r="AM45" s="25">
        <v>58.246200000000002</v>
      </c>
      <c r="AN45" s="25">
        <v>93.744200000000006</v>
      </c>
      <c r="AO45" s="25">
        <v>92.308700000000002</v>
      </c>
      <c r="AP45" s="25">
        <v>75.248699999999999</v>
      </c>
      <c r="AQ45" s="25">
        <v>74.8279</v>
      </c>
      <c r="AR45" s="25">
        <v>71.455600000000004</v>
      </c>
      <c r="AS45" s="25">
        <v>67.229300000000009</v>
      </c>
      <c r="AT45" s="25">
        <v>72.07050000000001</v>
      </c>
      <c r="AU45" s="25">
        <v>55.087200000000003</v>
      </c>
      <c r="AV45" s="25">
        <v>86.723500000000001</v>
      </c>
      <c r="AW45" s="25">
        <v>73.222399999999993</v>
      </c>
      <c r="AX45" s="25">
        <v>91.557000000000002</v>
      </c>
      <c r="AY45" s="25">
        <v>77.4071</v>
      </c>
      <c r="AZ45" s="25">
        <v>62.452100000000002</v>
      </c>
      <c r="BA45" s="25">
        <v>71.06989999999999</v>
      </c>
      <c r="BB45" s="25">
        <v>71.251400000000004</v>
      </c>
      <c r="BC45" s="25">
        <v>82.128599999999992</v>
      </c>
      <c r="BD45" s="25">
        <v>74.115499999999997</v>
      </c>
      <c r="BE45" s="25">
        <v>97.205500000000001</v>
      </c>
      <c r="BF45" s="25">
        <v>49.548999999999999</v>
      </c>
      <c r="BG45" s="25">
        <v>57.294600000000003</v>
      </c>
      <c r="BH45" s="25">
        <v>74.310600000000008</v>
      </c>
      <c r="BI45" s="25">
        <v>61.149700000000003</v>
      </c>
      <c r="BJ45" s="25">
        <v>93.209000000000003</v>
      </c>
      <c r="BK45" s="25">
        <v>10</v>
      </c>
      <c r="BL45" s="25">
        <v>53.004800000000003</v>
      </c>
      <c r="BM45" s="25">
        <v>77.3386</v>
      </c>
      <c r="BN45" s="25">
        <v>63.301099999999998</v>
      </c>
      <c r="BO45" s="25">
        <v>72.611499999999992</v>
      </c>
      <c r="BP45" s="25">
        <v>10</v>
      </c>
      <c r="BQ45" s="25">
        <v>96.907899999999998</v>
      </c>
      <c r="BR45" s="25">
        <v>66.4589</v>
      </c>
      <c r="BS45" s="25">
        <v>55.819499999999998</v>
      </c>
      <c r="BT45" s="25">
        <v>87.516999999999996</v>
      </c>
      <c r="BU45" s="25">
        <v>12.443</v>
      </c>
      <c r="BV45" s="25">
        <v>86.949100000000001</v>
      </c>
      <c r="BW45" s="25">
        <v>89.979299999999995</v>
      </c>
      <c r="BX45" s="25">
        <v>71.128699999999995</v>
      </c>
      <c r="BY45" s="25">
        <v>62.32</v>
      </c>
      <c r="BZ45" s="25">
        <v>83.570700000000002</v>
      </c>
      <c r="CA45" s="25">
        <v>71.082300000000004</v>
      </c>
      <c r="CB45" s="25">
        <v>68.624637662337648</v>
      </c>
      <c r="CC45" s="16">
        <v>5284.097099999999</v>
      </c>
    </row>
    <row r="46" spans="1:81" x14ac:dyDescent="0.25">
      <c r="A46" s="23">
        <v>45</v>
      </c>
      <c r="B46" s="25">
        <v>22</v>
      </c>
      <c r="C46" s="25">
        <v>54.4681</v>
      </c>
      <c r="D46" s="25">
        <v>96.105900000000005</v>
      </c>
      <c r="E46" s="25">
        <v>58.785499999999999</v>
      </c>
      <c r="F46" s="25">
        <v>94.5976</v>
      </c>
      <c r="G46" s="25">
        <v>94.3827</v>
      </c>
      <c r="H46" s="25">
        <v>12.0725</v>
      </c>
      <c r="I46" s="25">
        <v>54.267400000000002</v>
      </c>
      <c r="J46" s="25">
        <v>89.575299999999999</v>
      </c>
      <c r="K46" s="25">
        <v>53.242400000000004</v>
      </c>
      <c r="L46" s="25">
        <v>22.341000000000001</v>
      </c>
      <c r="M46" s="25">
        <v>75.744500000000002</v>
      </c>
      <c r="N46" s="25">
        <v>20.427700000000002</v>
      </c>
      <c r="O46" s="25">
        <v>71.783100000000005</v>
      </c>
      <c r="P46" s="25">
        <v>89.53179999999999</v>
      </c>
      <c r="Q46" s="25">
        <v>25.389600000000002</v>
      </c>
      <c r="R46" s="25">
        <v>22.339300000000001</v>
      </c>
      <c r="S46" s="25">
        <v>43.8476</v>
      </c>
      <c r="T46" s="25">
        <v>65.540700000000001</v>
      </c>
      <c r="U46" s="25">
        <v>88.583199999999991</v>
      </c>
      <c r="V46" s="25">
        <v>66.655600000000007</v>
      </c>
      <c r="W46" s="25">
        <v>74.74260000000001</v>
      </c>
      <c r="X46" s="25">
        <v>70.674099999999996</v>
      </c>
      <c r="Y46" s="25">
        <v>78.237500000000011</v>
      </c>
      <c r="Z46" s="25">
        <v>94.280699999999996</v>
      </c>
      <c r="AA46" s="25">
        <v>43.930799999999998</v>
      </c>
      <c r="AB46" s="25">
        <v>60.960800000000013</v>
      </c>
      <c r="AC46" s="25">
        <v>95.168999999999997</v>
      </c>
      <c r="AD46" s="25">
        <v>10</v>
      </c>
      <c r="AE46" s="25">
        <v>10</v>
      </c>
      <c r="AF46" s="25">
        <v>80.483199999999997</v>
      </c>
      <c r="AG46" s="25">
        <v>69.513100000000009</v>
      </c>
      <c r="AH46" s="25">
        <v>68.747199999999992</v>
      </c>
      <c r="AI46" s="25">
        <v>76.239100000000008</v>
      </c>
      <c r="AJ46" s="25">
        <v>40.619100000000003</v>
      </c>
      <c r="AK46" s="25">
        <v>35.736400000000003</v>
      </c>
      <c r="AL46" s="25">
        <v>69.587500000000006</v>
      </c>
      <c r="AM46" s="25">
        <v>43.519500000000001</v>
      </c>
      <c r="AN46" s="25">
        <v>91.815700000000007</v>
      </c>
      <c r="AO46" s="25">
        <v>85.669300000000007</v>
      </c>
      <c r="AP46" s="25">
        <v>39.820700000000002</v>
      </c>
      <c r="AQ46" s="25">
        <v>68.531300000000002</v>
      </c>
      <c r="AR46" s="25">
        <v>60.064700000000002</v>
      </c>
      <c r="AS46" s="25">
        <v>65.290599999999998</v>
      </c>
      <c r="AT46" s="25">
        <v>66.904200000000003</v>
      </c>
      <c r="AU46" s="25">
        <v>52.009099999999997</v>
      </c>
      <c r="AV46" s="25">
        <v>80.869299999999996</v>
      </c>
      <c r="AW46" s="25">
        <v>64.903800000000004</v>
      </c>
      <c r="AX46" s="25">
        <v>86.157700000000006</v>
      </c>
      <c r="AY46" s="25">
        <v>64.851600000000005</v>
      </c>
      <c r="AZ46" s="25">
        <v>54.139899999999997</v>
      </c>
      <c r="BA46" s="25">
        <v>65.898499999999999</v>
      </c>
      <c r="BB46" s="25">
        <v>64.309600000000003</v>
      </c>
      <c r="BC46" s="25">
        <v>75.816800000000001</v>
      </c>
      <c r="BD46" s="25">
        <v>67.861800000000002</v>
      </c>
      <c r="BE46" s="25">
        <v>95.971699999999998</v>
      </c>
      <c r="BF46" s="25">
        <v>41.001399999999997</v>
      </c>
      <c r="BG46" s="25">
        <v>44.726999999999997</v>
      </c>
      <c r="BH46" s="25">
        <v>73.265499999999989</v>
      </c>
      <c r="BI46" s="25">
        <v>56.620800000000003</v>
      </c>
      <c r="BJ46" s="25">
        <v>91.627700000000004</v>
      </c>
      <c r="BK46" s="25">
        <v>10</v>
      </c>
      <c r="BL46" s="25">
        <v>43.764299999999999</v>
      </c>
      <c r="BM46" s="25">
        <v>69.724099999999993</v>
      </c>
      <c r="BN46" s="25">
        <v>57.083700000000007</v>
      </c>
      <c r="BO46" s="25">
        <v>70.327300000000008</v>
      </c>
      <c r="BP46" s="25">
        <v>10</v>
      </c>
      <c r="BQ46" s="25">
        <v>95.067400000000006</v>
      </c>
      <c r="BR46" s="25">
        <v>61.374099999999999</v>
      </c>
      <c r="BS46" s="25">
        <v>50.708399999999997</v>
      </c>
      <c r="BT46" s="25">
        <v>86.379499999999993</v>
      </c>
      <c r="BU46" s="25">
        <v>10</v>
      </c>
      <c r="BV46" s="25">
        <v>83.792400000000001</v>
      </c>
      <c r="BW46" s="25">
        <v>86.971100000000007</v>
      </c>
      <c r="BX46" s="25">
        <v>69.666499999999999</v>
      </c>
      <c r="BY46" s="25">
        <v>51.4041</v>
      </c>
      <c r="BZ46" s="25">
        <v>78.754400000000004</v>
      </c>
      <c r="CA46" s="25">
        <v>66.229500000000002</v>
      </c>
      <c r="CB46" s="25">
        <v>62.097371428571442</v>
      </c>
      <c r="CC46" s="16">
        <v>4781.4976000000006</v>
      </c>
    </row>
    <row r="47" spans="1:81" x14ac:dyDescent="0.25">
      <c r="A47" s="23">
        <v>46</v>
      </c>
      <c r="B47" s="25">
        <v>22.5</v>
      </c>
      <c r="C47" s="25">
        <v>32.8215</v>
      </c>
      <c r="D47" s="25">
        <v>93.981899999999996</v>
      </c>
      <c r="E47" s="25">
        <v>55.359299999999998</v>
      </c>
      <c r="F47" s="25">
        <v>92.841899999999995</v>
      </c>
      <c r="G47" s="25">
        <v>91.694000000000003</v>
      </c>
      <c r="H47" s="25">
        <v>10</v>
      </c>
      <c r="I47" s="25">
        <v>42.990499999999997</v>
      </c>
      <c r="J47" s="25">
        <v>88.5441</v>
      </c>
      <c r="K47" s="25">
        <v>43.497999999999998</v>
      </c>
      <c r="L47" s="25">
        <v>10</v>
      </c>
      <c r="M47" s="25">
        <v>70.658500000000004</v>
      </c>
      <c r="N47" s="25">
        <v>17.6571</v>
      </c>
      <c r="O47" s="25">
        <v>65.918300000000002</v>
      </c>
      <c r="P47" s="25">
        <v>87.336500000000001</v>
      </c>
      <c r="Q47" s="25">
        <v>20.553599999999999</v>
      </c>
      <c r="R47" s="25">
        <v>11.041</v>
      </c>
      <c r="S47" s="25">
        <v>34.6691</v>
      </c>
      <c r="T47" s="25">
        <v>57.336699999999993</v>
      </c>
      <c r="U47" s="25">
        <v>84.487400000000008</v>
      </c>
      <c r="V47" s="25">
        <v>54.9392</v>
      </c>
      <c r="W47" s="25">
        <v>74.019100000000009</v>
      </c>
      <c r="X47" s="25">
        <v>70.034099999999995</v>
      </c>
      <c r="Y47" s="25">
        <v>76.683400000000006</v>
      </c>
      <c r="Z47" s="25">
        <v>89.712999999999994</v>
      </c>
      <c r="AA47" s="25">
        <v>37.535600000000002</v>
      </c>
      <c r="AB47" s="25">
        <v>48.801400000000001</v>
      </c>
      <c r="AC47" s="25">
        <v>93.303899999999999</v>
      </c>
      <c r="AD47" s="25">
        <v>10</v>
      </c>
      <c r="AE47" s="25">
        <v>10</v>
      </c>
      <c r="AF47" s="25">
        <v>76.466300000000004</v>
      </c>
      <c r="AG47" s="25">
        <v>58.784300000000002</v>
      </c>
      <c r="AH47" s="25">
        <v>63.067599999999999</v>
      </c>
      <c r="AI47" s="25">
        <v>72.509</v>
      </c>
      <c r="AJ47" s="25">
        <v>37.229900000000001</v>
      </c>
      <c r="AK47" s="25">
        <v>18.687000000000001</v>
      </c>
      <c r="AL47" s="25">
        <v>68.926200000000009</v>
      </c>
      <c r="AM47" s="25">
        <v>30.4283</v>
      </c>
      <c r="AN47" s="25">
        <v>89.616399999999999</v>
      </c>
      <c r="AO47" s="25">
        <v>81.305899999999994</v>
      </c>
      <c r="AP47" s="25">
        <v>10</v>
      </c>
      <c r="AQ47" s="25">
        <v>62.902099999999997</v>
      </c>
      <c r="AR47" s="25">
        <v>53.085400000000007</v>
      </c>
      <c r="AS47" s="25">
        <v>59.727200000000003</v>
      </c>
      <c r="AT47" s="25">
        <v>61.015500000000003</v>
      </c>
      <c r="AU47" s="25">
        <v>48.996000000000002</v>
      </c>
      <c r="AV47" s="25">
        <v>74.310200000000009</v>
      </c>
      <c r="AW47" s="25">
        <v>63.219900000000003</v>
      </c>
      <c r="AX47" s="25">
        <v>80.935400000000001</v>
      </c>
      <c r="AY47" s="25">
        <v>51.967699999999986</v>
      </c>
      <c r="AZ47" s="25">
        <v>47.338299999999997</v>
      </c>
      <c r="BA47" s="25">
        <v>59.4619</v>
      </c>
      <c r="BB47" s="25">
        <v>58.025000000000013</v>
      </c>
      <c r="BC47" s="25">
        <v>67.563500000000005</v>
      </c>
      <c r="BD47" s="25">
        <v>61.468299999999999</v>
      </c>
      <c r="BE47" s="25">
        <v>94.921800000000005</v>
      </c>
      <c r="BF47" s="25">
        <v>40.057299999999998</v>
      </c>
      <c r="BG47" s="25">
        <v>44.099600000000002</v>
      </c>
      <c r="BH47" s="25">
        <v>71.434399999999997</v>
      </c>
      <c r="BI47" s="25">
        <v>56.068700000000007</v>
      </c>
      <c r="BJ47" s="25">
        <v>88.9572</v>
      </c>
      <c r="BK47" s="25">
        <v>10</v>
      </c>
      <c r="BL47" s="25">
        <v>34.437399999999997</v>
      </c>
      <c r="BM47" s="25">
        <v>65.09129999999999</v>
      </c>
      <c r="BN47" s="25">
        <v>48.410400000000003</v>
      </c>
      <c r="BO47" s="25">
        <v>65.459400000000002</v>
      </c>
      <c r="BP47" s="25">
        <v>10</v>
      </c>
      <c r="BQ47" s="25">
        <v>88.639299999999992</v>
      </c>
      <c r="BR47" s="25">
        <v>54.448700000000002</v>
      </c>
      <c r="BS47" s="25">
        <v>41.862900000000003</v>
      </c>
      <c r="BT47" s="25">
        <v>84.905600000000007</v>
      </c>
      <c r="BU47" s="25">
        <v>10</v>
      </c>
      <c r="BV47" s="25">
        <v>78.391100000000009</v>
      </c>
      <c r="BW47" s="25">
        <v>81.319400000000002</v>
      </c>
      <c r="BX47" s="25">
        <v>67.596999999999994</v>
      </c>
      <c r="BY47" s="25">
        <v>45.378700000000002</v>
      </c>
      <c r="BZ47" s="25">
        <v>73.914000000000001</v>
      </c>
      <c r="CA47" s="25">
        <v>59.790200000000013</v>
      </c>
      <c r="CB47" s="25">
        <v>56.475854545454538</v>
      </c>
      <c r="CC47" s="16">
        <v>4348.6407999999992</v>
      </c>
    </row>
    <row r="48" spans="1:81" x14ac:dyDescent="0.25">
      <c r="A48" s="23">
        <v>47</v>
      </c>
      <c r="B48" s="25">
        <v>23</v>
      </c>
      <c r="C48" s="25">
        <v>23.937100000000001</v>
      </c>
      <c r="D48" s="25">
        <v>93.47999999999999</v>
      </c>
      <c r="E48" s="25">
        <v>49.0471</v>
      </c>
      <c r="F48" s="25">
        <v>92.126599999999996</v>
      </c>
      <c r="G48" s="25">
        <v>91.003900000000002</v>
      </c>
      <c r="H48" s="25">
        <v>10</v>
      </c>
      <c r="I48" s="25">
        <v>34.504800000000003</v>
      </c>
      <c r="J48" s="25">
        <v>85.173200000000008</v>
      </c>
      <c r="K48" s="25">
        <v>36.654299999999999</v>
      </c>
      <c r="L48" s="25">
        <v>10</v>
      </c>
      <c r="M48" s="25">
        <v>66.609099999999998</v>
      </c>
      <c r="N48" s="25">
        <v>15.3208</v>
      </c>
      <c r="O48" s="25">
        <v>56.3596</v>
      </c>
      <c r="P48" s="25">
        <v>85.6785</v>
      </c>
      <c r="Q48" s="25">
        <v>15.527799999999999</v>
      </c>
      <c r="R48" s="25">
        <v>10</v>
      </c>
      <c r="S48" s="25">
        <v>27.769300000000001</v>
      </c>
      <c r="T48" s="25">
        <v>46.983999999999988</v>
      </c>
      <c r="U48" s="25">
        <v>81.146500000000003</v>
      </c>
      <c r="V48" s="25">
        <v>53.224200000000003</v>
      </c>
      <c r="W48" s="25">
        <v>70.173300000000012</v>
      </c>
      <c r="X48" s="25">
        <v>68.6755</v>
      </c>
      <c r="Y48" s="25">
        <v>67.872699999999995</v>
      </c>
      <c r="Z48" s="25">
        <v>86.456800000000001</v>
      </c>
      <c r="AA48" s="25">
        <v>33.528200000000012</v>
      </c>
      <c r="AB48" s="25">
        <v>40.138599999999997</v>
      </c>
      <c r="AC48" s="25">
        <v>92.6113</v>
      </c>
      <c r="AD48" s="25">
        <v>10</v>
      </c>
      <c r="AE48" s="25">
        <v>10</v>
      </c>
      <c r="AF48" s="25">
        <v>68.116600000000005</v>
      </c>
      <c r="AG48" s="25">
        <v>51.192500000000003</v>
      </c>
      <c r="AH48" s="25">
        <v>57.931900000000013</v>
      </c>
      <c r="AI48" s="25">
        <v>67.387799999999999</v>
      </c>
      <c r="AJ48" s="25">
        <v>34.098999999999997</v>
      </c>
      <c r="AK48" s="25">
        <v>11.498900000000001</v>
      </c>
      <c r="AL48" s="25">
        <v>65.062299999999993</v>
      </c>
      <c r="AM48" s="25">
        <v>14.425000000000001</v>
      </c>
      <c r="AN48" s="25">
        <v>88.586100000000002</v>
      </c>
      <c r="AO48" s="25">
        <v>77.269300000000001</v>
      </c>
      <c r="AP48" s="25">
        <v>10</v>
      </c>
      <c r="AQ48" s="25">
        <v>60.012200000000007</v>
      </c>
      <c r="AR48" s="25">
        <v>47.959800000000001</v>
      </c>
      <c r="AS48" s="25">
        <v>54.030799999999999</v>
      </c>
      <c r="AT48" s="25">
        <v>58.885100000000001</v>
      </c>
      <c r="AU48" s="25">
        <v>45.955199999999998</v>
      </c>
      <c r="AV48" s="25">
        <v>67.952100000000002</v>
      </c>
      <c r="AW48" s="25">
        <v>59.988500000000002</v>
      </c>
      <c r="AX48" s="25">
        <v>80.558899999999994</v>
      </c>
      <c r="AY48" s="25">
        <v>27.412500000000001</v>
      </c>
      <c r="AZ48" s="25">
        <v>42.170499999999997</v>
      </c>
      <c r="BA48" s="25">
        <v>53.968000000000004</v>
      </c>
      <c r="BB48" s="25">
        <v>47.765900000000002</v>
      </c>
      <c r="BC48" s="25">
        <v>61.136000000000003</v>
      </c>
      <c r="BD48" s="25">
        <v>58.853900000000003</v>
      </c>
      <c r="BE48" s="25">
        <v>94.194000000000003</v>
      </c>
      <c r="BF48" s="25">
        <v>33.447500000000012</v>
      </c>
      <c r="BG48" s="25">
        <v>41.108800000000002</v>
      </c>
      <c r="BH48" s="25">
        <v>68.327500000000001</v>
      </c>
      <c r="BI48" s="25">
        <v>54.538799999999988</v>
      </c>
      <c r="BJ48" s="25">
        <v>88.292099999999991</v>
      </c>
      <c r="BK48" s="25">
        <v>10</v>
      </c>
      <c r="BL48" s="25">
        <v>24.4847</v>
      </c>
      <c r="BM48" s="25">
        <v>64.376000000000005</v>
      </c>
      <c r="BN48" s="25">
        <v>42.028100000000002</v>
      </c>
      <c r="BO48" s="25">
        <v>61.261899999999997</v>
      </c>
      <c r="BP48" s="25">
        <v>10</v>
      </c>
      <c r="BQ48" s="25">
        <v>84.738900000000001</v>
      </c>
      <c r="BR48" s="25">
        <v>47.556800000000003</v>
      </c>
      <c r="BS48" s="25">
        <v>36.2333</v>
      </c>
      <c r="BT48" s="25">
        <v>83.914000000000001</v>
      </c>
      <c r="BU48" s="25">
        <v>10</v>
      </c>
      <c r="BV48" s="25">
        <v>74.141000000000005</v>
      </c>
      <c r="BW48" s="25">
        <v>77.419499999999999</v>
      </c>
      <c r="BX48" s="25">
        <v>66.140799999999999</v>
      </c>
      <c r="BY48" s="25">
        <v>39.485100000000003</v>
      </c>
      <c r="BZ48" s="25">
        <v>69.536299999999997</v>
      </c>
      <c r="CA48" s="25">
        <v>53.589799999999997</v>
      </c>
      <c r="CB48" s="25">
        <v>52.091388311688313</v>
      </c>
      <c r="CC48" s="16">
        <v>4011.0369000000001</v>
      </c>
    </row>
    <row r="49" spans="1:81" x14ac:dyDescent="0.25">
      <c r="A49" s="24">
        <v>48</v>
      </c>
      <c r="B49" s="26">
        <v>23.5</v>
      </c>
      <c r="C49" s="26">
        <v>17.3325</v>
      </c>
      <c r="D49" s="26">
        <v>91.953600000000009</v>
      </c>
      <c r="E49" s="26">
        <v>43.326700000000002</v>
      </c>
      <c r="F49" s="26">
        <v>91.411299999999997</v>
      </c>
      <c r="G49" s="26">
        <v>89.950299999999999</v>
      </c>
      <c r="H49" s="26">
        <v>10</v>
      </c>
      <c r="I49" s="26">
        <v>11.6036</v>
      </c>
      <c r="J49" s="26">
        <v>84.533199999999994</v>
      </c>
      <c r="K49" s="26">
        <v>33.9026</v>
      </c>
      <c r="L49" s="26">
        <v>10</v>
      </c>
      <c r="M49" s="26">
        <v>59.160299999999999</v>
      </c>
      <c r="N49" s="26">
        <v>10.3772</v>
      </c>
      <c r="O49" s="26">
        <v>52.385300000000001</v>
      </c>
      <c r="P49" s="26">
        <v>82.276600000000002</v>
      </c>
      <c r="Q49" s="26">
        <v>10</v>
      </c>
      <c r="R49" s="26">
        <v>10</v>
      </c>
      <c r="S49" s="26">
        <v>22.217300000000002</v>
      </c>
      <c r="T49" s="26">
        <v>36.613999999999997</v>
      </c>
      <c r="U49" s="26">
        <v>76.6006</v>
      </c>
      <c r="V49" s="26">
        <v>51.3277</v>
      </c>
      <c r="W49" s="26">
        <v>68.281999999999996</v>
      </c>
      <c r="X49" s="26">
        <v>67.302999999999997</v>
      </c>
      <c r="Y49" s="26">
        <v>62.676400000000001</v>
      </c>
      <c r="Z49" s="26">
        <v>85.766600000000011</v>
      </c>
      <c r="AA49" s="26">
        <v>31.751799999999999</v>
      </c>
      <c r="AB49" s="26">
        <v>25.345300000000002</v>
      </c>
      <c r="AC49" s="26">
        <v>91.788499999999999</v>
      </c>
      <c r="AD49" s="26">
        <v>10</v>
      </c>
      <c r="AE49" s="26">
        <v>10</v>
      </c>
      <c r="AF49" s="26">
        <v>67.439000000000007</v>
      </c>
      <c r="AG49" s="26">
        <v>49.302100000000003</v>
      </c>
      <c r="AH49" s="26">
        <v>54.016100000000002</v>
      </c>
      <c r="AI49" s="26">
        <v>65.619500000000002</v>
      </c>
      <c r="AJ49" s="26">
        <v>31.852</v>
      </c>
      <c r="AK49" s="26">
        <v>10</v>
      </c>
      <c r="AL49" s="26">
        <v>62.896700000000003</v>
      </c>
      <c r="AM49" s="26">
        <v>10</v>
      </c>
      <c r="AN49" s="26">
        <v>87.845799999999997</v>
      </c>
      <c r="AO49" s="26">
        <v>69.568799999999996</v>
      </c>
      <c r="AP49" s="26">
        <v>10</v>
      </c>
      <c r="AQ49" s="26">
        <v>59.347099999999998</v>
      </c>
      <c r="AR49" s="26">
        <v>45.4377</v>
      </c>
      <c r="AS49" s="26">
        <v>49.515000000000001</v>
      </c>
      <c r="AT49" s="26">
        <v>56.4191</v>
      </c>
      <c r="AU49" s="26">
        <v>42.7072</v>
      </c>
      <c r="AV49" s="26">
        <v>66.003199999999993</v>
      </c>
      <c r="AW49" s="26">
        <v>56.550800000000002</v>
      </c>
      <c r="AX49" s="26">
        <v>80.182500000000005</v>
      </c>
      <c r="AY49" s="26">
        <v>20.212299999999999</v>
      </c>
      <c r="AZ49" s="26">
        <v>41.440199999999997</v>
      </c>
      <c r="BA49" s="26">
        <v>51.765099999999997</v>
      </c>
      <c r="BB49" s="26">
        <v>36.555399999999999</v>
      </c>
      <c r="BC49" s="26">
        <v>56.806500000000007</v>
      </c>
      <c r="BD49" s="26">
        <v>57.042499999999997</v>
      </c>
      <c r="BE49" s="26">
        <v>93.466200000000001</v>
      </c>
      <c r="BF49" s="26">
        <v>28.982500000000002</v>
      </c>
      <c r="BG49" s="26">
        <v>39.6203</v>
      </c>
      <c r="BH49" s="26">
        <v>67.637299999999996</v>
      </c>
      <c r="BI49" s="26">
        <v>53.986699999999999</v>
      </c>
      <c r="BJ49" s="26">
        <v>87.168900000000008</v>
      </c>
      <c r="BK49" s="26">
        <v>10</v>
      </c>
      <c r="BL49" s="26">
        <v>12.794499999999999</v>
      </c>
      <c r="BM49" s="26">
        <v>61.57</v>
      </c>
      <c r="BN49" s="26">
        <v>40.398499999999999</v>
      </c>
      <c r="BO49" s="26">
        <v>60.747399999999999</v>
      </c>
      <c r="BP49" s="26">
        <v>10</v>
      </c>
      <c r="BQ49" s="26">
        <v>73.653100000000009</v>
      </c>
      <c r="BR49" s="26">
        <v>42.452500000000001</v>
      </c>
      <c r="BS49" s="26">
        <v>31.665700000000001</v>
      </c>
      <c r="BT49" s="26">
        <v>77.507499999999993</v>
      </c>
      <c r="BU49" s="26">
        <v>10</v>
      </c>
      <c r="BV49" s="26">
        <v>69.1267</v>
      </c>
      <c r="BW49" s="26">
        <v>72.802300000000002</v>
      </c>
      <c r="BX49" s="26">
        <v>63.362900000000003</v>
      </c>
      <c r="BY49" s="26">
        <v>33.809199999999997</v>
      </c>
      <c r="BZ49" s="26">
        <v>66.776300000000006</v>
      </c>
      <c r="CA49" s="26">
        <v>45.141500000000001</v>
      </c>
      <c r="CB49" s="26">
        <v>48.559493506493517</v>
      </c>
      <c r="CC49" s="32">
        <v>3739.081000000001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C49"/>
  <sheetViews>
    <sheetView showGridLines="0" topLeftCell="BF1" workbookViewId="0"/>
  </sheetViews>
  <sheetFormatPr defaultRowHeight="15" x14ac:dyDescent="0.25"/>
  <cols>
    <col min="1" max="1" width="10" customWidth="1"/>
    <col min="2" max="2" width="9" customWidth="1"/>
    <col min="3" max="81" width="15" customWidth="1"/>
  </cols>
  <sheetData>
    <row r="1" spans="1:81" ht="30" customHeight="1" x14ac:dyDescent="0.25">
      <c r="A1" s="8" t="s">
        <v>26</v>
      </c>
      <c r="B1" s="20" t="s">
        <v>27</v>
      </c>
      <c r="C1" s="20" t="s">
        <v>37</v>
      </c>
      <c r="D1" s="20" t="s">
        <v>38</v>
      </c>
      <c r="E1" s="20" t="s">
        <v>39</v>
      </c>
      <c r="F1" s="20" t="s">
        <v>40</v>
      </c>
      <c r="G1" s="20" t="s">
        <v>41</v>
      </c>
      <c r="H1" s="20" t="s">
        <v>42</v>
      </c>
      <c r="I1" s="20" t="s">
        <v>43</v>
      </c>
      <c r="J1" s="20" t="s">
        <v>44</v>
      </c>
      <c r="K1" s="20" t="s">
        <v>45</v>
      </c>
      <c r="L1" s="20" t="s">
        <v>46</v>
      </c>
      <c r="M1" s="20" t="s">
        <v>47</v>
      </c>
      <c r="N1" s="20" t="s">
        <v>48</v>
      </c>
      <c r="O1" s="20" t="s">
        <v>49</v>
      </c>
      <c r="P1" s="20" t="s">
        <v>50</v>
      </c>
      <c r="Q1" s="20" t="s">
        <v>51</v>
      </c>
      <c r="R1" s="20" t="s">
        <v>52</v>
      </c>
      <c r="S1" s="20" t="s">
        <v>53</v>
      </c>
      <c r="T1" s="20" t="s">
        <v>54</v>
      </c>
      <c r="U1" s="20" t="s">
        <v>55</v>
      </c>
      <c r="V1" s="20" t="s">
        <v>56</v>
      </c>
      <c r="W1" s="20" t="s">
        <v>57</v>
      </c>
      <c r="X1" s="20" t="s">
        <v>58</v>
      </c>
      <c r="Y1" s="20" t="s">
        <v>59</v>
      </c>
      <c r="Z1" s="20" t="s">
        <v>60</v>
      </c>
      <c r="AA1" s="20" t="s">
        <v>61</v>
      </c>
      <c r="AB1" s="20" t="s">
        <v>62</v>
      </c>
      <c r="AC1" s="20" t="s">
        <v>63</v>
      </c>
      <c r="AD1" s="20" t="s">
        <v>64</v>
      </c>
      <c r="AE1" s="20" t="s">
        <v>65</v>
      </c>
      <c r="AF1" s="20" t="s">
        <v>66</v>
      </c>
      <c r="AG1" s="20" t="s">
        <v>67</v>
      </c>
      <c r="AH1" s="20" t="s">
        <v>68</v>
      </c>
      <c r="AI1" s="20" t="s">
        <v>69</v>
      </c>
      <c r="AJ1" s="20" t="s">
        <v>70</v>
      </c>
      <c r="AK1" s="20" t="s">
        <v>71</v>
      </c>
      <c r="AL1" s="20" t="s">
        <v>72</v>
      </c>
      <c r="AM1" s="20" t="s">
        <v>73</v>
      </c>
      <c r="AN1" s="20" t="s">
        <v>74</v>
      </c>
      <c r="AO1" s="20" t="s">
        <v>75</v>
      </c>
      <c r="AP1" s="20" t="s">
        <v>76</v>
      </c>
      <c r="AQ1" s="20" t="s">
        <v>77</v>
      </c>
      <c r="AR1" s="20" t="s">
        <v>78</v>
      </c>
      <c r="AS1" s="20" t="s">
        <v>79</v>
      </c>
      <c r="AT1" s="20" t="s">
        <v>80</v>
      </c>
      <c r="AU1" s="20" t="s">
        <v>81</v>
      </c>
      <c r="AV1" s="20" t="s">
        <v>82</v>
      </c>
      <c r="AW1" s="20" t="s">
        <v>83</v>
      </c>
      <c r="AX1" s="20" t="s">
        <v>84</v>
      </c>
      <c r="AY1" s="20" t="s">
        <v>85</v>
      </c>
      <c r="AZ1" s="20" t="s">
        <v>86</v>
      </c>
      <c r="BA1" s="20" t="s">
        <v>87</v>
      </c>
      <c r="BB1" s="20" t="s">
        <v>88</v>
      </c>
      <c r="BC1" s="20" t="s">
        <v>89</v>
      </c>
      <c r="BD1" s="20" t="s">
        <v>90</v>
      </c>
      <c r="BE1" s="20" t="s">
        <v>91</v>
      </c>
      <c r="BF1" s="20" t="s">
        <v>92</v>
      </c>
      <c r="BG1" s="20" t="s">
        <v>93</v>
      </c>
      <c r="BH1" s="20" t="s">
        <v>94</v>
      </c>
      <c r="BI1" s="20" t="s">
        <v>95</v>
      </c>
      <c r="BJ1" s="20" t="s">
        <v>96</v>
      </c>
      <c r="BK1" s="20" t="s">
        <v>97</v>
      </c>
      <c r="BL1" s="20" t="s">
        <v>98</v>
      </c>
      <c r="BM1" s="20" t="s">
        <v>99</v>
      </c>
      <c r="BN1" s="20" t="s">
        <v>100</v>
      </c>
      <c r="BO1" s="20" t="s">
        <v>101</v>
      </c>
      <c r="BP1" s="20" t="s">
        <v>102</v>
      </c>
      <c r="BQ1" s="20" t="s">
        <v>103</v>
      </c>
      <c r="BR1" s="20" t="s">
        <v>104</v>
      </c>
      <c r="BS1" s="20" t="s">
        <v>105</v>
      </c>
      <c r="BT1" s="20" t="s">
        <v>106</v>
      </c>
      <c r="BU1" s="20" t="s">
        <v>107</v>
      </c>
      <c r="BV1" s="20" t="s">
        <v>108</v>
      </c>
      <c r="BW1" s="20" t="s">
        <v>109</v>
      </c>
      <c r="BX1" s="20" t="s">
        <v>110</v>
      </c>
      <c r="BY1" s="20" t="s">
        <v>111</v>
      </c>
      <c r="BZ1" s="20" t="s">
        <v>112</v>
      </c>
      <c r="CA1" s="20" t="s">
        <v>113</v>
      </c>
      <c r="CB1" s="20" t="s">
        <v>114</v>
      </c>
      <c r="CC1" s="9" t="s">
        <v>115</v>
      </c>
    </row>
    <row r="2" spans="1:81" x14ac:dyDescent="0.25">
      <c r="A2" s="23">
        <v>1</v>
      </c>
      <c r="B2" s="25">
        <v>0</v>
      </c>
      <c r="C2" s="27">
        <v>0.183300666666667</v>
      </c>
      <c r="D2" s="27">
        <v>9.44266666666667E-2</v>
      </c>
      <c r="E2" s="27">
        <v>0.05</v>
      </c>
      <c r="F2" s="27">
        <v>5.7000000000000002E-2</v>
      </c>
      <c r="G2" s="27">
        <v>5.5E-2</v>
      </c>
      <c r="H2" s="27">
        <v>0.19162733333333301</v>
      </c>
      <c r="I2" s="27">
        <v>0.22899600000000001</v>
      </c>
      <c r="J2" s="27">
        <v>0.256168333333333</v>
      </c>
      <c r="K2" s="27">
        <v>0.55997166666666698</v>
      </c>
      <c r="L2" s="27">
        <v>0.378288333333333</v>
      </c>
      <c r="M2" s="27">
        <v>0.48437799999999998</v>
      </c>
      <c r="N2" s="27">
        <v>0.35313499999999998</v>
      </c>
      <c r="O2" s="27">
        <v>0.18326000000000001</v>
      </c>
      <c r="P2" s="27">
        <v>0.22875466666666699</v>
      </c>
      <c r="Q2" s="27">
        <v>0.12977033333333299</v>
      </c>
      <c r="R2" s="27">
        <v>4.4999999999999998E-2</v>
      </c>
      <c r="S2" s="27">
        <v>7.8827999999999995E-2</v>
      </c>
      <c r="T2" s="27">
        <v>0.37837599999999999</v>
      </c>
      <c r="U2" s="27">
        <v>0.107072</v>
      </c>
      <c r="V2" s="27">
        <v>0.219875666666667</v>
      </c>
      <c r="W2" s="27">
        <v>0.100198333333333</v>
      </c>
      <c r="X2" s="27">
        <v>5.0999999999999997E-2</v>
      </c>
      <c r="Y2" s="27">
        <v>0.05</v>
      </c>
      <c r="Z2" s="27">
        <v>2.4385166666666702</v>
      </c>
      <c r="AA2" s="27">
        <v>9.5141333333333397E-2</v>
      </c>
      <c r="AB2" s="27">
        <v>0.52231033333333299</v>
      </c>
      <c r="AC2" s="27">
        <v>0.133061333333333</v>
      </c>
      <c r="AD2" s="27">
        <v>0.19664200000000001</v>
      </c>
      <c r="AE2" s="27">
        <v>0.65491333333333301</v>
      </c>
      <c r="AF2" s="27">
        <v>0.245128333333333</v>
      </c>
      <c r="AG2" s="27">
        <v>5.8999999999999997E-2</v>
      </c>
      <c r="AH2" s="27">
        <v>0.147030666666667</v>
      </c>
      <c r="AI2" s="27">
        <v>0.16750000000000001</v>
      </c>
      <c r="AJ2" s="27">
        <v>6.9782166666666701E-2</v>
      </c>
      <c r="AK2" s="27">
        <v>7.3377999999999999E-2</v>
      </c>
      <c r="AL2" s="27">
        <v>0.26922133333333298</v>
      </c>
      <c r="AM2" s="27">
        <v>0.11155266666666699</v>
      </c>
      <c r="AN2" s="27">
        <v>5.8999999999999997E-2</v>
      </c>
      <c r="AO2" s="27">
        <v>0.39145466666666701</v>
      </c>
      <c r="AP2" s="27">
        <v>0.52603999999999995</v>
      </c>
      <c r="AQ2" s="27">
        <v>5.2999999999999999E-2</v>
      </c>
      <c r="AR2" s="27">
        <v>0.1419</v>
      </c>
      <c r="AS2" s="27">
        <v>4.2000000000000003E-2</v>
      </c>
      <c r="AT2" s="27">
        <v>0.19651766666666701</v>
      </c>
      <c r="AU2" s="27">
        <v>0.11565</v>
      </c>
      <c r="AV2" s="27">
        <v>0.21787366666666699</v>
      </c>
      <c r="AW2" s="27">
        <v>0.31326599999999999</v>
      </c>
      <c r="AX2" s="27">
        <v>0.03</v>
      </c>
      <c r="AY2" s="27">
        <v>0.160380666666667</v>
      </c>
      <c r="AZ2" s="27">
        <v>0.29324033333333299</v>
      </c>
      <c r="BA2" s="27">
        <v>0.124101</v>
      </c>
      <c r="BB2" s="27">
        <v>9.5389000000000002E-2</v>
      </c>
      <c r="BC2" s="27">
        <v>8.8565666666666695E-2</v>
      </c>
      <c r="BD2" s="27">
        <v>0.40058766666666701</v>
      </c>
      <c r="BE2" s="27">
        <v>5.8000000000000003E-2</v>
      </c>
      <c r="BF2" s="27">
        <v>0.153077666666667</v>
      </c>
      <c r="BG2" s="27">
        <v>0.18697066666666701</v>
      </c>
      <c r="BH2" s="27">
        <v>0.184294666666667</v>
      </c>
      <c r="BI2" s="27">
        <v>0.35906199999999999</v>
      </c>
      <c r="BJ2" s="27">
        <v>0.71899433333333296</v>
      </c>
      <c r="BK2" s="27">
        <v>0.21899533333333299</v>
      </c>
      <c r="BL2" s="27">
        <v>0.28485466666666698</v>
      </c>
      <c r="BM2" s="27">
        <v>1.791776</v>
      </c>
      <c r="BN2" s="27">
        <v>1.9460999999999999</v>
      </c>
      <c r="BO2" s="27">
        <v>0.16842333333333401</v>
      </c>
      <c r="BP2" s="27">
        <v>0.05</v>
      </c>
      <c r="BQ2" s="27">
        <v>0.36297033333333301</v>
      </c>
      <c r="BR2" s="27">
        <v>4.8000000000000001E-2</v>
      </c>
      <c r="BS2" s="27">
        <v>0.10151300000000001</v>
      </c>
      <c r="BT2" s="27">
        <v>5.5E-2</v>
      </c>
      <c r="BU2" s="27">
        <v>0.21373</v>
      </c>
      <c r="BV2" s="27">
        <v>0.14638200000000001</v>
      </c>
      <c r="BW2" s="27">
        <v>0.16771533333333299</v>
      </c>
      <c r="BX2" s="27">
        <v>0.75989333333333298</v>
      </c>
      <c r="BY2" s="27">
        <v>0.106790333333333</v>
      </c>
      <c r="BZ2" s="27">
        <v>4.3999999999999997E-2</v>
      </c>
      <c r="CA2" s="27">
        <v>4.8000000000000001E-2</v>
      </c>
      <c r="CB2" s="27">
        <v>0.27365083766233772</v>
      </c>
      <c r="CC2" s="33">
        <v>21.0711145</v>
      </c>
    </row>
    <row r="3" spans="1:81" x14ac:dyDescent="0.25">
      <c r="A3" s="23">
        <v>2</v>
      </c>
      <c r="B3" s="25">
        <v>0.5</v>
      </c>
      <c r="C3" s="27">
        <v>0.240402</v>
      </c>
      <c r="D3" s="27">
        <v>0.04</v>
      </c>
      <c r="E3" s="27">
        <v>0.13322000000000001</v>
      </c>
      <c r="F3" s="27">
        <v>5.7000000000000002E-2</v>
      </c>
      <c r="G3" s="27">
        <v>5.5E-2</v>
      </c>
      <c r="H3" s="27">
        <v>0.217872333333333</v>
      </c>
      <c r="I3" s="27">
        <v>0.10783</v>
      </c>
      <c r="J3" s="27">
        <v>9.4640333333333396E-2</v>
      </c>
      <c r="K3" s="27">
        <v>0.533548666666667</v>
      </c>
      <c r="L3" s="27">
        <v>0.38211600000000001</v>
      </c>
      <c r="M3" s="27">
        <v>0.50630900000000001</v>
      </c>
      <c r="N3" s="27">
        <v>0.50322466666666599</v>
      </c>
      <c r="O3" s="27">
        <v>5.0999999999999997E-2</v>
      </c>
      <c r="P3" s="27">
        <v>8.4050666666666704E-2</v>
      </c>
      <c r="Q3" s="27">
        <v>0.12977033333333299</v>
      </c>
      <c r="R3" s="27">
        <v>4.4999999999999998E-2</v>
      </c>
      <c r="S3" s="27">
        <v>0.28771266666666701</v>
      </c>
      <c r="T3" s="27">
        <v>0.216125333333333</v>
      </c>
      <c r="U3" s="27">
        <v>4.7E-2</v>
      </c>
      <c r="V3" s="27">
        <v>0.103974333333333</v>
      </c>
      <c r="W3" s="27">
        <v>0.331031666666667</v>
      </c>
      <c r="X3" s="27">
        <v>0.167753333333333</v>
      </c>
      <c r="Y3" s="27">
        <v>0.05</v>
      </c>
      <c r="Z3" s="27">
        <v>5.5E-2</v>
      </c>
      <c r="AA3" s="27">
        <v>0.104426666666667</v>
      </c>
      <c r="AB3" s="27">
        <v>9.6575666666666699E-2</v>
      </c>
      <c r="AC3" s="27">
        <v>0.05</v>
      </c>
      <c r="AD3" s="27">
        <v>5.5E-2</v>
      </c>
      <c r="AE3" s="27">
        <v>0.69319166666666698</v>
      </c>
      <c r="AF3" s="27">
        <v>0.38828299999999999</v>
      </c>
      <c r="AG3" s="27">
        <v>0.17283999999999999</v>
      </c>
      <c r="AH3" s="27">
        <v>0.19778000000000001</v>
      </c>
      <c r="AI3" s="27">
        <v>0.116574</v>
      </c>
      <c r="AJ3" s="27">
        <v>0.37210359999999998</v>
      </c>
      <c r="AK3" s="27">
        <v>0.29825400000000002</v>
      </c>
      <c r="AL3" s="27">
        <v>0.22536866666666699</v>
      </c>
      <c r="AM3" s="27">
        <v>8.2220666666666706E-2</v>
      </c>
      <c r="AN3" s="27">
        <v>0.293053333333333</v>
      </c>
      <c r="AO3" s="27">
        <v>4.7E-2</v>
      </c>
      <c r="AP3" s="27">
        <v>0.44666333333333302</v>
      </c>
      <c r="AQ3" s="27">
        <v>0.13129399999999999</v>
      </c>
      <c r="AR3" s="27">
        <v>4.5999999999999999E-2</v>
      </c>
      <c r="AS3" s="27">
        <v>0.126799</v>
      </c>
      <c r="AT3" s="27">
        <v>3.6999999999999998E-2</v>
      </c>
      <c r="AU3" s="27">
        <v>0.247953333333333</v>
      </c>
      <c r="AV3" s="27">
        <v>8.1188666666666701E-2</v>
      </c>
      <c r="AW3" s="27">
        <v>8.1253333333333302E-2</v>
      </c>
      <c r="AX3" s="27">
        <v>0.16144</v>
      </c>
      <c r="AY3" s="27">
        <v>0.24227733333333301</v>
      </c>
      <c r="AZ3" s="27">
        <v>8.8449999999999904E-2</v>
      </c>
      <c r="BA3" s="27">
        <v>0.14003599999999999</v>
      </c>
      <c r="BB3" s="27">
        <v>9.5388999999999904E-2</v>
      </c>
      <c r="BC3" s="27">
        <v>8.0281000000000005E-2</v>
      </c>
      <c r="BD3" s="27">
        <v>9.10546666666667E-2</v>
      </c>
      <c r="BE3" s="27">
        <v>5.8000000000000003E-2</v>
      </c>
      <c r="BF3" s="27">
        <v>0.16844566666666699</v>
      </c>
      <c r="BG3" s="27">
        <v>0.166173666666667</v>
      </c>
      <c r="BH3" s="27">
        <v>6.8223333333333303E-2</v>
      </c>
      <c r="BI3" s="27">
        <v>0.94815066666666703</v>
      </c>
      <c r="BJ3" s="27">
        <v>9.3563333333333304E-2</v>
      </c>
      <c r="BK3" s="27">
        <v>5.5E-2</v>
      </c>
      <c r="BL3" s="27">
        <v>0.23675966666666601</v>
      </c>
      <c r="BM3" s="27">
        <v>0.369694666666667</v>
      </c>
      <c r="BN3" s="27">
        <v>0.53397666666666699</v>
      </c>
      <c r="BO3" s="27">
        <v>8.4180000000000005E-2</v>
      </c>
      <c r="BP3" s="27">
        <v>0.05</v>
      </c>
      <c r="BQ3" s="27">
        <v>3.6999999999999998E-2</v>
      </c>
      <c r="BR3" s="27">
        <v>4.8000000000000001E-2</v>
      </c>
      <c r="BS3" s="27">
        <v>0.160385</v>
      </c>
      <c r="BT3" s="27">
        <v>0.191381</v>
      </c>
      <c r="BU3" s="27">
        <v>5.5E-2</v>
      </c>
      <c r="BV3" s="27">
        <v>0.18135799999999999</v>
      </c>
      <c r="BW3" s="27">
        <v>5.6000000000000001E-2</v>
      </c>
      <c r="BX3" s="27">
        <v>5.1999999999999998E-2</v>
      </c>
      <c r="BY3" s="27">
        <v>0.26498333333333302</v>
      </c>
      <c r="BZ3" s="27">
        <v>4.3999999999999997E-2</v>
      </c>
      <c r="CA3" s="27">
        <v>4.8000000000000001E-2</v>
      </c>
      <c r="CB3" s="27">
        <v>0.17791697748917751</v>
      </c>
      <c r="CC3" s="33">
        <v>13.69960726666667</v>
      </c>
    </row>
    <row r="4" spans="1:81" x14ac:dyDescent="0.25">
      <c r="A4" s="23">
        <v>3</v>
      </c>
      <c r="B4" s="25">
        <v>1</v>
      </c>
      <c r="C4" s="27">
        <v>0.15165300000000001</v>
      </c>
      <c r="D4" s="27">
        <v>0.04</v>
      </c>
      <c r="E4" s="27">
        <v>0.05</v>
      </c>
      <c r="F4" s="27">
        <v>5.7000000000000002E-2</v>
      </c>
      <c r="G4" s="27">
        <v>0.214258</v>
      </c>
      <c r="H4" s="27">
        <v>8.0133333333333404E-2</v>
      </c>
      <c r="I4" s="27">
        <v>0.110968</v>
      </c>
      <c r="J4" s="27">
        <v>5.0999999999999997E-2</v>
      </c>
      <c r="K4" s="27">
        <v>5.5E-2</v>
      </c>
      <c r="L4" s="27">
        <v>6.0999999999999999E-2</v>
      </c>
      <c r="M4" s="27">
        <v>0.38427</v>
      </c>
      <c r="N4" s="27">
        <v>0.71047133333333301</v>
      </c>
      <c r="O4" s="27">
        <v>6.6559999999999994E-2</v>
      </c>
      <c r="P4" s="27">
        <v>0.319174666666667</v>
      </c>
      <c r="Q4" s="27">
        <v>0.112229333333333</v>
      </c>
      <c r="R4" s="27">
        <v>6.01373333333333E-2</v>
      </c>
      <c r="S4" s="27">
        <v>0.05</v>
      </c>
      <c r="T4" s="27">
        <v>5.3999999999999999E-2</v>
      </c>
      <c r="U4" s="27">
        <v>0.159635</v>
      </c>
      <c r="V4" s="27">
        <v>0.28936133333333303</v>
      </c>
      <c r="W4" s="27">
        <v>5.7654666666666701E-2</v>
      </c>
      <c r="X4" s="27">
        <v>0.10827000000000001</v>
      </c>
      <c r="Y4" s="27">
        <v>0.05</v>
      </c>
      <c r="Z4" s="27">
        <v>5.5E-2</v>
      </c>
      <c r="AA4" s="27">
        <v>5.8000000000000003E-2</v>
      </c>
      <c r="AB4" s="27">
        <v>0.13049766666666701</v>
      </c>
      <c r="AC4" s="27">
        <v>8.6339333333333407E-2</v>
      </c>
      <c r="AD4" s="27">
        <v>0.38825500000000002</v>
      </c>
      <c r="AE4" s="27">
        <v>0.47944433333333403</v>
      </c>
      <c r="AF4" s="27">
        <v>0.26912266666666701</v>
      </c>
      <c r="AG4" s="27">
        <v>0.165922666666667</v>
      </c>
      <c r="AH4" s="27">
        <v>9.5515333333333396E-2</v>
      </c>
      <c r="AI4" s="27">
        <v>0.161173333333333</v>
      </c>
      <c r="AJ4" s="27">
        <v>0.16104866666666701</v>
      </c>
      <c r="AK4" s="27">
        <v>0.15015800000000001</v>
      </c>
      <c r="AL4" s="27">
        <v>0.180644</v>
      </c>
      <c r="AM4" s="27">
        <v>4.8000000000000001E-2</v>
      </c>
      <c r="AN4" s="27">
        <v>5.8999999999999997E-2</v>
      </c>
      <c r="AO4" s="27">
        <v>4.7E-2</v>
      </c>
      <c r="AP4" s="27">
        <v>5.1999999999999998E-2</v>
      </c>
      <c r="AQ4" s="27">
        <v>5.2999999999999999E-2</v>
      </c>
      <c r="AR4" s="27">
        <v>4.5999999999999999E-2</v>
      </c>
      <c r="AS4" s="27">
        <v>0.13939099999999999</v>
      </c>
      <c r="AT4" s="27">
        <v>3.6999999999999998E-2</v>
      </c>
      <c r="AU4" s="27">
        <v>0.04</v>
      </c>
      <c r="AV4" s="27">
        <v>0.12774933333333299</v>
      </c>
      <c r="AW4" s="27">
        <v>0.26008199999999998</v>
      </c>
      <c r="AX4" s="27">
        <v>0.03</v>
      </c>
      <c r="AY4" s="27">
        <v>0.147064</v>
      </c>
      <c r="AZ4" s="27">
        <v>0.197847</v>
      </c>
      <c r="BA4" s="27">
        <v>0.17982000000000001</v>
      </c>
      <c r="BB4" s="27">
        <v>5.8000000000000003E-2</v>
      </c>
      <c r="BC4" s="27">
        <v>8.0281000000000005E-2</v>
      </c>
      <c r="BD4" s="27">
        <v>0.25392599999999999</v>
      </c>
      <c r="BE4" s="27">
        <v>5.8000000000000003E-2</v>
      </c>
      <c r="BF4" s="27">
        <v>8.4846000000000005E-2</v>
      </c>
      <c r="BG4" s="27">
        <v>8.8054999999999994E-2</v>
      </c>
      <c r="BH4" s="27">
        <v>0.243796333333333</v>
      </c>
      <c r="BI4" s="27">
        <v>4.3999999999999997E-2</v>
      </c>
      <c r="BJ4" s="27">
        <v>6.0264333333333302E-2</v>
      </c>
      <c r="BK4" s="27">
        <v>5.5E-2</v>
      </c>
      <c r="BL4" s="27">
        <v>0.19776666666666701</v>
      </c>
      <c r="BM4" s="27">
        <v>0.11758666666666701</v>
      </c>
      <c r="BN4" s="27">
        <v>7.7342666666666698E-2</v>
      </c>
      <c r="BO4" s="27">
        <v>0.156908666666667</v>
      </c>
      <c r="BP4" s="27">
        <v>0.05</v>
      </c>
      <c r="BQ4" s="27">
        <v>3.6999999999999998E-2</v>
      </c>
      <c r="BR4" s="27">
        <v>4.8000000000000001E-2</v>
      </c>
      <c r="BS4" s="27">
        <v>0.05</v>
      </c>
      <c r="BT4" s="27">
        <v>0.104903</v>
      </c>
      <c r="BU4" s="27">
        <v>5.5E-2</v>
      </c>
      <c r="BV4" s="27">
        <v>0.13237966666666701</v>
      </c>
      <c r="BW4" s="27">
        <v>5.6000000000000001E-2</v>
      </c>
      <c r="BX4" s="27">
        <v>0.15684933333333301</v>
      </c>
      <c r="BY4" s="27">
        <v>0.125596666666667</v>
      </c>
      <c r="BZ4" s="27">
        <v>0.10526666666666699</v>
      </c>
      <c r="CA4" s="27">
        <v>4.8000000000000001E-2</v>
      </c>
      <c r="CB4" s="27">
        <v>0.12574829870129869</v>
      </c>
      <c r="CC4" s="33">
        <v>9.6826190000000025</v>
      </c>
    </row>
    <row r="5" spans="1:81" x14ac:dyDescent="0.25">
      <c r="A5" s="23">
        <v>4</v>
      </c>
      <c r="B5" s="25">
        <v>1.5</v>
      </c>
      <c r="C5" s="27">
        <v>0.223015666666667</v>
      </c>
      <c r="D5" s="27">
        <v>9.44266666666667E-2</v>
      </c>
      <c r="E5" s="27">
        <v>0.13322000000000001</v>
      </c>
      <c r="F5" s="27">
        <v>0.17545333333333299</v>
      </c>
      <c r="G5" s="27">
        <v>5.5E-2</v>
      </c>
      <c r="H5" s="27">
        <v>0.30560066666666702</v>
      </c>
      <c r="I5" s="27">
        <v>0.22220266666666699</v>
      </c>
      <c r="J5" s="27">
        <v>0.299808666666667</v>
      </c>
      <c r="K5" s="27">
        <v>5.5E-2</v>
      </c>
      <c r="L5" s="27">
        <v>0.22489266666666699</v>
      </c>
      <c r="M5" s="27">
        <v>0.16685666666666699</v>
      </c>
      <c r="N5" s="27">
        <v>0.36875799999999997</v>
      </c>
      <c r="O5" s="27">
        <v>0.20660000000000001</v>
      </c>
      <c r="P5" s="27">
        <v>5.1999999999999998E-2</v>
      </c>
      <c r="Q5" s="27">
        <v>0.107469333333333</v>
      </c>
      <c r="R5" s="27">
        <v>0.19637333333333301</v>
      </c>
      <c r="S5" s="27">
        <v>0.05</v>
      </c>
      <c r="T5" s="27">
        <v>5.3999999999999999E-2</v>
      </c>
      <c r="U5" s="27">
        <v>9.9563000000000096E-2</v>
      </c>
      <c r="V5" s="27">
        <v>7.3988333333333295E-2</v>
      </c>
      <c r="W5" s="27">
        <v>0.226074</v>
      </c>
      <c r="X5" s="27">
        <v>5.0999999999999997E-2</v>
      </c>
      <c r="Y5" s="27">
        <v>0.05</v>
      </c>
      <c r="Z5" s="27">
        <v>5.5E-2</v>
      </c>
      <c r="AA5" s="27">
        <v>0.13228266666666699</v>
      </c>
      <c r="AB5" s="27">
        <v>5.7000000000000002E-2</v>
      </c>
      <c r="AC5" s="27">
        <v>0.117487333333333</v>
      </c>
      <c r="AD5" s="27">
        <v>6.9886666666666694E-2</v>
      </c>
      <c r="AE5" s="27">
        <v>9.1319999999999998E-2</v>
      </c>
      <c r="AF5" s="27">
        <v>5.3999999999999999E-2</v>
      </c>
      <c r="AG5" s="27">
        <v>0.17283999999999999</v>
      </c>
      <c r="AH5" s="27">
        <v>9.5515333333333396E-2</v>
      </c>
      <c r="AI5" s="27">
        <v>0.16061666666666699</v>
      </c>
      <c r="AJ5" s="27">
        <v>0.05</v>
      </c>
      <c r="AK5" s="27">
        <v>0.16564599999999999</v>
      </c>
      <c r="AL5" s="27">
        <v>0.13146133333333301</v>
      </c>
      <c r="AM5" s="27">
        <v>0.119142</v>
      </c>
      <c r="AN5" s="27">
        <v>0.20759</v>
      </c>
      <c r="AO5" s="27">
        <v>4.7E-2</v>
      </c>
      <c r="AP5" s="27">
        <v>5.1999999999999998E-2</v>
      </c>
      <c r="AQ5" s="27">
        <v>5.2999999999999999E-2</v>
      </c>
      <c r="AR5" s="27">
        <v>4.5999999999999999E-2</v>
      </c>
      <c r="AS5" s="27">
        <v>0.35065666666666701</v>
      </c>
      <c r="AT5" s="27">
        <v>0.204913333333333</v>
      </c>
      <c r="AU5" s="27">
        <v>0.18276833333333301</v>
      </c>
      <c r="AV5" s="27">
        <v>0.17438093333333299</v>
      </c>
      <c r="AW5" s="27">
        <v>5.50523333333333E-2</v>
      </c>
      <c r="AX5" s="27">
        <v>0.16144</v>
      </c>
      <c r="AY5" s="27">
        <v>0.18700966666666699</v>
      </c>
      <c r="AZ5" s="27">
        <v>5.8193333333333298E-2</v>
      </c>
      <c r="BA5" s="27">
        <v>0.14003599999999999</v>
      </c>
      <c r="BB5" s="27">
        <v>0.13277800000000001</v>
      </c>
      <c r="BC5" s="27">
        <v>0.10099266666666699</v>
      </c>
      <c r="BD5" s="27">
        <v>3.5999999999999997E-2</v>
      </c>
      <c r="BE5" s="27">
        <v>0.123988</v>
      </c>
      <c r="BF5" s="27">
        <v>0.29533500000000001</v>
      </c>
      <c r="BG5" s="27">
        <v>0.27271400000000001</v>
      </c>
      <c r="BH5" s="27">
        <v>5.5E-2</v>
      </c>
      <c r="BI5" s="27">
        <v>0.11325866666666699</v>
      </c>
      <c r="BJ5" s="27">
        <v>0.27856500000000001</v>
      </c>
      <c r="BK5" s="27">
        <v>0.21899533333333299</v>
      </c>
      <c r="BL5" s="27">
        <v>0.23016300000000001</v>
      </c>
      <c r="BM5" s="27">
        <v>0.110013333333333</v>
      </c>
      <c r="BN5" s="27">
        <v>0.14737066666666701</v>
      </c>
      <c r="BO5" s="27">
        <v>8.4180000000000005E-2</v>
      </c>
      <c r="BP5" s="27">
        <v>0.05</v>
      </c>
      <c r="BQ5" s="27">
        <v>0.207265333333333</v>
      </c>
      <c r="BR5" s="27">
        <v>4.8000000000000001E-2</v>
      </c>
      <c r="BS5" s="27">
        <v>0.12359000000000001</v>
      </c>
      <c r="BT5" s="27">
        <v>8.3825999999999998E-2</v>
      </c>
      <c r="BU5" s="27">
        <v>0.21373</v>
      </c>
      <c r="BV5" s="27">
        <v>0.180447</v>
      </c>
      <c r="BW5" s="27">
        <v>0.16771533333333299</v>
      </c>
      <c r="BX5" s="27">
        <v>0.124588</v>
      </c>
      <c r="BY5" s="27">
        <v>0.442927666666666</v>
      </c>
      <c r="BZ5" s="27">
        <v>0.15061333333333299</v>
      </c>
      <c r="CA5" s="27">
        <v>4.8000000000000001E-2</v>
      </c>
      <c r="CB5" s="27">
        <v>0.14186490822510819</v>
      </c>
      <c r="CC5" s="33">
        <v>10.92359793333333</v>
      </c>
    </row>
    <row r="6" spans="1:81" x14ac:dyDescent="0.25">
      <c r="A6" s="23">
        <v>5</v>
      </c>
      <c r="B6" s="25">
        <v>2</v>
      </c>
      <c r="C6" s="27">
        <v>0.140902</v>
      </c>
      <c r="D6" s="27">
        <v>0.13524666666666699</v>
      </c>
      <c r="E6" s="27">
        <v>0.05</v>
      </c>
      <c r="F6" s="27">
        <v>5.7000000000000002E-2</v>
      </c>
      <c r="G6" s="27">
        <v>0.16358500000000001</v>
      </c>
      <c r="H6" s="27">
        <v>0.15084500000000001</v>
      </c>
      <c r="I6" s="27">
        <v>7.4931999999999999E-2</v>
      </c>
      <c r="J6" s="27">
        <v>5.0999999999999997E-2</v>
      </c>
      <c r="K6" s="27">
        <v>5.5E-2</v>
      </c>
      <c r="L6" s="27">
        <v>6.0999999999999999E-2</v>
      </c>
      <c r="M6" s="27">
        <v>4.5999999999999999E-2</v>
      </c>
      <c r="N6" s="27">
        <v>0.23475733333333301</v>
      </c>
      <c r="O6" s="27">
        <v>5.0999999999999997E-2</v>
      </c>
      <c r="P6" s="27">
        <v>6.4294666666666694E-2</v>
      </c>
      <c r="Q6" s="27">
        <v>0.152071333333333</v>
      </c>
      <c r="R6" s="27">
        <v>4.4999999999999998E-2</v>
      </c>
      <c r="S6" s="27">
        <v>0.29491966666666702</v>
      </c>
      <c r="T6" s="27">
        <v>5.3999999999999999E-2</v>
      </c>
      <c r="U6" s="27">
        <v>5.1489666666666697E-2</v>
      </c>
      <c r="V6" s="27">
        <v>0.13167499999999999</v>
      </c>
      <c r="W6" s="27">
        <v>0.15500700000000001</v>
      </c>
      <c r="X6" s="27">
        <v>0.183661666666667</v>
      </c>
      <c r="Y6" s="27">
        <v>0.05</v>
      </c>
      <c r="Z6" s="27">
        <v>5.5E-2</v>
      </c>
      <c r="AA6" s="27">
        <v>6.7285333333333405E-2</v>
      </c>
      <c r="AB6" s="27">
        <v>5.7000000000000002E-2</v>
      </c>
      <c r="AC6" s="27">
        <v>0.05</v>
      </c>
      <c r="AD6" s="27">
        <v>0.107294666666667</v>
      </c>
      <c r="AE6" s="27">
        <v>0.160186666666667</v>
      </c>
      <c r="AF6" s="27">
        <v>5.3999999999999999E-2</v>
      </c>
      <c r="AG6" s="27">
        <v>5.8999999999999997E-2</v>
      </c>
      <c r="AH6" s="27">
        <v>4.3999999999999997E-2</v>
      </c>
      <c r="AI6" s="27">
        <v>0.135432</v>
      </c>
      <c r="AJ6" s="27">
        <v>0.2084</v>
      </c>
      <c r="AK6" s="27">
        <v>0.25569799999999998</v>
      </c>
      <c r="AL6" s="27">
        <v>0.18351833333333301</v>
      </c>
      <c r="AM6" s="27">
        <v>4.8000000000000001E-2</v>
      </c>
      <c r="AN6" s="27">
        <v>0.144463333333333</v>
      </c>
      <c r="AO6" s="27">
        <v>0.12750800000000001</v>
      </c>
      <c r="AP6" s="27">
        <v>5.1999999999999998E-2</v>
      </c>
      <c r="AQ6" s="27">
        <v>0.13129399999999999</v>
      </c>
      <c r="AR6" s="27">
        <v>4.5999999999999999E-2</v>
      </c>
      <c r="AS6" s="27">
        <v>0.46315666666666699</v>
      </c>
      <c r="AT6" s="27">
        <v>5.3791333333333302E-2</v>
      </c>
      <c r="AU6" s="27">
        <v>0.180835</v>
      </c>
      <c r="AV6" s="27">
        <v>6.7937333333333405E-2</v>
      </c>
      <c r="AW6" s="27">
        <v>0.18039633333333299</v>
      </c>
      <c r="AX6" s="27">
        <v>0.03</v>
      </c>
      <c r="AY6" s="27">
        <v>0.15904033333333301</v>
      </c>
      <c r="AZ6" s="27">
        <v>9.13423333333334E-2</v>
      </c>
      <c r="BA6" s="27">
        <v>0.17982000000000001</v>
      </c>
      <c r="BB6" s="27">
        <v>5.8000000000000003E-2</v>
      </c>
      <c r="BC6" s="27">
        <v>5.9569333333333301E-2</v>
      </c>
      <c r="BD6" s="27">
        <v>0.24657999999999999</v>
      </c>
      <c r="BE6" s="27">
        <v>5.8000000000000003E-2</v>
      </c>
      <c r="BF6" s="27">
        <v>6.4649666666666702E-2</v>
      </c>
      <c r="BG6" s="27">
        <v>0.05</v>
      </c>
      <c r="BH6" s="27">
        <v>0.171073</v>
      </c>
      <c r="BI6" s="27">
        <v>5.2657333333333403E-2</v>
      </c>
      <c r="BJ6" s="27">
        <v>5.2999999999999999E-2</v>
      </c>
      <c r="BK6" s="27">
        <v>5.5E-2</v>
      </c>
      <c r="BL6" s="27">
        <v>0.14868366666666699</v>
      </c>
      <c r="BM6" s="27">
        <v>0.1706</v>
      </c>
      <c r="BN6" s="27">
        <v>0.146942666666667</v>
      </c>
      <c r="BO6" s="27">
        <v>4.9636E-2</v>
      </c>
      <c r="BP6" s="27">
        <v>0.05</v>
      </c>
      <c r="BQ6" s="27">
        <v>3.6999999999999998E-2</v>
      </c>
      <c r="BR6" s="27">
        <v>4.8000000000000001E-2</v>
      </c>
      <c r="BS6" s="27">
        <v>0.13830799999999999</v>
      </c>
      <c r="BT6" s="27">
        <v>0.112652</v>
      </c>
      <c r="BU6" s="27">
        <v>5.5E-2</v>
      </c>
      <c r="BV6" s="27">
        <v>0.215046666666667</v>
      </c>
      <c r="BW6" s="27">
        <v>5.6000000000000001E-2</v>
      </c>
      <c r="BX6" s="27">
        <v>6.81306666666667E-2</v>
      </c>
      <c r="BY6" s="27">
        <v>8.9308666666666703E-2</v>
      </c>
      <c r="BZ6" s="27">
        <v>4.3999999999999997E-2</v>
      </c>
      <c r="CA6" s="27">
        <v>4.8000000000000001E-2</v>
      </c>
      <c r="CB6" s="27">
        <v>0.10638473160173161</v>
      </c>
      <c r="CC6" s="33">
        <v>8.1916243333333352</v>
      </c>
    </row>
    <row r="7" spans="1:81" x14ac:dyDescent="0.25">
      <c r="A7" s="23">
        <v>6</v>
      </c>
      <c r="B7" s="25">
        <v>2.5</v>
      </c>
      <c r="C7" s="27">
        <v>0.148362666666667</v>
      </c>
      <c r="D7" s="27">
        <v>0.04</v>
      </c>
      <c r="E7" s="27">
        <v>6.3869999999999996E-2</v>
      </c>
      <c r="F7" s="27">
        <v>0.17545333333333299</v>
      </c>
      <c r="G7" s="27">
        <v>0.105673</v>
      </c>
      <c r="H7" s="27">
        <v>0.14870066666666701</v>
      </c>
      <c r="I7" s="27">
        <v>0.147004</v>
      </c>
      <c r="J7" s="27">
        <v>0.101895666666667</v>
      </c>
      <c r="K7" s="27">
        <v>5.5E-2</v>
      </c>
      <c r="L7" s="27">
        <v>6.0999999999999999E-2</v>
      </c>
      <c r="M7" s="27">
        <v>4.5999999999999999E-2</v>
      </c>
      <c r="N7" s="27">
        <v>0.138943333333333</v>
      </c>
      <c r="O7" s="27">
        <v>0.20660000000000001</v>
      </c>
      <c r="P7" s="27">
        <v>0.33091799999999999</v>
      </c>
      <c r="Q7" s="27">
        <v>4.8000000000000001E-2</v>
      </c>
      <c r="R7" s="27">
        <v>7.5274666666666698E-2</v>
      </c>
      <c r="S7" s="27">
        <v>7.1621000000000004E-2</v>
      </c>
      <c r="T7" s="27">
        <v>0.120324</v>
      </c>
      <c r="U7" s="27">
        <v>0.19380393333333301</v>
      </c>
      <c r="V7" s="27">
        <v>0.22270100000000001</v>
      </c>
      <c r="W7" s="27">
        <v>0.17366166666666699</v>
      </c>
      <c r="X7" s="27">
        <v>9.2361666666666703E-2</v>
      </c>
      <c r="Y7" s="27">
        <v>0.05</v>
      </c>
      <c r="Z7" s="27">
        <v>5.5E-2</v>
      </c>
      <c r="AA7" s="27">
        <v>9.9784000000000095E-2</v>
      </c>
      <c r="AB7" s="27">
        <v>6.8307333333333303E-2</v>
      </c>
      <c r="AC7" s="27">
        <v>0.153826666666667</v>
      </c>
      <c r="AD7" s="27">
        <v>0.23369466666666699</v>
      </c>
      <c r="AE7" s="27">
        <v>0.05</v>
      </c>
      <c r="AF7" s="27">
        <v>5.3999999999999999E-2</v>
      </c>
      <c r="AG7" s="27">
        <v>0.26837866666666699</v>
      </c>
      <c r="AH7" s="27">
        <v>0.17499066666666699</v>
      </c>
      <c r="AI7" s="27">
        <v>0.16750000000000001</v>
      </c>
      <c r="AJ7" s="27">
        <v>0.05</v>
      </c>
      <c r="AK7" s="27">
        <v>0.10044599999999999</v>
      </c>
      <c r="AL7" s="27">
        <v>0.25712600000000002</v>
      </c>
      <c r="AM7" s="27">
        <v>0.119142</v>
      </c>
      <c r="AN7" s="27">
        <v>5.8999999999999997E-2</v>
      </c>
      <c r="AO7" s="27">
        <v>4.7E-2</v>
      </c>
      <c r="AP7" s="27">
        <v>5.1999999999999998E-2</v>
      </c>
      <c r="AQ7" s="27">
        <v>5.2999999999999999E-2</v>
      </c>
      <c r="AR7" s="27">
        <v>4.5999999999999999E-2</v>
      </c>
      <c r="AS7" s="27">
        <v>0.54207866666666704</v>
      </c>
      <c r="AT7" s="27">
        <v>4.5395666666666702E-2</v>
      </c>
      <c r="AU7" s="27">
        <v>0.04</v>
      </c>
      <c r="AV7" s="27">
        <v>0.11778066666666701</v>
      </c>
      <c r="AW7" s="27">
        <v>0.15688666666666701</v>
      </c>
      <c r="AX7" s="27">
        <v>0.115436</v>
      </c>
      <c r="AY7" s="27">
        <v>0.139988</v>
      </c>
      <c r="AZ7" s="27">
        <v>0.33868466666666702</v>
      </c>
      <c r="BA7" s="27">
        <v>0.112024</v>
      </c>
      <c r="BB7" s="27">
        <v>0.13277800000000001</v>
      </c>
      <c r="BC7" s="27">
        <v>4.2999999999999997E-2</v>
      </c>
      <c r="BD7" s="27">
        <v>6.4334000000000002E-2</v>
      </c>
      <c r="BE7" s="27">
        <v>5.8000000000000003E-2</v>
      </c>
      <c r="BF7" s="27">
        <v>0.177136666666667</v>
      </c>
      <c r="BG7" s="27">
        <v>0.05</v>
      </c>
      <c r="BH7" s="27">
        <v>0.140951666666667</v>
      </c>
      <c r="BI7" s="27">
        <v>4.3999999999999997E-2</v>
      </c>
      <c r="BJ7" s="27">
        <v>0.183758</v>
      </c>
      <c r="BK7" s="27">
        <v>0.21154100000000001</v>
      </c>
      <c r="BL7" s="27">
        <v>0.154936666666667</v>
      </c>
      <c r="BM7" s="27">
        <v>5.7000000000000002E-2</v>
      </c>
      <c r="BN7" s="27">
        <v>0.14153499999999999</v>
      </c>
      <c r="BO7" s="27">
        <v>0.16266600000000001</v>
      </c>
      <c r="BP7" s="27">
        <v>0.05</v>
      </c>
      <c r="BQ7" s="27">
        <v>0.12987199999999999</v>
      </c>
      <c r="BR7" s="27">
        <v>4.8000000000000001E-2</v>
      </c>
      <c r="BS7" s="27">
        <v>0.05</v>
      </c>
      <c r="BT7" s="27">
        <v>0.16441466666666699</v>
      </c>
      <c r="BU7" s="27">
        <v>9.8290000000000002E-2</v>
      </c>
      <c r="BV7" s="27">
        <v>5.0999999999999997E-2</v>
      </c>
      <c r="BW7" s="27">
        <v>0.16771533333333299</v>
      </c>
      <c r="BX7" s="27">
        <v>0.21330666666666701</v>
      </c>
      <c r="BY7" s="27">
        <v>0.365968666666667</v>
      </c>
      <c r="BZ7" s="27">
        <v>4.3999999999999997E-2</v>
      </c>
      <c r="CA7" s="27">
        <v>4.8000000000000001E-2</v>
      </c>
      <c r="CB7" s="27">
        <v>0.1245044580086581</v>
      </c>
      <c r="CC7" s="33">
        <v>9.5868432666666763</v>
      </c>
    </row>
    <row r="8" spans="1:81" x14ac:dyDescent="0.25">
      <c r="A8" s="23">
        <v>7</v>
      </c>
      <c r="B8" s="25">
        <v>3</v>
      </c>
      <c r="C8" s="27">
        <v>0.278864</v>
      </c>
      <c r="D8" s="27">
        <v>0.189673333333333</v>
      </c>
      <c r="E8" s="27">
        <v>0.11935</v>
      </c>
      <c r="F8" s="27">
        <v>5.7000000000000002E-2</v>
      </c>
      <c r="G8" s="27">
        <v>7.6716999999999994E-2</v>
      </c>
      <c r="H8" s="27">
        <v>0.31450933333333297</v>
      </c>
      <c r="I8" s="27">
        <v>0.19713266666666701</v>
      </c>
      <c r="J8" s="27">
        <v>0.248913</v>
      </c>
      <c r="K8" s="27">
        <v>5.5E-2</v>
      </c>
      <c r="L8" s="27">
        <v>0.209993333333333</v>
      </c>
      <c r="M8" s="27">
        <v>4.5999999999999999E-2</v>
      </c>
      <c r="N8" s="27">
        <v>4.8000000000000001E-2</v>
      </c>
      <c r="O8" s="27">
        <v>6.6559999999999994E-2</v>
      </c>
      <c r="P8" s="27">
        <v>6.00126666666667E-2</v>
      </c>
      <c r="Q8" s="27">
        <v>6.2867333333333303E-2</v>
      </c>
      <c r="R8" s="27">
        <v>0.18123600000000001</v>
      </c>
      <c r="S8" s="27">
        <v>0.12713333333333299</v>
      </c>
      <c r="T8" s="27">
        <v>0.26846799999999998</v>
      </c>
      <c r="U8" s="27">
        <v>0.159635</v>
      </c>
      <c r="V8" s="27">
        <v>0.107955</v>
      </c>
      <c r="W8" s="27">
        <v>0.20930133333333301</v>
      </c>
      <c r="X8" s="27">
        <v>5.0999999999999997E-2</v>
      </c>
      <c r="Y8" s="27">
        <v>0.05</v>
      </c>
      <c r="Z8" s="27">
        <v>5.5E-2</v>
      </c>
      <c r="AA8" s="27">
        <v>9.9783999999999901E-2</v>
      </c>
      <c r="AB8" s="27">
        <v>0.15876599999999999</v>
      </c>
      <c r="AC8" s="27">
        <v>0.05</v>
      </c>
      <c r="AD8" s="27">
        <v>9.9823999999999996E-2</v>
      </c>
      <c r="AE8" s="27">
        <v>0.20798433333333299</v>
      </c>
      <c r="AF8" s="27">
        <v>5.3999999999999999E-2</v>
      </c>
      <c r="AG8" s="27">
        <v>7.0384000000000002E-2</v>
      </c>
      <c r="AH8" s="27">
        <v>0.16982</v>
      </c>
      <c r="AI8" s="27">
        <v>0.160576</v>
      </c>
      <c r="AJ8" s="27">
        <v>0.2084</v>
      </c>
      <c r="AK8" s="27">
        <v>0.31859799999999999</v>
      </c>
      <c r="AL8" s="27">
        <v>0.223376666666667</v>
      </c>
      <c r="AM8" s="27">
        <v>0.14577333333333301</v>
      </c>
      <c r="AN8" s="27">
        <v>0.18525333333333299</v>
      </c>
      <c r="AO8" s="27">
        <v>4.7E-2</v>
      </c>
      <c r="AP8" s="27">
        <v>5.1999999999999998E-2</v>
      </c>
      <c r="AQ8" s="27">
        <v>0.105196</v>
      </c>
      <c r="AR8" s="27">
        <v>4.5999999999999999E-2</v>
      </c>
      <c r="AS8" s="27">
        <v>0.21025333333333299</v>
      </c>
      <c r="AT8" s="27">
        <v>0.213309</v>
      </c>
      <c r="AU8" s="27">
        <v>0.1913</v>
      </c>
      <c r="AV8" s="27">
        <v>0.15636</v>
      </c>
      <c r="AW8" s="27">
        <v>0.131505333333333</v>
      </c>
      <c r="AX8" s="27">
        <v>7.6004000000000002E-2</v>
      </c>
      <c r="AY8" s="27">
        <v>0.21305933333333299</v>
      </c>
      <c r="AZ8" s="27">
        <v>4.1000000000000002E-2</v>
      </c>
      <c r="BA8" s="27">
        <v>8.4012000000000003E-2</v>
      </c>
      <c r="BB8" s="27">
        <v>5.8000000000000003E-2</v>
      </c>
      <c r="BC8" s="27">
        <v>4.2999999999999997E-2</v>
      </c>
      <c r="BD8" s="27">
        <v>0.14793600000000001</v>
      </c>
      <c r="BE8" s="27">
        <v>0.123988</v>
      </c>
      <c r="BF8" s="27">
        <v>0.21169399999999999</v>
      </c>
      <c r="BG8" s="27">
        <v>0.152728</v>
      </c>
      <c r="BH8" s="27">
        <v>0.111568</v>
      </c>
      <c r="BI8" s="27">
        <v>6.5643333333333304E-2</v>
      </c>
      <c r="BJ8" s="27">
        <v>8.2057333333333302E-2</v>
      </c>
      <c r="BK8" s="27">
        <v>6.2454333333333299E-2</v>
      </c>
      <c r="BL8" s="27">
        <v>0.19250266666666699</v>
      </c>
      <c r="BM8" s="27">
        <v>0.223613333333334</v>
      </c>
      <c r="BN8" s="27">
        <v>0.15277833333333299</v>
      </c>
      <c r="BO8" s="27">
        <v>7.8422666666666599E-2</v>
      </c>
      <c r="BP8" s="27">
        <v>0.05</v>
      </c>
      <c r="BQ8" s="27">
        <v>0.114393333333333</v>
      </c>
      <c r="BR8" s="27">
        <v>4.8000000000000001E-2</v>
      </c>
      <c r="BS8" s="27">
        <v>0.211898</v>
      </c>
      <c r="BT8" s="27">
        <v>0.13186933333333301</v>
      </c>
      <c r="BU8" s="27">
        <v>0.17044000000000001</v>
      </c>
      <c r="BV8" s="27">
        <v>0.35130666666666699</v>
      </c>
      <c r="BW8" s="27">
        <v>5.6000000000000001E-2</v>
      </c>
      <c r="BX8" s="27">
        <v>5.1999999999999998E-2</v>
      </c>
      <c r="BY8" s="27">
        <v>0.22318866666666701</v>
      </c>
      <c r="BZ8" s="27">
        <v>4.3999999999999997E-2</v>
      </c>
      <c r="CA8" s="27">
        <v>4.8000000000000001E-2</v>
      </c>
      <c r="CB8" s="27">
        <v>0.13204340259740249</v>
      </c>
      <c r="CC8" s="33">
        <v>10.167342</v>
      </c>
    </row>
    <row r="9" spans="1:81" x14ac:dyDescent="0.25">
      <c r="A9" s="23">
        <v>8</v>
      </c>
      <c r="B9" s="25">
        <v>3.5</v>
      </c>
      <c r="C9" s="27">
        <v>4.5999999999999999E-2</v>
      </c>
      <c r="D9" s="27">
        <v>0.04</v>
      </c>
      <c r="E9" s="27">
        <v>0.05</v>
      </c>
      <c r="F9" s="27">
        <v>0.163608</v>
      </c>
      <c r="G9" s="27">
        <v>0.19254099999999999</v>
      </c>
      <c r="H9" s="27">
        <v>9.4586000000000101E-2</v>
      </c>
      <c r="I9" s="27">
        <v>5.2999999999999999E-2</v>
      </c>
      <c r="J9" s="27">
        <v>9.5661333333333404E-2</v>
      </c>
      <c r="K9" s="27">
        <v>5.5E-2</v>
      </c>
      <c r="L9" s="27">
        <v>7.5899333333333305E-2</v>
      </c>
      <c r="M9" s="27">
        <v>4.5999999999999999E-2</v>
      </c>
      <c r="N9" s="27">
        <v>0.175761</v>
      </c>
      <c r="O9" s="27">
        <v>5.0999999999999997E-2</v>
      </c>
      <c r="P9" s="27">
        <v>0.174946666666667</v>
      </c>
      <c r="Q9" s="27">
        <v>0.19667333333333301</v>
      </c>
      <c r="R9" s="27">
        <v>4.4999999999999998E-2</v>
      </c>
      <c r="S9" s="27">
        <v>0.22499333333333299</v>
      </c>
      <c r="T9" s="27">
        <v>5.3999999999999999E-2</v>
      </c>
      <c r="U9" s="27">
        <v>4.7E-2</v>
      </c>
      <c r="V9" s="27">
        <v>0.28117466666666702</v>
      </c>
      <c r="W9" s="27">
        <v>0.247892</v>
      </c>
      <c r="X9" s="27">
        <v>7.9634999999999997E-2</v>
      </c>
      <c r="Y9" s="27">
        <v>0.05</v>
      </c>
      <c r="Z9" s="27">
        <v>5.5E-2</v>
      </c>
      <c r="AA9" s="27">
        <v>5.8000000000000003E-2</v>
      </c>
      <c r="AB9" s="27">
        <v>5.7000000000000002E-2</v>
      </c>
      <c r="AC9" s="27">
        <v>0.05</v>
      </c>
      <c r="AD9" s="27">
        <v>0.16673199999999999</v>
      </c>
      <c r="AE9" s="27">
        <v>0.17307566666666699</v>
      </c>
      <c r="AF9" s="27">
        <v>5.3999999999999999E-2</v>
      </c>
      <c r="AG9" s="27">
        <v>8.1767999999999993E-2</v>
      </c>
      <c r="AH9" s="27">
        <v>5.1359333333333403E-2</v>
      </c>
      <c r="AI9" s="27">
        <v>0.12405466666666699</v>
      </c>
      <c r="AJ9" s="27">
        <v>0.05</v>
      </c>
      <c r="AK9" s="27">
        <v>0.14519199999999999</v>
      </c>
      <c r="AL9" s="27">
        <v>0.153893</v>
      </c>
      <c r="AM9" s="27">
        <v>5.1952333333333399E-2</v>
      </c>
      <c r="AN9" s="27">
        <v>5.8999999999999997E-2</v>
      </c>
      <c r="AO9" s="27">
        <v>4.7E-2</v>
      </c>
      <c r="AP9" s="27">
        <v>5.1999999999999998E-2</v>
      </c>
      <c r="AQ9" s="27">
        <v>7.9098000000000002E-2</v>
      </c>
      <c r="AR9" s="27">
        <v>4.5999999999999999E-2</v>
      </c>
      <c r="AS9" s="27">
        <v>0.139845</v>
      </c>
      <c r="AT9" s="27">
        <v>3.6999999999999998E-2</v>
      </c>
      <c r="AU9" s="27">
        <v>5.5129999999999998E-2</v>
      </c>
      <c r="AV9" s="27">
        <v>9.7843333333333296E-2</v>
      </c>
      <c r="AW9" s="27">
        <v>0.20982999999999999</v>
      </c>
      <c r="AX9" s="27">
        <v>8.2575999999999997E-2</v>
      </c>
      <c r="AY9" s="27">
        <v>0.22497866666666699</v>
      </c>
      <c r="AZ9" s="27">
        <v>0.221178333333333</v>
      </c>
      <c r="BA9" s="27">
        <v>0.13648299999999999</v>
      </c>
      <c r="BB9" s="27">
        <v>5.8000000000000003E-2</v>
      </c>
      <c r="BC9" s="27">
        <v>0.117562</v>
      </c>
      <c r="BD9" s="27">
        <v>0.16297800000000001</v>
      </c>
      <c r="BE9" s="27">
        <v>5.8000000000000003E-2</v>
      </c>
      <c r="BF9" s="27">
        <v>8.0038333333333406E-2</v>
      </c>
      <c r="BG9" s="27">
        <v>0.13560666666666699</v>
      </c>
      <c r="BH9" s="27">
        <v>0.15417500000000001</v>
      </c>
      <c r="BI9" s="27">
        <v>0.100272666666667</v>
      </c>
      <c r="BJ9" s="27">
        <v>0.12601399999999999</v>
      </c>
      <c r="BK9" s="27">
        <v>0.18568066666666699</v>
      </c>
      <c r="BL9" s="27">
        <v>0.23566799999999999</v>
      </c>
      <c r="BM9" s="27">
        <v>5.7000000000000002E-2</v>
      </c>
      <c r="BN9" s="27">
        <v>5.3999999999999999E-2</v>
      </c>
      <c r="BO9" s="27">
        <v>6.3987000000000002E-2</v>
      </c>
      <c r="BP9" s="27">
        <v>0.05</v>
      </c>
      <c r="BQ9" s="27">
        <v>3.6999999999999998E-2</v>
      </c>
      <c r="BR9" s="27">
        <v>4.8000000000000001E-2</v>
      </c>
      <c r="BS9" s="27">
        <v>0.05</v>
      </c>
      <c r="BT9" s="27">
        <v>0.154806</v>
      </c>
      <c r="BU9" s="27">
        <v>5.5E-2</v>
      </c>
      <c r="BV9" s="27">
        <v>5.0999999999999997E-2</v>
      </c>
      <c r="BW9" s="27">
        <v>5.6000000000000001E-2</v>
      </c>
      <c r="BX9" s="27">
        <v>0.15684933333333301</v>
      </c>
      <c r="BY9" s="27">
        <v>0.23480100000000001</v>
      </c>
      <c r="BZ9" s="27">
        <v>4.3999999999999997E-2</v>
      </c>
      <c r="CA9" s="27">
        <v>4.8000000000000001E-2</v>
      </c>
      <c r="CB9" s="27">
        <v>0.10227012554112561</v>
      </c>
      <c r="CC9" s="33">
        <v>7.8747996666666689</v>
      </c>
    </row>
    <row r="10" spans="1:81" x14ac:dyDescent="0.25">
      <c r="A10" s="23">
        <v>9</v>
      </c>
      <c r="B10" s="25">
        <v>4</v>
      </c>
      <c r="C10" s="27">
        <v>0.14448066666666701</v>
      </c>
      <c r="D10" s="27">
        <v>0.12164</v>
      </c>
      <c r="E10" s="27">
        <v>0.05</v>
      </c>
      <c r="F10" s="27">
        <v>6.88453333333333E-2</v>
      </c>
      <c r="G10" s="27">
        <v>5.5E-2</v>
      </c>
      <c r="H10" s="27">
        <v>0.207354333333333</v>
      </c>
      <c r="I10" s="27">
        <v>0.17833866666666701</v>
      </c>
      <c r="J10" s="27">
        <v>0.23021</v>
      </c>
      <c r="K10" s="27">
        <v>5.5E-2</v>
      </c>
      <c r="L10" s="27">
        <v>6.0999999999999999E-2</v>
      </c>
      <c r="M10" s="27">
        <v>4.5999999999999999E-2</v>
      </c>
      <c r="N10" s="27">
        <v>0.23120766666666701</v>
      </c>
      <c r="O10" s="27">
        <v>0.22216</v>
      </c>
      <c r="P10" s="27">
        <v>5.1999999999999998E-2</v>
      </c>
      <c r="Q10" s="27">
        <v>4.8000000000000001E-2</v>
      </c>
      <c r="R10" s="27">
        <v>0.21151066666666701</v>
      </c>
      <c r="S10" s="27">
        <v>6.4413999999999999E-2</v>
      </c>
      <c r="T10" s="27">
        <v>0.26109866666666698</v>
      </c>
      <c r="U10" s="27">
        <v>0.212198</v>
      </c>
      <c r="V10" s="27">
        <v>0.16600533333333301</v>
      </c>
      <c r="W10" s="27">
        <v>0.18327399999999999</v>
      </c>
      <c r="X10" s="27">
        <v>0.19055066666666701</v>
      </c>
      <c r="Y10" s="27">
        <v>0.05</v>
      </c>
      <c r="Z10" s="27">
        <v>5.5E-2</v>
      </c>
      <c r="AA10" s="27">
        <v>0.141568</v>
      </c>
      <c r="AB10" s="27">
        <v>0.17007333333333299</v>
      </c>
      <c r="AC10" s="27">
        <v>0.05</v>
      </c>
      <c r="AD10" s="27">
        <v>0.18546333333333301</v>
      </c>
      <c r="AE10" s="27">
        <v>0.19461999999999999</v>
      </c>
      <c r="AF10" s="27">
        <v>5.3999999999999999E-2</v>
      </c>
      <c r="AG10" s="27">
        <v>0.15007200000000001</v>
      </c>
      <c r="AH10" s="27">
        <v>0.26549133333333302</v>
      </c>
      <c r="AI10" s="27">
        <v>0.204021333333333</v>
      </c>
      <c r="AJ10" s="27">
        <v>0.16520000000000001</v>
      </c>
      <c r="AK10" s="27">
        <v>0.16564599999999999</v>
      </c>
      <c r="AL10" s="27">
        <v>0.12513793333333301</v>
      </c>
      <c r="AM10" s="27">
        <v>0.21296300000000001</v>
      </c>
      <c r="AN10" s="27">
        <v>0.172628</v>
      </c>
      <c r="AO10" s="27">
        <v>4.7E-2</v>
      </c>
      <c r="AP10" s="27">
        <v>5.1999999999999998E-2</v>
      </c>
      <c r="AQ10" s="27">
        <v>5.2999999999999999E-2</v>
      </c>
      <c r="AR10" s="27">
        <v>4.5999999999999999E-2</v>
      </c>
      <c r="AS10" s="27">
        <v>7.4615000000000001E-2</v>
      </c>
      <c r="AT10" s="27">
        <v>0.22170466666666699</v>
      </c>
      <c r="AU10" s="27">
        <v>0.14591000000000001</v>
      </c>
      <c r="AV10" s="27">
        <v>9.5614666666666695E-2</v>
      </c>
      <c r="AW10" s="27">
        <v>0.123942</v>
      </c>
      <c r="AX10" s="27">
        <v>0.108864</v>
      </c>
      <c r="AY10" s="27">
        <v>8.2087666666666698E-2</v>
      </c>
      <c r="AZ10" s="27">
        <v>0.18812999999999999</v>
      </c>
      <c r="BA10" s="27">
        <v>9.9336999999999995E-2</v>
      </c>
      <c r="BB10" s="27">
        <v>0.12031500000000001</v>
      </c>
      <c r="BC10" s="27">
        <v>4.2999999999999997E-2</v>
      </c>
      <c r="BD10" s="27">
        <v>6.3983999999999999E-2</v>
      </c>
      <c r="BE10" s="27">
        <v>5.8000000000000003E-2</v>
      </c>
      <c r="BF10" s="27">
        <v>0.118499666666667</v>
      </c>
      <c r="BG10" s="27">
        <v>9.7619999999999998E-2</v>
      </c>
      <c r="BH10" s="27">
        <v>0.10128166666666701</v>
      </c>
      <c r="BI10" s="27">
        <v>4.3999999999999997E-2</v>
      </c>
      <c r="BJ10" s="27">
        <v>0.15470066666666701</v>
      </c>
      <c r="BK10" s="27">
        <v>0.151906333333333</v>
      </c>
      <c r="BL10" s="27">
        <v>0.211566333333333</v>
      </c>
      <c r="BM10" s="27">
        <v>5.7000000000000002E-2</v>
      </c>
      <c r="BN10" s="27">
        <v>0.146942666666667</v>
      </c>
      <c r="BO10" s="27">
        <v>0.12528566666666699</v>
      </c>
      <c r="BP10" s="27">
        <v>0.05</v>
      </c>
      <c r="BQ10" s="27">
        <v>0.207265333333333</v>
      </c>
      <c r="BR10" s="27">
        <v>7.5457666666666603E-2</v>
      </c>
      <c r="BS10" s="27">
        <v>0.153045666666667</v>
      </c>
      <c r="BT10" s="27">
        <v>0.14147799999999999</v>
      </c>
      <c r="BU10" s="27">
        <v>0.21373</v>
      </c>
      <c r="BV10" s="27">
        <v>0.29910999999999999</v>
      </c>
      <c r="BW10" s="27">
        <v>5.6000000000000001E-2</v>
      </c>
      <c r="BX10" s="27">
        <v>0.124588</v>
      </c>
      <c r="BY10" s="27">
        <v>0.33478233333333302</v>
      </c>
      <c r="BZ10" s="27">
        <v>4.3999999999999997E-2</v>
      </c>
      <c r="CA10" s="27">
        <v>4.8000000000000001E-2</v>
      </c>
      <c r="CB10" s="27">
        <v>0.12989527619047619</v>
      </c>
      <c r="CC10" s="33">
        <v>10.00193626666667</v>
      </c>
    </row>
    <row r="11" spans="1:81" x14ac:dyDescent="0.25">
      <c r="A11" s="23">
        <v>10</v>
      </c>
      <c r="B11" s="25">
        <v>4.5</v>
      </c>
      <c r="C11" s="27">
        <v>0.21287</v>
      </c>
      <c r="D11" s="27">
        <v>0.108033333333333</v>
      </c>
      <c r="E11" s="27">
        <v>0.05</v>
      </c>
      <c r="F11" s="27">
        <v>0.163608</v>
      </c>
      <c r="G11" s="27">
        <v>5.5E-2</v>
      </c>
      <c r="H11" s="27">
        <v>0.215269666666667</v>
      </c>
      <c r="I11" s="27">
        <v>0.165798</v>
      </c>
      <c r="J11" s="27">
        <v>0.12059866666666701</v>
      </c>
      <c r="K11" s="27">
        <v>5.5E-2</v>
      </c>
      <c r="L11" s="27">
        <v>0.22489266666666699</v>
      </c>
      <c r="M11" s="27">
        <v>4.5999999999999999E-2</v>
      </c>
      <c r="N11" s="27">
        <v>5.70943333333334E-2</v>
      </c>
      <c r="O11" s="27">
        <v>5.0999999999999997E-2</v>
      </c>
      <c r="P11" s="27">
        <v>0.21632399999999999</v>
      </c>
      <c r="Q11" s="27">
        <v>0.19667333333333301</v>
      </c>
      <c r="R11" s="27">
        <v>4.4999999999999998E-2</v>
      </c>
      <c r="S11" s="27">
        <v>0.157986666666667</v>
      </c>
      <c r="T11" s="27">
        <v>0.12769333333333299</v>
      </c>
      <c r="U11" s="27">
        <v>4.7E-2</v>
      </c>
      <c r="V11" s="27">
        <v>0.10312</v>
      </c>
      <c r="W11" s="27">
        <v>0.19826766666666701</v>
      </c>
      <c r="X11" s="27">
        <v>0.101381</v>
      </c>
      <c r="Y11" s="27">
        <v>0.05</v>
      </c>
      <c r="Z11" s="27">
        <v>5.5E-2</v>
      </c>
      <c r="AA11" s="27">
        <v>5.8000000000000003E-2</v>
      </c>
      <c r="AB11" s="27">
        <v>5.7000000000000002E-2</v>
      </c>
      <c r="AC11" s="27">
        <v>0.05</v>
      </c>
      <c r="AD11" s="27">
        <v>6.6206000000000001E-2</v>
      </c>
      <c r="AE11" s="27">
        <v>0.108708</v>
      </c>
      <c r="AF11" s="27">
        <v>5.3999999999999999E-2</v>
      </c>
      <c r="AG11" s="27">
        <v>5.8999999999999997E-2</v>
      </c>
      <c r="AH11" s="27">
        <v>7.1959999999999996E-2</v>
      </c>
      <c r="AI11" s="27">
        <v>0.06</v>
      </c>
      <c r="AJ11" s="27">
        <v>9.3199999999999894E-2</v>
      </c>
      <c r="AK11" s="27">
        <v>5.8000000000000003E-2</v>
      </c>
      <c r="AL11" s="27">
        <v>0.223376666666667</v>
      </c>
      <c r="AM11" s="27">
        <v>4.8000000000000001E-2</v>
      </c>
      <c r="AN11" s="27">
        <v>0.17942533333333299</v>
      </c>
      <c r="AO11" s="27">
        <v>4.7E-2</v>
      </c>
      <c r="AP11" s="27">
        <v>5.1999999999999998E-2</v>
      </c>
      <c r="AQ11" s="27">
        <v>7.4748333333333306E-2</v>
      </c>
      <c r="AR11" s="27">
        <v>4.5999999999999999E-2</v>
      </c>
      <c r="AS11" s="27">
        <v>0.11375300000000001</v>
      </c>
      <c r="AT11" s="27">
        <v>3.6999999999999998E-2</v>
      </c>
      <c r="AU11" s="27">
        <v>0.20597599999999999</v>
      </c>
      <c r="AV11" s="27">
        <v>0.14862</v>
      </c>
      <c r="AW11" s="27">
        <v>0.20226666666666701</v>
      </c>
      <c r="AX11" s="27">
        <v>0.98764333333333298</v>
      </c>
      <c r="AY11" s="27">
        <v>0.25688633333333299</v>
      </c>
      <c r="AZ11" s="27">
        <v>6.1714999999999999E-2</v>
      </c>
      <c r="BA11" s="27">
        <v>0.20194599999999999</v>
      </c>
      <c r="BB11" s="27">
        <v>7.0462999999999998E-2</v>
      </c>
      <c r="BC11" s="27">
        <v>4.2999999999999997E-2</v>
      </c>
      <c r="BD11" s="27">
        <v>0.20915133333333299</v>
      </c>
      <c r="BE11" s="27">
        <v>0.123988</v>
      </c>
      <c r="BF11" s="27">
        <v>5.6000000000000001E-2</v>
      </c>
      <c r="BG11" s="27">
        <v>0.25933666666666699</v>
      </c>
      <c r="BH11" s="27">
        <v>0.114505</v>
      </c>
      <c r="BI11" s="27">
        <v>6.5643333333333304E-2</v>
      </c>
      <c r="BJ11" s="27">
        <v>0.111114666666667</v>
      </c>
      <c r="BK11" s="27">
        <v>5.5E-2</v>
      </c>
      <c r="BL11" s="27">
        <v>0.12938566666666701</v>
      </c>
      <c r="BM11" s="27">
        <v>0.10244</v>
      </c>
      <c r="BN11" s="27">
        <v>0.14737066666666701</v>
      </c>
      <c r="BO11" s="27">
        <v>4.1000000000000002E-2</v>
      </c>
      <c r="BP11" s="27">
        <v>0.05</v>
      </c>
      <c r="BQ11" s="27">
        <v>3.6999999999999998E-2</v>
      </c>
      <c r="BR11" s="27">
        <v>4.8000000000000001E-2</v>
      </c>
      <c r="BS11" s="27">
        <v>0.116231</v>
      </c>
      <c r="BT11" s="27">
        <v>5.5E-2</v>
      </c>
      <c r="BU11" s="27">
        <v>5.5E-2</v>
      </c>
      <c r="BV11" s="27">
        <v>0.10319666666666701</v>
      </c>
      <c r="BW11" s="27">
        <v>0.16771533333333299</v>
      </c>
      <c r="BX11" s="27">
        <v>0.100392</v>
      </c>
      <c r="BY11" s="27">
        <v>0.189668</v>
      </c>
      <c r="BZ11" s="27">
        <v>4.3999999999999997E-2</v>
      </c>
      <c r="CA11" s="27">
        <v>4.8000000000000001E-2</v>
      </c>
      <c r="CB11" s="27">
        <v>0.1167356190476191</v>
      </c>
      <c r="CC11" s="33">
        <v>8.988642666666669</v>
      </c>
    </row>
    <row r="12" spans="1:81" x14ac:dyDescent="0.25">
      <c r="A12" s="23">
        <v>11</v>
      </c>
      <c r="B12" s="25">
        <v>5</v>
      </c>
      <c r="C12" s="27">
        <v>6.9292000000000006E-2</v>
      </c>
      <c r="D12" s="27">
        <v>4.6803333333333301E-2</v>
      </c>
      <c r="E12" s="27">
        <v>0.05</v>
      </c>
      <c r="F12" s="27">
        <v>6.88453333333333E-2</v>
      </c>
      <c r="G12" s="27">
        <v>5.5E-2</v>
      </c>
      <c r="H12" s="27">
        <v>5.3999999999999999E-2</v>
      </c>
      <c r="I12" s="27">
        <v>0.10000199999999999</v>
      </c>
      <c r="J12" s="27">
        <v>0.149163666666667</v>
      </c>
      <c r="K12" s="27">
        <v>5.5E-2</v>
      </c>
      <c r="L12" s="27">
        <v>6.0999999999999999E-2</v>
      </c>
      <c r="M12" s="27">
        <v>4.5999999999999999E-2</v>
      </c>
      <c r="N12" s="27">
        <v>0.33324033333333303</v>
      </c>
      <c r="O12" s="27">
        <v>0.17548</v>
      </c>
      <c r="P12" s="27">
        <v>0.21518246666666699</v>
      </c>
      <c r="Q12" s="27">
        <v>6.28673333333334E-2</v>
      </c>
      <c r="R12" s="27">
        <v>4.4999999999999998E-2</v>
      </c>
      <c r="S12" s="27">
        <v>0.20855399999999999</v>
      </c>
      <c r="T12" s="27">
        <v>9.0846666666666701E-2</v>
      </c>
      <c r="U12" s="27">
        <v>9.2053999999999997E-2</v>
      </c>
      <c r="V12" s="27">
        <v>0.33519333333333301</v>
      </c>
      <c r="W12" s="27">
        <v>0.160787333333333</v>
      </c>
      <c r="X12" s="27">
        <v>6.3726666666666598E-2</v>
      </c>
      <c r="Y12" s="27">
        <v>0.05</v>
      </c>
      <c r="Z12" s="27">
        <v>5.5E-2</v>
      </c>
      <c r="AA12" s="27">
        <v>5.8000000000000003E-2</v>
      </c>
      <c r="AB12" s="27">
        <v>0.13049766666666701</v>
      </c>
      <c r="AC12" s="27">
        <v>6.5573999999999993E-2</v>
      </c>
      <c r="AD12" s="27">
        <v>0.122236</v>
      </c>
      <c r="AE12" s="27">
        <v>0.12773200000000001</v>
      </c>
      <c r="AF12" s="27">
        <v>5.3999999999999999E-2</v>
      </c>
      <c r="AG12" s="27">
        <v>0.165922666666667</v>
      </c>
      <c r="AH12" s="27">
        <v>7.3437333333333299E-2</v>
      </c>
      <c r="AI12" s="27">
        <v>0.06</v>
      </c>
      <c r="AJ12" s="27">
        <v>0.122</v>
      </c>
      <c r="AK12" s="27">
        <v>0.21954399999999999</v>
      </c>
      <c r="AL12" s="27">
        <v>0.21015600000000001</v>
      </c>
      <c r="AM12" s="27">
        <v>0.14577333333333301</v>
      </c>
      <c r="AN12" s="27">
        <v>7.7937999999999993E-2</v>
      </c>
      <c r="AO12" s="27">
        <v>7.8308666666666693E-2</v>
      </c>
      <c r="AP12" s="27">
        <v>5.1999999999999998E-2</v>
      </c>
      <c r="AQ12" s="27">
        <v>0.109545666666667</v>
      </c>
      <c r="AR12" s="27">
        <v>4.5999999999999999E-2</v>
      </c>
      <c r="AS12" s="27">
        <v>0.100707</v>
      </c>
      <c r="AT12" s="27">
        <v>0.174739266666667</v>
      </c>
      <c r="AU12" s="27">
        <v>8.1977333333333402E-2</v>
      </c>
      <c r="AV12" s="27">
        <v>0.13771800000000001</v>
      </c>
      <c r="AW12" s="27">
        <v>0.10664999999999999</v>
      </c>
      <c r="AX12" s="27">
        <v>0.24377333333333301</v>
      </c>
      <c r="AY12" s="27">
        <v>0.147064</v>
      </c>
      <c r="AZ12" s="27">
        <v>0.127991666666667</v>
      </c>
      <c r="BA12" s="27">
        <v>0.11791</v>
      </c>
      <c r="BB12" s="27">
        <v>5.8000000000000003E-2</v>
      </c>
      <c r="BC12" s="27">
        <v>0.117562</v>
      </c>
      <c r="BD12" s="27">
        <v>7.3778666666666701E-2</v>
      </c>
      <c r="BE12" s="27">
        <v>5.8000000000000003E-2</v>
      </c>
      <c r="BF12" s="27">
        <v>0.332830666666667</v>
      </c>
      <c r="BG12" s="27">
        <v>0.05</v>
      </c>
      <c r="BH12" s="27">
        <v>0.19751666666666701</v>
      </c>
      <c r="BI12" s="27">
        <v>0.100272666666667</v>
      </c>
      <c r="BJ12" s="27">
        <v>0.12601399999999999</v>
      </c>
      <c r="BK12" s="27">
        <v>5.5E-2</v>
      </c>
      <c r="BL12" s="27">
        <v>0.126253</v>
      </c>
      <c r="BM12" s="27">
        <v>0.17817333333333399</v>
      </c>
      <c r="BN12" s="27">
        <v>6.1733333333333397E-2</v>
      </c>
      <c r="BO12" s="27">
        <v>0.200088666666667</v>
      </c>
      <c r="BP12" s="27">
        <v>0.05</v>
      </c>
      <c r="BQ12" s="27">
        <v>4.4739333333333298E-2</v>
      </c>
      <c r="BR12" s="27">
        <v>4.8000000000000001E-2</v>
      </c>
      <c r="BS12" s="27">
        <v>0.05</v>
      </c>
      <c r="BT12" s="27">
        <v>5.5E-2</v>
      </c>
      <c r="BU12" s="27">
        <v>5.5E-2</v>
      </c>
      <c r="BV12" s="27">
        <v>5.0999999999999997E-2</v>
      </c>
      <c r="BW12" s="27">
        <v>5.6000000000000001E-2</v>
      </c>
      <c r="BX12" s="27">
        <v>0.181045333333333</v>
      </c>
      <c r="BY12" s="27">
        <v>0.14228199999999999</v>
      </c>
      <c r="BZ12" s="27">
        <v>4.3999999999999997E-2</v>
      </c>
      <c r="CA12" s="27">
        <v>4.8000000000000001E-2</v>
      </c>
      <c r="CB12" s="27">
        <v>0.1085782346320347</v>
      </c>
      <c r="CC12" s="33">
        <v>8.3605240666666703</v>
      </c>
    </row>
    <row r="13" spans="1:81" x14ac:dyDescent="0.25">
      <c r="A13" s="23">
        <v>12</v>
      </c>
      <c r="B13" s="25">
        <v>5.5</v>
      </c>
      <c r="C13" s="27">
        <v>0.282088333333333</v>
      </c>
      <c r="D13" s="27">
        <v>0.18287</v>
      </c>
      <c r="E13" s="27">
        <v>0.13322000000000001</v>
      </c>
      <c r="F13" s="27">
        <v>5.7000000000000002E-2</v>
      </c>
      <c r="G13" s="27">
        <v>0.14186799999999999</v>
      </c>
      <c r="H13" s="27">
        <v>0.260394666666667</v>
      </c>
      <c r="I13" s="27">
        <v>0.244134666666667</v>
      </c>
      <c r="J13" s="27">
        <v>0.15698366666666699</v>
      </c>
      <c r="K13" s="27">
        <v>5.5E-2</v>
      </c>
      <c r="L13" s="27">
        <v>6.0999999999999999E-2</v>
      </c>
      <c r="M13" s="27">
        <v>4.5999999999999999E-2</v>
      </c>
      <c r="N13" s="27">
        <v>6.4633999999999997E-2</v>
      </c>
      <c r="O13" s="27">
        <v>9.76800000000001E-2</v>
      </c>
      <c r="P13" s="27">
        <v>8.0582866666666697E-2</v>
      </c>
      <c r="Q13" s="27">
        <v>4.8000000000000001E-2</v>
      </c>
      <c r="R13" s="27">
        <v>0.21151066666666701</v>
      </c>
      <c r="S13" s="27">
        <v>9.6280000000000004E-2</v>
      </c>
      <c r="T13" s="27">
        <v>0.29794533333333301</v>
      </c>
      <c r="U13" s="27">
        <v>0.16714399999999999</v>
      </c>
      <c r="V13" s="27">
        <v>4.9000000000000002E-2</v>
      </c>
      <c r="W13" s="27">
        <v>0.124144333333333</v>
      </c>
      <c r="X13" s="27">
        <v>0.10190666666666701</v>
      </c>
      <c r="Y13" s="27">
        <v>0.05</v>
      </c>
      <c r="Z13" s="27">
        <v>9.7111000000000003E-2</v>
      </c>
      <c r="AA13" s="27">
        <v>5.8000000000000003E-2</v>
      </c>
      <c r="AB13" s="27">
        <v>9.6575666666666601E-2</v>
      </c>
      <c r="AC13" s="27">
        <v>0.138252666666667</v>
      </c>
      <c r="AD13" s="27">
        <v>0.21875333333333299</v>
      </c>
      <c r="AE13" s="27">
        <v>0.05</v>
      </c>
      <c r="AF13" s="27">
        <v>6.9966666666666705E-2</v>
      </c>
      <c r="AG13" s="27">
        <v>5.8999999999999997E-2</v>
      </c>
      <c r="AH13" s="27">
        <v>0.27137333333333302</v>
      </c>
      <c r="AI13" s="27">
        <v>0.26807599999999998</v>
      </c>
      <c r="AJ13" s="27">
        <v>0.13639999999999999</v>
      </c>
      <c r="AK13" s="27">
        <v>0.190718</v>
      </c>
      <c r="AL13" s="27">
        <v>0.102941666666667</v>
      </c>
      <c r="AM13" s="27">
        <v>4.8000000000000001E-2</v>
      </c>
      <c r="AN13" s="27">
        <v>0.16631533333333301</v>
      </c>
      <c r="AO13" s="27">
        <v>9.6199333333333401E-2</v>
      </c>
      <c r="AP13" s="27">
        <v>5.1999999999999998E-2</v>
      </c>
      <c r="AQ13" s="27">
        <v>5.2999999999999999E-2</v>
      </c>
      <c r="AR13" s="27">
        <v>4.5999999999999999E-2</v>
      </c>
      <c r="AS13" s="27">
        <v>4.2000000000000003E-2</v>
      </c>
      <c r="AT13" s="27">
        <v>0.11256099999999999</v>
      </c>
      <c r="AU13" s="27">
        <v>0.17616999999999999</v>
      </c>
      <c r="AV13" s="27">
        <v>6.3479999999999995E-2</v>
      </c>
      <c r="AW13" s="27">
        <v>8.3418666666666696E-2</v>
      </c>
      <c r="AX13" s="27">
        <v>0.03</v>
      </c>
      <c r="AY13" s="27">
        <v>0.22815733333333299</v>
      </c>
      <c r="AZ13" s="27">
        <v>0.30203633333333302</v>
      </c>
      <c r="BA13" s="27">
        <v>0.14003599999999999</v>
      </c>
      <c r="BB13" s="27">
        <v>5.8000000000000003E-2</v>
      </c>
      <c r="BC13" s="27">
        <v>4.2999999999999997E-2</v>
      </c>
      <c r="BD13" s="27">
        <v>3.5999999999999997E-2</v>
      </c>
      <c r="BE13" s="27">
        <v>0.109324</v>
      </c>
      <c r="BF13" s="27">
        <v>5.6000000000000001E-2</v>
      </c>
      <c r="BG13" s="27">
        <v>0.29839599999999999</v>
      </c>
      <c r="BH13" s="27">
        <v>5.5E-2</v>
      </c>
      <c r="BI13" s="27">
        <v>7.8629333333333301E-2</v>
      </c>
      <c r="BJ13" s="27">
        <v>0.212815333333333</v>
      </c>
      <c r="BK13" s="27">
        <v>0.19663233333333299</v>
      </c>
      <c r="BL13" s="27">
        <v>0.15792100000000001</v>
      </c>
      <c r="BM13" s="27">
        <v>5.7000000000000002E-2</v>
      </c>
      <c r="BN13" s="27">
        <v>0.23486399999999999</v>
      </c>
      <c r="BO13" s="27">
        <v>4.1000000000000002E-2</v>
      </c>
      <c r="BP13" s="27">
        <v>0.05</v>
      </c>
      <c r="BQ13" s="27">
        <v>0.19952600000000001</v>
      </c>
      <c r="BR13" s="27">
        <v>4.8000000000000001E-2</v>
      </c>
      <c r="BS13" s="27">
        <v>0.211898</v>
      </c>
      <c r="BT13" s="27">
        <v>0.154806</v>
      </c>
      <c r="BU13" s="27">
        <v>0.19208500000000001</v>
      </c>
      <c r="BV13" s="27">
        <v>0.26826333333333302</v>
      </c>
      <c r="BW13" s="27">
        <v>5.6000000000000001E-2</v>
      </c>
      <c r="BX13" s="27">
        <v>5.1999999999999998E-2</v>
      </c>
      <c r="BY13" s="27">
        <v>0.306537</v>
      </c>
      <c r="BZ13" s="27">
        <v>4.3999999999999997E-2</v>
      </c>
      <c r="CA13" s="27">
        <v>4.8000000000000001E-2</v>
      </c>
      <c r="CB13" s="27">
        <v>0.12560554372294369</v>
      </c>
      <c r="CC13" s="33">
        <v>9.6716268666666689</v>
      </c>
    </row>
    <row r="14" spans="1:81" x14ac:dyDescent="0.25">
      <c r="A14" s="23">
        <v>13</v>
      </c>
      <c r="B14" s="25">
        <v>6</v>
      </c>
      <c r="C14" s="27">
        <v>0.12185</v>
      </c>
      <c r="D14" s="27">
        <v>0.04</v>
      </c>
      <c r="E14" s="27">
        <v>0.05</v>
      </c>
      <c r="F14" s="27">
        <v>9.8458666666666694E-2</v>
      </c>
      <c r="G14" s="27">
        <v>0.12739</v>
      </c>
      <c r="H14" s="27">
        <v>0.20281533333333299</v>
      </c>
      <c r="I14" s="27">
        <v>5.2999999999999999E-2</v>
      </c>
      <c r="J14" s="27">
        <v>0.33366000000000001</v>
      </c>
      <c r="K14" s="27">
        <v>0.13524359999999999</v>
      </c>
      <c r="L14" s="27">
        <v>0.22489266666666699</v>
      </c>
      <c r="M14" s="27">
        <v>4.5999999999999999E-2</v>
      </c>
      <c r="N14" s="27">
        <v>0.13671466666666701</v>
      </c>
      <c r="O14" s="27">
        <v>5.0999999999999997E-2</v>
      </c>
      <c r="P14" s="27">
        <v>0.23904800000000001</v>
      </c>
      <c r="Q14" s="27">
        <v>5.62553333333334E-2</v>
      </c>
      <c r="R14" s="27">
        <v>4.4999999999999998E-2</v>
      </c>
      <c r="S14" s="27">
        <v>0.234225666666667</v>
      </c>
      <c r="T14" s="27">
        <v>5.3999999999999999E-2</v>
      </c>
      <c r="U14" s="27">
        <v>4.7E-2</v>
      </c>
      <c r="V14" s="27">
        <v>0.23698766666666701</v>
      </c>
      <c r="W14" s="27">
        <v>0.22334999999999999</v>
      </c>
      <c r="X14" s="27">
        <v>5.7363333333333301E-2</v>
      </c>
      <c r="Y14" s="27">
        <v>0.05</v>
      </c>
      <c r="Z14" s="27">
        <v>0.19536999999999999</v>
      </c>
      <c r="AA14" s="27">
        <v>0.141568</v>
      </c>
      <c r="AB14" s="27">
        <v>5.7000000000000002E-2</v>
      </c>
      <c r="AC14" s="27">
        <v>0.05</v>
      </c>
      <c r="AD14" s="27">
        <v>0.122236</v>
      </c>
      <c r="AE14" s="27">
        <v>0.33106000000000002</v>
      </c>
      <c r="AF14" s="27">
        <v>0.92044700000000002</v>
      </c>
      <c r="AG14" s="27">
        <v>0.165922666666667</v>
      </c>
      <c r="AH14" s="27">
        <v>4.3999999999999997E-2</v>
      </c>
      <c r="AI14" s="27">
        <v>0.06</v>
      </c>
      <c r="AJ14" s="27">
        <v>0.05</v>
      </c>
      <c r="AK14" s="27">
        <v>0.111528</v>
      </c>
      <c r="AL14" s="27">
        <v>0.21540500000000001</v>
      </c>
      <c r="AM14" s="27">
        <v>4.8000000000000001E-2</v>
      </c>
      <c r="AN14" s="27">
        <v>0.14369999999999999</v>
      </c>
      <c r="AO14" s="27">
        <v>8.7253999999999998E-2</v>
      </c>
      <c r="AP14" s="27">
        <v>5.1999999999999998E-2</v>
      </c>
      <c r="AQ14" s="27">
        <v>0.109545666666667</v>
      </c>
      <c r="AR14" s="27">
        <v>4.5999999999999999E-2</v>
      </c>
      <c r="AS14" s="27">
        <v>0.133322</v>
      </c>
      <c r="AT14" s="27">
        <v>3.6999999999999998E-2</v>
      </c>
      <c r="AU14" s="27">
        <v>0.157173333333333</v>
      </c>
      <c r="AV14" s="27">
        <v>0.215645</v>
      </c>
      <c r="AW14" s="27">
        <v>0.17274400000000001</v>
      </c>
      <c r="AX14" s="27">
        <v>0.03</v>
      </c>
      <c r="AY14" s="27">
        <v>0.146196666666667</v>
      </c>
      <c r="AZ14" s="27">
        <v>4.1000000000000002E-2</v>
      </c>
      <c r="BA14" s="27">
        <v>5.6000000000000001E-2</v>
      </c>
      <c r="BB14" s="27">
        <v>5.8000000000000003E-2</v>
      </c>
      <c r="BC14" s="27">
        <v>9.2707999999999999E-2</v>
      </c>
      <c r="BD14" s="27">
        <v>0.189912</v>
      </c>
      <c r="BE14" s="27">
        <v>7.2664000000000006E-2</v>
      </c>
      <c r="BF14" s="27">
        <v>0.29436933333333298</v>
      </c>
      <c r="BG14" s="27">
        <v>5.8560666666666698E-2</v>
      </c>
      <c r="BH14" s="27">
        <v>0.243798666666667</v>
      </c>
      <c r="BI14" s="27">
        <v>8.7286666666666707E-2</v>
      </c>
      <c r="BJ14" s="27">
        <v>5.2999999999999999E-2</v>
      </c>
      <c r="BK14" s="27">
        <v>7.7363000000000001E-2</v>
      </c>
      <c r="BL14" s="27">
        <v>0.179005</v>
      </c>
      <c r="BM14" s="27">
        <v>0.223613333333334</v>
      </c>
      <c r="BN14" s="27">
        <v>6.51013333333334E-2</v>
      </c>
      <c r="BO14" s="27">
        <v>8.4180000000000005E-2</v>
      </c>
      <c r="BP14" s="27">
        <v>0.05</v>
      </c>
      <c r="BQ14" s="27">
        <v>3.6999999999999998E-2</v>
      </c>
      <c r="BR14" s="27">
        <v>5.2178333333333299E-2</v>
      </c>
      <c r="BS14" s="27">
        <v>0.05</v>
      </c>
      <c r="BT14" s="27">
        <v>5.5E-2</v>
      </c>
      <c r="BU14" s="27">
        <v>7.6645000000000005E-2</v>
      </c>
      <c r="BV14" s="27">
        <v>0.13404333333333299</v>
      </c>
      <c r="BW14" s="27">
        <v>0.16771533333333299</v>
      </c>
      <c r="BX14" s="27">
        <v>0.21330666666666701</v>
      </c>
      <c r="BY14" s="27">
        <v>0.13437033333333301</v>
      </c>
      <c r="BZ14" s="27">
        <v>4.3999999999999997E-2</v>
      </c>
      <c r="CA14" s="27">
        <v>4.8000000000000001E-2</v>
      </c>
      <c r="CB14" s="27">
        <v>0.1252752372294372</v>
      </c>
      <c r="CC14" s="33">
        <v>9.6461932666666677</v>
      </c>
    </row>
    <row r="15" spans="1:81" x14ac:dyDescent="0.25">
      <c r="A15" s="23">
        <v>14</v>
      </c>
      <c r="B15" s="25">
        <v>6.5</v>
      </c>
      <c r="C15" s="27">
        <v>0.152244666666667</v>
      </c>
      <c r="D15" s="27">
        <v>0.04</v>
      </c>
      <c r="E15" s="27">
        <v>0.05</v>
      </c>
      <c r="F15" s="27">
        <v>0.13399466666666701</v>
      </c>
      <c r="G15" s="27">
        <v>6.9477999999999998E-2</v>
      </c>
      <c r="H15" s="27">
        <v>0.176462333333333</v>
      </c>
      <c r="I15" s="27">
        <v>0.189299</v>
      </c>
      <c r="J15" s="27">
        <v>0.16265333333333301</v>
      </c>
      <c r="K15" s="27">
        <v>1.19124733333333</v>
      </c>
      <c r="L15" s="27">
        <v>6.0999999999999999E-2</v>
      </c>
      <c r="M15" s="27">
        <v>4.5999999999999999E-2</v>
      </c>
      <c r="N15" s="27">
        <v>0.27025399999999999</v>
      </c>
      <c r="O15" s="27">
        <v>0.14435999999999999</v>
      </c>
      <c r="P15" s="27">
        <v>0.16417733333333301</v>
      </c>
      <c r="Q15" s="27">
        <v>0.21154066666666699</v>
      </c>
      <c r="R15" s="27">
        <v>4.4999999999999998E-2</v>
      </c>
      <c r="S15" s="27">
        <v>8.6034999999999903E-2</v>
      </c>
      <c r="T15" s="27">
        <v>0.208756</v>
      </c>
      <c r="U15" s="27">
        <v>0.212198</v>
      </c>
      <c r="V15" s="27">
        <v>0.201325</v>
      </c>
      <c r="W15" s="27">
        <v>0.126892</v>
      </c>
      <c r="X15" s="27">
        <v>7.6453333333333401E-2</v>
      </c>
      <c r="Y15" s="27">
        <v>0.05</v>
      </c>
      <c r="Z15" s="27">
        <v>0.10378999999999999</v>
      </c>
      <c r="AA15" s="27">
        <v>5.8000000000000003E-2</v>
      </c>
      <c r="AB15" s="27">
        <v>5.7000000000000002E-2</v>
      </c>
      <c r="AC15" s="27">
        <v>0.05</v>
      </c>
      <c r="AD15" s="27">
        <v>0.159206666666667</v>
      </c>
      <c r="AE15" s="27">
        <v>0.05</v>
      </c>
      <c r="AF15" s="27">
        <v>1.56534356666667</v>
      </c>
      <c r="AG15" s="27">
        <v>0.17283999999999999</v>
      </c>
      <c r="AH15" s="27">
        <v>0.30105500000000002</v>
      </c>
      <c r="AI15" s="27">
        <v>0.14235600000000001</v>
      </c>
      <c r="AJ15" s="27">
        <v>7.1599999999999997E-2</v>
      </c>
      <c r="AK15" s="27">
        <v>0.15842566666666699</v>
      </c>
      <c r="AL15" s="27">
        <v>0.17258000000000001</v>
      </c>
      <c r="AM15" s="27">
        <v>0.21691533333333299</v>
      </c>
      <c r="AN15" s="27">
        <v>0.41580533333333303</v>
      </c>
      <c r="AO15" s="27">
        <v>8.7253999999999998E-2</v>
      </c>
      <c r="AP15" s="27">
        <v>0.100676666666667</v>
      </c>
      <c r="AQ15" s="27">
        <v>7.4748333333333306E-2</v>
      </c>
      <c r="AR15" s="27">
        <v>4.5999999999999999E-2</v>
      </c>
      <c r="AS15" s="27">
        <v>8.1138000000000002E-2</v>
      </c>
      <c r="AT15" s="27">
        <v>0.22170466666666699</v>
      </c>
      <c r="AU15" s="27">
        <v>0.04</v>
      </c>
      <c r="AV15" s="27">
        <v>6.2952999999999995E-2</v>
      </c>
      <c r="AW15" s="27">
        <v>0.179576666666667</v>
      </c>
      <c r="AX15" s="27">
        <v>0.12858</v>
      </c>
      <c r="AY15" s="27">
        <v>0.12629299999999999</v>
      </c>
      <c r="AZ15" s="27">
        <v>0.33131833333333299</v>
      </c>
      <c r="BA15" s="27">
        <v>0.26385599999999998</v>
      </c>
      <c r="BB15" s="27">
        <v>0.13277800000000001</v>
      </c>
      <c r="BC15" s="27">
        <v>6.7853999999999901E-2</v>
      </c>
      <c r="BD15" s="27">
        <v>0.121002</v>
      </c>
      <c r="BE15" s="27">
        <v>5.8000000000000003E-2</v>
      </c>
      <c r="BF15" s="27">
        <v>9.4461333333333397E-2</v>
      </c>
      <c r="BG15" s="27">
        <v>1.0680522666666701</v>
      </c>
      <c r="BH15" s="27">
        <v>6.8223333333333303E-2</v>
      </c>
      <c r="BI15" s="27">
        <v>8.2958000000000004E-2</v>
      </c>
      <c r="BJ15" s="27">
        <v>0.161302</v>
      </c>
      <c r="BK15" s="27">
        <v>0.151906333333333</v>
      </c>
      <c r="BL15" s="27">
        <v>0.34261433333333302</v>
      </c>
      <c r="BM15" s="27">
        <v>5.7000000000000002E-2</v>
      </c>
      <c r="BN15" s="27">
        <v>0.10551199999999999</v>
      </c>
      <c r="BO15" s="27">
        <v>0.156908666666667</v>
      </c>
      <c r="BP15" s="27">
        <v>0.05</v>
      </c>
      <c r="BQ15" s="27">
        <v>0.207265333333333</v>
      </c>
      <c r="BR15" s="27">
        <v>0.28750783333333302</v>
      </c>
      <c r="BS15" s="27">
        <v>0.05</v>
      </c>
      <c r="BT15" s="27">
        <v>0.18642166666666701</v>
      </c>
      <c r="BU15" s="27">
        <v>5.5E-2</v>
      </c>
      <c r="BV15" s="27">
        <v>0.173666666666667</v>
      </c>
      <c r="BW15" s="27">
        <v>5.6000000000000001E-2</v>
      </c>
      <c r="BX15" s="27">
        <v>6.81306666666667E-2</v>
      </c>
      <c r="BY15" s="27">
        <v>0.25072333333333302</v>
      </c>
      <c r="BZ15" s="27">
        <v>4.3999999999999997E-2</v>
      </c>
      <c r="CA15" s="27">
        <v>4.8000000000000001E-2</v>
      </c>
      <c r="CB15" s="27">
        <v>0.17732045021645029</v>
      </c>
      <c r="CC15" s="33">
        <v>13.653674666666671</v>
      </c>
    </row>
    <row r="16" spans="1:81" x14ac:dyDescent="0.25">
      <c r="A16" s="23">
        <v>15</v>
      </c>
      <c r="B16" s="25">
        <v>7</v>
      </c>
      <c r="C16" s="27">
        <v>0.267397</v>
      </c>
      <c r="D16" s="27">
        <v>0.27038299999999998</v>
      </c>
      <c r="E16" s="27">
        <v>6.3869999999999996E-2</v>
      </c>
      <c r="F16" s="27">
        <v>5.7000000000000002E-2</v>
      </c>
      <c r="G16" s="27">
        <v>0.19978000000000001</v>
      </c>
      <c r="H16" s="27">
        <v>0.13793233333333299</v>
      </c>
      <c r="I16" s="27">
        <v>0.209027666666667</v>
      </c>
      <c r="J16" s="27">
        <v>5.0999999999999997E-2</v>
      </c>
      <c r="K16" s="27">
        <v>5.5E-2</v>
      </c>
      <c r="L16" s="27">
        <v>0.17274500000000001</v>
      </c>
      <c r="M16" s="27">
        <v>4.5999999999999999E-2</v>
      </c>
      <c r="N16" s="27">
        <v>0.14628566666666701</v>
      </c>
      <c r="O16" s="27">
        <v>0.1288</v>
      </c>
      <c r="P16" s="27">
        <v>0.107326</v>
      </c>
      <c r="Q16" s="27">
        <v>4.8000000000000001E-2</v>
      </c>
      <c r="R16" s="27">
        <v>5.2568666666666701E-2</v>
      </c>
      <c r="S16" s="27">
        <v>0.201228666666667</v>
      </c>
      <c r="T16" s="27">
        <v>6.1369333333333401E-2</v>
      </c>
      <c r="U16" s="27">
        <v>4.7E-2</v>
      </c>
      <c r="V16" s="27">
        <v>4.9000000000000002E-2</v>
      </c>
      <c r="W16" s="27">
        <v>0.14726566666666699</v>
      </c>
      <c r="X16" s="27">
        <v>0.19957</v>
      </c>
      <c r="Y16" s="27">
        <v>0.05</v>
      </c>
      <c r="Z16" s="27">
        <v>5.5E-2</v>
      </c>
      <c r="AA16" s="27">
        <v>5.8000000000000003E-2</v>
      </c>
      <c r="AB16" s="27">
        <v>7.9614666666666695E-2</v>
      </c>
      <c r="AC16" s="27">
        <v>9.5939999999999998E-2</v>
      </c>
      <c r="AD16" s="27">
        <v>0.17057666666666699</v>
      </c>
      <c r="AE16" s="27">
        <v>0.27596666666666703</v>
      </c>
      <c r="AF16" s="27">
        <v>6.32123666666667E-2</v>
      </c>
      <c r="AG16" s="27">
        <v>5.8999999999999997E-2</v>
      </c>
      <c r="AH16" s="27">
        <v>0.22933833333333301</v>
      </c>
      <c r="AI16" s="27">
        <v>0.18572</v>
      </c>
      <c r="AJ16" s="27">
        <v>0.19007599999999999</v>
      </c>
      <c r="AK16" s="27">
        <v>0.196442333333333</v>
      </c>
      <c r="AL16" s="27">
        <v>0.30792266666666701</v>
      </c>
      <c r="AM16" s="27">
        <v>4.8000000000000001E-2</v>
      </c>
      <c r="AN16" s="27">
        <v>1.3566454666666701</v>
      </c>
      <c r="AO16" s="27">
        <v>4.7E-2</v>
      </c>
      <c r="AP16" s="27">
        <v>5.1999999999999998E-2</v>
      </c>
      <c r="AQ16" s="27">
        <v>5.2999999999999999E-2</v>
      </c>
      <c r="AR16" s="27">
        <v>4.5999999999999999E-2</v>
      </c>
      <c r="AS16" s="27">
        <v>4.2000000000000003E-2</v>
      </c>
      <c r="AT16" s="27">
        <v>3.6999999999999998E-2</v>
      </c>
      <c r="AU16" s="27">
        <v>0.218147333333333</v>
      </c>
      <c r="AV16" s="27">
        <v>4.9010666666666702E-2</v>
      </c>
      <c r="AW16" s="27">
        <v>0.123942</v>
      </c>
      <c r="AX16" s="27">
        <v>6.2859999999999999E-2</v>
      </c>
      <c r="AY16" s="27">
        <v>0.27636500000000003</v>
      </c>
      <c r="AZ16" s="27">
        <v>0.17919299999999999</v>
      </c>
      <c r="BA16" s="27">
        <v>5.6000000000000001E-2</v>
      </c>
      <c r="BB16" s="27">
        <v>5.8000000000000003E-2</v>
      </c>
      <c r="BC16" s="27">
        <v>4.2999999999999997E-2</v>
      </c>
      <c r="BD16" s="27">
        <v>6.1866666666666702E-2</v>
      </c>
      <c r="BE16" s="27">
        <v>5.8000000000000003E-2</v>
      </c>
      <c r="BF16" s="27">
        <v>5.6000000000000001E-2</v>
      </c>
      <c r="BG16" s="27">
        <v>1.4265083333333299</v>
      </c>
      <c r="BH16" s="27">
        <v>8.1446666666666695E-2</v>
      </c>
      <c r="BI16" s="27">
        <v>8.2958000000000004E-2</v>
      </c>
      <c r="BJ16" s="27">
        <v>0.17752733333333301</v>
      </c>
      <c r="BK16" s="27">
        <v>0.122089</v>
      </c>
      <c r="BL16" s="27">
        <v>6.1762333333333301E-2</v>
      </c>
      <c r="BM16" s="27">
        <v>5.7000000000000002E-2</v>
      </c>
      <c r="BN16" s="27">
        <v>0.156393333333333</v>
      </c>
      <c r="BO16" s="27">
        <v>8.99373333333333E-2</v>
      </c>
      <c r="BP16" s="27">
        <v>0.05</v>
      </c>
      <c r="BQ16" s="27">
        <v>3.6999999999999998E-2</v>
      </c>
      <c r="BR16" s="27">
        <v>5.8000000000000003E-2</v>
      </c>
      <c r="BS16" s="27">
        <v>8.6794999999999997E-2</v>
      </c>
      <c r="BT16" s="27">
        <v>0.10986233333333301</v>
      </c>
      <c r="BU16" s="27">
        <v>0.18487000000000001</v>
      </c>
      <c r="BV16" s="27">
        <v>0.26928333333333399</v>
      </c>
      <c r="BW16" s="27">
        <v>0.12781699999999999</v>
      </c>
      <c r="BX16" s="27">
        <v>0.55397166666666697</v>
      </c>
      <c r="BY16" s="27">
        <v>0.275179333333334</v>
      </c>
      <c r="BZ16" s="27">
        <v>4.3999999999999997E-2</v>
      </c>
      <c r="CA16" s="27">
        <v>4.8000000000000001E-2</v>
      </c>
      <c r="CB16" s="27">
        <v>0.1527245432900434</v>
      </c>
      <c r="CC16" s="33">
        <v>11.75978983333334</v>
      </c>
    </row>
    <row r="17" spans="1:81" x14ac:dyDescent="0.25">
      <c r="A17" s="23">
        <v>16</v>
      </c>
      <c r="B17" s="25">
        <v>7.5</v>
      </c>
      <c r="C17" s="27">
        <v>0.34759166666666702</v>
      </c>
      <c r="D17" s="27">
        <v>0.295709</v>
      </c>
      <c r="E17" s="27">
        <v>0.11935</v>
      </c>
      <c r="F17" s="27">
        <v>8.6613333333333306E-2</v>
      </c>
      <c r="G17" s="27">
        <v>5.5E-2</v>
      </c>
      <c r="H17" s="27">
        <v>0.26720533333333302</v>
      </c>
      <c r="I17" s="27">
        <v>0.22325999999999999</v>
      </c>
      <c r="J17" s="27">
        <v>0.14032266666666701</v>
      </c>
      <c r="K17" s="27">
        <v>0.10171266666666701</v>
      </c>
      <c r="L17" s="27">
        <v>0.14374100000000001</v>
      </c>
      <c r="M17" s="27">
        <v>4.5999999999999999E-2</v>
      </c>
      <c r="N17" s="27">
        <v>0.18038216666666701</v>
      </c>
      <c r="O17" s="27">
        <v>7.0288000000000003E-2</v>
      </c>
      <c r="P17" s="27">
        <v>0.37336533333333299</v>
      </c>
      <c r="Q17" s="27">
        <v>4.8000000000000001E-2</v>
      </c>
      <c r="R17" s="27">
        <v>0.4389632</v>
      </c>
      <c r="S17" s="27">
        <v>0.16531199999999999</v>
      </c>
      <c r="T17" s="27">
        <v>0.120324</v>
      </c>
      <c r="U17" s="27">
        <v>0.159635</v>
      </c>
      <c r="V17" s="27">
        <v>0.21834266666666699</v>
      </c>
      <c r="W17" s="27">
        <v>0.318577</v>
      </c>
      <c r="X17" s="27">
        <v>8.5773333333333396E-2</v>
      </c>
      <c r="Y17" s="27">
        <v>0.05</v>
      </c>
      <c r="Z17" s="27">
        <v>5.5E-2</v>
      </c>
      <c r="AA17" s="27">
        <v>0.197382</v>
      </c>
      <c r="AB17" s="27">
        <v>0.14745866666666699</v>
      </c>
      <c r="AC17" s="27">
        <v>0.16783666666666699</v>
      </c>
      <c r="AD17" s="27">
        <v>6.6206000000000001E-2</v>
      </c>
      <c r="AE17" s="27">
        <v>0.202271333333333</v>
      </c>
      <c r="AF17" s="27">
        <v>0.24803666666666699</v>
      </c>
      <c r="AG17" s="27">
        <v>0.35510266666666701</v>
      </c>
      <c r="AH17" s="27">
        <v>1.1455379999999999</v>
      </c>
      <c r="AI17" s="27">
        <v>0.13320533333333301</v>
      </c>
      <c r="AJ17" s="27">
        <v>0.11940833333333301</v>
      </c>
      <c r="AK17" s="27">
        <v>0.98311173333333302</v>
      </c>
      <c r="AL17" s="27">
        <v>0.186671</v>
      </c>
      <c r="AM17" s="27">
        <v>5.1952333333333399E-2</v>
      </c>
      <c r="AN17" s="27">
        <v>0.39682333333333297</v>
      </c>
      <c r="AO17" s="27">
        <v>4.7E-2</v>
      </c>
      <c r="AP17" s="27">
        <v>5.1999999999999998E-2</v>
      </c>
      <c r="AQ17" s="27">
        <v>0.13680313333333299</v>
      </c>
      <c r="AR17" s="27">
        <v>4.5999999999999999E-2</v>
      </c>
      <c r="AS17" s="27">
        <v>0.126799</v>
      </c>
      <c r="AT17" s="27">
        <v>0.11256099999999999</v>
      </c>
      <c r="AU17" s="27">
        <v>0.145456</v>
      </c>
      <c r="AV17" s="27">
        <v>0.15902666666666701</v>
      </c>
      <c r="AW17" s="27">
        <v>0.21739333333333299</v>
      </c>
      <c r="AX17" s="27">
        <v>6.9431999999999994E-2</v>
      </c>
      <c r="AY17" s="27">
        <v>4.8000000000000001E-2</v>
      </c>
      <c r="AZ17" s="27">
        <v>0.14380833333333301</v>
      </c>
      <c r="BA17" s="27">
        <v>0.21422633333333299</v>
      </c>
      <c r="BB17" s="27">
        <v>0.10419526666666699</v>
      </c>
      <c r="BC17" s="27">
        <v>4.2999999999999997E-2</v>
      </c>
      <c r="BD17" s="27">
        <v>0.30671666666666703</v>
      </c>
      <c r="BE17" s="27">
        <v>0.105658</v>
      </c>
      <c r="BF17" s="27">
        <v>0.142538</v>
      </c>
      <c r="BG17" s="27">
        <v>0.21404083333333301</v>
      </c>
      <c r="BH17" s="27">
        <v>0.17401</v>
      </c>
      <c r="BI17" s="27">
        <v>4.3999999999999997E-2</v>
      </c>
      <c r="BJ17" s="27">
        <v>5.2999999999999999E-2</v>
      </c>
      <c r="BK17" s="27">
        <v>0.17885999999999999</v>
      </c>
      <c r="BL17" s="27">
        <v>0.142910333333333</v>
      </c>
      <c r="BM17" s="27">
        <v>0.14788000000000001</v>
      </c>
      <c r="BN17" s="27">
        <v>0.38697233333333297</v>
      </c>
      <c r="BO17" s="27">
        <v>5.8118000000000003E-2</v>
      </c>
      <c r="BP17" s="27">
        <v>0.201928</v>
      </c>
      <c r="BQ17" s="27">
        <v>0.249239666666667</v>
      </c>
      <c r="BR17" s="27">
        <v>5.0086933333333403E-2</v>
      </c>
      <c r="BS17" s="27">
        <v>0.17510300000000001</v>
      </c>
      <c r="BT17" s="27">
        <v>1.48833866666667</v>
      </c>
      <c r="BU17" s="27">
        <v>8.3860000000000004E-2</v>
      </c>
      <c r="BV17" s="27">
        <v>0.17293</v>
      </c>
      <c r="BW17" s="27">
        <v>9.5898333333333405E-2</v>
      </c>
      <c r="BX17" s="27">
        <v>0.45399133333333302</v>
      </c>
      <c r="BY17" s="27">
        <v>0.221453333333333</v>
      </c>
      <c r="BZ17" s="27">
        <v>0.26813266666666702</v>
      </c>
      <c r="CA17" s="27">
        <v>4.8000000000000001E-2</v>
      </c>
      <c r="CB17" s="27">
        <v>0.203127787012987</v>
      </c>
      <c r="CC17" s="33">
        <v>15.6408396</v>
      </c>
    </row>
    <row r="18" spans="1:81" x14ac:dyDescent="0.25">
      <c r="A18" s="23">
        <v>17</v>
      </c>
      <c r="B18" s="25">
        <v>8</v>
      </c>
      <c r="C18" s="27">
        <v>0.44515686666666698</v>
      </c>
      <c r="D18" s="27">
        <v>0.04</v>
      </c>
      <c r="E18" s="27">
        <v>0.05</v>
      </c>
      <c r="F18" s="27">
        <v>0.31218400000000002</v>
      </c>
      <c r="G18" s="27">
        <v>0.170824</v>
      </c>
      <c r="H18" s="27">
        <v>0.16372300000000001</v>
      </c>
      <c r="I18" s="27">
        <v>0.41392166666666702</v>
      </c>
      <c r="J18" s="27">
        <v>0.160611333333333</v>
      </c>
      <c r="K18" s="27">
        <v>0.20003433333333301</v>
      </c>
      <c r="L18" s="27">
        <v>6.0999999999999999E-2</v>
      </c>
      <c r="M18" s="27">
        <v>4.5999999999999999E-2</v>
      </c>
      <c r="N18" s="27">
        <v>0.192664166666667</v>
      </c>
      <c r="O18" s="27">
        <v>0.26133919999999999</v>
      </c>
      <c r="P18" s="27">
        <v>9.7031333333333303E-2</v>
      </c>
      <c r="Q18" s="27">
        <v>0.21154066666666699</v>
      </c>
      <c r="R18" s="27">
        <v>8.1155599999999994E-2</v>
      </c>
      <c r="S18" s="27">
        <v>0.14873</v>
      </c>
      <c r="T18" s="27">
        <v>0.656972000000001</v>
      </c>
      <c r="U18" s="27">
        <v>9.9563000000000096E-2</v>
      </c>
      <c r="V18" s="27">
        <v>0.22297066666666701</v>
      </c>
      <c r="W18" s="27">
        <v>4.9000000000000002E-2</v>
      </c>
      <c r="X18" s="27">
        <v>1.0118483333333299</v>
      </c>
      <c r="Y18" s="27">
        <v>0.05</v>
      </c>
      <c r="Z18" s="27">
        <v>0.39145833333333302</v>
      </c>
      <c r="AA18" s="27">
        <v>0.260012666666667</v>
      </c>
      <c r="AB18" s="27">
        <v>0.30552000000000001</v>
      </c>
      <c r="AC18" s="27">
        <v>5.39966666666667E-2</v>
      </c>
      <c r="AD18" s="27">
        <v>0.24490066666666699</v>
      </c>
      <c r="AE18" s="27">
        <v>0.31371966666666701</v>
      </c>
      <c r="AF18" s="27">
        <v>0.47120000000000001</v>
      </c>
      <c r="AG18" s="27">
        <v>0.27541199999999999</v>
      </c>
      <c r="AH18" s="27">
        <v>0.25745533333333298</v>
      </c>
      <c r="AI18" s="27">
        <v>0.194870666666667</v>
      </c>
      <c r="AJ18" s="27">
        <v>0.37980399999999997</v>
      </c>
      <c r="AK18" s="27">
        <v>0.50161233333333299</v>
      </c>
      <c r="AL18" s="27">
        <v>0.528915466666666</v>
      </c>
      <c r="AM18" s="27">
        <v>0.28249633333333302</v>
      </c>
      <c r="AN18" s="27">
        <v>0.316406666666667</v>
      </c>
      <c r="AO18" s="27">
        <v>0.100672</v>
      </c>
      <c r="AP18" s="27">
        <v>5.1999999999999998E-2</v>
      </c>
      <c r="AQ18" s="27">
        <v>5.2999999999999999E-2</v>
      </c>
      <c r="AR18" s="27">
        <v>0.69574266666666695</v>
      </c>
      <c r="AS18" s="27">
        <v>8.7660999999999906E-2</v>
      </c>
      <c r="AT18" s="27">
        <v>0.146143666666667</v>
      </c>
      <c r="AU18" s="27">
        <v>0.11565</v>
      </c>
      <c r="AV18" s="27">
        <v>0.13771800000000001</v>
      </c>
      <c r="AW18" s="27">
        <v>0.123942</v>
      </c>
      <c r="AX18" s="27">
        <v>0.12200800000000001</v>
      </c>
      <c r="AY18" s="27">
        <v>1.363523</v>
      </c>
      <c r="AZ18" s="27">
        <v>0.20884566666666701</v>
      </c>
      <c r="BA18" s="27">
        <v>0.105629666666667</v>
      </c>
      <c r="BB18" s="27">
        <v>0.65845399999999998</v>
      </c>
      <c r="BC18" s="27">
        <v>0.24156810000000001</v>
      </c>
      <c r="BD18" s="27">
        <v>7.6728666666666695E-2</v>
      </c>
      <c r="BE18" s="27">
        <v>7.6329999999999995E-2</v>
      </c>
      <c r="BF18" s="27">
        <v>5.6000000000000001E-2</v>
      </c>
      <c r="BG18" s="27">
        <v>0.54061950000000003</v>
      </c>
      <c r="BH18" s="27">
        <v>9.5854666666666699E-2</v>
      </c>
      <c r="BI18" s="27">
        <v>0.121916</v>
      </c>
      <c r="BJ18" s="27">
        <v>0.28582933333333299</v>
      </c>
      <c r="BK18" s="27">
        <v>0.13699766666666699</v>
      </c>
      <c r="BL18" s="27">
        <v>0.249298666666667</v>
      </c>
      <c r="BM18" s="27">
        <v>0.13273333333333301</v>
      </c>
      <c r="BN18" s="27">
        <v>0.207764</v>
      </c>
      <c r="BO18" s="27">
        <v>0.200088666666667</v>
      </c>
      <c r="BP18" s="27">
        <v>0.19459199999999999</v>
      </c>
      <c r="BQ18" s="27">
        <v>0.25454500000000002</v>
      </c>
      <c r="BR18" s="27">
        <v>6.4944000000000002E-2</v>
      </c>
      <c r="BS18" s="27">
        <v>0.28294320000000001</v>
      </c>
      <c r="BT18" s="27">
        <v>0.24529200000000001</v>
      </c>
      <c r="BU18" s="27">
        <v>5.5E-2</v>
      </c>
      <c r="BV18" s="27">
        <v>0.24439133333333299</v>
      </c>
      <c r="BW18" s="27">
        <v>5.6000000000000001E-2</v>
      </c>
      <c r="BX18" s="27">
        <v>0.24165366666666699</v>
      </c>
      <c r="BY18" s="27">
        <v>0.30320799999999998</v>
      </c>
      <c r="BZ18" s="27">
        <v>0.20366000000000001</v>
      </c>
      <c r="CA18" s="27">
        <v>4.8000000000000001E-2</v>
      </c>
      <c r="CB18" s="27">
        <v>0.24040257705627699</v>
      </c>
      <c r="CC18" s="33">
        <v>18.510998433333331</v>
      </c>
    </row>
    <row r="19" spans="1:81" x14ac:dyDescent="0.25">
      <c r="A19" s="23">
        <v>18</v>
      </c>
      <c r="B19" s="25">
        <v>8.5</v>
      </c>
      <c r="C19" s="27">
        <v>1.12292666666667</v>
      </c>
      <c r="D19" s="27">
        <v>0.24310000000000001</v>
      </c>
      <c r="E19" s="27">
        <v>0.05</v>
      </c>
      <c r="F19" s="27">
        <v>0.72626599999999997</v>
      </c>
      <c r="G19" s="27">
        <v>9.8434000000000105E-2</v>
      </c>
      <c r="H19" s="27">
        <v>0.206738333333333</v>
      </c>
      <c r="I19" s="27">
        <v>1.7158073333333299</v>
      </c>
      <c r="J19" s="27">
        <v>0.100874666666667</v>
      </c>
      <c r="K19" s="27">
        <v>0.22650999999999999</v>
      </c>
      <c r="L19" s="27">
        <v>0.29750599999999999</v>
      </c>
      <c r="M19" s="27">
        <v>4.5999999999999999E-2</v>
      </c>
      <c r="N19" s="27">
        <v>0.54059999999999997</v>
      </c>
      <c r="O19" s="27">
        <v>1.3613818666666699</v>
      </c>
      <c r="P19" s="27">
        <v>0.20556866666666701</v>
      </c>
      <c r="Q19" s="27">
        <v>4.8000000000000001E-2</v>
      </c>
      <c r="R19" s="27">
        <v>1.5282486666666699</v>
      </c>
      <c r="S19" s="27">
        <v>1.3682586666666701</v>
      </c>
      <c r="T19" s="27">
        <v>0.149903333333333</v>
      </c>
      <c r="U19" s="27">
        <v>7.7035999999999993E-2</v>
      </c>
      <c r="V19" s="27">
        <v>0.84544666666666701</v>
      </c>
      <c r="W19" s="27">
        <v>0.40754299999999999</v>
      </c>
      <c r="X19" s="27">
        <v>0.100538666666667</v>
      </c>
      <c r="Y19" s="27">
        <v>0.174543333333333</v>
      </c>
      <c r="Z19" s="27">
        <v>0.21398</v>
      </c>
      <c r="AA19" s="27">
        <v>0.141568</v>
      </c>
      <c r="AB19" s="27">
        <v>1.1963600000000001</v>
      </c>
      <c r="AC19" s="27">
        <v>0.35100999999999999</v>
      </c>
      <c r="AD19" s="27">
        <v>9.6088666666666697E-2</v>
      </c>
      <c r="AE19" s="27">
        <v>0.360037</v>
      </c>
      <c r="AF19" s="27">
        <v>5.3999999999999999E-2</v>
      </c>
      <c r="AG19" s="27">
        <v>0.20088</v>
      </c>
      <c r="AH19" s="27">
        <v>0.138583333333333</v>
      </c>
      <c r="AI19" s="27">
        <v>0.13320533333333301</v>
      </c>
      <c r="AJ19" s="27">
        <v>1.5498766666666699</v>
      </c>
      <c r="AK19" s="27">
        <v>0.33398266666666698</v>
      </c>
      <c r="AL19" s="27">
        <v>1.4366986666666699</v>
      </c>
      <c r="AM19" s="27">
        <v>0.25277333333333302</v>
      </c>
      <c r="AN19" s="27">
        <v>0.25082133333333301</v>
      </c>
      <c r="AO19" s="27">
        <v>7.3835999999999999E-2</v>
      </c>
      <c r="AP19" s="27">
        <v>5.1999999999999998E-2</v>
      </c>
      <c r="AQ19" s="27">
        <v>0.144627333333333</v>
      </c>
      <c r="AR19" s="27">
        <v>3.0721099999999999</v>
      </c>
      <c r="AS19" s="27">
        <v>4.2000000000000003E-2</v>
      </c>
      <c r="AT19" s="27">
        <v>6.2186999999999999E-2</v>
      </c>
      <c r="AU19" s="27">
        <v>0.236236</v>
      </c>
      <c r="AV19" s="27">
        <v>6.0382666666666703E-2</v>
      </c>
      <c r="AW19" s="27">
        <v>0.15688666666666701</v>
      </c>
      <c r="AX19" s="27">
        <v>0.03</v>
      </c>
      <c r="AY19" s="27">
        <v>3.5398533333333302</v>
      </c>
      <c r="AZ19" s="27">
        <v>0.11837</v>
      </c>
      <c r="BA19" s="27">
        <v>0.16601733333333299</v>
      </c>
      <c r="BB19" s="27">
        <v>1.1697296666666701</v>
      </c>
      <c r="BC19" s="27">
        <v>0.20415359999999999</v>
      </c>
      <c r="BD19" s="27">
        <v>0.12815699999999999</v>
      </c>
      <c r="BE19" s="27">
        <v>0.28887766666666698</v>
      </c>
      <c r="BF19" s="27">
        <v>0.332830666666667</v>
      </c>
      <c r="BG19" s="27">
        <v>0.83164933333333302</v>
      </c>
      <c r="BH19" s="27">
        <v>7.0713333333333295E-2</v>
      </c>
      <c r="BI19" s="27">
        <v>9.9733333333333396E-2</v>
      </c>
      <c r="BJ19" s="27">
        <v>5.2999999999999999E-2</v>
      </c>
      <c r="BK19" s="27">
        <v>0.21957133333333301</v>
      </c>
      <c r="BL19" s="27">
        <v>8.2049333333333294E-2</v>
      </c>
      <c r="BM19" s="27">
        <v>5.7000000000000002E-2</v>
      </c>
      <c r="BN19" s="27">
        <v>0.33493333333333303</v>
      </c>
      <c r="BO19" s="27">
        <v>4.1000000000000002E-2</v>
      </c>
      <c r="BP19" s="27">
        <v>0.136613333333333</v>
      </c>
      <c r="BQ19" s="27">
        <v>0.39828999999999998</v>
      </c>
      <c r="BR19" s="27">
        <v>0.59167513333333299</v>
      </c>
      <c r="BS19" s="27">
        <v>9.4425333333333306E-2</v>
      </c>
      <c r="BT19" s="27">
        <v>0.103669333333333</v>
      </c>
      <c r="BU19" s="27">
        <v>0.21373</v>
      </c>
      <c r="BV19" s="27">
        <v>0.26860066666666699</v>
      </c>
      <c r="BW19" s="27">
        <v>5.6000000000000001E-2</v>
      </c>
      <c r="BX19" s="27">
        <v>0.36348000000000003</v>
      </c>
      <c r="BY19" s="27">
        <v>0.35962666666666698</v>
      </c>
      <c r="BZ19" s="27">
        <v>0.25366</v>
      </c>
      <c r="CA19" s="27">
        <v>4.8000000000000001E-2</v>
      </c>
      <c r="CB19" s="27">
        <v>0.42736067878787909</v>
      </c>
      <c r="CC19" s="33">
        <v>32.906772266666692</v>
      </c>
    </row>
    <row r="20" spans="1:81" x14ac:dyDescent="0.25">
      <c r="A20" s="23">
        <v>19</v>
      </c>
      <c r="B20" s="25">
        <v>9</v>
      </c>
      <c r="C20" s="27">
        <v>0.37968000000000002</v>
      </c>
      <c r="D20" s="27">
        <v>0.269998666666667</v>
      </c>
      <c r="E20" s="27">
        <v>0.13322000000000001</v>
      </c>
      <c r="F20" s="27">
        <v>0.28190066666666702</v>
      </c>
      <c r="G20" s="27">
        <v>5.5E-2</v>
      </c>
      <c r="H20" s="27">
        <v>0.29512833333333399</v>
      </c>
      <c r="I20" s="27">
        <v>0.241190666666667</v>
      </c>
      <c r="J20" s="27">
        <v>8.0868333333333306E-2</v>
      </c>
      <c r="K20" s="27">
        <v>0.22650999999999999</v>
      </c>
      <c r="L20" s="27">
        <v>0.200232666666667</v>
      </c>
      <c r="M20" s="27">
        <v>4.5999999999999999E-2</v>
      </c>
      <c r="N20" s="27">
        <v>0.868999999999999</v>
      </c>
      <c r="O20" s="27">
        <v>0.80293333333333305</v>
      </c>
      <c r="P20" s="27">
        <v>0.20233733333333301</v>
      </c>
      <c r="Q20" s="27">
        <v>0.37061873333333301</v>
      </c>
      <c r="R20" s="27">
        <v>0.32120033333333298</v>
      </c>
      <c r="S20" s="27">
        <v>0.55462733333333403</v>
      </c>
      <c r="T20" s="27">
        <v>0.242516333333333</v>
      </c>
      <c r="U20" s="27">
        <v>0.18216199999999999</v>
      </c>
      <c r="V20" s="27">
        <v>1.3557999999999999</v>
      </c>
      <c r="W20" s="27">
        <v>0.37485566666666698</v>
      </c>
      <c r="X20" s="27">
        <v>0.41018199999999999</v>
      </c>
      <c r="Y20" s="27">
        <v>8.4261466666666701E-2</v>
      </c>
      <c r="Z20" s="27">
        <v>0.390616666666667</v>
      </c>
      <c r="AA20" s="27">
        <v>5.8000000000000003E-2</v>
      </c>
      <c r="AB20" s="27">
        <v>0.61768566666666702</v>
      </c>
      <c r="AC20" s="27">
        <v>1.25169666666667</v>
      </c>
      <c r="AD20" s="27">
        <v>8.4773333333333298E-2</v>
      </c>
      <c r="AE20" s="27">
        <v>0.319305333333334</v>
      </c>
      <c r="AF20" s="27">
        <v>5.3999999999999999E-2</v>
      </c>
      <c r="AG20" s="27">
        <v>0.54821766666666605</v>
      </c>
      <c r="AH20" s="27">
        <v>0.30824733333333298</v>
      </c>
      <c r="AI20" s="27">
        <v>0.182298666666667</v>
      </c>
      <c r="AJ20" s="27">
        <v>2.0567966666666702</v>
      </c>
      <c r="AK20" s="27">
        <v>1.2747120000000001</v>
      </c>
      <c r="AL20" s="27">
        <v>0.102731</v>
      </c>
      <c r="AM20" s="27">
        <v>0.37121633333333398</v>
      </c>
      <c r="AN20" s="27">
        <v>0.204676</v>
      </c>
      <c r="AO20" s="27">
        <v>4.7E-2</v>
      </c>
      <c r="AP20" s="27">
        <v>0.15169233333333301</v>
      </c>
      <c r="AQ20" s="27">
        <v>8.70218666666666E-2</v>
      </c>
      <c r="AR20" s="27">
        <v>2.5157799999999999</v>
      </c>
      <c r="AS20" s="27">
        <v>0.17246</v>
      </c>
      <c r="AT20" s="27">
        <v>0.19651766666666701</v>
      </c>
      <c r="AU20" s="27">
        <v>8.1977333333333402E-2</v>
      </c>
      <c r="AV20" s="27">
        <v>0.35315800000000003</v>
      </c>
      <c r="AW20" s="27">
        <v>0.23238166666666701</v>
      </c>
      <c r="AX20" s="27">
        <v>0.16894000000000001</v>
      </c>
      <c r="AY20" s="27">
        <v>1.91370533333333</v>
      </c>
      <c r="AZ20" s="27">
        <v>0.23569833333333301</v>
      </c>
      <c r="BA20" s="27">
        <v>0.15383866666666701</v>
      </c>
      <c r="BB20" s="27">
        <v>0.335318</v>
      </c>
      <c r="BC20" s="27">
        <v>0.22686000000000001</v>
      </c>
      <c r="BD20" s="27">
        <v>0.2042863</v>
      </c>
      <c r="BE20" s="27">
        <v>0.20675399999999999</v>
      </c>
      <c r="BF20" s="27">
        <v>8.4339333333333405E-2</v>
      </c>
      <c r="BG20" s="27">
        <v>0.99661666666666704</v>
      </c>
      <c r="BH20" s="27">
        <v>0.187233333333333</v>
      </c>
      <c r="BI20" s="27">
        <v>0.30707000000000001</v>
      </c>
      <c r="BJ20" s="27">
        <v>0.27223900000000001</v>
      </c>
      <c r="BK20" s="27">
        <v>0.18631466666666699</v>
      </c>
      <c r="BL20" s="27">
        <v>0.58017733333333399</v>
      </c>
      <c r="BM20" s="27">
        <v>0.223613333333334</v>
      </c>
      <c r="BN20" s="27">
        <v>0.25640233333333301</v>
      </c>
      <c r="BO20" s="27">
        <v>0.123465333333333</v>
      </c>
      <c r="BP20" s="27">
        <v>0.05</v>
      </c>
      <c r="BQ20" s="27">
        <v>0.207265333333333</v>
      </c>
      <c r="BR20" s="27">
        <v>0.803102800000001</v>
      </c>
      <c r="BS20" s="27">
        <v>0.05</v>
      </c>
      <c r="BT20" s="27">
        <v>0.29261429999999999</v>
      </c>
      <c r="BU20" s="27">
        <v>5.5E-2</v>
      </c>
      <c r="BV20" s="27">
        <v>0.71008266666666697</v>
      </c>
      <c r="BW20" s="27">
        <v>0.16771533333333299</v>
      </c>
      <c r="BX20" s="27">
        <v>0.148226</v>
      </c>
      <c r="BY20" s="27">
        <v>0.2039</v>
      </c>
      <c r="BZ20" s="27">
        <v>0.35702333333333303</v>
      </c>
      <c r="CA20" s="27">
        <v>0.337361666666667</v>
      </c>
      <c r="CB20" s="27">
        <v>0.38556298008658019</v>
      </c>
      <c r="CC20" s="33">
        <v>29.688349466666679</v>
      </c>
    </row>
    <row r="21" spans="1:81" x14ac:dyDescent="0.25">
      <c r="A21" s="23">
        <v>20</v>
      </c>
      <c r="B21" s="25">
        <v>9.5</v>
      </c>
      <c r="C21" s="27">
        <v>0.311350666666667</v>
      </c>
      <c r="D21" s="27">
        <v>0.25361</v>
      </c>
      <c r="E21" s="27">
        <v>0.05</v>
      </c>
      <c r="F21" s="27">
        <v>0.318711666666667</v>
      </c>
      <c r="G21" s="27">
        <v>5.5E-2</v>
      </c>
      <c r="H21" s="27">
        <v>0.170214</v>
      </c>
      <c r="I21" s="27">
        <v>2.1624043333333298</v>
      </c>
      <c r="J21" s="27">
        <v>0.70830700000000002</v>
      </c>
      <c r="K21" s="27">
        <v>0.22650999999999999</v>
      </c>
      <c r="L21" s="27">
        <v>0.43077833333333299</v>
      </c>
      <c r="M21" s="27">
        <v>4.5999999999999999E-2</v>
      </c>
      <c r="N21" s="27">
        <v>0.22079233333333301</v>
      </c>
      <c r="O21" s="27">
        <v>1.29128666666667</v>
      </c>
      <c r="P21" s="27">
        <v>0.220606</v>
      </c>
      <c r="Q21" s="27">
        <v>0.46512466666666602</v>
      </c>
      <c r="R21" s="27">
        <v>0.3967</v>
      </c>
      <c r="S21" s="27">
        <v>0.18681466666666699</v>
      </c>
      <c r="T21" s="27">
        <v>0.124605333333333</v>
      </c>
      <c r="U21" s="27">
        <v>4.7E-2</v>
      </c>
      <c r="V21" s="27">
        <v>1.4402159999999999</v>
      </c>
      <c r="W21" s="27">
        <v>0.951327700000001</v>
      </c>
      <c r="X21" s="27">
        <v>0.25945333333333298</v>
      </c>
      <c r="Y21" s="27">
        <v>9.1689466666666705E-2</v>
      </c>
      <c r="Z21" s="27">
        <v>0.75174666666666701</v>
      </c>
      <c r="AA21" s="27">
        <v>5.8000000000000003E-2</v>
      </c>
      <c r="AB21" s="27">
        <v>0.362190333333333</v>
      </c>
      <c r="AC21" s="27">
        <v>0.29313866666666699</v>
      </c>
      <c r="AD21" s="27">
        <v>0.256216</v>
      </c>
      <c r="AE21" s="27">
        <v>8.8866000000000001E-2</v>
      </c>
      <c r="AF21" s="27">
        <v>5.3999999999999999E-2</v>
      </c>
      <c r="AG21" s="27">
        <v>0.407831</v>
      </c>
      <c r="AH21" s="27">
        <v>6.6077999999999998E-2</v>
      </c>
      <c r="AI21" s="27">
        <v>7.6500666666666703E-2</v>
      </c>
      <c r="AJ21" s="27">
        <v>1.156112</v>
      </c>
      <c r="AK21" s="27">
        <v>1.24565066666667</v>
      </c>
      <c r="AL21" s="27">
        <v>0.27504366666666702</v>
      </c>
      <c r="AM21" s="27">
        <v>1.40820866666667</v>
      </c>
      <c r="AN21" s="27">
        <v>5.8999999999999997E-2</v>
      </c>
      <c r="AO21" s="27">
        <v>4.7E-2</v>
      </c>
      <c r="AP21" s="27">
        <v>0.18804000000000001</v>
      </c>
      <c r="AQ21" s="27">
        <v>0.13396179999999999</v>
      </c>
      <c r="AR21" s="27">
        <v>4.5999999999999999E-2</v>
      </c>
      <c r="AS21" s="27">
        <v>4.2000000000000003E-2</v>
      </c>
      <c r="AT21" s="27">
        <v>3.6999999999999998E-2</v>
      </c>
      <c r="AU21" s="27">
        <v>0.17616999999999999</v>
      </c>
      <c r="AV21" s="27">
        <v>0.31775199999999998</v>
      </c>
      <c r="AW21" s="27">
        <v>0.227291666666667</v>
      </c>
      <c r="AX21" s="27">
        <v>3.5000000000000003E-2</v>
      </c>
      <c r="AY21" s="27">
        <v>1.63071066666667</v>
      </c>
      <c r="AZ21" s="27">
        <v>0.116955</v>
      </c>
      <c r="BA21" s="27">
        <v>0.124101</v>
      </c>
      <c r="BB21" s="27">
        <v>0.296427</v>
      </c>
      <c r="BC21" s="27">
        <v>0.32142500000000002</v>
      </c>
      <c r="BD21" s="27">
        <v>0.21912843333333301</v>
      </c>
      <c r="BE21" s="27">
        <v>0.14288200000000001</v>
      </c>
      <c r="BF21" s="27">
        <v>0.39317733333333299</v>
      </c>
      <c r="BG21" s="27">
        <v>0.60869200000000001</v>
      </c>
      <c r="BH21" s="27">
        <v>0.12479066666666699</v>
      </c>
      <c r="BI21" s="27">
        <v>0.92461033333333298</v>
      </c>
      <c r="BJ21" s="27">
        <v>1.2855876666666699</v>
      </c>
      <c r="BK21" s="27">
        <v>0.34597600000000001</v>
      </c>
      <c r="BL21" s="27">
        <v>9.2823333333333397E-2</v>
      </c>
      <c r="BM21" s="27">
        <v>5.7000000000000002E-2</v>
      </c>
      <c r="BN21" s="27">
        <v>8.7813333333333396E-2</v>
      </c>
      <c r="BO21" s="27">
        <v>0.93936366666666704</v>
      </c>
      <c r="BP21" s="27">
        <v>0.18379466666666699</v>
      </c>
      <c r="BQ21" s="27">
        <v>3.9803499999999999E-2</v>
      </c>
      <c r="BR21" s="27">
        <v>9.8780199999999999E-2</v>
      </c>
      <c r="BS21" s="27">
        <v>0.211898</v>
      </c>
      <c r="BT21" s="27">
        <v>0.16239999999999999</v>
      </c>
      <c r="BU21" s="27">
        <v>0.19208500000000001</v>
      </c>
      <c r="BV21" s="27">
        <v>0.70116433333333295</v>
      </c>
      <c r="BW21" s="27">
        <v>5.6000000000000001E-2</v>
      </c>
      <c r="BX21" s="27">
        <v>0.13265333333333301</v>
      </c>
      <c r="BY21" s="27">
        <v>0.29563266666666699</v>
      </c>
      <c r="BZ21" s="27">
        <v>4.3999999999999997E-2</v>
      </c>
      <c r="CA21" s="27">
        <v>0.39991793333333298</v>
      </c>
      <c r="CB21" s="27">
        <v>0.36969990952380982</v>
      </c>
      <c r="CC21" s="33">
        <v>28.466893033333349</v>
      </c>
    </row>
    <row r="22" spans="1:81" x14ac:dyDescent="0.25">
      <c r="A22" s="23">
        <v>21</v>
      </c>
      <c r="B22" s="25">
        <v>10</v>
      </c>
      <c r="C22" s="27">
        <v>0.43192399999999997</v>
      </c>
      <c r="D22" s="27">
        <v>0.42670133333333299</v>
      </c>
      <c r="E22" s="27">
        <v>0.13322000000000001</v>
      </c>
      <c r="F22" s="27">
        <v>0.26648633333333299</v>
      </c>
      <c r="G22" s="27">
        <v>0.21056566666666701</v>
      </c>
      <c r="H22" s="27">
        <v>0.83867466666666701</v>
      </c>
      <c r="I22" s="27">
        <v>5.2999999999999999E-2</v>
      </c>
      <c r="J22" s="27">
        <v>0.92300633333333304</v>
      </c>
      <c r="K22" s="27">
        <v>0.22650999999999999</v>
      </c>
      <c r="L22" s="27">
        <v>0.50548899999999997</v>
      </c>
      <c r="M22" s="27">
        <v>0.05</v>
      </c>
      <c r="N22" s="27">
        <v>0.133075</v>
      </c>
      <c r="O22" s="27">
        <v>0.19103999999999999</v>
      </c>
      <c r="P22" s="27">
        <v>0.15283533333333299</v>
      </c>
      <c r="Q22" s="27">
        <v>0.66093333333333404</v>
      </c>
      <c r="R22" s="27">
        <v>0.181041333333333</v>
      </c>
      <c r="S22" s="27">
        <v>0.179726</v>
      </c>
      <c r="T22" s="27">
        <v>0.83563166666666699</v>
      </c>
      <c r="U22" s="27">
        <v>0.159635</v>
      </c>
      <c r="V22" s="27">
        <v>1.4810490333333299</v>
      </c>
      <c r="W22" s="27">
        <v>0.2480087</v>
      </c>
      <c r="X22" s="27">
        <v>0.18484999999999999</v>
      </c>
      <c r="Y22" s="27">
        <v>7.9099533333333305E-2</v>
      </c>
      <c r="Z22" s="27">
        <v>0.49454166666666699</v>
      </c>
      <c r="AA22" s="27">
        <v>0.20788999999999999</v>
      </c>
      <c r="AB22" s="27">
        <v>0.31462166666666702</v>
      </c>
      <c r="AC22" s="27">
        <v>0.251608</v>
      </c>
      <c r="AD22" s="27">
        <v>5.5E-2</v>
      </c>
      <c r="AE22" s="27">
        <v>0.49050933333333302</v>
      </c>
      <c r="AF22" s="27">
        <v>5.3999999999999999E-2</v>
      </c>
      <c r="AG22" s="27">
        <v>1.3054410000000001</v>
      </c>
      <c r="AH22" s="27">
        <v>0.17680999999999999</v>
      </c>
      <c r="AI22" s="27">
        <v>6.7464466666666695E-2</v>
      </c>
      <c r="AJ22" s="27">
        <v>0.19757766666666701</v>
      </c>
      <c r="AK22" s="27">
        <v>0.47859766666666698</v>
      </c>
      <c r="AL22" s="27">
        <v>0.37415999999999999</v>
      </c>
      <c r="AM22" s="27">
        <v>0.42293599999999998</v>
      </c>
      <c r="AN22" s="27">
        <v>0.23145333333333301</v>
      </c>
      <c r="AO22" s="27">
        <v>4.7E-2</v>
      </c>
      <c r="AP22" s="27">
        <v>0.18804000000000001</v>
      </c>
      <c r="AQ22" s="27">
        <v>0.38730353333333301</v>
      </c>
      <c r="AR22" s="27">
        <v>0.22724</v>
      </c>
      <c r="AS22" s="27">
        <v>4.2000000000000003E-2</v>
      </c>
      <c r="AT22" s="27">
        <v>0.22170466666666699</v>
      </c>
      <c r="AU22" s="27">
        <v>0.19592999999999999</v>
      </c>
      <c r="AV22" s="27">
        <v>1.04020133333333</v>
      </c>
      <c r="AW22" s="27">
        <v>1.61343866666667</v>
      </c>
      <c r="AX22" s="27">
        <v>0.10267066666666699</v>
      </c>
      <c r="AY22" s="27">
        <v>2.9215266666666699</v>
      </c>
      <c r="AZ22" s="27">
        <v>0.32344200000000001</v>
      </c>
      <c r="BA22" s="27">
        <v>0.429385666666667</v>
      </c>
      <c r="BB22" s="27">
        <v>0.50693766666666695</v>
      </c>
      <c r="BC22" s="27">
        <v>6.3711666666666694E-2</v>
      </c>
      <c r="BD22" s="27">
        <v>6.3983999999999999E-2</v>
      </c>
      <c r="BE22" s="27">
        <v>0.25441799999999998</v>
      </c>
      <c r="BF22" s="27">
        <v>0.59628400000000004</v>
      </c>
      <c r="BG22" s="27">
        <v>0.384288666666667</v>
      </c>
      <c r="BH22" s="27">
        <v>0.130870666666667</v>
      </c>
      <c r="BI22" s="27">
        <v>6.3229333333333304E-2</v>
      </c>
      <c r="BJ22" s="27">
        <v>3.5096766666666701</v>
      </c>
      <c r="BK22" s="27">
        <v>0.19206999999999999</v>
      </c>
      <c r="BL22" s="27">
        <v>0.12938566666666701</v>
      </c>
      <c r="BM22" s="27">
        <v>5.7000000000000002E-2</v>
      </c>
      <c r="BN22" s="27">
        <v>0.10957600000000001</v>
      </c>
      <c r="BO22" s="27">
        <v>0.1202</v>
      </c>
      <c r="BP22" s="27">
        <v>1.37974</v>
      </c>
      <c r="BQ22" s="27">
        <v>0.294913166666667</v>
      </c>
      <c r="BR22" s="27">
        <v>7.7865066666666705E-2</v>
      </c>
      <c r="BS22" s="27">
        <v>0.05</v>
      </c>
      <c r="BT22" s="27">
        <v>7.9021666666666698E-2</v>
      </c>
      <c r="BU22" s="27">
        <v>7.6645000000000005E-2</v>
      </c>
      <c r="BV22" s="27">
        <v>0.42570000000000002</v>
      </c>
      <c r="BW22" s="27">
        <v>0.12781699999999999</v>
      </c>
      <c r="BX22" s="27">
        <v>0.35425833333333301</v>
      </c>
      <c r="BY22" s="27">
        <v>0.195662</v>
      </c>
      <c r="BZ22" s="27">
        <v>4.3999999999999997E-2</v>
      </c>
      <c r="CA22" s="27">
        <v>5.00892E-2</v>
      </c>
      <c r="CB22" s="27">
        <v>0.3993810393939396</v>
      </c>
      <c r="CC22" s="33">
        <v>30.752340033333351</v>
      </c>
    </row>
    <row r="23" spans="1:81" x14ac:dyDescent="0.25">
      <c r="A23" s="23">
        <v>22</v>
      </c>
      <c r="B23" s="25">
        <v>10.5</v>
      </c>
      <c r="C23" s="27">
        <v>1.1412756666666699</v>
      </c>
      <c r="D23" s="27">
        <v>0.247886666666667</v>
      </c>
      <c r="E23" s="27">
        <v>0.12844</v>
      </c>
      <c r="F23" s="27">
        <v>0.203063933333333</v>
      </c>
      <c r="G23" s="27">
        <v>6.2239000000000003E-2</v>
      </c>
      <c r="H23" s="27">
        <v>0.230508666666667</v>
      </c>
      <c r="I23" s="27">
        <v>0.118796</v>
      </c>
      <c r="J23" s="27">
        <v>0.58283600000000002</v>
      </c>
      <c r="K23" s="27">
        <v>5.5E-2</v>
      </c>
      <c r="L23" s="27">
        <v>0.19854566666666701</v>
      </c>
      <c r="M23" s="27">
        <v>0.21698466666666699</v>
      </c>
      <c r="N23" s="27">
        <v>1.09743233333333</v>
      </c>
      <c r="O23" s="27">
        <v>5.0999999999999997E-2</v>
      </c>
      <c r="P23" s="27">
        <v>0.62129166666666602</v>
      </c>
      <c r="Q23" s="27">
        <v>1.5417110000000001</v>
      </c>
      <c r="R23" s="27">
        <v>4.4999999999999998E-2</v>
      </c>
      <c r="S23" s="27">
        <v>0.149466666666667</v>
      </c>
      <c r="T23" s="27">
        <v>1.4714309999999999</v>
      </c>
      <c r="U23" s="27">
        <v>9.9563000000000096E-2</v>
      </c>
      <c r="V23" s="27">
        <v>0.24699333333333301</v>
      </c>
      <c r="W23" s="27">
        <v>0.64816200000000002</v>
      </c>
      <c r="X23" s="27">
        <v>0.36927500000000002</v>
      </c>
      <c r="Y23" s="27">
        <v>0.1005707</v>
      </c>
      <c r="Z23" s="27">
        <v>2.1864653333333299</v>
      </c>
      <c r="AA23" s="27">
        <v>0.19164466666666699</v>
      </c>
      <c r="AB23" s="27">
        <v>0.98110433333333302</v>
      </c>
      <c r="AC23" s="27">
        <v>0.30528066666666698</v>
      </c>
      <c r="AD23" s="27">
        <v>0.13687666666666701</v>
      </c>
      <c r="AE23" s="27">
        <v>0.35394999999999999</v>
      </c>
      <c r="AF23" s="27">
        <v>5.3999999999999999E-2</v>
      </c>
      <c r="AG23" s="27">
        <v>0.328814</v>
      </c>
      <c r="AH23" s="27">
        <v>0.16800066666666699</v>
      </c>
      <c r="AI23" s="27">
        <v>0.46933799999999998</v>
      </c>
      <c r="AJ23" s="27">
        <v>0.20645666666666701</v>
      </c>
      <c r="AK23" s="27">
        <v>0.462057</v>
      </c>
      <c r="AL23" s="27">
        <v>0.38131833333333398</v>
      </c>
      <c r="AM23" s="27">
        <v>0.73415399999999997</v>
      </c>
      <c r="AN23" s="27">
        <v>0.1206</v>
      </c>
      <c r="AO23" s="27">
        <v>0.12750800000000001</v>
      </c>
      <c r="AP23" s="27">
        <v>0.18804000000000001</v>
      </c>
      <c r="AQ23" s="27">
        <v>5.2999999999999999E-2</v>
      </c>
      <c r="AR23" s="27">
        <v>0.281675333333333</v>
      </c>
      <c r="AS23" s="27">
        <v>7.4615000000000001E-2</v>
      </c>
      <c r="AT23" s="27">
        <v>3.6999999999999998E-2</v>
      </c>
      <c r="AU23" s="27">
        <v>0.42027633333333297</v>
      </c>
      <c r="AV23" s="27">
        <v>0.41274733333333302</v>
      </c>
      <c r="AW23" s="27">
        <v>0.17232</v>
      </c>
      <c r="AX23" s="27">
        <v>0.115436</v>
      </c>
      <c r="AY23" s="27">
        <v>2.3098109999999998</v>
      </c>
      <c r="AZ23" s="27">
        <v>0.21810089999999999</v>
      </c>
      <c r="BA23" s="27">
        <v>1.8840934</v>
      </c>
      <c r="BB23" s="27">
        <v>0.368562</v>
      </c>
      <c r="BC23" s="27">
        <v>9.6850333333333399E-2</v>
      </c>
      <c r="BD23" s="27">
        <v>0.24990533333333301</v>
      </c>
      <c r="BE23" s="27">
        <v>0.24643000000000001</v>
      </c>
      <c r="BF23" s="27">
        <v>0.40033200000000002</v>
      </c>
      <c r="BG23" s="27">
        <v>0.14416733333333301</v>
      </c>
      <c r="BH23" s="27">
        <v>0.18115000000000001</v>
      </c>
      <c r="BI23" s="27">
        <v>0.15075733333333299</v>
      </c>
      <c r="BJ23" s="27">
        <v>2.2409233333333298</v>
      </c>
      <c r="BK23" s="27">
        <v>0.140215333333333</v>
      </c>
      <c r="BL23" s="27">
        <v>0.38509533333333301</v>
      </c>
      <c r="BM23" s="27">
        <v>0.16302666666666699</v>
      </c>
      <c r="BN23" s="27">
        <v>0.13056000000000001</v>
      </c>
      <c r="BO23" s="27">
        <v>0.213856666666667</v>
      </c>
      <c r="BP23" s="27">
        <v>0.22131933333333301</v>
      </c>
      <c r="BQ23" s="27">
        <v>9.4419500000000003E-2</v>
      </c>
      <c r="BR23" s="27">
        <v>0.10829999999999999</v>
      </c>
      <c r="BS23" s="27">
        <v>0.113101333333333</v>
      </c>
      <c r="BT23" s="27">
        <v>0.20300433333333301</v>
      </c>
      <c r="BU23" s="27">
        <v>5.5E-2</v>
      </c>
      <c r="BV23" s="27">
        <v>0.224173333333333</v>
      </c>
      <c r="BW23" s="27">
        <v>9.5898333333333405E-2</v>
      </c>
      <c r="BX23" s="27">
        <v>5.1999999999999998E-2</v>
      </c>
      <c r="BY23" s="27">
        <v>0.16119600000000001</v>
      </c>
      <c r="BZ23" s="27">
        <v>4.3999999999999997E-2</v>
      </c>
      <c r="CA23" s="27">
        <v>4.8000000000000001E-2</v>
      </c>
      <c r="CB23" s="27">
        <v>0.38356364199134191</v>
      </c>
      <c r="CC23" s="33">
        <v>29.534400433333321</v>
      </c>
    </row>
    <row r="24" spans="1:81" x14ac:dyDescent="0.25">
      <c r="A24" s="23">
        <v>23</v>
      </c>
      <c r="B24" s="25">
        <v>11</v>
      </c>
      <c r="C24" s="27">
        <v>0.44843499999999997</v>
      </c>
      <c r="D24" s="27">
        <v>0.20786199999999999</v>
      </c>
      <c r="E24" s="27">
        <v>0.13322000000000001</v>
      </c>
      <c r="F24" s="27">
        <v>0.120126</v>
      </c>
      <c r="G24" s="27">
        <v>5.5E-2</v>
      </c>
      <c r="H24" s="27">
        <v>0.57307666666666701</v>
      </c>
      <c r="I24" s="27">
        <v>0.77760600000000002</v>
      </c>
      <c r="J24" s="27">
        <v>1.40202</v>
      </c>
      <c r="K24" s="27">
        <v>5.5E-2</v>
      </c>
      <c r="L24" s="27">
        <v>0.32190999999999997</v>
      </c>
      <c r="M24" s="27">
        <v>0.75824833333333297</v>
      </c>
      <c r="N24" s="27">
        <v>1.0414163333333299</v>
      </c>
      <c r="O24" s="27">
        <v>0.20660000000000001</v>
      </c>
      <c r="P24" s="27">
        <v>0.22157933333333299</v>
      </c>
      <c r="Q24" s="27">
        <v>0.46662666666666702</v>
      </c>
      <c r="R24" s="27">
        <v>0.21151066666666701</v>
      </c>
      <c r="S24" s="27">
        <v>0.39513900000000002</v>
      </c>
      <c r="T24" s="27">
        <v>1.6979326666666701</v>
      </c>
      <c r="U24" s="27">
        <v>0.107072</v>
      </c>
      <c r="V24" s="27">
        <v>7.6700666666666695E-2</v>
      </c>
      <c r="W24" s="27">
        <v>1.4120333333333299</v>
      </c>
      <c r="X24" s="27">
        <v>0.24983733333333299</v>
      </c>
      <c r="Y24" s="27">
        <v>8.6405733333333401E-2</v>
      </c>
      <c r="Z24" s="27">
        <v>2.64903333333333</v>
      </c>
      <c r="AA24" s="27">
        <v>5.8000000000000003E-2</v>
      </c>
      <c r="AB24" s="27">
        <v>0.92543399999999998</v>
      </c>
      <c r="AC24" s="27">
        <v>0.25946599999999997</v>
      </c>
      <c r="AD24" s="27">
        <v>0.17049466666666699</v>
      </c>
      <c r="AE24" s="27">
        <v>0.29926666666666701</v>
      </c>
      <c r="AF24" s="27">
        <v>5.3999999999999999E-2</v>
      </c>
      <c r="AG24" s="27">
        <v>0.51771433333333305</v>
      </c>
      <c r="AH24" s="27">
        <v>7.1959999999999996E-2</v>
      </c>
      <c r="AI24" s="27">
        <v>8.1666666666666596E-2</v>
      </c>
      <c r="AJ24" s="27">
        <v>0.400787333333333</v>
      </c>
      <c r="AK24" s="27">
        <v>6.2460666666666699E-2</v>
      </c>
      <c r="AL24" s="27">
        <v>0.98522233333333298</v>
      </c>
      <c r="AM24" s="27">
        <v>0.65344633333333302</v>
      </c>
      <c r="AN24" s="27">
        <v>0.18525333333333299</v>
      </c>
      <c r="AO24" s="27">
        <v>4.7E-2</v>
      </c>
      <c r="AP24" s="27">
        <v>0.22403999999999999</v>
      </c>
      <c r="AQ24" s="27">
        <v>0.100846333333333</v>
      </c>
      <c r="AR24" s="27">
        <v>0.80446300000000104</v>
      </c>
      <c r="AS24" s="27">
        <v>0.15429999999999999</v>
      </c>
      <c r="AT24" s="27">
        <v>3.6999999999999998E-2</v>
      </c>
      <c r="AU24" s="27">
        <v>0.63326800000000005</v>
      </c>
      <c r="AV24" s="27">
        <v>0.38654566666666701</v>
      </c>
      <c r="AW24" s="27">
        <v>0.30421666666666702</v>
      </c>
      <c r="AX24" s="27">
        <v>6.2859999999999999E-2</v>
      </c>
      <c r="AY24" s="27">
        <v>0.48502166666666702</v>
      </c>
      <c r="AZ24" s="27">
        <v>0.11374593333333299</v>
      </c>
      <c r="BA24" s="27">
        <v>0.25683600000000001</v>
      </c>
      <c r="BB24" s="27">
        <v>0.339220666666667</v>
      </c>
      <c r="BC24" s="27">
        <v>4.2999999999999997E-2</v>
      </c>
      <c r="BD24" s="27">
        <v>3.5999999999999997E-2</v>
      </c>
      <c r="BE24" s="27">
        <v>0.24643000000000001</v>
      </c>
      <c r="BF24" s="27">
        <v>0.85933466666666702</v>
      </c>
      <c r="BG24" s="27">
        <v>0.54701699999999998</v>
      </c>
      <c r="BH24" s="27">
        <v>0.25059999999999999</v>
      </c>
      <c r="BI24" s="27">
        <v>0.13855626666666701</v>
      </c>
      <c r="BJ24" s="27">
        <v>0.51722366666666697</v>
      </c>
      <c r="BK24" s="27">
        <v>0.275770666666667</v>
      </c>
      <c r="BL24" s="27">
        <v>6.2138333333333302E-2</v>
      </c>
      <c r="BM24" s="27">
        <v>0.11758666666666701</v>
      </c>
      <c r="BN24" s="27">
        <v>0.10736</v>
      </c>
      <c r="BO24" s="27">
        <v>0.102298666666667</v>
      </c>
      <c r="BP24" s="27">
        <v>2.5823913333333302</v>
      </c>
      <c r="BQ24" s="27">
        <v>0.18033299999999999</v>
      </c>
      <c r="BR24" s="27">
        <v>0.14849029999999999</v>
      </c>
      <c r="BS24" s="27">
        <v>0.30024640000000002</v>
      </c>
      <c r="BT24" s="27">
        <v>0.122105666666667</v>
      </c>
      <c r="BU24" s="27">
        <v>0.18487000000000001</v>
      </c>
      <c r="BV24" s="27">
        <v>0.14047999999999999</v>
      </c>
      <c r="BW24" s="27">
        <v>5.6000000000000001E-2</v>
      </c>
      <c r="BX24" s="27">
        <v>8.3113999999999993E-2</v>
      </c>
      <c r="BY24" s="27">
        <v>0.22557933333333299</v>
      </c>
      <c r="BZ24" s="27">
        <v>4.3999999999999997E-2</v>
      </c>
      <c r="CA24" s="27">
        <v>4.8000000000000001E-2</v>
      </c>
      <c r="CB24" s="27">
        <v>0.38659549740259719</v>
      </c>
      <c r="CC24" s="33">
        <v>29.767853299999981</v>
      </c>
    </row>
    <row r="25" spans="1:81" x14ac:dyDescent="0.25">
      <c r="A25" s="23">
        <v>24</v>
      </c>
      <c r="B25" s="25">
        <v>11.5</v>
      </c>
      <c r="C25" s="27">
        <v>7.7055999999999999E-2</v>
      </c>
      <c r="D25" s="27">
        <v>0.430555666666667</v>
      </c>
      <c r="E25" s="27">
        <v>0.05</v>
      </c>
      <c r="F25" s="27">
        <v>0.21568733333333301</v>
      </c>
      <c r="G25" s="27">
        <v>9.1194999999999998E-2</v>
      </c>
      <c r="H25" s="27">
        <v>0.31069600000000003</v>
      </c>
      <c r="I25" s="27">
        <v>1.7235486666666699</v>
      </c>
      <c r="J25" s="27">
        <v>0.210910666666667</v>
      </c>
      <c r="K25" s="27">
        <v>5.5E-2</v>
      </c>
      <c r="L25" s="27">
        <v>0.57373866666666595</v>
      </c>
      <c r="M25" s="27">
        <v>0.56957999999999998</v>
      </c>
      <c r="N25" s="27">
        <v>0.59715366666666703</v>
      </c>
      <c r="O25" s="27">
        <v>6.6559999999999994E-2</v>
      </c>
      <c r="P25" s="27">
        <v>0.28586166666666701</v>
      </c>
      <c r="Q25" s="27">
        <v>0.102987933333333</v>
      </c>
      <c r="R25" s="27">
        <v>4.4999999999999998E-2</v>
      </c>
      <c r="S25" s="27">
        <v>1.2828613333333301</v>
      </c>
      <c r="T25" s="27">
        <v>0.329909333333334</v>
      </c>
      <c r="U25" s="27">
        <v>0.15212600000000001</v>
      </c>
      <c r="V25" s="27">
        <v>0.17992333333333299</v>
      </c>
      <c r="W25" s="27">
        <v>2.5110394</v>
      </c>
      <c r="X25" s="27">
        <v>0.255427666666667</v>
      </c>
      <c r="Y25" s="27">
        <v>0.14733723333333301</v>
      </c>
      <c r="Z25" s="27">
        <v>0.72302666666666604</v>
      </c>
      <c r="AA25" s="27">
        <v>5.8000000000000003E-2</v>
      </c>
      <c r="AB25" s="27">
        <v>0.55851633333333395</v>
      </c>
      <c r="AC25" s="27">
        <v>1.0785439999999999</v>
      </c>
      <c r="AD25" s="27">
        <v>0.118391333333333</v>
      </c>
      <c r="AE25" s="27">
        <v>0.40608699999999998</v>
      </c>
      <c r="AF25" s="27">
        <v>5.3999999999999999E-2</v>
      </c>
      <c r="AG25" s="27">
        <v>0.31189966666666702</v>
      </c>
      <c r="AH25" s="27">
        <v>0.16982</v>
      </c>
      <c r="AI25" s="27">
        <v>0.23284099999999999</v>
      </c>
      <c r="AJ25" s="27">
        <v>0.444452666666667</v>
      </c>
      <c r="AK25" s="27">
        <v>0.21072133333333301</v>
      </c>
      <c r="AL25" s="27">
        <v>0.903563000000001</v>
      </c>
      <c r="AM25" s="27">
        <v>0.41217999999999999</v>
      </c>
      <c r="AN25" s="27">
        <v>5.8999999999999997E-2</v>
      </c>
      <c r="AO25" s="27">
        <v>0.11409</v>
      </c>
      <c r="AP25" s="27">
        <v>0.16383200000000001</v>
      </c>
      <c r="AQ25" s="27">
        <v>8.3447666666666601E-2</v>
      </c>
      <c r="AR25" s="27">
        <v>0.70672166666666703</v>
      </c>
      <c r="AS25" s="27">
        <v>8.5364999999999996E-2</v>
      </c>
      <c r="AT25" s="27">
        <v>0.11256099999999999</v>
      </c>
      <c r="AU25" s="27">
        <v>2.1077453333333298</v>
      </c>
      <c r="AV25" s="27">
        <v>0.12540000000000001</v>
      </c>
      <c r="AW25" s="27">
        <v>0.39099600000000001</v>
      </c>
      <c r="AX25" s="27">
        <v>0.12941333333333299</v>
      </c>
      <c r="AY25" s="27">
        <v>1.2514069999999999</v>
      </c>
      <c r="AZ25" s="27">
        <v>1.26770433333333</v>
      </c>
      <c r="BA25" s="27">
        <v>1.1736850000000001</v>
      </c>
      <c r="BB25" s="27">
        <v>0.69028033333333305</v>
      </c>
      <c r="BC25" s="27">
        <v>4.2999999999999997E-2</v>
      </c>
      <c r="BD25" s="27">
        <v>3.9889500000000001E-2</v>
      </c>
      <c r="BE25" s="27">
        <v>0.24643000000000001</v>
      </c>
      <c r="BF25" s="27">
        <v>2.7715000000000001</v>
      </c>
      <c r="BG25" s="27">
        <v>0.161272</v>
      </c>
      <c r="BH25" s="27">
        <v>0.22461800000000001</v>
      </c>
      <c r="BI25" s="27">
        <v>0.396381066666667</v>
      </c>
      <c r="BJ25" s="27">
        <v>2.7507820000000001</v>
      </c>
      <c r="BK25" s="27">
        <v>0.122089</v>
      </c>
      <c r="BL25" s="27">
        <v>0.178226</v>
      </c>
      <c r="BM25" s="27">
        <v>5.7000000000000002E-2</v>
      </c>
      <c r="BN25" s="27">
        <v>0.27272333333333298</v>
      </c>
      <c r="BO25" s="27">
        <v>9.2815999999999996E-2</v>
      </c>
      <c r="BP25" s="27">
        <v>1.09727666666667</v>
      </c>
      <c r="BQ25" s="27">
        <v>0.28033799999999998</v>
      </c>
      <c r="BR25" s="27">
        <v>0.13593333333333299</v>
      </c>
      <c r="BS25" s="27">
        <v>0.27875013333333298</v>
      </c>
      <c r="BT25" s="27">
        <v>8.8630333333333394E-2</v>
      </c>
      <c r="BU25" s="27">
        <v>0.241956333333333</v>
      </c>
      <c r="BV25" s="27">
        <v>0.12556666666666699</v>
      </c>
      <c r="BW25" s="27">
        <v>0.16771533333333299</v>
      </c>
      <c r="BX25" s="27">
        <v>0.32993593333333299</v>
      </c>
      <c r="BY25" s="27">
        <v>0.31909533333333301</v>
      </c>
      <c r="BZ25" s="27">
        <v>4.3999999999999997E-2</v>
      </c>
      <c r="CA25" s="27">
        <v>4.8000000000000001E-2</v>
      </c>
      <c r="CB25" s="27">
        <v>0.453529509090909</v>
      </c>
      <c r="CC25" s="33">
        <v>34.921772199999992</v>
      </c>
    </row>
    <row r="26" spans="1:81" x14ac:dyDescent="0.25">
      <c r="A26" s="23">
        <v>25</v>
      </c>
      <c r="B26" s="25">
        <v>12</v>
      </c>
      <c r="C26" s="27">
        <v>0.29817700000000003</v>
      </c>
      <c r="D26" s="27">
        <v>9.0203333333333302E-2</v>
      </c>
      <c r="E26" s="27">
        <v>0.255637</v>
      </c>
      <c r="F26" s="27">
        <v>5.7000000000000002E-2</v>
      </c>
      <c r="G26" s="27">
        <v>0.178063</v>
      </c>
      <c r="H26" s="27">
        <v>0.32685399999999998</v>
      </c>
      <c r="I26" s="27">
        <v>1.55845066666667</v>
      </c>
      <c r="J26" s="27">
        <v>0.218393</v>
      </c>
      <c r="K26" s="27">
        <v>5.5E-2</v>
      </c>
      <c r="L26" s="27">
        <v>0.29650199999999999</v>
      </c>
      <c r="M26" s="27">
        <v>0.16066666666666701</v>
      </c>
      <c r="N26" s="27">
        <v>0.57676099999999997</v>
      </c>
      <c r="O26" s="27">
        <v>5.8779999999999999E-2</v>
      </c>
      <c r="P26" s="27">
        <v>1.0426550000000001</v>
      </c>
      <c r="Q26" s="27">
        <v>0.58110866666666705</v>
      </c>
      <c r="R26" s="27">
        <v>4.4999999999999998E-2</v>
      </c>
      <c r="S26" s="27">
        <v>0.19919999999999999</v>
      </c>
      <c r="T26" s="27">
        <v>0.31019866666666701</v>
      </c>
      <c r="U26" s="27">
        <v>4.7E-2</v>
      </c>
      <c r="V26" s="27">
        <v>0.18778</v>
      </c>
      <c r="W26" s="27">
        <v>0.45829700000000001</v>
      </c>
      <c r="X26" s="27">
        <v>0.15444566666666701</v>
      </c>
      <c r="Y26" s="27">
        <v>0.178586666666667</v>
      </c>
      <c r="Z26" s="27">
        <v>5.5E-2</v>
      </c>
      <c r="AA26" s="27">
        <v>5.8000000000000003E-2</v>
      </c>
      <c r="AB26" s="27">
        <v>0.93417966666666696</v>
      </c>
      <c r="AC26" s="27">
        <v>0.31390400000000002</v>
      </c>
      <c r="AD26" s="27">
        <v>0.23753933333333299</v>
      </c>
      <c r="AE26" s="27">
        <v>0.28978233333333298</v>
      </c>
      <c r="AF26" s="27">
        <v>5.3999999999999999E-2</v>
      </c>
      <c r="AG26" s="27">
        <v>0.27978666666666702</v>
      </c>
      <c r="AH26" s="27">
        <v>0.19766973333333299</v>
      </c>
      <c r="AI26" s="27">
        <v>0.1156282</v>
      </c>
      <c r="AJ26" s="27">
        <v>1.01755366666667</v>
      </c>
      <c r="AK26" s="27">
        <v>0.19774600000000001</v>
      </c>
      <c r="AL26" s="27">
        <v>0.34311033333333302</v>
      </c>
      <c r="AM26" s="27">
        <v>0.37063166666666703</v>
      </c>
      <c r="AN26" s="27">
        <v>0.27567999999999998</v>
      </c>
      <c r="AO26" s="27">
        <v>6.0417999999999999E-2</v>
      </c>
      <c r="AP26" s="27">
        <v>5.3066666666666699E-2</v>
      </c>
      <c r="AQ26" s="27">
        <v>9.6496666666666703E-2</v>
      </c>
      <c r="AR26" s="27">
        <v>1.74297833333333</v>
      </c>
      <c r="AS26" s="27">
        <v>0.31450630000000002</v>
      </c>
      <c r="AT26" s="27">
        <v>0.146143666666667</v>
      </c>
      <c r="AU26" s="27">
        <v>0.28340666666666697</v>
      </c>
      <c r="AV26" s="27">
        <v>0.13771800000000001</v>
      </c>
      <c r="AW26" s="27">
        <v>0.19817599999999999</v>
      </c>
      <c r="AX26" s="27">
        <v>3.08333333333334E-2</v>
      </c>
      <c r="AY26" s="27">
        <v>0.297279666666667</v>
      </c>
      <c r="AZ26" s="27">
        <v>1.32850333333333</v>
      </c>
      <c r="BA26" s="27">
        <v>1.237738</v>
      </c>
      <c r="BB26" s="27">
        <v>0.50005999999999995</v>
      </c>
      <c r="BC26" s="27">
        <v>4.2999999999999997E-2</v>
      </c>
      <c r="BD26" s="27">
        <v>0.16260433333333299</v>
      </c>
      <c r="BE26" s="27">
        <v>0.25042999999999999</v>
      </c>
      <c r="BF26" s="27">
        <v>2.6415199999999999</v>
      </c>
      <c r="BG26" s="27">
        <v>0.107363133333333</v>
      </c>
      <c r="BH26" s="27">
        <v>6.7570666666666598E-2</v>
      </c>
      <c r="BI26" s="27">
        <v>1.02139333333333</v>
      </c>
      <c r="BJ26" s="27">
        <v>2.98936</v>
      </c>
      <c r="BK26" s="27">
        <v>0.17885999999999999</v>
      </c>
      <c r="BL26" s="27">
        <v>0.34339133333333299</v>
      </c>
      <c r="BM26" s="27">
        <v>5.7000000000000002E-2</v>
      </c>
      <c r="BN26" s="27">
        <v>0.164033333333333</v>
      </c>
      <c r="BO26" s="27">
        <v>0.24379366666666699</v>
      </c>
      <c r="BP26" s="27">
        <v>1.7195069333333299</v>
      </c>
      <c r="BQ26" s="27">
        <v>0.112</v>
      </c>
      <c r="BR26" s="27">
        <v>8.3210000000000006E-2</v>
      </c>
      <c r="BS26" s="27">
        <v>0.198781666666667</v>
      </c>
      <c r="BT26" s="27">
        <v>0.21245800000000001</v>
      </c>
      <c r="BU26" s="27">
        <v>0.19481100000000001</v>
      </c>
      <c r="BV26" s="27">
        <v>8.8283333333333297E-2</v>
      </c>
      <c r="BW26" s="27">
        <v>5.6000000000000001E-2</v>
      </c>
      <c r="BX26" s="27">
        <v>0.24792233333333399</v>
      </c>
      <c r="BY26" s="27">
        <v>0.16593466666666701</v>
      </c>
      <c r="BZ26" s="27">
        <v>4.3999999999999997E-2</v>
      </c>
      <c r="CA26" s="27">
        <v>4.8000000000000001E-2</v>
      </c>
      <c r="CB26" s="27">
        <v>0.38887692597402601</v>
      </c>
      <c r="CC26" s="33">
        <v>29.943523299999999</v>
      </c>
    </row>
    <row r="27" spans="1:81" x14ac:dyDescent="0.25">
      <c r="A27" s="23">
        <v>26</v>
      </c>
      <c r="B27" s="25">
        <v>12.5</v>
      </c>
      <c r="C27" s="27">
        <v>9.7993666666666604E-2</v>
      </c>
      <c r="D27" s="27">
        <v>0.13524666666666699</v>
      </c>
      <c r="E27" s="27">
        <v>0.34387933333333298</v>
      </c>
      <c r="F27" s="27">
        <v>0.17545333333333299</v>
      </c>
      <c r="G27" s="27">
        <v>5.5E-2</v>
      </c>
      <c r="H27" s="27">
        <v>0.50257366666666703</v>
      </c>
      <c r="I27" s="27">
        <v>1.6838043333333299</v>
      </c>
      <c r="J27" s="27">
        <v>8.2171666666666698E-2</v>
      </c>
      <c r="K27" s="27">
        <v>5.5E-2</v>
      </c>
      <c r="L27" s="27">
        <v>0.32563900000000001</v>
      </c>
      <c r="M27" s="27">
        <v>6.8000000000000005E-2</v>
      </c>
      <c r="N27" s="27">
        <v>8.6295999999999998E-2</v>
      </c>
      <c r="O27" s="27">
        <v>0.21437999999999999</v>
      </c>
      <c r="P27" s="27">
        <v>0.67527393333333396</v>
      </c>
      <c r="Q27" s="27">
        <v>1.3935507333333299</v>
      </c>
      <c r="R27" s="27">
        <v>0.427037733333333</v>
      </c>
      <c r="S27" s="27">
        <v>0.36308733333333298</v>
      </c>
      <c r="T27" s="27">
        <v>0.75181299999999995</v>
      </c>
      <c r="U27" s="27">
        <v>0.12959899999999999</v>
      </c>
      <c r="V27" s="27">
        <v>0.188256333333333</v>
      </c>
      <c r="W27" s="27">
        <v>0.15307733333333301</v>
      </c>
      <c r="X27" s="27">
        <v>6.9564333333333297E-2</v>
      </c>
      <c r="Y27" s="27">
        <v>7.8186400000000003E-2</v>
      </c>
      <c r="Z27" s="27">
        <v>5.5E-2</v>
      </c>
      <c r="AA27" s="27">
        <v>0.29893799999999998</v>
      </c>
      <c r="AB27" s="27">
        <v>1.5168759999999999</v>
      </c>
      <c r="AC27" s="27">
        <v>0.230842666666667</v>
      </c>
      <c r="AD27" s="27">
        <v>7.3676666666666599E-2</v>
      </c>
      <c r="AE27" s="27">
        <v>0.29782586666666699</v>
      </c>
      <c r="AF27" s="27">
        <v>2.2341266666666701</v>
      </c>
      <c r="AG27" s="27">
        <v>0.112461333333333</v>
      </c>
      <c r="AH27" s="27">
        <v>0.27667999999999998</v>
      </c>
      <c r="AI27" s="27">
        <v>0.16980799999999999</v>
      </c>
      <c r="AJ27" s="27">
        <v>0.38767299999999999</v>
      </c>
      <c r="AK27" s="27">
        <v>0.108862</v>
      </c>
      <c r="AL27" s="27">
        <v>0.17947766666666701</v>
      </c>
      <c r="AM27" s="27">
        <v>0.55345299999999997</v>
      </c>
      <c r="AN27" s="27">
        <v>0.44461733333333298</v>
      </c>
      <c r="AO27" s="27">
        <v>0.50788140000000004</v>
      </c>
      <c r="AP27" s="27">
        <v>0.325456666666667</v>
      </c>
      <c r="AQ27" s="27">
        <v>8.7797333333333297E-2</v>
      </c>
      <c r="AR27" s="27">
        <v>0.150473</v>
      </c>
      <c r="AS27" s="27">
        <v>0.26439000000000001</v>
      </c>
      <c r="AT27" s="27">
        <v>0.113593866666667</v>
      </c>
      <c r="AU27" s="27">
        <v>0.49905866666666698</v>
      </c>
      <c r="AV27" s="27">
        <v>6.3479999999999995E-2</v>
      </c>
      <c r="AW27" s="27">
        <v>0.24740000000000001</v>
      </c>
      <c r="AX27" s="27">
        <v>0.35062643333333299</v>
      </c>
      <c r="AY27" s="27">
        <v>0.30791043333333301</v>
      </c>
      <c r="AZ27" s="27">
        <v>0.24683833333333299</v>
      </c>
      <c r="BA27" s="27">
        <v>0.21969</v>
      </c>
      <c r="BB27" s="27">
        <v>0.61840566666666696</v>
      </c>
      <c r="BC27" s="27">
        <v>0.117562</v>
      </c>
      <c r="BD27" s="27">
        <v>0.13847200000000001</v>
      </c>
      <c r="BE27" s="27">
        <v>0.29216199999999998</v>
      </c>
      <c r="BF27" s="27">
        <v>0.65414300000000003</v>
      </c>
      <c r="BG27" s="27">
        <v>0.77584509999999995</v>
      </c>
      <c r="BH27" s="27">
        <v>0.200456666666667</v>
      </c>
      <c r="BI27" s="27">
        <v>4.8637E-2</v>
      </c>
      <c r="BJ27" s="27">
        <v>2.0161866666666701</v>
      </c>
      <c r="BK27" s="27">
        <v>0.93368600000000002</v>
      </c>
      <c r="BL27" s="27">
        <v>5.5E-2</v>
      </c>
      <c r="BM27" s="27">
        <v>0.223613333333334</v>
      </c>
      <c r="BN27" s="27">
        <v>0.220059</v>
      </c>
      <c r="BO27" s="27">
        <v>4.1000000000000002E-2</v>
      </c>
      <c r="BP27" s="27">
        <v>0.16915379999999999</v>
      </c>
      <c r="BQ27" s="27">
        <v>0.28875499999999998</v>
      </c>
      <c r="BR27" s="27">
        <v>0.146649433333333</v>
      </c>
      <c r="BS27" s="27">
        <v>0.96768600000000005</v>
      </c>
      <c r="BT27" s="27">
        <v>8.3825999999999998E-2</v>
      </c>
      <c r="BU27" s="27">
        <v>0.27199200000000001</v>
      </c>
      <c r="BV27" s="27">
        <v>0.31402333333333299</v>
      </c>
      <c r="BW27" s="27">
        <v>5.6000000000000001E-2</v>
      </c>
      <c r="BX27" s="27">
        <v>0.20284666666666701</v>
      </c>
      <c r="BY27" s="27">
        <v>0.25175500000000001</v>
      </c>
      <c r="BZ27" s="27">
        <v>4.3999999999999997E-2</v>
      </c>
      <c r="CA27" s="27">
        <v>4.8000000000000001E-2</v>
      </c>
      <c r="CB27" s="27">
        <v>0.35791836103896091</v>
      </c>
      <c r="CC27" s="33">
        <v>27.55971379999999</v>
      </c>
    </row>
    <row r="28" spans="1:81" x14ac:dyDescent="0.25">
      <c r="A28" s="23">
        <v>27</v>
      </c>
      <c r="B28" s="25">
        <v>13</v>
      </c>
      <c r="C28" s="27">
        <v>5.3585000000000001E-2</v>
      </c>
      <c r="D28" s="27">
        <v>9.44266666666667E-2</v>
      </c>
      <c r="E28" s="27">
        <v>0.51603699999999997</v>
      </c>
      <c r="F28" s="27">
        <v>0.10772900000000001</v>
      </c>
      <c r="G28" s="27">
        <v>5.5E-2</v>
      </c>
      <c r="H28" s="27">
        <v>0.290325</v>
      </c>
      <c r="I28" s="27">
        <v>1.513852</v>
      </c>
      <c r="J28" s="27">
        <v>5.0999999999999997E-2</v>
      </c>
      <c r="K28" s="27">
        <v>5.5E-2</v>
      </c>
      <c r="L28" s="27">
        <v>0.32711966666666598</v>
      </c>
      <c r="M28" s="27">
        <v>4.6325166666666702E-2</v>
      </c>
      <c r="N28" s="27">
        <v>0.22988666666666699</v>
      </c>
      <c r="O28" s="27">
        <v>5.0999999999999997E-2</v>
      </c>
      <c r="P28" s="27">
        <v>0.18570266666666699</v>
      </c>
      <c r="Q28" s="27">
        <v>0.89683999999999997</v>
      </c>
      <c r="R28" s="27">
        <v>0.1062408</v>
      </c>
      <c r="S28" s="27">
        <v>0.35845866666666698</v>
      </c>
      <c r="T28" s="27">
        <v>0.29343200000000003</v>
      </c>
      <c r="U28" s="27">
        <v>0.12959899999999999</v>
      </c>
      <c r="V28" s="27">
        <v>0.20380266666666699</v>
      </c>
      <c r="W28" s="27">
        <v>0.126892</v>
      </c>
      <c r="X28" s="27">
        <v>0.25107566666666697</v>
      </c>
      <c r="Y28" s="27">
        <v>1.1199085333333301</v>
      </c>
      <c r="Z28" s="27">
        <v>5.5E-2</v>
      </c>
      <c r="AA28" s="27">
        <v>0.21537000000000001</v>
      </c>
      <c r="AB28" s="27">
        <v>0.214636666666667</v>
      </c>
      <c r="AC28" s="27">
        <v>0.40224066666666702</v>
      </c>
      <c r="AD28" s="27">
        <v>6.2443333333333302E-2</v>
      </c>
      <c r="AE28" s="27">
        <v>0.158414466666667</v>
      </c>
      <c r="AF28" s="27">
        <v>5.3999999999999999E-2</v>
      </c>
      <c r="AG28" s="27">
        <v>0.112461333333333</v>
      </c>
      <c r="AH28" s="27">
        <v>0.23450133333333301</v>
      </c>
      <c r="AI28" s="27">
        <v>0.18598933333333301</v>
      </c>
      <c r="AJ28" s="27">
        <v>6.1296999999999997E-2</v>
      </c>
      <c r="AK28" s="27">
        <v>0.44071399999999999</v>
      </c>
      <c r="AL28" s="27">
        <v>0.60858333333333303</v>
      </c>
      <c r="AM28" s="27">
        <v>0.693608</v>
      </c>
      <c r="AN28" s="27">
        <v>0.40244799999999997</v>
      </c>
      <c r="AO28" s="27">
        <v>0.10586909999999999</v>
      </c>
      <c r="AP28" s="27">
        <v>0.95663033333333303</v>
      </c>
      <c r="AQ28" s="27">
        <v>9.6496666666666703E-2</v>
      </c>
      <c r="AR28" s="27">
        <v>0.125507333333333</v>
      </c>
      <c r="AS28" s="27">
        <v>0.18930693333333301</v>
      </c>
      <c r="AT28" s="27">
        <v>0.105479133333333</v>
      </c>
      <c r="AU28" s="27">
        <v>1.89991466666667</v>
      </c>
      <c r="AV28" s="27">
        <v>0.230598</v>
      </c>
      <c r="AW28" s="27">
        <v>0.10169</v>
      </c>
      <c r="AX28" s="27">
        <v>0.18146090000000001</v>
      </c>
      <c r="AY28" s="27">
        <v>5.2869666666666697E-2</v>
      </c>
      <c r="AZ28" s="27">
        <v>1.57790233333333</v>
      </c>
      <c r="BA28" s="27">
        <v>0.42754599999999998</v>
      </c>
      <c r="BB28" s="27">
        <v>0.30517066666666698</v>
      </c>
      <c r="BC28" s="27">
        <v>6.5658999999999995E-2</v>
      </c>
      <c r="BD28" s="27">
        <v>0.48593466666666602</v>
      </c>
      <c r="BE28" s="27">
        <v>0.458679</v>
      </c>
      <c r="BF28" s="27">
        <v>6.4649666666666702E-2</v>
      </c>
      <c r="BG28" s="27">
        <v>1.0900403999999999</v>
      </c>
      <c r="BH28" s="27">
        <v>0.111568</v>
      </c>
      <c r="BI28" s="27">
        <v>4.95564E-2</v>
      </c>
      <c r="BJ28" s="27">
        <v>0.25561499999999998</v>
      </c>
      <c r="BK28" s="27">
        <v>0.76222066666666699</v>
      </c>
      <c r="BL28" s="27">
        <v>0.39847866666666698</v>
      </c>
      <c r="BM28" s="27">
        <v>5.7000000000000002E-2</v>
      </c>
      <c r="BN28" s="27">
        <v>5.3999999999999999E-2</v>
      </c>
      <c r="BO28" s="27">
        <v>9.2815999999999996E-2</v>
      </c>
      <c r="BP28" s="27">
        <v>6.2798566666666694E-2</v>
      </c>
      <c r="BQ28" s="27">
        <v>0.130592666666667</v>
      </c>
      <c r="BR28" s="27">
        <v>0.233305033333333</v>
      </c>
      <c r="BS28" s="27">
        <v>0.23673820000000001</v>
      </c>
      <c r="BT28" s="27">
        <v>5.5E-2</v>
      </c>
      <c r="BU28" s="27">
        <v>0.28403866666666699</v>
      </c>
      <c r="BV28" s="27">
        <v>5.0999999999999997E-2</v>
      </c>
      <c r="BW28" s="27">
        <v>5.6000000000000001E-2</v>
      </c>
      <c r="BX28" s="27">
        <v>0.44591199999999998</v>
      </c>
      <c r="BY28" s="27">
        <v>0.40524833333333299</v>
      </c>
      <c r="BZ28" s="27">
        <v>0.26983000000000001</v>
      </c>
      <c r="CA28" s="27">
        <v>4.8000000000000001E-2</v>
      </c>
      <c r="CB28" s="27">
        <v>0.30579309480519462</v>
      </c>
      <c r="CC28" s="33">
        <v>23.54606829999998</v>
      </c>
    </row>
    <row r="29" spans="1:81" x14ac:dyDescent="0.25">
      <c r="A29" s="23">
        <v>28</v>
      </c>
      <c r="B29" s="25">
        <v>13.5</v>
      </c>
      <c r="C29" s="27">
        <v>0.31541166666666698</v>
      </c>
      <c r="D29" s="27">
        <v>7.4016666666666703E-2</v>
      </c>
      <c r="E29" s="27">
        <v>0.21657433333333301</v>
      </c>
      <c r="F29" s="27">
        <v>0.364396</v>
      </c>
      <c r="G29" s="27">
        <v>0.19254099999999999</v>
      </c>
      <c r="H29" s="27">
        <v>0.49465866666666702</v>
      </c>
      <c r="I29" s="27">
        <v>0.29958833333333301</v>
      </c>
      <c r="J29" s="27">
        <v>0.18815533333333301</v>
      </c>
      <c r="K29" s="27">
        <v>5.5E-2</v>
      </c>
      <c r="L29" s="27">
        <v>0.258189</v>
      </c>
      <c r="M29" s="27">
        <v>4.5999999999999999E-2</v>
      </c>
      <c r="N29" s="27">
        <v>0.17708199999999999</v>
      </c>
      <c r="O29" s="27">
        <v>9.5168333333333299E-2</v>
      </c>
      <c r="P29" s="27">
        <v>0.178696666666667</v>
      </c>
      <c r="Q29" s="27">
        <v>0.10422466666666701</v>
      </c>
      <c r="R29" s="27">
        <v>0.10329000000000001</v>
      </c>
      <c r="S29" s="27">
        <v>0.28414366666666702</v>
      </c>
      <c r="T29" s="27">
        <v>0.41441666666666699</v>
      </c>
      <c r="U29" s="27">
        <v>4.7E-2</v>
      </c>
      <c r="V29" s="27">
        <v>0.20954866666666699</v>
      </c>
      <c r="W29" s="27">
        <v>0.210105666666667</v>
      </c>
      <c r="X29" s="27">
        <v>0.21243200000000001</v>
      </c>
      <c r="Y29" s="27">
        <v>0.28838999999999998</v>
      </c>
      <c r="Z29" s="27">
        <v>5.5E-2</v>
      </c>
      <c r="AA29" s="27">
        <v>0.31091033333333301</v>
      </c>
      <c r="AB29" s="27">
        <v>0.495068333333333</v>
      </c>
      <c r="AC29" s="27">
        <v>0.31274933333333299</v>
      </c>
      <c r="AD29" s="27">
        <v>0.22998666666666701</v>
      </c>
      <c r="AE29" s="27">
        <v>0.27606413333333402</v>
      </c>
      <c r="AF29" s="27">
        <v>5.3999999999999999E-2</v>
      </c>
      <c r="AG29" s="27">
        <v>0.17283999999999999</v>
      </c>
      <c r="AH29" s="27">
        <v>0.31049933333333302</v>
      </c>
      <c r="AI29" s="27">
        <v>0.14485266666666699</v>
      </c>
      <c r="AJ29" s="27">
        <v>0.43063766666666697</v>
      </c>
      <c r="AK29" s="27">
        <v>0.22035033333333301</v>
      </c>
      <c r="AL29" s="27">
        <v>0.23280999999999999</v>
      </c>
      <c r="AM29" s="27">
        <v>0.303802666666667</v>
      </c>
      <c r="AN29" s="27">
        <v>0.26191266666666702</v>
      </c>
      <c r="AO29" s="27">
        <v>0.1472262</v>
      </c>
      <c r="AP29" s="27">
        <v>2.79551666666667</v>
      </c>
      <c r="AQ29" s="27">
        <v>8.7797333333333297E-2</v>
      </c>
      <c r="AR29" s="27">
        <v>0.36959700000000001</v>
      </c>
      <c r="AS29" s="27">
        <v>0.35309813333333301</v>
      </c>
      <c r="AT29" s="27">
        <v>0.10447833333333301</v>
      </c>
      <c r="AU29" s="27">
        <v>0.98455733333333395</v>
      </c>
      <c r="AV29" s="27">
        <v>4.8000000000000001E-2</v>
      </c>
      <c r="AW29" s="27">
        <v>0.20100633333333301</v>
      </c>
      <c r="AX29" s="27">
        <v>0.03</v>
      </c>
      <c r="AY29" s="27">
        <v>0.38517000000000001</v>
      </c>
      <c r="AZ29" s="27">
        <v>0.35581099999999999</v>
      </c>
      <c r="BA29" s="27">
        <v>0.110563333333333</v>
      </c>
      <c r="BB29" s="27">
        <v>1.57416933333333</v>
      </c>
      <c r="BC29" s="27">
        <v>4.2999999999999997E-2</v>
      </c>
      <c r="BD29" s="27">
        <v>0.37052813333333301</v>
      </c>
      <c r="BE29" s="27">
        <v>0.47398699999999999</v>
      </c>
      <c r="BF29" s="27">
        <v>5.6000000000000001E-2</v>
      </c>
      <c r="BG29" s="27">
        <v>0.67306220000000005</v>
      </c>
      <c r="BH29" s="27">
        <v>5.5E-2</v>
      </c>
      <c r="BI29" s="27">
        <v>0.19153973333333299</v>
      </c>
      <c r="BJ29" s="27">
        <v>0.40327400000000002</v>
      </c>
      <c r="BK29" s="27">
        <v>9.2271666666666696E-2</v>
      </c>
      <c r="BL29" s="27">
        <v>0.12313966666666699</v>
      </c>
      <c r="BM29" s="27">
        <v>5.7000000000000002E-2</v>
      </c>
      <c r="BN29" s="27">
        <v>0.17071333333333299</v>
      </c>
      <c r="BO29" s="27">
        <v>0.1069928</v>
      </c>
      <c r="BP29" s="27">
        <v>0.29576659999999999</v>
      </c>
      <c r="BQ29" s="27">
        <v>0.291995333333333</v>
      </c>
      <c r="BR29" s="27">
        <v>0.115874166666667</v>
      </c>
      <c r="BS29" s="27">
        <v>8.0662200000000003E-2</v>
      </c>
      <c r="BT29" s="27">
        <v>0.236479666666667</v>
      </c>
      <c r="BU29" s="27">
        <v>0.18867566666666699</v>
      </c>
      <c r="BV29" s="27">
        <v>5.7813000000000003E-2</v>
      </c>
      <c r="BW29" s="27">
        <v>0.16771533333333299</v>
      </c>
      <c r="BX29" s="27">
        <v>0.25450499999999998</v>
      </c>
      <c r="BY29" s="27">
        <v>0.39330866666666697</v>
      </c>
      <c r="BZ29" s="27">
        <v>0.26983000000000001</v>
      </c>
      <c r="CA29" s="27">
        <v>7.8204266666666605E-2</v>
      </c>
      <c r="CB29" s="27">
        <v>0.27837458311688312</v>
      </c>
      <c r="CC29" s="33">
        <v>21.4348429</v>
      </c>
    </row>
    <row r="30" spans="1:81" x14ac:dyDescent="0.25">
      <c r="A30" s="23">
        <v>29</v>
      </c>
      <c r="B30" s="25">
        <v>14</v>
      </c>
      <c r="C30" s="27">
        <v>0.10423</v>
      </c>
      <c r="D30" s="27">
        <v>0.155656666666667</v>
      </c>
      <c r="E30" s="27">
        <v>0.25287999999999999</v>
      </c>
      <c r="F30" s="27">
        <v>0.30351766666666702</v>
      </c>
      <c r="G30" s="27">
        <v>7.6716999999999994E-2</v>
      </c>
      <c r="H30" s="27">
        <v>0.153412666666667</v>
      </c>
      <c r="I30" s="27">
        <v>0.110445</v>
      </c>
      <c r="J30" s="27">
        <v>0.157070666666667</v>
      </c>
      <c r="K30" s="27">
        <v>5.5E-2</v>
      </c>
      <c r="L30" s="27">
        <v>0.79510966666666705</v>
      </c>
      <c r="M30" s="27">
        <v>0.18148</v>
      </c>
      <c r="N30" s="27">
        <v>4.8000000000000001E-2</v>
      </c>
      <c r="O30" s="27">
        <v>0.113399266666667</v>
      </c>
      <c r="P30" s="27">
        <v>0.118326</v>
      </c>
      <c r="Q30" s="27">
        <v>0.73684166666666695</v>
      </c>
      <c r="R30" s="27">
        <v>0.26467200000000002</v>
      </c>
      <c r="S30" s="27">
        <v>0.64847933333333396</v>
      </c>
      <c r="T30" s="27">
        <v>0.50737699999999997</v>
      </c>
      <c r="U30" s="27">
        <v>7.7035999999999993E-2</v>
      </c>
      <c r="V30" s="27">
        <v>0.72747700000000004</v>
      </c>
      <c r="W30" s="27">
        <v>0.30702966666666698</v>
      </c>
      <c r="X30" s="27">
        <v>0.49006133333333302</v>
      </c>
      <c r="Y30" s="27">
        <v>0.05</v>
      </c>
      <c r="Z30" s="27">
        <v>5.5E-2</v>
      </c>
      <c r="AA30" s="27">
        <v>0.25455699999999998</v>
      </c>
      <c r="AB30" s="27">
        <v>0.25957266666666701</v>
      </c>
      <c r="AC30" s="27">
        <v>7.1570666666666602E-2</v>
      </c>
      <c r="AD30" s="27">
        <v>0.103559333333333</v>
      </c>
      <c r="AE30" s="27">
        <v>0.15199679999999999</v>
      </c>
      <c r="AF30" s="27">
        <v>5.3999999999999999E-2</v>
      </c>
      <c r="AG30" s="27">
        <v>0.197144866666667</v>
      </c>
      <c r="AH30" s="27">
        <v>9.7979999999999998E-2</v>
      </c>
      <c r="AI30" s="27">
        <v>0.18439533333333299</v>
      </c>
      <c r="AJ30" s="27">
        <v>1.22790333333333</v>
      </c>
      <c r="AK30" s="27">
        <v>0.210252666666667</v>
      </c>
      <c r="AL30" s="27">
        <v>0.88953666666666698</v>
      </c>
      <c r="AM30" s="27">
        <v>0.65141533333333301</v>
      </c>
      <c r="AN30" s="27">
        <v>0.41315733333333299</v>
      </c>
      <c r="AO30" s="27">
        <v>6.2747800000000006E-2</v>
      </c>
      <c r="AP30" s="27">
        <v>3.0301200000000001</v>
      </c>
      <c r="AQ30" s="27">
        <v>5.2999999999999999E-2</v>
      </c>
      <c r="AR30" s="27">
        <v>0.25771266666666698</v>
      </c>
      <c r="AS30" s="27">
        <v>0.14923040000000001</v>
      </c>
      <c r="AT30" s="27">
        <v>0.162935</v>
      </c>
      <c r="AU30" s="27">
        <v>4.1439499999999997E-2</v>
      </c>
      <c r="AV30" s="27">
        <v>0.18521199999999999</v>
      </c>
      <c r="AW30" s="27">
        <v>0.33085199999999998</v>
      </c>
      <c r="AX30" s="27">
        <v>0.16144</v>
      </c>
      <c r="AY30" s="27">
        <v>4.8000000000000001E-2</v>
      </c>
      <c r="AZ30" s="27">
        <v>0.41352133333333302</v>
      </c>
      <c r="BA30" s="27">
        <v>0.26385599999999998</v>
      </c>
      <c r="BB30" s="27">
        <v>1.51627633333333</v>
      </c>
      <c r="BC30" s="27">
        <v>0.117562</v>
      </c>
      <c r="BD30" s="27">
        <v>0.256788233333333</v>
      </c>
      <c r="BE30" s="27">
        <v>1.2443169999999999</v>
      </c>
      <c r="BF30" s="27">
        <v>0.22034366666666699</v>
      </c>
      <c r="BG30" s="27">
        <v>1.2569570000000001</v>
      </c>
      <c r="BH30" s="27">
        <v>0.23392299999999999</v>
      </c>
      <c r="BI30" s="27">
        <v>0.1774464</v>
      </c>
      <c r="BJ30" s="27">
        <v>0.10978866666666701</v>
      </c>
      <c r="BK30" s="27">
        <v>0.18172366666666701</v>
      </c>
      <c r="BL30" s="27">
        <v>0.23011899999999999</v>
      </c>
      <c r="BM30" s="27">
        <v>0.223613333333334</v>
      </c>
      <c r="BN30" s="27">
        <v>0.104</v>
      </c>
      <c r="BO30" s="27">
        <v>0.19062599999999999</v>
      </c>
      <c r="BP30" s="27">
        <v>0.201848</v>
      </c>
      <c r="BQ30" s="27">
        <v>0.27282333333333397</v>
      </c>
      <c r="BR30" s="27">
        <v>0.67389916666666705</v>
      </c>
      <c r="BS30" s="27">
        <v>0.05</v>
      </c>
      <c r="BT30" s="27">
        <v>5.98043333333333E-2</v>
      </c>
      <c r="BU30" s="27">
        <v>0.33118999999999998</v>
      </c>
      <c r="BV30" s="27">
        <v>0.180447</v>
      </c>
      <c r="BW30" s="27">
        <v>5.6000000000000001E-2</v>
      </c>
      <c r="BX30" s="27">
        <v>1.02392333333333</v>
      </c>
      <c r="BY30" s="27">
        <v>0.51268333333333305</v>
      </c>
      <c r="BZ30" s="27">
        <v>0.19039900000000001</v>
      </c>
      <c r="CA30" s="27">
        <v>0.21789106666666699</v>
      </c>
      <c r="CB30" s="27">
        <v>0.34091844372294361</v>
      </c>
      <c r="CC30" s="33">
        <v>26.25072016666666</v>
      </c>
    </row>
    <row r="31" spans="1:81" x14ac:dyDescent="0.25">
      <c r="A31" s="23">
        <v>30</v>
      </c>
      <c r="B31" s="25">
        <v>14.5</v>
      </c>
      <c r="C31" s="27">
        <v>0.131142333333333</v>
      </c>
      <c r="D31" s="27">
        <v>0.04</v>
      </c>
      <c r="E31" s="27">
        <v>0.18005599999999999</v>
      </c>
      <c r="F31" s="27">
        <v>0.36731900000000001</v>
      </c>
      <c r="G31" s="27">
        <v>5.5E-2</v>
      </c>
      <c r="H31" s="27">
        <v>0.33534166666666698</v>
      </c>
      <c r="I31" s="27">
        <v>0.100519333333333</v>
      </c>
      <c r="J31" s="27">
        <v>5.6582666666666698E-2</v>
      </c>
      <c r="K31" s="27">
        <v>5.5E-2</v>
      </c>
      <c r="L31" s="27">
        <v>1.10366566666667</v>
      </c>
      <c r="M31" s="27">
        <v>1.27439533333333</v>
      </c>
      <c r="N31" s="27">
        <v>0.14225933333333299</v>
      </c>
      <c r="O31" s="27">
        <v>5.8630399999999999E-2</v>
      </c>
      <c r="P31" s="27">
        <v>0.210410666666667</v>
      </c>
      <c r="Q31" s="27">
        <v>0.79371700000000001</v>
      </c>
      <c r="R31" s="27">
        <v>0.20874933333333301</v>
      </c>
      <c r="S31" s="27">
        <v>0.1822298</v>
      </c>
      <c r="T31" s="27">
        <v>0.35163499999999998</v>
      </c>
      <c r="U31" s="27">
        <v>0.18216199999999999</v>
      </c>
      <c r="V31" s="27">
        <v>0.60031133333333297</v>
      </c>
      <c r="W31" s="27">
        <v>1.4658825</v>
      </c>
      <c r="X31" s="27">
        <v>0.36848799999999998</v>
      </c>
      <c r="Y31" s="27">
        <v>0.05</v>
      </c>
      <c r="Z31" s="27">
        <v>5.5E-2</v>
      </c>
      <c r="AA31" s="27">
        <v>0.13385420000000001</v>
      </c>
      <c r="AB31" s="27">
        <v>0.13615133333333301</v>
      </c>
      <c r="AC31" s="27">
        <v>0.174238</v>
      </c>
      <c r="AD31" s="27">
        <v>5.5E-2</v>
      </c>
      <c r="AE31" s="27">
        <v>1.23946133333333</v>
      </c>
      <c r="AF31" s="27">
        <v>5.3999999999999999E-2</v>
      </c>
      <c r="AG31" s="27">
        <v>5.8999999999999997E-2</v>
      </c>
      <c r="AH31" s="27">
        <v>0.147030666666667</v>
      </c>
      <c r="AI31" s="27">
        <v>0.38857736666666698</v>
      </c>
      <c r="AJ31" s="27">
        <v>0.49626399999999998</v>
      </c>
      <c r="AK31" s="27">
        <v>0.58487666666666704</v>
      </c>
      <c r="AL31" s="27">
        <v>0.37802283333333297</v>
      </c>
      <c r="AM31" s="27">
        <v>0.34521800000000002</v>
      </c>
      <c r="AN31" s="27">
        <v>0.50624166666666603</v>
      </c>
      <c r="AO31" s="27">
        <v>0.12750800000000001</v>
      </c>
      <c r="AP31" s="27">
        <v>0.57619366666666705</v>
      </c>
      <c r="AQ31" s="27">
        <v>0.13129399999999999</v>
      </c>
      <c r="AR31" s="27">
        <v>0.61395299999999997</v>
      </c>
      <c r="AS31" s="27">
        <v>0.30508200000000002</v>
      </c>
      <c r="AT31" s="27">
        <v>3.6999999999999998E-2</v>
      </c>
      <c r="AU31" s="27">
        <v>0.13641400000000001</v>
      </c>
      <c r="AV31" s="27">
        <v>0.108866</v>
      </c>
      <c r="AW31" s="27">
        <v>0.26328499999999999</v>
      </c>
      <c r="AX31" s="27">
        <v>0.03</v>
      </c>
      <c r="AY31" s="27">
        <v>0.26904099999999997</v>
      </c>
      <c r="AZ31" s="27">
        <v>0.60209433333333295</v>
      </c>
      <c r="BA31" s="27">
        <v>5.6000000000000001E-2</v>
      </c>
      <c r="BB31" s="27">
        <v>1.87863466666667</v>
      </c>
      <c r="BC31" s="27">
        <v>4.2999999999999997E-2</v>
      </c>
      <c r="BD31" s="27">
        <v>0.33451500000000001</v>
      </c>
      <c r="BE31" s="27">
        <v>6.5332000000000001E-2</v>
      </c>
      <c r="BF31" s="27">
        <v>0.24184600000000001</v>
      </c>
      <c r="BG31" s="27">
        <v>0.84861399999999998</v>
      </c>
      <c r="BH31" s="27">
        <v>0.14625533333333299</v>
      </c>
      <c r="BI31" s="27">
        <v>0.25252000000000002</v>
      </c>
      <c r="BJ31" s="27">
        <v>0.19347600000000001</v>
      </c>
      <c r="BK31" s="27">
        <v>5.5E-2</v>
      </c>
      <c r="BL31" s="27">
        <v>0.53047900000000003</v>
      </c>
      <c r="BM31" s="27">
        <v>5.7000000000000002E-2</v>
      </c>
      <c r="BN31" s="27">
        <v>0.21113499999999999</v>
      </c>
      <c r="BO31" s="27">
        <v>1.1988844000000001</v>
      </c>
      <c r="BP31" s="27">
        <v>0.149299866666667</v>
      </c>
      <c r="BQ31" s="27">
        <v>0.316081</v>
      </c>
      <c r="BR31" s="27">
        <v>0.382598933333333</v>
      </c>
      <c r="BS31" s="27">
        <v>0.183465666666667</v>
      </c>
      <c r="BT31" s="27">
        <v>0.177123</v>
      </c>
      <c r="BU31" s="27">
        <v>7.2836999999999999E-2</v>
      </c>
      <c r="BV31" s="27">
        <v>5.0999999999999997E-2</v>
      </c>
      <c r="BW31" s="27">
        <v>0.151756</v>
      </c>
      <c r="BX31" s="27">
        <v>0.46081</v>
      </c>
      <c r="BY31" s="27">
        <v>0.17986133333333301</v>
      </c>
      <c r="BZ31" s="27">
        <v>0.20766000000000001</v>
      </c>
      <c r="CA31" s="27">
        <v>0.50889866666666606</v>
      </c>
      <c r="CB31" s="27">
        <v>0.32754866623376622</v>
      </c>
      <c r="CC31" s="33">
        <v>25.221247299999991</v>
      </c>
    </row>
    <row r="32" spans="1:81" x14ac:dyDescent="0.25">
      <c r="A32" s="23">
        <v>31</v>
      </c>
      <c r="B32" s="25">
        <v>15</v>
      </c>
      <c r="C32" s="27">
        <v>0.29608600000000002</v>
      </c>
      <c r="D32" s="27">
        <v>0.16245999999999999</v>
      </c>
      <c r="E32" s="27">
        <v>0.27044766666666697</v>
      </c>
      <c r="F32" s="27">
        <v>0.39084433333333402</v>
      </c>
      <c r="G32" s="27">
        <v>5.5E-2</v>
      </c>
      <c r="H32" s="27">
        <v>0.456892666666667</v>
      </c>
      <c r="I32" s="27">
        <v>0.201839666666667</v>
      </c>
      <c r="J32" s="27">
        <v>5.0999999999999997E-2</v>
      </c>
      <c r="K32" s="27">
        <v>5.5E-2</v>
      </c>
      <c r="L32" s="27">
        <v>6.0999999999999999E-2</v>
      </c>
      <c r="M32" s="27">
        <v>9.0380500000000003E-2</v>
      </c>
      <c r="N32" s="27">
        <v>0.13738866666666699</v>
      </c>
      <c r="O32" s="27">
        <v>0.219806</v>
      </c>
      <c r="P32" s="27">
        <v>0.19554333333333301</v>
      </c>
      <c r="Q32" s="27">
        <v>0.58593333333333297</v>
      </c>
      <c r="R32" s="27">
        <v>0.34374633333333399</v>
      </c>
      <c r="S32" s="27">
        <v>0.166105</v>
      </c>
      <c r="T32" s="27">
        <v>0.28949533333333299</v>
      </c>
      <c r="U32" s="27">
        <v>4.7E-2</v>
      </c>
      <c r="V32" s="27">
        <v>0.30492866666666701</v>
      </c>
      <c r="W32" s="27">
        <v>0.26286599999999999</v>
      </c>
      <c r="X32" s="27">
        <v>0.23731866666666701</v>
      </c>
      <c r="Y32" s="27">
        <v>0.05</v>
      </c>
      <c r="Z32" s="27">
        <v>5.5E-2</v>
      </c>
      <c r="AA32" s="27">
        <v>0.122919</v>
      </c>
      <c r="AB32" s="27">
        <v>9.0922000000000003E-2</v>
      </c>
      <c r="AC32" s="27">
        <v>0.114665666666667</v>
      </c>
      <c r="AD32" s="27">
        <v>0.26727000000000001</v>
      </c>
      <c r="AE32" s="27">
        <v>2.8772366666666702</v>
      </c>
      <c r="AF32" s="27">
        <v>5.3999999999999999E-2</v>
      </c>
      <c r="AG32" s="27">
        <v>0.134941333333333</v>
      </c>
      <c r="AH32" s="27">
        <v>0.19778000000000001</v>
      </c>
      <c r="AI32" s="27">
        <v>0.33959</v>
      </c>
      <c r="AJ32" s="27">
        <v>0.83095799999999898</v>
      </c>
      <c r="AK32" s="27">
        <v>9.4134666666666603E-2</v>
      </c>
      <c r="AL32" s="27">
        <v>0.25606896666666701</v>
      </c>
      <c r="AM32" s="27">
        <v>0.332967333333333</v>
      </c>
      <c r="AN32" s="27">
        <v>5.8999999999999997E-2</v>
      </c>
      <c r="AO32" s="27">
        <v>5.2465600000000001E-2</v>
      </c>
      <c r="AP32" s="27">
        <v>0.226356</v>
      </c>
      <c r="AQ32" s="27">
        <v>5.2999999999999999E-2</v>
      </c>
      <c r="AR32" s="27">
        <v>4.5999999999999999E-2</v>
      </c>
      <c r="AS32" s="27">
        <v>0.174368</v>
      </c>
      <c r="AT32" s="27">
        <v>0.19651766666666701</v>
      </c>
      <c r="AU32" s="27">
        <v>0.29037033333333301</v>
      </c>
      <c r="AV32" s="27">
        <v>8.2890333333333302E-2</v>
      </c>
      <c r="AW32" s="27">
        <v>0.382097666666667</v>
      </c>
      <c r="AX32" s="27">
        <v>0.03</v>
      </c>
      <c r="AY32" s="27">
        <v>0.16899800000000001</v>
      </c>
      <c r="AZ32" s="27">
        <v>0.90734099999999995</v>
      </c>
      <c r="BA32" s="27">
        <v>0.203163333333333</v>
      </c>
      <c r="BB32" s="27">
        <v>0.265925666666667</v>
      </c>
      <c r="BC32" s="27">
        <v>8.4423333333333295E-2</v>
      </c>
      <c r="BD32" s="27">
        <v>0.19116266666666701</v>
      </c>
      <c r="BE32" s="27">
        <v>0.19876633333333299</v>
      </c>
      <c r="BF32" s="27">
        <v>0.13962033333333301</v>
      </c>
      <c r="BG32" s="27">
        <v>1.0351636666666699</v>
      </c>
      <c r="BH32" s="27">
        <v>5.5E-2</v>
      </c>
      <c r="BI32" s="27">
        <v>0.28714666666666699</v>
      </c>
      <c r="BJ32" s="27">
        <v>0.28712333333333301</v>
      </c>
      <c r="BK32" s="27">
        <v>9.9188666666666703E-2</v>
      </c>
      <c r="BL32" s="27">
        <v>0.164316666666667</v>
      </c>
      <c r="BM32" s="27">
        <v>0.13273333333333301</v>
      </c>
      <c r="BN32" s="27">
        <v>0.12862473333333299</v>
      </c>
      <c r="BO32" s="27">
        <v>0.159334266666667</v>
      </c>
      <c r="BP32" s="27">
        <v>0.188386</v>
      </c>
      <c r="BQ32" s="27">
        <v>0.117414333333333</v>
      </c>
      <c r="BR32" s="27">
        <v>0.10202799999999999</v>
      </c>
      <c r="BS32" s="27">
        <v>0.66443366666666703</v>
      </c>
      <c r="BT32" s="27">
        <v>0.43433513333333301</v>
      </c>
      <c r="BU32" s="27">
        <v>0.19894793333333299</v>
      </c>
      <c r="BV32" s="27">
        <v>1.2043773333333301</v>
      </c>
      <c r="BW32" s="27">
        <v>7.1959333333333403E-2</v>
      </c>
      <c r="BX32" s="27">
        <v>0.27857999999999999</v>
      </c>
      <c r="BY32" s="27">
        <v>0.14490466666666699</v>
      </c>
      <c r="BZ32" s="27">
        <v>0.12082333333333301</v>
      </c>
      <c r="CA32" s="27">
        <v>0.51470633333333304</v>
      </c>
      <c r="CB32" s="27">
        <v>0.27066921385281401</v>
      </c>
      <c r="CC32" s="33">
        <v>20.841529466666671</v>
      </c>
    </row>
    <row r="33" spans="1:81" x14ac:dyDescent="0.25">
      <c r="A33" s="23">
        <v>32</v>
      </c>
      <c r="B33" s="25">
        <v>15.5</v>
      </c>
      <c r="C33" s="27">
        <v>4.5999999999999999E-2</v>
      </c>
      <c r="D33" s="27">
        <v>6.7213333333333403E-2</v>
      </c>
      <c r="E33" s="27">
        <v>0.490879333333333</v>
      </c>
      <c r="F33" s="27">
        <v>0.14528199999999999</v>
      </c>
      <c r="G33" s="27">
        <v>0.214258</v>
      </c>
      <c r="H33" s="27">
        <v>0.335463333333333</v>
      </c>
      <c r="I33" s="27">
        <v>0.14229700000000001</v>
      </c>
      <c r="J33" s="27">
        <v>0.17410100000000001</v>
      </c>
      <c r="K33" s="27">
        <v>5.5E-2</v>
      </c>
      <c r="L33" s="27">
        <v>0.22489266666666699</v>
      </c>
      <c r="M33" s="27">
        <v>7.5886666666666699E-2</v>
      </c>
      <c r="N33" s="27">
        <v>0.32218733333333299</v>
      </c>
      <c r="O33" s="27">
        <v>8.5909033333333398E-2</v>
      </c>
      <c r="P33" s="27">
        <v>0.21858066666666601</v>
      </c>
      <c r="Q33" s="27">
        <v>0.122469333333333</v>
      </c>
      <c r="R33" s="27">
        <v>0.49610300000000002</v>
      </c>
      <c r="S33" s="27">
        <v>0.26225166666666699</v>
      </c>
      <c r="T33" s="27">
        <v>0.77518466666666697</v>
      </c>
      <c r="U33" s="27">
        <v>0.19717999999999999</v>
      </c>
      <c r="V33" s="27">
        <v>0.52775633333333305</v>
      </c>
      <c r="W33" s="27">
        <v>0.230650666666667</v>
      </c>
      <c r="X33" s="27">
        <v>0.167753333333333</v>
      </c>
      <c r="Y33" s="27">
        <v>0.05</v>
      </c>
      <c r="Z33" s="27">
        <v>5.5E-2</v>
      </c>
      <c r="AA33" s="27">
        <v>0.20141800000000001</v>
      </c>
      <c r="AB33" s="27">
        <v>5.7000000000000002E-2</v>
      </c>
      <c r="AC33" s="27">
        <v>0.18460299999999999</v>
      </c>
      <c r="AD33" s="27">
        <v>5.5E-2</v>
      </c>
      <c r="AE33" s="27">
        <v>2.6168106666666699</v>
      </c>
      <c r="AF33" s="27">
        <v>5.3999999999999999E-2</v>
      </c>
      <c r="AG33" s="27">
        <v>0.20382133333333299</v>
      </c>
      <c r="AH33" s="27">
        <v>0.124952666666667</v>
      </c>
      <c r="AI33" s="27">
        <v>0.22944046666666701</v>
      </c>
      <c r="AJ33" s="27">
        <v>0.12768333333333301</v>
      </c>
      <c r="AK33" s="27">
        <v>0.93266966666666595</v>
      </c>
      <c r="AL33" s="27">
        <v>0.474163</v>
      </c>
      <c r="AM33" s="27">
        <v>0.62859766666666606</v>
      </c>
      <c r="AN33" s="27">
        <v>1.44409266666667</v>
      </c>
      <c r="AO33" s="27">
        <v>0.117882666666667</v>
      </c>
      <c r="AP33" s="27">
        <v>0.21809000000000001</v>
      </c>
      <c r="AQ33" s="27">
        <v>0.13129399999999999</v>
      </c>
      <c r="AR33" s="27">
        <v>4.5999999999999999E-2</v>
      </c>
      <c r="AS33" s="27">
        <v>7.1999999999999995E-2</v>
      </c>
      <c r="AT33" s="27">
        <v>6.2186999999999999E-2</v>
      </c>
      <c r="AU33" s="27">
        <v>0.59360000000000002</v>
      </c>
      <c r="AV33" s="27">
        <v>0.102827666666667</v>
      </c>
      <c r="AW33" s="27">
        <v>0.301134333333333</v>
      </c>
      <c r="AX33" s="27">
        <v>0.16144</v>
      </c>
      <c r="AY33" s="27">
        <v>6.2151999999999999E-2</v>
      </c>
      <c r="AZ33" s="27">
        <v>0.28004499999999999</v>
      </c>
      <c r="BA33" s="27">
        <v>0.116692666666667</v>
      </c>
      <c r="BB33" s="27">
        <v>0.21774499999999999</v>
      </c>
      <c r="BC33" s="27">
        <v>7.6138666666666702E-2</v>
      </c>
      <c r="BD33" s="27">
        <v>0.20591899999999999</v>
      </c>
      <c r="BE33" s="27">
        <v>5.8000000000000003E-2</v>
      </c>
      <c r="BF33" s="27">
        <v>0.24921033333333301</v>
      </c>
      <c r="BG33" s="27">
        <v>0.67513353333333403</v>
      </c>
      <c r="BH33" s="27">
        <v>0.190906666666667</v>
      </c>
      <c r="BI33" s="27">
        <v>0.45738466666666699</v>
      </c>
      <c r="BJ33" s="27">
        <v>5.2999999999999999E-2</v>
      </c>
      <c r="BK33" s="27">
        <v>0.53182033333333301</v>
      </c>
      <c r="BL33" s="27">
        <v>1.23289633333333</v>
      </c>
      <c r="BM33" s="27">
        <v>0.33761200000000002</v>
      </c>
      <c r="BN33" s="27">
        <v>0.17523493333333301</v>
      </c>
      <c r="BO33" s="27">
        <v>0.20968466666666699</v>
      </c>
      <c r="BP33" s="27">
        <v>0.61119933333333298</v>
      </c>
      <c r="BQ33" s="27">
        <v>0.27615000000000001</v>
      </c>
      <c r="BR33" s="27">
        <v>8.1162666666666702E-2</v>
      </c>
      <c r="BS33" s="27">
        <v>0.96208899999999997</v>
      </c>
      <c r="BT33" s="27">
        <v>0.40267890000000001</v>
      </c>
      <c r="BU33" s="27">
        <v>0.28586766666666702</v>
      </c>
      <c r="BV33" s="27">
        <v>0.197239</v>
      </c>
      <c r="BW33" s="27">
        <v>5.6000000000000001E-2</v>
      </c>
      <c r="BX33" s="27">
        <v>0.28500833333333297</v>
      </c>
      <c r="BY33" s="27">
        <v>0.26769866666666697</v>
      </c>
      <c r="BZ33" s="27">
        <v>8.7824000000000096E-2</v>
      </c>
      <c r="CA33" s="27">
        <v>6.0055999999999998E-2</v>
      </c>
      <c r="CB33" s="27">
        <v>0.30292930995671002</v>
      </c>
      <c r="CC33" s="33">
        <v>23.32555686666667</v>
      </c>
    </row>
    <row r="34" spans="1:81" x14ac:dyDescent="0.25">
      <c r="A34" s="23">
        <v>33</v>
      </c>
      <c r="B34" s="25">
        <v>16</v>
      </c>
      <c r="C34" s="27">
        <v>0.47037366666666602</v>
      </c>
      <c r="D34" s="27">
        <v>7.4016666666666703E-2</v>
      </c>
      <c r="E34" s="27">
        <v>0.28610033333333301</v>
      </c>
      <c r="F34" s="27">
        <v>0.19869046666666701</v>
      </c>
      <c r="G34" s="27">
        <v>6.5491066666666695E-2</v>
      </c>
      <c r="H34" s="27">
        <v>0.58325899999999997</v>
      </c>
      <c r="I34" s="27">
        <v>5.2999999999999999E-2</v>
      </c>
      <c r="J34" s="27">
        <v>0.17670766666666701</v>
      </c>
      <c r="K34" s="27">
        <v>5.5E-2</v>
      </c>
      <c r="L34" s="27">
        <v>0.25013000000000002</v>
      </c>
      <c r="M34" s="27">
        <v>4.5999999999999999E-2</v>
      </c>
      <c r="N34" s="27">
        <v>0.30794883333333301</v>
      </c>
      <c r="O34" s="27">
        <v>9.8655833333333401E-2</v>
      </c>
      <c r="P34" s="27">
        <v>0.50258800000000003</v>
      </c>
      <c r="Q34" s="27">
        <v>0.44317533333333298</v>
      </c>
      <c r="R34" s="27">
        <v>0.23237833333333299</v>
      </c>
      <c r="S34" s="27">
        <v>0.16993766666666699</v>
      </c>
      <c r="T34" s="27">
        <v>0.63427699999999998</v>
      </c>
      <c r="U34" s="27">
        <v>6.2017999999999997E-2</v>
      </c>
      <c r="V34" s="27">
        <v>0.75451299999999999</v>
      </c>
      <c r="W34" s="27">
        <v>0.92400966666666595</v>
      </c>
      <c r="X34" s="27">
        <v>9.2361666666666703E-2</v>
      </c>
      <c r="Y34" s="27">
        <v>0.05</v>
      </c>
      <c r="Z34" s="27">
        <v>5.5E-2</v>
      </c>
      <c r="AA34" s="27">
        <v>8.7877999999999901E-2</v>
      </c>
      <c r="AB34" s="27">
        <v>0.17007333333333299</v>
      </c>
      <c r="AC34" s="27">
        <v>0.133191266666667</v>
      </c>
      <c r="AD34" s="27">
        <v>0.118282</v>
      </c>
      <c r="AE34" s="27">
        <v>0.50858466666666702</v>
      </c>
      <c r="AF34" s="27">
        <v>5.3999999999999999E-2</v>
      </c>
      <c r="AG34" s="27">
        <v>9.3151999999999999E-2</v>
      </c>
      <c r="AH34" s="27">
        <v>0.212868</v>
      </c>
      <c r="AI34" s="27">
        <v>0.1924631</v>
      </c>
      <c r="AJ34" s="27">
        <v>0.1724</v>
      </c>
      <c r="AK34" s="27">
        <v>0.40578999999999998</v>
      </c>
      <c r="AL34" s="27">
        <v>0.26903919999999998</v>
      </c>
      <c r="AM34" s="27">
        <v>0.709198</v>
      </c>
      <c r="AN34" s="27">
        <v>0.18452906666666699</v>
      </c>
      <c r="AO34" s="27">
        <v>0.22618966666666701</v>
      </c>
      <c r="AP34" s="27">
        <v>0.49908833333333302</v>
      </c>
      <c r="AQ34" s="27">
        <v>0.111552266666667</v>
      </c>
      <c r="AR34" s="27">
        <v>1.1148416666666701</v>
      </c>
      <c r="AS34" s="27">
        <v>0.20618400000000001</v>
      </c>
      <c r="AT34" s="27">
        <v>4.1354333333333299E-2</v>
      </c>
      <c r="AU34" s="27">
        <v>0.174625166666667</v>
      </c>
      <c r="AV34" s="27">
        <v>0.1254208</v>
      </c>
      <c r="AW34" s="27">
        <v>0.14807999999999999</v>
      </c>
      <c r="AX34" s="27">
        <v>0.03</v>
      </c>
      <c r="AY34" s="27">
        <v>0.27411200000000002</v>
      </c>
      <c r="AZ34" s="27">
        <v>1.8159620000000001</v>
      </c>
      <c r="BA34" s="27">
        <v>0.111719</v>
      </c>
      <c r="BB34" s="27">
        <v>0.107655666666667</v>
      </c>
      <c r="BC34" s="27">
        <v>4.2999999999999997E-2</v>
      </c>
      <c r="BD34" s="27">
        <v>0.44445366666666603</v>
      </c>
      <c r="BE34" s="27">
        <v>0.123988</v>
      </c>
      <c r="BF34" s="27">
        <v>0.17263600000000001</v>
      </c>
      <c r="BG34" s="27">
        <v>0.25816099999999997</v>
      </c>
      <c r="BH34" s="27">
        <v>0.121116666666667</v>
      </c>
      <c r="BI34" s="27">
        <v>1.9350016666666701</v>
      </c>
      <c r="BJ34" s="27">
        <v>0.105732333333333</v>
      </c>
      <c r="BK34" s="27">
        <v>0.41488333333333299</v>
      </c>
      <c r="BL34" s="27">
        <v>0.378915</v>
      </c>
      <c r="BM34" s="27">
        <v>0.23916000000000001</v>
      </c>
      <c r="BN34" s="27">
        <v>0.28841800000000001</v>
      </c>
      <c r="BO34" s="27">
        <v>0.18315300000000001</v>
      </c>
      <c r="BP34" s="27">
        <v>1.5205266666666699</v>
      </c>
      <c r="BQ34" s="27">
        <v>0.205886666666667</v>
      </c>
      <c r="BR34" s="27">
        <v>0.14454400000000001</v>
      </c>
      <c r="BS34" s="27">
        <v>0.411210666666667</v>
      </c>
      <c r="BT34" s="27">
        <v>0.49635693333333297</v>
      </c>
      <c r="BU34" s="27">
        <v>0.11659133333333301</v>
      </c>
      <c r="BV34" s="27">
        <v>0.30615999999999999</v>
      </c>
      <c r="BW34" s="27">
        <v>0.16771533333333299</v>
      </c>
      <c r="BX34" s="27">
        <v>0.36369166666666702</v>
      </c>
      <c r="BY34" s="27">
        <v>0.370763333333333</v>
      </c>
      <c r="BZ34" s="27">
        <v>0.38600099999999998</v>
      </c>
      <c r="CA34" s="27">
        <v>6.4439999999999997E-2</v>
      </c>
      <c r="CB34" s="27">
        <v>0.31358924675324679</v>
      </c>
      <c r="CC34" s="33">
        <v>24.146372</v>
      </c>
    </row>
    <row r="35" spans="1:81" x14ac:dyDescent="0.25">
      <c r="A35" s="23">
        <v>34</v>
      </c>
      <c r="B35" s="25">
        <v>16.5</v>
      </c>
      <c r="C35" s="27">
        <v>0.17859630000000001</v>
      </c>
      <c r="D35" s="27">
        <v>0.155656666666667</v>
      </c>
      <c r="E35" s="27">
        <v>0.12561186666666699</v>
      </c>
      <c r="F35" s="27">
        <v>0.30205933333333301</v>
      </c>
      <c r="G35" s="27">
        <v>0.20701900000000001</v>
      </c>
      <c r="H35" s="27">
        <v>0.42186200000000001</v>
      </c>
      <c r="I35" s="27">
        <v>0.20601233333333299</v>
      </c>
      <c r="J35" s="27">
        <v>8.4496000000000002E-2</v>
      </c>
      <c r="K35" s="27">
        <v>0.22650999999999999</v>
      </c>
      <c r="L35" s="27">
        <v>0.30448266666666701</v>
      </c>
      <c r="M35" s="27">
        <v>4.5999999999999999E-2</v>
      </c>
      <c r="N35" s="27">
        <v>0.35697283333333302</v>
      </c>
      <c r="O35" s="27">
        <v>0.27740806666666701</v>
      </c>
      <c r="P35" s="27">
        <v>0.16265199999999999</v>
      </c>
      <c r="Q35" s="27">
        <v>1.11443633333333</v>
      </c>
      <c r="R35" s="27">
        <v>0.78445533333333295</v>
      </c>
      <c r="S35" s="27">
        <v>0.26493766666666702</v>
      </c>
      <c r="T35" s="27">
        <v>0.66311566666666699</v>
      </c>
      <c r="U35" s="27">
        <v>4.7E-2</v>
      </c>
      <c r="V35" s="27">
        <v>1.3441066666666699</v>
      </c>
      <c r="W35" s="27">
        <v>0.47993533333333399</v>
      </c>
      <c r="X35" s="27">
        <v>0.22638566666666701</v>
      </c>
      <c r="Y35" s="27">
        <v>0.05</v>
      </c>
      <c r="Z35" s="27">
        <v>5.5E-2</v>
      </c>
      <c r="AA35" s="27">
        <v>1.82240483333333</v>
      </c>
      <c r="AB35" s="27">
        <v>5.7000000000000002E-2</v>
      </c>
      <c r="AC35" s="27">
        <v>0.28102533333333302</v>
      </c>
      <c r="AD35" s="27">
        <v>0.22270733333333301</v>
      </c>
      <c r="AE35" s="27">
        <v>8.3886666666666707E-2</v>
      </c>
      <c r="AF35" s="27">
        <v>5.3999999999999999E-2</v>
      </c>
      <c r="AG35" s="27">
        <v>0.245610666666667</v>
      </c>
      <c r="AH35" s="27">
        <v>5.0990000000000001E-2</v>
      </c>
      <c r="AI35" s="27">
        <v>0.18641513333333301</v>
      </c>
      <c r="AJ35" s="27">
        <v>8.5999999999999993E-2</v>
      </c>
      <c r="AK35" s="27">
        <v>5.8000000000000003E-2</v>
      </c>
      <c r="AL35" s="27">
        <v>0.49056830000000001</v>
      </c>
      <c r="AM35" s="27">
        <v>0.1786162</v>
      </c>
      <c r="AN35" s="27">
        <v>0.195508666666667</v>
      </c>
      <c r="AO35" s="27">
        <v>0.150733333333333</v>
      </c>
      <c r="AP35" s="27">
        <v>0.41147600000000001</v>
      </c>
      <c r="AQ35" s="27">
        <v>0.212982</v>
      </c>
      <c r="AR35" s="27">
        <v>1.225295</v>
      </c>
      <c r="AS35" s="27">
        <v>0.25661800000000001</v>
      </c>
      <c r="AT35" s="27">
        <v>4.7067266666666698E-2</v>
      </c>
      <c r="AU35" s="27">
        <v>6.9293333333333401E-2</v>
      </c>
      <c r="AV35" s="27">
        <v>0.23105466666666699</v>
      </c>
      <c r="AW35" s="27">
        <v>0.113394333333333</v>
      </c>
      <c r="AX35" s="27">
        <v>0.13515199999999999</v>
      </c>
      <c r="AY35" s="27">
        <v>0.14977399999999999</v>
      </c>
      <c r="AZ35" s="27">
        <v>0.233797333333333</v>
      </c>
      <c r="BA35" s="27">
        <v>0.51199366666666701</v>
      </c>
      <c r="BB35" s="27">
        <v>0.27640933333333301</v>
      </c>
      <c r="BC35" s="27">
        <v>4.2999999999999997E-2</v>
      </c>
      <c r="BD35" s="27">
        <v>0.23872199999999999</v>
      </c>
      <c r="BE35" s="27">
        <v>5.8000000000000003E-2</v>
      </c>
      <c r="BF35" s="27">
        <v>0.82380133333333305</v>
      </c>
      <c r="BG35" s="27">
        <v>0.340094333333334</v>
      </c>
      <c r="BH35" s="27">
        <v>7.3039833333333304E-2</v>
      </c>
      <c r="BI35" s="27">
        <v>0.235056666666667</v>
      </c>
      <c r="BJ35" s="27">
        <v>0.233097</v>
      </c>
      <c r="BK35" s="27">
        <v>2.0475729999999999</v>
      </c>
      <c r="BL35" s="27">
        <v>0.36373266666666698</v>
      </c>
      <c r="BM35" s="27">
        <v>0.52592566666666696</v>
      </c>
      <c r="BN35" s="27">
        <v>0.23958133333333301</v>
      </c>
      <c r="BO35" s="27">
        <v>0.10915433333333301</v>
      </c>
      <c r="BP35" s="27">
        <v>2.60683333333334</v>
      </c>
      <c r="BQ35" s="27">
        <v>3.6999999999999998E-2</v>
      </c>
      <c r="BR35" s="27">
        <v>0.149345333333333</v>
      </c>
      <c r="BS35" s="27">
        <v>0.50320200000000004</v>
      </c>
      <c r="BT35" s="27">
        <v>0.62429366666666697</v>
      </c>
      <c r="BU35" s="27">
        <v>0.20025533333333301</v>
      </c>
      <c r="BV35" s="27">
        <v>0.226986666666667</v>
      </c>
      <c r="BW35" s="27">
        <v>5.6000000000000001E-2</v>
      </c>
      <c r="BX35" s="27">
        <v>0.315747</v>
      </c>
      <c r="BY35" s="27">
        <v>0.17686733333333299</v>
      </c>
      <c r="BZ35" s="27">
        <v>9.5390000000000003E-2</v>
      </c>
      <c r="CA35" s="27">
        <v>5.9507999999999998E-2</v>
      </c>
      <c r="CB35" s="27">
        <v>0.34421677878787899</v>
      </c>
      <c r="CC35" s="33">
        <v>26.50469196666668</v>
      </c>
    </row>
    <row r="36" spans="1:81" x14ac:dyDescent="0.25">
      <c r="A36" s="23">
        <v>35</v>
      </c>
      <c r="B36" s="25">
        <v>17</v>
      </c>
      <c r="C36" s="27">
        <v>0.112324833333333</v>
      </c>
      <c r="D36" s="27">
        <v>0.04</v>
      </c>
      <c r="E36" s="27">
        <v>0.22248499999999999</v>
      </c>
      <c r="F36" s="27">
        <v>5.7000000000000002E-2</v>
      </c>
      <c r="G36" s="27">
        <v>6.2239000000000003E-2</v>
      </c>
      <c r="H36" s="27">
        <v>0.63590899999999995</v>
      </c>
      <c r="I36" s="27">
        <v>0.13812433333333299</v>
      </c>
      <c r="J36" s="27">
        <v>0.26376266666666698</v>
      </c>
      <c r="K36" s="27">
        <v>0.22650999999999999</v>
      </c>
      <c r="L36" s="27">
        <v>0.217443</v>
      </c>
      <c r="M36" s="27">
        <v>4.5999999999999999E-2</v>
      </c>
      <c r="N36" s="27">
        <v>0.312805</v>
      </c>
      <c r="O36" s="27">
        <v>6.3048000000000007E-2</v>
      </c>
      <c r="P36" s="27">
        <v>0.22026599999999999</v>
      </c>
      <c r="Q36" s="27">
        <v>0.76056166666666702</v>
      </c>
      <c r="R36" s="27">
        <v>2.0418753333333299</v>
      </c>
      <c r="S36" s="27">
        <v>0.15892999999999999</v>
      </c>
      <c r="T36" s="27">
        <v>0.27954699999999999</v>
      </c>
      <c r="U36" s="27">
        <v>8.4544999999999995E-2</v>
      </c>
      <c r="V36" s="27">
        <v>0.77789399999999898</v>
      </c>
      <c r="W36" s="27">
        <v>0.34985566666666701</v>
      </c>
      <c r="X36" s="27">
        <v>1.4147416666666699</v>
      </c>
      <c r="Y36" s="27">
        <v>0.05</v>
      </c>
      <c r="Z36" s="27">
        <v>5.5E-2</v>
      </c>
      <c r="AA36" s="27">
        <v>0.43178440000000001</v>
      </c>
      <c r="AB36" s="27">
        <v>5.7000000000000002E-2</v>
      </c>
      <c r="AC36" s="27">
        <v>0.15856933333333301</v>
      </c>
      <c r="AD36" s="27">
        <v>5.5E-2</v>
      </c>
      <c r="AE36" s="27">
        <v>0.33912130000000001</v>
      </c>
      <c r="AF36" s="27">
        <v>5.3999999999999999E-2</v>
      </c>
      <c r="AG36" s="27">
        <v>5.8999999999999997E-2</v>
      </c>
      <c r="AH36" s="27">
        <v>4.3999999999999997E-2</v>
      </c>
      <c r="AI36" s="27">
        <v>0.35398000000000002</v>
      </c>
      <c r="AJ36" s="27">
        <v>0.267905333333333</v>
      </c>
      <c r="AK36" s="27">
        <v>0.26773599999999997</v>
      </c>
      <c r="AL36" s="27">
        <v>1.6395485999999999</v>
      </c>
      <c r="AM36" s="27">
        <v>0.56106766666666696</v>
      </c>
      <c r="AN36" s="27">
        <v>0.27313100000000001</v>
      </c>
      <c r="AO36" s="27">
        <v>0.20664666666666701</v>
      </c>
      <c r="AP36" s="27">
        <v>0.210196666666667</v>
      </c>
      <c r="AQ36" s="27">
        <v>0.25947266666666702</v>
      </c>
      <c r="AR36" s="27">
        <v>0.36240466666666699</v>
      </c>
      <c r="AS36" s="27">
        <v>0.248138</v>
      </c>
      <c r="AT36" s="27">
        <v>0.2389732</v>
      </c>
      <c r="AU36" s="27">
        <v>0.23572333333333301</v>
      </c>
      <c r="AV36" s="27">
        <v>0.243168666666667</v>
      </c>
      <c r="AW36" s="27">
        <v>0.44255133333333302</v>
      </c>
      <c r="AX36" s="27">
        <v>5.6287999999999998E-2</v>
      </c>
      <c r="AY36" s="27">
        <v>0.24590400000000001</v>
      </c>
      <c r="AZ36" s="27">
        <v>1.16292</v>
      </c>
      <c r="BA36" s="27">
        <v>0.38867299999999999</v>
      </c>
      <c r="BB36" s="27">
        <v>2.8896999999999999</v>
      </c>
      <c r="BC36" s="27">
        <v>4.71423333333333E-2</v>
      </c>
      <c r="BD36" s="27">
        <v>0.49637166666666699</v>
      </c>
      <c r="BE36" s="27">
        <v>5.8000000000000003E-2</v>
      </c>
      <c r="BF36" s="27">
        <v>0.91525900000000004</v>
      </c>
      <c r="BG36" s="27">
        <v>1.3482513333333299</v>
      </c>
      <c r="BH36" s="27">
        <v>0.378514666666667</v>
      </c>
      <c r="BI36" s="27">
        <v>0.229911</v>
      </c>
      <c r="BJ36" s="27">
        <v>0.12601399999999999</v>
      </c>
      <c r="BK36" s="27">
        <v>2.9623400000000002</v>
      </c>
      <c r="BL36" s="27">
        <v>0.54119933333333403</v>
      </c>
      <c r="BM36" s="27">
        <v>0.315494</v>
      </c>
      <c r="BN36" s="27">
        <v>0.41134100000000001</v>
      </c>
      <c r="BO36" s="27">
        <v>0.148272666666667</v>
      </c>
      <c r="BP36" s="27">
        <v>0.313669066666667</v>
      </c>
      <c r="BQ36" s="27">
        <v>0.23247799999999999</v>
      </c>
      <c r="BR36" s="27">
        <v>0.112961666666667</v>
      </c>
      <c r="BS36" s="27">
        <v>1.1996006666666701</v>
      </c>
      <c r="BT36" s="27">
        <v>0.73451633333333399</v>
      </c>
      <c r="BU36" s="27">
        <v>5.5E-2</v>
      </c>
      <c r="BV36" s="27">
        <v>0.142143666666667</v>
      </c>
      <c r="BW36" s="27">
        <v>5.6000000000000001E-2</v>
      </c>
      <c r="BX36" s="27">
        <v>0.100296</v>
      </c>
      <c r="BY36" s="27">
        <v>0.445514666666667</v>
      </c>
      <c r="BZ36" s="27">
        <v>4.3999999999999997E-2</v>
      </c>
      <c r="CA36" s="27">
        <v>7.3333333333333403E-2</v>
      </c>
      <c r="CB36" s="27">
        <v>0.41339084935064951</v>
      </c>
      <c r="CC36" s="33">
        <v>31.831095400000009</v>
      </c>
    </row>
    <row r="37" spans="1:81" x14ac:dyDescent="0.25">
      <c r="A37" s="23">
        <v>36</v>
      </c>
      <c r="B37" s="25">
        <v>17.5</v>
      </c>
      <c r="C37" s="27">
        <v>0.248954066666667</v>
      </c>
      <c r="D37" s="27">
        <v>0.04</v>
      </c>
      <c r="E37" s="27">
        <v>8.9282666666666705E-2</v>
      </c>
      <c r="F37" s="27">
        <v>0.287302</v>
      </c>
      <c r="G37" s="27">
        <v>5.5E-2</v>
      </c>
      <c r="H37" s="27">
        <v>0.72230366666666701</v>
      </c>
      <c r="I37" s="27">
        <v>0.19582933333333299</v>
      </c>
      <c r="J37" s="27">
        <v>0.317458666666667</v>
      </c>
      <c r="K37" s="27">
        <v>0.313296666666667</v>
      </c>
      <c r="L37" s="27">
        <v>6.0999999999999999E-2</v>
      </c>
      <c r="M37" s="27">
        <v>4.5999999999999999E-2</v>
      </c>
      <c r="N37" s="27">
        <v>1.68214333333333</v>
      </c>
      <c r="O37" s="27">
        <v>0.29914000000000002</v>
      </c>
      <c r="P37" s="27">
        <v>0.20204266666666701</v>
      </c>
      <c r="Q37" s="27">
        <v>0.197535666666667</v>
      </c>
      <c r="R37" s="27">
        <v>0.833670666666666</v>
      </c>
      <c r="S37" s="27">
        <v>0.157986666666667</v>
      </c>
      <c r="T37" s="27">
        <v>0.29339599999999999</v>
      </c>
      <c r="U37" s="27">
        <v>0.174653</v>
      </c>
      <c r="V37" s="27">
        <v>0.42295266666666698</v>
      </c>
      <c r="W37" s="27">
        <v>0.242921</v>
      </c>
      <c r="X37" s="27">
        <v>0.82540833333333297</v>
      </c>
      <c r="Y37" s="27">
        <v>0.05</v>
      </c>
      <c r="Z37" s="27">
        <v>5.5E-2</v>
      </c>
      <c r="AA37" s="27">
        <v>5.8000000000000003E-2</v>
      </c>
      <c r="AB37" s="27">
        <v>5.7000000000000002E-2</v>
      </c>
      <c r="AC37" s="27">
        <v>8.2020399999999993E-2</v>
      </c>
      <c r="AD37" s="27">
        <v>0.29715266666666701</v>
      </c>
      <c r="AE37" s="27">
        <v>0.39427800000000002</v>
      </c>
      <c r="AF37" s="27">
        <v>6.5723533333333306E-2</v>
      </c>
      <c r="AG37" s="27">
        <v>0.17930096666666701</v>
      </c>
      <c r="AH37" s="27">
        <v>0.26401400000000003</v>
      </c>
      <c r="AI37" s="27">
        <v>0.44277733333333302</v>
      </c>
      <c r="AJ37" s="27">
        <v>0.294229666666667</v>
      </c>
      <c r="AK37" s="27">
        <v>0.19605400000000001</v>
      </c>
      <c r="AL37" s="27">
        <v>1.5404366</v>
      </c>
      <c r="AM37" s="27">
        <v>0.38532416666666702</v>
      </c>
      <c r="AN37" s="27">
        <v>0.29121666666666701</v>
      </c>
      <c r="AO37" s="27">
        <v>0.15013933333333301</v>
      </c>
      <c r="AP37" s="27">
        <v>0.40045033333333302</v>
      </c>
      <c r="AQ37" s="27">
        <v>0.24906900000000001</v>
      </c>
      <c r="AR37" s="27">
        <v>0.38233133333333302</v>
      </c>
      <c r="AS37" s="27">
        <v>0.29432199999999997</v>
      </c>
      <c r="AT37" s="27">
        <v>5.3157999999999997E-2</v>
      </c>
      <c r="AU37" s="27">
        <v>0.12787999999999999</v>
      </c>
      <c r="AV37" s="27">
        <v>0.34205153333333299</v>
      </c>
      <c r="AW37" s="27">
        <v>0.22890733333333299</v>
      </c>
      <c r="AX37" s="27">
        <v>8.2575999999999997E-2</v>
      </c>
      <c r="AY37" s="27">
        <v>0.450716333333333</v>
      </c>
      <c r="AZ37" s="27">
        <v>2.0585766666666698</v>
      </c>
      <c r="BA37" s="27">
        <v>0.35760999999999998</v>
      </c>
      <c r="BB37" s="27">
        <v>0.12292866666666701</v>
      </c>
      <c r="BC37" s="27">
        <v>0.29728266666666597</v>
      </c>
      <c r="BD37" s="27">
        <v>0.37079600000000001</v>
      </c>
      <c r="BE37" s="27">
        <v>0.123988</v>
      </c>
      <c r="BF37" s="27">
        <v>1.13159566666667</v>
      </c>
      <c r="BG37" s="27">
        <v>0.58255049999999897</v>
      </c>
      <c r="BH37" s="27">
        <v>0.155247733333333</v>
      </c>
      <c r="BI37" s="27">
        <v>1.3185180000000001</v>
      </c>
      <c r="BJ37" s="27">
        <v>0.125643333333333</v>
      </c>
      <c r="BK37" s="27">
        <v>0.44723366666666697</v>
      </c>
      <c r="BL37" s="27">
        <v>0.46557166666666699</v>
      </c>
      <c r="BM37" s="27">
        <v>0.34682000000000002</v>
      </c>
      <c r="BN37" s="27">
        <v>0.25751400000000002</v>
      </c>
      <c r="BO37" s="27">
        <v>7.2665333333333304E-2</v>
      </c>
      <c r="BP37" s="27">
        <v>1.7603690000000001</v>
      </c>
      <c r="BQ37" s="27">
        <v>0.20183950000000001</v>
      </c>
      <c r="BR37" s="27">
        <v>6.0534999999999999E-2</v>
      </c>
      <c r="BS37" s="27">
        <v>0.66266066666666701</v>
      </c>
      <c r="BT37" s="27">
        <v>0.44218099999999999</v>
      </c>
      <c r="BU37" s="27">
        <v>0.21651466666666699</v>
      </c>
      <c r="BV37" s="27">
        <v>1.44784766666667</v>
      </c>
      <c r="BW37" s="27">
        <v>0.16771533333333299</v>
      </c>
      <c r="BX37" s="27">
        <v>0.300547333333333</v>
      </c>
      <c r="BY37" s="27">
        <v>9.5393999999999896E-2</v>
      </c>
      <c r="BZ37" s="27">
        <v>4.3999999999999997E-2</v>
      </c>
      <c r="CA37" s="27">
        <v>0.13223033333333301</v>
      </c>
      <c r="CB37" s="27">
        <v>0.37517899567099577</v>
      </c>
      <c r="CC37" s="33">
        <v>28.888782666666678</v>
      </c>
    </row>
    <row r="38" spans="1:81" x14ac:dyDescent="0.25">
      <c r="A38" s="23">
        <v>37</v>
      </c>
      <c r="B38" s="25">
        <v>18</v>
      </c>
      <c r="C38" s="27">
        <v>0.28287266666666699</v>
      </c>
      <c r="D38" s="27">
        <v>0.04</v>
      </c>
      <c r="E38" s="27">
        <v>0.270841</v>
      </c>
      <c r="F38" s="27">
        <v>0.22487033333333301</v>
      </c>
      <c r="G38" s="27">
        <v>0.16358500000000001</v>
      </c>
      <c r="H38" s="27">
        <v>2.3690880000000001</v>
      </c>
      <c r="I38" s="27">
        <v>0.27139666666666701</v>
      </c>
      <c r="J38" s="27">
        <v>0.413215</v>
      </c>
      <c r="K38" s="27">
        <v>0.40173433333333303</v>
      </c>
      <c r="L38" s="27">
        <v>0.517085666666666</v>
      </c>
      <c r="M38" s="27">
        <v>4.5999999999999999E-2</v>
      </c>
      <c r="N38" s="27">
        <v>0.37517466666666699</v>
      </c>
      <c r="O38" s="27">
        <v>0.39312200000000003</v>
      </c>
      <c r="P38" s="27">
        <v>0.20186333333333301</v>
      </c>
      <c r="Q38" s="27">
        <v>0.60373433333333304</v>
      </c>
      <c r="R38" s="27">
        <v>0.56234466666666705</v>
      </c>
      <c r="S38" s="27">
        <v>0.286617333333333</v>
      </c>
      <c r="T38" s="27">
        <v>0.32386266666666702</v>
      </c>
      <c r="U38" s="27">
        <v>4.7E-2</v>
      </c>
      <c r="V38" s="27">
        <v>0.51857266666666701</v>
      </c>
      <c r="W38" s="27">
        <v>0.191992</v>
      </c>
      <c r="X38" s="27">
        <v>1.5977933333333301</v>
      </c>
      <c r="Y38" s="27">
        <v>0.05</v>
      </c>
      <c r="Z38" s="27">
        <v>5.5E-2</v>
      </c>
      <c r="AA38" s="27">
        <v>0.141568</v>
      </c>
      <c r="AB38" s="27">
        <v>0.38925200000000099</v>
      </c>
      <c r="AC38" s="27">
        <v>0.12787000000000001</v>
      </c>
      <c r="AD38" s="27">
        <v>0.26827933333333298</v>
      </c>
      <c r="AE38" s="27">
        <v>1.56503066666667</v>
      </c>
      <c r="AF38" s="27">
        <v>0.14659449999999999</v>
      </c>
      <c r="AG38" s="27">
        <v>0.165922666666667</v>
      </c>
      <c r="AH38" s="27">
        <v>0.14579666666666699</v>
      </c>
      <c r="AI38" s="27">
        <v>0.494242666666667</v>
      </c>
      <c r="AJ38" s="27">
        <v>0.50404566666666695</v>
      </c>
      <c r="AK38" s="27">
        <v>0.37313960000000002</v>
      </c>
      <c r="AL38" s="27">
        <v>0.42152099999999998</v>
      </c>
      <c r="AM38" s="27">
        <v>0.19400700000000001</v>
      </c>
      <c r="AN38" s="27">
        <v>0.22715199999999999</v>
      </c>
      <c r="AO38" s="27">
        <v>0.21762999999999999</v>
      </c>
      <c r="AP38" s="27">
        <v>0.14489233333333301</v>
      </c>
      <c r="AQ38" s="27">
        <v>0.28674033333333299</v>
      </c>
      <c r="AR38" s="27">
        <v>0.26859</v>
      </c>
      <c r="AS38" s="27">
        <v>4.2000000000000003E-2</v>
      </c>
      <c r="AT38" s="27">
        <v>3.6999999999999998E-2</v>
      </c>
      <c r="AU38" s="27">
        <v>5.7576000000000002E-2</v>
      </c>
      <c r="AV38" s="27">
        <v>0.27585799999999999</v>
      </c>
      <c r="AW38" s="27">
        <v>0.29367066666666702</v>
      </c>
      <c r="AX38" s="27">
        <v>0.108864</v>
      </c>
      <c r="AY38" s="27">
        <v>0.26657966666666699</v>
      </c>
      <c r="AZ38" s="27">
        <v>0.56198499999999996</v>
      </c>
      <c r="BA38" s="27">
        <v>0.28340666666666697</v>
      </c>
      <c r="BB38" s="27">
        <v>1.26950433333333</v>
      </c>
      <c r="BC38" s="27">
        <v>0.25452999999999998</v>
      </c>
      <c r="BD38" s="27">
        <v>0.156129833333333</v>
      </c>
      <c r="BE38" s="27">
        <v>5.8000000000000003E-2</v>
      </c>
      <c r="BF38" s="27">
        <v>0.84552099999999997</v>
      </c>
      <c r="BG38" s="27">
        <v>0.9870042</v>
      </c>
      <c r="BH38" s="27">
        <v>0.19555513333333299</v>
      </c>
      <c r="BI38" s="27">
        <v>1.1607736666666699</v>
      </c>
      <c r="BJ38" s="27">
        <v>0.14017199999999999</v>
      </c>
      <c r="BK38" s="27">
        <v>1.6712959999999999</v>
      </c>
      <c r="BL38" s="27">
        <v>0.64709166666666695</v>
      </c>
      <c r="BM38" s="27">
        <v>0.51306799999999997</v>
      </c>
      <c r="BN38" s="27">
        <v>0.31840659999999998</v>
      </c>
      <c r="BO38" s="27">
        <v>9.1800000000000007E-2</v>
      </c>
      <c r="BP38" s="27">
        <v>4.0328633333333297</v>
      </c>
      <c r="BQ38" s="27">
        <v>0.11481483333333301</v>
      </c>
      <c r="BR38" s="27">
        <v>0.14989366666666701</v>
      </c>
      <c r="BS38" s="27">
        <v>0.37968200000000002</v>
      </c>
      <c r="BT38" s="27">
        <v>0.47390300000000002</v>
      </c>
      <c r="BU38" s="27">
        <v>1.8546433333333301</v>
      </c>
      <c r="BV38" s="27">
        <v>0.19876113333333301</v>
      </c>
      <c r="BW38" s="27">
        <v>5.6000000000000001E-2</v>
      </c>
      <c r="BX38" s="27">
        <v>0.17836693333333301</v>
      </c>
      <c r="BY38" s="27">
        <v>0.41060133333333299</v>
      </c>
      <c r="BZ38" s="27">
        <v>4.3999999999999997E-2</v>
      </c>
      <c r="CA38" s="27">
        <v>0.54496800000000001</v>
      </c>
      <c r="CB38" s="27">
        <v>0.45408220909090907</v>
      </c>
      <c r="CC38" s="33">
        <v>34.964330099999998</v>
      </c>
    </row>
    <row r="39" spans="1:81" x14ac:dyDescent="0.25">
      <c r="A39" s="23">
        <v>38</v>
      </c>
      <c r="B39" s="25">
        <v>18.5</v>
      </c>
      <c r="C39" s="27">
        <v>0.19673233333333301</v>
      </c>
      <c r="D39" s="27">
        <v>0.189673333333333</v>
      </c>
      <c r="E39" s="27">
        <v>0.23249300000000001</v>
      </c>
      <c r="F39" s="27">
        <v>7.4768000000000001E-2</v>
      </c>
      <c r="G39" s="27">
        <v>0.105673</v>
      </c>
      <c r="H39" s="27">
        <v>0.49010199999999998</v>
      </c>
      <c r="I39" s="27">
        <v>0.38742933333333301</v>
      </c>
      <c r="J39" s="27">
        <v>0.20505999999999999</v>
      </c>
      <c r="K39" s="27">
        <v>0.466289333333333</v>
      </c>
      <c r="L39" s="27">
        <v>0.37316633333333399</v>
      </c>
      <c r="M39" s="27">
        <v>7.4260000000000007E-2</v>
      </c>
      <c r="N39" s="27">
        <v>2.7471513333333402</v>
      </c>
      <c r="O39" s="27">
        <v>0.21018000000000001</v>
      </c>
      <c r="P39" s="27">
        <v>0.37424866666666701</v>
      </c>
      <c r="Q39" s="27">
        <v>0.1973087</v>
      </c>
      <c r="R39" s="27">
        <v>0.72372466666666702</v>
      </c>
      <c r="S39" s="27">
        <v>0.34705433333333302</v>
      </c>
      <c r="T39" s="27">
        <v>0.40420200000000001</v>
      </c>
      <c r="U39" s="27">
        <v>4.7E-2</v>
      </c>
      <c r="V39" s="27">
        <v>0.79017400000000004</v>
      </c>
      <c r="W39" s="27">
        <v>0.24215366666666699</v>
      </c>
      <c r="X39" s="27">
        <v>0.35249449999999999</v>
      </c>
      <c r="Y39" s="27">
        <v>0.05</v>
      </c>
      <c r="Z39" s="27">
        <v>5.5E-2</v>
      </c>
      <c r="AA39" s="27">
        <v>5.8000000000000003E-2</v>
      </c>
      <c r="AB39" s="27">
        <v>6.2653666666666705E-2</v>
      </c>
      <c r="AC39" s="27">
        <v>6.4932000000000101E-2</v>
      </c>
      <c r="AD39" s="27">
        <v>0.57256533333333304</v>
      </c>
      <c r="AE39" s="27">
        <v>3.5465833333333299</v>
      </c>
      <c r="AF39" s="27">
        <v>0.102956766666667</v>
      </c>
      <c r="AG39" s="27">
        <v>7.6076000000000005E-2</v>
      </c>
      <c r="AH39" s="27">
        <v>0.13486999999999999</v>
      </c>
      <c r="AI39" s="27">
        <v>0.20004366666666701</v>
      </c>
      <c r="AJ39" s="27">
        <v>0.26497533333333301</v>
      </c>
      <c r="AK39" s="27">
        <v>0.26001653333333302</v>
      </c>
      <c r="AL39" s="27">
        <v>0.11029</v>
      </c>
      <c r="AM39" s="27">
        <v>0.345901666666666</v>
      </c>
      <c r="AN39" s="27">
        <v>9.9650666666666596E-2</v>
      </c>
      <c r="AO39" s="27">
        <v>0.13832066666666701</v>
      </c>
      <c r="AP39" s="27">
        <v>5.1999999999999998E-2</v>
      </c>
      <c r="AQ39" s="27">
        <v>0.49660963333333302</v>
      </c>
      <c r="AR39" s="27">
        <v>0.26321033333333299</v>
      </c>
      <c r="AS39" s="27">
        <v>6.4205333333333295E-2</v>
      </c>
      <c r="AT39" s="27">
        <v>0.229783866666667</v>
      </c>
      <c r="AU39" s="27">
        <v>0.30602733333333298</v>
      </c>
      <c r="AV39" s="27">
        <v>0.32083133333333302</v>
      </c>
      <c r="AW39" s="27">
        <v>0.17804566666666699</v>
      </c>
      <c r="AX39" s="27">
        <v>0.03</v>
      </c>
      <c r="AY39" s="27">
        <v>0.49217830000000001</v>
      </c>
      <c r="AZ39" s="27">
        <v>0.44174766666666698</v>
      </c>
      <c r="BA39" s="27">
        <v>0.21969873333333301</v>
      </c>
      <c r="BB39" s="27">
        <v>0.29592133333333298</v>
      </c>
      <c r="BC39" s="27">
        <v>0.16056699999999999</v>
      </c>
      <c r="BD39" s="27">
        <v>0.33861333333333299</v>
      </c>
      <c r="BE39" s="27">
        <v>5.8000000000000003E-2</v>
      </c>
      <c r="BF39" s="27">
        <v>0.29864533333333299</v>
      </c>
      <c r="BG39" s="27">
        <v>0.56003233333333302</v>
      </c>
      <c r="BH39" s="27">
        <v>0.367807</v>
      </c>
      <c r="BI39" s="27">
        <v>0.47960900000000001</v>
      </c>
      <c r="BJ39" s="27">
        <v>0.12601399999999999</v>
      </c>
      <c r="BK39" s="27">
        <v>0.2060592</v>
      </c>
      <c r="BL39" s="27">
        <v>0.25405293333333301</v>
      </c>
      <c r="BM39" s="27">
        <v>0.41400999999999999</v>
      </c>
      <c r="BN39" s="27">
        <v>0.17500640000000001</v>
      </c>
      <c r="BO39" s="27">
        <v>0.117623333333333</v>
      </c>
      <c r="BP39" s="27">
        <v>2.8136666666666699</v>
      </c>
      <c r="BQ39" s="27">
        <v>0.17630799999999999</v>
      </c>
      <c r="BR39" s="27">
        <v>0.17888000000000001</v>
      </c>
      <c r="BS39" s="27">
        <v>0.23564199999999999</v>
      </c>
      <c r="BT39" s="27">
        <v>0.54163166666666696</v>
      </c>
      <c r="BU39" s="27">
        <v>0.46843699999999999</v>
      </c>
      <c r="BV39" s="27">
        <v>0.26986399999999999</v>
      </c>
      <c r="BW39" s="27">
        <v>5.6000000000000001E-2</v>
      </c>
      <c r="BX39" s="27">
        <v>0.45855699999999999</v>
      </c>
      <c r="BY39" s="27">
        <v>0.387241</v>
      </c>
      <c r="BZ39" s="27">
        <v>4.3999999999999997E-2</v>
      </c>
      <c r="CA39" s="27">
        <v>0.46113053333333298</v>
      </c>
      <c r="CB39" s="27">
        <v>0.36898482380952391</v>
      </c>
      <c r="CC39" s="33">
        <v>28.41183143333334</v>
      </c>
    </row>
    <row r="40" spans="1:81" x14ac:dyDescent="0.25">
      <c r="A40" s="23">
        <v>39</v>
      </c>
      <c r="B40" s="25">
        <v>19</v>
      </c>
      <c r="C40" s="27">
        <v>0.257745</v>
      </c>
      <c r="D40" s="27">
        <v>0.04</v>
      </c>
      <c r="E40" s="27">
        <v>0.37357366666666703</v>
      </c>
      <c r="F40" s="27">
        <v>5.7000000000000002E-2</v>
      </c>
      <c r="G40" s="27">
        <v>0.105673</v>
      </c>
      <c r="H40" s="27">
        <v>0.41872300000000001</v>
      </c>
      <c r="I40" s="27">
        <v>0.39593933333333398</v>
      </c>
      <c r="J40" s="27">
        <v>0.28453066666666699</v>
      </c>
      <c r="K40" s="27">
        <v>0.14606533333333299</v>
      </c>
      <c r="L40" s="27">
        <v>0.64898</v>
      </c>
      <c r="M40" s="27">
        <v>0.122576666666667</v>
      </c>
      <c r="N40" s="27">
        <v>0.62867866666666705</v>
      </c>
      <c r="O40" s="27">
        <v>0.18477666666666701</v>
      </c>
      <c r="P40" s="27">
        <v>0.408241666666667</v>
      </c>
      <c r="Q40" s="27">
        <v>0.86363306666666695</v>
      </c>
      <c r="R40" s="27">
        <v>0.48097400000000001</v>
      </c>
      <c r="S40" s="27">
        <v>0.167795</v>
      </c>
      <c r="T40" s="27">
        <v>0.19193666666666701</v>
      </c>
      <c r="U40" s="27">
        <v>4.7E-2</v>
      </c>
      <c r="V40" s="27">
        <v>7.3988333333333295E-2</v>
      </c>
      <c r="W40" s="27">
        <v>0.12542500000000001</v>
      </c>
      <c r="X40" s="27">
        <v>0.1240195</v>
      </c>
      <c r="Y40" s="27">
        <v>0.05</v>
      </c>
      <c r="Z40" s="27">
        <v>5.5E-2</v>
      </c>
      <c r="AA40" s="27">
        <v>8.5856000000000099E-2</v>
      </c>
      <c r="AB40" s="27">
        <v>0.100677166666667</v>
      </c>
      <c r="AC40" s="27">
        <v>0.20228073333333299</v>
      </c>
      <c r="AD40" s="27">
        <v>0.44011966666666702</v>
      </c>
      <c r="AE40" s="27">
        <v>4.5369233333333403</v>
      </c>
      <c r="AF40" s="27">
        <v>0.108333333333333</v>
      </c>
      <c r="AG40" s="27">
        <v>0.17073466666666701</v>
      </c>
      <c r="AH40" s="27">
        <v>0.222774</v>
      </c>
      <c r="AI40" s="27">
        <v>0.476047</v>
      </c>
      <c r="AJ40" s="27">
        <v>1.6118969999999999</v>
      </c>
      <c r="AK40" s="27">
        <v>0.30511966666666701</v>
      </c>
      <c r="AL40" s="27">
        <v>0.35611900000000002</v>
      </c>
      <c r="AM40" s="27">
        <v>0.19248299999999999</v>
      </c>
      <c r="AN40" s="27">
        <v>0.16000266666666699</v>
      </c>
      <c r="AO40" s="27">
        <v>0.123035333333333</v>
      </c>
      <c r="AP40" s="27">
        <v>5.1999999999999998E-2</v>
      </c>
      <c r="AQ40" s="27">
        <v>0.29793700000000001</v>
      </c>
      <c r="AR40" s="27">
        <v>0.39800166666666698</v>
      </c>
      <c r="AS40" s="27">
        <v>0.22965833333333299</v>
      </c>
      <c r="AT40" s="27">
        <v>5.2800266666666699E-2</v>
      </c>
      <c r="AU40" s="27">
        <v>5.9005833333333299E-2</v>
      </c>
      <c r="AV40" s="27">
        <v>0.22014359999999999</v>
      </c>
      <c r="AW40" s="27">
        <v>0.173029666666667</v>
      </c>
      <c r="AX40" s="27">
        <v>6.2859999999999999E-2</v>
      </c>
      <c r="AY40" s="27">
        <v>4.8000000000000001E-2</v>
      </c>
      <c r="AZ40" s="27">
        <v>0.20519699999999999</v>
      </c>
      <c r="BA40" s="27">
        <v>0.33257833333333298</v>
      </c>
      <c r="BB40" s="27">
        <v>0.17830133333333301</v>
      </c>
      <c r="BC40" s="27">
        <v>0.24928800000000001</v>
      </c>
      <c r="BD40" s="27">
        <v>0.1302739</v>
      </c>
      <c r="BE40" s="27">
        <v>5.8000000000000003E-2</v>
      </c>
      <c r="BF40" s="27">
        <v>0.243283</v>
      </c>
      <c r="BG40" s="27">
        <v>1.09955433333333</v>
      </c>
      <c r="BH40" s="27">
        <v>0.37044833333333299</v>
      </c>
      <c r="BI40" s="27">
        <v>0.28428900000000001</v>
      </c>
      <c r="BJ40" s="27">
        <v>5.2999999999999999E-2</v>
      </c>
      <c r="BK40" s="27">
        <v>1.56106566666667</v>
      </c>
      <c r="BL40" s="27">
        <v>0.36026586666666699</v>
      </c>
      <c r="BM40" s="27">
        <v>0.26496133333333299</v>
      </c>
      <c r="BN40" s="27">
        <v>0.97088833333333402</v>
      </c>
      <c r="BO40" s="27">
        <v>5.5393333333333301E-2</v>
      </c>
      <c r="BP40" s="27">
        <v>0.654609</v>
      </c>
      <c r="BQ40" s="27">
        <v>3.6999999999999998E-2</v>
      </c>
      <c r="BR40" s="27">
        <v>0.24556800000000001</v>
      </c>
      <c r="BS40" s="27">
        <v>0.30014999999999997</v>
      </c>
      <c r="BT40" s="27">
        <v>0.44678099999999998</v>
      </c>
      <c r="BU40" s="27">
        <v>2.2501799999999998</v>
      </c>
      <c r="BV40" s="27">
        <v>0.28004630000000003</v>
      </c>
      <c r="BW40" s="27">
        <v>5.6000000000000001E-2</v>
      </c>
      <c r="BX40" s="27">
        <v>0.40526600000000002</v>
      </c>
      <c r="BY40" s="27">
        <v>0.39079233333333302</v>
      </c>
      <c r="BZ40" s="27">
        <v>0.125882666666667</v>
      </c>
      <c r="CA40" s="27">
        <v>0.59462026666666701</v>
      </c>
      <c r="CB40" s="27">
        <v>0.37846490259740262</v>
      </c>
      <c r="CC40" s="33">
        <v>29.141797499999999</v>
      </c>
    </row>
    <row r="41" spans="1:81" x14ac:dyDescent="0.25">
      <c r="A41" s="23">
        <v>40</v>
      </c>
      <c r="B41" s="25">
        <v>19.5</v>
      </c>
      <c r="C41" s="27">
        <v>0.45763266666666702</v>
      </c>
      <c r="D41" s="27">
        <v>0.04</v>
      </c>
      <c r="E41" s="27">
        <v>1.3264866666666699</v>
      </c>
      <c r="F41" s="27">
        <v>0.163608</v>
      </c>
      <c r="G41" s="27">
        <v>0.16358500000000001</v>
      </c>
      <c r="H41" s="27">
        <v>0.72047466666666704</v>
      </c>
      <c r="I41" s="27">
        <v>0.70176766666666701</v>
      </c>
      <c r="J41" s="27">
        <v>5.0999999999999997E-2</v>
      </c>
      <c r="K41" s="27">
        <v>0.22498333333333301</v>
      </c>
      <c r="L41" s="27">
        <v>0.82095433333333301</v>
      </c>
      <c r="M41" s="27">
        <v>0.31688433333333299</v>
      </c>
      <c r="N41" s="27">
        <v>0.42098233333333301</v>
      </c>
      <c r="O41" s="27">
        <v>0.293476666666667</v>
      </c>
      <c r="P41" s="27">
        <v>0.108088666666667</v>
      </c>
      <c r="Q41" s="27">
        <v>0.92823066666666698</v>
      </c>
      <c r="R41" s="27">
        <v>0.35638599999999998</v>
      </c>
      <c r="S41" s="27">
        <v>0.41623599999999999</v>
      </c>
      <c r="T41" s="27">
        <v>0.645262</v>
      </c>
      <c r="U41" s="27">
        <v>0.212198</v>
      </c>
      <c r="V41" s="27">
        <v>0.35161633333333397</v>
      </c>
      <c r="W41" s="27">
        <v>0.44488366666666701</v>
      </c>
      <c r="X41" s="27">
        <v>0.31597283333333298</v>
      </c>
      <c r="Y41" s="27">
        <v>0.05</v>
      </c>
      <c r="Z41" s="27">
        <v>5.5E-2</v>
      </c>
      <c r="AA41" s="27">
        <v>0.11447526666666701</v>
      </c>
      <c r="AB41" s="27">
        <v>0.52770399999999995</v>
      </c>
      <c r="AC41" s="27">
        <v>0.19527713333333299</v>
      </c>
      <c r="AD41" s="27">
        <v>0.36990266666666699</v>
      </c>
      <c r="AE41" s="27">
        <v>1.518786</v>
      </c>
      <c r="AF41" s="27">
        <v>0.24441733333333299</v>
      </c>
      <c r="AG41" s="27">
        <v>0.24795200000000001</v>
      </c>
      <c r="AH41" s="27">
        <v>0.42516866666666697</v>
      </c>
      <c r="AI41" s="27">
        <v>0.43186999999999998</v>
      </c>
      <c r="AJ41" s="27">
        <v>0.97759766666666703</v>
      </c>
      <c r="AK41" s="27">
        <v>0.62429366666666697</v>
      </c>
      <c r="AL41" s="27">
        <v>6.2091E-2</v>
      </c>
      <c r="AM41" s="27">
        <v>0.53475966666666697</v>
      </c>
      <c r="AN41" s="27">
        <v>0.1129</v>
      </c>
      <c r="AO41" s="27">
        <v>5.1472666666666701E-2</v>
      </c>
      <c r="AP41" s="27">
        <v>0.161453333333333</v>
      </c>
      <c r="AQ41" s="27">
        <v>0.664659</v>
      </c>
      <c r="AR41" s="27">
        <v>0.58124299999999995</v>
      </c>
      <c r="AS41" s="27">
        <v>0.66658966666666697</v>
      </c>
      <c r="AT41" s="27">
        <v>0.249839333333333</v>
      </c>
      <c r="AU41" s="27">
        <v>0.33281066666666698</v>
      </c>
      <c r="AV41" s="27">
        <v>0.41761199999999998</v>
      </c>
      <c r="AW41" s="27">
        <v>0.56437899999999996</v>
      </c>
      <c r="AX41" s="27">
        <v>0.12858</v>
      </c>
      <c r="AY41" s="27">
        <v>0.29943833333333297</v>
      </c>
      <c r="AZ41" s="27">
        <v>0.43872666666666699</v>
      </c>
      <c r="BA41" s="27">
        <v>0.60150066666666702</v>
      </c>
      <c r="BB41" s="27">
        <v>0.48127566666666699</v>
      </c>
      <c r="BC41" s="27">
        <v>0.24690599999999999</v>
      </c>
      <c r="BD41" s="27">
        <v>0.362661333333333</v>
      </c>
      <c r="BE41" s="27">
        <v>5.8000000000000003E-2</v>
      </c>
      <c r="BF41" s="27">
        <v>0.45617566666666698</v>
      </c>
      <c r="BG41" s="27">
        <v>7.9494333333333403E-2</v>
      </c>
      <c r="BH41" s="27">
        <v>0.71634466666666696</v>
      </c>
      <c r="BI41" s="27">
        <v>0.57269199999999998</v>
      </c>
      <c r="BJ41" s="27">
        <v>0.28582933333333299</v>
      </c>
      <c r="BK41" s="27">
        <v>1.3089723333333301</v>
      </c>
      <c r="BL41" s="27">
        <v>0.78564599999999996</v>
      </c>
      <c r="BM41" s="27">
        <v>0.45446999999999999</v>
      </c>
      <c r="BN41" s="27">
        <v>0.81762400000000002</v>
      </c>
      <c r="BO41" s="27">
        <v>9.9922666666666701E-2</v>
      </c>
      <c r="BP41" s="27">
        <v>0.272890666666666</v>
      </c>
      <c r="BQ41" s="27">
        <v>0.114393333333333</v>
      </c>
      <c r="BR41" s="27">
        <v>0.27392666666666698</v>
      </c>
      <c r="BS41" s="27">
        <v>0.79875833333333401</v>
      </c>
      <c r="BT41" s="27">
        <v>0.14147799999999999</v>
      </c>
      <c r="BU41" s="27">
        <v>0.38286933333333301</v>
      </c>
      <c r="BV41" s="27">
        <v>0.113555</v>
      </c>
      <c r="BW41" s="27">
        <v>0.203141666666667</v>
      </c>
      <c r="BX41" s="27">
        <v>0.42405549999999997</v>
      </c>
      <c r="BY41" s="27">
        <v>0.27796666666666697</v>
      </c>
      <c r="BZ41" s="27">
        <v>0.27015600000000001</v>
      </c>
      <c r="CA41" s="27">
        <v>0.491226</v>
      </c>
      <c r="CB41" s="27">
        <v>0.41067065454545459</v>
      </c>
      <c r="CC41" s="33">
        <v>31.621640400000011</v>
      </c>
    </row>
    <row r="42" spans="1:81" x14ac:dyDescent="0.25">
      <c r="A42" s="23">
        <v>41</v>
      </c>
      <c r="B42" s="25">
        <v>20</v>
      </c>
      <c r="C42" s="27">
        <v>1.00543933333333</v>
      </c>
      <c r="D42" s="27">
        <v>0.189673333333333</v>
      </c>
      <c r="E42" s="27">
        <v>0.47138799999999997</v>
      </c>
      <c r="F42" s="27">
        <v>6.88453333333333E-2</v>
      </c>
      <c r="G42" s="27">
        <v>5.5E-2</v>
      </c>
      <c r="H42" s="27">
        <v>0.77469633333333299</v>
      </c>
      <c r="I42" s="27">
        <v>1.0668470000000001</v>
      </c>
      <c r="J42" s="27">
        <v>0.28864333333333297</v>
      </c>
      <c r="K42" s="27">
        <v>0.41906700000000002</v>
      </c>
      <c r="L42" s="27">
        <v>1.43324566666667</v>
      </c>
      <c r="M42" s="27">
        <v>0.30933333333333302</v>
      </c>
      <c r="N42" s="27">
        <v>0.483904</v>
      </c>
      <c r="O42" s="27">
        <v>0.44815533333333402</v>
      </c>
      <c r="P42" s="27">
        <v>0.29513666666666699</v>
      </c>
      <c r="Q42" s="27">
        <v>1.54537533333333</v>
      </c>
      <c r="R42" s="27">
        <v>0.48510766666666699</v>
      </c>
      <c r="S42" s="27">
        <v>1.8851053333333301</v>
      </c>
      <c r="T42" s="27">
        <v>0.328482</v>
      </c>
      <c r="U42" s="27">
        <v>4.7E-2</v>
      </c>
      <c r="V42" s="27">
        <v>0.34542600000000001</v>
      </c>
      <c r="W42" s="27">
        <v>0.61232533333333306</v>
      </c>
      <c r="X42" s="27">
        <v>0.316226333333334</v>
      </c>
      <c r="Y42" s="27">
        <v>0.14554900000000001</v>
      </c>
      <c r="Z42" s="27">
        <v>5.5E-2</v>
      </c>
      <c r="AA42" s="27">
        <v>0.18933333333333299</v>
      </c>
      <c r="AB42" s="27">
        <v>0.828409333333333</v>
      </c>
      <c r="AC42" s="27">
        <v>0.16663</v>
      </c>
      <c r="AD42" s="27">
        <v>0.66987666666666701</v>
      </c>
      <c r="AE42" s="27">
        <v>0.61238833333333298</v>
      </c>
      <c r="AF42" s="27">
        <v>0.24089866666666701</v>
      </c>
      <c r="AG42" s="27">
        <v>0.57252800000000004</v>
      </c>
      <c r="AH42" s="27">
        <v>0.57758466666666697</v>
      </c>
      <c r="AI42" s="27">
        <v>0.43360266666666702</v>
      </c>
      <c r="AJ42" s="27">
        <v>1.1909000000000001</v>
      </c>
      <c r="AK42" s="27">
        <v>0.92074900000000004</v>
      </c>
      <c r="AL42" s="27">
        <v>0.21679733333333301</v>
      </c>
      <c r="AM42" s="27">
        <v>0.67799866666666697</v>
      </c>
      <c r="AN42" s="27">
        <v>0.1129</v>
      </c>
      <c r="AO42" s="27">
        <v>0.109617333333333</v>
      </c>
      <c r="AP42" s="27">
        <v>0.45444600000000002</v>
      </c>
      <c r="AQ42" s="27">
        <v>0.56207933333333304</v>
      </c>
      <c r="AR42" s="27">
        <v>0.48277166666666699</v>
      </c>
      <c r="AS42" s="27">
        <v>0.76002499999999995</v>
      </c>
      <c r="AT42" s="27">
        <v>0.17185266666666699</v>
      </c>
      <c r="AU42" s="27">
        <v>0.55800633333333305</v>
      </c>
      <c r="AV42" s="27">
        <v>8.7874666666666698E-2</v>
      </c>
      <c r="AW42" s="27">
        <v>0.36776500000000001</v>
      </c>
      <c r="AX42" s="27">
        <v>4.3144000000000002E-2</v>
      </c>
      <c r="AY42" s="27">
        <v>0.27251283333333298</v>
      </c>
      <c r="AZ42" s="27">
        <v>0.55158600000000002</v>
      </c>
      <c r="BA42" s="27">
        <v>0.56560600000000005</v>
      </c>
      <c r="BB42" s="27">
        <v>0.61894533333333301</v>
      </c>
      <c r="BC42" s="27">
        <v>0.41185033333333299</v>
      </c>
      <c r="BD42" s="27">
        <v>0.43430466666666701</v>
      </c>
      <c r="BE42" s="27">
        <v>0.123988</v>
      </c>
      <c r="BF42" s="27">
        <v>0.40941233333333299</v>
      </c>
      <c r="BG42" s="27">
        <v>0.250776</v>
      </c>
      <c r="BH42" s="27">
        <v>0.61302833333333395</v>
      </c>
      <c r="BI42" s="27">
        <v>0.53225733333333403</v>
      </c>
      <c r="BJ42" s="27">
        <v>5.2999999999999999E-2</v>
      </c>
      <c r="BK42" s="27">
        <v>0.48948433333333302</v>
      </c>
      <c r="BL42" s="27">
        <v>1.668593</v>
      </c>
      <c r="BM42" s="27">
        <v>0.79364933333333298</v>
      </c>
      <c r="BN42" s="27">
        <v>0.60692999999999997</v>
      </c>
      <c r="BO42" s="27">
        <v>0.99060800000000004</v>
      </c>
      <c r="BP42" s="27">
        <v>0.29419766666666702</v>
      </c>
      <c r="BQ42" s="27">
        <v>0.12987199999999999</v>
      </c>
      <c r="BR42" s="27">
        <v>1.3239926666666699</v>
      </c>
      <c r="BS42" s="27">
        <v>1.7474590000000001</v>
      </c>
      <c r="BT42" s="27">
        <v>0.154806</v>
      </c>
      <c r="BU42" s="27">
        <v>0.69106000000000001</v>
      </c>
      <c r="BV42" s="27">
        <v>0.37227666666666698</v>
      </c>
      <c r="BW42" s="27">
        <v>0.20101666666666701</v>
      </c>
      <c r="BX42" s="27">
        <v>0.57737766666666701</v>
      </c>
      <c r="BY42" s="27">
        <v>1.7121710000000001</v>
      </c>
      <c r="BZ42" s="27">
        <v>0.41279666666666598</v>
      </c>
      <c r="CA42" s="27">
        <v>0.549769333333333</v>
      </c>
      <c r="CB42" s="27">
        <v>0.54073347402597383</v>
      </c>
      <c r="CC42" s="33">
        <v>41.636477499999977</v>
      </c>
    </row>
    <row r="43" spans="1:81" x14ac:dyDescent="0.25">
      <c r="A43" s="23">
        <v>42</v>
      </c>
      <c r="B43" s="25">
        <v>20.5</v>
      </c>
      <c r="C43" s="27">
        <v>0.72727633333333297</v>
      </c>
      <c r="D43" s="27">
        <v>0.04</v>
      </c>
      <c r="E43" s="27">
        <v>0.50022999999999995</v>
      </c>
      <c r="F43" s="27">
        <v>9.2535999999999993E-2</v>
      </c>
      <c r="G43" s="27">
        <v>6.2239000000000003E-2</v>
      </c>
      <c r="H43" s="27">
        <v>1.207212</v>
      </c>
      <c r="I43" s="27">
        <v>0.56332599999999999</v>
      </c>
      <c r="J43" s="27">
        <v>6.2165333333333302E-2</v>
      </c>
      <c r="K43" s="27">
        <v>1.6850849999999999</v>
      </c>
      <c r="L43" s="27">
        <v>0.97995900000000002</v>
      </c>
      <c r="M43" s="27">
        <v>0.47607766666666701</v>
      </c>
      <c r="N43" s="27">
        <v>0.63074300000000005</v>
      </c>
      <c r="O43" s="27">
        <v>0.62932600000000005</v>
      </c>
      <c r="P43" s="27">
        <v>5.1999999999999998E-2</v>
      </c>
      <c r="Q43" s="27">
        <v>0.86360400000000004</v>
      </c>
      <c r="R43" s="27">
        <v>1.6572213333333301</v>
      </c>
      <c r="S43" s="27">
        <v>0.60918266666666698</v>
      </c>
      <c r="T43" s="27">
        <v>0.43749666666666698</v>
      </c>
      <c r="U43" s="27">
        <v>7.1295999999999998E-2</v>
      </c>
      <c r="V43" s="27">
        <v>0.99349100000000001</v>
      </c>
      <c r="W43" s="27">
        <v>0.50519199999999997</v>
      </c>
      <c r="X43" s="27">
        <v>0.108333333333333</v>
      </c>
      <c r="Y43" s="27">
        <v>0.48319633333333301</v>
      </c>
      <c r="Z43" s="27">
        <v>5.5E-2</v>
      </c>
      <c r="AA43" s="27">
        <v>1.7806393333333299</v>
      </c>
      <c r="AB43" s="27">
        <v>0.73523766666666701</v>
      </c>
      <c r="AC43" s="27">
        <v>0.05</v>
      </c>
      <c r="AD43" s="27">
        <v>1.3252803333333301</v>
      </c>
      <c r="AE43" s="27">
        <v>0.61244333333333301</v>
      </c>
      <c r="AF43" s="27">
        <v>0.29885899999999999</v>
      </c>
      <c r="AG43" s="27">
        <v>0.63613200000000003</v>
      </c>
      <c r="AH43" s="27">
        <v>0.61665666666666696</v>
      </c>
      <c r="AI43" s="27">
        <v>0.29891299999999998</v>
      </c>
      <c r="AJ43" s="27">
        <v>0.212612</v>
      </c>
      <c r="AK43" s="27">
        <v>1.54580466666667</v>
      </c>
      <c r="AL43" s="27">
        <v>0.41608200000000001</v>
      </c>
      <c r="AM43" s="27">
        <v>1.0413446666666699</v>
      </c>
      <c r="AN43" s="27">
        <v>0.178940666666667</v>
      </c>
      <c r="AO43" s="27">
        <v>0.22597510000000001</v>
      </c>
      <c r="AP43" s="27">
        <v>0.43658533333333299</v>
      </c>
      <c r="AQ43" s="27">
        <v>0.39102233333333303</v>
      </c>
      <c r="AR43" s="27">
        <v>0.57948366666666695</v>
      </c>
      <c r="AS43" s="27">
        <v>0.609348</v>
      </c>
      <c r="AT43" s="27">
        <v>1.2119943333333301</v>
      </c>
      <c r="AU43" s="27">
        <v>2.3091200000000001</v>
      </c>
      <c r="AV43" s="27">
        <v>0.22414266666666699</v>
      </c>
      <c r="AW43" s="27">
        <v>0.59427200000000002</v>
      </c>
      <c r="AX43" s="27">
        <v>0.32319199999999998</v>
      </c>
      <c r="AY43" s="27">
        <v>0.47617266666666702</v>
      </c>
      <c r="AZ43" s="27">
        <v>0.40370600000000001</v>
      </c>
      <c r="BA43" s="27">
        <v>0.558711333333333</v>
      </c>
      <c r="BB43" s="27">
        <v>0.55525633333333302</v>
      </c>
      <c r="BC43" s="27">
        <v>0.40433333333333299</v>
      </c>
      <c r="BD43" s="27">
        <v>0.77269133333333395</v>
      </c>
      <c r="BE43" s="27">
        <v>5.8000000000000003E-2</v>
      </c>
      <c r="BF43" s="27">
        <v>0.741387666666667</v>
      </c>
      <c r="BG43" s="27">
        <v>8.0498666666666593E-2</v>
      </c>
      <c r="BH43" s="27">
        <v>0.389564666666667</v>
      </c>
      <c r="BI43" s="27">
        <v>0.58071933333333403</v>
      </c>
      <c r="BJ43" s="27">
        <v>0.147436333333333</v>
      </c>
      <c r="BK43" s="27">
        <v>0.83949300000000004</v>
      </c>
      <c r="BL43" s="27">
        <v>0.616954</v>
      </c>
      <c r="BM43" s="27">
        <v>0.34316933333333399</v>
      </c>
      <c r="BN43" s="27">
        <v>0.48688466666666702</v>
      </c>
      <c r="BO43" s="27">
        <v>0.85658999999999996</v>
      </c>
      <c r="BP43" s="27">
        <v>1.8943540000000001</v>
      </c>
      <c r="BQ43" s="27">
        <v>3.6999999999999998E-2</v>
      </c>
      <c r="BR43" s="27">
        <v>0.69980133333333305</v>
      </c>
      <c r="BS43" s="27">
        <v>0.55615999999999999</v>
      </c>
      <c r="BT43" s="27">
        <v>0.14147799999999999</v>
      </c>
      <c r="BU43" s="27">
        <v>0.45908066666666703</v>
      </c>
      <c r="BV43" s="27">
        <v>0.33515733333333297</v>
      </c>
      <c r="BW43" s="27">
        <v>0.21578433333333299</v>
      </c>
      <c r="BX43" s="27">
        <v>0.75110699999999997</v>
      </c>
      <c r="BY43" s="27">
        <v>0.36566866666666697</v>
      </c>
      <c r="BZ43" s="27">
        <v>0.27030666666666697</v>
      </c>
      <c r="CA43" s="27">
        <v>0.44009666666666702</v>
      </c>
      <c r="CB43" s="27">
        <v>0.57953029567099534</v>
      </c>
      <c r="CC43" s="33">
        <v>44.623832766666638</v>
      </c>
    </row>
    <row r="44" spans="1:81" x14ac:dyDescent="0.25">
      <c r="A44" s="23">
        <v>43</v>
      </c>
      <c r="B44" s="25">
        <v>21</v>
      </c>
      <c r="C44" s="27">
        <v>0.96933566666666704</v>
      </c>
      <c r="D44" s="27">
        <v>0.04</v>
      </c>
      <c r="E44" s="27">
        <v>0.40691300000000002</v>
      </c>
      <c r="F44" s="27">
        <v>0.139917333333333</v>
      </c>
      <c r="G44" s="27">
        <v>0.20701900000000001</v>
      </c>
      <c r="H44" s="27">
        <v>1.08106866666667</v>
      </c>
      <c r="I44" s="27">
        <v>0.72022366666666704</v>
      </c>
      <c r="J44" s="27">
        <v>0.175404333333333</v>
      </c>
      <c r="K44" s="27">
        <v>0.605287666666667</v>
      </c>
      <c r="L44" s="27">
        <v>0.69611733333333403</v>
      </c>
      <c r="M44" s="27">
        <v>0.43801699999999999</v>
      </c>
      <c r="N44" s="27">
        <v>0.69958533333333295</v>
      </c>
      <c r="O44" s="27">
        <v>0.56803000000000003</v>
      </c>
      <c r="P44" s="27">
        <v>0.22827866666666699</v>
      </c>
      <c r="Q44" s="27">
        <v>0.492748666666667</v>
      </c>
      <c r="R44" s="27">
        <v>1.1878649999999999</v>
      </c>
      <c r="S44" s="27">
        <v>0.76265366666666701</v>
      </c>
      <c r="T44" s="27">
        <v>0.73761399999999999</v>
      </c>
      <c r="U44" s="27">
        <v>0.21263016666666701</v>
      </c>
      <c r="V44" s="27">
        <v>0.28122366666666698</v>
      </c>
      <c r="W44" s="27">
        <v>0.21671199999999999</v>
      </c>
      <c r="X44" s="27">
        <v>0.109874666666667</v>
      </c>
      <c r="Y44" s="27">
        <v>0.50628166666666696</v>
      </c>
      <c r="Z44" s="27">
        <v>5.5E-2</v>
      </c>
      <c r="AA44" s="27">
        <v>1.4757656666666701</v>
      </c>
      <c r="AB44" s="27">
        <v>0.54554566666666704</v>
      </c>
      <c r="AC44" s="27">
        <v>0.05</v>
      </c>
      <c r="AD44" s="27">
        <v>3.0703033333333298</v>
      </c>
      <c r="AE44" s="27">
        <v>0.56213633333333302</v>
      </c>
      <c r="AF44" s="27">
        <v>0.29856933333333302</v>
      </c>
      <c r="AG44" s="27">
        <v>0.494497666666667</v>
      </c>
      <c r="AH44" s="27">
        <v>0.24314333333333299</v>
      </c>
      <c r="AI44" s="27">
        <v>0.307338</v>
      </c>
      <c r="AJ44" s="27">
        <v>0.31540433333333301</v>
      </c>
      <c r="AK44" s="27">
        <v>1.01722933333333</v>
      </c>
      <c r="AL44" s="27">
        <v>0.21867266666666699</v>
      </c>
      <c r="AM44" s="27">
        <v>1.1526146666666699</v>
      </c>
      <c r="AN44" s="27">
        <v>0.173112666666667</v>
      </c>
      <c r="AO44" s="27">
        <v>0.29215466666666701</v>
      </c>
      <c r="AP44" s="27">
        <v>0.99929400000000002</v>
      </c>
      <c r="AQ44" s="27">
        <v>0.51514499999999996</v>
      </c>
      <c r="AR44" s="27">
        <v>0.72846566666666701</v>
      </c>
      <c r="AS44" s="27">
        <v>0.67075200000000001</v>
      </c>
      <c r="AT44" s="27">
        <v>0.63963700000000001</v>
      </c>
      <c r="AU44" s="27">
        <v>0.42679400000000001</v>
      </c>
      <c r="AV44" s="27">
        <v>0.35040700000000002</v>
      </c>
      <c r="AW44" s="27">
        <v>0.686842333333333</v>
      </c>
      <c r="AX44" s="27">
        <v>0.30483733333333302</v>
      </c>
      <c r="AY44" s="27">
        <v>0.84751733333333401</v>
      </c>
      <c r="AZ44" s="27">
        <v>0.75507999999999997</v>
      </c>
      <c r="BA44" s="27">
        <v>0.68040299999999998</v>
      </c>
      <c r="BB44" s="27">
        <v>0.530507333333333</v>
      </c>
      <c r="BC44" s="27">
        <v>0.421333333333333</v>
      </c>
      <c r="BD44" s="27">
        <v>0.57242733333333295</v>
      </c>
      <c r="BE44" s="27">
        <v>5.8000000000000003E-2</v>
      </c>
      <c r="BF44" s="27">
        <v>0.65219300000000002</v>
      </c>
      <c r="BG44" s="27">
        <v>0.22034566666666699</v>
      </c>
      <c r="BH44" s="27">
        <v>0.45306733333333299</v>
      </c>
      <c r="BI44" s="27">
        <v>0.62329999999999997</v>
      </c>
      <c r="BJ44" s="27">
        <v>0.118379</v>
      </c>
      <c r="BK44" s="27">
        <v>0.843878666666666</v>
      </c>
      <c r="BL44" s="27">
        <v>0.80081233333333302</v>
      </c>
      <c r="BM44" s="27">
        <v>0.34153800000000001</v>
      </c>
      <c r="BN44" s="27">
        <v>0.53748333333333298</v>
      </c>
      <c r="BO44" s="27">
        <v>0.298952</v>
      </c>
      <c r="BP44" s="27">
        <v>2.5317813333333299</v>
      </c>
      <c r="BQ44" s="27">
        <v>4.4476000000000002E-2</v>
      </c>
      <c r="BR44" s="27">
        <v>0.48625200000000002</v>
      </c>
      <c r="BS44" s="27">
        <v>0.54532633333333302</v>
      </c>
      <c r="BT44" s="27">
        <v>0.119161</v>
      </c>
      <c r="BU44" s="27">
        <v>1.38344633333333</v>
      </c>
      <c r="BV44" s="27">
        <v>0.34597133333333302</v>
      </c>
      <c r="BW44" s="27">
        <v>0.289673666666667</v>
      </c>
      <c r="BX44" s="27">
        <v>0.63821866666666704</v>
      </c>
      <c r="BY44" s="27">
        <v>0.627566333333333</v>
      </c>
      <c r="BZ44" s="27">
        <v>0.35393333333333399</v>
      </c>
      <c r="CA44" s="27">
        <v>0.60019666666666704</v>
      </c>
      <c r="CB44" s="27">
        <v>0.56880108874458879</v>
      </c>
      <c r="CC44" s="33">
        <v>43.797683833333338</v>
      </c>
    </row>
    <row r="45" spans="1:81" x14ac:dyDescent="0.25">
      <c r="A45" s="23">
        <v>44</v>
      </c>
      <c r="B45" s="25">
        <v>21.5</v>
      </c>
      <c r="C45" s="27">
        <v>0.59571366666666703</v>
      </c>
      <c r="D45" s="27">
        <v>6.0409999999999998E-2</v>
      </c>
      <c r="E45" s="27">
        <v>0.45344433333333301</v>
      </c>
      <c r="F45" s="27">
        <v>9.2535999999999993E-2</v>
      </c>
      <c r="G45" s="27">
        <v>5.5E-2</v>
      </c>
      <c r="H45" s="27">
        <v>0.86077733333333295</v>
      </c>
      <c r="I45" s="27">
        <v>0.50589266666666699</v>
      </c>
      <c r="J45" s="27">
        <v>0.27694099999999999</v>
      </c>
      <c r="K45" s="27">
        <v>0.73855966666666595</v>
      </c>
      <c r="L45" s="27">
        <v>1.74365533333333</v>
      </c>
      <c r="M45" s="27">
        <v>0.48782199999999998</v>
      </c>
      <c r="N45" s="27">
        <v>0.30162433333333299</v>
      </c>
      <c r="O45" s="27">
        <v>0.436562333333333</v>
      </c>
      <c r="P45" s="27">
        <v>5.1999999999999998E-2</v>
      </c>
      <c r="Q45" s="27">
        <v>1.56169966666667</v>
      </c>
      <c r="R45" s="27">
        <v>0.86702100000000004</v>
      </c>
      <c r="S45" s="27">
        <v>0.92857199999999995</v>
      </c>
      <c r="T45" s="27">
        <v>0.72415733333333399</v>
      </c>
      <c r="U45" s="27">
        <v>0.47774566666666701</v>
      </c>
      <c r="V45" s="27">
        <v>5.6860666666666698E-2</v>
      </c>
      <c r="W45" s="27">
        <v>0.36059333333333299</v>
      </c>
      <c r="X45" s="27">
        <v>0.166148666666667</v>
      </c>
      <c r="Y45" s="27">
        <v>0.61406333333333296</v>
      </c>
      <c r="Z45" s="27">
        <v>0.30559999999999998</v>
      </c>
      <c r="AA45" s="27">
        <v>1.019042</v>
      </c>
      <c r="AB45" s="27">
        <v>0.55349333333333295</v>
      </c>
      <c r="AC45" s="27">
        <v>0.05</v>
      </c>
      <c r="AD45" s="27">
        <v>2.9746106666666701</v>
      </c>
      <c r="AE45" s="27">
        <v>0.79888566666666705</v>
      </c>
      <c r="AF45" s="27">
        <v>0.59948999999999997</v>
      </c>
      <c r="AG45" s="27">
        <v>0.60533700000000001</v>
      </c>
      <c r="AH45" s="27">
        <v>0.652853666666667</v>
      </c>
      <c r="AI45" s="27">
        <v>0.31718800000000003</v>
      </c>
      <c r="AJ45" s="27">
        <v>0.42301866666666699</v>
      </c>
      <c r="AK45" s="27">
        <v>0.95564400000000005</v>
      </c>
      <c r="AL45" s="27">
        <v>0.40643566666666697</v>
      </c>
      <c r="AM45" s="27">
        <v>1.173584</v>
      </c>
      <c r="AN45" s="27">
        <v>0.15368999999999999</v>
      </c>
      <c r="AO45" s="27">
        <v>0.52910233333333301</v>
      </c>
      <c r="AP45" s="27">
        <v>2.8232866666666698</v>
      </c>
      <c r="AQ45" s="27">
        <v>0.50178466666666699</v>
      </c>
      <c r="AR45" s="27">
        <v>0.90775300000000003</v>
      </c>
      <c r="AS45" s="27">
        <v>0.154498</v>
      </c>
      <c r="AT45" s="27">
        <v>0.41170166666666702</v>
      </c>
      <c r="AU45" s="27">
        <v>0.24529733333333301</v>
      </c>
      <c r="AV45" s="27">
        <v>0.46652266666666697</v>
      </c>
      <c r="AW45" s="27">
        <v>0.66290899999999997</v>
      </c>
      <c r="AX45" s="27">
        <v>0.43027333333333301</v>
      </c>
      <c r="AY45" s="27">
        <v>1.000556</v>
      </c>
      <c r="AZ45" s="27">
        <v>0.66240833333333404</v>
      </c>
      <c r="BA45" s="27">
        <v>0.41211433333333303</v>
      </c>
      <c r="BB45" s="27">
        <v>0.55319066666666705</v>
      </c>
      <c r="BC45" s="27">
        <v>0.50299666666666698</v>
      </c>
      <c r="BD45" s="27">
        <v>0.49835833333333301</v>
      </c>
      <c r="BE45" s="27">
        <v>9.8325999999999997E-2</v>
      </c>
      <c r="BF45" s="27">
        <v>0.681172</v>
      </c>
      <c r="BG45" s="27">
        <v>1.0015213333333299</v>
      </c>
      <c r="BH45" s="27">
        <v>8.3283999999999997E-2</v>
      </c>
      <c r="BI45" s="27">
        <v>0.36091200000000001</v>
      </c>
      <c r="BJ45" s="27">
        <v>0.12601399999999999</v>
      </c>
      <c r="BK45" s="27">
        <v>0.83569233333333404</v>
      </c>
      <c r="BL45" s="27">
        <v>0.73638733333333395</v>
      </c>
      <c r="BM45" s="27">
        <v>0.60680800000000001</v>
      </c>
      <c r="BN45" s="27">
        <v>0.49546733333333298</v>
      </c>
      <c r="BO45" s="27">
        <v>0.182026666666667</v>
      </c>
      <c r="BP45" s="27">
        <v>1.14769066666667</v>
      </c>
      <c r="BQ45" s="27">
        <v>0.146666666666667</v>
      </c>
      <c r="BR45" s="27">
        <v>0.405214666666667</v>
      </c>
      <c r="BS45" s="27">
        <v>0.407306</v>
      </c>
      <c r="BT45" s="27">
        <v>9.0645000000000003E-2</v>
      </c>
      <c r="BU45" s="27">
        <v>0.71373466666666696</v>
      </c>
      <c r="BV45" s="27">
        <v>0.25155666666666698</v>
      </c>
      <c r="BW45" s="27">
        <v>0.23972433333333301</v>
      </c>
      <c r="BX45" s="27">
        <v>0.116522666666667</v>
      </c>
      <c r="BY45" s="27">
        <v>0.86989333333333396</v>
      </c>
      <c r="BZ45" s="27">
        <v>0.38381233333333298</v>
      </c>
      <c r="CA45" s="27">
        <v>0.38672533333333398</v>
      </c>
      <c r="CB45" s="27">
        <v>0.57839648484848483</v>
      </c>
      <c r="CC45" s="33">
        <v>44.536529333333327</v>
      </c>
    </row>
    <row r="46" spans="1:81" x14ac:dyDescent="0.25">
      <c r="A46" s="23">
        <v>45</v>
      </c>
      <c r="B46" s="25">
        <v>22</v>
      </c>
      <c r="C46" s="27">
        <v>1.7250336666666699</v>
      </c>
      <c r="D46" s="27">
        <v>0.16926333333333299</v>
      </c>
      <c r="E46" s="27">
        <v>0.27303699999999997</v>
      </c>
      <c r="F46" s="27">
        <v>0.139917333333333</v>
      </c>
      <c r="G46" s="27">
        <v>0.214258</v>
      </c>
      <c r="H46" s="27">
        <v>1.89413566666667</v>
      </c>
      <c r="I46" s="27">
        <v>0.89866333333333404</v>
      </c>
      <c r="J46" s="27">
        <v>8.2171666666666698E-2</v>
      </c>
      <c r="K46" s="27">
        <v>0.77654366666666697</v>
      </c>
      <c r="L46" s="27">
        <v>0.990041333333333</v>
      </c>
      <c r="M46" s="27">
        <v>0.40530766666666701</v>
      </c>
      <c r="N46" s="27">
        <v>0.22079233333333301</v>
      </c>
      <c r="O46" s="27">
        <v>0.46737400000000001</v>
      </c>
      <c r="P46" s="27">
        <v>0.174946666666667</v>
      </c>
      <c r="Q46" s="27">
        <v>0.38538266666666698</v>
      </c>
      <c r="R46" s="27">
        <v>0.90037433333333305</v>
      </c>
      <c r="S46" s="27">
        <v>0.73144866666666697</v>
      </c>
      <c r="T46" s="27">
        <v>0.65378499999999995</v>
      </c>
      <c r="U46" s="27">
        <v>0.32639566666666697</v>
      </c>
      <c r="V46" s="27">
        <v>0.93368933333333304</v>
      </c>
      <c r="W46" s="27">
        <v>5.7654666666666701E-2</v>
      </c>
      <c r="X46" s="27">
        <v>5.0999999999999997E-2</v>
      </c>
      <c r="Y46" s="27">
        <v>0.12385</v>
      </c>
      <c r="Z46" s="27">
        <v>0.36399999999999999</v>
      </c>
      <c r="AA46" s="27">
        <v>0.50963666666666696</v>
      </c>
      <c r="AB46" s="27">
        <v>0.96899733333333304</v>
      </c>
      <c r="AC46" s="27">
        <v>0.14863533333333301</v>
      </c>
      <c r="AD46" s="27">
        <v>0.39623599999999998</v>
      </c>
      <c r="AE46" s="27">
        <v>0.468121333333334</v>
      </c>
      <c r="AF46" s="27">
        <v>0.32010899999999998</v>
      </c>
      <c r="AG46" s="27">
        <v>0.85498566666666598</v>
      </c>
      <c r="AH46" s="27">
        <v>0.45261533333333298</v>
      </c>
      <c r="AI46" s="27">
        <v>0.29725333333333298</v>
      </c>
      <c r="AJ46" s="27">
        <v>0.270092</v>
      </c>
      <c r="AK46" s="27">
        <v>1.3586786666666699</v>
      </c>
      <c r="AL46" s="27">
        <v>5.2697000000000001E-2</v>
      </c>
      <c r="AM46" s="27">
        <v>1.0432526666666699</v>
      </c>
      <c r="AN46" s="27">
        <v>0.17526333333333299</v>
      </c>
      <c r="AO46" s="27">
        <v>0.34771800000000003</v>
      </c>
      <c r="AP46" s="27">
        <v>4.3316833333333298</v>
      </c>
      <c r="AQ46" s="27">
        <v>0.44859133333333301</v>
      </c>
      <c r="AR46" s="27">
        <v>0.55618833333333295</v>
      </c>
      <c r="AS46" s="27">
        <v>0.44334800000000002</v>
      </c>
      <c r="AT46" s="27">
        <v>0.46927999999999997</v>
      </c>
      <c r="AU46" s="27">
        <v>0.240115</v>
      </c>
      <c r="AV46" s="27">
        <v>0.52270000000000005</v>
      </c>
      <c r="AW46" s="27">
        <v>0.13419666666666699</v>
      </c>
      <c r="AX46" s="27">
        <v>0.41617266666666702</v>
      </c>
      <c r="AY46" s="27">
        <v>1.0267253333333299</v>
      </c>
      <c r="AZ46" s="27">
        <v>0.54202666666666699</v>
      </c>
      <c r="BA46" s="27">
        <v>0.51293866666666699</v>
      </c>
      <c r="BB46" s="27">
        <v>0.50082633333333304</v>
      </c>
      <c r="BC46" s="27">
        <v>0.65771133333333298</v>
      </c>
      <c r="BD46" s="27">
        <v>0.50950700000000004</v>
      </c>
      <c r="BE46" s="27">
        <v>8.3662E-2</v>
      </c>
      <c r="BF46" s="27">
        <v>7.5230666666666696E-2</v>
      </c>
      <c r="BG46" s="27">
        <v>0.05</v>
      </c>
      <c r="BH46" s="27">
        <v>0.14591799999999999</v>
      </c>
      <c r="BI46" s="27">
        <v>4.3999999999999997E-2</v>
      </c>
      <c r="BJ46" s="27">
        <v>0.212815333333333</v>
      </c>
      <c r="BK46" s="27">
        <v>0.55227633333333304</v>
      </c>
      <c r="BL46" s="27">
        <v>0.74327066666666697</v>
      </c>
      <c r="BM46" s="27">
        <v>0.36919333333333298</v>
      </c>
      <c r="BN46" s="27">
        <v>0.69118599999999997</v>
      </c>
      <c r="BO46" s="27">
        <v>0.38793133333333302</v>
      </c>
      <c r="BP46" s="27">
        <v>0.33702666666666697</v>
      </c>
      <c r="BQ46" s="27">
        <v>0.51225833333333304</v>
      </c>
      <c r="BR46" s="27">
        <v>0.55188666666666697</v>
      </c>
      <c r="BS46" s="27">
        <v>0.70490866666666696</v>
      </c>
      <c r="BT46" s="27">
        <v>0.117456333333333</v>
      </c>
      <c r="BU46" s="27">
        <v>0.91003166666666702</v>
      </c>
      <c r="BV46" s="27">
        <v>0.430433333333333</v>
      </c>
      <c r="BW46" s="27">
        <v>0.45039099999999999</v>
      </c>
      <c r="BX46" s="27">
        <v>0.16491466666666699</v>
      </c>
      <c r="BY46" s="27">
        <v>0.48017466666666703</v>
      </c>
      <c r="BZ46" s="27">
        <v>0.38573833333333302</v>
      </c>
      <c r="CA46" s="27">
        <v>0.51315066666666698</v>
      </c>
      <c r="CB46" s="27">
        <v>0.53050938961038996</v>
      </c>
      <c r="CC46" s="33">
        <v>40.84922300000003</v>
      </c>
    </row>
    <row r="47" spans="1:81" x14ac:dyDescent="0.25">
      <c r="A47" s="23">
        <v>46</v>
      </c>
      <c r="B47" s="25">
        <v>22.5</v>
      </c>
      <c r="C47" s="27">
        <v>0.70800933333333305</v>
      </c>
      <c r="D47" s="27">
        <v>0.04</v>
      </c>
      <c r="E47" s="27">
        <v>0.503027</v>
      </c>
      <c r="F47" s="27">
        <v>5.7000000000000002E-2</v>
      </c>
      <c r="G47" s="27">
        <v>5.5E-2</v>
      </c>
      <c r="H47" s="27">
        <v>0.75827966666666702</v>
      </c>
      <c r="I47" s="27">
        <v>0.67623</v>
      </c>
      <c r="J47" s="27">
        <v>0.26863700000000001</v>
      </c>
      <c r="K47" s="27">
        <v>0.54537433333333396</v>
      </c>
      <c r="L47" s="27">
        <v>0.67263899999999999</v>
      </c>
      <c r="M47" s="27">
        <v>0.32269799999999998</v>
      </c>
      <c r="N47" s="27">
        <v>0.186176333333333</v>
      </c>
      <c r="O47" s="27">
        <v>0.76173900000000005</v>
      </c>
      <c r="P47" s="27">
        <v>0.132126666666667</v>
      </c>
      <c r="Q47" s="27">
        <v>0.40051399999999998</v>
      </c>
      <c r="R47" s="27">
        <v>0.81093233333333403</v>
      </c>
      <c r="S47" s="27">
        <v>0.54984833333333305</v>
      </c>
      <c r="T47" s="27">
        <v>0.82501133333333299</v>
      </c>
      <c r="U47" s="27">
        <v>0.26624566666666699</v>
      </c>
      <c r="V47" s="27">
        <v>0.13666666666666699</v>
      </c>
      <c r="W47" s="27">
        <v>0.30647600000000003</v>
      </c>
      <c r="X47" s="27">
        <v>0.10827000000000001</v>
      </c>
      <c r="Y47" s="27">
        <v>0.702131333333333</v>
      </c>
      <c r="Z47" s="27">
        <v>0.25949133333333302</v>
      </c>
      <c r="AA47" s="27">
        <v>0.31935400000000003</v>
      </c>
      <c r="AB47" s="27">
        <v>0.69034333333333298</v>
      </c>
      <c r="AC47" s="27">
        <v>5.5191333333333398E-2</v>
      </c>
      <c r="AD47" s="27">
        <v>0.61279300000000003</v>
      </c>
      <c r="AE47" s="27">
        <v>0.76455300000000004</v>
      </c>
      <c r="AF47" s="27">
        <v>0.66539400000000004</v>
      </c>
      <c r="AG47" s="27">
        <v>0.60500166666666699</v>
      </c>
      <c r="AH47" s="27">
        <v>0.409262666666667</v>
      </c>
      <c r="AI47" s="27">
        <v>0.40811199999999997</v>
      </c>
      <c r="AJ47" s="27">
        <v>0.24950466666666701</v>
      </c>
      <c r="AK47" s="27">
        <v>0.572824</v>
      </c>
      <c r="AL47" s="27">
        <v>0.30792266666666701</v>
      </c>
      <c r="AM47" s="27">
        <v>1.2753159999999999</v>
      </c>
      <c r="AN47" s="27">
        <v>8.2100000000000006E-2</v>
      </c>
      <c r="AO47" s="27">
        <v>0.32168333333333399</v>
      </c>
      <c r="AP47" s="27">
        <v>0.49304633333333298</v>
      </c>
      <c r="AQ47" s="27">
        <v>0.23030266666666699</v>
      </c>
      <c r="AR47" s="27">
        <v>0.408459666666667</v>
      </c>
      <c r="AS47" s="27">
        <v>0.45395533333333299</v>
      </c>
      <c r="AT47" s="27">
        <v>0.169769</v>
      </c>
      <c r="AU47" s="27">
        <v>0.24232400000000001</v>
      </c>
      <c r="AV47" s="27">
        <v>0.50668866666666701</v>
      </c>
      <c r="AW47" s="27">
        <v>0.257514666666667</v>
      </c>
      <c r="AX47" s="27">
        <v>0.03</v>
      </c>
      <c r="AY47" s="27">
        <v>1.9568283333333301</v>
      </c>
      <c r="AZ47" s="27">
        <v>0.41182633333333302</v>
      </c>
      <c r="BA47" s="27">
        <v>0.437809333333333</v>
      </c>
      <c r="BB47" s="27">
        <v>0.81755800000000001</v>
      </c>
      <c r="BC47" s="27">
        <v>0.51221133333333402</v>
      </c>
      <c r="BD47" s="27">
        <v>0.208341</v>
      </c>
      <c r="BE47" s="27">
        <v>5.8000000000000003E-2</v>
      </c>
      <c r="BF47" s="27">
        <v>0.52673800000000004</v>
      </c>
      <c r="BG47" s="27">
        <v>0.238334666666667</v>
      </c>
      <c r="BH47" s="27">
        <v>0.247594333333333</v>
      </c>
      <c r="BI47" s="27">
        <v>0.121916</v>
      </c>
      <c r="BJ47" s="27">
        <v>5.2999999999999999E-2</v>
      </c>
      <c r="BK47" s="27">
        <v>0.455141666666667</v>
      </c>
      <c r="BL47" s="27">
        <v>0.79313766666666696</v>
      </c>
      <c r="BM47" s="27">
        <v>5.7000000000000002E-2</v>
      </c>
      <c r="BN47" s="27">
        <v>0.50860399999999995</v>
      </c>
      <c r="BO47" s="27">
        <v>0.334502666666667</v>
      </c>
      <c r="BP47" s="27">
        <v>0.54580933333333304</v>
      </c>
      <c r="BQ47" s="27">
        <v>0.31082733333333301</v>
      </c>
      <c r="BR47" s="27">
        <v>0.54922633333333304</v>
      </c>
      <c r="BS47" s="27">
        <v>0.44862333333333398</v>
      </c>
      <c r="BT47" s="27">
        <v>7.9021666666666698E-2</v>
      </c>
      <c r="BU47" s="27">
        <v>0.81796766666666598</v>
      </c>
      <c r="BV47" s="27">
        <v>0.33869666666666698</v>
      </c>
      <c r="BW47" s="27">
        <v>0.31077966666666701</v>
      </c>
      <c r="BX47" s="27">
        <v>0.116051666666667</v>
      </c>
      <c r="BY47" s="27">
        <v>0.46966333333333299</v>
      </c>
      <c r="BZ47" s="27">
        <v>0.34885866666666698</v>
      </c>
      <c r="CA47" s="27">
        <v>0.49411433333333299</v>
      </c>
      <c r="CB47" s="27">
        <v>0.4253522424242423</v>
      </c>
      <c r="CC47" s="33">
        <v>32.752122666666658</v>
      </c>
    </row>
    <row r="48" spans="1:81" x14ac:dyDescent="0.25">
      <c r="A48" s="23">
        <v>47</v>
      </c>
      <c r="B48" s="25">
        <v>23</v>
      </c>
      <c r="C48" s="27">
        <v>0.52632199999999996</v>
      </c>
      <c r="D48" s="27">
        <v>0.12164</v>
      </c>
      <c r="E48" s="27">
        <v>0.45586033333333298</v>
      </c>
      <c r="F48" s="27">
        <v>5.7000000000000002E-2</v>
      </c>
      <c r="G48" s="27">
        <v>8.3956000000000003E-2</v>
      </c>
      <c r="H48" s="27">
        <v>2.2277830000000001</v>
      </c>
      <c r="I48" s="27">
        <v>1.82501633333333</v>
      </c>
      <c r="J48" s="27">
        <v>5.0999999999999997E-2</v>
      </c>
      <c r="K48" s="27">
        <v>0.21928666666666699</v>
      </c>
      <c r="L48" s="27">
        <v>6.0999999999999999E-2</v>
      </c>
      <c r="M48" s="27">
        <v>0.59359899999999999</v>
      </c>
      <c r="N48" s="27">
        <v>0.39396266666666702</v>
      </c>
      <c r="O48" s="27">
        <v>0.31671666666666698</v>
      </c>
      <c r="P48" s="27">
        <v>0.27109866666666699</v>
      </c>
      <c r="Q48" s="27">
        <v>0.81425233333333302</v>
      </c>
      <c r="R48" s="27">
        <v>0.18880466666666701</v>
      </c>
      <c r="S48" s="27">
        <v>0.44244</v>
      </c>
      <c r="T48" s="27">
        <v>0.82639966666666598</v>
      </c>
      <c r="U48" s="27">
        <v>0.36226666666666701</v>
      </c>
      <c r="V48" s="27">
        <v>0.151134666666667</v>
      </c>
      <c r="W48" s="27">
        <v>0.150717666666667</v>
      </c>
      <c r="X48" s="27">
        <v>0.109376666666667</v>
      </c>
      <c r="Y48" s="27">
        <v>0.41410133333333299</v>
      </c>
      <c r="Z48" s="27">
        <v>5.5E-2</v>
      </c>
      <c r="AA48" s="27">
        <v>0.141568</v>
      </c>
      <c r="AB48" s="27">
        <v>1.17889</v>
      </c>
      <c r="AC48" s="27">
        <v>6.5573999999999993E-2</v>
      </c>
      <c r="AD48" s="27">
        <v>0.406418</v>
      </c>
      <c r="AE48" s="27">
        <v>0.49905633333333399</v>
      </c>
      <c r="AF48" s="27">
        <v>5.3999999999999999E-2</v>
      </c>
      <c r="AG48" s="27">
        <v>0.150648</v>
      </c>
      <c r="AH48" s="27">
        <v>0.312054</v>
      </c>
      <c r="AI48" s="27">
        <v>0.140921666666667</v>
      </c>
      <c r="AJ48" s="27">
        <v>0.17906666666666701</v>
      </c>
      <c r="AK48" s="27">
        <v>0.82039933333333304</v>
      </c>
      <c r="AL48" s="27">
        <v>0.17258000000000001</v>
      </c>
      <c r="AM48" s="27">
        <v>1.2401279999999999</v>
      </c>
      <c r="AN48" s="27">
        <v>5.8999999999999997E-2</v>
      </c>
      <c r="AO48" s="27">
        <v>0.61366066666666697</v>
      </c>
      <c r="AP48" s="27">
        <v>0.37425966666666699</v>
      </c>
      <c r="AQ48" s="27">
        <v>5.2999999999999999E-2</v>
      </c>
      <c r="AR48" s="27">
        <v>0.20099</v>
      </c>
      <c r="AS48" s="27">
        <v>0.359866666666667</v>
      </c>
      <c r="AT48" s="27">
        <v>0.19651766666666701</v>
      </c>
      <c r="AU48" s="27">
        <v>0.25883499999999998</v>
      </c>
      <c r="AV48" s="27">
        <v>0.155306</v>
      </c>
      <c r="AW48" s="27">
        <v>0.273953</v>
      </c>
      <c r="AX48" s="27">
        <v>0.03</v>
      </c>
      <c r="AY48" s="27">
        <v>0.57378600000000002</v>
      </c>
      <c r="AZ48" s="27">
        <v>5.8193333333333298E-2</v>
      </c>
      <c r="BA48" s="27">
        <v>0.17555799999999999</v>
      </c>
      <c r="BB48" s="27">
        <v>0.89337433333333305</v>
      </c>
      <c r="BC48" s="27">
        <v>0.34501999999999999</v>
      </c>
      <c r="BD48" s="27">
        <v>0.14435000000000001</v>
      </c>
      <c r="BE48" s="27">
        <v>5.8000000000000003E-2</v>
      </c>
      <c r="BF48" s="27">
        <v>0.355821</v>
      </c>
      <c r="BG48" s="27">
        <v>0.11862200000000001</v>
      </c>
      <c r="BH48" s="27">
        <v>5.5E-2</v>
      </c>
      <c r="BI48" s="27">
        <v>4.3999999999999997E-2</v>
      </c>
      <c r="BJ48" s="27">
        <v>8.9507000000000003E-2</v>
      </c>
      <c r="BK48" s="27">
        <v>0.45371166666666601</v>
      </c>
      <c r="BL48" s="27">
        <v>0.93160100000000001</v>
      </c>
      <c r="BM48" s="27">
        <v>0.223613333333334</v>
      </c>
      <c r="BN48" s="27">
        <v>0.12986366666666699</v>
      </c>
      <c r="BO48" s="27">
        <v>4.1000000000000002E-2</v>
      </c>
      <c r="BP48" s="27">
        <v>0.34061533333333299</v>
      </c>
      <c r="BQ48" s="27">
        <v>0.88343700000000003</v>
      </c>
      <c r="BR48" s="27">
        <v>0.40676299999999999</v>
      </c>
      <c r="BS48" s="27">
        <v>0.36399600000000099</v>
      </c>
      <c r="BT48" s="27">
        <v>0.51053733333333295</v>
      </c>
      <c r="BU48" s="27">
        <v>0.30544500000000002</v>
      </c>
      <c r="BV48" s="27">
        <v>0.39959299999999998</v>
      </c>
      <c r="BW48" s="27">
        <v>0.36795166666666701</v>
      </c>
      <c r="BX48" s="27">
        <v>0.22137200000000001</v>
      </c>
      <c r="BY48" s="27">
        <v>0.45231766666666701</v>
      </c>
      <c r="BZ48" s="27">
        <v>0.21995000000000001</v>
      </c>
      <c r="CA48" s="27">
        <v>0.67325433333333395</v>
      </c>
      <c r="CB48" s="27">
        <v>0.37002183549783552</v>
      </c>
      <c r="CC48" s="33">
        <v>28.491681333333329</v>
      </c>
    </row>
    <row r="49" spans="1:81" x14ac:dyDescent="0.25">
      <c r="A49" s="24">
        <v>48</v>
      </c>
      <c r="B49" s="26">
        <v>23.5</v>
      </c>
      <c r="C49" s="28">
        <v>0.53206766666666705</v>
      </c>
      <c r="D49" s="28">
        <v>0.108033333333333</v>
      </c>
      <c r="E49" s="28">
        <v>0.31104959999999998</v>
      </c>
      <c r="F49" s="28">
        <v>0.139917333333333</v>
      </c>
      <c r="G49" s="28">
        <v>0.18530199999999999</v>
      </c>
      <c r="H49" s="28">
        <v>0.21694833333333399</v>
      </c>
      <c r="I49" s="28">
        <v>0.85625733333333298</v>
      </c>
      <c r="J49" s="28">
        <v>0.23086166666666699</v>
      </c>
      <c r="K49" s="28">
        <v>5.5E-2</v>
      </c>
      <c r="L49" s="28">
        <v>0.16529533333333299</v>
      </c>
      <c r="M49" s="28">
        <v>0.50397333333333405</v>
      </c>
      <c r="N49" s="28">
        <v>0.62633499999999998</v>
      </c>
      <c r="O49" s="28">
        <v>0.43429833333333301</v>
      </c>
      <c r="P49" s="28">
        <v>6.8025333333333396E-2</v>
      </c>
      <c r="Q49" s="28">
        <v>4.8000000000000001E-2</v>
      </c>
      <c r="R49" s="28">
        <v>4.4999999999999998E-2</v>
      </c>
      <c r="S49" s="28">
        <v>0.615997666666667</v>
      </c>
      <c r="T49" s="28">
        <v>0.64713100000000001</v>
      </c>
      <c r="U49" s="28">
        <v>0.55700966666666696</v>
      </c>
      <c r="V49" s="28">
        <v>0.186949</v>
      </c>
      <c r="W49" s="28">
        <v>6.1982000000000002E-2</v>
      </c>
      <c r="X49" s="28">
        <v>0.166646666666667</v>
      </c>
      <c r="Y49" s="28">
        <v>0.340826666666667</v>
      </c>
      <c r="Z49" s="28">
        <v>5.5E-2</v>
      </c>
      <c r="AA49" s="28">
        <v>5.8000000000000003E-2</v>
      </c>
      <c r="AB49" s="28">
        <v>0.70403333333333296</v>
      </c>
      <c r="AC49" s="28">
        <v>0.138252666666667</v>
      </c>
      <c r="AD49" s="28">
        <v>0.44712333333333298</v>
      </c>
      <c r="AE49" s="28">
        <v>5.7909200000000001E-2</v>
      </c>
      <c r="AF49" s="28">
        <v>5.3999999999999999E-2</v>
      </c>
      <c r="AG49" s="28">
        <v>0.165346666666667</v>
      </c>
      <c r="AH49" s="28">
        <v>0.11759333333333299</v>
      </c>
      <c r="AI49" s="28">
        <v>0.14235600000000001</v>
      </c>
      <c r="AJ49" s="28">
        <v>0.102033333333333</v>
      </c>
      <c r="AK49" s="28">
        <v>0.28571633333333302</v>
      </c>
      <c r="AL49" s="28">
        <v>4.8000000000000001E-2</v>
      </c>
      <c r="AM49" s="28">
        <v>0.54701066666666698</v>
      </c>
      <c r="AN49" s="28">
        <v>5.8999999999999997E-2</v>
      </c>
      <c r="AO49" s="28">
        <v>0.44195533333333298</v>
      </c>
      <c r="AP49" s="28">
        <v>0.27930766666666701</v>
      </c>
      <c r="AQ49" s="28">
        <v>0.13129399999999999</v>
      </c>
      <c r="AR49" s="28">
        <v>4.5999999999999999E-2</v>
      </c>
      <c r="AS49" s="28">
        <v>0.33679999999999999</v>
      </c>
      <c r="AT49" s="28">
        <v>3.6999999999999998E-2</v>
      </c>
      <c r="AU49" s="28">
        <v>0.28540866666666698</v>
      </c>
      <c r="AV49" s="28">
        <v>0.161626666666667</v>
      </c>
      <c r="AW49" s="28">
        <v>9.1523333333333304E-2</v>
      </c>
      <c r="AX49" s="28">
        <v>0.03</v>
      </c>
      <c r="AY49" s="28">
        <v>0.92635900000000004</v>
      </c>
      <c r="AZ49" s="28">
        <v>0.191258333333333</v>
      </c>
      <c r="BA49" s="28">
        <v>7.0005999999999999E-2</v>
      </c>
      <c r="BB49" s="28">
        <v>1.433289</v>
      </c>
      <c r="BC49" s="28">
        <v>0.288702666666667</v>
      </c>
      <c r="BD49" s="28">
        <v>0.27491399999999999</v>
      </c>
      <c r="BE49" s="28">
        <v>0.123988</v>
      </c>
      <c r="BF49" s="28">
        <v>9.9268999999999996E-2</v>
      </c>
      <c r="BG49" s="28">
        <v>7.5681999999999999E-2</v>
      </c>
      <c r="BH49" s="28">
        <v>0.118179666666667</v>
      </c>
      <c r="BI49" s="28">
        <v>4.3999999999999997E-2</v>
      </c>
      <c r="BJ49" s="28">
        <v>0.24932233333333301</v>
      </c>
      <c r="BK49" s="28">
        <v>0.687666</v>
      </c>
      <c r="BL49" s="28">
        <v>0.66742733333333304</v>
      </c>
      <c r="BM49" s="28">
        <v>5.7000000000000002E-2</v>
      </c>
      <c r="BN49" s="28">
        <v>9.4849666666666596E-2</v>
      </c>
      <c r="BO49" s="28">
        <v>0.151151333333333</v>
      </c>
      <c r="BP49" s="28">
        <v>0.31285800000000002</v>
      </c>
      <c r="BQ49" s="28">
        <v>0.75672766666666702</v>
      </c>
      <c r="BR49" s="28">
        <v>0.20610400000000001</v>
      </c>
      <c r="BS49" s="28">
        <v>0.204539</v>
      </c>
      <c r="BT49" s="28">
        <v>0.42261233333333298</v>
      </c>
      <c r="BU49" s="28">
        <v>0.19208500000000001</v>
      </c>
      <c r="BV49" s="28">
        <v>0.407393333333333</v>
      </c>
      <c r="BW49" s="28">
        <v>0.62400733333333402</v>
      </c>
      <c r="BX49" s="28">
        <v>5.1999999999999998E-2</v>
      </c>
      <c r="BY49" s="28">
        <v>0.67848033333333302</v>
      </c>
      <c r="BZ49" s="28">
        <v>4.3999999999999997E-2</v>
      </c>
      <c r="CA49" s="28">
        <v>0.51275033333333297</v>
      </c>
      <c r="CB49" s="28">
        <v>0.2843093437229437</v>
      </c>
      <c r="CC49" s="34">
        <v>21.891819466666661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C49"/>
  <sheetViews>
    <sheetView showGridLines="0" topLeftCell="S1" workbookViewId="0"/>
  </sheetViews>
  <sheetFormatPr defaultRowHeight="15" x14ac:dyDescent="0.25"/>
  <cols>
    <col min="1" max="1" width="10" customWidth="1"/>
    <col min="2" max="2" width="9" customWidth="1"/>
    <col min="3" max="81" width="15" customWidth="1"/>
  </cols>
  <sheetData>
    <row r="1" spans="1:81" ht="30" customHeight="1" x14ac:dyDescent="0.25">
      <c r="A1" s="8" t="s">
        <v>26</v>
      </c>
      <c r="B1" s="20" t="s">
        <v>27</v>
      </c>
      <c r="C1" s="20" t="s">
        <v>37</v>
      </c>
      <c r="D1" s="20" t="s">
        <v>38</v>
      </c>
      <c r="E1" s="20" t="s">
        <v>39</v>
      </c>
      <c r="F1" s="20" t="s">
        <v>40</v>
      </c>
      <c r="G1" s="20" t="s">
        <v>41</v>
      </c>
      <c r="H1" s="20" t="s">
        <v>42</v>
      </c>
      <c r="I1" s="20" t="s">
        <v>43</v>
      </c>
      <c r="J1" s="20" t="s">
        <v>44</v>
      </c>
      <c r="K1" s="20" t="s">
        <v>45</v>
      </c>
      <c r="L1" s="20" t="s">
        <v>46</v>
      </c>
      <c r="M1" s="20" t="s">
        <v>47</v>
      </c>
      <c r="N1" s="20" t="s">
        <v>48</v>
      </c>
      <c r="O1" s="20" t="s">
        <v>49</v>
      </c>
      <c r="P1" s="20" t="s">
        <v>50</v>
      </c>
      <c r="Q1" s="20" t="s">
        <v>51</v>
      </c>
      <c r="R1" s="20" t="s">
        <v>52</v>
      </c>
      <c r="S1" s="20" t="s">
        <v>53</v>
      </c>
      <c r="T1" s="20" t="s">
        <v>54</v>
      </c>
      <c r="U1" s="20" t="s">
        <v>55</v>
      </c>
      <c r="V1" s="20" t="s">
        <v>56</v>
      </c>
      <c r="W1" s="20" t="s">
        <v>57</v>
      </c>
      <c r="X1" s="20" t="s">
        <v>58</v>
      </c>
      <c r="Y1" s="20" t="s">
        <v>59</v>
      </c>
      <c r="Z1" s="20" t="s">
        <v>60</v>
      </c>
      <c r="AA1" s="20" t="s">
        <v>61</v>
      </c>
      <c r="AB1" s="20" t="s">
        <v>62</v>
      </c>
      <c r="AC1" s="20" t="s">
        <v>63</v>
      </c>
      <c r="AD1" s="20" t="s">
        <v>64</v>
      </c>
      <c r="AE1" s="20" t="s">
        <v>65</v>
      </c>
      <c r="AF1" s="20" t="s">
        <v>66</v>
      </c>
      <c r="AG1" s="20" t="s">
        <v>67</v>
      </c>
      <c r="AH1" s="20" t="s">
        <v>68</v>
      </c>
      <c r="AI1" s="20" t="s">
        <v>69</v>
      </c>
      <c r="AJ1" s="20" t="s">
        <v>70</v>
      </c>
      <c r="AK1" s="20" t="s">
        <v>71</v>
      </c>
      <c r="AL1" s="20" t="s">
        <v>72</v>
      </c>
      <c r="AM1" s="20" t="s">
        <v>73</v>
      </c>
      <c r="AN1" s="20" t="s">
        <v>74</v>
      </c>
      <c r="AO1" s="20" t="s">
        <v>75</v>
      </c>
      <c r="AP1" s="20" t="s">
        <v>76</v>
      </c>
      <c r="AQ1" s="20" t="s">
        <v>77</v>
      </c>
      <c r="AR1" s="20" t="s">
        <v>78</v>
      </c>
      <c r="AS1" s="20" t="s">
        <v>79</v>
      </c>
      <c r="AT1" s="20" t="s">
        <v>80</v>
      </c>
      <c r="AU1" s="20" t="s">
        <v>81</v>
      </c>
      <c r="AV1" s="20" t="s">
        <v>82</v>
      </c>
      <c r="AW1" s="20" t="s">
        <v>83</v>
      </c>
      <c r="AX1" s="20" t="s">
        <v>84</v>
      </c>
      <c r="AY1" s="20" t="s">
        <v>85</v>
      </c>
      <c r="AZ1" s="20" t="s">
        <v>86</v>
      </c>
      <c r="BA1" s="20" t="s">
        <v>87</v>
      </c>
      <c r="BB1" s="20" t="s">
        <v>88</v>
      </c>
      <c r="BC1" s="20" t="s">
        <v>89</v>
      </c>
      <c r="BD1" s="20" t="s">
        <v>90</v>
      </c>
      <c r="BE1" s="20" t="s">
        <v>91</v>
      </c>
      <c r="BF1" s="20" t="s">
        <v>92</v>
      </c>
      <c r="BG1" s="20" t="s">
        <v>93</v>
      </c>
      <c r="BH1" s="20" t="s">
        <v>94</v>
      </c>
      <c r="BI1" s="20" t="s">
        <v>95</v>
      </c>
      <c r="BJ1" s="20" t="s">
        <v>96</v>
      </c>
      <c r="BK1" s="20" t="s">
        <v>97</v>
      </c>
      <c r="BL1" s="20" t="s">
        <v>98</v>
      </c>
      <c r="BM1" s="20" t="s">
        <v>99</v>
      </c>
      <c r="BN1" s="20" t="s">
        <v>100</v>
      </c>
      <c r="BO1" s="20" t="s">
        <v>101</v>
      </c>
      <c r="BP1" s="20" t="s">
        <v>102</v>
      </c>
      <c r="BQ1" s="20" t="s">
        <v>103</v>
      </c>
      <c r="BR1" s="20" t="s">
        <v>104</v>
      </c>
      <c r="BS1" s="20" t="s">
        <v>105</v>
      </c>
      <c r="BT1" s="20" t="s">
        <v>106</v>
      </c>
      <c r="BU1" s="20" t="s">
        <v>107</v>
      </c>
      <c r="BV1" s="20" t="s">
        <v>108</v>
      </c>
      <c r="BW1" s="20" t="s">
        <v>109</v>
      </c>
      <c r="BX1" s="20" t="s">
        <v>110</v>
      </c>
      <c r="BY1" s="20" t="s">
        <v>111</v>
      </c>
      <c r="BZ1" s="20" t="s">
        <v>112</v>
      </c>
      <c r="CA1" s="20" t="s">
        <v>113</v>
      </c>
      <c r="CB1" s="20" t="s">
        <v>114</v>
      </c>
      <c r="CC1" s="9" t="s">
        <v>115</v>
      </c>
    </row>
    <row r="2" spans="1:81" x14ac:dyDescent="0.25">
      <c r="A2" s="23">
        <v>1</v>
      </c>
      <c r="B2" s="25">
        <v>0</v>
      </c>
      <c r="C2" s="27">
        <v>0</v>
      </c>
      <c r="D2" s="27">
        <v>0</v>
      </c>
      <c r="E2" s="27">
        <v>0</v>
      </c>
      <c r="F2" s="27">
        <v>0</v>
      </c>
      <c r="G2" s="27">
        <v>0</v>
      </c>
      <c r="H2" s="27">
        <v>0</v>
      </c>
      <c r="I2" s="27">
        <v>0</v>
      </c>
      <c r="J2" s="27">
        <v>0</v>
      </c>
      <c r="K2" s="27">
        <v>0</v>
      </c>
      <c r="L2" s="27">
        <v>0</v>
      </c>
      <c r="M2" s="27">
        <v>0</v>
      </c>
      <c r="N2" s="27">
        <v>0</v>
      </c>
      <c r="O2" s="27">
        <v>0</v>
      </c>
      <c r="P2" s="27">
        <v>0</v>
      </c>
      <c r="Q2" s="27">
        <v>0</v>
      </c>
      <c r="R2" s="27">
        <v>0</v>
      </c>
      <c r="S2" s="27">
        <v>0</v>
      </c>
      <c r="T2" s="27">
        <v>0</v>
      </c>
      <c r="U2" s="27">
        <v>0</v>
      </c>
      <c r="V2" s="27">
        <v>0</v>
      </c>
      <c r="W2" s="27">
        <v>0</v>
      </c>
      <c r="X2" s="27">
        <v>0</v>
      </c>
      <c r="Y2" s="27">
        <v>0</v>
      </c>
      <c r="Z2" s="27">
        <v>0</v>
      </c>
      <c r="AA2" s="27">
        <v>0</v>
      </c>
      <c r="AB2" s="27">
        <v>0</v>
      </c>
      <c r="AC2" s="27">
        <v>0</v>
      </c>
      <c r="AD2" s="27">
        <v>0</v>
      </c>
      <c r="AE2" s="27">
        <v>0</v>
      </c>
      <c r="AF2" s="27">
        <v>0</v>
      </c>
      <c r="AG2" s="27">
        <v>0</v>
      </c>
      <c r="AH2" s="27">
        <v>0</v>
      </c>
      <c r="AI2" s="27">
        <v>0</v>
      </c>
      <c r="AJ2" s="27">
        <v>0</v>
      </c>
      <c r="AK2" s="27">
        <v>0</v>
      </c>
      <c r="AL2" s="27">
        <v>0</v>
      </c>
      <c r="AM2" s="27">
        <v>0</v>
      </c>
      <c r="AN2" s="27">
        <v>0</v>
      </c>
      <c r="AO2" s="27">
        <v>0</v>
      </c>
      <c r="AP2" s="27">
        <v>0</v>
      </c>
      <c r="AQ2" s="27">
        <v>0</v>
      </c>
      <c r="AR2" s="27">
        <v>0</v>
      </c>
      <c r="AS2" s="27">
        <v>0</v>
      </c>
      <c r="AT2" s="27">
        <v>0</v>
      </c>
      <c r="AU2" s="27">
        <v>0</v>
      </c>
      <c r="AV2" s="27">
        <v>0</v>
      </c>
      <c r="AW2" s="27">
        <v>0</v>
      </c>
      <c r="AX2" s="27">
        <v>0</v>
      </c>
      <c r="AY2" s="27">
        <v>0</v>
      </c>
      <c r="AZ2" s="27">
        <v>0</v>
      </c>
      <c r="BA2" s="27">
        <v>0</v>
      </c>
      <c r="BB2" s="27">
        <v>0</v>
      </c>
      <c r="BC2" s="27">
        <v>0</v>
      </c>
      <c r="BD2" s="27">
        <v>0</v>
      </c>
      <c r="BE2" s="27">
        <v>0</v>
      </c>
      <c r="BF2" s="27">
        <v>0</v>
      </c>
      <c r="BG2" s="27">
        <v>0</v>
      </c>
      <c r="BH2" s="27">
        <v>0</v>
      </c>
      <c r="BI2" s="27">
        <v>0</v>
      </c>
      <c r="BJ2" s="27">
        <v>0</v>
      </c>
      <c r="BK2" s="27">
        <v>0</v>
      </c>
      <c r="BL2" s="27">
        <v>0</v>
      </c>
      <c r="BM2" s="27">
        <v>0</v>
      </c>
      <c r="BN2" s="27">
        <v>0</v>
      </c>
      <c r="BO2" s="27">
        <v>0</v>
      </c>
      <c r="BP2" s="27">
        <v>0</v>
      </c>
      <c r="BQ2" s="27">
        <v>0</v>
      </c>
      <c r="BR2" s="27">
        <v>0</v>
      </c>
      <c r="BS2" s="27">
        <v>0</v>
      </c>
      <c r="BT2" s="27">
        <v>0</v>
      </c>
      <c r="BU2" s="27">
        <v>0</v>
      </c>
      <c r="BV2" s="27">
        <v>0</v>
      </c>
      <c r="BW2" s="27">
        <v>0</v>
      </c>
      <c r="BX2" s="27">
        <v>0</v>
      </c>
      <c r="BY2" s="27">
        <v>0</v>
      </c>
      <c r="BZ2" s="27">
        <v>0</v>
      </c>
      <c r="CA2" s="27">
        <v>0</v>
      </c>
      <c r="CB2" s="27">
        <v>0</v>
      </c>
      <c r="CC2" s="33">
        <v>0</v>
      </c>
    </row>
    <row r="3" spans="1:81" x14ac:dyDescent="0.25">
      <c r="A3" s="23">
        <v>2</v>
      </c>
      <c r="B3" s="25">
        <v>0.5</v>
      </c>
      <c r="C3" s="27">
        <v>0</v>
      </c>
      <c r="D3" s="27">
        <v>0</v>
      </c>
      <c r="E3" s="27">
        <v>0</v>
      </c>
      <c r="F3" s="27">
        <v>0</v>
      </c>
      <c r="G3" s="27">
        <v>0</v>
      </c>
      <c r="H3" s="27">
        <v>0</v>
      </c>
      <c r="I3" s="27">
        <v>0</v>
      </c>
      <c r="J3" s="27">
        <v>0</v>
      </c>
      <c r="K3" s="27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  <c r="V3" s="27">
        <v>0</v>
      </c>
      <c r="W3" s="27">
        <v>0</v>
      </c>
      <c r="X3" s="27">
        <v>0</v>
      </c>
      <c r="Y3" s="27">
        <v>0</v>
      </c>
      <c r="Z3" s="27">
        <v>0</v>
      </c>
      <c r="AA3" s="27">
        <v>0</v>
      </c>
      <c r="AB3" s="27">
        <v>0</v>
      </c>
      <c r="AC3" s="27">
        <v>0</v>
      </c>
      <c r="AD3" s="27">
        <v>0</v>
      </c>
      <c r="AE3" s="27">
        <v>0</v>
      </c>
      <c r="AF3" s="27">
        <v>0</v>
      </c>
      <c r="AG3" s="27">
        <v>0</v>
      </c>
      <c r="AH3" s="27">
        <v>0</v>
      </c>
      <c r="AI3" s="27">
        <v>0</v>
      </c>
      <c r="AJ3" s="27">
        <v>0</v>
      </c>
      <c r="AK3" s="27">
        <v>0</v>
      </c>
      <c r="AL3" s="27">
        <v>0</v>
      </c>
      <c r="AM3" s="27">
        <v>0</v>
      </c>
      <c r="AN3" s="27">
        <v>0</v>
      </c>
      <c r="AO3" s="27">
        <v>0</v>
      </c>
      <c r="AP3" s="27">
        <v>0</v>
      </c>
      <c r="AQ3" s="27">
        <v>0</v>
      </c>
      <c r="AR3" s="27">
        <v>0</v>
      </c>
      <c r="AS3" s="27">
        <v>0</v>
      </c>
      <c r="AT3" s="27">
        <v>0</v>
      </c>
      <c r="AU3" s="27">
        <v>0</v>
      </c>
      <c r="AV3" s="27">
        <v>0</v>
      </c>
      <c r="AW3" s="27">
        <v>0</v>
      </c>
      <c r="AX3" s="27">
        <v>0</v>
      </c>
      <c r="AY3" s="27">
        <v>0</v>
      </c>
      <c r="AZ3" s="27">
        <v>0</v>
      </c>
      <c r="BA3" s="27">
        <v>0</v>
      </c>
      <c r="BB3" s="27">
        <v>0</v>
      </c>
      <c r="BC3" s="27">
        <v>0</v>
      </c>
      <c r="BD3" s="27">
        <v>0</v>
      </c>
      <c r="BE3" s="27">
        <v>0</v>
      </c>
      <c r="BF3" s="27">
        <v>0</v>
      </c>
      <c r="BG3" s="27">
        <v>0</v>
      </c>
      <c r="BH3" s="27">
        <v>0</v>
      </c>
      <c r="BI3" s="27">
        <v>0</v>
      </c>
      <c r="BJ3" s="27">
        <v>0</v>
      </c>
      <c r="BK3" s="27">
        <v>0</v>
      </c>
      <c r="BL3" s="27">
        <v>0</v>
      </c>
      <c r="BM3" s="27">
        <v>0</v>
      </c>
      <c r="BN3" s="27">
        <v>0</v>
      </c>
      <c r="BO3" s="27">
        <v>0</v>
      </c>
      <c r="BP3" s="27">
        <v>0</v>
      </c>
      <c r="BQ3" s="27">
        <v>0</v>
      </c>
      <c r="BR3" s="27">
        <v>0</v>
      </c>
      <c r="BS3" s="27">
        <v>0</v>
      </c>
      <c r="BT3" s="27">
        <v>0</v>
      </c>
      <c r="BU3" s="27">
        <v>0</v>
      </c>
      <c r="BV3" s="27">
        <v>0</v>
      </c>
      <c r="BW3" s="27">
        <v>0</v>
      </c>
      <c r="BX3" s="27">
        <v>0</v>
      </c>
      <c r="BY3" s="27">
        <v>0</v>
      </c>
      <c r="BZ3" s="27">
        <v>0</v>
      </c>
      <c r="CA3" s="27">
        <v>0</v>
      </c>
      <c r="CB3" s="27">
        <v>0</v>
      </c>
      <c r="CC3" s="33">
        <v>0</v>
      </c>
    </row>
    <row r="4" spans="1:81" x14ac:dyDescent="0.25">
      <c r="A4" s="23">
        <v>3</v>
      </c>
      <c r="B4" s="25">
        <v>1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27">
        <v>0</v>
      </c>
      <c r="AH4" s="27">
        <v>0</v>
      </c>
      <c r="AI4" s="27">
        <v>0</v>
      </c>
      <c r="AJ4" s="27">
        <v>0</v>
      </c>
      <c r="AK4" s="27">
        <v>0</v>
      </c>
      <c r="AL4" s="27">
        <v>0</v>
      </c>
      <c r="AM4" s="27">
        <v>0</v>
      </c>
      <c r="AN4" s="27">
        <v>0</v>
      </c>
      <c r="AO4" s="27">
        <v>0</v>
      </c>
      <c r="AP4" s="27">
        <v>0</v>
      </c>
      <c r="AQ4" s="27">
        <v>0</v>
      </c>
      <c r="AR4" s="27">
        <v>0</v>
      </c>
      <c r="AS4" s="27">
        <v>0</v>
      </c>
      <c r="AT4" s="27">
        <v>0</v>
      </c>
      <c r="AU4" s="27">
        <v>0</v>
      </c>
      <c r="AV4" s="27">
        <v>0</v>
      </c>
      <c r="AW4" s="27">
        <v>0</v>
      </c>
      <c r="AX4" s="27">
        <v>0</v>
      </c>
      <c r="AY4" s="27">
        <v>0</v>
      </c>
      <c r="AZ4" s="27">
        <v>0</v>
      </c>
      <c r="BA4" s="27">
        <v>0</v>
      </c>
      <c r="BB4" s="27">
        <v>0</v>
      </c>
      <c r="BC4" s="27">
        <v>0</v>
      </c>
      <c r="BD4" s="27">
        <v>0</v>
      </c>
      <c r="BE4" s="27">
        <v>0</v>
      </c>
      <c r="BF4" s="27">
        <v>0</v>
      </c>
      <c r="BG4" s="27">
        <v>0</v>
      </c>
      <c r="BH4" s="27">
        <v>0</v>
      </c>
      <c r="BI4" s="27">
        <v>0</v>
      </c>
      <c r="BJ4" s="27">
        <v>0</v>
      </c>
      <c r="BK4" s="27">
        <v>0</v>
      </c>
      <c r="BL4" s="27">
        <v>0</v>
      </c>
      <c r="BM4" s="27">
        <v>0</v>
      </c>
      <c r="BN4" s="27">
        <v>0</v>
      </c>
      <c r="BO4" s="27">
        <v>0</v>
      </c>
      <c r="BP4" s="27">
        <v>0</v>
      </c>
      <c r="BQ4" s="27">
        <v>0</v>
      </c>
      <c r="BR4" s="27">
        <v>0</v>
      </c>
      <c r="BS4" s="27">
        <v>0</v>
      </c>
      <c r="BT4" s="27">
        <v>0</v>
      </c>
      <c r="BU4" s="27">
        <v>0</v>
      </c>
      <c r="BV4" s="27">
        <v>0</v>
      </c>
      <c r="BW4" s="27">
        <v>0</v>
      </c>
      <c r="BX4" s="27">
        <v>0</v>
      </c>
      <c r="BY4" s="27">
        <v>0</v>
      </c>
      <c r="BZ4" s="27">
        <v>0</v>
      </c>
      <c r="CA4" s="27">
        <v>0</v>
      </c>
      <c r="CB4" s="27">
        <v>0</v>
      </c>
      <c r="CC4" s="33">
        <v>0</v>
      </c>
    </row>
    <row r="5" spans="1:81" x14ac:dyDescent="0.25">
      <c r="A5" s="23">
        <v>4</v>
      </c>
      <c r="B5" s="25">
        <v>1.5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27">
        <v>0</v>
      </c>
      <c r="AG5" s="27">
        <v>0</v>
      </c>
      <c r="AH5" s="27">
        <v>0</v>
      </c>
      <c r="AI5" s="27">
        <v>0</v>
      </c>
      <c r="AJ5" s="27">
        <v>0</v>
      </c>
      <c r="AK5" s="27">
        <v>0</v>
      </c>
      <c r="AL5" s="27">
        <v>0</v>
      </c>
      <c r="AM5" s="27">
        <v>0</v>
      </c>
      <c r="AN5" s="27">
        <v>0</v>
      </c>
      <c r="AO5" s="27">
        <v>0</v>
      </c>
      <c r="AP5" s="27">
        <v>0</v>
      </c>
      <c r="AQ5" s="27">
        <v>0</v>
      </c>
      <c r="AR5" s="27">
        <v>0</v>
      </c>
      <c r="AS5" s="27">
        <v>0</v>
      </c>
      <c r="AT5" s="27">
        <v>0</v>
      </c>
      <c r="AU5" s="27">
        <v>0</v>
      </c>
      <c r="AV5" s="27">
        <v>0</v>
      </c>
      <c r="AW5" s="27">
        <v>0</v>
      </c>
      <c r="AX5" s="27">
        <v>0</v>
      </c>
      <c r="AY5" s="27">
        <v>0</v>
      </c>
      <c r="AZ5" s="27">
        <v>0</v>
      </c>
      <c r="BA5" s="27">
        <v>0</v>
      </c>
      <c r="BB5" s="27">
        <v>0</v>
      </c>
      <c r="BC5" s="27">
        <v>0</v>
      </c>
      <c r="BD5" s="27">
        <v>0</v>
      </c>
      <c r="BE5" s="27">
        <v>0</v>
      </c>
      <c r="BF5" s="27">
        <v>0</v>
      </c>
      <c r="BG5" s="27">
        <v>0</v>
      </c>
      <c r="BH5" s="27">
        <v>0</v>
      </c>
      <c r="BI5" s="27">
        <v>0</v>
      </c>
      <c r="BJ5" s="27">
        <v>0</v>
      </c>
      <c r="BK5" s="27">
        <v>0</v>
      </c>
      <c r="BL5" s="27">
        <v>0</v>
      </c>
      <c r="BM5" s="27">
        <v>0</v>
      </c>
      <c r="BN5" s="27">
        <v>0</v>
      </c>
      <c r="BO5" s="27">
        <v>0</v>
      </c>
      <c r="BP5" s="27">
        <v>0</v>
      </c>
      <c r="BQ5" s="27">
        <v>0</v>
      </c>
      <c r="BR5" s="27">
        <v>0</v>
      </c>
      <c r="BS5" s="27">
        <v>0</v>
      </c>
      <c r="BT5" s="27">
        <v>0</v>
      </c>
      <c r="BU5" s="27">
        <v>0</v>
      </c>
      <c r="BV5" s="27">
        <v>0</v>
      </c>
      <c r="BW5" s="27">
        <v>0</v>
      </c>
      <c r="BX5" s="27">
        <v>0</v>
      </c>
      <c r="BY5" s="27">
        <v>0</v>
      </c>
      <c r="BZ5" s="27">
        <v>0</v>
      </c>
      <c r="CA5" s="27">
        <v>0</v>
      </c>
      <c r="CB5" s="27">
        <v>0</v>
      </c>
      <c r="CC5" s="33">
        <v>0</v>
      </c>
    </row>
    <row r="6" spans="1:81" x14ac:dyDescent="0.25">
      <c r="A6" s="23">
        <v>5</v>
      </c>
      <c r="B6" s="25">
        <v>2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27">
        <v>0</v>
      </c>
      <c r="AH6" s="27">
        <v>0</v>
      </c>
      <c r="AI6" s="27">
        <v>0</v>
      </c>
      <c r="AJ6" s="27">
        <v>0</v>
      </c>
      <c r="AK6" s="27">
        <v>0</v>
      </c>
      <c r="AL6" s="27">
        <v>0</v>
      </c>
      <c r="AM6" s="27">
        <v>0</v>
      </c>
      <c r="AN6" s="27">
        <v>0</v>
      </c>
      <c r="AO6" s="27">
        <v>0</v>
      </c>
      <c r="AP6" s="27">
        <v>0</v>
      </c>
      <c r="AQ6" s="27">
        <v>0</v>
      </c>
      <c r="AR6" s="27">
        <v>0</v>
      </c>
      <c r="AS6" s="27">
        <v>0</v>
      </c>
      <c r="AT6" s="27">
        <v>0</v>
      </c>
      <c r="AU6" s="27">
        <v>0</v>
      </c>
      <c r="AV6" s="27">
        <v>0</v>
      </c>
      <c r="AW6" s="27">
        <v>0</v>
      </c>
      <c r="AX6" s="27">
        <v>0</v>
      </c>
      <c r="AY6" s="27">
        <v>0</v>
      </c>
      <c r="AZ6" s="27">
        <v>0</v>
      </c>
      <c r="BA6" s="27">
        <v>0</v>
      </c>
      <c r="BB6" s="27">
        <v>0</v>
      </c>
      <c r="BC6" s="27">
        <v>0</v>
      </c>
      <c r="BD6" s="27">
        <v>0</v>
      </c>
      <c r="BE6" s="27">
        <v>0</v>
      </c>
      <c r="BF6" s="27">
        <v>0</v>
      </c>
      <c r="BG6" s="27">
        <v>0</v>
      </c>
      <c r="BH6" s="27">
        <v>0</v>
      </c>
      <c r="BI6" s="27">
        <v>0</v>
      </c>
      <c r="BJ6" s="27">
        <v>0</v>
      </c>
      <c r="BK6" s="27">
        <v>0</v>
      </c>
      <c r="BL6" s="27">
        <v>0</v>
      </c>
      <c r="BM6" s="27">
        <v>0</v>
      </c>
      <c r="BN6" s="27">
        <v>0</v>
      </c>
      <c r="BO6" s="27">
        <v>0</v>
      </c>
      <c r="BP6" s="27">
        <v>0</v>
      </c>
      <c r="BQ6" s="27">
        <v>0</v>
      </c>
      <c r="BR6" s="27">
        <v>0</v>
      </c>
      <c r="BS6" s="27">
        <v>0</v>
      </c>
      <c r="BT6" s="27">
        <v>0</v>
      </c>
      <c r="BU6" s="27">
        <v>0</v>
      </c>
      <c r="BV6" s="27">
        <v>0</v>
      </c>
      <c r="BW6" s="27">
        <v>0</v>
      </c>
      <c r="BX6" s="27">
        <v>0</v>
      </c>
      <c r="BY6" s="27">
        <v>0</v>
      </c>
      <c r="BZ6" s="27">
        <v>0</v>
      </c>
      <c r="CA6" s="27">
        <v>0</v>
      </c>
      <c r="CB6" s="27">
        <v>0</v>
      </c>
      <c r="CC6" s="33">
        <v>0</v>
      </c>
    </row>
    <row r="7" spans="1:81" x14ac:dyDescent="0.25">
      <c r="A7" s="23">
        <v>6</v>
      </c>
      <c r="B7" s="25">
        <v>2.5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  <c r="AC7" s="27">
        <v>0</v>
      </c>
      <c r="AD7" s="27">
        <v>0</v>
      </c>
      <c r="AE7" s="27">
        <v>0</v>
      </c>
      <c r="AF7" s="27">
        <v>0</v>
      </c>
      <c r="AG7" s="27">
        <v>0</v>
      </c>
      <c r="AH7" s="27">
        <v>0</v>
      </c>
      <c r="AI7" s="27">
        <v>0</v>
      </c>
      <c r="AJ7" s="27">
        <v>0</v>
      </c>
      <c r="AK7" s="27">
        <v>0</v>
      </c>
      <c r="AL7" s="27">
        <v>0</v>
      </c>
      <c r="AM7" s="27">
        <v>0</v>
      </c>
      <c r="AN7" s="27">
        <v>0</v>
      </c>
      <c r="AO7" s="27">
        <v>0</v>
      </c>
      <c r="AP7" s="27">
        <v>0</v>
      </c>
      <c r="AQ7" s="27">
        <v>0</v>
      </c>
      <c r="AR7" s="27">
        <v>0</v>
      </c>
      <c r="AS7" s="27">
        <v>0</v>
      </c>
      <c r="AT7" s="27">
        <v>0</v>
      </c>
      <c r="AU7" s="27">
        <v>0</v>
      </c>
      <c r="AV7" s="27">
        <v>0</v>
      </c>
      <c r="AW7" s="27">
        <v>0</v>
      </c>
      <c r="AX7" s="27">
        <v>0</v>
      </c>
      <c r="AY7" s="27">
        <v>0</v>
      </c>
      <c r="AZ7" s="27">
        <v>0</v>
      </c>
      <c r="BA7" s="27">
        <v>0</v>
      </c>
      <c r="BB7" s="27">
        <v>0</v>
      </c>
      <c r="BC7" s="27">
        <v>0</v>
      </c>
      <c r="BD7" s="27">
        <v>0</v>
      </c>
      <c r="BE7" s="27">
        <v>0</v>
      </c>
      <c r="BF7" s="27">
        <v>0</v>
      </c>
      <c r="BG7" s="27">
        <v>0</v>
      </c>
      <c r="BH7" s="27">
        <v>0</v>
      </c>
      <c r="BI7" s="27">
        <v>0</v>
      </c>
      <c r="BJ7" s="27">
        <v>0</v>
      </c>
      <c r="BK7" s="27">
        <v>0</v>
      </c>
      <c r="BL7" s="27">
        <v>0</v>
      </c>
      <c r="BM7" s="27">
        <v>0</v>
      </c>
      <c r="BN7" s="27">
        <v>0</v>
      </c>
      <c r="BO7" s="27">
        <v>0</v>
      </c>
      <c r="BP7" s="27">
        <v>0</v>
      </c>
      <c r="BQ7" s="27">
        <v>0</v>
      </c>
      <c r="BR7" s="27">
        <v>0</v>
      </c>
      <c r="BS7" s="27">
        <v>0</v>
      </c>
      <c r="BT7" s="27">
        <v>0</v>
      </c>
      <c r="BU7" s="27">
        <v>0</v>
      </c>
      <c r="BV7" s="27">
        <v>0</v>
      </c>
      <c r="BW7" s="27">
        <v>0</v>
      </c>
      <c r="BX7" s="27">
        <v>0</v>
      </c>
      <c r="BY7" s="27">
        <v>0</v>
      </c>
      <c r="BZ7" s="27">
        <v>0</v>
      </c>
      <c r="CA7" s="27">
        <v>0</v>
      </c>
      <c r="CB7" s="27">
        <v>0</v>
      </c>
      <c r="CC7" s="33">
        <v>0</v>
      </c>
    </row>
    <row r="8" spans="1:81" x14ac:dyDescent="0.25">
      <c r="A8" s="23">
        <v>7</v>
      </c>
      <c r="B8" s="25">
        <v>3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>
        <v>0</v>
      </c>
      <c r="AH8" s="27">
        <v>0</v>
      </c>
      <c r="AI8" s="27">
        <v>0</v>
      </c>
      <c r="AJ8" s="27">
        <v>0</v>
      </c>
      <c r="AK8" s="27">
        <v>0</v>
      </c>
      <c r="AL8" s="27">
        <v>0</v>
      </c>
      <c r="AM8" s="27">
        <v>0</v>
      </c>
      <c r="AN8" s="27">
        <v>0</v>
      </c>
      <c r="AO8" s="27">
        <v>0</v>
      </c>
      <c r="AP8" s="27">
        <v>0</v>
      </c>
      <c r="AQ8" s="27">
        <v>0</v>
      </c>
      <c r="AR8" s="27">
        <v>0</v>
      </c>
      <c r="AS8" s="27">
        <v>0</v>
      </c>
      <c r="AT8" s="27">
        <v>0</v>
      </c>
      <c r="AU8" s="27">
        <v>0</v>
      </c>
      <c r="AV8" s="27">
        <v>0</v>
      </c>
      <c r="AW8" s="27">
        <v>0</v>
      </c>
      <c r="AX8" s="27">
        <v>0</v>
      </c>
      <c r="AY8" s="27">
        <v>0</v>
      </c>
      <c r="AZ8" s="27">
        <v>0</v>
      </c>
      <c r="BA8" s="27">
        <v>0</v>
      </c>
      <c r="BB8" s="27">
        <v>0</v>
      </c>
      <c r="BC8" s="27">
        <v>0</v>
      </c>
      <c r="BD8" s="27">
        <v>0</v>
      </c>
      <c r="BE8" s="27">
        <v>0</v>
      </c>
      <c r="BF8" s="27">
        <v>0</v>
      </c>
      <c r="BG8" s="27">
        <v>0</v>
      </c>
      <c r="BH8" s="27">
        <v>0</v>
      </c>
      <c r="BI8" s="27">
        <v>0</v>
      </c>
      <c r="BJ8" s="27">
        <v>0</v>
      </c>
      <c r="BK8" s="27">
        <v>0</v>
      </c>
      <c r="BL8" s="27">
        <v>0</v>
      </c>
      <c r="BM8" s="27">
        <v>0</v>
      </c>
      <c r="BN8" s="27">
        <v>0</v>
      </c>
      <c r="BO8" s="27">
        <v>0</v>
      </c>
      <c r="BP8" s="27">
        <v>0</v>
      </c>
      <c r="BQ8" s="27">
        <v>0</v>
      </c>
      <c r="BR8" s="27">
        <v>0</v>
      </c>
      <c r="BS8" s="27">
        <v>0</v>
      </c>
      <c r="BT8" s="27">
        <v>0</v>
      </c>
      <c r="BU8" s="27">
        <v>0</v>
      </c>
      <c r="BV8" s="27">
        <v>0</v>
      </c>
      <c r="BW8" s="27">
        <v>0</v>
      </c>
      <c r="BX8" s="27">
        <v>0</v>
      </c>
      <c r="BY8" s="27">
        <v>0</v>
      </c>
      <c r="BZ8" s="27">
        <v>0</v>
      </c>
      <c r="CA8" s="27">
        <v>0</v>
      </c>
      <c r="CB8" s="27">
        <v>0</v>
      </c>
      <c r="CC8" s="33">
        <v>0</v>
      </c>
    </row>
    <row r="9" spans="1:81" x14ac:dyDescent="0.25">
      <c r="A9" s="23">
        <v>8</v>
      </c>
      <c r="B9" s="25">
        <v>3.5</v>
      </c>
      <c r="C9" s="27">
        <v>3.4408034666666681E-3</v>
      </c>
      <c r="D9" s="27">
        <v>3.4408034666666681E-3</v>
      </c>
      <c r="E9" s="27">
        <v>1.720401733333334E-3</v>
      </c>
      <c r="F9" s="27">
        <v>3.4408034666666681E-3</v>
      </c>
      <c r="G9" s="27">
        <v>2.5806026000000011E-3</v>
      </c>
      <c r="H9" s="27">
        <v>1.720401733333334E-3</v>
      </c>
      <c r="I9" s="27">
        <v>2.1505021666666682E-3</v>
      </c>
      <c r="J9" s="27">
        <v>2.1505021666666682E-3</v>
      </c>
      <c r="K9" s="27">
        <v>1.720401733333334E-3</v>
      </c>
      <c r="L9" s="27">
        <v>1.720401733333334E-3</v>
      </c>
      <c r="M9" s="27">
        <v>2.5806026000000011E-3</v>
      </c>
      <c r="N9" s="27">
        <v>1.720401733333334E-3</v>
      </c>
      <c r="O9" s="27">
        <v>3.4408034666666681E-3</v>
      </c>
      <c r="P9" s="27">
        <v>2.1505021666666682E-3</v>
      </c>
      <c r="Q9" s="27">
        <v>2.1505021666666682E-3</v>
      </c>
      <c r="R9" s="27">
        <v>2.1505021666666682E-3</v>
      </c>
      <c r="S9" s="27">
        <v>3.4408034666666681E-3</v>
      </c>
      <c r="T9" s="27">
        <v>3.4408034666666681E-3</v>
      </c>
      <c r="U9" s="27">
        <v>3.0107030333333339E-3</v>
      </c>
      <c r="V9" s="27">
        <v>1.720401733333334E-3</v>
      </c>
      <c r="W9" s="27">
        <v>3.4408034666666681E-3</v>
      </c>
      <c r="X9" s="27">
        <v>2.1505021666666682E-3</v>
      </c>
      <c r="Y9" s="27">
        <v>2.5806026000000011E-3</v>
      </c>
      <c r="Z9" s="27">
        <v>2.5806026000000011E-3</v>
      </c>
      <c r="AA9" s="27">
        <v>3.0107030333333339E-3</v>
      </c>
      <c r="AB9" s="27">
        <v>2.1505021666666682E-3</v>
      </c>
      <c r="AC9" s="27">
        <v>3.4408034666666681E-3</v>
      </c>
      <c r="AD9" s="27">
        <v>3.4408034666666681E-3</v>
      </c>
      <c r="AE9" s="27">
        <v>1.720401733333334E-3</v>
      </c>
      <c r="AF9" s="27">
        <v>3.4408034666666681E-3</v>
      </c>
      <c r="AG9" s="27">
        <v>3.4408034666666681E-3</v>
      </c>
      <c r="AH9" s="27">
        <v>1.720401733333334E-3</v>
      </c>
      <c r="AI9" s="27">
        <v>2.5806026000000011E-3</v>
      </c>
      <c r="AJ9" s="27">
        <v>1.290301300000001E-3</v>
      </c>
      <c r="AK9" s="27">
        <v>1.720401733333334E-3</v>
      </c>
      <c r="AL9" s="27">
        <v>2.1505021666666682E-3</v>
      </c>
      <c r="AM9" s="27">
        <v>2.1505021666666682E-3</v>
      </c>
      <c r="AN9" s="27">
        <v>2.1505021666666682E-3</v>
      </c>
      <c r="AO9" s="27">
        <v>2.5806026000000011E-3</v>
      </c>
      <c r="AP9" s="27">
        <v>2.1505021666666682E-3</v>
      </c>
      <c r="AQ9" s="27">
        <v>3.4408034666666681E-3</v>
      </c>
      <c r="AR9" s="27">
        <v>3.4408034666666681E-3</v>
      </c>
      <c r="AS9" s="27">
        <v>2.5806026000000011E-3</v>
      </c>
      <c r="AT9" s="27">
        <v>1.290301300000001E-3</v>
      </c>
      <c r="AU9" s="27">
        <v>1.290301300000001E-3</v>
      </c>
      <c r="AV9" s="27">
        <v>1.720401733333334E-3</v>
      </c>
      <c r="AW9" s="27">
        <v>2.1505021666666682E-3</v>
      </c>
      <c r="AX9" s="27">
        <v>3.4408034666666681E-3</v>
      </c>
      <c r="AY9" s="27">
        <v>2.5806026000000011E-3</v>
      </c>
      <c r="AZ9" s="27">
        <v>2.5806026000000011E-3</v>
      </c>
      <c r="BA9" s="27">
        <v>3.0107030333333339E-3</v>
      </c>
      <c r="BB9" s="27">
        <v>3.4408034666666681E-3</v>
      </c>
      <c r="BC9" s="27">
        <v>2.1505021666666682E-3</v>
      </c>
      <c r="BD9" s="27">
        <v>2.1505021666666682E-3</v>
      </c>
      <c r="BE9" s="27">
        <v>3.0107030333333339E-3</v>
      </c>
      <c r="BF9" s="27">
        <v>1.290301300000001E-3</v>
      </c>
      <c r="BG9" s="27">
        <v>1.290301300000001E-3</v>
      </c>
      <c r="BH9" s="27">
        <v>3.4408034666666681E-3</v>
      </c>
      <c r="BI9" s="27">
        <v>2.5806026000000011E-3</v>
      </c>
      <c r="BJ9" s="27">
        <v>1.720401733333334E-3</v>
      </c>
      <c r="BK9" s="27">
        <v>1.720401733333334E-3</v>
      </c>
      <c r="BL9" s="27">
        <v>3.4408034666666681E-3</v>
      </c>
      <c r="BM9" s="27">
        <v>3.4408034666666681E-3</v>
      </c>
      <c r="BN9" s="27">
        <v>3.4408034666666681E-3</v>
      </c>
      <c r="BO9" s="27">
        <v>1.720401733333334E-3</v>
      </c>
      <c r="BP9" s="27">
        <v>2.1505021666666682E-3</v>
      </c>
      <c r="BQ9" s="27">
        <v>2.1505021666666682E-3</v>
      </c>
      <c r="BR9" s="27">
        <v>3.0107030333333339E-3</v>
      </c>
      <c r="BS9" s="27">
        <v>3.4408034666666681E-3</v>
      </c>
      <c r="BT9" s="27">
        <v>1.720401733333334E-3</v>
      </c>
      <c r="BU9" s="27">
        <v>8.6020086666666702E-4</v>
      </c>
      <c r="BV9" s="27">
        <v>3.4408034666666681E-3</v>
      </c>
      <c r="BW9" s="27">
        <v>3.0107030333333339E-3</v>
      </c>
      <c r="BX9" s="27">
        <v>3.4408034666666681E-3</v>
      </c>
      <c r="BY9" s="27">
        <v>2.5806026000000011E-3</v>
      </c>
      <c r="BZ9" s="27">
        <v>8.6020086666666702E-4</v>
      </c>
      <c r="CA9" s="27">
        <v>2.5806026000000011E-3</v>
      </c>
      <c r="CB9" s="27">
        <v>2.4856453614718619E-3</v>
      </c>
      <c r="CC9" s="33">
        <v>0.19139469283333341</v>
      </c>
    </row>
    <row r="10" spans="1:81" x14ac:dyDescent="0.25">
      <c r="A10" s="23">
        <v>9</v>
      </c>
      <c r="B10" s="25">
        <v>4</v>
      </c>
      <c r="C10" s="27">
        <v>4.9734492533333202E-2</v>
      </c>
      <c r="D10" s="27">
        <v>4.9734492533333202E-2</v>
      </c>
      <c r="E10" s="27">
        <v>2.4867246266666601E-2</v>
      </c>
      <c r="F10" s="27">
        <v>4.9734492533333202E-2</v>
      </c>
      <c r="G10" s="27">
        <v>3.7300869399999902E-2</v>
      </c>
      <c r="H10" s="27">
        <v>2.4867246266666601E-2</v>
      </c>
      <c r="I10" s="27">
        <v>3.1084057833333251E-2</v>
      </c>
      <c r="J10" s="27">
        <v>3.1084057833333251E-2</v>
      </c>
      <c r="K10" s="27">
        <v>2.4867246266666601E-2</v>
      </c>
      <c r="L10" s="27">
        <v>2.4867246266666601E-2</v>
      </c>
      <c r="M10" s="27">
        <v>3.7300869399999902E-2</v>
      </c>
      <c r="N10" s="27">
        <v>2.4867246266666601E-2</v>
      </c>
      <c r="O10" s="27">
        <v>4.9734492533333202E-2</v>
      </c>
      <c r="P10" s="27">
        <v>3.1084057833333251E-2</v>
      </c>
      <c r="Q10" s="27">
        <v>3.1084057833333251E-2</v>
      </c>
      <c r="R10" s="27">
        <v>3.1084057833333251E-2</v>
      </c>
      <c r="S10" s="27">
        <v>4.9734492533333202E-2</v>
      </c>
      <c r="T10" s="27">
        <v>4.9734492533333202E-2</v>
      </c>
      <c r="U10" s="27">
        <v>4.3517680966666562E-2</v>
      </c>
      <c r="V10" s="27">
        <v>2.4867246266666601E-2</v>
      </c>
      <c r="W10" s="27">
        <v>4.9734492533333202E-2</v>
      </c>
      <c r="X10" s="27">
        <v>3.1084057833333251E-2</v>
      </c>
      <c r="Y10" s="27">
        <v>3.7300869399999902E-2</v>
      </c>
      <c r="Z10" s="27">
        <v>3.7300869399999902E-2</v>
      </c>
      <c r="AA10" s="27">
        <v>4.3517680966666562E-2</v>
      </c>
      <c r="AB10" s="27">
        <v>3.1084057833333251E-2</v>
      </c>
      <c r="AC10" s="27">
        <v>4.9734492533333202E-2</v>
      </c>
      <c r="AD10" s="27">
        <v>4.9734492533333202E-2</v>
      </c>
      <c r="AE10" s="27">
        <v>2.4867246266666601E-2</v>
      </c>
      <c r="AF10" s="27">
        <v>4.9734492533333202E-2</v>
      </c>
      <c r="AG10" s="27">
        <v>4.9734492533333202E-2</v>
      </c>
      <c r="AH10" s="27">
        <v>2.4867246266666601E-2</v>
      </c>
      <c r="AI10" s="27">
        <v>3.7300869399999902E-2</v>
      </c>
      <c r="AJ10" s="27">
        <v>1.8650434699999951E-2</v>
      </c>
      <c r="AK10" s="27">
        <v>2.4867246266666601E-2</v>
      </c>
      <c r="AL10" s="27">
        <v>3.1084057833333251E-2</v>
      </c>
      <c r="AM10" s="27">
        <v>3.1084057833333251E-2</v>
      </c>
      <c r="AN10" s="27">
        <v>3.1084057833333251E-2</v>
      </c>
      <c r="AO10" s="27">
        <v>3.7300869399999902E-2</v>
      </c>
      <c r="AP10" s="27">
        <v>3.1084057833333251E-2</v>
      </c>
      <c r="AQ10" s="27">
        <v>4.9734492533333202E-2</v>
      </c>
      <c r="AR10" s="27">
        <v>4.9734492533333202E-2</v>
      </c>
      <c r="AS10" s="27">
        <v>3.7300869399999902E-2</v>
      </c>
      <c r="AT10" s="27">
        <v>1.8650434699999951E-2</v>
      </c>
      <c r="AU10" s="27">
        <v>1.8650434699999951E-2</v>
      </c>
      <c r="AV10" s="27">
        <v>2.4867246266666601E-2</v>
      </c>
      <c r="AW10" s="27">
        <v>3.1084057833333251E-2</v>
      </c>
      <c r="AX10" s="27">
        <v>4.9734492533333202E-2</v>
      </c>
      <c r="AY10" s="27">
        <v>3.7300869399999902E-2</v>
      </c>
      <c r="AZ10" s="27">
        <v>3.7300869399999902E-2</v>
      </c>
      <c r="BA10" s="27">
        <v>4.3517680966666562E-2</v>
      </c>
      <c r="BB10" s="27">
        <v>4.9734492533333202E-2</v>
      </c>
      <c r="BC10" s="27">
        <v>3.1084057833333251E-2</v>
      </c>
      <c r="BD10" s="27">
        <v>3.1084057833333251E-2</v>
      </c>
      <c r="BE10" s="27">
        <v>4.3517680966666562E-2</v>
      </c>
      <c r="BF10" s="27">
        <v>1.8650434699999951E-2</v>
      </c>
      <c r="BG10" s="27">
        <v>1.8650434699999951E-2</v>
      </c>
      <c r="BH10" s="27">
        <v>4.9734492533333202E-2</v>
      </c>
      <c r="BI10" s="27">
        <v>3.7300869399999902E-2</v>
      </c>
      <c r="BJ10" s="27">
        <v>2.4867246266666601E-2</v>
      </c>
      <c r="BK10" s="27">
        <v>2.4867246266666601E-2</v>
      </c>
      <c r="BL10" s="27">
        <v>4.9734492533333202E-2</v>
      </c>
      <c r="BM10" s="27">
        <v>4.9734492533333202E-2</v>
      </c>
      <c r="BN10" s="27">
        <v>4.9734492533333202E-2</v>
      </c>
      <c r="BO10" s="27">
        <v>2.4867246266666601E-2</v>
      </c>
      <c r="BP10" s="27">
        <v>3.1084057833333251E-2</v>
      </c>
      <c r="BQ10" s="27">
        <v>3.1084057833333251E-2</v>
      </c>
      <c r="BR10" s="27">
        <v>4.3517680966666562E-2</v>
      </c>
      <c r="BS10" s="27">
        <v>4.9734492533333202E-2</v>
      </c>
      <c r="BT10" s="27">
        <v>2.4867246266666601E-2</v>
      </c>
      <c r="BU10" s="27">
        <v>1.2433623133333301E-2</v>
      </c>
      <c r="BV10" s="27">
        <v>4.9734492533333202E-2</v>
      </c>
      <c r="BW10" s="27">
        <v>4.3517680966666562E-2</v>
      </c>
      <c r="BX10" s="27">
        <v>4.9734492533333202E-2</v>
      </c>
      <c r="BY10" s="27">
        <v>3.7300869399999902E-2</v>
      </c>
      <c r="BZ10" s="27">
        <v>1.2433623133333301E-2</v>
      </c>
      <c r="CA10" s="27">
        <v>3.7300869399999902E-2</v>
      </c>
      <c r="CB10" s="27">
        <v>3.592832658658001E-2</v>
      </c>
      <c r="CC10" s="33">
        <v>2.7664811471666608</v>
      </c>
    </row>
    <row r="11" spans="1:81" x14ac:dyDescent="0.25">
      <c r="A11" s="23">
        <v>10</v>
      </c>
      <c r="B11" s="25">
        <v>4.5</v>
      </c>
      <c r="C11" s="27">
        <v>0.2325735572</v>
      </c>
      <c r="D11" s="27">
        <v>0.2325735572</v>
      </c>
      <c r="E11" s="27">
        <v>0.1162867786</v>
      </c>
      <c r="F11" s="27">
        <v>0.2325735572</v>
      </c>
      <c r="G11" s="27">
        <v>0.17443016789999999</v>
      </c>
      <c r="H11" s="27">
        <v>0.1162867786</v>
      </c>
      <c r="I11" s="27">
        <v>0.14535847325000001</v>
      </c>
      <c r="J11" s="27">
        <v>0.14535847325000001</v>
      </c>
      <c r="K11" s="27">
        <v>0.1162867786</v>
      </c>
      <c r="L11" s="27">
        <v>0.1162867786</v>
      </c>
      <c r="M11" s="27">
        <v>0.17443016789999999</v>
      </c>
      <c r="N11" s="27">
        <v>0.1162867786</v>
      </c>
      <c r="O11" s="27">
        <v>0.2325735572</v>
      </c>
      <c r="P11" s="27">
        <v>0.14535847325000001</v>
      </c>
      <c r="Q11" s="27">
        <v>0.14535847325000001</v>
      </c>
      <c r="R11" s="27">
        <v>0.14535847325000001</v>
      </c>
      <c r="S11" s="27">
        <v>0.2325735572</v>
      </c>
      <c r="T11" s="27">
        <v>0.2325735572</v>
      </c>
      <c r="U11" s="27">
        <v>0.20350186255</v>
      </c>
      <c r="V11" s="27">
        <v>0.1162867786</v>
      </c>
      <c r="W11" s="27">
        <v>0.2325735572</v>
      </c>
      <c r="X11" s="27">
        <v>0.14535847325000001</v>
      </c>
      <c r="Y11" s="27">
        <v>0.17443016789999999</v>
      </c>
      <c r="Z11" s="27">
        <v>0.17443016789999999</v>
      </c>
      <c r="AA11" s="27">
        <v>0.20350186255</v>
      </c>
      <c r="AB11" s="27">
        <v>0.14535847325000001</v>
      </c>
      <c r="AC11" s="27">
        <v>0.2325735572</v>
      </c>
      <c r="AD11" s="27">
        <v>0.2325735572</v>
      </c>
      <c r="AE11" s="27">
        <v>0.1162867786</v>
      </c>
      <c r="AF11" s="27">
        <v>0.2325735572</v>
      </c>
      <c r="AG11" s="27">
        <v>0.2325735572</v>
      </c>
      <c r="AH11" s="27">
        <v>0.1162867786</v>
      </c>
      <c r="AI11" s="27">
        <v>0.17443016789999999</v>
      </c>
      <c r="AJ11" s="27">
        <v>8.7215083949999994E-2</v>
      </c>
      <c r="AK11" s="27">
        <v>0.1162867786</v>
      </c>
      <c r="AL11" s="27">
        <v>0.14535847325000001</v>
      </c>
      <c r="AM11" s="27">
        <v>0.14535847325000001</v>
      </c>
      <c r="AN11" s="27">
        <v>0.14535847325000001</v>
      </c>
      <c r="AO11" s="27">
        <v>0.17443016789999999</v>
      </c>
      <c r="AP11" s="27">
        <v>0.14535847325000001</v>
      </c>
      <c r="AQ11" s="27">
        <v>0.2325735572</v>
      </c>
      <c r="AR11" s="27">
        <v>0.2325735572</v>
      </c>
      <c r="AS11" s="27">
        <v>0.17443016789999999</v>
      </c>
      <c r="AT11" s="27">
        <v>8.7215083949999994E-2</v>
      </c>
      <c r="AU11" s="27">
        <v>8.7215083949999994E-2</v>
      </c>
      <c r="AV11" s="27">
        <v>0.1162867786</v>
      </c>
      <c r="AW11" s="27">
        <v>0.14535847325000001</v>
      </c>
      <c r="AX11" s="27">
        <v>0.2325735572</v>
      </c>
      <c r="AY11" s="27">
        <v>0.17443016789999999</v>
      </c>
      <c r="AZ11" s="27">
        <v>0.17443016789999999</v>
      </c>
      <c r="BA11" s="27">
        <v>0.20350186255</v>
      </c>
      <c r="BB11" s="27">
        <v>0.2325735572</v>
      </c>
      <c r="BC11" s="27">
        <v>0.14535847325000001</v>
      </c>
      <c r="BD11" s="27">
        <v>0.14535847325000001</v>
      </c>
      <c r="BE11" s="27">
        <v>0.20350186255</v>
      </c>
      <c r="BF11" s="27">
        <v>8.7215083949999994E-2</v>
      </c>
      <c r="BG11" s="27">
        <v>8.7215083949999994E-2</v>
      </c>
      <c r="BH11" s="27">
        <v>0.2325735572</v>
      </c>
      <c r="BI11" s="27">
        <v>0.17443016789999999</v>
      </c>
      <c r="BJ11" s="27">
        <v>0.1162867786</v>
      </c>
      <c r="BK11" s="27">
        <v>0.1162867786</v>
      </c>
      <c r="BL11" s="27">
        <v>0.2325735572</v>
      </c>
      <c r="BM11" s="27">
        <v>0.2325735572</v>
      </c>
      <c r="BN11" s="27">
        <v>0.2325735572</v>
      </c>
      <c r="BO11" s="27">
        <v>0.1162867786</v>
      </c>
      <c r="BP11" s="27">
        <v>0.14535847325000001</v>
      </c>
      <c r="BQ11" s="27">
        <v>0.14535847325000001</v>
      </c>
      <c r="BR11" s="27">
        <v>0.20350186255</v>
      </c>
      <c r="BS11" s="27">
        <v>0.2325735572</v>
      </c>
      <c r="BT11" s="27">
        <v>0.1162867786</v>
      </c>
      <c r="BU11" s="27">
        <v>5.8143389300000001E-2</v>
      </c>
      <c r="BV11" s="27">
        <v>0.2325735572</v>
      </c>
      <c r="BW11" s="27">
        <v>0.20350186255</v>
      </c>
      <c r="BX11" s="27">
        <v>0.2325735572</v>
      </c>
      <c r="BY11" s="27">
        <v>0.17443016789999999</v>
      </c>
      <c r="BZ11" s="27">
        <v>5.8143389300000001E-2</v>
      </c>
      <c r="CA11" s="27">
        <v>0.17443016789999999</v>
      </c>
      <c r="CB11" s="27">
        <v>0.16801174180844161</v>
      </c>
      <c r="CC11" s="33">
        <v>12.936904119250009</v>
      </c>
    </row>
    <row r="12" spans="1:81" x14ac:dyDescent="0.25">
      <c r="A12" s="23">
        <v>11</v>
      </c>
      <c r="B12" s="25">
        <v>5</v>
      </c>
      <c r="C12" s="27">
        <v>0.46134028826666801</v>
      </c>
      <c r="D12" s="27">
        <v>0.46134028826666801</v>
      </c>
      <c r="E12" s="27">
        <v>0.230670144133334</v>
      </c>
      <c r="F12" s="27">
        <v>0.46134028826666801</v>
      </c>
      <c r="G12" s="27">
        <v>0.34600521620000102</v>
      </c>
      <c r="H12" s="27">
        <v>0.230670144133334</v>
      </c>
      <c r="I12" s="27">
        <v>0.2883376801666675</v>
      </c>
      <c r="J12" s="27">
        <v>0.2883376801666675</v>
      </c>
      <c r="K12" s="27">
        <v>0.230670144133334</v>
      </c>
      <c r="L12" s="27">
        <v>0.230670144133334</v>
      </c>
      <c r="M12" s="27">
        <v>0.34600521620000102</v>
      </c>
      <c r="N12" s="27">
        <v>0.230670144133334</v>
      </c>
      <c r="O12" s="27">
        <v>0.46134028826666801</v>
      </c>
      <c r="P12" s="27">
        <v>0.2883376801666675</v>
      </c>
      <c r="Q12" s="27">
        <v>0.2883376801666675</v>
      </c>
      <c r="R12" s="27">
        <v>0.2883376801666675</v>
      </c>
      <c r="S12" s="27">
        <v>0.46134028826666801</v>
      </c>
      <c r="T12" s="27">
        <v>0.46134028826666801</v>
      </c>
      <c r="U12" s="27">
        <v>0.40367275223333449</v>
      </c>
      <c r="V12" s="27">
        <v>0.230670144133334</v>
      </c>
      <c r="W12" s="27">
        <v>0.46134028826666801</v>
      </c>
      <c r="X12" s="27">
        <v>0.2883376801666675</v>
      </c>
      <c r="Y12" s="27">
        <v>0.34600521620000102</v>
      </c>
      <c r="Z12" s="27">
        <v>0.34600521620000102</v>
      </c>
      <c r="AA12" s="27">
        <v>0.40367275223333449</v>
      </c>
      <c r="AB12" s="27">
        <v>0.2883376801666675</v>
      </c>
      <c r="AC12" s="27">
        <v>0.46134028826666801</v>
      </c>
      <c r="AD12" s="27">
        <v>0.46134028826666801</v>
      </c>
      <c r="AE12" s="27">
        <v>0.230670144133334</v>
      </c>
      <c r="AF12" s="27">
        <v>0.46134028826666801</v>
      </c>
      <c r="AG12" s="27">
        <v>0.46134028826666801</v>
      </c>
      <c r="AH12" s="27">
        <v>0.230670144133334</v>
      </c>
      <c r="AI12" s="27">
        <v>0.34600521620000102</v>
      </c>
      <c r="AJ12" s="27">
        <v>0.17300260810000051</v>
      </c>
      <c r="AK12" s="27">
        <v>0.230670144133334</v>
      </c>
      <c r="AL12" s="27">
        <v>0.2883376801666675</v>
      </c>
      <c r="AM12" s="27">
        <v>0.2883376801666675</v>
      </c>
      <c r="AN12" s="27">
        <v>0.2883376801666675</v>
      </c>
      <c r="AO12" s="27">
        <v>0.34600521620000102</v>
      </c>
      <c r="AP12" s="27">
        <v>0.2883376801666675</v>
      </c>
      <c r="AQ12" s="27">
        <v>0.46134028826666801</v>
      </c>
      <c r="AR12" s="27">
        <v>0.46134028826666801</v>
      </c>
      <c r="AS12" s="27">
        <v>0.34600521620000102</v>
      </c>
      <c r="AT12" s="27">
        <v>0.17300260810000051</v>
      </c>
      <c r="AU12" s="27">
        <v>0.17300260810000051</v>
      </c>
      <c r="AV12" s="27">
        <v>0.230670144133334</v>
      </c>
      <c r="AW12" s="27">
        <v>0.2883376801666675</v>
      </c>
      <c r="AX12" s="27">
        <v>0.46134028826666801</v>
      </c>
      <c r="AY12" s="27">
        <v>0.34600521620000102</v>
      </c>
      <c r="AZ12" s="27">
        <v>0.34600521620000102</v>
      </c>
      <c r="BA12" s="27">
        <v>0.40367275223333449</v>
      </c>
      <c r="BB12" s="27">
        <v>0.46134028826666801</v>
      </c>
      <c r="BC12" s="27">
        <v>0.2883376801666675</v>
      </c>
      <c r="BD12" s="27">
        <v>0.2883376801666675</v>
      </c>
      <c r="BE12" s="27">
        <v>0.40367275223333449</v>
      </c>
      <c r="BF12" s="27">
        <v>0.17300260810000051</v>
      </c>
      <c r="BG12" s="27">
        <v>0.17300260810000051</v>
      </c>
      <c r="BH12" s="27">
        <v>0.46134028826666801</v>
      </c>
      <c r="BI12" s="27">
        <v>0.34600521620000102</v>
      </c>
      <c r="BJ12" s="27">
        <v>0.230670144133334</v>
      </c>
      <c r="BK12" s="27">
        <v>0.230670144133334</v>
      </c>
      <c r="BL12" s="27">
        <v>0.46134028826666801</v>
      </c>
      <c r="BM12" s="27">
        <v>0.46134028826666801</v>
      </c>
      <c r="BN12" s="27">
        <v>0.46134028826666801</v>
      </c>
      <c r="BO12" s="27">
        <v>0.230670144133334</v>
      </c>
      <c r="BP12" s="27">
        <v>0.2883376801666675</v>
      </c>
      <c r="BQ12" s="27">
        <v>0.2883376801666675</v>
      </c>
      <c r="BR12" s="27">
        <v>0.40367275223333449</v>
      </c>
      <c r="BS12" s="27">
        <v>0.46134028826666801</v>
      </c>
      <c r="BT12" s="27">
        <v>0.230670144133334</v>
      </c>
      <c r="BU12" s="27">
        <v>0.115335072066667</v>
      </c>
      <c r="BV12" s="27">
        <v>0.46134028826666801</v>
      </c>
      <c r="BW12" s="27">
        <v>0.40367275223333449</v>
      </c>
      <c r="BX12" s="27">
        <v>0.46134028826666801</v>
      </c>
      <c r="BY12" s="27">
        <v>0.34600521620000102</v>
      </c>
      <c r="BZ12" s="27">
        <v>0.115335072066667</v>
      </c>
      <c r="CA12" s="27">
        <v>0.34600521620000102</v>
      </c>
      <c r="CB12" s="27">
        <v>0.33327342253030412</v>
      </c>
      <c r="CC12" s="33">
        <v>25.662053534833419</v>
      </c>
    </row>
    <row r="13" spans="1:81" x14ac:dyDescent="0.25">
      <c r="A13" s="23">
        <v>12</v>
      </c>
      <c r="B13" s="25">
        <v>5.5</v>
      </c>
      <c r="C13" s="27">
        <v>0.74185797653333196</v>
      </c>
      <c r="D13" s="27">
        <v>0.74185797653333196</v>
      </c>
      <c r="E13" s="27">
        <v>0.37092898826666598</v>
      </c>
      <c r="F13" s="27">
        <v>0.74185797653333196</v>
      </c>
      <c r="G13" s="27">
        <v>0.55639348239999897</v>
      </c>
      <c r="H13" s="27">
        <v>0.37092898826666598</v>
      </c>
      <c r="I13" s="27">
        <v>0.46366123533333248</v>
      </c>
      <c r="J13" s="27">
        <v>0.46366123533333248</v>
      </c>
      <c r="K13" s="27">
        <v>0.37092898826666598</v>
      </c>
      <c r="L13" s="27">
        <v>0.37092898826666598</v>
      </c>
      <c r="M13" s="27">
        <v>0.55639348239999897</v>
      </c>
      <c r="N13" s="27">
        <v>0.37092898826666598</v>
      </c>
      <c r="O13" s="27">
        <v>0.74185797653333196</v>
      </c>
      <c r="P13" s="27">
        <v>0.46366123533333248</v>
      </c>
      <c r="Q13" s="27">
        <v>0.46366123533333248</v>
      </c>
      <c r="R13" s="27">
        <v>0.46366123533333248</v>
      </c>
      <c r="S13" s="27">
        <v>0.74185797653333196</v>
      </c>
      <c r="T13" s="27">
        <v>0.74185797653333196</v>
      </c>
      <c r="U13" s="27">
        <v>0.64912572946666547</v>
      </c>
      <c r="V13" s="27">
        <v>0.37092898826666598</v>
      </c>
      <c r="W13" s="27">
        <v>0.74185797653333196</v>
      </c>
      <c r="X13" s="27">
        <v>0.46366123533333248</v>
      </c>
      <c r="Y13" s="27">
        <v>0.55639348239999897</v>
      </c>
      <c r="Z13" s="27">
        <v>0.55639348239999897</v>
      </c>
      <c r="AA13" s="27">
        <v>0.64912572946666547</v>
      </c>
      <c r="AB13" s="27">
        <v>0.46366123533333248</v>
      </c>
      <c r="AC13" s="27">
        <v>0.74185797653333196</v>
      </c>
      <c r="AD13" s="27">
        <v>0.74185797653333196</v>
      </c>
      <c r="AE13" s="27">
        <v>0.37092898826666598</v>
      </c>
      <c r="AF13" s="27">
        <v>0.74185797653333196</v>
      </c>
      <c r="AG13" s="27">
        <v>0.74185797653333196</v>
      </c>
      <c r="AH13" s="27">
        <v>0.37092898826666598</v>
      </c>
      <c r="AI13" s="27">
        <v>0.55639348239999897</v>
      </c>
      <c r="AJ13" s="27">
        <v>0.27819674119999949</v>
      </c>
      <c r="AK13" s="27">
        <v>0.37092898826666598</v>
      </c>
      <c r="AL13" s="27">
        <v>0.46366123533333248</v>
      </c>
      <c r="AM13" s="27">
        <v>0.46366123533333248</v>
      </c>
      <c r="AN13" s="27">
        <v>0.46366123533333248</v>
      </c>
      <c r="AO13" s="27">
        <v>0.55639348239999897</v>
      </c>
      <c r="AP13" s="27">
        <v>0.46366123533333248</v>
      </c>
      <c r="AQ13" s="27">
        <v>0.74185797653333196</v>
      </c>
      <c r="AR13" s="27">
        <v>0.74185797653333196</v>
      </c>
      <c r="AS13" s="27">
        <v>0.55639348239999897</v>
      </c>
      <c r="AT13" s="27">
        <v>0.27819674119999949</v>
      </c>
      <c r="AU13" s="27">
        <v>0.27819674119999949</v>
      </c>
      <c r="AV13" s="27">
        <v>0.37092898826666598</v>
      </c>
      <c r="AW13" s="27">
        <v>0.46366123533333248</v>
      </c>
      <c r="AX13" s="27">
        <v>0.74185797653333196</v>
      </c>
      <c r="AY13" s="27">
        <v>0.55639348239999897</v>
      </c>
      <c r="AZ13" s="27">
        <v>0.55639348239999897</v>
      </c>
      <c r="BA13" s="27">
        <v>0.64912572946666547</v>
      </c>
      <c r="BB13" s="27">
        <v>0.74185797653333196</v>
      </c>
      <c r="BC13" s="27">
        <v>0.46366123533333248</v>
      </c>
      <c r="BD13" s="27">
        <v>0.46366123533333248</v>
      </c>
      <c r="BE13" s="27">
        <v>0.64912572946666547</v>
      </c>
      <c r="BF13" s="27">
        <v>0.27819674119999949</v>
      </c>
      <c r="BG13" s="27">
        <v>0.27819674119999949</v>
      </c>
      <c r="BH13" s="27">
        <v>0.74185797653333196</v>
      </c>
      <c r="BI13" s="27">
        <v>0.55639348239999897</v>
      </c>
      <c r="BJ13" s="27">
        <v>0.37092898826666598</v>
      </c>
      <c r="BK13" s="27">
        <v>0.37092898826666598</v>
      </c>
      <c r="BL13" s="27">
        <v>0.74185797653333196</v>
      </c>
      <c r="BM13" s="27">
        <v>0.74185797653333196</v>
      </c>
      <c r="BN13" s="27">
        <v>0.74185797653333196</v>
      </c>
      <c r="BO13" s="27">
        <v>0.37092898826666598</v>
      </c>
      <c r="BP13" s="27">
        <v>0.46366123533333248</v>
      </c>
      <c r="BQ13" s="27">
        <v>0.46366123533333248</v>
      </c>
      <c r="BR13" s="27">
        <v>0.64912572946666547</v>
      </c>
      <c r="BS13" s="27">
        <v>0.74185797653333196</v>
      </c>
      <c r="BT13" s="27">
        <v>0.37092898826666598</v>
      </c>
      <c r="BU13" s="27">
        <v>0.18546449413333299</v>
      </c>
      <c r="BV13" s="27">
        <v>0.74185797653333196</v>
      </c>
      <c r="BW13" s="27">
        <v>0.64912572946666547</v>
      </c>
      <c r="BX13" s="27">
        <v>0.74185797653333196</v>
      </c>
      <c r="BY13" s="27">
        <v>0.55639348239999897</v>
      </c>
      <c r="BZ13" s="27">
        <v>0.18546449413333299</v>
      </c>
      <c r="CA13" s="27">
        <v>0.55639348239999897</v>
      </c>
      <c r="CB13" s="27">
        <v>0.53592012915151432</v>
      </c>
      <c r="CC13" s="33">
        <v>41.265849944666613</v>
      </c>
    </row>
    <row r="14" spans="1:81" x14ac:dyDescent="0.25">
      <c r="A14" s="23">
        <v>13</v>
      </c>
      <c r="B14" s="25">
        <v>6</v>
      </c>
      <c r="C14" s="27">
        <v>1.0479185926666681</v>
      </c>
      <c r="D14" s="27">
        <v>1.0479185926666681</v>
      </c>
      <c r="E14" s="27">
        <v>0.52395929633333405</v>
      </c>
      <c r="F14" s="27">
        <v>1.0479185926666681</v>
      </c>
      <c r="G14" s="27">
        <v>0.78593894450000112</v>
      </c>
      <c r="H14" s="27">
        <v>0.52395929633333405</v>
      </c>
      <c r="I14" s="27">
        <v>0.65494912041666753</v>
      </c>
      <c r="J14" s="27">
        <v>0.65494912041666753</v>
      </c>
      <c r="K14" s="27">
        <v>0.52395929633333405</v>
      </c>
      <c r="L14" s="27">
        <v>0.52395929633333405</v>
      </c>
      <c r="M14" s="27">
        <v>0.78593894450000112</v>
      </c>
      <c r="N14" s="27">
        <v>0.52395929633333405</v>
      </c>
      <c r="O14" s="27">
        <v>1.0479185926666681</v>
      </c>
      <c r="P14" s="27">
        <v>0.65494912041666753</v>
      </c>
      <c r="Q14" s="27">
        <v>0.65494912041666753</v>
      </c>
      <c r="R14" s="27">
        <v>0.65494912041666753</v>
      </c>
      <c r="S14" s="27">
        <v>1.0479185926666681</v>
      </c>
      <c r="T14" s="27">
        <v>1.0479185926666681</v>
      </c>
      <c r="U14" s="27">
        <v>0.91692876858333461</v>
      </c>
      <c r="V14" s="27">
        <v>0.52395929633333405</v>
      </c>
      <c r="W14" s="27">
        <v>1.0479185926666681</v>
      </c>
      <c r="X14" s="27">
        <v>0.65494912041666753</v>
      </c>
      <c r="Y14" s="27">
        <v>0.78593894450000112</v>
      </c>
      <c r="Z14" s="27">
        <v>0.78593894450000112</v>
      </c>
      <c r="AA14" s="27">
        <v>0.91692876858333461</v>
      </c>
      <c r="AB14" s="27">
        <v>0.65494912041666753</v>
      </c>
      <c r="AC14" s="27">
        <v>1.0479185926666681</v>
      </c>
      <c r="AD14" s="27">
        <v>1.0479185926666681</v>
      </c>
      <c r="AE14" s="27">
        <v>0.52395929633333405</v>
      </c>
      <c r="AF14" s="27">
        <v>1.0479185926666681</v>
      </c>
      <c r="AG14" s="27">
        <v>1.0479185926666681</v>
      </c>
      <c r="AH14" s="27">
        <v>0.52395929633333405</v>
      </c>
      <c r="AI14" s="27">
        <v>0.78593894450000112</v>
      </c>
      <c r="AJ14" s="27">
        <v>0.39296947225000062</v>
      </c>
      <c r="AK14" s="27">
        <v>0.52395929633333405</v>
      </c>
      <c r="AL14" s="27">
        <v>0.65494912041666753</v>
      </c>
      <c r="AM14" s="27">
        <v>0.65494912041666753</v>
      </c>
      <c r="AN14" s="27">
        <v>0.65494912041666753</v>
      </c>
      <c r="AO14" s="27">
        <v>0.78593894450000112</v>
      </c>
      <c r="AP14" s="27">
        <v>0.65494912041666753</v>
      </c>
      <c r="AQ14" s="27">
        <v>1.0479185926666681</v>
      </c>
      <c r="AR14" s="27">
        <v>1.0479185926666681</v>
      </c>
      <c r="AS14" s="27">
        <v>0.78593894450000112</v>
      </c>
      <c r="AT14" s="27">
        <v>0.39296947225000062</v>
      </c>
      <c r="AU14" s="27">
        <v>0.39296947225000062</v>
      </c>
      <c r="AV14" s="27">
        <v>0.52395929633333405</v>
      </c>
      <c r="AW14" s="27">
        <v>0.65494912041666753</v>
      </c>
      <c r="AX14" s="27">
        <v>1.0479185926666681</v>
      </c>
      <c r="AY14" s="27">
        <v>0.78593894450000112</v>
      </c>
      <c r="AZ14" s="27">
        <v>0.78593894450000112</v>
      </c>
      <c r="BA14" s="27">
        <v>0.91692876858333461</v>
      </c>
      <c r="BB14" s="27">
        <v>1.0479185926666681</v>
      </c>
      <c r="BC14" s="27">
        <v>0.65494912041666753</v>
      </c>
      <c r="BD14" s="27">
        <v>0.65494912041666753</v>
      </c>
      <c r="BE14" s="27">
        <v>0.91692876858333461</v>
      </c>
      <c r="BF14" s="27">
        <v>0.39296947225000062</v>
      </c>
      <c r="BG14" s="27">
        <v>0.39296947225000062</v>
      </c>
      <c r="BH14" s="27">
        <v>1.0479185926666681</v>
      </c>
      <c r="BI14" s="27">
        <v>0.78593894450000112</v>
      </c>
      <c r="BJ14" s="27">
        <v>0.52395929633333405</v>
      </c>
      <c r="BK14" s="27">
        <v>0.52395929633333405</v>
      </c>
      <c r="BL14" s="27">
        <v>1.0479185926666681</v>
      </c>
      <c r="BM14" s="27">
        <v>1.0479185926666681</v>
      </c>
      <c r="BN14" s="27">
        <v>1.0479185926666681</v>
      </c>
      <c r="BO14" s="27">
        <v>0.52395929633333405</v>
      </c>
      <c r="BP14" s="27">
        <v>0.65494912041666753</v>
      </c>
      <c r="BQ14" s="27">
        <v>0.65494912041666753</v>
      </c>
      <c r="BR14" s="27">
        <v>0.91692876858333461</v>
      </c>
      <c r="BS14" s="27">
        <v>1.0479185926666681</v>
      </c>
      <c r="BT14" s="27">
        <v>0.52395929633333405</v>
      </c>
      <c r="BU14" s="27">
        <v>0.26197964816666702</v>
      </c>
      <c r="BV14" s="27">
        <v>1.0479185926666681</v>
      </c>
      <c r="BW14" s="27">
        <v>0.91692876858333461</v>
      </c>
      <c r="BX14" s="27">
        <v>1.0479185926666681</v>
      </c>
      <c r="BY14" s="27">
        <v>0.78593894450000112</v>
      </c>
      <c r="BZ14" s="27">
        <v>0.26197964816666702</v>
      </c>
      <c r="CA14" s="27">
        <v>0.78593894450000112</v>
      </c>
      <c r="CB14" s="27">
        <v>0.75701911320887538</v>
      </c>
      <c r="CC14" s="33">
        <v>58.290471717083413</v>
      </c>
    </row>
    <row r="15" spans="1:81" x14ac:dyDescent="0.25">
      <c r="A15" s="23">
        <v>14</v>
      </c>
      <c r="B15" s="25">
        <v>6.5</v>
      </c>
      <c r="C15" s="27">
        <v>1.357741167733332</v>
      </c>
      <c r="D15" s="27">
        <v>1.357741167733332</v>
      </c>
      <c r="E15" s="27">
        <v>0.67887058386666599</v>
      </c>
      <c r="F15" s="27">
        <v>1.357741167733332</v>
      </c>
      <c r="G15" s="27">
        <v>1.018305875799999</v>
      </c>
      <c r="H15" s="27">
        <v>0.67887058386666599</v>
      </c>
      <c r="I15" s="27">
        <v>0.84858822983333249</v>
      </c>
      <c r="J15" s="27">
        <v>0.84858822983333249</v>
      </c>
      <c r="K15" s="27">
        <v>0.67887058386666599</v>
      </c>
      <c r="L15" s="27">
        <v>0.67887058386666599</v>
      </c>
      <c r="M15" s="27">
        <v>1.018305875799999</v>
      </c>
      <c r="N15" s="27">
        <v>0.67887058386666599</v>
      </c>
      <c r="O15" s="27">
        <v>1.357741167733332</v>
      </c>
      <c r="P15" s="27">
        <v>0.84858822983333249</v>
      </c>
      <c r="Q15" s="27">
        <v>0.84858822983333249</v>
      </c>
      <c r="R15" s="27">
        <v>0.84858822983333249</v>
      </c>
      <c r="S15" s="27">
        <v>1.357741167733332</v>
      </c>
      <c r="T15" s="27">
        <v>1.357741167733332</v>
      </c>
      <c r="U15" s="27">
        <v>1.188023521766665</v>
      </c>
      <c r="V15" s="27">
        <v>0.67887058386666599</v>
      </c>
      <c r="W15" s="27">
        <v>1.357741167733332</v>
      </c>
      <c r="X15" s="27">
        <v>0.84858822983333249</v>
      </c>
      <c r="Y15" s="27">
        <v>1.018305875799999</v>
      </c>
      <c r="Z15" s="27">
        <v>1.018305875799999</v>
      </c>
      <c r="AA15" s="27">
        <v>1.188023521766665</v>
      </c>
      <c r="AB15" s="27">
        <v>0.84858822983333249</v>
      </c>
      <c r="AC15" s="27">
        <v>1.357741167733332</v>
      </c>
      <c r="AD15" s="27">
        <v>1.357741167733332</v>
      </c>
      <c r="AE15" s="27">
        <v>0.67887058386666599</v>
      </c>
      <c r="AF15" s="27">
        <v>1.357741167733332</v>
      </c>
      <c r="AG15" s="27">
        <v>1.357741167733332</v>
      </c>
      <c r="AH15" s="27">
        <v>0.67887058386666599</v>
      </c>
      <c r="AI15" s="27">
        <v>1.018305875799999</v>
      </c>
      <c r="AJ15" s="27">
        <v>0.50915293789999949</v>
      </c>
      <c r="AK15" s="27">
        <v>0.67887058386666599</v>
      </c>
      <c r="AL15" s="27">
        <v>0.84858822983333249</v>
      </c>
      <c r="AM15" s="27">
        <v>0.84858822983333249</v>
      </c>
      <c r="AN15" s="27">
        <v>0.84858822983333249</v>
      </c>
      <c r="AO15" s="27">
        <v>1.018305875799999</v>
      </c>
      <c r="AP15" s="27">
        <v>0.84858822983333249</v>
      </c>
      <c r="AQ15" s="27">
        <v>1.357741167733332</v>
      </c>
      <c r="AR15" s="27">
        <v>1.357741167733332</v>
      </c>
      <c r="AS15" s="27">
        <v>1.018305875799999</v>
      </c>
      <c r="AT15" s="27">
        <v>0.50915293789999949</v>
      </c>
      <c r="AU15" s="27">
        <v>0.50915293789999949</v>
      </c>
      <c r="AV15" s="27">
        <v>0.67887058386666599</v>
      </c>
      <c r="AW15" s="27">
        <v>0.84858822983333249</v>
      </c>
      <c r="AX15" s="27">
        <v>1.357741167733332</v>
      </c>
      <c r="AY15" s="27">
        <v>1.018305875799999</v>
      </c>
      <c r="AZ15" s="27">
        <v>1.018305875799999</v>
      </c>
      <c r="BA15" s="27">
        <v>1.188023521766665</v>
      </c>
      <c r="BB15" s="27">
        <v>1.357741167733332</v>
      </c>
      <c r="BC15" s="27">
        <v>0.84858822983333249</v>
      </c>
      <c r="BD15" s="27">
        <v>0.84858822983333249</v>
      </c>
      <c r="BE15" s="27">
        <v>1.188023521766665</v>
      </c>
      <c r="BF15" s="27">
        <v>0.50915293789999949</v>
      </c>
      <c r="BG15" s="27">
        <v>0.50915293789999949</v>
      </c>
      <c r="BH15" s="27">
        <v>1.357741167733332</v>
      </c>
      <c r="BI15" s="27">
        <v>1.018305875799999</v>
      </c>
      <c r="BJ15" s="27">
        <v>0.67887058386666599</v>
      </c>
      <c r="BK15" s="27">
        <v>0.67887058386666599</v>
      </c>
      <c r="BL15" s="27">
        <v>1.357741167733332</v>
      </c>
      <c r="BM15" s="27">
        <v>1.357741167733332</v>
      </c>
      <c r="BN15" s="27">
        <v>1.357741167733332</v>
      </c>
      <c r="BO15" s="27">
        <v>0.67887058386666599</v>
      </c>
      <c r="BP15" s="27">
        <v>0.84858822983333249</v>
      </c>
      <c r="BQ15" s="27">
        <v>0.84858822983333249</v>
      </c>
      <c r="BR15" s="27">
        <v>1.188023521766665</v>
      </c>
      <c r="BS15" s="27">
        <v>1.357741167733332</v>
      </c>
      <c r="BT15" s="27">
        <v>0.67887058386666599</v>
      </c>
      <c r="BU15" s="27">
        <v>0.33943529193333299</v>
      </c>
      <c r="BV15" s="27">
        <v>1.357741167733332</v>
      </c>
      <c r="BW15" s="27">
        <v>1.188023521766665</v>
      </c>
      <c r="BX15" s="27">
        <v>1.357741167733332</v>
      </c>
      <c r="BY15" s="27">
        <v>1.018305875799999</v>
      </c>
      <c r="BZ15" s="27">
        <v>0.33943529193333299</v>
      </c>
      <c r="CA15" s="27">
        <v>1.018305875799999</v>
      </c>
      <c r="CB15" s="27">
        <v>0.98083574617099456</v>
      </c>
      <c r="CC15" s="33">
        <v>75.524352455166579</v>
      </c>
    </row>
    <row r="16" spans="1:81" x14ac:dyDescent="0.25">
      <c r="A16" s="23">
        <v>15</v>
      </c>
      <c r="B16" s="25">
        <v>7</v>
      </c>
      <c r="C16" s="27">
        <v>1.6659594548000001</v>
      </c>
      <c r="D16" s="27">
        <v>1.6659594548000001</v>
      </c>
      <c r="E16" s="27">
        <v>0.83297972740000004</v>
      </c>
      <c r="F16" s="27">
        <v>1.6659594548000001</v>
      </c>
      <c r="G16" s="27">
        <v>1.2494695911</v>
      </c>
      <c r="H16" s="27">
        <v>0.83297972740000004</v>
      </c>
      <c r="I16" s="27">
        <v>1.0412246592500001</v>
      </c>
      <c r="J16" s="27">
        <v>1.0412246592500001</v>
      </c>
      <c r="K16" s="27">
        <v>0.83297972740000004</v>
      </c>
      <c r="L16" s="27">
        <v>0.83297972740000004</v>
      </c>
      <c r="M16" s="27">
        <v>1.2494695911</v>
      </c>
      <c r="N16" s="27">
        <v>0.83297972740000004</v>
      </c>
      <c r="O16" s="27">
        <v>1.6659594548000001</v>
      </c>
      <c r="P16" s="27">
        <v>1.0412246592500001</v>
      </c>
      <c r="Q16" s="27">
        <v>1.0412246592500001</v>
      </c>
      <c r="R16" s="27">
        <v>1.0412246592500001</v>
      </c>
      <c r="S16" s="27">
        <v>1.6659594548000001</v>
      </c>
      <c r="T16" s="27">
        <v>1.6659594548000001</v>
      </c>
      <c r="U16" s="27">
        <v>1.4577145229499999</v>
      </c>
      <c r="V16" s="27">
        <v>0.83297972740000004</v>
      </c>
      <c r="W16" s="27">
        <v>1.6659594548000001</v>
      </c>
      <c r="X16" s="27">
        <v>1.0412246592500001</v>
      </c>
      <c r="Y16" s="27">
        <v>1.2494695911</v>
      </c>
      <c r="Z16" s="27">
        <v>1.2494695911</v>
      </c>
      <c r="AA16" s="27">
        <v>1.4577145229499999</v>
      </c>
      <c r="AB16" s="27">
        <v>1.0412246592500001</v>
      </c>
      <c r="AC16" s="27">
        <v>1.6659594548000001</v>
      </c>
      <c r="AD16" s="27">
        <v>1.6659594548000001</v>
      </c>
      <c r="AE16" s="27">
        <v>0.83297972740000004</v>
      </c>
      <c r="AF16" s="27">
        <v>1.6659594548000001</v>
      </c>
      <c r="AG16" s="27">
        <v>1.6659594548000001</v>
      </c>
      <c r="AH16" s="27">
        <v>0.83297972740000004</v>
      </c>
      <c r="AI16" s="27">
        <v>1.2494695911</v>
      </c>
      <c r="AJ16" s="27">
        <v>0.62473479555</v>
      </c>
      <c r="AK16" s="27">
        <v>0.83297972740000004</v>
      </c>
      <c r="AL16" s="27">
        <v>1.0412246592500001</v>
      </c>
      <c r="AM16" s="27">
        <v>1.0412246592500001</v>
      </c>
      <c r="AN16" s="27">
        <v>1.0412246592500001</v>
      </c>
      <c r="AO16" s="27">
        <v>1.2494695911</v>
      </c>
      <c r="AP16" s="27">
        <v>1.0412246592500001</v>
      </c>
      <c r="AQ16" s="27">
        <v>1.6659594548000001</v>
      </c>
      <c r="AR16" s="27">
        <v>1.6659594548000001</v>
      </c>
      <c r="AS16" s="27">
        <v>1.2494695911</v>
      </c>
      <c r="AT16" s="27">
        <v>0.62473479555</v>
      </c>
      <c r="AU16" s="27">
        <v>0.62473479555</v>
      </c>
      <c r="AV16" s="27">
        <v>0.83297972740000004</v>
      </c>
      <c r="AW16" s="27">
        <v>1.0412246592500001</v>
      </c>
      <c r="AX16" s="27">
        <v>1.6659594548000001</v>
      </c>
      <c r="AY16" s="27">
        <v>1.2494695911</v>
      </c>
      <c r="AZ16" s="27">
        <v>1.2494695911</v>
      </c>
      <c r="BA16" s="27">
        <v>1.4577145229499999</v>
      </c>
      <c r="BB16" s="27">
        <v>1.6659594548000001</v>
      </c>
      <c r="BC16" s="27">
        <v>1.0412246592500001</v>
      </c>
      <c r="BD16" s="27">
        <v>1.0412246592500001</v>
      </c>
      <c r="BE16" s="27">
        <v>1.4577145229499999</v>
      </c>
      <c r="BF16" s="27">
        <v>0.62473479555</v>
      </c>
      <c r="BG16" s="27">
        <v>0.62473479555</v>
      </c>
      <c r="BH16" s="27">
        <v>1.6659594548000001</v>
      </c>
      <c r="BI16" s="27">
        <v>1.2494695911</v>
      </c>
      <c r="BJ16" s="27">
        <v>0.83297972740000004</v>
      </c>
      <c r="BK16" s="27">
        <v>0.83297972740000004</v>
      </c>
      <c r="BL16" s="27">
        <v>1.6659594548000001</v>
      </c>
      <c r="BM16" s="27">
        <v>1.6659594548000001</v>
      </c>
      <c r="BN16" s="27">
        <v>1.6659594548000001</v>
      </c>
      <c r="BO16" s="27">
        <v>0.83297972740000004</v>
      </c>
      <c r="BP16" s="27">
        <v>1.0412246592500001</v>
      </c>
      <c r="BQ16" s="27">
        <v>1.0412246592500001</v>
      </c>
      <c r="BR16" s="27">
        <v>1.4577145229499999</v>
      </c>
      <c r="BS16" s="27">
        <v>1.6659594548000001</v>
      </c>
      <c r="BT16" s="27">
        <v>0.83297972740000004</v>
      </c>
      <c r="BU16" s="27">
        <v>0.41648986370000002</v>
      </c>
      <c r="BV16" s="27">
        <v>1.6659594548000001</v>
      </c>
      <c r="BW16" s="27">
        <v>1.4577145229499999</v>
      </c>
      <c r="BX16" s="27">
        <v>1.6659594548000001</v>
      </c>
      <c r="BY16" s="27">
        <v>1.2494695911</v>
      </c>
      <c r="BZ16" s="27">
        <v>0.41648986370000002</v>
      </c>
      <c r="CA16" s="27">
        <v>1.2494695911</v>
      </c>
      <c r="CB16" s="27">
        <v>1.2034934373149351</v>
      </c>
      <c r="CC16" s="33">
        <v>92.668994673250026</v>
      </c>
    </row>
    <row r="17" spans="1:81" x14ac:dyDescent="0.25">
      <c r="A17" s="23">
        <v>16</v>
      </c>
      <c r="B17" s="25">
        <v>7.5</v>
      </c>
      <c r="C17" s="27">
        <v>1.9746260899999999</v>
      </c>
      <c r="D17" s="27">
        <v>1.9746260899999999</v>
      </c>
      <c r="E17" s="27">
        <v>0.98731304499999994</v>
      </c>
      <c r="F17" s="27">
        <v>1.9746260899999999</v>
      </c>
      <c r="G17" s="27">
        <v>1.4809695675000001</v>
      </c>
      <c r="H17" s="27">
        <v>0.98731304499999994</v>
      </c>
      <c r="I17" s="27">
        <v>1.23414130625</v>
      </c>
      <c r="J17" s="27">
        <v>1.23414130625</v>
      </c>
      <c r="K17" s="27">
        <v>0.98731304499999994</v>
      </c>
      <c r="L17" s="27">
        <v>0.98731304499999994</v>
      </c>
      <c r="M17" s="27">
        <v>1.4809695675000001</v>
      </c>
      <c r="N17" s="27">
        <v>0.98731304499999994</v>
      </c>
      <c r="O17" s="27">
        <v>1.9746260899999999</v>
      </c>
      <c r="P17" s="27">
        <v>1.23414130625</v>
      </c>
      <c r="Q17" s="27">
        <v>1.23414130625</v>
      </c>
      <c r="R17" s="27">
        <v>1.23414130625</v>
      </c>
      <c r="S17" s="27">
        <v>1.9746260899999999</v>
      </c>
      <c r="T17" s="27">
        <v>1.9746260899999999</v>
      </c>
      <c r="U17" s="27">
        <v>1.72779782875</v>
      </c>
      <c r="V17" s="27">
        <v>0.98731304499999994</v>
      </c>
      <c r="W17" s="27">
        <v>1.9746260899999999</v>
      </c>
      <c r="X17" s="27">
        <v>1.23414130625</v>
      </c>
      <c r="Y17" s="27">
        <v>1.4809695675000001</v>
      </c>
      <c r="Z17" s="27">
        <v>1.4809695675000001</v>
      </c>
      <c r="AA17" s="27">
        <v>1.72779782875</v>
      </c>
      <c r="AB17" s="27">
        <v>1.23414130625</v>
      </c>
      <c r="AC17" s="27">
        <v>1.9746260899999999</v>
      </c>
      <c r="AD17" s="27">
        <v>1.9746260899999999</v>
      </c>
      <c r="AE17" s="27">
        <v>0.98731304499999994</v>
      </c>
      <c r="AF17" s="27">
        <v>1.9746260899999999</v>
      </c>
      <c r="AG17" s="27">
        <v>1.9746260899999999</v>
      </c>
      <c r="AH17" s="27">
        <v>0.98731304499999994</v>
      </c>
      <c r="AI17" s="27">
        <v>1.4809695675000001</v>
      </c>
      <c r="AJ17" s="27">
        <v>0.74048478374999993</v>
      </c>
      <c r="AK17" s="27">
        <v>0.98731304499999994</v>
      </c>
      <c r="AL17" s="27">
        <v>1.23414130625</v>
      </c>
      <c r="AM17" s="27">
        <v>1.23414130625</v>
      </c>
      <c r="AN17" s="27">
        <v>1.23414130625</v>
      </c>
      <c r="AO17" s="27">
        <v>1.4809695675000001</v>
      </c>
      <c r="AP17" s="27">
        <v>1.23414130625</v>
      </c>
      <c r="AQ17" s="27">
        <v>1.9746260899999999</v>
      </c>
      <c r="AR17" s="27">
        <v>1.9746260899999999</v>
      </c>
      <c r="AS17" s="27">
        <v>1.4809695675000001</v>
      </c>
      <c r="AT17" s="27">
        <v>0.74048478374999993</v>
      </c>
      <c r="AU17" s="27">
        <v>0.74048478374999993</v>
      </c>
      <c r="AV17" s="27">
        <v>0.98731304499999994</v>
      </c>
      <c r="AW17" s="27">
        <v>1.23414130625</v>
      </c>
      <c r="AX17" s="27">
        <v>1.9746260899999999</v>
      </c>
      <c r="AY17" s="27">
        <v>1.4809695675000001</v>
      </c>
      <c r="AZ17" s="27">
        <v>1.4809695675000001</v>
      </c>
      <c r="BA17" s="27">
        <v>1.72779782875</v>
      </c>
      <c r="BB17" s="27">
        <v>1.9746260899999999</v>
      </c>
      <c r="BC17" s="27">
        <v>1.23414130625</v>
      </c>
      <c r="BD17" s="27">
        <v>1.23414130625</v>
      </c>
      <c r="BE17" s="27">
        <v>1.72779782875</v>
      </c>
      <c r="BF17" s="27">
        <v>0.74048478374999993</v>
      </c>
      <c r="BG17" s="27">
        <v>0.74048478374999993</v>
      </c>
      <c r="BH17" s="27">
        <v>1.9746260899999999</v>
      </c>
      <c r="BI17" s="27">
        <v>1.4809695675000001</v>
      </c>
      <c r="BJ17" s="27">
        <v>0.98731304499999994</v>
      </c>
      <c r="BK17" s="27">
        <v>0.98731304499999994</v>
      </c>
      <c r="BL17" s="27">
        <v>1.9746260899999999</v>
      </c>
      <c r="BM17" s="27">
        <v>1.9746260899999999</v>
      </c>
      <c r="BN17" s="27">
        <v>1.9746260899999999</v>
      </c>
      <c r="BO17" s="27">
        <v>0.98731304499999994</v>
      </c>
      <c r="BP17" s="27">
        <v>1.23414130625</v>
      </c>
      <c r="BQ17" s="27">
        <v>1.23414130625</v>
      </c>
      <c r="BR17" s="27">
        <v>1.72779782875</v>
      </c>
      <c r="BS17" s="27">
        <v>1.9746260899999999</v>
      </c>
      <c r="BT17" s="27">
        <v>0.98731304499999994</v>
      </c>
      <c r="BU17" s="27">
        <v>0.49365652249999997</v>
      </c>
      <c r="BV17" s="27">
        <v>1.9746260899999999</v>
      </c>
      <c r="BW17" s="27">
        <v>1.72779782875</v>
      </c>
      <c r="BX17" s="27">
        <v>1.9746260899999999</v>
      </c>
      <c r="BY17" s="27">
        <v>1.4809695675000001</v>
      </c>
      <c r="BZ17" s="27">
        <v>0.49365652249999997</v>
      </c>
      <c r="CA17" s="27">
        <v>1.4809695675000001</v>
      </c>
      <c r="CB17" s="27">
        <v>1.4264750163149349</v>
      </c>
      <c r="CC17" s="33">
        <v>109.83857625624999</v>
      </c>
    </row>
    <row r="18" spans="1:81" x14ac:dyDescent="0.25">
      <c r="A18" s="23">
        <v>17</v>
      </c>
      <c r="B18" s="25">
        <v>8</v>
      </c>
      <c r="C18" s="27">
        <v>2.2643293982666681</v>
      </c>
      <c r="D18" s="27">
        <v>2.2643293982666681</v>
      </c>
      <c r="E18" s="27">
        <v>1.1321646991333341</v>
      </c>
      <c r="F18" s="27">
        <v>2.2643293982666681</v>
      </c>
      <c r="G18" s="27">
        <v>1.698247048700001</v>
      </c>
      <c r="H18" s="27">
        <v>1.1321646991333341</v>
      </c>
      <c r="I18" s="27">
        <v>1.415205873916668</v>
      </c>
      <c r="J18" s="27">
        <v>1.415205873916668</v>
      </c>
      <c r="K18" s="27">
        <v>1.1321646991333341</v>
      </c>
      <c r="L18" s="27">
        <v>1.1321646991333341</v>
      </c>
      <c r="M18" s="27">
        <v>1.698247048700001</v>
      </c>
      <c r="N18" s="27">
        <v>1.1321646991333341</v>
      </c>
      <c r="O18" s="27">
        <v>2.2643293982666681</v>
      </c>
      <c r="P18" s="27">
        <v>1.415205873916668</v>
      </c>
      <c r="Q18" s="27">
        <v>1.415205873916668</v>
      </c>
      <c r="R18" s="27">
        <v>1.415205873916668</v>
      </c>
      <c r="S18" s="27">
        <v>2.2643293982666681</v>
      </c>
      <c r="T18" s="27">
        <v>2.2643293982666681</v>
      </c>
      <c r="U18" s="27">
        <v>1.9812882234833351</v>
      </c>
      <c r="V18" s="27">
        <v>1.1321646991333341</v>
      </c>
      <c r="W18" s="27">
        <v>2.2643293982666681</v>
      </c>
      <c r="X18" s="27">
        <v>1.415205873916668</v>
      </c>
      <c r="Y18" s="27">
        <v>1.698247048700001</v>
      </c>
      <c r="Z18" s="27">
        <v>1.698247048700001</v>
      </c>
      <c r="AA18" s="27">
        <v>1.9812882234833351</v>
      </c>
      <c r="AB18" s="27">
        <v>1.415205873916668</v>
      </c>
      <c r="AC18" s="27">
        <v>2.2643293982666681</v>
      </c>
      <c r="AD18" s="27">
        <v>2.2643293982666681</v>
      </c>
      <c r="AE18" s="27">
        <v>1.1321646991333341</v>
      </c>
      <c r="AF18" s="27">
        <v>2.2643293982666681</v>
      </c>
      <c r="AG18" s="27">
        <v>2.2643293982666681</v>
      </c>
      <c r="AH18" s="27">
        <v>1.1321646991333341</v>
      </c>
      <c r="AI18" s="27">
        <v>1.698247048700001</v>
      </c>
      <c r="AJ18" s="27">
        <v>0.8491235243500006</v>
      </c>
      <c r="AK18" s="27">
        <v>1.1321646991333341</v>
      </c>
      <c r="AL18" s="27">
        <v>1.415205873916668</v>
      </c>
      <c r="AM18" s="27">
        <v>1.415205873916668</v>
      </c>
      <c r="AN18" s="27">
        <v>1.415205873916668</v>
      </c>
      <c r="AO18" s="27">
        <v>1.698247048700001</v>
      </c>
      <c r="AP18" s="27">
        <v>1.415205873916668</v>
      </c>
      <c r="AQ18" s="27">
        <v>2.2643293982666681</v>
      </c>
      <c r="AR18" s="27">
        <v>2.2643293982666681</v>
      </c>
      <c r="AS18" s="27">
        <v>1.698247048700001</v>
      </c>
      <c r="AT18" s="27">
        <v>0.8491235243500006</v>
      </c>
      <c r="AU18" s="27">
        <v>0.8491235243500006</v>
      </c>
      <c r="AV18" s="27">
        <v>1.1321646991333341</v>
      </c>
      <c r="AW18" s="27">
        <v>1.415205873916668</v>
      </c>
      <c r="AX18" s="27">
        <v>2.2643293982666681</v>
      </c>
      <c r="AY18" s="27">
        <v>1.698247048700001</v>
      </c>
      <c r="AZ18" s="27">
        <v>1.698247048700001</v>
      </c>
      <c r="BA18" s="27">
        <v>1.9812882234833351</v>
      </c>
      <c r="BB18" s="27">
        <v>2.2643293982666681</v>
      </c>
      <c r="BC18" s="27">
        <v>1.415205873916668</v>
      </c>
      <c r="BD18" s="27">
        <v>1.415205873916668</v>
      </c>
      <c r="BE18" s="27">
        <v>1.9812882234833351</v>
      </c>
      <c r="BF18" s="27">
        <v>0.8491235243500006</v>
      </c>
      <c r="BG18" s="27">
        <v>0.8491235243500006</v>
      </c>
      <c r="BH18" s="27">
        <v>2.2643293982666681</v>
      </c>
      <c r="BI18" s="27">
        <v>1.698247048700001</v>
      </c>
      <c r="BJ18" s="27">
        <v>1.1321646991333341</v>
      </c>
      <c r="BK18" s="27">
        <v>1.1321646991333341</v>
      </c>
      <c r="BL18" s="27">
        <v>2.2643293982666681</v>
      </c>
      <c r="BM18" s="27">
        <v>2.2643293982666681</v>
      </c>
      <c r="BN18" s="27">
        <v>2.2643293982666681</v>
      </c>
      <c r="BO18" s="27">
        <v>1.1321646991333341</v>
      </c>
      <c r="BP18" s="27">
        <v>1.415205873916668</v>
      </c>
      <c r="BQ18" s="27">
        <v>1.415205873916668</v>
      </c>
      <c r="BR18" s="27">
        <v>1.9812882234833351</v>
      </c>
      <c r="BS18" s="27">
        <v>2.2643293982666681</v>
      </c>
      <c r="BT18" s="27">
        <v>1.1321646991333341</v>
      </c>
      <c r="BU18" s="27">
        <v>0.56608234956666703</v>
      </c>
      <c r="BV18" s="27">
        <v>2.2643293982666681</v>
      </c>
      <c r="BW18" s="27">
        <v>1.9812882234833351</v>
      </c>
      <c r="BX18" s="27">
        <v>2.2643293982666681</v>
      </c>
      <c r="BY18" s="27">
        <v>1.698247048700001</v>
      </c>
      <c r="BZ18" s="27">
        <v>0.56608234956666703</v>
      </c>
      <c r="CA18" s="27">
        <v>1.698247048700001</v>
      </c>
      <c r="CB18" s="27">
        <v>1.6357574386829019</v>
      </c>
      <c r="CC18" s="33">
        <v>125.9533227785834</v>
      </c>
    </row>
    <row r="19" spans="1:81" x14ac:dyDescent="0.25">
      <c r="A19" s="23">
        <v>18</v>
      </c>
      <c r="B19" s="25">
        <v>8.5</v>
      </c>
      <c r="C19" s="27">
        <v>2.5366509335999998</v>
      </c>
      <c r="D19" s="27">
        <v>2.5366509335999998</v>
      </c>
      <c r="E19" s="27">
        <v>1.2683254667999999</v>
      </c>
      <c r="F19" s="27">
        <v>2.5366509335999998</v>
      </c>
      <c r="G19" s="27">
        <v>1.9024882002000001</v>
      </c>
      <c r="H19" s="27">
        <v>1.2683254667999999</v>
      </c>
      <c r="I19" s="27">
        <v>1.5854068335</v>
      </c>
      <c r="J19" s="27">
        <v>1.5854068335</v>
      </c>
      <c r="K19" s="27">
        <v>1.2683254667999999</v>
      </c>
      <c r="L19" s="27">
        <v>1.2683254667999999</v>
      </c>
      <c r="M19" s="27">
        <v>1.9024882002000001</v>
      </c>
      <c r="N19" s="27">
        <v>1.2683254667999999</v>
      </c>
      <c r="O19" s="27">
        <v>2.5366509335999998</v>
      </c>
      <c r="P19" s="27">
        <v>1.5854068335</v>
      </c>
      <c r="Q19" s="27">
        <v>1.5854068335</v>
      </c>
      <c r="R19" s="27">
        <v>1.5854068335</v>
      </c>
      <c r="S19" s="27">
        <v>2.5366509335999998</v>
      </c>
      <c r="T19" s="27">
        <v>2.5366509335999998</v>
      </c>
      <c r="U19" s="27">
        <v>2.2195695669000002</v>
      </c>
      <c r="V19" s="27">
        <v>1.2683254667999999</v>
      </c>
      <c r="W19" s="27">
        <v>2.5366509335999998</v>
      </c>
      <c r="X19" s="27">
        <v>1.5854068335</v>
      </c>
      <c r="Y19" s="27">
        <v>1.9024882002000001</v>
      </c>
      <c r="Z19" s="27">
        <v>1.9024882002000001</v>
      </c>
      <c r="AA19" s="27">
        <v>2.2195695669000002</v>
      </c>
      <c r="AB19" s="27">
        <v>1.5854068335</v>
      </c>
      <c r="AC19" s="27">
        <v>2.5366509335999998</v>
      </c>
      <c r="AD19" s="27">
        <v>2.5366509335999998</v>
      </c>
      <c r="AE19" s="27">
        <v>1.2683254667999999</v>
      </c>
      <c r="AF19" s="27">
        <v>2.5366509335999998</v>
      </c>
      <c r="AG19" s="27">
        <v>2.5366509335999998</v>
      </c>
      <c r="AH19" s="27">
        <v>1.2683254667999999</v>
      </c>
      <c r="AI19" s="27">
        <v>1.9024882002000001</v>
      </c>
      <c r="AJ19" s="27">
        <v>0.95124410009999993</v>
      </c>
      <c r="AK19" s="27">
        <v>1.2683254667999999</v>
      </c>
      <c r="AL19" s="27">
        <v>1.5854068335</v>
      </c>
      <c r="AM19" s="27">
        <v>1.5854068335</v>
      </c>
      <c r="AN19" s="27">
        <v>1.5854068335</v>
      </c>
      <c r="AO19" s="27">
        <v>1.9024882002000001</v>
      </c>
      <c r="AP19" s="27">
        <v>1.5854068335</v>
      </c>
      <c r="AQ19" s="27">
        <v>2.5366509335999998</v>
      </c>
      <c r="AR19" s="27">
        <v>2.5366509335999998</v>
      </c>
      <c r="AS19" s="27">
        <v>1.9024882002000001</v>
      </c>
      <c r="AT19" s="27">
        <v>0.95124410009999993</v>
      </c>
      <c r="AU19" s="27">
        <v>0.95124410009999993</v>
      </c>
      <c r="AV19" s="27">
        <v>1.2683254667999999</v>
      </c>
      <c r="AW19" s="27">
        <v>1.5854068335</v>
      </c>
      <c r="AX19" s="27">
        <v>2.5366509335999998</v>
      </c>
      <c r="AY19" s="27">
        <v>1.9024882002000001</v>
      </c>
      <c r="AZ19" s="27">
        <v>1.9024882002000001</v>
      </c>
      <c r="BA19" s="27">
        <v>2.2195695669000002</v>
      </c>
      <c r="BB19" s="27">
        <v>2.5366509335999998</v>
      </c>
      <c r="BC19" s="27">
        <v>1.5854068335</v>
      </c>
      <c r="BD19" s="27">
        <v>1.5854068335</v>
      </c>
      <c r="BE19" s="27">
        <v>2.2195695669000002</v>
      </c>
      <c r="BF19" s="27">
        <v>0.95124410009999993</v>
      </c>
      <c r="BG19" s="27">
        <v>0.95124410009999993</v>
      </c>
      <c r="BH19" s="27">
        <v>2.5366509335999998</v>
      </c>
      <c r="BI19" s="27">
        <v>1.9024882002000001</v>
      </c>
      <c r="BJ19" s="27">
        <v>1.2683254667999999</v>
      </c>
      <c r="BK19" s="27">
        <v>1.2683254667999999</v>
      </c>
      <c r="BL19" s="27">
        <v>2.5366509335999998</v>
      </c>
      <c r="BM19" s="27">
        <v>2.5366509335999998</v>
      </c>
      <c r="BN19" s="27">
        <v>2.5366509335999998</v>
      </c>
      <c r="BO19" s="27">
        <v>1.2683254667999999</v>
      </c>
      <c r="BP19" s="27">
        <v>1.5854068335</v>
      </c>
      <c r="BQ19" s="27">
        <v>1.5854068335</v>
      </c>
      <c r="BR19" s="27">
        <v>2.2195695669000002</v>
      </c>
      <c r="BS19" s="27">
        <v>2.5366509335999998</v>
      </c>
      <c r="BT19" s="27">
        <v>1.2683254667999999</v>
      </c>
      <c r="BU19" s="27">
        <v>0.63416273339999996</v>
      </c>
      <c r="BV19" s="27">
        <v>2.5366509335999998</v>
      </c>
      <c r="BW19" s="27">
        <v>2.2195695669000002</v>
      </c>
      <c r="BX19" s="27">
        <v>2.5366509335999998</v>
      </c>
      <c r="BY19" s="27">
        <v>1.9024882002000001</v>
      </c>
      <c r="BZ19" s="27">
        <v>0.63416273339999996</v>
      </c>
      <c r="CA19" s="27">
        <v>1.9024882002000001</v>
      </c>
      <c r="CB19" s="27">
        <v>1.832483223136363</v>
      </c>
      <c r="CC19" s="33">
        <v>141.10120818149991</v>
      </c>
    </row>
    <row r="20" spans="1:81" x14ac:dyDescent="0.25">
      <c r="A20" s="23">
        <v>19</v>
      </c>
      <c r="B20" s="25">
        <v>9</v>
      </c>
      <c r="C20" s="27">
        <v>2.768575362666668</v>
      </c>
      <c r="D20" s="27">
        <v>2.768575362666668</v>
      </c>
      <c r="E20" s="27">
        <v>1.384287681333334</v>
      </c>
      <c r="F20" s="27">
        <v>2.768575362666668</v>
      </c>
      <c r="G20" s="27">
        <v>2.0764315220000009</v>
      </c>
      <c r="H20" s="27">
        <v>1.384287681333334</v>
      </c>
      <c r="I20" s="27">
        <v>1.730359601666668</v>
      </c>
      <c r="J20" s="27">
        <v>1.730359601666668</v>
      </c>
      <c r="K20" s="27">
        <v>1.384287681333334</v>
      </c>
      <c r="L20" s="27">
        <v>1.384287681333334</v>
      </c>
      <c r="M20" s="27">
        <v>2.0764315220000009</v>
      </c>
      <c r="N20" s="27">
        <v>1.384287681333334</v>
      </c>
      <c r="O20" s="27">
        <v>2.768575362666668</v>
      </c>
      <c r="P20" s="27">
        <v>1.730359601666668</v>
      </c>
      <c r="Q20" s="27">
        <v>1.730359601666668</v>
      </c>
      <c r="R20" s="27">
        <v>1.730359601666668</v>
      </c>
      <c r="S20" s="27">
        <v>2.768575362666668</v>
      </c>
      <c r="T20" s="27">
        <v>2.768575362666668</v>
      </c>
      <c r="U20" s="27">
        <v>2.4225034423333351</v>
      </c>
      <c r="V20" s="27">
        <v>1.384287681333334</v>
      </c>
      <c r="W20" s="27">
        <v>2.768575362666668</v>
      </c>
      <c r="X20" s="27">
        <v>1.730359601666668</v>
      </c>
      <c r="Y20" s="27">
        <v>2.0764315220000009</v>
      </c>
      <c r="Z20" s="27">
        <v>2.0764315220000009</v>
      </c>
      <c r="AA20" s="27">
        <v>2.4225034423333351</v>
      </c>
      <c r="AB20" s="27">
        <v>1.730359601666668</v>
      </c>
      <c r="AC20" s="27">
        <v>2.768575362666668</v>
      </c>
      <c r="AD20" s="27">
        <v>2.768575362666668</v>
      </c>
      <c r="AE20" s="27">
        <v>1.384287681333334</v>
      </c>
      <c r="AF20" s="27">
        <v>2.768575362666668</v>
      </c>
      <c r="AG20" s="27">
        <v>2.768575362666668</v>
      </c>
      <c r="AH20" s="27">
        <v>1.384287681333334</v>
      </c>
      <c r="AI20" s="27">
        <v>2.0764315220000009</v>
      </c>
      <c r="AJ20" s="27">
        <v>1.038215761</v>
      </c>
      <c r="AK20" s="27">
        <v>1.384287681333334</v>
      </c>
      <c r="AL20" s="27">
        <v>1.730359601666668</v>
      </c>
      <c r="AM20" s="27">
        <v>1.730359601666668</v>
      </c>
      <c r="AN20" s="27">
        <v>1.730359601666668</v>
      </c>
      <c r="AO20" s="27">
        <v>2.0764315220000009</v>
      </c>
      <c r="AP20" s="27">
        <v>1.730359601666668</v>
      </c>
      <c r="AQ20" s="27">
        <v>2.768575362666668</v>
      </c>
      <c r="AR20" s="27">
        <v>2.768575362666668</v>
      </c>
      <c r="AS20" s="27">
        <v>2.0764315220000009</v>
      </c>
      <c r="AT20" s="27">
        <v>1.038215761</v>
      </c>
      <c r="AU20" s="27">
        <v>1.038215761</v>
      </c>
      <c r="AV20" s="27">
        <v>1.384287681333334</v>
      </c>
      <c r="AW20" s="27">
        <v>1.730359601666668</v>
      </c>
      <c r="AX20" s="27">
        <v>2.768575362666668</v>
      </c>
      <c r="AY20" s="27">
        <v>2.0764315220000009</v>
      </c>
      <c r="AZ20" s="27">
        <v>2.0764315220000009</v>
      </c>
      <c r="BA20" s="27">
        <v>2.4225034423333351</v>
      </c>
      <c r="BB20" s="27">
        <v>2.768575362666668</v>
      </c>
      <c r="BC20" s="27">
        <v>1.730359601666668</v>
      </c>
      <c r="BD20" s="27">
        <v>1.730359601666668</v>
      </c>
      <c r="BE20" s="27">
        <v>2.4225034423333351</v>
      </c>
      <c r="BF20" s="27">
        <v>1.038215761</v>
      </c>
      <c r="BG20" s="27">
        <v>1.038215761</v>
      </c>
      <c r="BH20" s="27">
        <v>2.768575362666668</v>
      </c>
      <c r="BI20" s="27">
        <v>2.0764315220000009</v>
      </c>
      <c r="BJ20" s="27">
        <v>1.384287681333334</v>
      </c>
      <c r="BK20" s="27">
        <v>1.384287681333334</v>
      </c>
      <c r="BL20" s="27">
        <v>2.768575362666668</v>
      </c>
      <c r="BM20" s="27">
        <v>2.768575362666668</v>
      </c>
      <c r="BN20" s="27">
        <v>2.768575362666668</v>
      </c>
      <c r="BO20" s="27">
        <v>1.384287681333334</v>
      </c>
      <c r="BP20" s="27">
        <v>1.730359601666668</v>
      </c>
      <c r="BQ20" s="27">
        <v>1.730359601666668</v>
      </c>
      <c r="BR20" s="27">
        <v>2.4225034423333351</v>
      </c>
      <c r="BS20" s="27">
        <v>2.768575362666668</v>
      </c>
      <c r="BT20" s="27">
        <v>1.384287681333334</v>
      </c>
      <c r="BU20" s="27">
        <v>0.69214384066666701</v>
      </c>
      <c r="BV20" s="27">
        <v>2.768575362666668</v>
      </c>
      <c r="BW20" s="27">
        <v>2.4225034423333351</v>
      </c>
      <c r="BX20" s="27">
        <v>2.768575362666668</v>
      </c>
      <c r="BY20" s="27">
        <v>2.0764315220000009</v>
      </c>
      <c r="BZ20" s="27">
        <v>0.69214384066666701</v>
      </c>
      <c r="CA20" s="27">
        <v>2.0764315220000009</v>
      </c>
      <c r="CB20" s="27">
        <v>2.0000260330952391</v>
      </c>
      <c r="CC20" s="33">
        <v>154.00200454833339</v>
      </c>
    </row>
    <row r="21" spans="1:81" x14ac:dyDescent="0.25">
      <c r="A21" s="23">
        <v>20</v>
      </c>
      <c r="B21" s="25">
        <v>9.5</v>
      </c>
      <c r="C21" s="27">
        <v>2.9663834061333318</v>
      </c>
      <c r="D21" s="27">
        <v>2.9663834061333318</v>
      </c>
      <c r="E21" s="27">
        <v>1.4831917030666659</v>
      </c>
      <c r="F21" s="27">
        <v>2.9663834061333318</v>
      </c>
      <c r="G21" s="27">
        <v>2.2247875545999989</v>
      </c>
      <c r="H21" s="27">
        <v>1.4831917030666659</v>
      </c>
      <c r="I21" s="27">
        <v>1.853989628833332</v>
      </c>
      <c r="J21" s="27">
        <v>1.853989628833332</v>
      </c>
      <c r="K21" s="27">
        <v>1.4831917030666659</v>
      </c>
      <c r="L21" s="27">
        <v>1.4831917030666659</v>
      </c>
      <c r="M21" s="27">
        <v>2.2247875545999989</v>
      </c>
      <c r="N21" s="27">
        <v>1.4831917030666659</v>
      </c>
      <c r="O21" s="27">
        <v>2.9663834061333318</v>
      </c>
      <c r="P21" s="27">
        <v>1.853989628833332</v>
      </c>
      <c r="Q21" s="27">
        <v>1.853989628833332</v>
      </c>
      <c r="R21" s="27">
        <v>1.853989628833332</v>
      </c>
      <c r="S21" s="27">
        <v>2.9663834061333318</v>
      </c>
      <c r="T21" s="27">
        <v>2.9663834061333318</v>
      </c>
      <c r="U21" s="27">
        <v>2.5955854803666649</v>
      </c>
      <c r="V21" s="27">
        <v>1.4831917030666659</v>
      </c>
      <c r="W21" s="27">
        <v>2.9663834061333318</v>
      </c>
      <c r="X21" s="27">
        <v>1.853989628833332</v>
      </c>
      <c r="Y21" s="27">
        <v>2.2247875545999989</v>
      </c>
      <c r="Z21" s="27">
        <v>2.2247875545999989</v>
      </c>
      <c r="AA21" s="27">
        <v>2.5955854803666649</v>
      </c>
      <c r="AB21" s="27">
        <v>1.853989628833332</v>
      </c>
      <c r="AC21" s="27">
        <v>2.9663834061333318</v>
      </c>
      <c r="AD21" s="27">
        <v>2.9663834061333318</v>
      </c>
      <c r="AE21" s="27">
        <v>1.4831917030666659</v>
      </c>
      <c r="AF21" s="27">
        <v>2.9663834061333318</v>
      </c>
      <c r="AG21" s="27">
        <v>2.9663834061333318</v>
      </c>
      <c r="AH21" s="27">
        <v>1.4831917030666659</v>
      </c>
      <c r="AI21" s="27">
        <v>2.2247875545999989</v>
      </c>
      <c r="AJ21" s="27">
        <v>1.112393777299999</v>
      </c>
      <c r="AK21" s="27">
        <v>1.4831917030666659</v>
      </c>
      <c r="AL21" s="27">
        <v>1.853989628833332</v>
      </c>
      <c r="AM21" s="27">
        <v>1.853989628833332</v>
      </c>
      <c r="AN21" s="27">
        <v>1.853989628833332</v>
      </c>
      <c r="AO21" s="27">
        <v>2.2247875545999989</v>
      </c>
      <c r="AP21" s="27">
        <v>1.853989628833332</v>
      </c>
      <c r="AQ21" s="27">
        <v>2.9663834061333318</v>
      </c>
      <c r="AR21" s="27">
        <v>2.9663834061333318</v>
      </c>
      <c r="AS21" s="27">
        <v>2.2247875545999989</v>
      </c>
      <c r="AT21" s="27">
        <v>1.112393777299999</v>
      </c>
      <c r="AU21" s="27">
        <v>1.112393777299999</v>
      </c>
      <c r="AV21" s="27">
        <v>1.4831917030666659</v>
      </c>
      <c r="AW21" s="27">
        <v>1.853989628833332</v>
      </c>
      <c r="AX21" s="27">
        <v>2.9663834061333318</v>
      </c>
      <c r="AY21" s="27">
        <v>2.2247875545999989</v>
      </c>
      <c r="AZ21" s="27">
        <v>2.2247875545999989</v>
      </c>
      <c r="BA21" s="27">
        <v>2.5955854803666649</v>
      </c>
      <c r="BB21" s="27">
        <v>2.9663834061333318</v>
      </c>
      <c r="BC21" s="27">
        <v>1.853989628833332</v>
      </c>
      <c r="BD21" s="27">
        <v>1.853989628833332</v>
      </c>
      <c r="BE21" s="27">
        <v>2.5955854803666649</v>
      </c>
      <c r="BF21" s="27">
        <v>1.112393777299999</v>
      </c>
      <c r="BG21" s="27">
        <v>1.112393777299999</v>
      </c>
      <c r="BH21" s="27">
        <v>2.9663834061333318</v>
      </c>
      <c r="BI21" s="27">
        <v>2.2247875545999989</v>
      </c>
      <c r="BJ21" s="27">
        <v>1.4831917030666659</v>
      </c>
      <c r="BK21" s="27">
        <v>1.4831917030666659</v>
      </c>
      <c r="BL21" s="27">
        <v>2.9663834061333318</v>
      </c>
      <c r="BM21" s="27">
        <v>2.9663834061333318</v>
      </c>
      <c r="BN21" s="27">
        <v>2.9663834061333318</v>
      </c>
      <c r="BO21" s="27">
        <v>1.4831917030666659</v>
      </c>
      <c r="BP21" s="27">
        <v>1.853989628833332</v>
      </c>
      <c r="BQ21" s="27">
        <v>1.853989628833332</v>
      </c>
      <c r="BR21" s="27">
        <v>2.5955854803666649</v>
      </c>
      <c r="BS21" s="27">
        <v>2.9663834061333318</v>
      </c>
      <c r="BT21" s="27">
        <v>1.4831917030666659</v>
      </c>
      <c r="BU21" s="27">
        <v>0.74159585153333296</v>
      </c>
      <c r="BV21" s="27">
        <v>2.9663834061333318</v>
      </c>
      <c r="BW21" s="27">
        <v>2.5955854803666649</v>
      </c>
      <c r="BX21" s="27">
        <v>2.9663834061333318</v>
      </c>
      <c r="BY21" s="27">
        <v>2.2247875545999989</v>
      </c>
      <c r="BZ21" s="27">
        <v>0.74159585153333296</v>
      </c>
      <c r="CA21" s="27">
        <v>2.2247875545999989</v>
      </c>
      <c r="CB21" s="27">
        <v>2.1429230774826822</v>
      </c>
      <c r="CC21" s="33">
        <v>165.00507696616651</v>
      </c>
    </row>
    <row r="22" spans="1:81" x14ac:dyDescent="0.25">
      <c r="A22" s="23">
        <v>21</v>
      </c>
      <c r="B22" s="25">
        <v>10</v>
      </c>
      <c r="C22" s="27">
        <v>3.1400089430666678</v>
      </c>
      <c r="D22" s="27">
        <v>3.1400089430666678</v>
      </c>
      <c r="E22" s="27">
        <v>1.5700044715333339</v>
      </c>
      <c r="F22" s="27">
        <v>3.1400089430666678</v>
      </c>
      <c r="G22" s="27">
        <v>2.3550067073000012</v>
      </c>
      <c r="H22" s="27">
        <v>1.5700044715333339</v>
      </c>
      <c r="I22" s="27">
        <v>1.962505589416667</v>
      </c>
      <c r="J22" s="27">
        <v>1.962505589416667</v>
      </c>
      <c r="K22" s="27">
        <v>1.5700044715333339</v>
      </c>
      <c r="L22" s="27">
        <v>1.5700044715333339</v>
      </c>
      <c r="M22" s="27">
        <v>2.3550067073000012</v>
      </c>
      <c r="N22" s="27">
        <v>1.5700044715333339</v>
      </c>
      <c r="O22" s="27">
        <v>3.1400089430666678</v>
      </c>
      <c r="P22" s="27">
        <v>1.962505589416667</v>
      </c>
      <c r="Q22" s="27">
        <v>1.962505589416667</v>
      </c>
      <c r="R22" s="27">
        <v>1.962505589416667</v>
      </c>
      <c r="S22" s="27">
        <v>3.1400089430666678</v>
      </c>
      <c r="T22" s="27">
        <v>3.1400089430666678</v>
      </c>
      <c r="U22" s="27">
        <v>2.7475078251833338</v>
      </c>
      <c r="V22" s="27">
        <v>1.5700044715333339</v>
      </c>
      <c r="W22" s="27">
        <v>3.1400089430666678</v>
      </c>
      <c r="X22" s="27">
        <v>1.962505589416667</v>
      </c>
      <c r="Y22" s="27">
        <v>2.3550067073000012</v>
      </c>
      <c r="Z22" s="27">
        <v>2.3550067073000012</v>
      </c>
      <c r="AA22" s="27">
        <v>2.7475078251833338</v>
      </c>
      <c r="AB22" s="27">
        <v>1.962505589416667</v>
      </c>
      <c r="AC22" s="27">
        <v>3.1400089430666678</v>
      </c>
      <c r="AD22" s="27">
        <v>3.1400089430666678</v>
      </c>
      <c r="AE22" s="27">
        <v>1.5700044715333339</v>
      </c>
      <c r="AF22" s="27">
        <v>3.1400089430666678</v>
      </c>
      <c r="AG22" s="27">
        <v>3.1400089430666678</v>
      </c>
      <c r="AH22" s="27">
        <v>1.5700044715333339</v>
      </c>
      <c r="AI22" s="27">
        <v>2.3550067073000012</v>
      </c>
      <c r="AJ22" s="27">
        <v>1.1775033536499999</v>
      </c>
      <c r="AK22" s="27">
        <v>1.5700044715333339</v>
      </c>
      <c r="AL22" s="27">
        <v>1.962505589416667</v>
      </c>
      <c r="AM22" s="27">
        <v>1.962505589416667</v>
      </c>
      <c r="AN22" s="27">
        <v>1.962505589416667</v>
      </c>
      <c r="AO22" s="27">
        <v>2.3550067073000012</v>
      </c>
      <c r="AP22" s="27">
        <v>1.962505589416667</v>
      </c>
      <c r="AQ22" s="27">
        <v>3.1400089430666678</v>
      </c>
      <c r="AR22" s="27">
        <v>3.1400089430666678</v>
      </c>
      <c r="AS22" s="27">
        <v>2.3550067073000012</v>
      </c>
      <c r="AT22" s="27">
        <v>1.1775033536499999</v>
      </c>
      <c r="AU22" s="27">
        <v>1.1775033536499999</v>
      </c>
      <c r="AV22" s="27">
        <v>1.5700044715333339</v>
      </c>
      <c r="AW22" s="27">
        <v>1.962505589416667</v>
      </c>
      <c r="AX22" s="27">
        <v>3.1400089430666678</v>
      </c>
      <c r="AY22" s="27">
        <v>2.3550067073000012</v>
      </c>
      <c r="AZ22" s="27">
        <v>2.3550067073000012</v>
      </c>
      <c r="BA22" s="27">
        <v>2.7475078251833338</v>
      </c>
      <c r="BB22" s="27">
        <v>3.1400089430666678</v>
      </c>
      <c r="BC22" s="27">
        <v>1.962505589416667</v>
      </c>
      <c r="BD22" s="27">
        <v>1.962505589416667</v>
      </c>
      <c r="BE22" s="27">
        <v>2.7475078251833338</v>
      </c>
      <c r="BF22" s="27">
        <v>1.1775033536499999</v>
      </c>
      <c r="BG22" s="27">
        <v>1.1775033536499999</v>
      </c>
      <c r="BH22" s="27">
        <v>3.1400089430666678</v>
      </c>
      <c r="BI22" s="27">
        <v>2.3550067073000012</v>
      </c>
      <c r="BJ22" s="27">
        <v>1.5700044715333339</v>
      </c>
      <c r="BK22" s="27">
        <v>1.5700044715333339</v>
      </c>
      <c r="BL22" s="27">
        <v>3.1400089430666678</v>
      </c>
      <c r="BM22" s="27">
        <v>3.1400089430666678</v>
      </c>
      <c r="BN22" s="27">
        <v>3.1400089430666678</v>
      </c>
      <c r="BO22" s="27">
        <v>1.5700044715333339</v>
      </c>
      <c r="BP22" s="27">
        <v>1.962505589416667</v>
      </c>
      <c r="BQ22" s="27">
        <v>1.962505589416667</v>
      </c>
      <c r="BR22" s="27">
        <v>2.7475078251833338</v>
      </c>
      <c r="BS22" s="27">
        <v>3.1400089430666678</v>
      </c>
      <c r="BT22" s="27">
        <v>1.5700044715333339</v>
      </c>
      <c r="BU22" s="27">
        <v>0.78500223576666694</v>
      </c>
      <c r="BV22" s="27">
        <v>3.1400089430666678</v>
      </c>
      <c r="BW22" s="27">
        <v>2.7475078251833338</v>
      </c>
      <c r="BX22" s="27">
        <v>3.1400089430666678</v>
      </c>
      <c r="BY22" s="27">
        <v>2.3550067073000012</v>
      </c>
      <c r="BZ22" s="27">
        <v>0.78500223576666694</v>
      </c>
      <c r="CA22" s="27">
        <v>2.3550067073000012</v>
      </c>
      <c r="CB22" s="27">
        <v>2.2683506163387448</v>
      </c>
      <c r="CC22" s="33">
        <v>174.6629974580834</v>
      </c>
    </row>
    <row r="23" spans="1:81" x14ac:dyDescent="0.25">
      <c r="A23" s="23">
        <v>22</v>
      </c>
      <c r="B23" s="25">
        <v>10.5</v>
      </c>
      <c r="C23" s="27">
        <v>3.2833051212000002</v>
      </c>
      <c r="D23" s="27">
        <v>3.2833051212000002</v>
      </c>
      <c r="E23" s="27">
        <v>1.6416525606000001</v>
      </c>
      <c r="F23" s="27">
        <v>3.2833051212000002</v>
      </c>
      <c r="G23" s="27">
        <v>2.4624788408999998</v>
      </c>
      <c r="H23" s="27">
        <v>1.6416525606000001</v>
      </c>
      <c r="I23" s="27">
        <v>2.0520657007500001</v>
      </c>
      <c r="J23" s="27">
        <v>2.0520657007500001</v>
      </c>
      <c r="K23" s="27">
        <v>1.6416525606000001</v>
      </c>
      <c r="L23" s="27">
        <v>1.6416525606000001</v>
      </c>
      <c r="M23" s="27">
        <v>2.4624788408999998</v>
      </c>
      <c r="N23" s="27">
        <v>1.6416525606000001</v>
      </c>
      <c r="O23" s="27">
        <v>3.2833051212000002</v>
      </c>
      <c r="P23" s="27">
        <v>2.0520657007500001</v>
      </c>
      <c r="Q23" s="27">
        <v>2.0520657007500001</v>
      </c>
      <c r="R23" s="27">
        <v>2.0520657007500001</v>
      </c>
      <c r="S23" s="27">
        <v>3.2833051212000002</v>
      </c>
      <c r="T23" s="27">
        <v>3.2833051212000002</v>
      </c>
      <c r="U23" s="27">
        <v>2.87289198105</v>
      </c>
      <c r="V23" s="27">
        <v>1.6416525606000001</v>
      </c>
      <c r="W23" s="27">
        <v>3.2833051212000002</v>
      </c>
      <c r="X23" s="27">
        <v>2.0520657007500001</v>
      </c>
      <c r="Y23" s="27">
        <v>2.4624788408999998</v>
      </c>
      <c r="Z23" s="27">
        <v>2.4624788408999998</v>
      </c>
      <c r="AA23" s="27">
        <v>2.87289198105</v>
      </c>
      <c r="AB23" s="27">
        <v>2.0520657007500001</v>
      </c>
      <c r="AC23" s="27">
        <v>3.2833051212000002</v>
      </c>
      <c r="AD23" s="27">
        <v>3.2833051212000002</v>
      </c>
      <c r="AE23" s="27">
        <v>1.6416525606000001</v>
      </c>
      <c r="AF23" s="27">
        <v>3.2833051212000002</v>
      </c>
      <c r="AG23" s="27">
        <v>3.2833051212000002</v>
      </c>
      <c r="AH23" s="27">
        <v>1.6416525606000001</v>
      </c>
      <c r="AI23" s="27">
        <v>2.4624788408999998</v>
      </c>
      <c r="AJ23" s="27">
        <v>1.2312394204499999</v>
      </c>
      <c r="AK23" s="27">
        <v>1.6416525606000001</v>
      </c>
      <c r="AL23" s="27">
        <v>2.0520657007500001</v>
      </c>
      <c r="AM23" s="27">
        <v>2.0520657007500001</v>
      </c>
      <c r="AN23" s="27">
        <v>2.0520657007500001</v>
      </c>
      <c r="AO23" s="27">
        <v>2.4624788408999998</v>
      </c>
      <c r="AP23" s="27">
        <v>2.0520657007500001</v>
      </c>
      <c r="AQ23" s="27">
        <v>3.2833051212000002</v>
      </c>
      <c r="AR23" s="27">
        <v>3.2833051212000002</v>
      </c>
      <c r="AS23" s="27">
        <v>2.4624788408999998</v>
      </c>
      <c r="AT23" s="27">
        <v>1.2312394204499999</v>
      </c>
      <c r="AU23" s="27">
        <v>1.2312394204499999</v>
      </c>
      <c r="AV23" s="27">
        <v>1.6416525606000001</v>
      </c>
      <c r="AW23" s="27">
        <v>2.0520657007500001</v>
      </c>
      <c r="AX23" s="27">
        <v>3.2833051212000002</v>
      </c>
      <c r="AY23" s="27">
        <v>2.4624788408999998</v>
      </c>
      <c r="AZ23" s="27">
        <v>2.4624788408999998</v>
      </c>
      <c r="BA23" s="27">
        <v>2.87289198105</v>
      </c>
      <c r="BB23" s="27">
        <v>3.2833051212000002</v>
      </c>
      <c r="BC23" s="27">
        <v>2.0520657007500001</v>
      </c>
      <c r="BD23" s="27">
        <v>2.0520657007500001</v>
      </c>
      <c r="BE23" s="27">
        <v>2.87289198105</v>
      </c>
      <c r="BF23" s="27">
        <v>1.2312394204499999</v>
      </c>
      <c r="BG23" s="27">
        <v>1.2312394204499999</v>
      </c>
      <c r="BH23" s="27">
        <v>3.2833051212000002</v>
      </c>
      <c r="BI23" s="27">
        <v>2.4624788408999998</v>
      </c>
      <c r="BJ23" s="27">
        <v>1.6416525606000001</v>
      </c>
      <c r="BK23" s="27">
        <v>1.6416525606000001</v>
      </c>
      <c r="BL23" s="27">
        <v>3.2833051212000002</v>
      </c>
      <c r="BM23" s="27">
        <v>3.2833051212000002</v>
      </c>
      <c r="BN23" s="27">
        <v>3.2833051212000002</v>
      </c>
      <c r="BO23" s="27">
        <v>1.6416525606000001</v>
      </c>
      <c r="BP23" s="27">
        <v>2.0520657007500001</v>
      </c>
      <c r="BQ23" s="27">
        <v>2.0520657007500001</v>
      </c>
      <c r="BR23" s="27">
        <v>2.87289198105</v>
      </c>
      <c r="BS23" s="27">
        <v>3.2833051212000002</v>
      </c>
      <c r="BT23" s="27">
        <v>1.6416525606000001</v>
      </c>
      <c r="BU23" s="27">
        <v>0.82082628030000004</v>
      </c>
      <c r="BV23" s="27">
        <v>3.2833051212000002</v>
      </c>
      <c r="BW23" s="27">
        <v>2.87289198105</v>
      </c>
      <c r="BX23" s="27">
        <v>3.2833051212000002</v>
      </c>
      <c r="BY23" s="27">
        <v>2.4624788408999998</v>
      </c>
      <c r="BZ23" s="27">
        <v>0.82082628030000004</v>
      </c>
      <c r="CA23" s="27">
        <v>2.4624788408999998</v>
      </c>
      <c r="CB23" s="27">
        <v>2.3718681476201291</v>
      </c>
      <c r="CC23" s="33">
        <v>182.6338473667499</v>
      </c>
    </row>
    <row r="24" spans="1:81" x14ac:dyDescent="0.25">
      <c r="A24" s="23">
        <v>23</v>
      </c>
      <c r="B24" s="25">
        <v>11</v>
      </c>
      <c r="C24" s="27">
        <v>3.3849779246666678</v>
      </c>
      <c r="D24" s="27">
        <v>3.3849779246666678</v>
      </c>
      <c r="E24" s="27">
        <v>1.6924889623333339</v>
      </c>
      <c r="F24" s="27">
        <v>3.3849779246666678</v>
      </c>
      <c r="G24" s="27">
        <v>2.5387334435000009</v>
      </c>
      <c r="H24" s="27">
        <v>1.6924889623333339</v>
      </c>
      <c r="I24" s="27">
        <v>2.1156112029166669</v>
      </c>
      <c r="J24" s="27">
        <v>2.1156112029166669</v>
      </c>
      <c r="K24" s="27">
        <v>1.6924889623333339</v>
      </c>
      <c r="L24" s="27">
        <v>1.6924889623333339</v>
      </c>
      <c r="M24" s="27">
        <v>2.5387334435000009</v>
      </c>
      <c r="N24" s="27">
        <v>1.6924889623333339</v>
      </c>
      <c r="O24" s="27">
        <v>3.3849779246666678</v>
      </c>
      <c r="P24" s="27">
        <v>2.1156112029166669</v>
      </c>
      <c r="Q24" s="27">
        <v>2.1156112029166669</v>
      </c>
      <c r="R24" s="27">
        <v>2.1156112029166669</v>
      </c>
      <c r="S24" s="27">
        <v>3.3849779246666678</v>
      </c>
      <c r="T24" s="27">
        <v>3.3849779246666678</v>
      </c>
      <c r="U24" s="27">
        <v>2.9618556840833339</v>
      </c>
      <c r="V24" s="27">
        <v>1.6924889623333339</v>
      </c>
      <c r="W24" s="27">
        <v>3.3849779246666678</v>
      </c>
      <c r="X24" s="27">
        <v>2.1156112029166669</v>
      </c>
      <c r="Y24" s="27">
        <v>2.5387334435000009</v>
      </c>
      <c r="Z24" s="27">
        <v>2.5387334435000009</v>
      </c>
      <c r="AA24" s="27">
        <v>2.9618556840833339</v>
      </c>
      <c r="AB24" s="27">
        <v>2.1156112029166669</v>
      </c>
      <c r="AC24" s="27">
        <v>3.3849779246666678</v>
      </c>
      <c r="AD24" s="27">
        <v>3.3849779246666678</v>
      </c>
      <c r="AE24" s="27">
        <v>1.6924889623333339</v>
      </c>
      <c r="AF24" s="27">
        <v>3.3849779246666678</v>
      </c>
      <c r="AG24" s="27">
        <v>3.3849779246666678</v>
      </c>
      <c r="AH24" s="27">
        <v>1.6924889623333339</v>
      </c>
      <c r="AI24" s="27">
        <v>2.5387334435000009</v>
      </c>
      <c r="AJ24" s="27">
        <v>1.26936672175</v>
      </c>
      <c r="AK24" s="27">
        <v>1.6924889623333339</v>
      </c>
      <c r="AL24" s="27">
        <v>2.1156112029166669</v>
      </c>
      <c r="AM24" s="27">
        <v>2.1156112029166669</v>
      </c>
      <c r="AN24" s="27">
        <v>2.1156112029166669</v>
      </c>
      <c r="AO24" s="27">
        <v>2.5387334435000009</v>
      </c>
      <c r="AP24" s="27">
        <v>2.1156112029166669</v>
      </c>
      <c r="AQ24" s="27">
        <v>3.3849779246666678</v>
      </c>
      <c r="AR24" s="27">
        <v>3.3849779246666678</v>
      </c>
      <c r="AS24" s="27">
        <v>2.5387334435000009</v>
      </c>
      <c r="AT24" s="27">
        <v>1.26936672175</v>
      </c>
      <c r="AU24" s="27">
        <v>1.26936672175</v>
      </c>
      <c r="AV24" s="27">
        <v>1.6924889623333339</v>
      </c>
      <c r="AW24" s="27">
        <v>2.1156112029166669</v>
      </c>
      <c r="AX24" s="27">
        <v>3.3849779246666678</v>
      </c>
      <c r="AY24" s="27">
        <v>2.5387334435000009</v>
      </c>
      <c r="AZ24" s="27">
        <v>2.5387334435000009</v>
      </c>
      <c r="BA24" s="27">
        <v>2.9618556840833339</v>
      </c>
      <c r="BB24" s="27">
        <v>3.3849779246666678</v>
      </c>
      <c r="BC24" s="27">
        <v>2.1156112029166669</v>
      </c>
      <c r="BD24" s="27">
        <v>2.1156112029166669</v>
      </c>
      <c r="BE24" s="27">
        <v>2.9618556840833339</v>
      </c>
      <c r="BF24" s="27">
        <v>1.26936672175</v>
      </c>
      <c r="BG24" s="27">
        <v>1.26936672175</v>
      </c>
      <c r="BH24" s="27">
        <v>3.3849779246666678</v>
      </c>
      <c r="BI24" s="27">
        <v>2.5387334435000009</v>
      </c>
      <c r="BJ24" s="27">
        <v>1.6924889623333339</v>
      </c>
      <c r="BK24" s="27">
        <v>1.6924889623333339</v>
      </c>
      <c r="BL24" s="27">
        <v>3.3849779246666678</v>
      </c>
      <c r="BM24" s="27">
        <v>3.3849779246666678</v>
      </c>
      <c r="BN24" s="27">
        <v>3.3849779246666678</v>
      </c>
      <c r="BO24" s="27">
        <v>1.6924889623333339</v>
      </c>
      <c r="BP24" s="27">
        <v>2.1156112029166669</v>
      </c>
      <c r="BQ24" s="27">
        <v>2.1156112029166669</v>
      </c>
      <c r="BR24" s="27">
        <v>2.9618556840833339</v>
      </c>
      <c r="BS24" s="27">
        <v>3.3849779246666678</v>
      </c>
      <c r="BT24" s="27">
        <v>1.6924889623333339</v>
      </c>
      <c r="BU24" s="27">
        <v>0.84624448116666695</v>
      </c>
      <c r="BV24" s="27">
        <v>3.3849779246666678</v>
      </c>
      <c r="BW24" s="27">
        <v>2.9618556840833339</v>
      </c>
      <c r="BX24" s="27">
        <v>3.3849779246666678</v>
      </c>
      <c r="BY24" s="27">
        <v>2.5387334435000009</v>
      </c>
      <c r="BZ24" s="27">
        <v>0.84624448116666695</v>
      </c>
      <c r="CA24" s="27">
        <v>2.5387334435000009</v>
      </c>
      <c r="CB24" s="27">
        <v>2.4453168449296538</v>
      </c>
      <c r="CC24" s="33">
        <v>188.28939705958331</v>
      </c>
    </row>
    <row r="25" spans="1:81" x14ac:dyDescent="0.25">
      <c r="A25" s="23">
        <v>24</v>
      </c>
      <c r="B25" s="25">
        <v>11.5</v>
      </c>
      <c r="C25" s="27">
        <v>3.4295667087999999</v>
      </c>
      <c r="D25" s="27">
        <v>3.4295667087999999</v>
      </c>
      <c r="E25" s="27">
        <v>1.7147833544</v>
      </c>
      <c r="F25" s="27">
        <v>3.4295667087999999</v>
      </c>
      <c r="G25" s="27">
        <v>2.5721750316000001</v>
      </c>
      <c r="H25" s="27">
        <v>1.7147833544</v>
      </c>
      <c r="I25" s="27">
        <v>2.1434791930000001</v>
      </c>
      <c r="J25" s="27">
        <v>2.1434791930000001</v>
      </c>
      <c r="K25" s="27">
        <v>1.7147833544</v>
      </c>
      <c r="L25" s="27">
        <v>1.7147833544</v>
      </c>
      <c r="M25" s="27">
        <v>2.5721750316000001</v>
      </c>
      <c r="N25" s="27">
        <v>1.7147833544</v>
      </c>
      <c r="O25" s="27">
        <v>3.4295667087999999</v>
      </c>
      <c r="P25" s="27">
        <v>2.1434791930000001</v>
      </c>
      <c r="Q25" s="27">
        <v>2.1434791930000001</v>
      </c>
      <c r="R25" s="27">
        <v>2.1434791930000001</v>
      </c>
      <c r="S25" s="27">
        <v>3.4295667087999999</v>
      </c>
      <c r="T25" s="27">
        <v>3.4295667087999999</v>
      </c>
      <c r="U25" s="27">
        <v>3.0008708702</v>
      </c>
      <c r="V25" s="27">
        <v>1.7147833544</v>
      </c>
      <c r="W25" s="27">
        <v>3.4295667087999999</v>
      </c>
      <c r="X25" s="27">
        <v>2.1434791930000001</v>
      </c>
      <c r="Y25" s="27">
        <v>2.5721750316000001</v>
      </c>
      <c r="Z25" s="27">
        <v>2.5721750316000001</v>
      </c>
      <c r="AA25" s="27">
        <v>3.0008708702</v>
      </c>
      <c r="AB25" s="27">
        <v>2.1434791930000001</v>
      </c>
      <c r="AC25" s="27">
        <v>3.4295667087999999</v>
      </c>
      <c r="AD25" s="27">
        <v>3.4295667087999999</v>
      </c>
      <c r="AE25" s="27">
        <v>1.7147833544</v>
      </c>
      <c r="AF25" s="27">
        <v>3.4295667087999999</v>
      </c>
      <c r="AG25" s="27">
        <v>3.4295667087999999</v>
      </c>
      <c r="AH25" s="27">
        <v>1.7147833544</v>
      </c>
      <c r="AI25" s="27">
        <v>2.5721750316000001</v>
      </c>
      <c r="AJ25" s="27">
        <v>1.2860875158</v>
      </c>
      <c r="AK25" s="27">
        <v>1.7147833544</v>
      </c>
      <c r="AL25" s="27">
        <v>2.1434791930000001</v>
      </c>
      <c r="AM25" s="27">
        <v>2.1434791930000001</v>
      </c>
      <c r="AN25" s="27">
        <v>2.1434791930000001</v>
      </c>
      <c r="AO25" s="27">
        <v>2.5721750316000001</v>
      </c>
      <c r="AP25" s="27">
        <v>2.1434791930000001</v>
      </c>
      <c r="AQ25" s="27">
        <v>3.4295667087999999</v>
      </c>
      <c r="AR25" s="27">
        <v>3.4295667087999999</v>
      </c>
      <c r="AS25" s="27">
        <v>2.5721750316000001</v>
      </c>
      <c r="AT25" s="27">
        <v>1.2860875158</v>
      </c>
      <c r="AU25" s="27">
        <v>1.2860875158</v>
      </c>
      <c r="AV25" s="27">
        <v>1.7147833544</v>
      </c>
      <c r="AW25" s="27">
        <v>2.1434791930000001</v>
      </c>
      <c r="AX25" s="27">
        <v>3.4295667087999999</v>
      </c>
      <c r="AY25" s="27">
        <v>2.5721750316000001</v>
      </c>
      <c r="AZ25" s="27">
        <v>2.5721750316000001</v>
      </c>
      <c r="BA25" s="27">
        <v>3.0008708702</v>
      </c>
      <c r="BB25" s="27">
        <v>3.4295667087999999</v>
      </c>
      <c r="BC25" s="27">
        <v>2.1434791930000001</v>
      </c>
      <c r="BD25" s="27">
        <v>2.1434791930000001</v>
      </c>
      <c r="BE25" s="27">
        <v>3.0008708702</v>
      </c>
      <c r="BF25" s="27">
        <v>1.2860875158</v>
      </c>
      <c r="BG25" s="27">
        <v>1.2860875158</v>
      </c>
      <c r="BH25" s="27">
        <v>3.4295667087999999</v>
      </c>
      <c r="BI25" s="27">
        <v>2.5721750316000001</v>
      </c>
      <c r="BJ25" s="27">
        <v>1.7147833544</v>
      </c>
      <c r="BK25" s="27">
        <v>1.7147833544</v>
      </c>
      <c r="BL25" s="27">
        <v>3.4295667087999999</v>
      </c>
      <c r="BM25" s="27">
        <v>3.4295667087999999</v>
      </c>
      <c r="BN25" s="27">
        <v>3.4295667087999999</v>
      </c>
      <c r="BO25" s="27">
        <v>1.7147833544</v>
      </c>
      <c r="BP25" s="27">
        <v>2.1434791930000001</v>
      </c>
      <c r="BQ25" s="27">
        <v>2.1434791930000001</v>
      </c>
      <c r="BR25" s="27">
        <v>3.0008708702</v>
      </c>
      <c r="BS25" s="27">
        <v>3.4295667087999999</v>
      </c>
      <c r="BT25" s="27">
        <v>1.7147833544</v>
      </c>
      <c r="BU25" s="27">
        <v>0.85739167719999998</v>
      </c>
      <c r="BV25" s="27">
        <v>3.4295667087999999</v>
      </c>
      <c r="BW25" s="27">
        <v>3.0008708702</v>
      </c>
      <c r="BX25" s="27">
        <v>3.4295667087999999</v>
      </c>
      <c r="BY25" s="27">
        <v>2.5721750316000001</v>
      </c>
      <c r="BZ25" s="27">
        <v>0.85739167719999998</v>
      </c>
      <c r="CA25" s="27">
        <v>2.5721750316000001</v>
      </c>
      <c r="CB25" s="27">
        <v>2.4775278984025979</v>
      </c>
      <c r="CC25" s="33">
        <v>190.76964817699999</v>
      </c>
    </row>
    <row r="26" spans="1:81" x14ac:dyDescent="0.25">
      <c r="A26" s="23">
        <v>25</v>
      </c>
      <c r="B26" s="25">
        <v>12</v>
      </c>
      <c r="C26" s="27">
        <v>3.442481329066668</v>
      </c>
      <c r="D26" s="27">
        <v>3.442481329066668</v>
      </c>
      <c r="E26" s="27">
        <v>1.721240664533334</v>
      </c>
      <c r="F26" s="27">
        <v>3.442481329066668</v>
      </c>
      <c r="G26" s="27">
        <v>2.581860996800001</v>
      </c>
      <c r="H26" s="27">
        <v>1.721240664533334</v>
      </c>
      <c r="I26" s="27">
        <v>2.1515508306666669</v>
      </c>
      <c r="J26" s="27">
        <v>2.1515508306666669</v>
      </c>
      <c r="K26" s="27">
        <v>1.721240664533334</v>
      </c>
      <c r="L26" s="27">
        <v>1.721240664533334</v>
      </c>
      <c r="M26" s="27">
        <v>2.581860996800001</v>
      </c>
      <c r="N26" s="27">
        <v>1.721240664533334</v>
      </c>
      <c r="O26" s="27">
        <v>3.442481329066668</v>
      </c>
      <c r="P26" s="27">
        <v>2.1515508306666669</v>
      </c>
      <c r="Q26" s="27">
        <v>2.1515508306666669</v>
      </c>
      <c r="R26" s="27">
        <v>2.1515508306666669</v>
      </c>
      <c r="S26" s="27">
        <v>3.442481329066668</v>
      </c>
      <c r="T26" s="27">
        <v>3.442481329066668</v>
      </c>
      <c r="U26" s="27">
        <v>3.0121711629333352</v>
      </c>
      <c r="V26" s="27">
        <v>1.721240664533334</v>
      </c>
      <c r="W26" s="27">
        <v>3.442481329066668</v>
      </c>
      <c r="X26" s="27">
        <v>2.1515508306666669</v>
      </c>
      <c r="Y26" s="27">
        <v>2.581860996800001</v>
      </c>
      <c r="Z26" s="27">
        <v>2.581860996800001</v>
      </c>
      <c r="AA26" s="27">
        <v>3.0121711629333352</v>
      </c>
      <c r="AB26" s="27">
        <v>2.1515508306666669</v>
      </c>
      <c r="AC26" s="27">
        <v>3.442481329066668</v>
      </c>
      <c r="AD26" s="27">
        <v>3.442481329066668</v>
      </c>
      <c r="AE26" s="27">
        <v>1.721240664533334</v>
      </c>
      <c r="AF26" s="27">
        <v>3.442481329066668</v>
      </c>
      <c r="AG26" s="27">
        <v>3.442481329066668</v>
      </c>
      <c r="AH26" s="27">
        <v>1.721240664533334</v>
      </c>
      <c r="AI26" s="27">
        <v>2.581860996800001</v>
      </c>
      <c r="AJ26" s="27">
        <v>1.290930498400001</v>
      </c>
      <c r="AK26" s="27">
        <v>1.721240664533334</v>
      </c>
      <c r="AL26" s="27">
        <v>2.1515508306666669</v>
      </c>
      <c r="AM26" s="27">
        <v>2.1515508306666669</v>
      </c>
      <c r="AN26" s="27">
        <v>2.1515508306666669</v>
      </c>
      <c r="AO26" s="27">
        <v>2.581860996800001</v>
      </c>
      <c r="AP26" s="27">
        <v>2.1515508306666669</v>
      </c>
      <c r="AQ26" s="27">
        <v>3.442481329066668</v>
      </c>
      <c r="AR26" s="27">
        <v>3.442481329066668</v>
      </c>
      <c r="AS26" s="27">
        <v>2.581860996800001</v>
      </c>
      <c r="AT26" s="27">
        <v>1.290930498400001</v>
      </c>
      <c r="AU26" s="27">
        <v>1.290930498400001</v>
      </c>
      <c r="AV26" s="27">
        <v>1.721240664533334</v>
      </c>
      <c r="AW26" s="27">
        <v>2.1515508306666669</v>
      </c>
      <c r="AX26" s="27">
        <v>3.442481329066668</v>
      </c>
      <c r="AY26" s="27">
        <v>2.581860996800001</v>
      </c>
      <c r="AZ26" s="27">
        <v>2.581860996800001</v>
      </c>
      <c r="BA26" s="27">
        <v>3.0121711629333352</v>
      </c>
      <c r="BB26" s="27">
        <v>3.442481329066668</v>
      </c>
      <c r="BC26" s="27">
        <v>2.1515508306666669</v>
      </c>
      <c r="BD26" s="27">
        <v>2.1515508306666669</v>
      </c>
      <c r="BE26" s="27">
        <v>3.0121711629333352</v>
      </c>
      <c r="BF26" s="27">
        <v>1.290930498400001</v>
      </c>
      <c r="BG26" s="27">
        <v>1.290930498400001</v>
      </c>
      <c r="BH26" s="27">
        <v>3.442481329066668</v>
      </c>
      <c r="BI26" s="27">
        <v>2.581860996800001</v>
      </c>
      <c r="BJ26" s="27">
        <v>1.721240664533334</v>
      </c>
      <c r="BK26" s="27">
        <v>1.721240664533334</v>
      </c>
      <c r="BL26" s="27">
        <v>3.442481329066668</v>
      </c>
      <c r="BM26" s="27">
        <v>3.442481329066668</v>
      </c>
      <c r="BN26" s="27">
        <v>3.442481329066668</v>
      </c>
      <c r="BO26" s="27">
        <v>1.721240664533334</v>
      </c>
      <c r="BP26" s="27">
        <v>2.1515508306666669</v>
      </c>
      <c r="BQ26" s="27">
        <v>2.1515508306666669</v>
      </c>
      <c r="BR26" s="27">
        <v>3.0121711629333352</v>
      </c>
      <c r="BS26" s="27">
        <v>3.442481329066668</v>
      </c>
      <c r="BT26" s="27">
        <v>1.721240664533334</v>
      </c>
      <c r="BU26" s="27">
        <v>0.86062033226666701</v>
      </c>
      <c r="BV26" s="27">
        <v>3.442481329066668</v>
      </c>
      <c r="BW26" s="27">
        <v>3.0121711629333352</v>
      </c>
      <c r="BX26" s="27">
        <v>3.442481329066668</v>
      </c>
      <c r="BY26" s="27">
        <v>2.581860996800001</v>
      </c>
      <c r="BZ26" s="27">
        <v>0.86062033226666701</v>
      </c>
      <c r="CA26" s="27">
        <v>2.581860996800001</v>
      </c>
      <c r="CB26" s="27">
        <v>2.4868574536277079</v>
      </c>
      <c r="CC26" s="33">
        <v>191.48802392933351</v>
      </c>
    </row>
    <row r="27" spans="1:81" x14ac:dyDescent="0.25">
      <c r="A27" s="23">
        <v>26</v>
      </c>
      <c r="B27" s="25">
        <v>12.5</v>
      </c>
      <c r="C27" s="27">
        <v>3.4183216719999998</v>
      </c>
      <c r="D27" s="27">
        <v>3.4183216719999998</v>
      </c>
      <c r="E27" s="27">
        <v>1.7091608359999999</v>
      </c>
      <c r="F27" s="27">
        <v>3.4183216719999998</v>
      </c>
      <c r="G27" s="27">
        <v>2.563741254</v>
      </c>
      <c r="H27" s="27">
        <v>1.7091608359999999</v>
      </c>
      <c r="I27" s="27">
        <v>2.1364510449999998</v>
      </c>
      <c r="J27" s="27">
        <v>2.1364510449999998</v>
      </c>
      <c r="K27" s="27">
        <v>1.7091608359999999</v>
      </c>
      <c r="L27" s="27">
        <v>1.7091608359999999</v>
      </c>
      <c r="M27" s="27">
        <v>2.563741254</v>
      </c>
      <c r="N27" s="27">
        <v>1.7091608359999999</v>
      </c>
      <c r="O27" s="27">
        <v>3.4183216719999998</v>
      </c>
      <c r="P27" s="27">
        <v>2.1364510449999998</v>
      </c>
      <c r="Q27" s="27">
        <v>2.1364510449999998</v>
      </c>
      <c r="R27" s="27">
        <v>2.1364510449999998</v>
      </c>
      <c r="S27" s="27">
        <v>3.4183216719999998</v>
      </c>
      <c r="T27" s="27">
        <v>3.4183216719999998</v>
      </c>
      <c r="U27" s="27">
        <v>2.9910314630000001</v>
      </c>
      <c r="V27" s="27">
        <v>1.7091608359999999</v>
      </c>
      <c r="W27" s="27">
        <v>3.4183216719999998</v>
      </c>
      <c r="X27" s="27">
        <v>2.1364510449999998</v>
      </c>
      <c r="Y27" s="27">
        <v>2.563741254</v>
      </c>
      <c r="Z27" s="27">
        <v>2.563741254</v>
      </c>
      <c r="AA27" s="27">
        <v>2.9910314630000001</v>
      </c>
      <c r="AB27" s="27">
        <v>2.1364510449999998</v>
      </c>
      <c r="AC27" s="27">
        <v>3.4183216719999998</v>
      </c>
      <c r="AD27" s="27">
        <v>3.4183216719999998</v>
      </c>
      <c r="AE27" s="27">
        <v>1.7091608359999999</v>
      </c>
      <c r="AF27" s="27">
        <v>3.4183216719999998</v>
      </c>
      <c r="AG27" s="27">
        <v>3.4183216719999998</v>
      </c>
      <c r="AH27" s="27">
        <v>1.7091608359999999</v>
      </c>
      <c r="AI27" s="27">
        <v>2.563741254</v>
      </c>
      <c r="AJ27" s="27">
        <v>1.281870627</v>
      </c>
      <c r="AK27" s="27">
        <v>1.7091608359999999</v>
      </c>
      <c r="AL27" s="27">
        <v>2.1364510449999998</v>
      </c>
      <c r="AM27" s="27">
        <v>2.1364510449999998</v>
      </c>
      <c r="AN27" s="27">
        <v>2.1364510449999998</v>
      </c>
      <c r="AO27" s="27">
        <v>2.563741254</v>
      </c>
      <c r="AP27" s="27">
        <v>2.1364510449999998</v>
      </c>
      <c r="AQ27" s="27">
        <v>3.4183216719999998</v>
      </c>
      <c r="AR27" s="27">
        <v>3.4183216719999998</v>
      </c>
      <c r="AS27" s="27">
        <v>2.563741254</v>
      </c>
      <c r="AT27" s="27">
        <v>1.281870627</v>
      </c>
      <c r="AU27" s="27">
        <v>1.281870627</v>
      </c>
      <c r="AV27" s="27">
        <v>1.7091608359999999</v>
      </c>
      <c r="AW27" s="27">
        <v>2.1364510449999998</v>
      </c>
      <c r="AX27" s="27">
        <v>3.4183216719999998</v>
      </c>
      <c r="AY27" s="27">
        <v>2.563741254</v>
      </c>
      <c r="AZ27" s="27">
        <v>2.563741254</v>
      </c>
      <c r="BA27" s="27">
        <v>2.9910314630000001</v>
      </c>
      <c r="BB27" s="27">
        <v>3.4183216719999998</v>
      </c>
      <c r="BC27" s="27">
        <v>2.1364510449999998</v>
      </c>
      <c r="BD27" s="27">
        <v>2.1364510449999998</v>
      </c>
      <c r="BE27" s="27">
        <v>2.9910314630000001</v>
      </c>
      <c r="BF27" s="27">
        <v>1.281870627</v>
      </c>
      <c r="BG27" s="27">
        <v>1.281870627</v>
      </c>
      <c r="BH27" s="27">
        <v>3.4183216719999998</v>
      </c>
      <c r="BI27" s="27">
        <v>2.563741254</v>
      </c>
      <c r="BJ27" s="27">
        <v>1.7091608359999999</v>
      </c>
      <c r="BK27" s="27">
        <v>1.7091608359999999</v>
      </c>
      <c r="BL27" s="27">
        <v>3.4183216719999998</v>
      </c>
      <c r="BM27" s="27">
        <v>3.4183216719999998</v>
      </c>
      <c r="BN27" s="27">
        <v>3.4183216719999998</v>
      </c>
      <c r="BO27" s="27">
        <v>1.7091608359999999</v>
      </c>
      <c r="BP27" s="27">
        <v>2.1364510449999998</v>
      </c>
      <c r="BQ27" s="27">
        <v>2.1364510449999998</v>
      </c>
      <c r="BR27" s="27">
        <v>2.9910314630000001</v>
      </c>
      <c r="BS27" s="27">
        <v>3.4183216719999998</v>
      </c>
      <c r="BT27" s="27">
        <v>1.7091608359999999</v>
      </c>
      <c r="BU27" s="27">
        <v>0.85458041799999995</v>
      </c>
      <c r="BV27" s="27">
        <v>3.4183216719999998</v>
      </c>
      <c r="BW27" s="27">
        <v>2.9910314630000001</v>
      </c>
      <c r="BX27" s="27">
        <v>3.4183216719999998</v>
      </c>
      <c r="BY27" s="27">
        <v>2.563741254</v>
      </c>
      <c r="BZ27" s="27">
        <v>0.85458041799999995</v>
      </c>
      <c r="CA27" s="27">
        <v>2.563741254</v>
      </c>
      <c r="CB27" s="27">
        <v>2.4694044546103902</v>
      </c>
      <c r="CC27" s="33">
        <v>190.14414300499999</v>
      </c>
    </row>
    <row r="28" spans="1:81" x14ac:dyDescent="0.25">
      <c r="A28" s="23">
        <v>27</v>
      </c>
      <c r="B28" s="25">
        <v>13</v>
      </c>
      <c r="C28" s="27">
        <v>3.337158482</v>
      </c>
      <c r="D28" s="27">
        <v>3.337158482</v>
      </c>
      <c r="E28" s="27">
        <v>1.668579241</v>
      </c>
      <c r="F28" s="27">
        <v>3.337158482</v>
      </c>
      <c r="G28" s="27">
        <v>2.5028688615000001</v>
      </c>
      <c r="H28" s="27">
        <v>1.668579241</v>
      </c>
      <c r="I28" s="27">
        <v>2.0857240512500002</v>
      </c>
      <c r="J28" s="27">
        <v>2.0857240512500002</v>
      </c>
      <c r="K28" s="27">
        <v>1.668579241</v>
      </c>
      <c r="L28" s="27">
        <v>1.668579241</v>
      </c>
      <c r="M28" s="27">
        <v>2.5028688615000001</v>
      </c>
      <c r="N28" s="27">
        <v>1.668579241</v>
      </c>
      <c r="O28" s="27">
        <v>3.337158482</v>
      </c>
      <c r="P28" s="27">
        <v>2.0857240512500002</v>
      </c>
      <c r="Q28" s="27">
        <v>2.0857240512500002</v>
      </c>
      <c r="R28" s="27">
        <v>2.0857240512500002</v>
      </c>
      <c r="S28" s="27">
        <v>3.337158482</v>
      </c>
      <c r="T28" s="27">
        <v>3.337158482</v>
      </c>
      <c r="U28" s="27">
        <v>2.92001367175</v>
      </c>
      <c r="V28" s="27">
        <v>1.668579241</v>
      </c>
      <c r="W28" s="27">
        <v>3.337158482</v>
      </c>
      <c r="X28" s="27">
        <v>2.0857240512500002</v>
      </c>
      <c r="Y28" s="27">
        <v>2.5028688615000001</v>
      </c>
      <c r="Z28" s="27">
        <v>2.5028688615000001</v>
      </c>
      <c r="AA28" s="27">
        <v>2.92001367175</v>
      </c>
      <c r="AB28" s="27">
        <v>2.0857240512500002</v>
      </c>
      <c r="AC28" s="27">
        <v>3.337158482</v>
      </c>
      <c r="AD28" s="27">
        <v>3.337158482</v>
      </c>
      <c r="AE28" s="27">
        <v>1.668579241</v>
      </c>
      <c r="AF28" s="27">
        <v>3.337158482</v>
      </c>
      <c r="AG28" s="27">
        <v>3.337158482</v>
      </c>
      <c r="AH28" s="27">
        <v>1.668579241</v>
      </c>
      <c r="AI28" s="27">
        <v>2.5028688615000001</v>
      </c>
      <c r="AJ28" s="27">
        <v>1.25143443075</v>
      </c>
      <c r="AK28" s="27">
        <v>1.668579241</v>
      </c>
      <c r="AL28" s="27">
        <v>2.0857240512500002</v>
      </c>
      <c r="AM28" s="27">
        <v>2.0857240512500002</v>
      </c>
      <c r="AN28" s="27">
        <v>2.0857240512500002</v>
      </c>
      <c r="AO28" s="27">
        <v>2.5028688615000001</v>
      </c>
      <c r="AP28" s="27">
        <v>2.0857240512500002</v>
      </c>
      <c r="AQ28" s="27">
        <v>3.337158482</v>
      </c>
      <c r="AR28" s="27">
        <v>3.337158482</v>
      </c>
      <c r="AS28" s="27">
        <v>2.5028688615000001</v>
      </c>
      <c r="AT28" s="27">
        <v>1.25143443075</v>
      </c>
      <c r="AU28" s="27">
        <v>1.25143443075</v>
      </c>
      <c r="AV28" s="27">
        <v>1.668579241</v>
      </c>
      <c r="AW28" s="27">
        <v>2.0857240512500002</v>
      </c>
      <c r="AX28" s="27">
        <v>3.337158482</v>
      </c>
      <c r="AY28" s="27">
        <v>2.5028688615000001</v>
      </c>
      <c r="AZ28" s="27">
        <v>2.5028688615000001</v>
      </c>
      <c r="BA28" s="27">
        <v>2.92001367175</v>
      </c>
      <c r="BB28" s="27">
        <v>3.337158482</v>
      </c>
      <c r="BC28" s="27">
        <v>2.0857240512500002</v>
      </c>
      <c r="BD28" s="27">
        <v>2.0857240512500002</v>
      </c>
      <c r="BE28" s="27">
        <v>2.92001367175</v>
      </c>
      <c r="BF28" s="27">
        <v>1.25143443075</v>
      </c>
      <c r="BG28" s="27">
        <v>1.25143443075</v>
      </c>
      <c r="BH28" s="27">
        <v>3.337158482</v>
      </c>
      <c r="BI28" s="27">
        <v>2.5028688615000001</v>
      </c>
      <c r="BJ28" s="27">
        <v>1.668579241</v>
      </c>
      <c r="BK28" s="27">
        <v>1.668579241</v>
      </c>
      <c r="BL28" s="27">
        <v>3.337158482</v>
      </c>
      <c r="BM28" s="27">
        <v>3.337158482</v>
      </c>
      <c r="BN28" s="27">
        <v>3.337158482</v>
      </c>
      <c r="BO28" s="27">
        <v>1.668579241</v>
      </c>
      <c r="BP28" s="27">
        <v>2.0857240512500002</v>
      </c>
      <c r="BQ28" s="27">
        <v>2.0857240512500002</v>
      </c>
      <c r="BR28" s="27">
        <v>2.92001367175</v>
      </c>
      <c r="BS28" s="27">
        <v>3.337158482</v>
      </c>
      <c r="BT28" s="27">
        <v>1.668579241</v>
      </c>
      <c r="BU28" s="27">
        <v>0.8342896205</v>
      </c>
      <c r="BV28" s="27">
        <v>3.337158482</v>
      </c>
      <c r="BW28" s="27">
        <v>2.92001367175</v>
      </c>
      <c r="BX28" s="27">
        <v>3.337158482</v>
      </c>
      <c r="BY28" s="27">
        <v>2.5028688615000001</v>
      </c>
      <c r="BZ28" s="27">
        <v>0.8342896205</v>
      </c>
      <c r="CA28" s="27">
        <v>2.5028688615000001</v>
      </c>
      <c r="CB28" s="27">
        <v>2.4107719553409099</v>
      </c>
      <c r="CC28" s="33">
        <v>185.62944056125011</v>
      </c>
    </row>
    <row r="29" spans="1:81" x14ac:dyDescent="0.25">
      <c r="A29" s="23">
        <v>28</v>
      </c>
      <c r="B29" s="25">
        <v>13.5</v>
      </c>
      <c r="C29" s="27">
        <v>3.2133343274666681</v>
      </c>
      <c r="D29" s="27">
        <v>3.2133343274666681</v>
      </c>
      <c r="E29" s="27">
        <v>1.6066671637333341</v>
      </c>
      <c r="F29" s="27">
        <v>3.2133343274666681</v>
      </c>
      <c r="G29" s="27">
        <v>2.410000745600001</v>
      </c>
      <c r="H29" s="27">
        <v>1.6066671637333341</v>
      </c>
      <c r="I29" s="27">
        <v>2.008333954666667</v>
      </c>
      <c r="J29" s="27">
        <v>2.008333954666667</v>
      </c>
      <c r="K29" s="27">
        <v>1.6066671637333341</v>
      </c>
      <c r="L29" s="27">
        <v>1.6066671637333341</v>
      </c>
      <c r="M29" s="27">
        <v>2.410000745600001</v>
      </c>
      <c r="N29" s="27">
        <v>1.6066671637333341</v>
      </c>
      <c r="O29" s="27">
        <v>3.2133343274666681</v>
      </c>
      <c r="P29" s="27">
        <v>2.008333954666667</v>
      </c>
      <c r="Q29" s="27">
        <v>2.008333954666667</v>
      </c>
      <c r="R29" s="27">
        <v>2.008333954666667</v>
      </c>
      <c r="S29" s="27">
        <v>3.2133343274666681</v>
      </c>
      <c r="T29" s="27">
        <v>3.2133343274666681</v>
      </c>
      <c r="U29" s="27">
        <v>2.811667536533335</v>
      </c>
      <c r="V29" s="27">
        <v>1.6066671637333341</v>
      </c>
      <c r="W29" s="27">
        <v>3.2133343274666681</v>
      </c>
      <c r="X29" s="27">
        <v>2.008333954666667</v>
      </c>
      <c r="Y29" s="27">
        <v>2.410000745600001</v>
      </c>
      <c r="Z29" s="27">
        <v>2.410000745600001</v>
      </c>
      <c r="AA29" s="27">
        <v>2.811667536533335</v>
      </c>
      <c r="AB29" s="27">
        <v>2.008333954666667</v>
      </c>
      <c r="AC29" s="27">
        <v>3.2133343274666681</v>
      </c>
      <c r="AD29" s="27">
        <v>3.2133343274666681</v>
      </c>
      <c r="AE29" s="27">
        <v>1.6066671637333341</v>
      </c>
      <c r="AF29" s="27">
        <v>3.2133343274666681</v>
      </c>
      <c r="AG29" s="27">
        <v>3.2133343274666681</v>
      </c>
      <c r="AH29" s="27">
        <v>1.6066671637333341</v>
      </c>
      <c r="AI29" s="27">
        <v>2.410000745600001</v>
      </c>
      <c r="AJ29" s="27">
        <v>1.2050003728000001</v>
      </c>
      <c r="AK29" s="27">
        <v>1.6066671637333341</v>
      </c>
      <c r="AL29" s="27">
        <v>2.008333954666667</v>
      </c>
      <c r="AM29" s="27">
        <v>2.008333954666667</v>
      </c>
      <c r="AN29" s="27">
        <v>2.008333954666667</v>
      </c>
      <c r="AO29" s="27">
        <v>2.410000745600001</v>
      </c>
      <c r="AP29" s="27">
        <v>2.008333954666667</v>
      </c>
      <c r="AQ29" s="27">
        <v>3.2133343274666681</v>
      </c>
      <c r="AR29" s="27">
        <v>3.2133343274666681</v>
      </c>
      <c r="AS29" s="27">
        <v>2.410000745600001</v>
      </c>
      <c r="AT29" s="27">
        <v>1.2050003728000001</v>
      </c>
      <c r="AU29" s="27">
        <v>1.2050003728000001</v>
      </c>
      <c r="AV29" s="27">
        <v>1.6066671637333341</v>
      </c>
      <c r="AW29" s="27">
        <v>2.008333954666667</v>
      </c>
      <c r="AX29" s="27">
        <v>3.2133343274666681</v>
      </c>
      <c r="AY29" s="27">
        <v>2.410000745600001</v>
      </c>
      <c r="AZ29" s="27">
        <v>2.410000745600001</v>
      </c>
      <c r="BA29" s="27">
        <v>2.811667536533335</v>
      </c>
      <c r="BB29" s="27">
        <v>3.2133343274666681</v>
      </c>
      <c r="BC29" s="27">
        <v>2.008333954666667</v>
      </c>
      <c r="BD29" s="27">
        <v>2.008333954666667</v>
      </c>
      <c r="BE29" s="27">
        <v>2.811667536533335</v>
      </c>
      <c r="BF29" s="27">
        <v>1.2050003728000001</v>
      </c>
      <c r="BG29" s="27">
        <v>1.2050003728000001</v>
      </c>
      <c r="BH29" s="27">
        <v>3.2133343274666681</v>
      </c>
      <c r="BI29" s="27">
        <v>2.410000745600001</v>
      </c>
      <c r="BJ29" s="27">
        <v>1.6066671637333341</v>
      </c>
      <c r="BK29" s="27">
        <v>1.6066671637333341</v>
      </c>
      <c r="BL29" s="27">
        <v>3.2133343274666681</v>
      </c>
      <c r="BM29" s="27">
        <v>3.2133343274666681</v>
      </c>
      <c r="BN29" s="27">
        <v>3.2133343274666681</v>
      </c>
      <c r="BO29" s="27">
        <v>1.6066671637333341</v>
      </c>
      <c r="BP29" s="27">
        <v>2.008333954666667</v>
      </c>
      <c r="BQ29" s="27">
        <v>2.008333954666667</v>
      </c>
      <c r="BR29" s="27">
        <v>2.811667536533335</v>
      </c>
      <c r="BS29" s="27">
        <v>3.2133343274666681</v>
      </c>
      <c r="BT29" s="27">
        <v>1.6066671637333341</v>
      </c>
      <c r="BU29" s="27">
        <v>0.80333358186666703</v>
      </c>
      <c r="BV29" s="27">
        <v>3.2133343274666681</v>
      </c>
      <c r="BW29" s="27">
        <v>2.811667536533335</v>
      </c>
      <c r="BX29" s="27">
        <v>3.2133343274666681</v>
      </c>
      <c r="BY29" s="27">
        <v>2.410000745600001</v>
      </c>
      <c r="BZ29" s="27">
        <v>0.80333358186666703</v>
      </c>
      <c r="CA29" s="27">
        <v>2.410000745600001</v>
      </c>
      <c r="CB29" s="27">
        <v>2.3213210644848492</v>
      </c>
      <c r="CC29" s="33">
        <v>178.7417219653334</v>
      </c>
    </row>
    <row r="30" spans="1:81" x14ac:dyDescent="0.25">
      <c r="A30" s="23">
        <v>29</v>
      </c>
      <c r="B30" s="25">
        <v>14</v>
      </c>
      <c r="C30" s="27">
        <v>3.0655078931999999</v>
      </c>
      <c r="D30" s="27">
        <v>3.0655078931999999</v>
      </c>
      <c r="E30" s="27">
        <v>1.5327539466</v>
      </c>
      <c r="F30" s="27">
        <v>3.0655078931999999</v>
      </c>
      <c r="G30" s="27">
        <v>2.2991309199000001</v>
      </c>
      <c r="H30" s="27">
        <v>1.5327539466</v>
      </c>
      <c r="I30" s="27">
        <v>1.9159424332499999</v>
      </c>
      <c r="J30" s="27">
        <v>1.9159424332499999</v>
      </c>
      <c r="K30" s="27">
        <v>1.5327539466</v>
      </c>
      <c r="L30" s="27">
        <v>1.5327539466</v>
      </c>
      <c r="M30" s="27">
        <v>2.2991309199000001</v>
      </c>
      <c r="N30" s="27">
        <v>1.5327539466</v>
      </c>
      <c r="O30" s="27">
        <v>3.0655078931999999</v>
      </c>
      <c r="P30" s="27">
        <v>1.9159424332499999</v>
      </c>
      <c r="Q30" s="27">
        <v>1.9159424332499999</v>
      </c>
      <c r="R30" s="27">
        <v>1.9159424332499999</v>
      </c>
      <c r="S30" s="27">
        <v>3.0655078931999999</v>
      </c>
      <c r="T30" s="27">
        <v>3.0655078931999999</v>
      </c>
      <c r="U30" s="27">
        <v>2.68231940655</v>
      </c>
      <c r="V30" s="27">
        <v>1.5327539466</v>
      </c>
      <c r="W30" s="27">
        <v>3.0655078931999999</v>
      </c>
      <c r="X30" s="27">
        <v>1.9159424332499999</v>
      </c>
      <c r="Y30" s="27">
        <v>2.2991309199000001</v>
      </c>
      <c r="Z30" s="27">
        <v>2.2991309199000001</v>
      </c>
      <c r="AA30" s="27">
        <v>2.68231940655</v>
      </c>
      <c r="AB30" s="27">
        <v>1.9159424332499999</v>
      </c>
      <c r="AC30" s="27">
        <v>3.0655078931999999</v>
      </c>
      <c r="AD30" s="27">
        <v>3.0655078931999999</v>
      </c>
      <c r="AE30" s="27">
        <v>1.5327539466</v>
      </c>
      <c r="AF30" s="27">
        <v>3.0655078931999999</v>
      </c>
      <c r="AG30" s="27">
        <v>3.0655078931999999</v>
      </c>
      <c r="AH30" s="27">
        <v>1.5327539466</v>
      </c>
      <c r="AI30" s="27">
        <v>2.2991309199000001</v>
      </c>
      <c r="AJ30" s="27">
        <v>1.14956545995</v>
      </c>
      <c r="AK30" s="27">
        <v>1.5327539466</v>
      </c>
      <c r="AL30" s="27">
        <v>1.9159424332499999</v>
      </c>
      <c r="AM30" s="27">
        <v>1.9159424332499999</v>
      </c>
      <c r="AN30" s="27">
        <v>1.9159424332499999</v>
      </c>
      <c r="AO30" s="27">
        <v>2.2991309199000001</v>
      </c>
      <c r="AP30" s="27">
        <v>1.9159424332499999</v>
      </c>
      <c r="AQ30" s="27">
        <v>3.0655078931999999</v>
      </c>
      <c r="AR30" s="27">
        <v>3.0655078931999999</v>
      </c>
      <c r="AS30" s="27">
        <v>2.2991309199000001</v>
      </c>
      <c r="AT30" s="27">
        <v>1.14956545995</v>
      </c>
      <c r="AU30" s="27">
        <v>1.14956545995</v>
      </c>
      <c r="AV30" s="27">
        <v>1.5327539466</v>
      </c>
      <c r="AW30" s="27">
        <v>1.9159424332499999</v>
      </c>
      <c r="AX30" s="27">
        <v>3.0655078931999999</v>
      </c>
      <c r="AY30" s="27">
        <v>2.2991309199000001</v>
      </c>
      <c r="AZ30" s="27">
        <v>2.2991309199000001</v>
      </c>
      <c r="BA30" s="27">
        <v>2.68231940655</v>
      </c>
      <c r="BB30" s="27">
        <v>3.0655078931999999</v>
      </c>
      <c r="BC30" s="27">
        <v>1.9159424332499999</v>
      </c>
      <c r="BD30" s="27">
        <v>1.9159424332499999</v>
      </c>
      <c r="BE30" s="27">
        <v>2.68231940655</v>
      </c>
      <c r="BF30" s="27">
        <v>1.14956545995</v>
      </c>
      <c r="BG30" s="27">
        <v>1.14956545995</v>
      </c>
      <c r="BH30" s="27">
        <v>3.0655078931999999</v>
      </c>
      <c r="BI30" s="27">
        <v>2.2991309199000001</v>
      </c>
      <c r="BJ30" s="27">
        <v>1.5327539466</v>
      </c>
      <c r="BK30" s="27">
        <v>1.5327539466</v>
      </c>
      <c r="BL30" s="27">
        <v>3.0655078931999999</v>
      </c>
      <c r="BM30" s="27">
        <v>3.0655078931999999</v>
      </c>
      <c r="BN30" s="27">
        <v>3.0655078931999999</v>
      </c>
      <c r="BO30" s="27">
        <v>1.5327539466</v>
      </c>
      <c r="BP30" s="27">
        <v>1.9159424332499999</v>
      </c>
      <c r="BQ30" s="27">
        <v>1.9159424332499999</v>
      </c>
      <c r="BR30" s="27">
        <v>2.68231940655</v>
      </c>
      <c r="BS30" s="27">
        <v>3.0655078931999999</v>
      </c>
      <c r="BT30" s="27">
        <v>1.5327539466</v>
      </c>
      <c r="BU30" s="27">
        <v>0.76637697329999999</v>
      </c>
      <c r="BV30" s="27">
        <v>3.0655078931999999</v>
      </c>
      <c r="BW30" s="27">
        <v>2.68231940655</v>
      </c>
      <c r="BX30" s="27">
        <v>3.0655078931999999</v>
      </c>
      <c r="BY30" s="27">
        <v>2.2991309199000001</v>
      </c>
      <c r="BZ30" s="27">
        <v>0.76637697329999999</v>
      </c>
      <c r="CA30" s="27">
        <v>2.2991309199000001</v>
      </c>
      <c r="CB30" s="27">
        <v>2.2145308644058419</v>
      </c>
      <c r="CC30" s="33">
        <v>170.5188765592498</v>
      </c>
    </row>
    <row r="31" spans="1:81" x14ac:dyDescent="0.25">
      <c r="A31" s="23">
        <v>30</v>
      </c>
      <c r="B31" s="25">
        <v>14.5</v>
      </c>
      <c r="C31" s="27">
        <v>2.8781901730666681</v>
      </c>
      <c r="D31" s="27">
        <v>2.8781901730666681</v>
      </c>
      <c r="E31" s="27">
        <v>1.4390950865333341</v>
      </c>
      <c r="F31" s="27">
        <v>2.8781901730666681</v>
      </c>
      <c r="G31" s="27">
        <v>2.158642629800001</v>
      </c>
      <c r="H31" s="27">
        <v>1.4390950865333341</v>
      </c>
      <c r="I31" s="27">
        <v>1.7988688581666681</v>
      </c>
      <c r="J31" s="27">
        <v>1.7988688581666681</v>
      </c>
      <c r="K31" s="27">
        <v>1.4390950865333341</v>
      </c>
      <c r="L31" s="27">
        <v>1.4390950865333341</v>
      </c>
      <c r="M31" s="27">
        <v>2.158642629800001</v>
      </c>
      <c r="N31" s="27">
        <v>1.4390950865333341</v>
      </c>
      <c r="O31" s="27">
        <v>2.8781901730666681</v>
      </c>
      <c r="P31" s="27">
        <v>1.7988688581666681</v>
      </c>
      <c r="Q31" s="27">
        <v>1.7988688581666681</v>
      </c>
      <c r="R31" s="27">
        <v>1.7988688581666681</v>
      </c>
      <c r="S31" s="27">
        <v>2.8781901730666681</v>
      </c>
      <c r="T31" s="27">
        <v>2.8781901730666681</v>
      </c>
      <c r="U31" s="27">
        <v>2.5184164014333348</v>
      </c>
      <c r="V31" s="27">
        <v>1.4390950865333341</v>
      </c>
      <c r="W31" s="27">
        <v>2.8781901730666681</v>
      </c>
      <c r="X31" s="27">
        <v>1.7988688581666681</v>
      </c>
      <c r="Y31" s="27">
        <v>2.158642629800001</v>
      </c>
      <c r="Z31" s="27">
        <v>2.158642629800001</v>
      </c>
      <c r="AA31" s="27">
        <v>2.5184164014333348</v>
      </c>
      <c r="AB31" s="27">
        <v>1.7988688581666681</v>
      </c>
      <c r="AC31" s="27">
        <v>2.8781901730666681</v>
      </c>
      <c r="AD31" s="27">
        <v>2.8781901730666681</v>
      </c>
      <c r="AE31" s="27">
        <v>1.4390950865333341</v>
      </c>
      <c r="AF31" s="27">
        <v>2.8781901730666681</v>
      </c>
      <c r="AG31" s="27">
        <v>2.8781901730666681</v>
      </c>
      <c r="AH31" s="27">
        <v>1.4390950865333341</v>
      </c>
      <c r="AI31" s="27">
        <v>2.158642629800001</v>
      </c>
      <c r="AJ31" s="27">
        <v>1.0793213149000001</v>
      </c>
      <c r="AK31" s="27">
        <v>1.4390950865333341</v>
      </c>
      <c r="AL31" s="27">
        <v>1.7988688581666681</v>
      </c>
      <c r="AM31" s="27">
        <v>1.7988688581666681</v>
      </c>
      <c r="AN31" s="27">
        <v>1.7988688581666681</v>
      </c>
      <c r="AO31" s="27">
        <v>2.158642629800001</v>
      </c>
      <c r="AP31" s="27">
        <v>1.7988688581666681</v>
      </c>
      <c r="AQ31" s="27">
        <v>2.8781901730666681</v>
      </c>
      <c r="AR31" s="27">
        <v>2.8781901730666681</v>
      </c>
      <c r="AS31" s="27">
        <v>2.158642629800001</v>
      </c>
      <c r="AT31" s="27">
        <v>1.0793213149000001</v>
      </c>
      <c r="AU31" s="27">
        <v>1.0793213149000001</v>
      </c>
      <c r="AV31" s="27">
        <v>1.4390950865333341</v>
      </c>
      <c r="AW31" s="27">
        <v>1.7988688581666681</v>
      </c>
      <c r="AX31" s="27">
        <v>2.8781901730666681</v>
      </c>
      <c r="AY31" s="27">
        <v>2.158642629800001</v>
      </c>
      <c r="AZ31" s="27">
        <v>2.158642629800001</v>
      </c>
      <c r="BA31" s="27">
        <v>2.5184164014333348</v>
      </c>
      <c r="BB31" s="27">
        <v>2.8781901730666681</v>
      </c>
      <c r="BC31" s="27">
        <v>1.7988688581666681</v>
      </c>
      <c r="BD31" s="27">
        <v>1.7988688581666681</v>
      </c>
      <c r="BE31" s="27">
        <v>2.5184164014333348</v>
      </c>
      <c r="BF31" s="27">
        <v>1.0793213149000001</v>
      </c>
      <c r="BG31" s="27">
        <v>1.0793213149000001</v>
      </c>
      <c r="BH31" s="27">
        <v>2.8781901730666681</v>
      </c>
      <c r="BI31" s="27">
        <v>2.158642629800001</v>
      </c>
      <c r="BJ31" s="27">
        <v>1.4390950865333341</v>
      </c>
      <c r="BK31" s="27">
        <v>1.4390950865333341</v>
      </c>
      <c r="BL31" s="27">
        <v>2.8781901730666681</v>
      </c>
      <c r="BM31" s="27">
        <v>2.8781901730666681</v>
      </c>
      <c r="BN31" s="27">
        <v>2.8781901730666681</v>
      </c>
      <c r="BO31" s="27">
        <v>1.4390950865333341</v>
      </c>
      <c r="BP31" s="27">
        <v>1.7988688581666681</v>
      </c>
      <c r="BQ31" s="27">
        <v>1.7988688581666681</v>
      </c>
      <c r="BR31" s="27">
        <v>2.5184164014333348</v>
      </c>
      <c r="BS31" s="27">
        <v>2.8781901730666681</v>
      </c>
      <c r="BT31" s="27">
        <v>1.4390950865333341</v>
      </c>
      <c r="BU31" s="27">
        <v>0.71954754326666703</v>
      </c>
      <c r="BV31" s="27">
        <v>2.8781901730666681</v>
      </c>
      <c r="BW31" s="27">
        <v>2.5184164014333348</v>
      </c>
      <c r="BX31" s="27">
        <v>2.8781901730666681</v>
      </c>
      <c r="BY31" s="27">
        <v>2.158642629800001</v>
      </c>
      <c r="BZ31" s="27">
        <v>0.71954754326666703</v>
      </c>
      <c r="CA31" s="27">
        <v>2.158642629800001</v>
      </c>
      <c r="CB31" s="27">
        <v>2.0792120568419921</v>
      </c>
      <c r="CC31" s="33">
        <v>160.09932837683331</v>
      </c>
    </row>
    <row r="32" spans="1:81" x14ac:dyDescent="0.25">
      <c r="A32" s="23">
        <v>31</v>
      </c>
      <c r="B32" s="25">
        <v>15</v>
      </c>
      <c r="C32" s="27">
        <v>2.6791284948</v>
      </c>
      <c r="D32" s="27">
        <v>2.6791284948</v>
      </c>
      <c r="E32" s="27">
        <v>1.3395642474</v>
      </c>
      <c r="F32" s="27">
        <v>2.6791284948</v>
      </c>
      <c r="G32" s="27">
        <v>2.0093463710999999</v>
      </c>
      <c r="H32" s="27">
        <v>1.3395642474</v>
      </c>
      <c r="I32" s="27">
        <v>1.6744553092500001</v>
      </c>
      <c r="J32" s="27">
        <v>1.6744553092500001</v>
      </c>
      <c r="K32" s="27">
        <v>1.3395642474</v>
      </c>
      <c r="L32" s="27">
        <v>1.3395642474</v>
      </c>
      <c r="M32" s="27">
        <v>2.0093463710999999</v>
      </c>
      <c r="N32" s="27">
        <v>1.3395642474</v>
      </c>
      <c r="O32" s="27">
        <v>2.6791284948</v>
      </c>
      <c r="P32" s="27">
        <v>1.6744553092500001</v>
      </c>
      <c r="Q32" s="27">
        <v>1.6744553092500001</v>
      </c>
      <c r="R32" s="27">
        <v>1.6744553092500001</v>
      </c>
      <c r="S32" s="27">
        <v>2.6791284948</v>
      </c>
      <c r="T32" s="27">
        <v>2.6791284948</v>
      </c>
      <c r="U32" s="27">
        <v>2.34423743295</v>
      </c>
      <c r="V32" s="27">
        <v>1.3395642474</v>
      </c>
      <c r="W32" s="27">
        <v>2.6791284948</v>
      </c>
      <c r="X32" s="27">
        <v>1.6744553092500001</v>
      </c>
      <c r="Y32" s="27">
        <v>2.0093463710999999</v>
      </c>
      <c r="Z32" s="27">
        <v>2.0093463710999999</v>
      </c>
      <c r="AA32" s="27">
        <v>2.34423743295</v>
      </c>
      <c r="AB32" s="27">
        <v>1.6744553092500001</v>
      </c>
      <c r="AC32" s="27">
        <v>2.6791284948</v>
      </c>
      <c r="AD32" s="27">
        <v>2.6791284948</v>
      </c>
      <c r="AE32" s="27">
        <v>1.3395642474</v>
      </c>
      <c r="AF32" s="27">
        <v>2.6791284948</v>
      </c>
      <c r="AG32" s="27">
        <v>2.6791284948</v>
      </c>
      <c r="AH32" s="27">
        <v>1.3395642474</v>
      </c>
      <c r="AI32" s="27">
        <v>2.0093463710999999</v>
      </c>
      <c r="AJ32" s="27">
        <v>1.00467318555</v>
      </c>
      <c r="AK32" s="27">
        <v>1.3395642474</v>
      </c>
      <c r="AL32" s="27">
        <v>1.6744553092500001</v>
      </c>
      <c r="AM32" s="27">
        <v>1.6744553092500001</v>
      </c>
      <c r="AN32" s="27">
        <v>1.6744553092500001</v>
      </c>
      <c r="AO32" s="27">
        <v>2.0093463710999999</v>
      </c>
      <c r="AP32" s="27">
        <v>1.6744553092500001</v>
      </c>
      <c r="AQ32" s="27">
        <v>2.6791284948</v>
      </c>
      <c r="AR32" s="27">
        <v>2.6791284948</v>
      </c>
      <c r="AS32" s="27">
        <v>2.0093463710999999</v>
      </c>
      <c r="AT32" s="27">
        <v>1.00467318555</v>
      </c>
      <c r="AU32" s="27">
        <v>1.00467318555</v>
      </c>
      <c r="AV32" s="27">
        <v>1.3395642474</v>
      </c>
      <c r="AW32" s="27">
        <v>1.6744553092500001</v>
      </c>
      <c r="AX32" s="27">
        <v>2.6791284948</v>
      </c>
      <c r="AY32" s="27">
        <v>2.0093463710999999</v>
      </c>
      <c r="AZ32" s="27">
        <v>2.0093463710999999</v>
      </c>
      <c r="BA32" s="27">
        <v>2.34423743295</v>
      </c>
      <c r="BB32" s="27">
        <v>2.6791284948</v>
      </c>
      <c r="BC32" s="27">
        <v>1.6744553092500001</v>
      </c>
      <c r="BD32" s="27">
        <v>1.6744553092500001</v>
      </c>
      <c r="BE32" s="27">
        <v>2.34423743295</v>
      </c>
      <c r="BF32" s="27">
        <v>1.00467318555</v>
      </c>
      <c r="BG32" s="27">
        <v>1.00467318555</v>
      </c>
      <c r="BH32" s="27">
        <v>2.6791284948</v>
      </c>
      <c r="BI32" s="27">
        <v>2.0093463710999999</v>
      </c>
      <c r="BJ32" s="27">
        <v>1.3395642474</v>
      </c>
      <c r="BK32" s="27">
        <v>1.3395642474</v>
      </c>
      <c r="BL32" s="27">
        <v>2.6791284948</v>
      </c>
      <c r="BM32" s="27">
        <v>2.6791284948</v>
      </c>
      <c r="BN32" s="27">
        <v>2.6791284948</v>
      </c>
      <c r="BO32" s="27">
        <v>1.3395642474</v>
      </c>
      <c r="BP32" s="27">
        <v>1.6744553092500001</v>
      </c>
      <c r="BQ32" s="27">
        <v>1.6744553092500001</v>
      </c>
      <c r="BR32" s="27">
        <v>2.34423743295</v>
      </c>
      <c r="BS32" s="27">
        <v>2.6791284948</v>
      </c>
      <c r="BT32" s="27">
        <v>1.3395642474</v>
      </c>
      <c r="BU32" s="27">
        <v>0.66978212370000001</v>
      </c>
      <c r="BV32" s="27">
        <v>2.6791284948</v>
      </c>
      <c r="BW32" s="27">
        <v>2.34423743295</v>
      </c>
      <c r="BX32" s="27">
        <v>2.6791284948</v>
      </c>
      <c r="BY32" s="27">
        <v>2.0093463710999999</v>
      </c>
      <c r="BZ32" s="27">
        <v>0.66978212370000001</v>
      </c>
      <c r="CA32" s="27">
        <v>2.0093463710999999</v>
      </c>
      <c r="CB32" s="27">
        <v>1.935409383418832</v>
      </c>
      <c r="CC32" s="33">
        <v>149.02652252325009</v>
      </c>
    </row>
    <row r="33" spans="1:81" x14ac:dyDescent="0.25">
      <c r="A33" s="23">
        <v>32</v>
      </c>
      <c r="B33" s="25">
        <v>15.5</v>
      </c>
      <c r="C33" s="27">
        <v>2.4395838538666679</v>
      </c>
      <c r="D33" s="27">
        <v>2.4395838538666679</v>
      </c>
      <c r="E33" s="27">
        <v>1.2197919269333339</v>
      </c>
      <c r="F33" s="27">
        <v>2.4395838538666679</v>
      </c>
      <c r="G33" s="27">
        <v>1.8296878904000009</v>
      </c>
      <c r="H33" s="27">
        <v>1.2197919269333339</v>
      </c>
      <c r="I33" s="27">
        <v>1.524739908666668</v>
      </c>
      <c r="J33" s="27">
        <v>1.524739908666668</v>
      </c>
      <c r="K33" s="27">
        <v>1.2197919269333339</v>
      </c>
      <c r="L33" s="27">
        <v>1.2197919269333339</v>
      </c>
      <c r="M33" s="27">
        <v>1.8296878904000009</v>
      </c>
      <c r="N33" s="27">
        <v>1.2197919269333339</v>
      </c>
      <c r="O33" s="27">
        <v>2.4395838538666679</v>
      </c>
      <c r="P33" s="27">
        <v>1.524739908666668</v>
      </c>
      <c r="Q33" s="27">
        <v>1.524739908666668</v>
      </c>
      <c r="R33" s="27">
        <v>1.524739908666668</v>
      </c>
      <c r="S33" s="27">
        <v>2.4395838538666679</v>
      </c>
      <c r="T33" s="27">
        <v>2.4395838538666679</v>
      </c>
      <c r="U33" s="27">
        <v>2.1346358721333338</v>
      </c>
      <c r="V33" s="27">
        <v>1.2197919269333339</v>
      </c>
      <c r="W33" s="27">
        <v>2.4395838538666679</v>
      </c>
      <c r="X33" s="27">
        <v>1.524739908666668</v>
      </c>
      <c r="Y33" s="27">
        <v>1.8296878904000009</v>
      </c>
      <c r="Z33" s="27">
        <v>1.8296878904000009</v>
      </c>
      <c r="AA33" s="27">
        <v>2.1346358721333338</v>
      </c>
      <c r="AB33" s="27">
        <v>1.524739908666668</v>
      </c>
      <c r="AC33" s="27">
        <v>2.4395838538666679</v>
      </c>
      <c r="AD33" s="27">
        <v>2.4395838538666679</v>
      </c>
      <c r="AE33" s="27">
        <v>1.2197919269333339</v>
      </c>
      <c r="AF33" s="27">
        <v>2.4395838538666679</v>
      </c>
      <c r="AG33" s="27">
        <v>2.4395838538666679</v>
      </c>
      <c r="AH33" s="27">
        <v>1.2197919269333339</v>
      </c>
      <c r="AI33" s="27">
        <v>1.8296878904000009</v>
      </c>
      <c r="AJ33" s="27">
        <v>0.91484394520000045</v>
      </c>
      <c r="AK33" s="27">
        <v>1.2197919269333339</v>
      </c>
      <c r="AL33" s="27">
        <v>1.524739908666668</v>
      </c>
      <c r="AM33" s="27">
        <v>1.524739908666668</v>
      </c>
      <c r="AN33" s="27">
        <v>1.524739908666668</v>
      </c>
      <c r="AO33" s="27">
        <v>1.8296878904000009</v>
      </c>
      <c r="AP33" s="27">
        <v>1.524739908666668</v>
      </c>
      <c r="AQ33" s="27">
        <v>2.4395838538666679</v>
      </c>
      <c r="AR33" s="27">
        <v>2.4395838538666679</v>
      </c>
      <c r="AS33" s="27">
        <v>1.8296878904000009</v>
      </c>
      <c r="AT33" s="27">
        <v>0.91484394520000045</v>
      </c>
      <c r="AU33" s="27">
        <v>0.91484394520000045</v>
      </c>
      <c r="AV33" s="27">
        <v>1.2197919269333339</v>
      </c>
      <c r="AW33" s="27">
        <v>1.524739908666668</v>
      </c>
      <c r="AX33" s="27">
        <v>2.4395838538666679</v>
      </c>
      <c r="AY33" s="27">
        <v>1.8296878904000009</v>
      </c>
      <c r="AZ33" s="27">
        <v>1.8296878904000009</v>
      </c>
      <c r="BA33" s="27">
        <v>2.1346358721333338</v>
      </c>
      <c r="BB33" s="27">
        <v>2.4395838538666679</v>
      </c>
      <c r="BC33" s="27">
        <v>1.524739908666668</v>
      </c>
      <c r="BD33" s="27">
        <v>1.524739908666668</v>
      </c>
      <c r="BE33" s="27">
        <v>2.1346358721333338</v>
      </c>
      <c r="BF33" s="27">
        <v>0.91484394520000045</v>
      </c>
      <c r="BG33" s="27">
        <v>0.91484394520000045</v>
      </c>
      <c r="BH33" s="27">
        <v>2.4395838538666679</v>
      </c>
      <c r="BI33" s="27">
        <v>1.8296878904000009</v>
      </c>
      <c r="BJ33" s="27">
        <v>1.2197919269333339</v>
      </c>
      <c r="BK33" s="27">
        <v>1.2197919269333339</v>
      </c>
      <c r="BL33" s="27">
        <v>2.4395838538666679</v>
      </c>
      <c r="BM33" s="27">
        <v>2.4395838538666679</v>
      </c>
      <c r="BN33" s="27">
        <v>2.4395838538666679</v>
      </c>
      <c r="BO33" s="27">
        <v>1.2197919269333339</v>
      </c>
      <c r="BP33" s="27">
        <v>1.524739908666668</v>
      </c>
      <c r="BQ33" s="27">
        <v>1.524739908666668</v>
      </c>
      <c r="BR33" s="27">
        <v>2.1346358721333338</v>
      </c>
      <c r="BS33" s="27">
        <v>2.4395838538666679</v>
      </c>
      <c r="BT33" s="27">
        <v>1.2197919269333339</v>
      </c>
      <c r="BU33" s="27">
        <v>0.60989596346666697</v>
      </c>
      <c r="BV33" s="27">
        <v>2.4395838538666679</v>
      </c>
      <c r="BW33" s="27">
        <v>2.1346358721333338</v>
      </c>
      <c r="BX33" s="27">
        <v>2.4395838538666679</v>
      </c>
      <c r="BY33" s="27">
        <v>1.8296878904000009</v>
      </c>
      <c r="BZ33" s="27">
        <v>0.60989596346666697</v>
      </c>
      <c r="CA33" s="27">
        <v>1.8296878904000009</v>
      </c>
      <c r="CB33" s="27">
        <v>1.76236171261472</v>
      </c>
      <c r="CC33" s="33">
        <v>135.7018518713335</v>
      </c>
    </row>
    <row r="34" spans="1:81" x14ac:dyDescent="0.25">
      <c r="A34" s="23">
        <v>33</v>
      </c>
      <c r="B34" s="25">
        <v>16</v>
      </c>
      <c r="C34" s="27">
        <v>2.1698000573333318</v>
      </c>
      <c r="D34" s="27">
        <v>2.1698000573333318</v>
      </c>
      <c r="E34" s="27">
        <v>1.0849000286666659</v>
      </c>
      <c r="F34" s="27">
        <v>2.1698000573333318</v>
      </c>
      <c r="G34" s="27">
        <v>1.627350042999999</v>
      </c>
      <c r="H34" s="27">
        <v>1.0849000286666659</v>
      </c>
      <c r="I34" s="27">
        <v>1.3561250358333321</v>
      </c>
      <c r="J34" s="27">
        <v>1.3561250358333321</v>
      </c>
      <c r="K34" s="27">
        <v>1.0849000286666659</v>
      </c>
      <c r="L34" s="27">
        <v>1.0849000286666659</v>
      </c>
      <c r="M34" s="27">
        <v>1.627350042999999</v>
      </c>
      <c r="N34" s="27">
        <v>1.0849000286666659</v>
      </c>
      <c r="O34" s="27">
        <v>2.1698000573333318</v>
      </c>
      <c r="P34" s="27">
        <v>1.3561250358333321</v>
      </c>
      <c r="Q34" s="27">
        <v>1.3561250358333321</v>
      </c>
      <c r="R34" s="27">
        <v>1.3561250358333321</v>
      </c>
      <c r="S34" s="27">
        <v>2.1698000573333318</v>
      </c>
      <c r="T34" s="27">
        <v>2.1698000573333318</v>
      </c>
      <c r="U34" s="27">
        <v>1.8985750501666649</v>
      </c>
      <c r="V34" s="27">
        <v>1.0849000286666659</v>
      </c>
      <c r="W34" s="27">
        <v>2.1698000573333318</v>
      </c>
      <c r="X34" s="27">
        <v>1.3561250358333321</v>
      </c>
      <c r="Y34" s="27">
        <v>1.627350042999999</v>
      </c>
      <c r="Z34" s="27">
        <v>1.627350042999999</v>
      </c>
      <c r="AA34" s="27">
        <v>1.8985750501666649</v>
      </c>
      <c r="AB34" s="27">
        <v>1.3561250358333321</v>
      </c>
      <c r="AC34" s="27">
        <v>2.1698000573333318</v>
      </c>
      <c r="AD34" s="27">
        <v>2.1698000573333318</v>
      </c>
      <c r="AE34" s="27">
        <v>1.0849000286666659</v>
      </c>
      <c r="AF34" s="27">
        <v>2.1698000573333318</v>
      </c>
      <c r="AG34" s="27">
        <v>2.1698000573333318</v>
      </c>
      <c r="AH34" s="27">
        <v>1.0849000286666659</v>
      </c>
      <c r="AI34" s="27">
        <v>1.627350042999999</v>
      </c>
      <c r="AJ34" s="27">
        <v>0.81367502149999948</v>
      </c>
      <c r="AK34" s="27">
        <v>1.0849000286666659</v>
      </c>
      <c r="AL34" s="27">
        <v>1.3561250358333321</v>
      </c>
      <c r="AM34" s="27">
        <v>1.3561250358333321</v>
      </c>
      <c r="AN34" s="27">
        <v>1.3561250358333321</v>
      </c>
      <c r="AO34" s="27">
        <v>1.627350042999999</v>
      </c>
      <c r="AP34" s="27">
        <v>1.3561250358333321</v>
      </c>
      <c r="AQ34" s="27">
        <v>2.1698000573333318</v>
      </c>
      <c r="AR34" s="27">
        <v>2.1698000573333318</v>
      </c>
      <c r="AS34" s="27">
        <v>1.627350042999999</v>
      </c>
      <c r="AT34" s="27">
        <v>0.81367502149999948</v>
      </c>
      <c r="AU34" s="27">
        <v>0.81367502149999948</v>
      </c>
      <c r="AV34" s="27">
        <v>1.0849000286666659</v>
      </c>
      <c r="AW34" s="27">
        <v>1.3561250358333321</v>
      </c>
      <c r="AX34" s="27">
        <v>2.1698000573333318</v>
      </c>
      <c r="AY34" s="27">
        <v>1.627350042999999</v>
      </c>
      <c r="AZ34" s="27">
        <v>1.627350042999999</v>
      </c>
      <c r="BA34" s="27">
        <v>1.8985750501666649</v>
      </c>
      <c r="BB34" s="27">
        <v>2.1698000573333318</v>
      </c>
      <c r="BC34" s="27">
        <v>1.3561250358333321</v>
      </c>
      <c r="BD34" s="27">
        <v>1.3561250358333321</v>
      </c>
      <c r="BE34" s="27">
        <v>1.8985750501666649</v>
      </c>
      <c r="BF34" s="27">
        <v>0.81367502149999948</v>
      </c>
      <c r="BG34" s="27">
        <v>0.81367502149999948</v>
      </c>
      <c r="BH34" s="27">
        <v>2.1698000573333318</v>
      </c>
      <c r="BI34" s="27">
        <v>1.627350042999999</v>
      </c>
      <c r="BJ34" s="27">
        <v>1.0849000286666659</v>
      </c>
      <c r="BK34" s="27">
        <v>1.0849000286666659</v>
      </c>
      <c r="BL34" s="27">
        <v>2.1698000573333318</v>
      </c>
      <c r="BM34" s="27">
        <v>2.1698000573333318</v>
      </c>
      <c r="BN34" s="27">
        <v>2.1698000573333318</v>
      </c>
      <c r="BO34" s="27">
        <v>1.0849000286666659</v>
      </c>
      <c r="BP34" s="27">
        <v>1.3561250358333321</v>
      </c>
      <c r="BQ34" s="27">
        <v>1.3561250358333321</v>
      </c>
      <c r="BR34" s="27">
        <v>1.8985750501666649</v>
      </c>
      <c r="BS34" s="27">
        <v>2.1698000573333318</v>
      </c>
      <c r="BT34" s="27">
        <v>1.0849000286666659</v>
      </c>
      <c r="BU34" s="27">
        <v>0.54245001433333295</v>
      </c>
      <c r="BV34" s="27">
        <v>2.1698000573333318</v>
      </c>
      <c r="BW34" s="27">
        <v>1.8985750501666649</v>
      </c>
      <c r="BX34" s="27">
        <v>2.1698000573333318</v>
      </c>
      <c r="BY34" s="27">
        <v>1.627350042999999</v>
      </c>
      <c r="BZ34" s="27">
        <v>0.54245001433333295</v>
      </c>
      <c r="CA34" s="27">
        <v>1.627350042999999</v>
      </c>
      <c r="CB34" s="27">
        <v>1.567469197261903</v>
      </c>
      <c r="CC34" s="33">
        <v>120.6951281891666</v>
      </c>
    </row>
    <row r="35" spans="1:81" x14ac:dyDescent="0.25">
      <c r="A35" s="23">
        <v>34</v>
      </c>
      <c r="B35" s="25">
        <v>16.5</v>
      </c>
      <c r="C35" s="27">
        <v>1.844071272933332</v>
      </c>
      <c r="D35" s="27">
        <v>1.844071272933332</v>
      </c>
      <c r="E35" s="27">
        <v>0.92203563646666598</v>
      </c>
      <c r="F35" s="27">
        <v>1.844071272933332</v>
      </c>
      <c r="G35" s="27">
        <v>1.3830534546999991</v>
      </c>
      <c r="H35" s="27">
        <v>0.92203563646666598</v>
      </c>
      <c r="I35" s="27">
        <v>1.152544545583333</v>
      </c>
      <c r="J35" s="27">
        <v>1.152544545583333</v>
      </c>
      <c r="K35" s="27">
        <v>0.92203563646666598</v>
      </c>
      <c r="L35" s="27">
        <v>0.92203563646666598</v>
      </c>
      <c r="M35" s="27">
        <v>1.3830534546999991</v>
      </c>
      <c r="N35" s="27">
        <v>0.92203563646666598</v>
      </c>
      <c r="O35" s="27">
        <v>1.844071272933332</v>
      </c>
      <c r="P35" s="27">
        <v>1.152544545583333</v>
      </c>
      <c r="Q35" s="27">
        <v>1.152544545583333</v>
      </c>
      <c r="R35" s="27">
        <v>1.152544545583333</v>
      </c>
      <c r="S35" s="27">
        <v>1.844071272933332</v>
      </c>
      <c r="T35" s="27">
        <v>1.844071272933332</v>
      </c>
      <c r="U35" s="27">
        <v>1.613562363816665</v>
      </c>
      <c r="V35" s="27">
        <v>0.92203563646666598</v>
      </c>
      <c r="W35" s="27">
        <v>1.844071272933332</v>
      </c>
      <c r="X35" s="27">
        <v>1.152544545583333</v>
      </c>
      <c r="Y35" s="27">
        <v>1.3830534546999991</v>
      </c>
      <c r="Z35" s="27">
        <v>1.3830534546999991</v>
      </c>
      <c r="AA35" s="27">
        <v>1.613562363816665</v>
      </c>
      <c r="AB35" s="27">
        <v>1.152544545583333</v>
      </c>
      <c r="AC35" s="27">
        <v>1.844071272933332</v>
      </c>
      <c r="AD35" s="27">
        <v>1.844071272933332</v>
      </c>
      <c r="AE35" s="27">
        <v>0.92203563646666598</v>
      </c>
      <c r="AF35" s="27">
        <v>1.844071272933332</v>
      </c>
      <c r="AG35" s="27">
        <v>1.844071272933332</v>
      </c>
      <c r="AH35" s="27">
        <v>0.92203563646666598</v>
      </c>
      <c r="AI35" s="27">
        <v>1.3830534546999991</v>
      </c>
      <c r="AJ35" s="27">
        <v>0.69152672734999943</v>
      </c>
      <c r="AK35" s="27">
        <v>0.92203563646666598</v>
      </c>
      <c r="AL35" s="27">
        <v>1.152544545583333</v>
      </c>
      <c r="AM35" s="27">
        <v>1.152544545583333</v>
      </c>
      <c r="AN35" s="27">
        <v>1.152544545583333</v>
      </c>
      <c r="AO35" s="27">
        <v>1.3830534546999991</v>
      </c>
      <c r="AP35" s="27">
        <v>1.152544545583333</v>
      </c>
      <c r="AQ35" s="27">
        <v>1.844071272933332</v>
      </c>
      <c r="AR35" s="27">
        <v>1.844071272933332</v>
      </c>
      <c r="AS35" s="27">
        <v>1.3830534546999991</v>
      </c>
      <c r="AT35" s="27">
        <v>0.69152672734999943</v>
      </c>
      <c r="AU35" s="27">
        <v>0.69152672734999943</v>
      </c>
      <c r="AV35" s="27">
        <v>0.92203563646666598</v>
      </c>
      <c r="AW35" s="27">
        <v>1.152544545583333</v>
      </c>
      <c r="AX35" s="27">
        <v>1.844071272933332</v>
      </c>
      <c r="AY35" s="27">
        <v>1.3830534546999991</v>
      </c>
      <c r="AZ35" s="27">
        <v>1.3830534546999991</v>
      </c>
      <c r="BA35" s="27">
        <v>1.613562363816665</v>
      </c>
      <c r="BB35" s="27">
        <v>1.844071272933332</v>
      </c>
      <c r="BC35" s="27">
        <v>1.152544545583333</v>
      </c>
      <c r="BD35" s="27">
        <v>1.152544545583333</v>
      </c>
      <c r="BE35" s="27">
        <v>1.613562363816665</v>
      </c>
      <c r="BF35" s="27">
        <v>0.69152672734999943</v>
      </c>
      <c r="BG35" s="27">
        <v>0.69152672734999943</v>
      </c>
      <c r="BH35" s="27">
        <v>1.844071272933332</v>
      </c>
      <c r="BI35" s="27">
        <v>1.3830534546999991</v>
      </c>
      <c r="BJ35" s="27">
        <v>0.92203563646666598</v>
      </c>
      <c r="BK35" s="27">
        <v>0.92203563646666598</v>
      </c>
      <c r="BL35" s="27">
        <v>1.844071272933332</v>
      </c>
      <c r="BM35" s="27">
        <v>1.844071272933332</v>
      </c>
      <c r="BN35" s="27">
        <v>1.844071272933332</v>
      </c>
      <c r="BO35" s="27">
        <v>0.92203563646666598</v>
      </c>
      <c r="BP35" s="27">
        <v>1.152544545583333</v>
      </c>
      <c r="BQ35" s="27">
        <v>1.152544545583333</v>
      </c>
      <c r="BR35" s="27">
        <v>1.613562363816665</v>
      </c>
      <c r="BS35" s="27">
        <v>1.844071272933332</v>
      </c>
      <c r="BT35" s="27">
        <v>0.92203563646666598</v>
      </c>
      <c r="BU35" s="27">
        <v>0.46101781823333299</v>
      </c>
      <c r="BV35" s="27">
        <v>1.844071272933332</v>
      </c>
      <c r="BW35" s="27">
        <v>1.613562363816665</v>
      </c>
      <c r="BX35" s="27">
        <v>1.844071272933332</v>
      </c>
      <c r="BY35" s="27">
        <v>1.3830534546999991</v>
      </c>
      <c r="BZ35" s="27">
        <v>0.46101781823333299</v>
      </c>
      <c r="CA35" s="27">
        <v>1.3830534546999991</v>
      </c>
      <c r="CB35" s="27">
        <v>1.3321618773625541</v>
      </c>
      <c r="CC35" s="33">
        <v>102.5764645569166</v>
      </c>
    </row>
    <row r="36" spans="1:81" x14ac:dyDescent="0.25">
      <c r="A36" s="23">
        <v>35</v>
      </c>
      <c r="B36" s="25">
        <v>17</v>
      </c>
      <c r="C36" s="27">
        <v>1.5392117273333319</v>
      </c>
      <c r="D36" s="27">
        <v>1.5392117273333319</v>
      </c>
      <c r="E36" s="27">
        <v>0.76960586366666595</v>
      </c>
      <c r="F36" s="27">
        <v>1.5392117273333319</v>
      </c>
      <c r="G36" s="27">
        <v>1.1544087954999991</v>
      </c>
      <c r="H36" s="27">
        <v>0.76960586366666595</v>
      </c>
      <c r="I36" s="27">
        <v>0.96200732958333246</v>
      </c>
      <c r="J36" s="27">
        <v>0.96200732958333246</v>
      </c>
      <c r="K36" s="27">
        <v>0.76960586366666595</v>
      </c>
      <c r="L36" s="27">
        <v>0.76960586366666595</v>
      </c>
      <c r="M36" s="27">
        <v>1.1544087954999991</v>
      </c>
      <c r="N36" s="27">
        <v>0.76960586366666595</v>
      </c>
      <c r="O36" s="27">
        <v>1.5392117273333319</v>
      </c>
      <c r="P36" s="27">
        <v>0.96200732958333246</v>
      </c>
      <c r="Q36" s="27">
        <v>0.96200732958333246</v>
      </c>
      <c r="R36" s="27">
        <v>0.96200732958333246</v>
      </c>
      <c r="S36" s="27">
        <v>1.5392117273333319</v>
      </c>
      <c r="T36" s="27">
        <v>1.5392117273333319</v>
      </c>
      <c r="U36" s="27">
        <v>1.346810261416665</v>
      </c>
      <c r="V36" s="27">
        <v>0.76960586366666595</v>
      </c>
      <c r="W36" s="27">
        <v>1.5392117273333319</v>
      </c>
      <c r="X36" s="27">
        <v>0.96200732958333246</v>
      </c>
      <c r="Y36" s="27">
        <v>1.1544087954999991</v>
      </c>
      <c r="Z36" s="27">
        <v>1.1544087954999991</v>
      </c>
      <c r="AA36" s="27">
        <v>1.346810261416665</v>
      </c>
      <c r="AB36" s="27">
        <v>0.96200732958333246</v>
      </c>
      <c r="AC36" s="27">
        <v>1.5392117273333319</v>
      </c>
      <c r="AD36" s="27">
        <v>1.5392117273333319</v>
      </c>
      <c r="AE36" s="27">
        <v>0.76960586366666595</v>
      </c>
      <c r="AF36" s="27">
        <v>1.5392117273333319</v>
      </c>
      <c r="AG36" s="27">
        <v>1.5392117273333319</v>
      </c>
      <c r="AH36" s="27">
        <v>0.76960586366666595</v>
      </c>
      <c r="AI36" s="27">
        <v>1.1544087954999991</v>
      </c>
      <c r="AJ36" s="27">
        <v>0.57720439774999943</v>
      </c>
      <c r="AK36" s="27">
        <v>0.76960586366666595</v>
      </c>
      <c r="AL36" s="27">
        <v>0.96200732958333246</v>
      </c>
      <c r="AM36" s="27">
        <v>0.96200732958333246</v>
      </c>
      <c r="AN36" s="27">
        <v>0.96200732958333246</v>
      </c>
      <c r="AO36" s="27">
        <v>1.1544087954999991</v>
      </c>
      <c r="AP36" s="27">
        <v>0.96200732958333246</v>
      </c>
      <c r="AQ36" s="27">
        <v>1.5392117273333319</v>
      </c>
      <c r="AR36" s="27">
        <v>1.5392117273333319</v>
      </c>
      <c r="AS36" s="27">
        <v>1.1544087954999991</v>
      </c>
      <c r="AT36" s="27">
        <v>0.57720439774999943</v>
      </c>
      <c r="AU36" s="27">
        <v>0.57720439774999943</v>
      </c>
      <c r="AV36" s="27">
        <v>0.76960586366666595</v>
      </c>
      <c r="AW36" s="27">
        <v>0.96200732958333246</v>
      </c>
      <c r="AX36" s="27">
        <v>1.5392117273333319</v>
      </c>
      <c r="AY36" s="27">
        <v>1.1544087954999991</v>
      </c>
      <c r="AZ36" s="27">
        <v>1.1544087954999991</v>
      </c>
      <c r="BA36" s="27">
        <v>1.346810261416665</v>
      </c>
      <c r="BB36" s="27">
        <v>1.5392117273333319</v>
      </c>
      <c r="BC36" s="27">
        <v>0.96200732958333246</v>
      </c>
      <c r="BD36" s="27">
        <v>0.96200732958333246</v>
      </c>
      <c r="BE36" s="27">
        <v>1.346810261416665</v>
      </c>
      <c r="BF36" s="27">
        <v>0.57720439774999943</v>
      </c>
      <c r="BG36" s="27">
        <v>0.57720439774999943</v>
      </c>
      <c r="BH36" s="27">
        <v>1.5392117273333319</v>
      </c>
      <c r="BI36" s="27">
        <v>1.1544087954999991</v>
      </c>
      <c r="BJ36" s="27">
        <v>0.76960586366666595</v>
      </c>
      <c r="BK36" s="27">
        <v>0.76960586366666595</v>
      </c>
      <c r="BL36" s="27">
        <v>1.5392117273333319</v>
      </c>
      <c r="BM36" s="27">
        <v>1.5392117273333319</v>
      </c>
      <c r="BN36" s="27">
        <v>1.5392117273333319</v>
      </c>
      <c r="BO36" s="27">
        <v>0.76960586366666595</v>
      </c>
      <c r="BP36" s="27">
        <v>0.96200732958333246</v>
      </c>
      <c r="BQ36" s="27">
        <v>0.96200732958333246</v>
      </c>
      <c r="BR36" s="27">
        <v>1.346810261416665</v>
      </c>
      <c r="BS36" s="27">
        <v>1.5392117273333319</v>
      </c>
      <c r="BT36" s="27">
        <v>0.76960586366666595</v>
      </c>
      <c r="BU36" s="27">
        <v>0.38480293183333297</v>
      </c>
      <c r="BV36" s="27">
        <v>1.5392117273333319</v>
      </c>
      <c r="BW36" s="27">
        <v>1.346810261416665</v>
      </c>
      <c r="BX36" s="27">
        <v>1.5392117273333319</v>
      </c>
      <c r="BY36" s="27">
        <v>1.1544087954999991</v>
      </c>
      <c r="BZ36" s="27">
        <v>0.38480293183333297</v>
      </c>
      <c r="CA36" s="27">
        <v>1.1544087954999991</v>
      </c>
      <c r="CB36" s="27">
        <v>1.111930549778138</v>
      </c>
      <c r="CC36" s="33">
        <v>85.618652332916639</v>
      </c>
    </row>
    <row r="37" spans="1:81" x14ac:dyDescent="0.25">
      <c r="A37" s="23">
        <v>36</v>
      </c>
      <c r="B37" s="25">
        <v>17.5</v>
      </c>
      <c r="C37" s="27">
        <v>1.2259496212000001</v>
      </c>
      <c r="D37" s="27">
        <v>1.2259496212000001</v>
      </c>
      <c r="E37" s="27">
        <v>0.61297481060000003</v>
      </c>
      <c r="F37" s="27">
        <v>1.2259496212000001</v>
      </c>
      <c r="G37" s="27">
        <v>0.9194622159000001</v>
      </c>
      <c r="H37" s="27">
        <v>0.61297481060000003</v>
      </c>
      <c r="I37" s="27">
        <v>0.76621851325000001</v>
      </c>
      <c r="J37" s="27">
        <v>0.76621851325000001</v>
      </c>
      <c r="K37" s="27">
        <v>0.61297481060000003</v>
      </c>
      <c r="L37" s="27">
        <v>0.61297481060000003</v>
      </c>
      <c r="M37" s="27">
        <v>0.9194622159000001</v>
      </c>
      <c r="N37" s="27">
        <v>0.61297481060000003</v>
      </c>
      <c r="O37" s="27">
        <v>1.2259496212000001</v>
      </c>
      <c r="P37" s="27">
        <v>0.76621851325000001</v>
      </c>
      <c r="Q37" s="27">
        <v>0.76621851325000001</v>
      </c>
      <c r="R37" s="27">
        <v>0.76621851325000001</v>
      </c>
      <c r="S37" s="27">
        <v>1.2259496212000001</v>
      </c>
      <c r="T37" s="27">
        <v>1.2259496212000001</v>
      </c>
      <c r="U37" s="27">
        <v>1.0727059185500001</v>
      </c>
      <c r="V37" s="27">
        <v>0.61297481060000003</v>
      </c>
      <c r="W37" s="27">
        <v>1.2259496212000001</v>
      </c>
      <c r="X37" s="27">
        <v>0.76621851325000001</v>
      </c>
      <c r="Y37" s="27">
        <v>0.9194622159000001</v>
      </c>
      <c r="Z37" s="27">
        <v>0.9194622159000001</v>
      </c>
      <c r="AA37" s="27">
        <v>1.0727059185500001</v>
      </c>
      <c r="AB37" s="27">
        <v>0.76621851325000001</v>
      </c>
      <c r="AC37" s="27">
        <v>1.2259496212000001</v>
      </c>
      <c r="AD37" s="27">
        <v>1.2259496212000001</v>
      </c>
      <c r="AE37" s="27">
        <v>0.61297481060000003</v>
      </c>
      <c r="AF37" s="27">
        <v>1.2259496212000001</v>
      </c>
      <c r="AG37" s="27">
        <v>1.2259496212000001</v>
      </c>
      <c r="AH37" s="27">
        <v>0.61297481060000003</v>
      </c>
      <c r="AI37" s="27">
        <v>0.9194622159000001</v>
      </c>
      <c r="AJ37" s="27">
        <v>0.45973110795000011</v>
      </c>
      <c r="AK37" s="27">
        <v>0.61297481060000003</v>
      </c>
      <c r="AL37" s="27">
        <v>0.76621851325000001</v>
      </c>
      <c r="AM37" s="27">
        <v>0.76621851325000001</v>
      </c>
      <c r="AN37" s="27">
        <v>0.76621851325000001</v>
      </c>
      <c r="AO37" s="27">
        <v>0.9194622159000001</v>
      </c>
      <c r="AP37" s="27">
        <v>0.76621851325000001</v>
      </c>
      <c r="AQ37" s="27">
        <v>1.2259496212000001</v>
      </c>
      <c r="AR37" s="27">
        <v>1.2259496212000001</v>
      </c>
      <c r="AS37" s="27">
        <v>0.9194622159000001</v>
      </c>
      <c r="AT37" s="27">
        <v>0.45973110795000011</v>
      </c>
      <c r="AU37" s="27">
        <v>0.45973110795000011</v>
      </c>
      <c r="AV37" s="27">
        <v>0.61297481060000003</v>
      </c>
      <c r="AW37" s="27">
        <v>0.76621851325000001</v>
      </c>
      <c r="AX37" s="27">
        <v>1.2259496212000001</v>
      </c>
      <c r="AY37" s="27">
        <v>0.9194622159000001</v>
      </c>
      <c r="AZ37" s="27">
        <v>0.9194622159000001</v>
      </c>
      <c r="BA37" s="27">
        <v>1.0727059185500001</v>
      </c>
      <c r="BB37" s="27">
        <v>1.2259496212000001</v>
      </c>
      <c r="BC37" s="27">
        <v>0.76621851325000001</v>
      </c>
      <c r="BD37" s="27">
        <v>0.76621851325000001</v>
      </c>
      <c r="BE37" s="27">
        <v>1.0727059185500001</v>
      </c>
      <c r="BF37" s="27">
        <v>0.45973110795000011</v>
      </c>
      <c r="BG37" s="27">
        <v>0.45973110795000011</v>
      </c>
      <c r="BH37" s="27">
        <v>1.2259496212000001</v>
      </c>
      <c r="BI37" s="27">
        <v>0.9194622159000001</v>
      </c>
      <c r="BJ37" s="27">
        <v>0.61297481060000003</v>
      </c>
      <c r="BK37" s="27">
        <v>0.61297481060000003</v>
      </c>
      <c r="BL37" s="27">
        <v>1.2259496212000001</v>
      </c>
      <c r="BM37" s="27">
        <v>1.2259496212000001</v>
      </c>
      <c r="BN37" s="27">
        <v>1.2259496212000001</v>
      </c>
      <c r="BO37" s="27">
        <v>0.61297481060000003</v>
      </c>
      <c r="BP37" s="27">
        <v>0.76621851325000001</v>
      </c>
      <c r="BQ37" s="27">
        <v>0.76621851325000001</v>
      </c>
      <c r="BR37" s="27">
        <v>1.0727059185500001</v>
      </c>
      <c r="BS37" s="27">
        <v>1.2259496212000001</v>
      </c>
      <c r="BT37" s="27">
        <v>0.61297481060000003</v>
      </c>
      <c r="BU37" s="27">
        <v>0.30648740530000002</v>
      </c>
      <c r="BV37" s="27">
        <v>1.2259496212000001</v>
      </c>
      <c r="BW37" s="27">
        <v>1.0727059185500001</v>
      </c>
      <c r="BX37" s="27">
        <v>1.2259496212000001</v>
      </c>
      <c r="BY37" s="27">
        <v>0.9194622159000001</v>
      </c>
      <c r="BZ37" s="27">
        <v>0.30648740530000002</v>
      </c>
      <c r="CA37" s="27">
        <v>0.9194622159000001</v>
      </c>
      <c r="CB37" s="27">
        <v>0.88562919063961099</v>
      </c>
      <c r="CC37" s="33">
        <v>68.193447679250042</v>
      </c>
    </row>
    <row r="38" spans="1:81" x14ac:dyDescent="0.25">
      <c r="A38" s="23">
        <v>37</v>
      </c>
      <c r="B38" s="25">
        <v>18</v>
      </c>
      <c r="C38" s="27">
        <v>0.92291693466666802</v>
      </c>
      <c r="D38" s="27">
        <v>0.92291693466666802</v>
      </c>
      <c r="E38" s="27">
        <v>0.46145846733333401</v>
      </c>
      <c r="F38" s="27">
        <v>0.92291693466666802</v>
      </c>
      <c r="G38" s="27">
        <v>0.69218770100000104</v>
      </c>
      <c r="H38" s="27">
        <v>0.46145846733333401</v>
      </c>
      <c r="I38" s="27">
        <v>0.5768230841666675</v>
      </c>
      <c r="J38" s="27">
        <v>0.5768230841666675</v>
      </c>
      <c r="K38" s="27">
        <v>0.46145846733333401</v>
      </c>
      <c r="L38" s="27">
        <v>0.46145846733333401</v>
      </c>
      <c r="M38" s="27">
        <v>0.69218770100000104</v>
      </c>
      <c r="N38" s="27">
        <v>0.46145846733333401</v>
      </c>
      <c r="O38" s="27">
        <v>0.92291693466666802</v>
      </c>
      <c r="P38" s="27">
        <v>0.5768230841666675</v>
      </c>
      <c r="Q38" s="27">
        <v>0.5768230841666675</v>
      </c>
      <c r="R38" s="27">
        <v>0.5768230841666675</v>
      </c>
      <c r="S38" s="27">
        <v>0.92291693466666802</v>
      </c>
      <c r="T38" s="27">
        <v>0.92291693466666802</v>
      </c>
      <c r="U38" s="27">
        <v>0.80755231783333448</v>
      </c>
      <c r="V38" s="27">
        <v>0.46145846733333401</v>
      </c>
      <c r="W38" s="27">
        <v>0.92291693466666802</v>
      </c>
      <c r="X38" s="27">
        <v>0.5768230841666675</v>
      </c>
      <c r="Y38" s="27">
        <v>0.69218770100000104</v>
      </c>
      <c r="Z38" s="27">
        <v>0.69218770100000104</v>
      </c>
      <c r="AA38" s="27">
        <v>0.80755231783333448</v>
      </c>
      <c r="AB38" s="27">
        <v>0.5768230841666675</v>
      </c>
      <c r="AC38" s="27">
        <v>0.92291693466666802</v>
      </c>
      <c r="AD38" s="27">
        <v>0.92291693466666802</v>
      </c>
      <c r="AE38" s="27">
        <v>0.46145846733333401</v>
      </c>
      <c r="AF38" s="27">
        <v>0.92291693466666802</v>
      </c>
      <c r="AG38" s="27">
        <v>0.92291693466666802</v>
      </c>
      <c r="AH38" s="27">
        <v>0.46145846733333401</v>
      </c>
      <c r="AI38" s="27">
        <v>0.69218770100000104</v>
      </c>
      <c r="AJ38" s="27">
        <v>0.34609385050000052</v>
      </c>
      <c r="AK38" s="27">
        <v>0.46145846733333401</v>
      </c>
      <c r="AL38" s="27">
        <v>0.5768230841666675</v>
      </c>
      <c r="AM38" s="27">
        <v>0.5768230841666675</v>
      </c>
      <c r="AN38" s="27">
        <v>0.5768230841666675</v>
      </c>
      <c r="AO38" s="27">
        <v>0.69218770100000104</v>
      </c>
      <c r="AP38" s="27">
        <v>0.5768230841666675</v>
      </c>
      <c r="AQ38" s="27">
        <v>0.92291693466666802</v>
      </c>
      <c r="AR38" s="27">
        <v>0.92291693466666802</v>
      </c>
      <c r="AS38" s="27">
        <v>0.69218770100000104</v>
      </c>
      <c r="AT38" s="27">
        <v>0.34609385050000052</v>
      </c>
      <c r="AU38" s="27">
        <v>0.34609385050000052</v>
      </c>
      <c r="AV38" s="27">
        <v>0.46145846733333401</v>
      </c>
      <c r="AW38" s="27">
        <v>0.5768230841666675</v>
      </c>
      <c r="AX38" s="27">
        <v>0.92291693466666802</v>
      </c>
      <c r="AY38" s="27">
        <v>0.69218770100000104</v>
      </c>
      <c r="AZ38" s="27">
        <v>0.69218770100000104</v>
      </c>
      <c r="BA38" s="27">
        <v>0.80755231783333448</v>
      </c>
      <c r="BB38" s="27">
        <v>0.92291693466666802</v>
      </c>
      <c r="BC38" s="27">
        <v>0.5768230841666675</v>
      </c>
      <c r="BD38" s="27">
        <v>0.5768230841666675</v>
      </c>
      <c r="BE38" s="27">
        <v>0.80755231783333448</v>
      </c>
      <c r="BF38" s="27">
        <v>0.34609385050000052</v>
      </c>
      <c r="BG38" s="27">
        <v>0.34609385050000052</v>
      </c>
      <c r="BH38" s="27">
        <v>0.92291693466666802</v>
      </c>
      <c r="BI38" s="27">
        <v>0.69218770100000104</v>
      </c>
      <c r="BJ38" s="27">
        <v>0.46145846733333401</v>
      </c>
      <c r="BK38" s="27">
        <v>0.46145846733333401</v>
      </c>
      <c r="BL38" s="27">
        <v>0.92291693466666802</v>
      </c>
      <c r="BM38" s="27">
        <v>0.92291693466666802</v>
      </c>
      <c r="BN38" s="27">
        <v>0.92291693466666802</v>
      </c>
      <c r="BO38" s="27">
        <v>0.46145846733333401</v>
      </c>
      <c r="BP38" s="27">
        <v>0.5768230841666675</v>
      </c>
      <c r="BQ38" s="27">
        <v>0.5768230841666675</v>
      </c>
      <c r="BR38" s="27">
        <v>0.80755231783333448</v>
      </c>
      <c r="BS38" s="27">
        <v>0.92291693466666802</v>
      </c>
      <c r="BT38" s="27">
        <v>0.46145846733333401</v>
      </c>
      <c r="BU38" s="27">
        <v>0.23072923366666701</v>
      </c>
      <c r="BV38" s="27">
        <v>0.92291693466666802</v>
      </c>
      <c r="BW38" s="27">
        <v>0.80755231783333448</v>
      </c>
      <c r="BX38" s="27">
        <v>0.92291693466666802</v>
      </c>
      <c r="BY38" s="27">
        <v>0.69218770100000104</v>
      </c>
      <c r="BZ38" s="27">
        <v>0.23072923366666701</v>
      </c>
      <c r="CA38" s="27">
        <v>0.69218770100000104</v>
      </c>
      <c r="CB38" s="27">
        <v>0.66671759079004422</v>
      </c>
      <c r="CC38" s="33">
        <v>51.337254490833402</v>
      </c>
    </row>
    <row r="39" spans="1:81" x14ac:dyDescent="0.25">
      <c r="A39" s="23">
        <v>38</v>
      </c>
      <c r="B39" s="25">
        <v>18.5</v>
      </c>
      <c r="C39" s="27">
        <v>0.63075072600000004</v>
      </c>
      <c r="D39" s="27">
        <v>0.63075072600000004</v>
      </c>
      <c r="E39" s="27">
        <v>0.31537536300000002</v>
      </c>
      <c r="F39" s="27">
        <v>0.63075072600000004</v>
      </c>
      <c r="G39" s="27">
        <v>0.47306304449999997</v>
      </c>
      <c r="H39" s="27">
        <v>0.31537536300000002</v>
      </c>
      <c r="I39" s="27">
        <v>0.39421920375000002</v>
      </c>
      <c r="J39" s="27">
        <v>0.39421920375000002</v>
      </c>
      <c r="K39" s="27">
        <v>0.31537536300000002</v>
      </c>
      <c r="L39" s="27">
        <v>0.31537536300000002</v>
      </c>
      <c r="M39" s="27">
        <v>0.47306304449999997</v>
      </c>
      <c r="N39" s="27">
        <v>0.31537536300000002</v>
      </c>
      <c r="O39" s="27">
        <v>0.63075072600000004</v>
      </c>
      <c r="P39" s="27">
        <v>0.39421920375000002</v>
      </c>
      <c r="Q39" s="27">
        <v>0.39421920375000002</v>
      </c>
      <c r="R39" s="27">
        <v>0.39421920375000002</v>
      </c>
      <c r="S39" s="27">
        <v>0.63075072600000004</v>
      </c>
      <c r="T39" s="27">
        <v>0.63075072600000004</v>
      </c>
      <c r="U39" s="27">
        <v>0.55190688524999998</v>
      </c>
      <c r="V39" s="27">
        <v>0.31537536300000002</v>
      </c>
      <c r="W39" s="27">
        <v>0.63075072600000004</v>
      </c>
      <c r="X39" s="27">
        <v>0.39421920375000002</v>
      </c>
      <c r="Y39" s="27">
        <v>0.47306304449999997</v>
      </c>
      <c r="Z39" s="27">
        <v>0.47306304449999997</v>
      </c>
      <c r="AA39" s="27">
        <v>0.55190688524999998</v>
      </c>
      <c r="AB39" s="27">
        <v>0.39421920375000002</v>
      </c>
      <c r="AC39" s="27">
        <v>0.63075072600000004</v>
      </c>
      <c r="AD39" s="27">
        <v>0.63075072600000004</v>
      </c>
      <c r="AE39" s="27">
        <v>0.31537536300000002</v>
      </c>
      <c r="AF39" s="27">
        <v>0.63075072600000004</v>
      </c>
      <c r="AG39" s="27">
        <v>0.63075072600000004</v>
      </c>
      <c r="AH39" s="27">
        <v>0.31537536300000002</v>
      </c>
      <c r="AI39" s="27">
        <v>0.47306304449999997</v>
      </c>
      <c r="AJ39" s="27">
        <v>0.23653152224999999</v>
      </c>
      <c r="AK39" s="27">
        <v>0.31537536300000002</v>
      </c>
      <c r="AL39" s="27">
        <v>0.39421920375000002</v>
      </c>
      <c r="AM39" s="27">
        <v>0.39421920375000002</v>
      </c>
      <c r="AN39" s="27">
        <v>0.39421920375000002</v>
      </c>
      <c r="AO39" s="27">
        <v>0.47306304449999997</v>
      </c>
      <c r="AP39" s="27">
        <v>0.39421920375000002</v>
      </c>
      <c r="AQ39" s="27">
        <v>0.63075072600000004</v>
      </c>
      <c r="AR39" s="27">
        <v>0.63075072600000004</v>
      </c>
      <c r="AS39" s="27">
        <v>0.47306304449999997</v>
      </c>
      <c r="AT39" s="27">
        <v>0.23653152224999999</v>
      </c>
      <c r="AU39" s="27">
        <v>0.23653152224999999</v>
      </c>
      <c r="AV39" s="27">
        <v>0.31537536300000002</v>
      </c>
      <c r="AW39" s="27">
        <v>0.39421920375000002</v>
      </c>
      <c r="AX39" s="27">
        <v>0.63075072600000004</v>
      </c>
      <c r="AY39" s="27">
        <v>0.47306304449999997</v>
      </c>
      <c r="AZ39" s="27">
        <v>0.47306304449999997</v>
      </c>
      <c r="BA39" s="27">
        <v>0.55190688524999998</v>
      </c>
      <c r="BB39" s="27">
        <v>0.63075072600000004</v>
      </c>
      <c r="BC39" s="27">
        <v>0.39421920375000002</v>
      </c>
      <c r="BD39" s="27">
        <v>0.39421920375000002</v>
      </c>
      <c r="BE39" s="27">
        <v>0.55190688524999998</v>
      </c>
      <c r="BF39" s="27">
        <v>0.23653152224999999</v>
      </c>
      <c r="BG39" s="27">
        <v>0.23653152224999999</v>
      </c>
      <c r="BH39" s="27">
        <v>0.63075072600000004</v>
      </c>
      <c r="BI39" s="27">
        <v>0.47306304449999997</v>
      </c>
      <c r="BJ39" s="27">
        <v>0.31537536300000002</v>
      </c>
      <c r="BK39" s="27">
        <v>0.31537536300000002</v>
      </c>
      <c r="BL39" s="27">
        <v>0.63075072600000004</v>
      </c>
      <c r="BM39" s="27">
        <v>0.63075072600000004</v>
      </c>
      <c r="BN39" s="27">
        <v>0.63075072600000004</v>
      </c>
      <c r="BO39" s="27">
        <v>0.31537536300000002</v>
      </c>
      <c r="BP39" s="27">
        <v>0.39421920375000002</v>
      </c>
      <c r="BQ39" s="27">
        <v>0.39421920375000002</v>
      </c>
      <c r="BR39" s="27">
        <v>0.55190688524999998</v>
      </c>
      <c r="BS39" s="27">
        <v>0.63075072600000004</v>
      </c>
      <c r="BT39" s="27">
        <v>0.31537536300000002</v>
      </c>
      <c r="BU39" s="27">
        <v>0.15768768150000001</v>
      </c>
      <c r="BV39" s="27">
        <v>0.63075072600000004</v>
      </c>
      <c r="BW39" s="27">
        <v>0.55190688524999998</v>
      </c>
      <c r="BX39" s="27">
        <v>0.63075072600000004</v>
      </c>
      <c r="BY39" s="27">
        <v>0.47306304449999997</v>
      </c>
      <c r="BZ39" s="27">
        <v>0.15768768150000001</v>
      </c>
      <c r="CA39" s="27">
        <v>0.47306304449999997</v>
      </c>
      <c r="CB39" s="27">
        <v>0.45565596277597431</v>
      </c>
      <c r="CC39" s="33">
        <v>35.085509133750023</v>
      </c>
    </row>
    <row r="40" spans="1:81" x14ac:dyDescent="0.25">
      <c r="A40" s="23">
        <v>39</v>
      </c>
      <c r="B40" s="25">
        <v>19</v>
      </c>
      <c r="C40" s="27">
        <v>0.36832074773333318</v>
      </c>
      <c r="D40" s="27">
        <v>0.36832074773333318</v>
      </c>
      <c r="E40" s="27">
        <v>0.18416037386666659</v>
      </c>
      <c r="F40" s="27">
        <v>0.36832074773333318</v>
      </c>
      <c r="G40" s="27">
        <v>0.27624056079999992</v>
      </c>
      <c r="H40" s="27">
        <v>0.18416037386666659</v>
      </c>
      <c r="I40" s="27">
        <v>0.23020046733333319</v>
      </c>
      <c r="J40" s="27">
        <v>0.23020046733333319</v>
      </c>
      <c r="K40" s="27">
        <v>0.18416037386666659</v>
      </c>
      <c r="L40" s="27">
        <v>0.18416037386666659</v>
      </c>
      <c r="M40" s="27">
        <v>0.27624056079999992</v>
      </c>
      <c r="N40" s="27">
        <v>0.18416037386666659</v>
      </c>
      <c r="O40" s="27">
        <v>0.36832074773333318</v>
      </c>
      <c r="P40" s="27">
        <v>0.23020046733333319</v>
      </c>
      <c r="Q40" s="27">
        <v>0.23020046733333319</v>
      </c>
      <c r="R40" s="27">
        <v>0.23020046733333319</v>
      </c>
      <c r="S40" s="27">
        <v>0.36832074773333318</v>
      </c>
      <c r="T40" s="27">
        <v>0.36832074773333318</v>
      </c>
      <c r="U40" s="27">
        <v>0.32228065426666652</v>
      </c>
      <c r="V40" s="27">
        <v>0.18416037386666659</v>
      </c>
      <c r="W40" s="27">
        <v>0.36832074773333318</v>
      </c>
      <c r="X40" s="27">
        <v>0.23020046733333319</v>
      </c>
      <c r="Y40" s="27">
        <v>0.27624056079999992</v>
      </c>
      <c r="Z40" s="27">
        <v>0.27624056079999992</v>
      </c>
      <c r="AA40" s="27">
        <v>0.32228065426666652</v>
      </c>
      <c r="AB40" s="27">
        <v>0.23020046733333319</v>
      </c>
      <c r="AC40" s="27">
        <v>0.36832074773333318</v>
      </c>
      <c r="AD40" s="27">
        <v>0.36832074773333318</v>
      </c>
      <c r="AE40" s="27">
        <v>0.18416037386666659</v>
      </c>
      <c r="AF40" s="27">
        <v>0.36832074773333318</v>
      </c>
      <c r="AG40" s="27">
        <v>0.36832074773333318</v>
      </c>
      <c r="AH40" s="27">
        <v>0.18416037386666659</v>
      </c>
      <c r="AI40" s="27">
        <v>0.27624056079999992</v>
      </c>
      <c r="AJ40" s="27">
        <v>0.13812028039999991</v>
      </c>
      <c r="AK40" s="27">
        <v>0.18416037386666659</v>
      </c>
      <c r="AL40" s="27">
        <v>0.23020046733333319</v>
      </c>
      <c r="AM40" s="27">
        <v>0.23020046733333319</v>
      </c>
      <c r="AN40" s="27">
        <v>0.23020046733333319</v>
      </c>
      <c r="AO40" s="27">
        <v>0.27624056079999992</v>
      </c>
      <c r="AP40" s="27">
        <v>0.23020046733333319</v>
      </c>
      <c r="AQ40" s="27">
        <v>0.36832074773333318</v>
      </c>
      <c r="AR40" s="27">
        <v>0.36832074773333318</v>
      </c>
      <c r="AS40" s="27">
        <v>0.27624056079999992</v>
      </c>
      <c r="AT40" s="27">
        <v>0.13812028039999991</v>
      </c>
      <c r="AU40" s="27">
        <v>0.13812028039999991</v>
      </c>
      <c r="AV40" s="27">
        <v>0.18416037386666659</v>
      </c>
      <c r="AW40" s="27">
        <v>0.23020046733333319</v>
      </c>
      <c r="AX40" s="27">
        <v>0.36832074773333318</v>
      </c>
      <c r="AY40" s="27">
        <v>0.27624056079999992</v>
      </c>
      <c r="AZ40" s="27">
        <v>0.27624056079999992</v>
      </c>
      <c r="BA40" s="27">
        <v>0.32228065426666652</v>
      </c>
      <c r="BB40" s="27">
        <v>0.36832074773333318</v>
      </c>
      <c r="BC40" s="27">
        <v>0.23020046733333319</v>
      </c>
      <c r="BD40" s="27">
        <v>0.23020046733333319</v>
      </c>
      <c r="BE40" s="27">
        <v>0.32228065426666652</v>
      </c>
      <c r="BF40" s="27">
        <v>0.13812028039999991</v>
      </c>
      <c r="BG40" s="27">
        <v>0.13812028039999991</v>
      </c>
      <c r="BH40" s="27">
        <v>0.36832074773333318</v>
      </c>
      <c r="BI40" s="27">
        <v>0.27624056079999992</v>
      </c>
      <c r="BJ40" s="27">
        <v>0.18416037386666659</v>
      </c>
      <c r="BK40" s="27">
        <v>0.18416037386666659</v>
      </c>
      <c r="BL40" s="27">
        <v>0.36832074773333318</v>
      </c>
      <c r="BM40" s="27">
        <v>0.36832074773333318</v>
      </c>
      <c r="BN40" s="27">
        <v>0.36832074773333318</v>
      </c>
      <c r="BO40" s="27">
        <v>0.18416037386666659</v>
      </c>
      <c r="BP40" s="27">
        <v>0.23020046733333319</v>
      </c>
      <c r="BQ40" s="27">
        <v>0.23020046733333319</v>
      </c>
      <c r="BR40" s="27">
        <v>0.32228065426666652</v>
      </c>
      <c r="BS40" s="27">
        <v>0.36832074773333318</v>
      </c>
      <c r="BT40" s="27">
        <v>0.18416037386666659</v>
      </c>
      <c r="BU40" s="27">
        <v>9.2080186933333294E-2</v>
      </c>
      <c r="BV40" s="27">
        <v>0.36832074773333318</v>
      </c>
      <c r="BW40" s="27">
        <v>0.32228065426666652</v>
      </c>
      <c r="BX40" s="27">
        <v>0.36832074773333318</v>
      </c>
      <c r="BY40" s="27">
        <v>0.27624056079999992</v>
      </c>
      <c r="BZ40" s="27">
        <v>9.2080186933333294E-2</v>
      </c>
      <c r="CA40" s="27">
        <v>0.27624056079999992</v>
      </c>
      <c r="CB40" s="27">
        <v>0.26607586483982659</v>
      </c>
      <c r="CC40" s="33">
        <v>20.487841592666651</v>
      </c>
    </row>
    <row r="41" spans="1:81" x14ac:dyDescent="0.25">
      <c r="A41" s="23">
        <v>40</v>
      </c>
      <c r="B41" s="25">
        <v>19.5</v>
      </c>
      <c r="C41" s="27">
        <v>0.1071599484</v>
      </c>
      <c r="D41" s="27">
        <v>0.1071599484</v>
      </c>
      <c r="E41" s="27">
        <v>5.3579974199999998E-2</v>
      </c>
      <c r="F41" s="27">
        <v>0.1071599484</v>
      </c>
      <c r="G41" s="27">
        <v>8.0369961300000001E-2</v>
      </c>
      <c r="H41" s="27">
        <v>5.3579974199999998E-2</v>
      </c>
      <c r="I41" s="27">
        <v>6.6974967750000003E-2</v>
      </c>
      <c r="J41" s="27">
        <v>6.6974967750000003E-2</v>
      </c>
      <c r="K41" s="27">
        <v>5.3579974199999998E-2</v>
      </c>
      <c r="L41" s="27">
        <v>5.3579974199999998E-2</v>
      </c>
      <c r="M41" s="27">
        <v>8.0369961300000001E-2</v>
      </c>
      <c r="N41" s="27">
        <v>5.3579974199999998E-2</v>
      </c>
      <c r="O41" s="27">
        <v>0.1071599484</v>
      </c>
      <c r="P41" s="27">
        <v>6.6974967750000003E-2</v>
      </c>
      <c r="Q41" s="27">
        <v>6.6974967750000003E-2</v>
      </c>
      <c r="R41" s="27">
        <v>6.6974967750000003E-2</v>
      </c>
      <c r="S41" s="27">
        <v>0.1071599484</v>
      </c>
      <c r="T41" s="27">
        <v>0.1071599484</v>
      </c>
      <c r="U41" s="27">
        <v>9.3764954849999999E-2</v>
      </c>
      <c r="V41" s="27">
        <v>5.3579974199999998E-2</v>
      </c>
      <c r="W41" s="27">
        <v>0.1071599484</v>
      </c>
      <c r="X41" s="27">
        <v>6.6974967750000003E-2</v>
      </c>
      <c r="Y41" s="27">
        <v>8.0369961300000001E-2</v>
      </c>
      <c r="Z41" s="27">
        <v>8.0369961300000001E-2</v>
      </c>
      <c r="AA41" s="27">
        <v>9.3764954849999999E-2</v>
      </c>
      <c r="AB41" s="27">
        <v>6.6974967750000003E-2</v>
      </c>
      <c r="AC41" s="27">
        <v>0.1071599484</v>
      </c>
      <c r="AD41" s="27">
        <v>0.1071599484</v>
      </c>
      <c r="AE41" s="27">
        <v>5.3579974199999998E-2</v>
      </c>
      <c r="AF41" s="27">
        <v>0.1071599484</v>
      </c>
      <c r="AG41" s="27">
        <v>0.1071599484</v>
      </c>
      <c r="AH41" s="27">
        <v>5.3579974199999998E-2</v>
      </c>
      <c r="AI41" s="27">
        <v>8.0369961300000001E-2</v>
      </c>
      <c r="AJ41" s="27">
        <v>4.018498065E-2</v>
      </c>
      <c r="AK41" s="27">
        <v>5.3579974199999998E-2</v>
      </c>
      <c r="AL41" s="27">
        <v>6.6974967750000003E-2</v>
      </c>
      <c r="AM41" s="27">
        <v>6.6974967750000003E-2</v>
      </c>
      <c r="AN41" s="27">
        <v>6.6974967750000003E-2</v>
      </c>
      <c r="AO41" s="27">
        <v>8.0369961300000001E-2</v>
      </c>
      <c r="AP41" s="27">
        <v>6.6974967750000003E-2</v>
      </c>
      <c r="AQ41" s="27">
        <v>0.1071599484</v>
      </c>
      <c r="AR41" s="27">
        <v>0.1071599484</v>
      </c>
      <c r="AS41" s="27">
        <v>8.0369961300000001E-2</v>
      </c>
      <c r="AT41" s="27">
        <v>4.018498065E-2</v>
      </c>
      <c r="AU41" s="27">
        <v>4.018498065E-2</v>
      </c>
      <c r="AV41" s="27">
        <v>5.3579974199999998E-2</v>
      </c>
      <c r="AW41" s="27">
        <v>6.6974967750000003E-2</v>
      </c>
      <c r="AX41" s="27">
        <v>0.1071599484</v>
      </c>
      <c r="AY41" s="27">
        <v>8.0369961300000001E-2</v>
      </c>
      <c r="AZ41" s="27">
        <v>8.0369961300000001E-2</v>
      </c>
      <c r="BA41" s="27">
        <v>9.3764954849999999E-2</v>
      </c>
      <c r="BB41" s="27">
        <v>0.1071599484</v>
      </c>
      <c r="BC41" s="27">
        <v>6.6974967750000003E-2</v>
      </c>
      <c r="BD41" s="27">
        <v>6.6974967750000003E-2</v>
      </c>
      <c r="BE41" s="27">
        <v>9.3764954849999999E-2</v>
      </c>
      <c r="BF41" s="27">
        <v>4.018498065E-2</v>
      </c>
      <c r="BG41" s="27">
        <v>4.018498065E-2</v>
      </c>
      <c r="BH41" s="27">
        <v>0.1071599484</v>
      </c>
      <c r="BI41" s="27">
        <v>8.0369961300000001E-2</v>
      </c>
      <c r="BJ41" s="27">
        <v>5.3579974199999998E-2</v>
      </c>
      <c r="BK41" s="27">
        <v>5.3579974199999998E-2</v>
      </c>
      <c r="BL41" s="27">
        <v>0.1071599484</v>
      </c>
      <c r="BM41" s="27">
        <v>0.1071599484</v>
      </c>
      <c r="BN41" s="27">
        <v>0.1071599484</v>
      </c>
      <c r="BO41" s="27">
        <v>5.3579974199999998E-2</v>
      </c>
      <c r="BP41" s="27">
        <v>6.6974967750000003E-2</v>
      </c>
      <c r="BQ41" s="27">
        <v>6.6974967750000003E-2</v>
      </c>
      <c r="BR41" s="27">
        <v>9.3764954849999999E-2</v>
      </c>
      <c r="BS41" s="27">
        <v>0.1071599484</v>
      </c>
      <c r="BT41" s="27">
        <v>5.3579974199999998E-2</v>
      </c>
      <c r="BU41" s="27">
        <v>2.6789987099999999E-2</v>
      </c>
      <c r="BV41" s="27">
        <v>0.1071599484</v>
      </c>
      <c r="BW41" s="27">
        <v>9.3764954849999999E-2</v>
      </c>
      <c r="BX41" s="27">
        <v>0.1071599484</v>
      </c>
      <c r="BY41" s="27">
        <v>8.0369961300000001E-2</v>
      </c>
      <c r="BZ41" s="27">
        <v>2.6789987099999999E-2</v>
      </c>
      <c r="CA41" s="27">
        <v>8.0369961300000001E-2</v>
      </c>
      <c r="CB41" s="27">
        <v>7.7412625061688292E-2</v>
      </c>
      <c r="CC41" s="33">
        <v>5.9607721297499987</v>
      </c>
    </row>
    <row r="42" spans="1:81" x14ac:dyDescent="0.25">
      <c r="A42" s="23">
        <v>41</v>
      </c>
      <c r="B42" s="25">
        <v>20</v>
      </c>
      <c r="C42" s="27">
        <v>1.9763776266666679E-2</v>
      </c>
      <c r="D42" s="27">
        <v>1.9763776266666679E-2</v>
      </c>
      <c r="E42" s="27">
        <v>9.8818881333333393E-3</v>
      </c>
      <c r="F42" s="27">
        <v>1.9763776266666679E-2</v>
      </c>
      <c r="G42" s="27">
        <v>1.4822832200000011E-2</v>
      </c>
      <c r="H42" s="27">
        <v>9.8818881333333393E-3</v>
      </c>
      <c r="I42" s="27">
        <v>1.235236016666667E-2</v>
      </c>
      <c r="J42" s="27">
        <v>1.235236016666667E-2</v>
      </c>
      <c r="K42" s="27">
        <v>9.8818881333333393E-3</v>
      </c>
      <c r="L42" s="27">
        <v>9.8818881333333393E-3</v>
      </c>
      <c r="M42" s="27">
        <v>1.4822832200000011E-2</v>
      </c>
      <c r="N42" s="27">
        <v>9.8818881333333393E-3</v>
      </c>
      <c r="O42" s="27">
        <v>1.9763776266666679E-2</v>
      </c>
      <c r="P42" s="27">
        <v>1.235236016666667E-2</v>
      </c>
      <c r="Q42" s="27">
        <v>1.235236016666667E-2</v>
      </c>
      <c r="R42" s="27">
        <v>1.235236016666667E-2</v>
      </c>
      <c r="S42" s="27">
        <v>1.9763776266666679E-2</v>
      </c>
      <c r="T42" s="27">
        <v>1.9763776266666679E-2</v>
      </c>
      <c r="U42" s="27">
        <v>1.7293304233333341E-2</v>
      </c>
      <c r="V42" s="27">
        <v>9.8818881333333393E-3</v>
      </c>
      <c r="W42" s="27">
        <v>1.9763776266666679E-2</v>
      </c>
      <c r="X42" s="27">
        <v>1.235236016666667E-2</v>
      </c>
      <c r="Y42" s="27">
        <v>1.4822832200000011E-2</v>
      </c>
      <c r="Z42" s="27">
        <v>1.4822832200000011E-2</v>
      </c>
      <c r="AA42" s="27">
        <v>1.7293304233333341E-2</v>
      </c>
      <c r="AB42" s="27">
        <v>1.235236016666667E-2</v>
      </c>
      <c r="AC42" s="27">
        <v>1.9763776266666679E-2</v>
      </c>
      <c r="AD42" s="27">
        <v>1.9763776266666679E-2</v>
      </c>
      <c r="AE42" s="27">
        <v>9.8818881333333393E-3</v>
      </c>
      <c r="AF42" s="27">
        <v>1.9763776266666679E-2</v>
      </c>
      <c r="AG42" s="27">
        <v>1.9763776266666679E-2</v>
      </c>
      <c r="AH42" s="27">
        <v>9.8818881333333393E-3</v>
      </c>
      <c r="AI42" s="27">
        <v>1.4822832200000011E-2</v>
      </c>
      <c r="AJ42" s="27">
        <v>7.4114161000000036E-3</v>
      </c>
      <c r="AK42" s="27">
        <v>9.8818881333333393E-3</v>
      </c>
      <c r="AL42" s="27">
        <v>1.235236016666667E-2</v>
      </c>
      <c r="AM42" s="27">
        <v>1.235236016666667E-2</v>
      </c>
      <c r="AN42" s="27">
        <v>1.235236016666667E-2</v>
      </c>
      <c r="AO42" s="27">
        <v>1.4822832200000011E-2</v>
      </c>
      <c r="AP42" s="27">
        <v>1.235236016666667E-2</v>
      </c>
      <c r="AQ42" s="27">
        <v>1.9763776266666679E-2</v>
      </c>
      <c r="AR42" s="27">
        <v>1.9763776266666679E-2</v>
      </c>
      <c r="AS42" s="27">
        <v>1.4822832200000011E-2</v>
      </c>
      <c r="AT42" s="27">
        <v>7.4114161000000036E-3</v>
      </c>
      <c r="AU42" s="27">
        <v>7.4114161000000036E-3</v>
      </c>
      <c r="AV42" s="27">
        <v>9.8818881333333393E-3</v>
      </c>
      <c r="AW42" s="27">
        <v>1.235236016666667E-2</v>
      </c>
      <c r="AX42" s="27">
        <v>1.9763776266666679E-2</v>
      </c>
      <c r="AY42" s="27">
        <v>1.4822832200000011E-2</v>
      </c>
      <c r="AZ42" s="27">
        <v>1.4822832200000011E-2</v>
      </c>
      <c r="BA42" s="27">
        <v>1.7293304233333341E-2</v>
      </c>
      <c r="BB42" s="27">
        <v>1.9763776266666679E-2</v>
      </c>
      <c r="BC42" s="27">
        <v>1.235236016666667E-2</v>
      </c>
      <c r="BD42" s="27">
        <v>1.235236016666667E-2</v>
      </c>
      <c r="BE42" s="27">
        <v>1.7293304233333341E-2</v>
      </c>
      <c r="BF42" s="27">
        <v>7.4114161000000036E-3</v>
      </c>
      <c r="BG42" s="27">
        <v>7.4114161000000036E-3</v>
      </c>
      <c r="BH42" s="27">
        <v>1.9763776266666679E-2</v>
      </c>
      <c r="BI42" s="27">
        <v>1.4822832200000011E-2</v>
      </c>
      <c r="BJ42" s="27">
        <v>9.8818881333333393E-3</v>
      </c>
      <c r="BK42" s="27">
        <v>9.8818881333333393E-3</v>
      </c>
      <c r="BL42" s="27">
        <v>1.9763776266666679E-2</v>
      </c>
      <c r="BM42" s="27">
        <v>1.9763776266666679E-2</v>
      </c>
      <c r="BN42" s="27">
        <v>1.9763776266666679E-2</v>
      </c>
      <c r="BO42" s="27">
        <v>9.8818881333333393E-3</v>
      </c>
      <c r="BP42" s="27">
        <v>1.235236016666667E-2</v>
      </c>
      <c r="BQ42" s="27">
        <v>1.235236016666667E-2</v>
      </c>
      <c r="BR42" s="27">
        <v>1.7293304233333341E-2</v>
      </c>
      <c r="BS42" s="27">
        <v>1.9763776266666679E-2</v>
      </c>
      <c r="BT42" s="27">
        <v>9.8818881333333393E-3</v>
      </c>
      <c r="BU42" s="27">
        <v>4.9409440666666696E-3</v>
      </c>
      <c r="BV42" s="27">
        <v>1.9763776266666679E-2</v>
      </c>
      <c r="BW42" s="27">
        <v>1.7293304233333341E-2</v>
      </c>
      <c r="BX42" s="27">
        <v>1.9763776266666679E-2</v>
      </c>
      <c r="BY42" s="27">
        <v>1.4822832200000011E-2</v>
      </c>
      <c r="BZ42" s="27">
        <v>4.9409440666666696E-3</v>
      </c>
      <c r="CA42" s="27">
        <v>1.4822832200000011E-2</v>
      </c>
      <c r="CB42" s="27">
        <v>1.427740330952381E-2</v>
      </c>
      <c r="CC42" s="33">
        <v>1.099360054833334</v>
      </c>
    </row>
    <row r="43" spans="1:81" x14ac:dyDescent="0.25">
      <c r="A43" s="23">
        <v>42</v>
      </c>
      <c r="B43" s="25">
        <v>20.5</v>
      </c>
      <c r="C43" s="27">
        <v>0</v>
      </c>
      <c r="D43" s="27">
        <v>0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  <c r="V43" s="27">
        <v>0</v>
      </c>
      <c r="W43" s="27">
        <v>0</v>
      </c>
      <c r="X43" s="27">
        <v>0</v>
      </c>
      <c r="Y43" s="27">
        <v>0</v>
      </c>
      <c r="Z43" s="27">
        <v>0</v>
      </c>
      <c r="AA43" s="27">
        <v>0</v>
      </c>
      <c r="AB43" s="27">
        <v>0</v>
      </c>
      <c r="AC43" s="27">
        <v>0</v>
      </c>
      <c r="AD43" s="27">
        <v>0</v>
      </c>
      <c r="AE43" s="27">
        <v>0</v>
      </c>
      <c r="AF43" s="27">
        <v>0</v>
      </c>
      <c r="AG43" s="27">
        <v>0</v>
      </c>
      <c r="AH43" s="27">
        <v>0</v>
      </c>
      <c r="AI43" s="27">
        <v>0</v>
      </c>
      <c r="AJ43" s="27">
        <v>0</v>
      </c>
      <c r="AK43" s="27">
        <v>0</v>
      </c>
      <c r="AL43" s="27">
        <v>0</v>
      </c>
      <c r="AM43" s="27">
        <v>0</v>
      </c>
      <c r="AN43" s="27">
        <v>0</v>
      </c>
      <c r="AO43" s="27">
        <v>0</v>
      </c>
      <c r="AP43" s="27">
        <v>0</v>
      </c>
      <c r="AQ43" s="27">
        <v>0</v>
      </c>
      <c r="AR43" s="27">
        <v>0</v>
      </c>
      <c r="AS43" s="27">
        <v>0</v>
      </c>
      <c r="AT43" s="27">
        <v>0</v>
      </c>
      <c r="AU43" s="27">
        <v>0</v>
      </c>
      <c r="AV43" s="27">
        <v>0</v>
      </c>
      <c r="AW43" s="27">
        <v>0</v>
      </c>
      <c r="AX43" s="27">
        <v>0</v>
      </c>
      <c r="AY43" s="27">
        <v>0</v>
      </c>
      <c r="AZ43" s="27">
        <v>0</v>
      </c>
      <c r="BA43" s="27">
        <v>0</v>
      </c>
      <c r="BB43" s="27">
        <v>0</v>
      </c>
      <c r="BC43" s="27">
        <v>0</v>
      </c>
      <c r="BD43" s="27">
        <v>0</v>
      </c>
      <c r="BE43" s="27">
        <v>0</v>
      </c>
      <c r="BF43" s="27">
        <v>0</v>
      </c>
      <c r="BG43" s="27">
        <v>0</v>
      </c>
      <c r="BH43" s="27">
        <v>0</v>
      </c>
      <c r="BI43" s="27">
        <v>0</v>
      </c>
      <c r="BJ43" s="27">
        <v>0</v>
      </c>
      <c r="BK43" s="27">
        <v>0</v>
      </c>
      <c r="BL43" s="27">
        <v>0</v>
      </c>
      <c r="BM43" s="27">
        <v>0</v>
      </c>
      <c r="BN43" s="27">
        <v>0</v>
      </c>
      <c r="BO43" s="27">
        <v>0</v>
      </c>
      <c r="BP43" s="27">
        <v>0</v>
      </c>
      <c r="BQ43" s="27">
        <v>0</v>
      </c>
      <c r="BR43" s="27">
        <v>0</v>
      </c>
      <c r="BS43" s="27">
        <v>0</v>
      </c>
      <c r="BT43" s="27">
        <v>0</v>
      </c>
      <c r="BU43" s="27">
        <v>0</v>
      </c>
      <c r="BV43" s="27">
        <v>0</v>
      </c>
      <c r="BW43" s="27">
        <v>0</v>
      </c>
      <c r="BX43" s="27">
        <v>0</v>
      </c>
      <c r="BY43" s="27">
        <v>0</v>
      </c>
      <c r="BZ43" s="27">
        <v>0</v>
      </c>
      <c r="CA43" s="27">
        <v>0</v>
      </c>
      <c r="CB43" s="27">
        <v>0</v>
      </c>
      <c r="CC43" s="33">
        <v>0</v>
      </c>
    </row>
    <row r="44" spans="1:81" x14ac:dyDescent="0.25">
      <c r="A44" s="23">
        <v>43</v>
      </c>
      <c r="B44" s="25">
        <v>21</v>
      </c>
      <c r="C44" s="27">
        <v>0</v>
      </c>
      <c r="D44" s="27">
        <v>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  <c r="W44" s="27">
        <v>0</v>
      </c>
      <c r="X44" s="27">
        <v>0</v>
      </c>
      <c r="Y44" s="27">
        <v>0</v>
      </c>
      <c r="Z44" s="27">
        <v>0</v>
      </c>
      <c r="AA44" s="27">
        <v>0</v>
      </c>
      <c r="AB44" s="27">
        <v>0</v>
      </c>
      <c r="AC44" s="27">
        <v>0</v>
      </c>
      <c r="AD44" s="27">
        <v>0</v>
      </c>
      <c r="AE44" s="27">
        <v>0</v>
      </c>
      <c r="AF44" s="27">
        <v>0</v>
      </c>
      <c r="AG44" s="27">
        <v>0</v>
      </c>
      <c r="AH44" s="27">
        <v>0</v>
      </c>
      <c r="AI44" s="27">
        <v>0</v>
      </c>
      <c r="AJ44" s="27">
        <v>0</v>
      </c>
      <c r="AK44" s="27">
        <v>0</v>
      </c>
      <c r="AL44" s="27">
        <v>0</v>
      </c>
      <c r="AM44" s="27">
        <v>0</v>
      </c>
      <c r="AN44" s="27">
        <v>0</v>
      </c>
      <c r="AO44" s="27">
        <v>0</v>
      </c>
      <c r="AP44" s="27">
        <v>0</v>
      </c>
      <c r="AQ44" s="27">
        <v>0</v>
      </c>
      <c r="AR44" s="27">
        <v>0</v>
      </c>
      <c r="AS44" s="27">
        <v>0</v>
      </c>
      <c r="AT44" s="27">
        <v>0</v>
      </c>
      <c r="AU44" s="27">
        <v>0</v>
      </c>
      <c r="AV44" s="27">
        <v>0</v>
      </c>
      <c r="AW44" s="27">
        <v>0</v>
      </c>
      <c r="AX44" s="27">
        <v>0</v>
      </c>
      <c r="AY44" s="27">
        <v>0</v>
      </c>
      <c r="AZ44" s="27">
        <v>0</v>
      </c>
      <c r="BA44" s="27">
        <v>0</v>
      </c>
      <c r="BB44" s="27">
        <v>0</v>
      </c>
      <c r="BC44" s="27">
        <v>0</v>
      </c>
      <c r="BD44" s="27">
        <v>0</v>
      </c>
      <c r="BE44" s="27">
        <v>0</v>
      </c>
      <c r="BF44" s="27">
        <v>0</v>
      </c>
      <c r="BG44" s="27">
        <v>0</v>
      </c>
      <c r="BH44" s="27">
        <v>0</v>
      </c>
      <c r="BI44" s="27">
        <v>0</v>
      </c>
      <c r="BJ44" s="27">
        <v>0</v>
      </c>
      <c r="BK44" s="27">
        <v>0</v>
      </c>
      <c r="BL44" s="27">
        <v>0</v>
      </c>
      <c r="BM44" s="27">
        <v>0</v>
      </c>
      <c r="BN44" s="27">
        <v>0</v>
      </c>
      <c r="BO44" s="27">
        <v>0</v>
      </c>
      <c r="BP44" s="27">
        <v>0</v>
      </c>
      <c r="BQ44" s="27">
        <v>0</v>
      </c>
      <c r="BR44" s="27">
        <v>0</v>
      </c>
      <c r="BS44" s="27">
        <v>0</v>
      </c>
      <c r="BT44" s="27">
        <v>0</v>
      </c>
      <c r="BU44" s="27">
        <v>0</v>
      </c>
      <c r="BV44" s="27">
        <v>0</v>
      </c>
      <c r="BW44" s="27">
        <v>0</v>
      </c>
      <c r="BX44" s="27">
        <v>0</v>
      </c>
      <c r="BY44" s="27">
        <v>0</v>
      </c>
      <c r="BZ44" s="27">
        <v>0</v>
      </c>
      <c r="CA44" s="27">
        <v>0</v>
      </c>
      <c r="CB44" s="27">
        <v>0</v>
      </c>
      <c r="CC44" s="33">
        <v>0</v>
      </c>
    </row>
    <row r="45" spans="1:81" x14ac:dyDescent="0.25">
      <c r="A45" s="23">
        <v>44</v>
      </c>
      <c r="B45" s="25">
        <v>21.5</v>
      </c>
      <c r="C45" s="27">
        <v>0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  <c r="W45" s="27">
        <v>0</v>
      </c>
      <c r="X45" s="27">
        <v>0</v>
      </c>
      <c r="Y45" s="27">
        <v>0</v>
      </c>
      <c r="Z45" s="27">
        <v>0</v>
      </c>
      <c r="AA45" s="27">
        <v>0</v>
      </c>
      <c r="AB45" s="27">
        <v>0</v>
      </c>
      <c r="AC45" s="27">
        <v>0</v>
      </c>
      <c r="AD45" s="27">
        <v>0</v>
      </c>
      <c r="AE45" s="27">
        <v>0</v>
      </c>
      <c r="AF45" s="27">
        <v>0</v>
      </c>
      <c r="AG45" s="27">
        <v>0</v>
      </c>
      <c r="AH45" s="27">
        <v>0</v>
      </c>
      <c r="AI45" s="27">
        <v>0</v>
      </c>
      <c r="AJ45" s="27">
        <v>0</v>
      </c>
      <c r="AK45" s="27">
        <v>0</v>
      </c>
      <c r="AL45" s="27">
        <v>0</v>
      </c>
      <c r="AM45" s="27">
        <v>0</v>
      </c>
      <c r="AN45" s="27">
        <v>0</v>
      </c>
      <c r="AO45" s="27">
        <v>0</v>
      </c>
      <c r="AP45" s="27">
        <v>0</v>
      </c>
      <c r="AQ45" s="27">
        <v>0</v>
      </c>
      <c r="AR45" s="27">
        <v>0</v>
      </c>
      <c r="AS45" s="27">
        <v>0</v>
      </c>
      <c r="AT45" s="27">
        <v>0</v>
      </c>
      <c r="AU45" s="27">
        <v>0</v>
      </c>
      <c r="AV45" s="27">
        <v>0</v>
      </c>
      <c r="AW45" s="27">
        <v>0</v>
      </c>
      <c r="AX45" s="27">
        <v>0</v>
      </c>
      <c r="AY45" s="27">
        <v>0</v>
      </c>
      <c r="AZ45" s="27">
        <v>0</v>
      </c>
      <c r="BA45" s="27">
        <v>0</v>
      </c>
      <c r="BB45" s="27">
        <v>0</v>
      </c>
      <c r="BC45" s="27">
        <v>0</v>
      </c>
      <c r="BD45" s="27">
        <v>0</v>
      </c>
      <c r="BE45" s="27">
        <v>0</v>
      </c>
      <c r="BF45" s="27">
        <v>0</v>
      </c>
      <c r="BG45" s="27">
        <v>0</v>
      </c>
      <c r="BH45" s="27">
        <v>0</v>
      </c>
      <c r="BI45" s="27">
        <v>0</v>
      </c>
      <c r="BJ45" s="27">
        <v>0</v>
      </c>
      <c r="BK45" s="27">
        <v>0</v>
      </c>
      <c r="BL45" s="27">
        <v>0</v>
      </c>
      <c r="BM45" s="27">
        <v>0</v>
      </c>
      <c r="BN45" s="27">
        <v>0</v>
      </c>
      <c r="BO45" s="27">
        <v>0</v>
      </c>
      <c r="BP45" s="27">
        <v>0</v>
      </c>
      <c r="BQ45" s="27">
        <v>0</v>
      </c>
      <c r="BR45" s="27">
        <v>0</v>
      </c>
      <c r="BS45" s="27">
        <v>0</v>
      </c>
      <c r="BT45" s="27">
        <v>0</v>
      </c>
      <c r="BU45" s="27">
        <v>0</v>
      </c>
      <c r="BV45" s="27">
        <v>0</v>
      </c>
      <c r="BW45" s="27">
        <v>0</v>
      </c>
      <c r="BX45" s="27">
        <v>0</v>
      </c>
      <c r="BY45" s="27">
        <v>0</v>
      </c>
      <c r="BZ45" s="27">
        <v>0</v>
      </c>
      <c r="CA45" s="27">
        <v>0</v>
      </c>
      <c r="CB45" s="27">
        <v>0</v>
      </c>
      <c r="CC45" s="33">
        <v>0</v>
      </c>
    </row>
    <row r="46" spans="1:81" x14ac:dyDescent="0.25">
      <c r="A46" s="23">
        <v>45</v>
      </c>
      <c r="B46" s="25">
        <v>22</v>
      </c>
      <c r="C46" s="27">
        <v>0</v>
      </c>
      <c r="D46" s="27">
        <v>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  <c r="V46" s="27">
        <v>0</v>
      </c>
      <c r="W46" s="27">
        <v>0</v>
      </c>
      <c r="X46" s="27">
        <v>0</v>
      </c>
      <c r="Y46" s="27">
        <v>0</v>
      </c>
      <c r="Z46" s="27">
        <v>0</v>
      </c>
      <c r="AA46" s="27">
        <v>0</v>
      </c>
      <c r="AB46" s="27">
        <v>0</v>
      </c>
      <c r="AC46" s="27">
        <v>0</v>
      </c>
      <c r="AD46" s="27">
        <v>0</v>
      </c>
      <c r="AE46" s="27">
        <v>0</v>
      </c>
      <c r="AF46" s="27">
        <v>0</v>
      </c>
      <c r="AG46" s="27">
        <v>0</v>
      </c>
      <c r="AH46" s="27">
        <v>0</v>
      </c>
      <c r="AI46" s="27">
        <v>0</v>
      </c>
      <c r="AJ46" s="27">
        <v>0</v>
      </c>
      <c r="AK46" s="27">
        <v>0</v>
      </c>
      <c r="AL46" s="27">
        <v>0</v>
      </c>
      <c r="AM46" s="27">
        <v>0</v>
      </c>
      <c r="AN46" s="27">
        <v>0</v>
      </c>
      <c r="AO46" s="27">
        <v>0</v>
      </c>
      <c r="AP46" s="27">
        <v>0</v>
      </c>
      <c r="AQ46" s="27">
        <v>0</v>
      </c>
      <c r="AR46" s="27">
        <v>0</v>
      </c>
      <c r="AS46" s="27">
        <v>0</v>
      </c>
      <c r="AT46" s="27">
        <v>0</v>
      </c>
      <c r="AU46" s="27">
        <v>0</v>
      </c>
      <c r="AV46" s="27">
        <v>0</v>
      </c>
      <c r="AW46" s="27">
        <v>0</v>
      </c>
      <c r="AX46" s="27">
        <v>0</v>
      </c>
      <c r="AY46" s="27">
        <v>0</v>
      </c>
      <c r="AZ46" s="27">
        <v>0</v>
      </c>
      <c r="BA46" s="27">
        <v>0</v>
      </c>
      <c r="BB46" s="27">
        <v>0</v>
      </c>
      <c r="BC46" s="27">
        <v>0</v>
      </c>
      <c r="BD46" s="27">
        <v>0</v>
      </c>
      <c r="BE46" s="27">
        <v>0</v>
      </c>
      <c r="BF46" s="27">
        <v>0</v>
      </c>
      <c r="BG46" s="27">
        <v>0</v>
      </c>
      <c r="BH46" s="27">
        <v>0</v>
      </c>
      <c r="BI46" s="27">
        <v>0</v>
      </c>
      <c r="BJ46" s="27">
        <v>0</v>
      </c>
      <c r="BK46" s="27">
        <v>0</v>
      </c>
      <c r="BL46" s="27">
        <v>0</v>
      </c>
      <c r="BM46" s="27">
        <v>0</v>
      </c>
      <c r="BN46" s="27">
        <v>0</v>
      </c>
      <c r="BO46" s="27">
        <v>0</v>
      </c>
      <c r="BP46" s="27">
        <v>0</v>
      </c>
      <c r="BQ46" s="27">
        <v>0</v>
      </c>
      <c r="BR46" s="27">
        <v>0</v>
      </c>
      <c r="BS46" s="27">
        <v>0</v>
      </c>
      <c r="BT46" s="27">
        <v>0</v>
      </c>
      <c r="BU46" s="27">
        <v>0</v>
      </c>
      <c r="BV46" s="27">
        <v>0</v>
      </c>
      <c r="BW46" s="27">
        <v>0</v>
      </c>
      <c r="BX46" s="27">
        <v>0</v>
      </c>
      <c r="BY46" s="27">
        <v>0</v>
      </c>
      <c r="BZ46" s="27">
        <v>0</v>
      </c>
      <c r="CA46" s="27">
        <v>0</v>
      </c>
      <c r="CB46" s="27">
        <v>0</v>
      </c>
      <c r="CC46" s="33">
        <v>0</v>
      </c>
    </row>
    <row r="47" spans="1:81" x14ac:dyDescent="0.25">
      <c r="A47" s="23">
        <v>46</v>
      </c>
      <c r="B47" s="25">
        <v>22.5</v>
      </c>
      <c r="C47" s="27">
        <v>0</v>
      </c>
      <c r="D47" s="27">
        <v>0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  <c r="V47" s="27">
        <v>0</v>
      </c>
      <c r="W47" s="27">
        <v>0</v>
      </c>
      <c r="X47" s="27">
        <v>0</v>
      </c>
      <c r="Y47" s="27">
        <v>0</v>
      </c>
      <c r="Z47" s="27">
        <v>0</v>
      </c>
      <c r="AA47" s="27">
        <v>0</v>
      </c>
      <c r="AB47" s="27">
        <v>0</v>
      </c>
      <c r="AC47" s="27">
        <v>0</v>
      </c>
      <c r="AD47" s="27">
        <v>0</v>
      </c>
      <c r="AE47" s="27">
        <v>0</v>
      </c>
      <c r="AF47" s="27">
        <v>0</v>
      </c>
      <c r="AG47" s="27">
        <v>0</v>
      </c>
      <c r="AH47" s="27">
        <v>0</v>
      </c>
      <c r="AI47" s="27">
        <v>0</v>
      </c>
      <c r="AJ47" s="27">
        <v>0</v>
      </c>
      <c r="AK47" s="27">
        <v>0</v>
      </c>
      <c r="AL47" s="27">
        <v>0</v>
      </c>
      <c r="AM47" s="27">
        <v>0</v>
      </c>
      <c r="AN47" s="27">
        <v>0</v>
      </c>
      <c r="AO47" s="27">
        <v>0</v>
      </c>
      <c r="AP47" s="27">
        <v>0</v>
      </c>
      <c r="AQ47" s="27">
        <v>0</v>
      </c>
      <c r="AR47" s="27">
        <v>0</v>
      </c>
      <c r="AS47" s="27">
        <v>0</v>
      </c>
      <c r="AT47" s="27">
        <v>0</v>
      </c>
      <c r="AU47" s="27">
        <v>0</v>
      </c>
      <c r="AV47" s="27">
        <v>0</v>
      </c>
      <c r="AW47" s="27">
        <v>0</v>
      </c>
      <c r="AX47" s="27">
        <v>0</v>
      </c>
      <c r="AY47" s="27">
        <v>0</v>
      </c>
      <c r="AZ47" s="27">
        <v>0</v>
      </c>
      <c r="BA47" s="27">
        <v>0</v>
      </c>
      <c r="BB47" s="27">
        <v>0</v>
      </c>
      <c r="BC47" s="27">
        <v>0</v>
      </c>
      <c r="BD47" s="27">
        <v>0</v>
      </c>
      <c r="BE47" s="27">
        <v>0</v>
      </c>
      <c r="BF47" s="27">
        <v>0</v>
      </c>
      <c r="BG47" s="27">
        <v>0</v>
      </c>
      <c r="BH47" s="27">
        <v>0</v>
      </c>
      <c r="BI47" s="27">
        <v>0</v>
      </c>
      <c r="BJ47" s="27">
        <v>0</v>
      </c>
      <c r="BK47" s="27">
        <v>0</v>
      </c>
      <c r="BL47" s="27">
        <v>0</v>
      </c>
      <c r="BM47" s="27">
        <v>0</v>
      </c>
      <c r="BN47" s="27">
        <v>0</v>
      </c>
      <c r="BO47" s="27">
        <v>0</v>
      </c>
      <c r="BP47" s="27">
        <v>0</v>
      </c>
      <c r="BQ47" s="27">
        <v>0</v>
      </c>
      <c r="BR47" s="27">
        <v>0</v>
      </c>
      <c r="BS47" s="27">
        <v>0</v>
      </c>
      <c r="BT47" s="27">
        <v>0</v>
      </c>
      <c r="BU47" s="27">
        <v>0</v>
      </c>
      <c r="BV47" s="27">
        <v>0</v>
      </c>
      <c r="BW47" s="27">
        <v>0</v>
      </c>
      <c r="BX47" s="27">
        <v>0</v>
      </c>
      <c r="BY47" s="27">
        <v>0</v>
      </c>
      <c r="BZ47" s="27">
        <v>0</v>
      </c>
      <c r="CA47" s="27">
        <v>0</v>
      </c>
      <c r="CB47" s="27">
        <v>0</v>
      </c>
      <c r="CC47" s="33">
        <v>0</v>
      </c>
    </row>
    <row r="48" spans="1:81" x14ac:dyDescent="0.25">
      <c r="A48" s="23">
        <v>47</v>
      </c>
      <c r="B48" s="25">
        <v>23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  <c r="V48" s="27">
        <v>0</v>
      </c>
      <c r="W48" s="27">
        <v>0</v>
      </c>
      <c r="X48" s="27">
        <v>0</v>
      </c>
      <c r="Y48" s="27">
        <v>0</v>
      </c>
      <c r="Z48" s="27">
        <v>0</v>
      </c>
      <c r="AA48" s="27">
        <v>0</v>
      </c>
      <c r="AB48" s="27">
        <v>0</v>
      </c>
      <c r="AC48" s="27">
        <v>0</v>
      </c>
      <c r="AD48" s="27">
        <v>0</v>
      </c>
      <c r="AE48" s="27">
        <v>0</v>
      </c>
      <c r="AF48" s="27">
        <v>0</v>
      </c>
      <c r="AG48" s="27">
        <v>0</v>
      </c>
      <c r="AH48" s="27">
        <v>0</v>
      </c>
      <c r="AI48" s="27">
        <v>0</v>
      </c>
      <c r="AJ48" s="27">
        <v>0</v>
      </c>
      <c r="AK48" s="27">
        <v>0</v>
      </c>
      <c r="AL48" s="27">
        <v>0</v>
      </c>
      <c r="AM48" s="27">
        <v>0</v>
      </c>
      <c r="AN48" s="27">
        <v>0</v>
      </c>
      <c r="AO48" s="27">
        <v>0</v>
      </c>
      <c r="AP48" s="27">
        <v>0</v>
      </c>
      <c r="AQ48" s="27">
        <v>0</v>
      </c>
      <c r="AR48" s="27">
        <v>0</v>
      </c>
      <c r="AS48" s="27">
        <v>0</v>
      </c>
      <c r="AT48" s="27">
        <v>0</v>
      </c>
      <c r="AU48" s="27">
        <v>0</v>
      </c>
      <c r="AV48" s="27">
        <v>0</v>
      </c>
      <c r="AW48" s="27">
        <v>0</v>
      </c>
      <c r="AX48" s="27">
        <v>0</v>
      </c>
      <c r="AY48" s="27">
        <v>0</v>
      </c>
      <c r="AZ48" s="27">
        <v>0</v>
      </c>
      <c r="BA48" s="27">
        <v>0</v>
      </c>
      <c r="BB48" s="27">
        <v>0</v>
      </c>
      <c r="BC48" s="27">
        <v>0</v>
      </c>
      <c r="BD48" s="27">
        <v>0</v>
      </c>
      <c r="BE48" s="27">
        <v>0</v>
      </c>
      <c r="BF48" s="27">
        <v>0</v>
      </c>
      <c r="BG48" s="27">
        <v>0</v>
      </c>
      <c r="BH48" s="27">
        <v>0</v>
      </c>
      <c r="BI48" s="27">
        <v>0</v>
      </c>
      <c r="BJ48" s="27">
        <v>0</v>
      </c>
      <c r="BK48" s="27">
        <v>0</v>
      </c>
      <c r="BL48" s="27">
        <v>0</v>
      </c>
      <c r="BM48" s="27">
        <v>0</v>
      </c>
      <c r="BN48" s="27">
        <v>0</v>
      </c>
      <c r="BO48" s="27">
        <v>0</v>
      </c>
      <c r="BP48" s="27">
        <v>0</v>
      </c>
      <c r="BQ48" s="27">
        <v>0</v>
      </c>
      <c r="BR48" s="27">
        <v>0</v>
      </c>
      <c r="BS48" s="27">
        <v>0</v>
      </c>
      <c r="BT48" s="27">
        <v>0</v>
      </c>
      <c r="BU48" s="27">
        <v>0</v>
      </c>
      <c r="BV48" s="27">
        <v>0</v>
      </c>
      <c r="BW48" s="27">
        <v>0</v>
      </c>
      <c r="BX48" s="27">
        <v>0</v>
      </c>
      <c r="BY48" s="27">
        <v>0</v>
      </c>
      <c r="BZ48" s="27">
        <v>0</v>
      </c>
      <c r="CA48" s="27">
        <v>0</v>
      </c>
      <c r="CB48" s="27">
        <v>0</v>
      </c>
      <c r="CC48" s="33">
        <v>0</v>
      </c>
    </row>
    <row r="49" spans="1:81" x14ac:dyDescent="0.25">
      <c r="A49" s="24">
        <v>48</v>
      </c>
      <c r="B49" s="26">
        <v>23.5</v>
      </c>
      <c r="C49" s="28">
        <v>0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0</v>
      </c>
      <c r="BV49" s="28">
        <v>0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3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C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81" width="15" customWidth="1"/>
  </cols>
  <sheetData>
    <row r="1" spans="1:81" ht="30" customHeight="1" x14ac:dyDescent="0.25">
      <c r="A1" s="8" t="s">
        <v>26</v>
      </c>
      <c r="B1" s="20" t="s">
        <v>27</v>
      </c>
      <c r="C1" s="20" t="s">
        <v>37</v>
      </c>
      <c r="D1" s="20" t="s">
        <v>38</v>
      </c>
      <c r="E1" s="20" t="s">
        <v>39</v>
      </c>
      <c r="F1" s="20" t="s">
        <v>40</v>
      </c>
      <c r="G1" s="20" t="s">
        <v>41</v>
      </c>
      <c r="H1" s="20" t="s">
        <v>42</v>
      </c>
      <c r="I1" s="20" t="s">
        <v>43</v>
      </c>
      <c r="J1" s="20" t="s">
        <v>44</v>
      </c>
      <c r="K1" s="20" t="s">
        <v>45</v>
      </c>
      <c r="L1" s="20" t="s">
        <v>46</v>
      </c>
      <c r="M1" s="20" t="s">
        <v>47</v>
      </c>
      <c r="N1" s="20" t="s">
        <v>48</v>
      </c>
      <c r="O1" s="20" t="s">
        <v>49</v>
      </c>
      <c r="P1" s="20" t="s">
        <v>50</v>
      </c>
      <c r="Q1" s="20" t="s">
        <v>51</v>
      </c>
      <c r="R1" s="20" t="s">
        <v>52</v>
      </c>
      <c r="S1" s="20" t="s">
        <v>53</v>
      </c>
      <c r="T1" s="20" t="s">
        <v>54</v>
      </c>
      <c r="U1" s="20" t="s">
        <v>55</v>
      </c>
      <c r="V1" s="20" t="s">
        <v>56</v>
      </c>
      <c r="W1" s="20" t="s">
        <v>57</v>
      </c>
      <c r="X1" s="20" t="s">
        <v>58</v>
      </c>
      <c r="Y1" s="20" t="s">
        <v>59</v>
      </c>
      <c r="Z1" s="20" t="s">
        <v>60</v>
      </c>
      <c r="AA1" s="20" t="s">
        <v>61</v>
      </c>
      <c r="AB1" s="20" t="s">
        <v>62</v>
      </c>
      <c r="AC1" s="20" t="s">
        <v>63</v>
      </c>
      <c r="AD1" s="20" t="s">
        <v>64</v>
      </c>
      <c r="AE1" s="20" t="s">
        <v>65</v>
      </c>
      <c r="AF1" s="20" t="s">
        <v>66</v>
      </c>
      <c r="AG1" s="20" t="s">
        <v>67</v>
      </c>
      <c r="AH1" s="20" t="s">
        <v>68</v>
      </c>
      <c r="AI1" s="20" t="s">
        <v>69</v>
      </c>
      <c r="AJ1" s="20" t="s">
        <v>70</v>
      </c>
      <c r="AK1" s="20" t="s">
        <v>71</v>
      </c>
      <c r="AL1" s="20" t="s">
        <v>72</v>
      </c>
      <c r="AM1" s="20" t="s">
        <v>73</v>
      </c>
      <c r="AN1" s="20" t="s">
        <v>74</v>
      </c>
      <c r="AO1" s="20" t="s">
        <v>75</v>
      </c>
      <c r="AP1" s="20" t="s">
        <v>76</v>
      </c>
      <c r="AQ1" s="20" t="s">
        <v>77</v>
      </c>
      <c r="AR1" s="20" t="s">
        <v>78</v>
      </c>
      <c r="AS1" s="20" t="s">
        <v>79</v>
      </c>
      <c r="AT1" s="20" t="s">
        <v>80</v>
      </c>
      <c r="AU1" s="20" t="s">
        <v>81</v>
      </c>
      <c r="AV1" s="20" t="s">
        <v>82</v>
      </c>
      <c r="AW1" s="20" t="s">
        <v>83</v>
      </c>
      <c r="AX1" s="20" t="s">
        <v>84</v>
      </c>
      <c r="AY1" s="20" t="s">
        <v>85</v>
      </c>
      <c r="AZ1" s="20" t="s">
        <v>86</v>
      </c>
      <c r="BA1" s="20" t="s">
        <v>87</v>
      </c>
      <c r="BB1" s="20" t="s">
        <v>88</v>
      </c>
      <c r="BC1" s="20" t="s">
        <v>89</v>
      </c>
      <c r="BD1" s="20" t="s">
        <v>90</v>
      </c>
      <c r="BE1" s="20" t="s">
        <v>91</v>
      </c>
      <c r="BF1" s="20" t="s">
        <v>92</v>
      </c>
      <c r="BG1" s="20" t="s">
        <v>93</v>
      </c>
      <c r="BH1" s="20" t="s">
        <v>94</v>
      </c>
      <c r="BI1" s="20" t="s">
        <v>95</v>
      </c>
      <c r="BJ1" s="20" t="s">
        <v>96</v>
      </c>
      <c r="BK1" s="20" t="s">
        <v>97</v>
      </c>
      <c r="BL1" s="20" t="s">
        <v>98</v>
      </c>
      <c r="BM1" s="20" t="s">
        <v>99</v>
      </c>
      <c r="BN1" s="20" t="s">
        <v>100</v>
      </c>
      <c r="BO1" s="20" t="s">
        <v>101</v>
      </c>
      <c r="BP1" s="20" t="s">
        <v>102</v>
      </c>
      <c r="BQ1" s="20" t="s">
        <v>103</v>
      </c>
      <c r="BR1" s="20" t="s">
        <v>104</v>
      </c>
      <c r="BS1" s="20" t="s">
        <v>105</v>
      </c>
      <c r="BT1" s="20" t="s">
        <v>106</v>
      </c>
      <c r="BU1" s="20" t="s">
        <v>107</v>
      </c>
      <c r="BV1" s="20" t="s">
        <v>108</v>
      </c>
      <c r="BW1" s="20" t="s">
        <v>109</v>
      </c>
      <c r="BX1" s="20" t="s">
        <v>110</v>
      </c>
      <c r="BY1" s="20" t="s">
        <v>111</v>
      </c>
      <c r="BZ1" s="20" t="s">
        <v>112</v>
      </c>
      <c r="CA1" s="20" t="s">
        <v>113</v>
      </c>
      <c r="CB1" s="20" t="s">
        <v>114</v>
      </c>
      <c r="CC1" s="9" t="s">
        <v>115</v>
      </c>
    </row>
    <row r="2" spans="1:81" x14ac:dyDescent="0.25">
      <c r="A2" s="23">
        <v>1</v>
      </c>
      <c r="B2" s="25">
        <v>0</v>
      </c>
      <c r="C2" s="27">
        <v>0</v>
      </c>
      <c r="D2" s="27">
        <v>0</v>
      </c>
      <c r="E2" s="27">
        <v>0</v>
      </c>
      <c r="F2" s="27">
        <v>0</v>
      </c>
      <c r="G2" s="27">
        <v>0</v>
      </c>
      <c r="H2" s="27">
        <v>0</v>
      </c>
      <c r="I2" s="27">
        <v>0</v>
      </c>
      <c r="J2" s="27">
        <v>0</v>
      </c>
      <c r="K2" s="27">
        <v>0</v>
      </c>
      <c r="L2" s="27">
        <v>0</v>
      </c>
      <c r="M2" s="27">
        <v>0</v>
      </c>
      <c r="N2" s="27">
        <v>0</v>
      </c>
      <c r="O2" s="27">
        <v>0</v>
      </c>
      <c r="P2" s="27">
        <v>0</v>
      </c>
      <c r="Q2" s="27">
        <v>0</v>
      </c>
      <c r="R2" s="27">
        <v>0</v>
      </c>
      <c r="S2" s="27">
        <v>0</v>
      </c>
      <c r="T2" s="27">
        <v>0</v>
      </c>
      <c r="U2" s="27">
        <v>0</v>
      </c>
      <c r="V2" s="27">
        <v>0</v>
      </c>
      <c r="W2" s="27">
        <v>0</v>
      </c>
      <c r="X2" s="27">
        <v>0</v>
      </c>
      <c r="Y2" s="27">
        <v>0</v>
      </c>
      <c r="Z2" s="27">
        <v>0</v>
      </c>
      <c r="AA2" s="27">
        <v>0</v>
      </c>
      <c r="AB2" s="27">
        <v>0</v>
      </c>
      <c r="AC2" s="27">
        <v>0</v>
      </c>
      <c r="AD2" s="27">
        <v>0</v>
      </c>
      <c r="AE2" s="27">
        <v>0</v>
      </c>
      <c r="AF2" s="27">
        <v>0</v>
      </c>
      <c r="AG2" s="27">
        <v>0</v>
      </c>
      <c r="AH2" s="27">
        <v>0</v>
      </c>
      <c r="AI2" s="27">
        <v>0</v>
      </c>
      <c r="AJ2" s="27">
        <v>0</v>
      </c>
      <c r="AK2" s="27">
        <v>0</v>
      </c>
      <c r="AL2" s="27">
        <v>0</v>
      </c>
      <c r="AM2" s="27">
        <v>0</v>
      </c>
      <c r="AN2" s="27">
        <v>0</v>
      </c>
      <c r="AO2" s="27">
        <v>0</v>
      </c>
      <c r="AP2" s="27">
        <v>0</v>
      </c>
      <c r="AQ2" s="27">
        <v>0</v>
      </c>
      <c r="AR2" s="27">
        <v>0</v>
      </c>
      <c r="AS2" s="27">
        <v>0</v>
      </c>
      <c r="AT2" s="27">
        <v>0</v>
      </c>
      <c r="AU2" s="27">
        <v>0</v>
      </c>
      <c r="AV2" s="27">
        <v>0</v>
      </c>
      <c r="AW2" s="27">
        <v>0</v>
      </c>
      <c r="AX2" s="27">
        <v>0</v>
      </c>
      <c r="AY2" s="27">
        <v>0</v>
      </c>
      <c r="AZ2" s="27">
        <v>0</v>
      </c>
      <c r="BA2" s="27">
        <v>0</v>
      </c>
      <c r="BB2" s="27">
        <v>0</v>
      </c>
      <c r="BC2" s="27">
        <v>0</v>
      </c>
      <c r="BD2" s="27">
        <v>0</v>
      </c>
      <c r="BE2" s="27">
        <v>0</v>
      </c>
      <c r="BF2" s="27">
        <v>0</v>
      </c>
      <c r="BG2" s="27">
        <v>0</v>
      </c>
      <c r="BH2" s="27">
        <v>0</v>
      </c>
      <c r="BI2" s="27">
        <v>0</v>
      </c>
      <c r="BJ2" s="27">
        <v>0</v>
      </c>
      <c r="BK2" s="27">
        <v>0</v>
      </c>
      <c r="BL2" s="27">
        <v>0</v>
      </c>
      <c r="BM2" s="27">
        <v>0</v>
      </c>
      <c r="BN2" s="27">
        <v>0</v>
      </c>
      <c r="BO2" s="27">
        <v>0</v>
      </c>
      <c r="BP2" s="27">
        <v>0</v>
      </c>
      <c r="BQ2" s="27">
        <v>0</v>
      </c>
      <c r="BR2" s="27">
        <v>0</v>
      </c>
      <c r="BS2" s="27">
        <v>0</v>
      </c>
      <c r="BT2" s="27">
        <v>0</v>
      </c>
      <c r="BU2" s="27">
        <v>0</v>
      </c>
      <c r="BV2" s="27">
        <v>0</v>
      </c>
      <c r="BW2" s="27">
        <v>0</v>
      </c>
      <c r="BX2" s="27">
        <v>0</v>
      </c>
      <c r="BY2" s="27">
        <v>0</v>
      </c>
      <c r="BZ2" s="27">
        <v>0</v>
      </c>
      <c r="CA2" s="27">
        <v>0</v>
      </c>
      <c r="CB2" s="27">
        <v>0</v>
      </c>
      <c r="CC2" s="33">
        <v>0</v>
      </c>
    </row>
    <row r="3" spans="1:81" x14ac:dyDescent="0.25">
      <c r="A3" s="23">
        <v>2</v>
      </c>
      <c r="B3" s="25">
        <v>0.5</v>
      </c>
      <c r="C3" s="27">
        <v>0</v>
      </c>
      <c r="D3" s="27">
        <v>0</v>
      </c>
      <c r="E3" s="27">
        <v>0</v>
      </c>
      <c r="F3" s="27">
        <v>0</v>
      </c>
      <c r="G3" s="27">
        <v>0</v>
      </c>
      <c r="H3" s="27">
        <v>0</v>
      </c>
      <c r="I3" s="27">
        <v>0</v>
      </c>
      <c r="J3" s="27">
        <v>0</v>
      </c>
      <c r="K3" s="27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  <c r="V3" s="27">
        <v>0</v>
      </c>
      <c r="W3" s="27">
        <v>0</v>
      </c>
      <c r="X3" s="27">
        <v>0</v>
      </c>
      <c r="Y3" s="27">
        <v>0</v>
      </c>
      <c r="Z3" s="27">
        <v>0</v>
      </c>
      <c r="AA3" s="27">
        <v>0</v>
      </c>
      <c r="AB3" s="27">
        <v>0</v>
      </c>
      <c r="AC3" s="27">
        <v>0</v>
      </c>
      <c r="AD3" s="27">
        <v>0</v>
      </c>
      <c r="AE3" s="27">
        <v>0</v>
      </c>
      <c r="AF3" s="27">
        <v>0</v>
      </c>
      <c r="AG3" s="27">
        <v>0</v>
      </c>
      <c r="AH3" s="27">
        <v>0</v>
      </c>
      <c r="AI3" s="27">
        <v>0</v>
      </c>
      <c r="AJ3" s="27">
        <v>0</v>
      </c>
      <c r="AK3" s="27">
        <v>0</v>
      </c>
      <c r="AL3" s="27">
        <v>0</v>
      </c>
      <c r="AM3" s="27">
        <v>0</v>
      </c>
      <c r="AN3" s="27">
        <v>0</v>
      </c>
      <c r="AO3" s="27">
        <v>0</v>
      </c>
      <c r="AP3" s="27">
        <v>0</v>
      </c>
      <c r="AQ3" s="27">
        <v>0</v>
      </c>
      <c r="AR3" s="27">
        <v>0</v>
      </c>
      <c r="AS3" s="27">
        <v>0</v>
      </c>
      <c r="AT3" s="27">
        <v>0</v>
      </c>
      <c r="AU3" s="27">
        <v>0</v>
      </c>
      <c r="AV3" s="27">
        <v>0</v>
      </c>
      <c r="AW3" s="27">
        <v>0</v>
      </c>
      <c r="AX3" s="27">
        <v>0</v>
      </c>
      <c r="AY3" s="27">
        <v>0</v>
      </c>
      <c r="AZ3" s="27">
        <v>0</v>
      </c>
      <c r="BA3" s="27">
        <v>0</v>
      </c>
      <c r="BB3" s="27">
        <v>0</v>
      </c>
      <c r="BC3" s="27">
        <v>0</v>
      </c>
      <c r="BD3" s="27">
        <v>0</v>
      </c>
      <c r="BE3" s="27">
        <v>0</v>
      </c>
      <c r="BF3" s="27">
        <v>0</v>
      </c>
      <c r="BG3" s="27">
        <v>0</v>
      </c>
      <c r="BH3" s="27">
        <v>0</v>
      </c>
      <c r="BI3" s="27">
        <v>0</v>
      </c>
      <c r="BJ3" s="27">
        <v>0</v>
      </c>
      <c r="BK3" s="27">
        <v>0</v>
      </c>
      <c r="BL3" s="27">
        <v>0</v>
      </c>
      <c r="BM3" s="27">
        <v>0</v>
      </c>
      <c r="BN3" s="27">
        <v>0</v>
      </c>
      <c r="BO3" s="27">
        <v>0</v>
      </c>
      <c r="BP3" s="27">
        <v>0</v>
      </c>
      <c r="BQ3" s="27">
        <v>0</v>
      </c>
      <c r="BR3" s="27">
        <v>0</v>
      </c>
      <c r="BS3" s="27">
        <v>0</v>
      </c>
      <c r="BT3" s="27">
        <v>0</v>
      </c>
      <c r="BU3" s="27">
        <v>0</v>
      </c>
      <c r="BV3" s="27">
        <v>0</v>
      </c>
      <c r="BW3" s="27">
        <v>0</v>
      </c>
      <c r="BX3" s="27">
        <v>0</v>
      </c>
      <c r="BY3" s="27">
        <v>0</v>
      </c>
      <c r="BZ3" s="27">
        <v>0</v>
      </c>
      <c r="CA3" s="27">
        <v>0</v>
      </c>
      <c r="CB3" s="27">
        <v>0</v>
      </c>
      <c r="CC3" s="33">
        <v>0</v>
      </c>
    </row>
    <row r="4" spans="1:81" x14ac:dyDescent="0.25">
      <c r="A4" s="23">
        <v>3</v>
      </c>
      <c r="B4" s="25">
        <v>1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27">
        <v>0</v>
      </c>
      <c r="AH4" s="27">
        <v>0</v>
      </c>
      <c r="AI4" s="27">
        <v>0</v>
      </c>
      <c r="AJ4" s="27">
        <v>0</v>
      </c>
      <c r="AK4" s="27">
        <v>0</v>
      </c>
      <c r="AL4" s="27">
        <v>0</v>
      </c>
      <c r="AM4" s="27">
        <v>0</v>
      </c>
      <c r="AN4" s="27">
        <v>0</v>
      </c>
      <c r="AO4" s="27">
        <v>0</v>
      </c>
      <c r="AP4" s="27">
        <v>0</v>
      </c>
      <c r="AQ4" s="27">
        <v>0</v>
      </c>
      <c r="AR4" s="27">
        <v>0</v>
      </c>
      <c r="AS4" s="27">
        <v>0</v>
      </c>
      <c r="AT4" s="27">
        <v>0</v>
      </c>
      <c r="AU4" s="27">
        <v>0</v>
      </c>
      <c r="AV4" s="27">
        <v>0</v>
      </c>
      <c r="AW4" s="27">
        <v>0</v>
      </c>
      <c r="AX4" s="27">
        <v>0</v>
      </c>
      <c r="AY4" s="27">
        <v>0</v>
      </c>
      <c r="AZ4" s="27">
        <v>0</v>
      </c>
      <c r="BA4" s="27">
        <v>0</v>
      </c>
      <c r="BB4" s="27">
        <v>0</v>
      </c>
      <c r="BC4" s="27">
        <v>0</v>
      </c>
      <c r="BD4" s="27">
        <v>0</v>
      </c>
      <c r="BE4" s="27">
        <v>0</v>
      </c>
      <c r="BF4" s="27">
        <v>0</v>
      </c>
      <c r="BG4" s="27">
        <v>0</v>
      </c>
      <c r="BH4" s="27">
        <v>0</v>
      </c>
      <c r="BI4" s="27">
        <v>0</v>
      </c>
      <c r="BJ4" s="27">
        <v>0</v>
      </c>
      <c r="BK4" s="27">
        <v>0</v>
      </c>
      <c r="BL4" s="27">
        <v>0</v>
      </c>
      <c r="BM4" s="27">
        <v>0</v>
      </c>
      <c r="BN4" s="27">
        <v>0</v>
      </c>
      <c r="BO4" s="27">
        <v>0</v>
      </c>
      <c r="BP4" s="27">
        <v>0</v>
      </c>
      <c r="BQ4" s="27">
        <v>0</v>
      </c>
      <c r="BR4" s="27">
        <v>0</v>
      </c>
      <c r="BS4" s="27">
        <v>0</v>
      </c>
      <c r="BT4" s="27">
        <v>0</v>
      </c>
      <c r="BU4" s="27">
        <v>0</v>
      </c>
      <c r="BV4" s="27">
        <v>0</v>
      </c>
      <c r="BW4" s="27">
        <v>0</v>
      </c>
      <c r="BX4" s="27">
        <v>0</v>
      </c>
      <c r="BY4" s="27">
        <v>0</v>
      </c>
      <c r="BZ4" s="27">
        <v>0</v>
      </c>
      <c r="CA4" s="27">
        <v>0</v>
      </c>
      <c r="CB4" s="27">
        <v>0</v>
      </c>
      <c r="CC4" s="33">
        <v>0</v>
      </c>
    </row>
    <row r="5" spans="1:81" x14ac:dyDescent="0.25">
      <c r="A5" s="23">
        <v>4</v>
      </c>
      <c r="B5" s="25">
        <v>1.5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27">
        <v>0</v>
      </c>
      <c r="AG5" s="27">
        <v>0</v>
      </c>
      <c r="AH5" s="27">
        <v>0</v>
      </c>
      <c r="AI5" s="27">
        <v>0</v>
      </c>
      <c r="AJ5" s="27">
        <v>0</v>
      </c>
      <c r="AK5" s="27">
        <v>0</v>
      </c>
      <c r="AL5" s="27">
        <v>0</v>
      </c>
      <c r="AM5" s="27">
        <v>0</v>
      </c>
      <c r="AN5" s="27">
        <v>0</v>
      </c>
      <c r="AO5" s="27">
        <v>0</v>
      </c>
      <c r="AP5" s="27">
        <v>0</v>
      </c>
      <c r="AQ5" s="27">
        <v>0</v>
      </c>
      <c r="AR5" s="27">
        <v>0</v>
      </c>
      <c r="AS5" s="27">
        <v>0</v>
      </c>
      <c r="AT5" s="27">
        <v>0</v>
      </c>
      <c r="AU5" s="27">
        <v>0</v>
      </c>
      <c r="AV5" s="27">
        <v>0</v>
      </c>
      <c r="AW5" s="27">
        <v>0</v>
      </c>
      <c r="AX5" s="27">
        <v>0</v>
      </c>
      <c r="AY5" s="27">
        <v>0</v>
      </c>
      <c r="AZ5" s="27">
        <v>0</v>
      </c>
      <c r="BA5" s="27">
        <v>0</v>
      </c>
      <c r="BB5" s="27">
        <v>0</v>
      </c>
      <c r="BC5" s="27">
        <v>0</v>
      </c>
      <c r="BD5" s="27">
        <v>0</v>
      </c>
      <c r="BE5" s="27">
        <v>0</v>
      </c>
      <c r="BF5" s="27">
        <v>0</v>
      </c>
      <c r="BG5" s="27">
        <v>0</v>
      </c>
      <c r="BH5" s="27">
        <v>0</v>
      </c>
      <c r="BI5" s="27">
        <v>0</v>
      </c>
      <c r="BJ5" s="27">
        <v>0</v>
      </c>
      <c r="BK5" s="27">
        <v>0</v>
      </c>
      <c r="BL5" s="27">
        <v>0</v>
      </c>
      <c r="BM5" s="27">
        <v>0</v>
      </c>
      <c r="BN5" s="27">
        <v>0</v>
      </c>
      <c r="BO5" s="27">
        <v>0</v>
      </c>
      <c r="BP5" s="27">
        <v>0</v>
      </c>
      <c r="BQ5" s="27">
        <v>0</v>
      </c>
      <c r="BR5" s="27">
        <v>0</v>
      </c>
      <c r="BS5" s="27">
        <v>0</v>
      </c>
      <c r="BT5" s="27">
        <v>0</v>
      </c>
      <c r="BU5" s="27">
        <v>0</v>
      </c>
      <c r="BV5" s="27">
        <v>0</v>
      </c>
      <c r="BW5" s="27">
        <v>0</v>
      </c>
      <c r="BX5" s="27">
        <v>0</v>
      </c>
      <c r="BY5" s="27">
        <v>0</v>
      </c>
      <c r="BZ5" s="27">
        <v>0</v>
      </c>
      <c r="CA5" s="27">
        <v>0</v>
      </c>
      <c r="CB5" s="27">
        <v>0</v>
      </c>
      <c r="CC5" s="33">
        <v>0</v>
      </c>
    </row>
    <row r="6" spans="1:81" x14ac:dyDescent="0.25">
      <c r="A6" s="23">
        <v>5</v>
      </c>
      <c r="B6" s="25">
        <v>2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27">
        <v>0</v>
      </c>
      <c r="AH6" s="27">
        <v>0</v>
      </c>
      <c r="AI6" s="27">
        <v>0</v>
      </c>
      <c r="AJ6" s="27">
        <v>0</v>
      </c>
      <c r="AK6" s="27">
        <v>0</v>
      </c>
      <c r="AL6" s="27">
        <v>0</v>
      </c>
      <c r="AM6" s="27">
        <v>0</v>
      </c>
      <c r="AN6" s="27">
        <v>0</v>
      </c>
      <c r="AO6" s="27">
        <v>0</v>
      </c>
      <c r="AP6" s="27">
        <v>0</v>
      </c>
      <c r="AQ6" s="27">
        <v>0</v>
      </c>
      <c r="AR6" s="27">
        <v>0</v>
      </c>
      <c r="AS6" s="27">
        <v>0</v>
      </c>
      <c r="AT6" s="27">
        <v>0</v>
      </c>
      <c r="AU6" s="27">
        <v>0</v>
      </c>
      <c r="AV6" s="27">
        <v>0</v>
      </c>
      <c r="AW6" s="27">
        <v>0</v>
      </c>
      <c r="AX6" s="27">
        <v>0</v>
      </c>
      <c r="AY6" s="27">
        <v>0</v>
      </c>
      <c r="AZ6" s="27">
        <v>0</v>
      </c>
      <c r="BA6" s="27">
        <v>0</v>
      </c>
      <c r="BB6" s="27">
        <v>0</v>
      </c>
      <c r="BC6" s="27">
        <v>0</v>
      </c>
      <c r="BD6" s="27">
        <v>0</v>
      </c>
      <c r="BE6" s="27">
        <v>0</v>
      </c>
      <c r="BF6" s="27">
        <v>0</v>
      </c>
      <c r="BG6" s="27">
        <v>0</v>
      </c>
      <c r="BH6" s="27">
        <v>0</v>
      </c>
      <c r="BI6" s="27">
        <v>0</v>
      </c>
      <c r="BJ6" s="27">
        <v>0</v>
      </c>
      <c r="BK6" s="27">
        <v>0</v>
      </c>
      <c r="BL6" s="27">
        <v>0</v>
      </c>
      <c r="BM6" s="27">
        <v>0</v>
      </c>
      <c r="BN6" s="27">
        <v>0</v>
      </c>
      <c r="BO6" s="27">
        <v>0</v>
      </c>
      <c r="BP6" s="27">
        <v>0</v>
      </c>
      <c r="BQ6" s="27">
        <v>0</v>
      </c>
      <c r="BR6" s="27">
        <v>0</v>
      </c>
      <c r="BS6" s="27">
        <v>0</v>
      </c>
      <c r="BT6" s="27">
        <v>0</v>
      </c>
      <c r="BU6" s="27">
        <v>0</v>
      </c>
      <c r="BV6" s="27">
        <v>0</v>
      </c>
      <c r="BW6" s="27">
        <v>0</v>
      </c>
      <c r="BX6" s="27">
        <v>0</v>
      </c>
      <c r="BY6" s="27">
        <v>0</v>
      </c>
      <c r="BZ6" s="27">
        <v>0</v>
      </c>
      <c r="CA6" s="27">
        <v>0</v>
      </c>
      <c r="CB6" s="27">
        <v>0</v>
      </c>
      <c r="CC6" s="33">
        <v>0</v>
      </c>
    </row>
    <row r="7" spans="1:81" x14ac:dyDescent="0.25">
      <c r="A7" s="23">
        <v>6</v>
      </c>
      <c r="B7" s="25">
        <v>2.5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  <c r="AC7" s="27">
        <v>0</v>
      </c>
      <c r="AD7" s="27">
        <v>0</v>
      </c>
      <c r="AE7" s="27">
        <v>0</v>
      </c>
      <c r="AF7" s="27">
        <v>0</v>
      </c>
      <c r="AG7" s="27">
        <v>0</v>
      </c>
      <c r="AH7" s="27">
        <v>0</v>
      </c>
      <c r="AI7" s="27">
        <v>0</v>
      </c>
      <c r="AJ7" s="27">
        <v>0</v>
      </c>
      <c r="AK7" s="27">
        <v>0</v>
      </c>
      <c r="AL7" s="27">
        <v>0</v>
      </c>
      <c r="AM7" s="27">
        <v>0</v>
      </c>
      <c r="AN7" s="27">
        <v>0</v>
      </c>
      <c r="AO7" s="27">
        <v>0</v>
      </c>
      <c r="AP7" s="27">
        <v>0</v>
      </c>
      <c r="AQ7" s="27">
        <v>0</v>
      </c>
      <c r="AR7" s="27">
        <v>0</v>
      </c>
      <c r="AS7" s="27">
        <v>0</v>
      </c>
      <c r="AT7" s="27">
        <v>0</v>
      </c>
      <c r="AU7" s="27">
        <v>0</v>
      </c>
      <c r="AV7" s="27">
        <v>0</v>
      </c>
      <c r="AW7" s="27">
        <v>0</v>
      </c>
      <c r="AX7" s="27">
        <v>0</v>
      </c>
      <c r="AY7" s="27">
        <v>0</v>
      </c>
      <c r="AZ7" s="27">
        <v>0</v>
      </c>
      <c r="BA7" s="27">
        <v>0</v>
      </c>
      <c r="BB7" s="27">
        <v>0</v>
      </c>
      <c r="BC7" s="27">
        <v>0</v>
      </c>
      <c r="BD7" s="27">
        <v>0</v>
      </c>
      <c r="BE7" s="27">
        <v>0</v>
      </c>
      <c r="BF7" s="27">
        <v>0</v>
      </c>
      <c r="BG7" s="27">
        <v>0</v>
      </c>
      <c r="BH7" s="27">
        <v>0</v>
      </c>
      <c r="BI7" s="27">
        <v>0</v>
      </c>
      <c r="BJ7" s="27">
        <v>0</v>
      </c>
      <c r="BK7" s="27">
        <v>0</v>
      </c>
      <c r="BL7" s="27">
        <v>0</v>
      </c>
      <c r="BM7" s="27">
        <v>0</v>
      </c>
      <c r="BN7" s="27">
        <v>0</v>
      </c>
      <c r="BO7" s="27">
        <v>0</v>
      </c>
      <c r="BP7" s="27">
        <v>0</v>
      </c>
      <c r="BQ7" s="27">
        <v>0</v>
      </c>
      <c r="BR7" s="27">
        <v>0</v>
      </c>
      <c r="BS7" s="27">
        <v>0</v>
      </c>
      <c r="BT7" s="27">
        <v>0</v>
      </c>
      <c r="BU7" s="27">
        <v>0</v>
      </c>
      <c r="BV7" s="27">
        <v>0</v>
      </c>
      <c r="BW7" s="27">
        <v>0</v>
      </c>
      <c r="BX7" s="27">
        <v>0</v>
      </c>
      <c r="BY7" s="27">
        <v>0</v>
      </c>
      <c r="BZ7" s="27">
        <v>0</v>
      </c>
      <c r="CA7" s="27">
        <v>0</v>
      </c>
      <c r="CB7" s="27">
        <v>0</v>
      </c>
      <c r="CC7" s="33">
        <v>0</v>
      </c>
    </row>
    <row r="8" spans="1:81" x14ac:dyDescent="0.25">
      <c r="A8" s="23">
        <v>7</v>
      </c>
      <c r="B8" s="25">
        <v>3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>
        <v>0</v>
      </c>
      <c r="AH8" s="27">
        <v>0</v>
      </c>
      <c r="AI8" s="27">
        <v>0</v>
      </c>
      <c r="AJ8" s="27">
        <v>0</v>
      </c>
      <c r="AK8" s="27">
        <v>0</v>
      </c>
      <c r="AL8" s="27">
        <v>0</v>
      </c>
      <c r="AM8" s="27">
        <v>0</v>
      </c>
      <c r="AN8" s="27">
        <v>0</v>
      </c>
      <c r="AO8" s="27">
        <v>0</v>
      </c>
      <c r="AP8" s="27">
        <v>0</v>
      </c>
      <c r="AQ8" s="27">
        <v>0</v>
      </c>
      <c r="AR8" s="27">
        <v>0</v>
      </c>
      <c r="AS8" s="27">
        <v>0</v>
      </c>
      <c r="AT8" s="27">
        <v>0</v>
      </c>
      <c r="AU8" s="27">
        <v>0</v>
      </c>
      <c r="AV8" s="27">
        <v>0</v>
      </c>
      <c r="AW8" s="27">
        <v>0</v>
      </c>
      <c r="AX8" s="27">
        <v>0</v>
      </c>
      <c r="AY8" s="27">
        <v>0</v>
      </c>
      <c r="AZ8" s="27">
        <v>0</v>
      </c>
      <c r="BA8" s="27">
        <v>0</v>
      </c>
      <c r="BB8" s="27">
        <v>0</v>
      </c>
      <c r="BC8" s="27">
        <v>0</v>
      </c>
      <c r="BD8" s="27">
        <v>0</v>
      </c>
      <c r="BE8" s="27">
        <v>0</v>
      </c>
      <c r="BF8" s="27">
        <v>0</v>
      </c>
      <c r="BG8" s="27">
        <v>0</v>
      </c>
      <c r="BH8" s="27">
        <v>0</v>
      </c>
      <c r="BI8" s="27">
        <v>0</v>
      </c>
      <c r="BJ8" s="27">
        <v>0</v>
      </c>
      <c r="BK8" s="27">
        <v>0</v>
      </c>
      <c r="BL8" s="27">
        <v>0</v>
      </c>
      <c r="BM8" s="27">
        <v>0</v>
      </c>
      <c r="BN8" s="27">
        <v>0</v>
      </c>
      <c r="BO8" s="27">
        <v>0</v>
      </c>
      <c r="BP8" s="27">
        <v>0</v>
      </c>
      <c r="BQ8" s="27">
        <v>0</v>
      </c>
      <c r="BR8" s="27">
        <v>0</v>
      </c>
      <c r="BS8" s="27">
        <v>0</v>
      </c>
      <c r="BT8" s="27">
        <v>0</v>
      </c>
      <c r="BU8" s="27">
        <v>0</v>
      </c>
      <c r="BV8" s="27">
        <v>0</v>
      </c>
      <c r="BW8" s="27">
        <v>0</v>
      </c>
      <c r="BX8" s="27">
        <v>0</v>
      </c>
      <c r="BY8" s="27">
        <v>0</v>
      </c>
      <c r="BZ8" s="27">
        <v>0</v>
      </c>
      <c r="CA8" s="27">
        <v>0</v>
      </c>
      <c r="CB8" s="27">
        <v>0</v>
      </c>
      <c r="CC8" s="33">
        <v>0</v>
      </c>
    </row>
    <row r="9" spans="1:81" x14ac:dyDescent="0.25">
      <c r="A9" s="23">
        <v>8</v>
      </c>
      <c r="B9" s="25">
        <v>3.5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I9" s="27">
        <v>0</v>
      </c>
      <c r="AJ9" s="27">
        <v>0</v>
      </c>
      <c r="AK9" s="27">
        <v>0</v>
      </c>
      <c r="AL9" s="27">
        <v>0</v>
      </c>
      <c r="AM9" s="27">
        <v>0</v>
      </c>
      <c r="AN9" s="27">
        <v>0</v>
      </c>
      <c r="AO9" s="27">
        <v>0</v>
      </c>
      <c r="AP9" s="27">
        <v>0</v>
      </c>
      <c r="AQ9" s="27">
        <v>0</v>
      </c>
      <c r="AR9" s="27">
        <v>0</v>
      </c>
      <c r="AS9" s="27">
        <v>0</v>
      </c>
      <c r="AT9" s="27">
        <v>0</v>
      </c>
      <c r="AU9" s="27">
        <v>0</v>
      </c>
      <c r="AV9" s="27">
        <v>0</v>
      </c>
      <c r="AW9" s="27">
        <v>0</v>
      </c>
      <c r="AX9" s="27">
        <v>0</v>
      </c>
      <c r="AY9" s="27">
        <v>0</v>
      </c>
      <c r="AZ9" s="27">
        <v>0</v>
      </c>
      <c r="BA9" s="27">
        <v>0</v>
      </c>
      <c r="BB9" s="27">
        <v>0</v>
      </c>
      <c r="BC9" s="27">
        <v>0</v>
      </c>
      <c r="BD9" s="27">
        <v>0</v>
      </c>
      <c r="BE9" s="27">
        <v>0</v>
      </c>
      <c r="BF9" s="27">
        <v>0</v>
      </c>
      <c r="BG9" s="27">
        <v>0</v>
      </c>
      <c r="BH9" s="27">
        <v>0</v>
      </c>
      <c r="BI9" s="27">
        <v>0</v>
      </c>
      <c r="BJ9" s="27">
        <v>0</v>
      </c>
      <c r="BK9" s="27">
        <v>0</v>
      </c>
      <c r="BL9" s="27">
        <v>0</v>
      </c>
      <c r="BM9" s="27">
        <v>0</v>
      </c>
      <c r="BN9" s="27">
        <v>0</v>
      </c>
      <c r="BO9" s="27">
        <v>0</v>
      </c>
      <c r="BP9" s="27">
        <v>0</v>
      </c>
      <c r="BQ9" s="27">
        <v>0</v>
      </c>
      <c r="BR9" s="27">
        <v>0</v>
      </c>
      <c r="BS9" s="27">
        <v>0</v>
      </c>
      <c r="BT9" s="27">
        <v>0</v>
      </c>
      <c r="BU9" s="27">
        <v>0</v>
      </c>
      <c r="BV9" s="27">
        <v>0</v>
      </c>
      <c r="BW9" s="27">
        <v>0</v>
      </c>
      <c r="BX9" s="27">
        <v>0</v>
      </c>
      <c r="BY9" s="27">
        <v>0</v>
      </c>
      <c r="BZ9" s="27">
        <v>0</v>
      </c>
      <c r="CA9" s="27">
        <v>0</v>
      </c>
      <c r="CB9" s="27">
        <v>0</v>
      </c>
      <c r="CC9" s="33">
        <v>0</v>
      </c>
    </row>
    <row r="10" spans="1:81" x14ac:dyDescent="0.25">
      <c r="A10" s="23">
        <v>9</v>
      </c>
      <c r="B10" s="25">
        <v>4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  <c r="AH10" s="27">
        <v>0</v>
      </c>
      <c r="AI10" s="27">
        <v>0</v>
      </c>
      <c r="AJ10" s="27">
        <v>0</v>
      </c>
      <c r="AK10" s="27">
        <v>0</v>
      </c>
      <c r="AL10" s="27">
        <v>0</v>
      </c>
      <c r="AM10" s="27">
        <v>0</v>
      </c>
      <c r="AN10" s="27">
        <v>0</v>
      </c>
      <c r="AO10" s="27">
        <v>0</v>
      </c>
      <c r="AP10" s="27">
        <v>0</v>
      </c>
      <c r="AQ10" s="27">
        <v>0</v>
      </c>
      <c r="AR10" s="27">
        <v>4.0000000000000001E-3</v>
      </c>
      <c r="AS10" s="27">
        <v>0</v>
      </c>
      <c r="AT10" s="27">
        <v>0</v>
      </c>
      <c r="AU10" s="27">
        <v>0</v>
      </c>
      <c r="AV10" s="27">
        <v>0</v>
      </c>
      <c r="AW10" s="27">
        <v>0</v>
      </c>
      <c r="AX10" s="27">
        <v>0</v>
      </c>
      <c r="AY10" s="27">
        <v>0</v>
      </c>
      <c r="AZ10" s="27">
        <v>0</v>
      </c>
      <c r="BA10" s="27">
        <v>0</v>
      </c>
      <c r="BB10" s="27">
        <v>0</v>
      </c>
      <c r="BC10" s="27">
        <v>0</v>
      </c>
      <c r="BD10" s="27">
        <v>0</v>
      </c>
      <c r="BE10" s="27">
        <v>0</v>
      </c>
      <c r="BF10" s="27">
        <v>0</v>
      </c>
      <c r="BG10" s="27">
        <v>0</v>
      </c>
      <c r="BH10" s="27">
        <v>0</v>
      </c>
      <c r="BI10" s="27">
        <v>0</v>
      </c>
      <c r="BJ10" s="27">
        <v>0</v>
      </c>
      <c r="BK10" s="27">
        <v>0</v>
      </c>
      <c r="BL10" s="27">
        <v>0</v>
      </c>
      <c r="BM10" s="27">
        <v>0</v>
      </c>
      <c r="BN10" s="27">
        <v>0</v>
      </c>
      <c r="BO10" s="27">
        <v>0</v>
      </c>
      <c r="BP10" s="27">
        <v>0</v>
      </c>
      <c r="BQ10" s="27">
        <v>0</v>
      </c>
      <c r="BR10" s="27">
        <v>0</v>
      </c>
      <c r="BS10" s="27">
        <v>0</v>
      </c>
      <c r="BT10" s="27">
        <v>0</v>
      </c>
      <c r="BU10" s="27">
        <v>0</v>
      </c>
      <c r="BV10" s="27">
        <v>0</v>
      </c>
      <c r="BW10" s="27">
        <v>0</v>
      </c>
      <c r="BX10" s="27">
        <v>0</v>
      </c>
      <c r="BY10" s="27">
        <v>0</v>
      </c>
      <c r="BZ10" s="27">
        <v>0</v>
      </c>
      <c r="CA10" s="27">
        <v>0</v>
      </c>
      <c r="CB10" s="27">
        <v>5.1948051948051951E-5</v>
      </c>
      <c r="CC10" s="33">
        <v>4.0000000000000001E-3</v>
      </c>
    </row>
    <row r="11" spans="1:81" x14ac:dyDescent="0.25">
      <c r="A11" s="23">
        <v>10</v>
      </c>
      <c r="B11" s="25">
        <v>4.5</v>
      </c>
      <c r="C11" s="27">
        <v>0.02</v>
      </c>
      <c r="D11" s="27">
        <v>0.125</v>
      </c>
      <c r="E11" s="27">
        <v>6.6000000000000003E-2</v>
      </c>
      <c r="F11" s="27">
        <v>6.8999999999999992E-2</v>
      </c>
      <c r="G11" s="27">
        <v>0.11899999999999999</v>
      </c>
      <c r="H11" s="27">
        <v>0</v>
      </c>
      <c r="I11" s="27">
        <v>0</v>
      </c>
      <c r="J11" s="27">
        <v>2.5000000000000001E-2</v>
      </c>
      <c r="K11" s="27">
        <v>6.0999999999999999E-2</v>
      </c>
      <c r="L11" s="27">
        <v>0</v>
      </c>
      <c r="M11" s="27">
        <v>0.128</v>
      </c>
      <c r="N11" s="27">
        <v>5.8999999999999997E-2</v>
      </c>
      <c r="O11" s="27">
        <v>0.182</v>
      </c>
      <c r="P11" s="27">
        <v>0</v>
      </c>
      <c r="Q11" s="27">
        <v>0</v>
      </c>
      <c r="R11" s="27">
        <v>0.1</v>
      </c>
      <c r="S11" s="27">
        <v>7.4999999999999997E-2</v>
      </c>
      <c r="T11" s="27">
        <v>0.105</v>
      </c>
      <c r="U11" s="27">
        <v>0.157</v>
      </c>
      <c r="V11" s="27">
        <v>1.2999999999999999E-2</v>
      </c>
      <c r="W11" s="27">
        <v>3.4000000000000002E-2</v>
      </c>
      <c r="X11" s="27">
        <v>4.3999999999999997E-2</v>
      </c>
      <c r="Y11" s="27">
        <v>0.124</v>
      </c>
      <c r="Z11" s="27">
        <v>0.11899999999999999</v>
      </c>
      <c r="AA11" s="27">
        <v>0.14599999999999999</v>
      </c>
      <c r="AB11" s="27">
        <v>8.7999999999999995E-2</v>
      </c>
      <c r="AC11" s="27">
        <v>0.183</v>
      </c>
      <c r="AD11" s="27">
        <v>0.16600000000000001</v>
      </c>
      <c r="AE11" s="27">
        <v>8.0000000000000002E-3</v>
      </c>
      <c r="AF11" s="27">
        <v>0.17899999999999999</v>
      </c>
      <c r="AG11" s="27">
        <v>0.17399999999999999</v>
      </c>
      <c r="AH11" s="27">
        <v>4.3999999999999997E-2</v>
      </c>
      <c r="AI11" s="27">
        <v>0.114</v>
      </c>
      <c r="AJ11" s="27">
        <v>0</v>
      </c>
      <c r="AK11" s="27">
        <v>5.8000000000000003E-2</v>
      </c>
      <c r="AL11" s="27">
        <v>0</v>
      </c>
      <c r="AM11" s="27">
        <v>9.7000000000000003E-2</v>
      </c>
      <c r="AN11" s="27">
        <v>0</v>
      </c>
      <c r="AO11" s="27">
        <v>0.127</v>
      </c>
      <c r="AP11" s="27">
        <v>9.2999999999999999E-2</v>
      </c>
      <c r="AQ11" s="27">
        <v>0.158</v>
      </c>
      <c r="AR11" s="27">
        <v>0.187</v>
      </c>
      <c r="AS11" s="27">
        <v>6.0999999999999999E-2</v>
      </c>
      <c r="AT11" s="27">
        <v>0.05</v>
      </c>
      <c r="AU11" s="27">
        <v>0</v>
      </c>
      <c r="AV11" s="27">
        <v>0</v>
      </c>
      <c r="AW11" s="27">
        <v>0</v>
      </c>
      <c r="AX11" s="27">
        <v>0</v>
      </c>
      <c r="AY11" s="27">
        <v>0</v>
      </c>
      <c r="AZ11" s="27">
        <v>0.113</v>
      </c>
      <c r="BA11" s="27">
        <v>2E-3</v>
      </c>
      <c r="BB11" s="27">
        <v>0.16200000000000001</v>
      </c>
      <c r="BC11" s="27">
        <v>0.10199999999999999</v>
      </c>
      <c r="BD11" s="27">
        <v>0</v>
      </c>
      <c r="BE11" s="27">
        <v>0.08</v>
      </c>
      <c r="BF11" s="27">
        <v>3.1E-2</v>
      </c>
      <c r="BG11" s="27">
        <v>0</v>
      </c>
      <c r="BH11" s="27">
        <v>0.11799999999999999</v>
      </c>
      <c r="BI11" s="27">
        <v>0.109</v>
      </c>
      <c r="BJ11" s="27">
        <v>5.0000000000000001E-3</v>
      </c>
      <c r="BK11" s="27">
        <v>6.0999999999999999E-2</v>
      </c>
      <c r="BL11" s="27">
        <v>0.10299999999999999</v>
      </c>
      <c r="BM11" s="27">
        <v>0.13</v>
      </c>
      <c r="BN11" s="27">
        <v>8.5000000000000006E-2</v>
      </c>
      <c r="BO11" s="27">
        <v>7.4999999999999997E-2</v>
      </c>
      <c r="BP11" s="27">
        <v>9.5000000000000001E-2</v>
      </c>
      <c r="BQ11" s="27">
        <v>0.108</v>
      </c>
      <c r="BR11" s="27">
        <v>0.156</v>
      </c>
      <c r="BS11" s="27">
        <v>0.11600000000000001</v>
      </c>
      <c r="BT11" s="27">
        <v>6.0999999999999999E-2</v>
      </c>
      <c r="BU11" s="27">
        <v>3.0000000000000001E-3</v>
      </c>
      <c r="BV11" s="27">
        <v>0.129</v>
      </c>
      <c r="BW11" s="27">
        <v>3.5999999999999997E-2</v>
      </c>
      <c r="BX11" s="27">
        <v>0.13200000000000001</v>
      </c>
      <c r="BY11" s="27">
        <v>0</v>
      </c>
      <c r="BZ11" s="27">
        <v>1.4E-2</v>
      </c>
      <c r="CA11" s="27">
        <v>0.126</v>
      </c>
      <c r="CB11" s="27">
        <v>7.4155844155844114E-2</v>
      </c>
      <c r="CC11" s="33">
        <v>5.7099999999999973</v>
      </c>
    </row>
    <row r="12" spans="1:81" x14ac:dyDescent="0.25">
      <c r="A12" s="23">
        <v>11</v>
      </c>
      <c r="B12" s="25">
        <v>5</v>
      </c>
      <c r="C12" s="27">
        <v>0.39200000000000002</v>
      </c>
      <c r="D12" s="27">
        <v>0.41499999999999998</v>
      </c>
      <c r="E12" s="27">
        <v>0.18099999999999999</v>
      </c>
      <c r="F12" s="27">
        <v>0.39200000000000002</v>
      </c>
      <c r="G12" s="27">
        <v>0.29099999999999998</v>
      </c>
      <c r="H12" s="27">
        <v>0.17699999999999999</v>
      </c>
      <c r="I12" s="27">
        <v>0.188</v>
      </c>
      <c r="J12" s="27">
        <v>0.13900000000000001</v>
      </c>
      <c r="K12" s="27">
        <v>0.17599999999999999</v>
      </c>
      <c r="L12" s="27">
        <v>0.17</v>
      </c>
      <c r="M12" s="27">
        <v>0.3</v>
      </c>
      <c r="N12" s="27">
        <v>0</v>
      </c>
      <c r="O12" s="27">
        <v>0.28599999999999998</v>
      </c>
      <c r="P12" s="27">
        <v>7.2999999999999995E-2</v>
      </c>
      <c r="Q12" s="27">
        <v>0.22500000000000001</v>
      </c>
      <c r="R12" s="27">
        <v>0.24299999999999999</v>
      </c>
      <c r="S12" s="27">
        <v>0.253</v>
      </c>
      <c r="T12" s="27">
        <v>0.37</v>
      </c>
      <c r="U12" s="27">
        <v>0.312</v>
      </c>
      <c r="V12" s="27">
        <v>0</v>
      </c>
      <c r="W12" s="27">
        <v>0.30099999999999999</v>
      </c>
      <c r="X12" s="27">
        <v>0.22500000000000001</v>
      </c>
      <c r="Y12" s="27">
        <v>0.29599999999999999</v>
      </c>
      <c r="Z12" s="27">
        <v>0.29099999999999998</v>
      </c>
      <c r="AA12" s="27">
        <v>0.34599999999999997</v>
      </c>
      <c r="AB12" s="27">
        <v>0.158</v>
      </c>
      <c r="AC12" s="27">
        <v>0.39600000000000002</v>
      </c>
      <c r="AD12" s="27">
        <v>0.33900000000000002</v>
      </c>
      <c r="AE12" s="27">
        <v>0.10299999999999999</v>
      </c>
      <c r="AF12" s="27">
        <v>0.40699999999999997</v>
      </c>
      <c r="AG12" s="27">
        <v>0.29499999999999998</v>
      </c>
      <c r="AH12" s="27">
        <v>0.157</v>
      </c>
      <c r="AI12" s="27">
        <v>0.28599999999999998</v>
      </c>
      <c r="AJ12" s="27">
        <v>5.0999999999999997E-2</v>
      </c>
      <c r="AK12" s="27">
        <v>1.0999999999999999E-2</v>
      </c>
      <c r="AL12" s="27">
        <v>7.8E-2</v>
      </c>
      <c r="AM12" s="27">
        <v>0.14299999999999999</v>
      </c>
      <c r="AN12" s="27">
        <v>0.21</v>
      </c>
      <c r="AO12" s="27">
        <v>0.26800000000000002</v>
      </c>
      <c r="AP12" s="27">
        <v>0.23599999999999999</v>
      </c>
      <c r="AQ12" s="27">
        <v>0.35199999999999998</v>
      </c>
      <c r="AR12" s="27">
        <v>0.41499999999999998</v>
      </c>
      <c r="AS12" s="27">
        <v>0.245</v>
      </c>
      <c r="AT12" s="27">
        <v>0</v>
      </c>
      <c r="AU12" s="27">
        <v>9.0999999999999998E-2</v>
      </c>
      <c r="AV12" s="27">
        <v>9.2999999999999999E-2</v>
      </c>
      <c r="AW12" s="27">
        <v>0.182</v>
      </c>
      <c r="AX12" s="27">
        <v>0.218</v>
      </c>
      <c r="AY12" s="27">
        <v>0.19900000000000001</v>
      </c>
      <c r="AZ12" s="27">
        <v>0.218</v>
      </c>
      <c r="BA12" s="27">
        <v>0.28599999999999998</v>
      </c>
      <c r="BB12" s="27">
        <v>0.40300000000000002</v>
      </c>
      <c r="BC12" s="27">
        <v>0.17100000000000001</v>
      </c>
      <c r="BD12" s="27">
        <v>0.215</v>
      </c>
      <c r="BE12" s="27">
        <v>0.34599999999999997</v>
      </c>
      <c r="BF12" s="27">
        <v>0</v>
      </c>
      <c r="BG12" s="27">
        <v>0.123</v>
      </c>
      <c r="BH12" s="27">
        <v>0.26400000000000001</v>
      </c>
      <c r="BI12" s="27">
        <v>0.246</v>
      </c>
      <c r="BJ12" s="27">
        <v>0.105</v>
      </c>
      <c r="BK12" s="27">
        <v>0.17599999999999999</v>
      </c>
      <c r="BL12" s="27">
        <v>0.33500000000000002</v>
      </c>
      <c r="BM12" s="27">
        <v>0.28299999999999997</v>
      </c>
      <c r="BN12" s="27">
        <v>0.4</v>
      </c>
      <c r="BO12" s="27">
        <v>3.1E-2</v>
      </c>
      <c r="BP12" s="27">
        <v>0.23799999999999999</v>
      </c>
      <c r="BQ12" s="27">
        <v>0.24399999999999999</v>
      </c>
      <c r="BR12" s="27">
        <v>0.35599999999999998</v>
      </c>
      <c r="BS12" s="27">
        <v>0.41099999999999998</v>
      </c>
      <c r="BT12" s="27">
        <v>0.17599999999999999</v>
      </c>
      <c r="BU12" s="27">
        <v>0.06</v>
      </c>
      <c r="BV12" s="27">
        <v>0.41</v>
      </c>
      <c r="BW12" s="27">
        <v>0.34799999999999998</v>
      </c>
      <c r="BX12" s="27">
        <v>0.28000000000000003</v>
      </c>
      <c r="BY12" s="27">
        <v>0.20399999999999999</v>
      </c>
      <c r="BZ12" s="27">
        <v>7.1000000000000008E-2</v>
      </c>
      <c r="CA12" s="27">
        <v>0.29799999999999999</v>
      </c>
      <c r="CB12" s="27">
        <v>0.22951948051948051</v>
      </c>
      <c r="CC12" s="33">
        <v>17.672999999999998</v>
      </c>
    </row>
    <row r="13" spans="1:81" x14ac:dyDescent="0.25">
      <c r="A13" s="23">
        <v>12</v>
      </c>
      <c r="B13" s="25">
        <v>5.5</v>
      </c>
      <c r="C13" s="27">
        <v>0.46</v>
      </c>
      <c r="D13" s="27">
        <v>0.55900000000000005</v>
      </c>
      <c r="E13" s="27">
        <v>0.23799999999999999</v>
      </c>
      <c r="F13" s="27">
        <v>0.68499999999999994</v>
      </c>
      <c r="G13" s="27">
        <v>0.41499999999999998</v>
      </c>
      <c r="H13" s="27">
        <v>0.111</v>
      </c>
      <c r="I13" s="27">
        <v>0.22</v>
      </c>
      <c r="J13" s="27">
        <v>0.307</v>
      </c>
      <c r="K13" s="27">
        <v>0.316</v>
      </c>
      <c r="L13" s="27">
        <v>0.31</v>
      </c>
      <c r="M13" s="27">
        <v>0.51</v>
      </c>
      <c r="N13" s="27">
        <v>0.30599999999999999</v>
      </c>
      <c r="O13" s="27">
        <v>0.64400000000000002</v>
      </c>
      <c r="P13" s="27">
        <v>0.38300000000000001</v>
      </c>
      <c r="Q13" s="27">
        <v>0.41599999999999998</v>
      </c>
      <c r="R13" s="27">
        <v>0.252</v>
      </c>
      <c r="S13" s="27">
        <v>0.64600000000000002</v>
      </c>
      <c r="T13" s="27">
        <v>0.44400000000000001</v>
      </c>
      <c r="U13" s="27">
        <v>0.48199999999999998</v>
      </c>
      <c r="V13" s="27">
        <v>0.32200000000000001</v>
      </c>
      <c r="W13" s="27">
        <v>0.61799999999999999</v>
      </c>
      <c r="X13" s="27">
        <v>0.36199999999999999</v>
      </c>
      <c r="Y13" s="27">
        <v>0.50600000000000001</v>
      </c>
      <c r="Z13" s="27">
        <v>0.45900000000000002</v>
      </c>
      <c r="AA13" s="27">
        <v>0.59100000000000008</v>
      </c>
      <c r="AB13" s="27">
        <v>0.36699999999999999</v>
      </c>
      <c r="AC13" s="27">
        <v>0.60400000000000009</v>
      </c>
      <c r="AD13" s="27">
        <v>0.52300000000000002</v>
      </c>
      <c r="AE13" s="27">
        <v>0.32100000000000001</v>
      </c>
      <c r="AF13" s="27">
        <v>0.67199999999999993</v>
      </c>
      <c r="AG13" s="27">
        <v>0.68300000000000005</v>
      </c>
      <c r="AH13" s="27">
        <v>0.1</v>
      </c>
      <c r="AI13" s="27">
        <v>0.28799999999999998</v>
      </c>
      <c r="AJ13" s="27">
        <v>0.14199999999999999</v>
      </c>
      <c r="AK13" s="27">
        <v>0.18</v>
      </c>
      <c r="AL13" s="27">
        <v>0.36099999999999999</v>
      </c>
      <c r="AM13" s="27">
        <v>0.41599999999999998</v>
      </c>
      <c r="AN13" s="27">
        <v>0.29699999999999999</v>
      </c>
      <c r="AO13" s="27">
        <v>0.46</v>
      </c>
      <c r="AP13" s="27">
        <v>0.41199999999999998</v>
      </c>
      <c r="AQ13" s="27">
        <v>0.68900000000000006</v>
      </c>
      <c r="AR13" s="27">
        <v>0.69599999999999995</v>
      </c>
      <c r="AS13" s="27">
        <v>0.51400000000000001</v>
      </c>
      <c r="AT13" s="27">
        <v>0.16600000000000001</v>
      </c>
      <c r="AU13" s="27">
        <v>0.10199999999999999</v>
      </c>
      <c r="AV13" s="27">
        <v>0.307</v>
      </c>
      <c r="AW13" s="27">
        <v>0.38</v>
      </c>
      <c r="AX13" s="27">
        <v>0.71199999999999997</v>
      </c>
      <c r="AY13" s="27">
        <v>0.32800000000000001</v>
      </c>
      <c r="AZ13" s="27">
        <v>0.254</v>
      </c>
      <c r="BA13" s="27">
        <v>0.50900000000000001</v>
      </c>
      <c r="BB13" s="27">
        <v>0.68400000000000005</v>
      </c>
      <c r="BC13" s="27">
        <v>0.42099999999999999</v>
      </c>
      <c r="BD13" s="27">
        <v>0.42799999999999999</v>
      </c>
      <c r="BE13" s="27">
        <v>0.54</v>
      </c>
      <c r="BF13" s="27">
        <v>0.222</v>
      </c>
      <c r="BG13" s="27">
        <v>0</v>
      </c>
      <c r="BH13" s="27">
        <v>0.68700000000000006</v>
      </c>
      <c r="BI13" s="27">
        <v>0.47799999999999998</v>
      </c>
      <c r="BJ13" s="27">
        <v>0.158</v>
      </c>
      <c r="BK13" s="27">
        <v>0.17399999999999999</v>
      </c>
      <c r="BL13" s="27">
        <v>0.58399999999999996</v>
      </c>
      <c r="BM13" s="27">
        <v>0.68499999999999994</v>
      </c>
      <c r="BN13" s="27">
        <v>0.50700000000000001</v>
      </c>
      <c r="BO13" s="27">
        <v>0.33</v>
      </c>
      <c r="BP13" s="27">
        <v>0.41399999999999998</v>
      </c>
      <c r="BQ13" s="27">
        <v>0.26400000000000001</v>
      </c>
      <c r="BR13" s="27">
        <v>0.60099999999999998</v>
      </c>
      <c r="BS13" s="27">
        <v>0.53</v>
      </c>
      <c r="BT13" s="27">
        <v>0.216</v>
      </c>
      <c r="BU13" s="27">
        <v>0</v>
      </c>
      <c r="BV13" s="27">
        <v>0.47399999999999998</v>
      </c>
      <c r="BW13" s="27">
        <v>0.59299999999999997</v>
      </c>
      <c r="BX13" s="27">
        <v>0.69</v>
      </c>
      <c r="BY13" s="27">
        <v>0.25</v>
      </c>
      <c r="BZ13" s="27">
        <v>0.14099999999999999</v>
      </c>
      <c r="CA13" s="27">
        <v>0.50800000000000001</v>
      </c>
      <c r="CB13" s="27">
        <v>0.41070129870129879</v>
      </c>
      <c r="CC13" s="33">
        <v>31.624000000000009</v>
      </c>
    </row>
    <row r="14" spans="1:81" x14ac:dyDescent="0.25">
      <c r="A14" s="23">
        <v>13</v>
      </c>
      <c r="B14" s="25">
        <v>6</v>
      </c>
      <c r="C14" s="27">
        <v>0.92599999999999993</v>
      </c>
      <c r="D14" s="27">
        <v>1.008</v>
      </c>
      <c r="E14" s="27">
        <v>0.47399999999999998</v>
      </c>
      <c r="F14" s="27">
        <v>0.94899999999999995</v>
      </c>
      <c r="G14" s="27">
        <v>0.65899999999999992</v>
      </c>
      <c r="H14" s="27">
        <v>0.32100000000000001</v>
      </c>
      <c r="I14" s="27">
        <v>0.60199999999999998</v>
      </c>
      <c r="J14" s="27">
        <v>0.32100000000000001</v>
      </c>
      <c r="K14" s="27">
        <v>0.38900000000000001</v>
      </c>
      <c r="L14" s="27">
        <v>0.29899999999999999</v>
      </c>
      <c r="M14" s="27">
        <v>0.74</v>
      </c>
      <c r="N14" s="27">
        <v>0.38700000000000001</v>
      </c>
      <c r="O14" s="27">
        <v>0.99700000000000011</v>
      </c>
      <c r="P14" s="27">
        <v>0.41599999999999998</v>
      </c>
      <c r="Q14" s="27">
        <v>0.59899999999999998</v>
      </c>
      <c r="R14" s="27">
        <v>0.61</v>
      </c>
      <c r="S14" s="27">
        <v>0.81400000000000006</v>
      </c>
      <c r="T14" s="27">
        <v>0.99400000000000011</v>
      </c>
      <c r="U14" s="27">
        <v>0.87</v>
      </c>
      <c r="V14" s="27">
        <v>0.28699999999999998</v>
      </c>
      <c r="W14" s="27">
        <v>0.82499999999999996</v>
      </c>
      <c r="X14" s="27">
        <v>0.59799999999999998</v>
      </c>
      <c r="Y14" s="27">
        <v>0.73599999999999999</v>
      </c>
      <c r="Z14" s="27">
        <v>0.59100000000000008</v>
      </c>
      <c r="AA14" s="27">
        <v>0.77500000000000002</v>
      </c>
      <c r="AB14" s="27">
        <v>0.59799999999999998</v>
      </c>
      <c r="AC14" s="27">
        <v>0.998</v>
      </c>
      <c r="AD14" s="27">
        <v>0.92599999999999993</v>
      </c>
      <c r="AE14" s="27">
        <v>0.193</v>
      </c>
      <c r="AF14" s="27">
        <v>0.127</v>
      </c>
      <c r="AG14" s="27">
        <v>0.88200000000000001</v>
      </c>
      <c r="AH14" s="27">
        <v>0.48</v>
      </c>
      <c r="AI14" s="27">
        <v>0.72599999999999998</v>
      </c>
      <c r="AJ14" s="27">
        <v>0.34300000000000003</v>
      </c>
      <c r="AK14" s="27">
        <v>0.41199999999999998</v>
      </c>
      <c r="AL14" s="27">
        <v>0.44</v>
      </c>
      <c r="AM14" s="27">
        <v>0.60699999999999998</v>
      </c>
      <c r="AN14" s="27">
        <v>0.5109999999999999</v>
      </c>
      <c r="AO14" s="27">
        <v>0.69899999999999995</v>
      </c>
      <c r="AP14" s="27">
        <v>0.60299999999999998</v>
      </c>
      <c r="AQ14" s="27">
        <v>0.93800000000000006</v>
      </c>
      <c r="AR14" s="27">
        <v>1.002</v>
      </c>
      <c r="AS14" s="27">
        <v>0.65300000000000002</v>
      </c>
      <c r="AT14" s="27">
        <v>0.35599999999999998</v>
      </c>
      <c r="AU14" s="27">
        <v>0.23599999999999999</v>
      </c>
      <c r="AV14" s="27">
        <v>0.308</v>
      </c>
      <c r="AW14" s="27">
        <v>0.48199999999999998</v>
      </c>
      <c r="AX14" s="27">
        <v>1.018</v>
      </c>
      <c r="AY14" s="27">
        <v>0.64</v>
      </c>
      <c r="AZ14" s="27">
        <v>0.745</v>
      </c>
      <c r="BA14" s="27">
        <v>0.86099999999999999</v>
      </c>
      <c r="BB14" s="27">
        <v>0.99</v>
      </c>
      <c r="BC14" s="27">
        <v>0.56200000000000006</v>
      </c>
      <c r="BD14" s="27">
        <v>0.46500000000000002</v>
      </c>
      <c r="BE14" s="27">
        <v>0.84399999999999997</v>
      </c>
      <c r="BF14" s="27">
        <v>9.8999999999999991E-2</v>
      </c>
      <c r="BG14" s="27">
        <v>0.33400000000000002</v>
      </c>
      <c r="BH14" s="27">
        <v>0.80400000000000005</v>
      </c>
      <c r="BI14" s="27">
        <v>0.69899999999999995</v>
      </c>
      <c r="BJ14" s="27">
        <v>0.47099999999999997</v>
      </c>
      <c r="BK14" s="27">
        <v>0.44700000000000001</v>
      </c>
      <c r="BL14" s="27">
        <v>0.86899999999999999</v>
      </c>
      <c r="BM14" s="27">
        <v>0.82399999999999995</v>
      </c>
      <c r="BN14" s="27">
        <v>0.98299999999999998</v>
      </c>
      <c r="BO14" s="27">
        <v>0.44</v>
      </c>
      <c r="BP14" s="27">
        <v>0.60499999999999998</v>
      </c>
      <c r="BQ14" s="27">
        <v>0.61799999999999999</v>
      </c>
      <c r="BR14" s="27">
        <v>0.86499999999999999</v>
      </c>
      <c r="BS14" s="27">
        <v>0.998</v>
      </c>
      <c r="BT14" s="27">
        <v>0.46899999999999997</v>
      </c>
      <c r="BU14" s="27">
        <v>0.185</v>
      </c>
      <c r="BV14" s="27">
        <v>0.91400000000000003</v>
      </c>
      <c r="BW14" s="27">
        <v>0.749</v>
      </c>
      <c r="BX14" s="27">
        <v>0.83500000000000008</v>
      </c>
      <c r="BY14" s="27">
        <v>0.65200000000000002</v>
      </c>
      <c r="BZ14" s="27">
        <v>0.218</v>
      </c>
      <c r="CA14" s="27">
        <v>0.7380000000000001</v>
      </c>
      <c r="CB14" s="27">
        <v>0.6317922077922079</v>
      </c>
      <c r="CC14" s="33">
        <v>48.64800000000001</v>
      </c>
    </row>
    <row r="15" spans="1:81" x14ac:dyDescent="0.25">
      <c r="A15" s="23">
        <v>14</v>
      </c>
      <c r="B15" s="25">
        <v>6.5</v>
      </c>
      <c r="C15" s="27">
        <v>1.2050000000000001</v>
      </c>
      <c r="D15" s="27">
        <v>1.3180000000000001</v>
      </c>
      <c r="E15" s="27">
        <v>0.629</v>
      </c>
      <c r="F15" s="27">
        <v>1.224</v>
      </c>
      <c r="G15" s="27">
        <v>0.94899999999999995</v>
      </c>
      <c r="H15" s="27">
        <v>0.502</v>
      </c>
      <c r="I15" s="27">
        <v>0.65899999999999992</v>
      </c>
      <c r="J15" s="27">
        <v>0.68599999999999994</v>
      </c>
      <c r="K15" s="27">
        <v>0</v>
      </c>
      <c r="L15" s="27">
        <v>0.61799999999999999</v>
      </c>
      <c r="M15" s="27">
        <v>0.97199999999999998</v>
      </c>
      <c r="N15" s="27">
        <v>0.40899999999999997</v>
      </c>
      <c r="O15" s="27">
        <v>1.2130000000000001</v>
      </c>
      <c r="P15" s="27">
        <v>0.68400000000000005</v>
      </c>
      <c r="Q15" s="27">
        <v>0.63700000000000001</v>
      </c>
      <c r="R15" s="27">
        <v>0.80400000000000005</v>
      </c>
      <c r="S15" s="27">
        <v>1.272</v>
      </c>
      <c r="T15" s="27">
        <v>1.149</v>
      </c>
      <c r="U15" s="27">
        <v>0.97599999999999998</v>
      </c>
      <c r="V15" s="27">
        <v>0.47799999999999998</v>
      </c>
      <c r="W15" s="27">
        <v>1.2310000000000001</v>
      </c>
      <c r="X15" s="27">
        <v>0.77200000000000002</v>
      </c>
      <c r="Y15" s="27">
        <v>0.96799999999999997</v>
      </c>
      <c r="Z15" s="27">
        <v>0.91500000000000004</v>
      </c>
      <c r="AA15" s="27">
        <v>1.1299999999999999</v>
      </c>
      <c r="AB15" s="27">
        <v>0.79199999999999993</v>
      </c>
      <c r="AC15" s="27">
        <v>1.3080000000000001</v>
      </c>
      <c r="AD15" s="27">
        <v>1.1990000000000001</v>
      </c>
      <c r="AE15" s="27">
        <v>0.629</v>
      </c>
      <c r="AF15" s="27">
        <v>0</v>
      </c>
      <c r="AG15" s="27">
        <v>1.1850000000000001</v>
      </c>
      <c r="AH15" s="27">
        <v>0.378</v>
      </c>
      <c r="AI15" s="27">
        <v>0.876</v>
      </c>
      <c r="AJ15" s="27">
        <v>0.438</v>
      </c>
      <c r="AK15" s="27">
        <v>0.51999999999999991</v>
      </c>
      <c r="AL15" s="27">
        <v>0.67599999999999993</v>
      </c>
      <c r="AM15" s="27">
        <v>0.63200000000000001</v>
      </c>
      <c r="AN15" s="27">
        <v>0.433</v>
      </c>
      <c r="AO15" s="27">
        <v>0.93099999999999994</v>
      </c>
      <c r="AP15" s="27">
        <v>0.748</v>
      </c>
      <c r="AQ15" s="27">
        <v>1.2829999999999999</v>
      </c>
      <c r="AR15" s="27">
        <v>1.3120000000000001</v>
      </c>
      <c r="AS15" s="27">
        <v>0.93700000000000006</v>
      </c>
      <c r="AT15" s="27">
        <v>0.28699999999999998</v>
      </c>
      <c r="AU15" s="27">
        <v>0.46899999999999997</v>
      </c>
      <c r="AV15" s="27">
        <v>0.61599999999999999</v>
      </c>
      <c r="AW15" s="27">
        <v>0.66900000000000004</v>
      </c>
      <c r="AX15" s="27">
        <v>1.2290000000000001</v>
      </c>
      <c r="AY15" s="27">
        <v>0.89200000000000002</v>
      </c>
      <c r="AZ15" s="27">
        <v>0.68700000000000006</v>
      </c>
      <c r="BA15" s="27">
        <v>0.92400000000000004</v>
      </c>
      <c r="BB15" s="27">
        <v>1.2250000000000001</v>
      </c>
      <c r="BC15" s="27">
        <v>0.78100000000000003</v>
      </c>
      <c r="BD15" s="27">
        <v>0.72799999999999998</v>
      </c>
      <c r="BE15" s="27">
        <v>1.1299999999999999</v>
      </c>
      <c r="BF15" s="27">
        <v>0.41499999999999998</v>
      </c>
      <c r="BG15" s="27">
        <v>0</v>
      </c>
      <c r="BH15" s="27">
        <v>1.29</v>
      </c>
      <c r="BI15" s="27">
        <v>0.93499999999999994</v>
      </c>
      <c r="BJ15" s="27">
        <v>0.51800000000000002</v>
      </c>
      <c r="BK15" s="27">
        <v>0.52700000000000002</v>
      </c>
      <c r="BL15" s="27">
        <v>1.0149999999999999</v>
      </c>
      <c r="BM15" s="27">
        <v>1.3009999999999999</v>
      </c>
      <c r="BN15" s="27">
        <v>1.252</v>
      </c>
      <c r="BO15" s="27">
        <v>0.52200000000000002</v>
      </c>
      <c r="BP15" s="27">
        <v>0.79900000000000004</v>
      </c>
      <c r="BQ15" s="27">
        <v>0.64100000000000001</v>
      </c>
      <c r="BR15" s="27">
        <v>0.90100000000000002</v>
      </c>
      <c r="BS15" s="27">
        <v>1.3080000000000001</v>
      </c>
      <c r="BT15" s="27">
        <v>0.49199999999999999</v>
      </c>
      <c r="BU15" s="27">
        <v>0.28399999999999997</v>
      </c>
      <c r="BV15" s="27">
        <v>1.1839999999999999</v>
      </c>
      <c r="BW15" s="27">
        <v>1.1319999999999999</v>
      </c>
      <c r="BX15" s="27">
        <v>1.29</v>
      </c>
      <c r="BY15" s="27">
        <v>0.76800000000000002</v>
      </c>
      <c r="BZ15" s="27">
        <v>0.29499999999999998</v>
      </c>
      <c r="CA15" s="27">
        <v>0.97000000000000008</v>
      </c>
      <c r="CB15" s="27">
        <v>0.8201688311688311</v>
      </c>
      <c r="CC15" s="33">
        <v>63.152999999999999</v>
      </c>
    </row>
    <row r="16" spans="1:81" x14ac:dyDescent="0.25">
      <c r="A16" s="23">
        <v>15</v>
      </c>
      <c r="B16" s="25">
        <v>7</v>
      </c>
      <c r="C16" s="27">
        <v>1.399</v>
      </c>
      <c r="D16" s="27">
        <v>1.3959999999999999</v>
      </c>
      <c r="E16" s="27">
        <v>0.76900000000000002</v>
      </c>
      <c r="F16" s="27">
        <v>1.609</v>
      </c>
      <c r="G16" s="27">
        <v>1.05</v>
      </c>
      <c r="H16" s="27">
        <v>0.69499999999999995</v>
      </c>
      <c r="I16" s="27">
        <v>0.83199999999999996</v>
      </c>
      <c r="J16" s="27">
        <v>0.99</v>
      </c>
      <c r="K16" s="27">
        <v>0.77800000000000002</v>
      </c>
      <c r="L16" s="27">
        <v>0.66</v>
      </c>
      <c r="M16" s="27">
        <v>1.2030000000000001</v>
      </c>
      <c r="N16" s="27">
        <v>0.68700000000000006</v>
      </c>
      <c r="O16" s="27">
        <v>1.5369999999999999</v>
      </c>
      <c r="P16" s="27">
        <v>0.93400000000000005</v>
      </c>
      <c r="Q16" s="27">
        <v>0.99299999999999999</v>
      </c>
      <c r="R16" s="27">
        <v>0.9890000000000001</v>
      </c>
      <c r="S16" s="27">
        <v>1.4650000000000001</v>
      </c>
      <c r="T16" s="27">
        <v>1.605</v>
      </c>
      <c r="U16" s="27">
        <v>1.411</v>
      </c>
      <c r="V16" s="27">
        <v>0.78400000000000003</v>
      </c>
      <c r="W16" s="27">
        <v>1.5189999999999999</v>
      </c>
      <c r="X16" s="27">
        <v>0.84199999999999997</v>
      </c>
      <c r="Y16" s="27">
        <v>1.1990000000000001</v>
      </c>
      <c r="Z16" s="27">
        <v>1.194</v>
      </c>
      <c r="AA16" s="27">
        <v>1.4</v>
      </c>
      <c r="AB16" s="27">
        <v>0.96199999999999997</v>
      </c>
      <c r="AC16" s="27">
        <v>1.57</v>
      </c>
      <c r="AD16" s="27">
        <v>1.4950000000000001</v>
      </c>
      <c r="AE16" s="27">
        <v>0.55699999999999994</v>
      </c>
      <c r="AF16" s="27">
        <v>1.603</v>
      </c>
      <c r="AG16" s="27">
        <v>1.607</v>
      </c>
      <c r="AH16" s="27">
        <v>0.60400000000000009</v>
      </c>
      <c r="AI16" s="27">
        <v>1.0640000000000001</v>
      </c>
      <c r="AJ16" s="27">
        <v>0.435</v>
      </c>
      <c r="AK16" s="27">
        <v>0.63700000000000001</v>
      </c>
      <c r="AL16" s="27">
        <v>0.73299999999999998</v>
      </c>
      <c r="AM16" s="27">
        <v>0.99299999999999999</v>
      </c>
      <c r="AN16" s="27">
        <v>0</v>
      </c>
      <c r="AO16" s="27">
        <v>1.202</v>
      </c>
      <c r="AP16" s="27">
        <v>0.9890000000000001</v>
      </c>
      <c r="AQ16" s="27">
        <v>1.613</v>
      </c>
      <c r="AR16" s="27">
        <v>1.62</v>
      </c>
      <c r="AS16" s="27">
        <v>1.2070000000000001</v>
      </c>
      <c r="AT16" s="27">
        <v>0.58799999999999997</v>
      </c>
      <c r="AU16" s="27">
        <v>0.40699999999999997</v>
      </c>
      <c r="AV16" s="27">
        <v>0.78400000000000003</v>
      </c>
      <c r="AW16" s="27">
        <v>0.91699999999999993</v>
      </c>
      <c r="AX16" s="27">
        <v>1.603</v>
      </c>
      <c r="AY16" s="27">
        <v>0.97299999999999998</v>
      </c>
      <c r="AZ16" s="27">
        <v>1.07</v>
      </c>
      <c r="BA16" s="27">
        <v>1.4019999999999999</v>
      </c>
      <c r="BB16" s="27">
        <v>1.6080000000000001</v>
      </c>
      <c r="BC16" s="27">
        <v>0.998</v>
      </c>
      <c r="BD16" s="27">
        <v>0.97900000000000009</v>
      </c>
      <c r="BE16" s="27">
        <v>1.4</v>
      </c>
      <c r="BF16" s="27">
        <v>0.56899999999999995</v>
      </c>
      <c r="BG16" s="27">
        <v>0</v>
      </c>
      <c r="BH16" s="27">
        <v>1.585</v>
      </c>
      <c r="BI16" s="27">
        <v>1.167</v>
      </c>
      <c r="BJ16" s="27">
        <v>0.65500000000000003</v>
      </c>
      <c r="BK16" s="27">
        <v>0.71100000000000008</v>
      </c>
      <c r="BL16" s="27">
        <v>1.6040000000000001</v>
      </c>
      <c r="BM16" s="27">
        <v>1.609</v>
      </c>
      <c r="BN16" s="27">
        <v>1.51</v>
      </c>
      <c r="BO16" s="27">
        <v>0.74299999999999999</v>
      </c>
      <c r="BP16" s="27">
        <v>0.99099999999999988</v>
      </c>
      <c r="BQ16" s="27">
        <v>1.004</v>
      </c>
      <c r="BR16" s="27">
        <v>1.4</v>
      </c>
      <c r="BS16" s="27">
        <v>1.579</v>
      </c>
      <c r="BT16" s="27">
        <v>0.72299999999999998</v>
      </c>
      <c r="BU16" s="27">
        <v>0.23200000000000001</v>
      </c>
      <c r="BV16" s="27">
        <v>1.397</v>
      </c>
      <c r="BW16" s="27">
        <v>1.33</v>
      </c>
      <c r="BX16" s="27">
        <v>1.1120000000000001</v>
      </c>
      <c r="BY16" s="27">
        <v>0.97400000000000009</v>
      </c>
      <c r="BZ16" s="27">
        <v>0.372</v>
      </c>
      <c r="CA16" s="27">
        <v>1.2010000000000001</v>
      </c>
      <c r="CB16" s="27">
        <v>1.065298701298701</v>
      </c>
      <c r="CC16" s="33">
        <v>82.027999999999992</v>
      </c>
    </row>
    <row r="17" spans="1:81" x14ac:dyDescent="0.25">
      <c r="A17" s="23">
        <v>16</v>
      </c>
      <c r="B17" s="25">
        <v>7.5</v>
      </c>
      <c r="C17" s="27">
        <v>1.627</v>
      </c>
      <c r="D17" s="27">
        <v>1.3180000000000001</v>
      </c>
      <c r="E17" s="27">
        <v>0.86799999999999999</v>
      </c>
      <c r="F17" s="27">
        <v>1.29</v>
      </c>
      <c r="G17" s="27">
        <v>1.4259999999999999</v>
      </c>
      <c r="H17" s="27">
        <v>0.72000000000000008</v>
      </c>
      <c r="I17" s="27">
        <v>1.0109999999999999</v>
      </c>
      <c r="J17" s="27">
        <v>1.0940000000000001</v>
      </c>
      <c r="K17" s="27">
        <v>0.88600000000000001</v>
      </c>
      <c r="L17" s="27">
        <v>0.84399999999999997</v>
      </c>
      <c r="M17" s="27">
        <v>1.4350000000000001</v>
      </c>
      <c r="N17" s="27">
        <v>0.80699999999999994</v>
      </c>
      <c r="O17" s="27">
        <v>1.6220000000000001</v>
      </c>
      <c r="P17" s="27">
        <v>0.86099999999999999</v>
      </c>
      <c r="Q17" s="27">
        <v>1.1859999999999999</v>
      </c>
      <c r="R17" s="27">
        <v>0.79500000000000004</v>
      </c>
      <c r="S17" s="27">
        <v>1.8089999999999999</v>
      </c>
      <c r="T17" s="27">
        <v>1.8540000000000001</v>
      </c>
      <c r="U17" s="27">
        <v>1.5680000000000001</v>
      </c>
      <c r="V17" s="27">
        <v>0.76900000000000002</v>
      </c>
      <c r="W17" s="27">
        <v>1.6559999999999999</v>
      </c>
      <c r="X17" s="27">
        <v>1.1479999999999999</v>
      </c>
      <c r="Y17" s="27">
        <v>1.431</v>
      </c>
      <c r="Z17" s="27">
        <v>1.4259999999999999</v>
      </c>
      <c r="AA17" s="27">
        <v>1.53</v>
      </c>
      <c r="AB17" s="27">
        <v>1.087</v>
      </c>
      <c r="AC17" s="27">
        <v>1.0189999999999999</v>
      </c>
      <c r="AD17" s="27">
        <v>1.9079999999999999</v>
      </c>
      <c r="AE17" s="27">
        <v>0.78500000000000003</v>
      </c>
      <c r="AF17" s="27">
        <v>1.7270000000000001</v>
      </c>
      <c r="AG17" s="27">
        <v>1.62</v>
      </c>
      <c r="AH17" s="27">
        <v>0</v>
      </c>
      <c r="AI17" s="27">
        <v>1.3480000000000001</v>
      </c>
      <c r="AJ17" s="27">
        <v>0.621</v>
      </c>
      <c r="AK17" s="27">
        <v>4.0000000000000001E-3</v>
      </c>
      <c r="AL17" s="27">
        <v>1.0469999999999999</v>
      </c>
      <c r="AM17" s="27">
        <v>1.1819999999999999</v>
      </c>
      <c r="AN17" s="27">
        <v>0.83699999999999997</v>
      </c>
      <c r="AO17" s="27">
        <v>1.4339999999999999</v>
      </c>
      <c r="AP17" s="27">
        <v>1.1819999999999999</v>
      </c>
      <c r="AQ17" s="27">
        <v>1.012</v>
      </c>
      <c r="AR17" s="27">
        <v>0.58899999999999997</v>
      </c>
      <c r="AS17" s="27">
        <v>1.3540000000000001</v>
      </c>
      <c r="AT17" s="27">
        <v>0.628</v>
      </c>
      <c r="AU17" s="27">
        <v>0.59500000000000008</v>
      </c>
      <c r="AV17" s="27">
        <v>0.82799999999999996</v>
      </c>
      <c r="AW17" s="27">
        <v>1.0169999999999999</v>
      </c>
      <c r="AX17" s="27">
        <v>1.905</v>
      </c>
      <c r="AY17" s="27">
        <v>1.4330000000000001</v>
      </c>
      <c r="AZ17" s="27">
        <v>1.337</v>
      </c>
      <c r="BA17" s="27">
        <v>1.514</v>
      </c>
      <c r="BB17" s="27">
        <v>1.08</v>
      </c>
      <c r="BC17" s="27">
        <v>1.1910000000000001</v>
      </c>
      <c r="BD17" s="27">
        <v>0.92699999999999994</v>
      </c>
      <c r="BE17" s="27">
        <v>1.6220000000000001</v>
      </c>
      <c r="BF17" s="27">
        <v>0.59799999999999998</v>
      </c>
      <c r="BG17" s="27">
        <v>0.52600000000000002</v>
      </c>
      <c r="BH17" s="27">
        <v>1.8009999999999999</v>
      </c>
      <c r="BI17" s="27">
        <v>1.4370000000000001</v>
      </c>
      <c r="BJ17" s="27">
        <v>0.93400000000000005</v>
      </c>
      <c r="BK17" s="27">
        <v>0.80800000000000005</v>
      </c>
      <c r="BL17" s="27">
        <v>1.8320000000000001</v>
      </c>
      <c r="BM17" s="27">
        <v>1.827</v>
      </c>
      <c r="BN17" s="27">
        <v>1.5880000000000001</v>
      </c>
      <c r="BO17" s="27">
        <v>0.92900000000000005</v>
      </c>
      <c r="BP17" s="27">
        <v>1.032</v>
      </c>
      <c r="BQ17" s="27">
        <v>0.98499999999999999</v>
      </c>
      <c r="BR17" s="27">
        <v>1.494</v>
      </c>
      <c r="BS17" s="27">
        <v>1.4650000000000001</v>
      </c>
      <c r="BT17" s="27">
        <v>0</v>
      </c>
      <c r="BU17" s="27">
        <v>0.41</v>
      </c>
      <c r="BV17" s="27">
        <v>1.802</v>
      </c>
      <c r="BW17" s="27">
        <v>1.6319999999999999</v>
      </c>
      <c r="BX17" s="27">
        <v>1.5209999999999999</v>
      </c>
      <c r="BY17" s="27">
        <v>1.26</v>
      </c>
      <c r="BZ17" s="27">
        <v>0.22600000000000001</v>
      </c>
      <c r="CA17" s="27">
        <v>1.4330000000000001</v>
      </c>
      <c r="CB17" s="27">
        <v>1.1604415584415591</v>
      </c>
      <c r="CC17" s="33">
        <v>89.354000000000013</v>
      </c>
    </row>
    <row r="18" spans="1:81" x14ac:dyDescent="0.25">
      <c r="A18" s="23">
        <v>17</v>
      </c>
      <c r="B18" s="25">
        <v>8</v>
      </c>
      <c r="C18" s="27">
        <v>0.95499999999999996</v>
      </c>
      <c r="D18" s="27">
        <v>0</v>
      </c>
      <c r="E18" s="27">
        <v>1.0820000000000001</v>
      </c>
      <c r="F18" s="27">
        <v>0</v>
      </c>
      <c r="G18" s="27">
        <v>1.4410000000000001</v>
      </c>
      <c r="H18" s="27">
        <v>0.96799999999999997</v>
      </c>
      <c r="I18" s="27">
        <v>1.0009999999999999</v>
      </c>
      <c r="J18" s="27">
        <v>1.2549999999999999</v>
      </c>
      <c r="K18" s="27">
        <v>0.93199999999999994</v>
      </c>
      <c r="L18" s="27">
        <v>1.071</v>
      </c>
      <c r="M18" s="27">
        <v>1.6519999999999999</v>
      </c>
      <c r="N18" s="27">
        <v>0.94</v>
      </c>
      <c r="O18" s="27">
        <v>0</v>
      </c>
      <c r="P18" s="27">
        <v>1.3180000000000001</v>
      </c>
      <c r="Q18" s="27">
        <v>1.204</v>
      </c>
      <c r="R18" s="27">
        <v>1.3340000000000001</v>
      </c>
      <c r="S18" s="27">
        <v>0.309</v>
      </c>
      <c r="T18" s="27">
        <v>0.35499999999999998</v>
      </c>
      <c r="U18" s="27">
        <v>0.68300000000000005</v>
      </c>
      <c r="V18" s="27">
        <v>0.90900000000000003</v>
      </c>
      <c r="W18" s="27">
        <v>0.94200000000000006</v>
      </c>
      <c r="X18" s="27">
        <v>0.40300000000000002</v>
      </c>
      <c r="Y18" s="27">
        <v>0.50700000000000001</v>
      </c>
      <c r="Z18" s="27">
        <v>1.3069999999999999</v>
      </c>
      <c r="AA18" s="27">
        <v>0.29399999999999998</v>
      </c>
      <c r="AB18" s="27">
        <v>1.1100000000000001</v>
      </c>
      <c r="AC18" s="27">
        <v>0</v>
      </c>
      <c r="AD18" s="27">
        <v>0.36699999999999999</v>
      </c>
      <c r="AE18" s="27">
        <v>0.81800000000000006</v>
      </c>
      <c r="AF18" s="27">
        <v>1.7929999999999999</v>
      </c>
      <c r="AG18" s="27">
        <v>0.14199999999999999</v>
      </c>
      <c r="AH18" s="27">
        <v>0.875</v>
      </c>
      <c r="AI18" s="27">
        <v>1.5029999999999999</v>
      </c>
      <c r="AJ18" s="27">
        <v>0.46899999999999997</v>
      </c>
      <c r="AK18" s="27">
        <v>0.63100000000000001</v>
      </c>
      <c r="AL18" s="27">
        <v>0.88600000000000001</v>
      </c>
      <c r="AM18" s="27">
        <v>1.133</v>
      </c>
      <c r="AN18" s="27">
        <v>1.099</v>
      </c>
      <c r="AO18" s="27">
        <v>1.089</v>
      </c>
      <c r="AP18" s="27">
        <v>1.363</v>
      </c>
      <c r="AQ18" s="27">
        <v>0</v>
      </c>
      <c r="AR18" s="27">
        <v>0</v>
      </c>
      <c r="AS18" s="27">
        <v>1.611</v>
      </c>
      <c r="AT18" s="27">
        <v>0.70299999999999996</v>
      </c>
      <c r="AU18" s="27">
        <v>0.73299999999999998</v>
      </c>
      <c r="AV18" s="27">
        <v>0.99400000000000011</v>
      </c>
      <c r="AW18" s="27">
        <v>1.2909999999999999</v>
      </c>
      <c r="AX18" s="27">
        <v>0.29199999999999998</v>
      </c>
      <c r="AY18" s="27">
        <v>0.33500000000000002</v>
      </c>
      <c r="AZ18" s="27">
        <v>1.4890000000000001</v>
      </c>
      <c r="BA18" s="27">
        <v>1.093</v>
      </c>
      <c r="BB18" s="27">
        <v>0</v>
      </c>
      <c r="BC18" s="27">
        <v>1.1739999999999999</v>
      </c>
      <c r="BD18" s="27">
        <v>1.3380000000000001</v>
      </c>
      <c r="BE18" s="27">
        <v>2.5999999999999999E-2</v>
      </c>
      <c r="BF18" s="27">
        <v>0.79299999999999993</v>
      </c>
      <c r="BG18" s="27">
        <v>0.309</v>
      </c>
      <c r="BH18" s="27">
        <v>7.2999999999999995E-2</v>
      </c>
      <c r="BI18" s="27">
        <v>1.5760000000000001</v>
      </c>
      <c r="BJ18" s="27">
        <v>0.84599999999999997</v>
      </c>
      <c r="BK18" s="27">
        <v>0.995</v>
      </c>
      <c r="BL18" s="27">
        <v>1.014</v>
      </c>
      <c r="BM18" s="27">
        <v>1.31</v>
      </c>
      <c r="BN18" s="27">
        <v>1.645</v>
      </c>
      <c r="BO18" s="27">
        <v>0.93199999999999994</v>
      </c>
      <c r="BP18" s="27">
        <v>1.2210000000000001</v>
      </c>
      <c r="BQ18" s="27">
        <v>1.161</v>
      </c>
      <c r="BR18" s="27">
        <v>0</v>
      </c>
      <c r="BS18" s="27">
        <v>0</v>
      </c>
      <c r="BT18" s="27">
        <v>0.88700000000000001</v>
      </c>
      <c r="BU18" s="27">
        <v>0.5109999999999999</v>
      </c>
      <c r="BV18" s="27">
        <v>0.73</v>
      </c>
      <c r="BW18" s="27">
        <v>0.374</v>
      </c>
      <c r="BX18" s="27">
        <v>1.292</v>
      </c>
      <c r="BY18" s="27">
        <v>1.395</v>
      </c>
      <c r="BZ18" s="27">
        <v>0.36199999999999999</v>
      </c>
      <c r="CA18" s="27">
        <v>0.47299999999999998</v>
      </c>
      <c r="CB18" s="27">
        <v>0.81971428571428595</v>
      </c>
      <c r="CC18" s="33">
        <v>63.118000000000023</v>
      </c>
    </row>
    <row r="19" spans="1:81" x14ac:dyDescent="0.25">
      <c r="A19" s="23">
        <v>18</v>
      </c>
      <c r="B19" s="25">
        <v>8.5</v>
      </c>
      <c r="C19" s="27">
        <v>0</v>
      </c>
      <c r="D19" s="27">
        <v>0</v>
      </c>
      <c r="E19" s="27">
        <v>1.218</v>
      </c>
      <c r="F19" s="27">
        <v>0</v>
      </c>
      <c r="G19" s="27">
        <v>0</v>
      </c>
      <c r="H19" s="27">
        <v>1.0620000000000001</v>
      </c>
      <c r="I19" s="27">
        <v>0</v>
      </c>
      <c r="J19" s="27">
        <v>1.4850000000000001</v>
      </c>
      <c r="K19" s="27">
        <v>1.042</v>
      </c>
      <c r="L19" s="27">
        <v>0.97099999999999997</v>
      </c>
      <c r="M19" s="27">
        <v>0.29499999999999998</v>
      </c>
      <c r="N19" s="27">
        <v>0.72799999999999998</v>
      </c>
      <c r="O19" s="27">
        <v>0</v>
      </c>
      <c r="P19" s="27">
        <v>1.38</v>
      </c>
      <c r="Q19" s="27">
        <v>1.169</v>
      </c>
      <c r="R19" s="27">
        <v>5.7000000000000002E-2</v>
      </c>
      <c r="S19" s="27">
        <v>0</v>
      </c>
      <c r="T19" s="27">
        <v>0</v>
      </c>
      <c r="U19" s="27">
        <v>0</v>
      </c>
      <c r="V19" s="27">
        <v>0.42299999999999999</v>
      </c>
      <c r="W19" s="27">
        <v>0</v>
      </c>
      <c r="X19" s="27">
        <v>1.4850000000000001</v>
      </c>
      <c r="Y19" s="27">
        <v>0</v>
      </c>
      <c r="Z19" s="27">
        <v>1.667</v>
      </c>
      <c r="AA19" s="27">
        <v>0</v>
      </c>
      <c r="AB19" s="27">
        <v>0.38900000000000001</v>
      </c>
      <c r="AC19" s="27">
        <v>0</v>
      </c>
      <c r="AD19" s="27">
        <v>0</v>
      </c>
      <c r="AE19" s="27">
        <v>0.90799999999999992</v>
      </c>
      <c r="AF19" s="27">
        <v>0.33900000000000002</v>
      </c>
      <c r="AG19" s="27">
        <v>0</v>
      </c>
      <c r="AH19" s="27">
        <v>1.1299999999999999</v>
      </c>
      <c r="AI19" s="27">
        <v>0.61499999999999999</v>
      </c>
      <c r="AJ19" s="27">
        <v>0</v>
      </c>
      <c r="AK19" s="27">
        <v>0.93400000000000005</v>
      </c>
      <c r="AL19" s="27">
        <v>0.14899999999999999</v>
      </c>
      <c r="AM19" s="27">
        <v>1.1160000000000001</v>
      </c>
      <c r="AN19" s="27">
        <v>1.335</v>
      </c>
      <c r="AO19" s="27">
        <v>0</v>
      </c>
      <c r="AP19" s="27">
        <v>1.1339999999999999</v>
      </c>
      <c r="AQ19" s="27">
        <v>0</v>
      </c>
      <c r="AR19" s="27">
        <v>0</v>
      </c>
      <c r="AS19" s="27">
        <v>1.0069999999999999</v>
      </c>
      <c r="AT19" s="27">
        <v>0.88900000000000001</v>
      </c>
      <c r="AU19" s="27">
        <v>0.71500000000000008</v>
      </c>
      <c r="AV19" s="27">
        <v>1.208</v>
      </c>
      <c r="AW19" s="27">
        <v>1.429</v>
      </c>
      <c r="AX19" s="27">
        <v>0</v>
      </c>
      <c r="AY19" s="27">
        <v>0</v>
      </c>
      <c r="AZ19" s="27">
        <v>1.0409999999999999</v>
      </c>
      <c r="BA19" s="27">
        <v>0</v>
      </c>
      <c r="BB19" s="27">
        <v>0</v>
      </c>
      <c r="BC19" s="27">
        <v>0.60499999999999998</v>
      </c>
      <c r="BD19" s="27">
        <v>1.4570000000000001</v>
      </c>
      <c r="BE19" s="27">
        <v>0</v>
      </c>
      <c r="BF19" s="27">
        <v>0.61799999999999999</v>
      </c>
      <c r="BG19" s="27">
        <v>0.12</v>
      </c>
      <c r="BH19" s="27">
        <v>0</v>
      </c>
      <c r="BI19" s="27">
        <v>0.59000000000000008</v>
      </c>
      <c r="BJ19" s="27">
        <v>1.2150000000000001</v>
      </c>
      <c r="BK19" s="27">
        <v>1.0489999999999999</v>
      </c>
      <c r="BL19" s="27">
        <v>0</v>
      </c>
      <c r="BM19" s="27">
        <v>0</v>
      </c>
      <c r="BN19" s="27">
        <v>0</v>
      </c>
      <c r="BO19" s="27">
        <v>1.2270000000000001</v>
      </c>
      <c r="BP19" s="27">
        <v>0.38100000000000001</v>
      </c>
      <c r="BQ19" s="27">
        <v>1.1870000000000001</v>
      </c>
      <c r="BR19" s="27">
        <v>0</v>
      </c>
      <c r="BS19" s="27">
        <v>0</v>
      </c>
      <c r="BT19" s="27">
        <v>1.165</v>
      </c>
      <c r="BU19" s="27">
        <v>0.42</v>
      </c>
      <c r="BV19" s="27">
        <v>0</v>
      </c>
      <c r="BW19" s="27">
        <v>0</v>
      </c>
      <c r="BX19" s="27">
        <v>0</v>
      </c>
      <c r="BY19" s="27">
        <v>1.4239999999999999</v>
      </c>
      <c r="BZ19" s="27">
        <v>0.38100000000000001</v>
      </c>
      <c r="CA19" s="27">
        <v>0</v>
      </c>
      <c r="CB19" s="27">
        <v>0.50855844155844154</v>
      </c>
      <c r="CC19" s="33">
        <v>39.158999999999999</v>
      </c>
    </row>
    <row r="20" spans="1:81" x14ac:dyDescent="0.25">
      <c r="A20" s="23">
        <v>19</v>
      </c>
      <c r="B20" s="25">
        <v>9</v>
      </c>
      <c r="C20" s="27">
        <v>0</v>
      </c>
      <c r="D20" s="27">
        <v>0</v>
      </c>
      <c r="E20" s="27">
        <v>0.53500000000000003</v>
      </c>
      <c r="F20" s="27">
        <v>0</v>
      </c>
      <c r="G20" s="27">
        <v>0</v>
      </c>
      <c r="H20" s="27">
        <v>1.089</v>
      </c>
      <c r="I20" s="27">
        <v>1.4890000000000001</v>
      </c>
      <c r="J20" s="27">
        <v>0.56300000000000006</v>
      </c>
      <c r="K20" s="27">
        <v>1.1579999999999999</v>
      </c>
      <c r="L20" s="27">
        <v>1.1839999999999999</v>
      </c>
      <c r="M20" s="27">
        <v>0</v>
      </c>
      <c r="N20" s="27">
        <v>0.51500000000000001</v>
      </c>
      <c r="O20" s="27">
        <v>0</v>
      </c>
      <c r="P20" s="27">
        <v>0.82299999999999995</v>
      </c>
      <c r="Q20" s="27">
        <v>0</v>
      </c>
      <c r="R20" s="27">
        <v>1.0960000000000001</v>
      </c>
      <c r="S20" s="27">
        <v>0</v>
      </c>
      <c r="T20" s="27">
        <v>0</v>
      </c>
      <c r="U20" s="27">
        <v>0</v>
      </c>
      <c r="V20" s="27">
        <v>2.8000000000000001E-2</v>
      </c>
      <c r="W20" s="27">
        <v>0</v>
      </c>
      <c r="X20" s="27">
        <v>0.48099999999999998</v>
      </c>
      <c r="Y20" s="27">
        <v>0</v>
      </c>
      <c r="Z20" s="27">
        <v>0</v>
      </c>
      <c r="AA20" s="27">
        <v>0</v>
      </c>
      <c r="AB20" s="27">
        <v>1.113</v>
      </c>
      <c r="AC20" s="27">
        <v>0</v>
      </c>
      <c r="AD20" s="27">
        <v>0</v>
      </c>
      <c r="AE20" s="27">
        <v>1.0649999999999999</v>
      </c>
      <c r="AF20" s="27">
        <v>0</v>
      </c>
      <c r="AG20" s="27">
        <v>0</v>
      </c>
      <c r="AH20" s="27">
        <v>1.0760000000000001</v>
      </c>
      <c r="AI20" s="27">
        <v>0</v>
      </c>
      <c r="AJ20" s="27">
        <v>0</v>
      </c>
      <c r="AK20" s="27">
        <v>0.11</v>
      </c>
      <c r="AL20" s="27">
        <v>1.6279999999999999</v>
      </c>
      <c r="AM20" s="27">
        <v>0</v>
      </c>
      <c r="AN20" s="27">
        <v>1.526</v>
      </c>
      <c r="AO20" s="27">
        <v>0</v>
      </c>
      <c r="AP20" s="27">
        <v>0</v>
      </c>
      <c r="AQ20" s="27">
        <v>0</v>
      </c>
      <c r="AR20" s="27">
        <v>0.253</v>
      </c>
      <c r="AS20" s="27">
        <v>0</v>
      </c>
      <c r="AT20" s="27">
        <v>0.84199999999999997</v>
      </c>
      <c r="AU20" s="27">
        <v>0.95600000000000007</v>
      </c>
      <c r="AV20" s="27">
        <v>1.0309999999999999</v>
      </c>
      <c r="AW20" s="27">
        <v>0.65200000000000002</v>
      </c>
      <c r="AX20" s="27">
        <v>0</v>
      </c>
      <c r="AY20" s="27">
        <v>0.16300000000000001</v>
      </c>
      <c r="AZ20" s="27">
        <v>0</v>
      </c>
      <c r="BA20" s="27">
        <v>0</v>
      </c>
      <c r="BB20" s="27">
        <v>0</v>
      </c>
      <c r="BC20" s="27">
        <v>0</v>
      </c>
      <c r="BD20" s="27">
        <v>0.439</v>
      </c>
      <c r="BE20" s="27">
        <v>0</v>
      </c>
      <c r="BF20" s="27">
        <v>0.95399999999999996</v>
      </c>
      <c r="BG20" s="27">
        <v>4.2000000000000003E-2</v>
      </c>
      <c r="BH20" s="27">
        <v>0</v>
      </c>
      <c r="BI20" s="27">
        <v>0</v>
      </c>
      <c r="BJ20" s="27">
        <v>1.1120000000000001</v>
      </c>
      <c r="BK20" s="27">
        <v>1.198</v>
      </c>
      <c r="BL20" s="27">
        <v>0</v>
      </c>
      <c r="BM20" s="27">
        <v>0</v>
      </c>
      <c r="BN20" s="27">
        <v>0</v>
      </c>
      <c r="BO20" s="27">
        <v>1.1359999999999999</v>
      </c>
      <c r="BP20" s="27">
        <v>0</v>
      </c>
      <c r="BQ20" s="27">
        <v>0.36299999999999999</v>
      </c>
      <c r="BR20" s="27">
        <v>0</v>
      </c>
      <c r="BS20" s="27">
        <v>0</v>
      </c>
      <c r="BT20" s="27">
        <v>1.0920000000000001</v>
      </c>
      <c r="BU20" s="27">
        <v>0.63700000000000001</v>
      </c>
      <c r="BV20" s="27">
        <v>0</v>
      </c>
      <c r="BW20" s="27">
        <v>0</v>
      </c>
      <c r="BX20" s="27">
        <v>0</v>
      </c>
      <c r="BY20" s="27">
        <v>6.3E-2</v>
      </c>
      <c r="BZ20" s="27">
        <v>0.33500000000000002</v>
      </c>
      <c r="CA20" s="27">
        <v>0</v>
      </c>
      <c r="CB20" s="27">
        <v>0.34736363636363632</v>
      </c>
      <c r="CC20" s="33">
        <v>26.747</v>
      </c>
    </row>
    <row r="21" spans="1:81" x14ac:dyDescent="0.25">
      <c r="A21" s="23">
        <v>20</v>
      </c>
      <c r="B21" s="25">
        <v>9.5</v>
      </c>
      <c r="C21" s="27">
        <v>0</v>
      </c>
      <c r="D21" s="27">
        <v>0</v>
      </c>
      <c r="E21" s="27">
        <v>0</v>
      </c>
      <c r="F21" s="27">
        <v>0</v>
      </c>
      <c r="G21" s="27">
        <v>0</v>
      </c>
      <c r="H21" s="27">
        <v>1.3129999999999999</v>
      </c>
      <c r="I21" s="27">
        <v>0</v>
      </c>
      <c r="J21" s="27">
        <v>0</v>
      </c>
      <c r="K21" s="27">
        <v>1.2569999999999999</v>
      </c>
      <c r="L21" s="27">
        <v>0.96100000000000008</v>
      </c>
      <c r="M21" s="27">
        <v>0</v>
      </c>
      <c r="N21" s="27">
        <v>1.262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  <c r="V21" s="27">
        <v>4.2999999999999997E-2</v>
      </c>
      <c r="W21" s="27">
        <v>0</v>
      </c>
      <c r="X21" s="27">
        <v>0</v>
      </c>
      <c r="Y21" s="27">
        <v>0</v>
      </c>
      <c r="Z21" s="27">
        <v>0</v>
      </c>
      <c r="AA21" s="27">
        <v>0</v>
      </c>
      <c r="AB21" s="27">
        <v>7.6999999999999999E-2</v>
      </c>
      <c r="AC21" s="27">
        <v>0</v>
      </c>
      <c r="AD21" s="27">
        <v>0</v>
      </c>
      <c r="AE21" s="27">
        <v>1.3939999999999999</v>
      </c>
      <c r="AF21" s="27">
        <v>0</v>
      </c>
      <c r="AG21" s="27">
        <v>0</v>
      </c>
      <c r="AH21" s="27">
        <v>1.417</v>
      </c>
      <c r="AI21" s="27">
        <v>0</v>
      </c>
      <c r="AJ21" s="27">
        <v>0</v>
      </c>
      <c r="AK21" s="27">
        <v>0.23799999999999999</v>
      </c>
      <c r="AL21" s="27">
        <v>1.3089999999999999</v>
      </c>
      <c r="AM21" s="27">
        <v>0</v>
      </c>
      <c r="AN21" s="27">
        <v>0.79199999999999993</v>
      </c>
      <c r="AO21" s="27">
        <v>0</v>
      </c>
      <c r="AP21" s="27">
        <v>0</v>
      </c>
      <c r="AQ21" s="27">
        <v>0</v>
      </c>
      <c r="AR21" s="27">
        <v>0.34200000000000003</v>
      </c>
      <c r="AS21" s="27">
        <v>0</v>
      </c>
      <c r="AT21" s="27">
        <v>1.075</v>
      </c>
      <c r="AU21" s="27">
        <v>0.93599999999999994</v>
      </c>
      <c r="AV21" s="27">
        <v>0.41099999999999998</v>
      </c>
      <c r="AW21" s="27">
        <v>0</v>
      </c>
      <c r="AX21" s="27">
        <v>0</v>
      </c>
      <c r="AY21" s="27">
        <v>0.59399999999999997</v>
      </c>
      <c r="AZ21" s="27">
        <v>0</v>
      </c>
      <c r="BA21" s="27">
        <v>0</v>
      </c>
      <c r="BB21" s="27">
        <v>0</v>
      </c>
      <c r="BC21" s="27">
        <v>0</v>
      </c>
      <c r="BD21" s="27">
        <v>0</v>
      </c>
      <c r="BE21" s="27">
        <v>0</v>
      </c>
      <c r="BF21" s="27">
        <v>0.71899999999999997</v>
      </c>
      <c r="BG21" s="27">
        <v>0.504</v>
      </c>
      <c r="BH21" s="27">
        <v>0</v>
      </c>
      <c r="BI21" s="27">
        <v>0</v>
      </c>
      <c r="BJ21" s="27">
        <v>0.19800000000000001</v>
      </c>
      <c r="BK21" s="27">
        <v>0.48599999999999999</v>
      </c>
      <c r="BL21" s="27">
        <v>0</v>
      </c>
      <c r="BM21" s="27">
        <v>0</v>
      </c>
      <c r="BN21" s="27">
        <v>0</v>
      </c>
      <c r="BO21" s="27">
        <v>0</v>
      </c>
      <c r="BP21" s="27">
        <v>0</v>
      </c>
      <c r="BQ21" s="27">
        <v>0</v>
      </c>
      <c r="BR21" s="27">
        <v>0</v>
      </c>
      <c r="BS21" s="27">
        <v>0</v>
      </c>
      <c r="BT21" s="27">
        <v>1.321</v>
      </c>
      <c r="BU21" s="27">
        <v>0.55000000000000004</v>
      </c>
      <c r="BV21" s="27">
        <v>0</v>
      </c>
      <c r="BW21" s="27">
        <v>0</v>
      </c>
      <c r="BX21" s="27">
        <v>0</v>
      </c>
      <c r="BY21" s="27">
        <v>0</v>
      </c>
      <c r="BZ21" s="27">
        <v>0.69800000000000006</v>
      </c>
      <c r="CA21" s="27">
        <v>0</v>
      </c>
      <c r="CB21" s="27">
        <v>0.23242857142857151</v>
      </c>
      <c r="CC21" s="33">
        <v>17.896999999999998</v>
      </c>
    </row>
    <row r="22" spans="1:81" x14ac:dyDescent="0.25">
      <c r="A22" s="23">
        <v>21</v>
      </c>
      <c r="B22" s="25">
        <v>10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0.33600000000000002</v>
      </c>
      <c r="I22" s="27">
        <v>1.25</v>
      </c>
      <c r="J22" s="27">
        <v>0</v>
      </c>
      <c r="K22" s="27">
        <v>0.501</v>
      </c>
      <c r="L22" s="27">
        <v>0</v>
      </c>
      <c r="M22" s="27">
        <v>0</v>
      </c>
      <c r="N22" s="27">
        <v>1.4370000000000001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8.8999999999999996E-2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1.079</v>
      </c>
      <c r="AF22" s="27">
        <v>0</v>
      </c>
      <c r="AG22" s="27">
        <v>0</v>
      </c>
      <c r="AH22" s="27">
        <v>0.57799999999999996</v>
      </c>
      <c r="AI22" s="27">
        <v>0</v>
      </c>
      <c r="AJ22" s="27">
        <v>0.98</v>
      </c>
      <c r="AK22" s="27">
        <v>1.091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0</v>
      </c>
      <c r="AR22" s="27">
        <v>0</v>
      </c>
      <c r="AS22" s="27">
        <v>0</v>
      </c>
      <c r="AT22" s="27">
        <v>0.871</v>
      </c>
      <c r="AU22" s="27">
        <v>0.98199999999999998</v>
      </c>
      <c r="AV22" s="27">
        <v>0</v>
      </c>
      <c r="AW22" s="27">
        <v>0</v>
      </c>
      <c r="AX22" s="27">
        <v>0</v>
      </c>
      <c r="AY22" s="27">
        <v>0</v>
      </c>
      <c r="AZ22" s="27">
        <v>0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0.58100000000000007</v>
      </c>
      <c r="BG22" s="27">
        <v>0.79299999999999993</v>
      </c>
      <c r="BH22" s="27">
        <v>0</v>
      </c>
      <c r="BI22" s="27">
        <v>0</v>
      </c>
      <c r="BJ22" s="27">
        <v>0</v>
      </c>
      <c r="BK22" s="27">
        <v>0</v>
      </c>
      <c r="BL22" s="27">
        <v>0</v>
      </c>
      <c r="BM22" s="27">
        <v>0</v>
      </c>
      <c r="BN22" s="27">
        <v>0</v>
      </c>
      <c r="BO22" s="27">
        <v>0</v>
      </c>
      <c r="BP22" s="27">
        <v>0</v>
      </c>
      <c r="BQ22" s="27">
        <v>0</v>
      </c>
      <c r="BR22" s="27">
        <v>0</v>
      </c>
      <c r="BS22" s="27">
        <v>0</v>
      </c>
      <c r="BT22" s="27">
        <v>0.505</v>
      </c>
      <c r="BU22" s="27">
        <v>0.70799999999999996</v>
      </c>
      <c r="BV22" s="27">
        <v>0</v>
      </c>
      <c r="BW22" s="27">
        <v>0</v>
      </c>
      <c r="BX22" s="27">
        <v>0</v>
      </c>
      <c r="BY22" s="27">
        <v>0</v>
      </c>
      <c r="BZ22" s="27">
        <v>0.74099999999999999</v>
      </c>
      <c r="CA22" s="27">
        <v>0</v>
      </c>
      <c r="CB22" s="27">
        <v>0.16262337662337659</v>
      </c>
      <c r="CC22" s="33">
        <v>12.522</v>
      </c>
    </row>
    <row r="23" spans="1:81" x14ac:dyDescent="0.25">
      <c r="A23" s="23">
        <v>22</v>
      </c>
      <c r="B23" s="25">
        <v>10.5</v>
      </c>
      <c r="C23" s="27">
        <v>0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0.49099999999999999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1.395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0.108</v>
      </c>
      <c r="AF23" s="27">
        <v>0</v>
      </c>
      <c r="AG23" s="27">
        <v>0</v>
      </c>
      <c r="AH23" s="27">
        <v>0</v>
      </c>
      <c r="AI23" s="27">
        <v>0</v>
      </c>
      <c r="AJ23" s="27">
        <v>1.0249999999999999</v>
      </c>
      <c r="AK23" s="27">
        <v>1.18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0.53300000000000003</v>
      </c>
      <c r="AV23" s="27">
        <v>0</v>
      </c>
      <c r="AW23" s="27">
        <v>0</v>
      </c>
      <c r="AX23" s="27">
        <v>0</v>
      </c>
      <c r="AY23" s="27">
        <v>0.153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0.83100000000000007</v>
      </c>
      <c r="BG23" s="27">
        <v>1.087</v>
      </c>
      <c r="BH23" s="27">
        <v>0</v>
      </c>
      <c r="BI23" s="27">
        <v>0</v>
      </c>
      <c r="BJ23" s="27">
        <v>0</v>
      </c>
      <c r="BK23" s="27">
        <v>0</v>
      </c>
      <c r="BL23" s="27">
        <v>0</v>
      </c>
      <c r="BM23" s="27">
        <v>0</v>
      </c>
      <c r="BN23" s="27">
        <v>0</v>
      </c>
      <c r="BO23" s="27">
        <v>0</v>
      </c>
      <c r="BP23" s="27">
        <v>0</v>
      </c>
      <c r="BQ23" s="27">
        <v>0</v>
      </c>
      <c r="BR23" s="27">
        <v>0</v>
      </c>
      <c r="BS23" s="27">
        <v>0</v>
      </c>
      <c r="BT23" s="27">
        <v>0</v>
      </c>
      <c r="BU23" s="27">
        <v>0.76600000000000001</v>
      </c>
      <c r="BV23" s="27">
        <v>0</v>
      </c>
      <c r="BW23" s="27">
        <v>0</v>
      </c>
      <c r="BX23" s="27">
        <v>0</v>
      </c>
      <c r="BY23" s="27">
        <v>3.2000000000000001E-2</v>
      </c>
      <c r="BZ23" s="27">
        <v>0.77700000000000002</v>
      </c>
      <c r="CA23" s="27">
        <v>0</v>
      </c>
      <c r="CB23" s="27">
        <v>0.10880519480519479</v>
      </c>
      <c r="CC23" s="33">
        <v>8.3780000000000001</v>
      </c>
    </row>
    <row r="24" spans="1:81" x14ac:dyDescent="0.25">
      <c r="A24" s="23">
        <v>23</v>
      </c>
      <c r="B24" s="25">
        <v>11</v>
      </c>
      <c r="C24" s="27">
        <v>0</v>
      </c>
      <c r="D24" s="27">
        <v>0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  <c r="V24" s="27">
        <v>1.6160000000000001</v>
      </c>
      <c r="W24" s="27">
        <v>0</v>
      </c>
      <c r="X24" s="27">
        <v>0</v>
      </c>
      <c r="Y24" s="27">
        <v>0</v>
      </c>
      <c r="Z24" s="27">
        <v>0</v>
      </c>
      <c r="AA24" s="27">
        <v>0</v>
      </c>
      <c r="AB24" s="27">
        <v>0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0</v>
      </c>
      <c r="AI24" s="27">
        <v>0</v>
      </c>
      <c r="AJ24" s="27">
        <v>0.86899999999999999</v>
      </c>
      <c r="AK24" s="27">
        <v>1.1359999999999999</v>
      </c>
      <c r="AL24" s="27">
        <v>0</v>
      </c>
      <c r="AM24" s="27">
        <v>0</v>
      </c>
      <c r="AN24" s="27">
        <v>0</v>
      </c>
      <c r="AO24" s="27">
        <v>0</v>
      </c>
      <c r="AP24" s="27">
        <v>0</v>
      </c>
      <c r="AQ24" s="27">
        <v>0</v>
      </c>
      <c r="AR24" s="27">
        <v>0</v>
      </c>
      <c r="AS24" s="27">
        <v>0</v>
      </c>
      <c r="AT24" s="27">
        <v>0</v>
      </c>
      <c r="AU24" s="27">
        <v>0</v>
      </c>
      <c r="AV24" s="27">
        <v>0</v>
      </c>
      <c r="AW24" s="27">
        <v>0</v>
      </c>
      <c r="AX24" s="27">
        <v>0</v>
      </c>
      <c r="AY24" s="27">
        <v>2.0539999999999998</v>
      </c>
      <c r="AZ24" s="27">
        <v>0</v>
      </c>
      <c r="BA24" s="27">
        <v>0</v>
      </c>
      <c r="BB24" s="27">
        <v>0</v>
      </c>
      <c r="BC24" s="27">
        <v>0</v>
      </c>
      <c r="BD24" s="27">
        <v>0</v>
      </c>
      <c r="BE24" s="27">
        <v>0</v>
      </c>
      <c r="BF24" s="27">
        <v>0.41</v>
      </c>
      <c r="BG24" s="27">
        <v>0.72199999999999998</v>
      </c>
      <c r="BH24" s="27">
        <v>0</v>
      </c>
      <c r="BI24" s="27">
        <v>0</v>
      </c>
      <c r="BJ24" s="27">
        <v>1.175</v>
      </c>
      <c r="BK24" s="27">
        <v>0</v>
      </c>
      <c r="BL24" s="27">
        <v>0</v>
      </c>
      <c r="BM24" s="27">
        <v>0</v>
      </c>
      <c r="BN24" s="27">
        <v>0</v>
      </c>
      <c r="BO24" s="27">
        <v>0</v>
      </c>
      <c r="BP24" s="27">
        <v>0</v>
      </c>
      <c r="BQ24" s="27">
        <v>0</v>
      </c>
      <c r="BR24" s="27">
        <v>0</v>
      </c>
      <c r="BS24" s="27">
        <v>0</v>
      </c>
      <c r="BT24" s="27">
        <v>0</v>
      </c>
      <c r="BU24" s="27">
        <v>0.66100000000000003</v>
      </c>
      <c r="BV24" s="27">
        <v>0</v>
      </c>
      <c r="BW24" s="27">
        <v>0</v>
      </c>
      <c r="BX24" s="27">
        <v>0</v>
      </c>
      <c r="BY24" s="27">
        <v>0</v>
      </c>
      <c r="BZ24" s="27">
        <v>0.80199999999999994</v>
      </c>
      <c r="CA24" s="27">
        <v>0</v>
      </c>
      <c r="CB24" s="27">
        <v>0.12266233766233769</v>
      </c>
      <c r="CC24" s="33">
        <v>9.4450000000000003</v>
      </c>
    </row>
    <row r="25" spans="1:81" x14ac:dyDescent="0.25">
      <c r="A25" s="23">
        <v>24</v>
      </c>
      <c r="B25" s="25">
        <v>11.5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1.7999999999999999E-2</v>
      </c>
      <c r="W25" s="27">
        <v>0</v>
      </c>
      <c r="X25" s="27">
        <v>0</v>
      </c>
      <c r="Y25" s="27">
        <v>0</v>
      </c>
      <c r="Z25" s="27">
        <v>0.123</v>
      </c>
      <c r="AA25" s="27">
        <v>0</v>
      </c>
      <c r="AB25" s="27">
        <v>0</v>
      </c>
      <c r="AC25" s="27">
        <v>0</v>
      </c>
      <c r="AD25" s="27">
        <v>0</v>
      </c>
      <c r="AE25" s="27">
        <v>0</v>
      </c>
      <c r="AF25" s="27">
        <v>0</v>
      </c>
      <c r="AG25" s="27">
        <v>0</v>
      </c>
      <c r="AH25" s="27">
        <v>0</v>
      </c>
      <c r="AI25" s="27">
        <v>0</v>
      </c>
      <c r="AJ25" s="27">
        <v>0.84199999999999997</v>
      </c>
      <c r="AK25" s="27">
        <v>0</v>
      </c>
      <c r="AL25" s="27">
        <v>0</v>
      </c>
      <c r="AM25" s="27">
        <v>0</v>
      </c>
      <c r="AN25" s="27">
        <v>0</v>
      </c>
      <c r="AO25" s="27">
        <v>0</v>
      </c>
      <c r="AP25" s="27">
        <v>0</v>
      </c>
      <c r="AQ25" s="27">
        <v>0</v>
      </c>
      <c r="AR25" s="27">
        <v>0</v>
      </c>
      <c r="AS25" s="27">
        <v>0</v>
      </c>
      <c r="AT25" s="27">
        <v>0</v>
      </c>
      <c r="AU25" s="27">
        <v>0</v>
      </c>
      <c r="AV25" s="27">
        <v>0</v>
      </c>
      <c r="AW25" s="27">
        <v>0</v>
      </c>
      <c r="AX25" s="27">
        <v>0</v>
      </c>
      <c r="AY25" s="27">
        <v>1.321</v>
      </c>
      <c r="AZ25" s="27">
        <v>0</v>
      </c>
      <c r="BA25" s="27">
        <v>0</v>
      </c>
      <c r="BB25" s="27">
        <v>0</v>
      </c>
      <c r="BC25" s="27">
        <v>0</v>
      </c>
      <c r="BD25" s="27">
        <v>0</v>
      </c>
      <c r="BE25" s="27">
        <v>0</v>
      </c>
      <c r="BF25" s="27">
        <v>0</v>
      </c>
      <c r="BG25" s="27">
        <v>1.125</v>
      </c>
      <c r="BH25" s="27">
        <v>0</v>
      </c>
      <c r="BI25" s="27">
        <v>0</v>
      </c>
      <c r="BJ25" s="27">
        <v>0</v>
      </c>
      <c r="BK25" s="27">
        <v>0</v>
      </c>
      <c r="BL25" s="27">
        <v>0</v>
      </c>
      <c r="BM25" s="27">
        <v>0</v>
      </c>
      <c r="BN25" s="27">
        <v>0</v>
      </c>
      <c r="BO25" s="27">
        <v>0</v>
      </c>
      <c r="BP25" s="27">
        <v>0.51900000000000002</v>
      </c>
      <c r="BQ25" s="27">
        <v>0</v>
      </c>
      <c r="BR25" s="27">
        <v>0</v>
      </c>
      <c r="BS25" s="27">
        <v>0</v>
      </c>
      <c r="BT25" s="27">
        <v>0</v>
      </c>
      <c r="BU25" s="27">
        <v>0.61499999999999999</v>
      </c>
      <c r="BV25" s="27">
        <v>0</v>
      </c>
      <c r="BW25" s="27">
        <v>0</v>
      </c>
      <c r="BX25" s="27">
        <v>0</v>
      </c>
      <c r="BY25" s="27">
        <v>0.19800000000000001</v>
      </c>
      <c r="BZ25" s="27">
        <v>0.49</v>
      </c>
      <c r="CA25" s="27">
        <v>0</v>
      </c>
      <c r="CB25" s="27">
        <v>6.8194805194805197E-2</v>
      </c>
      <c r="CC25" s="33">
        <v>5.2510000000000003</v>
      </c>
    </row>
    <row r="26" spans="1:81" x14ac:dyDescent="0.25">
      <c r="A26" s="23">
        <v>25</v>
      </c>
      <c r="B26" s="25">
        <v>12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  <c r="V26" s="27">
        <v>0</v>
      </c>
      <c r="W26" s="27">
        <v>0</v>
      </c>
      <c r="X26" s="27">
        <v>0</v>
      </c>
      <c r="Y26" s="27">
        <v>0</v>
      </c>
      <c r="Z26" s="27">
        <v>0</v>
      </c>
      <c r="AA26" s="27">
        <v>0</v>
      </c>
      <c r="AB26" s="27">
        <v>0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I26" s="27">
        <v>0</v>
      </c>
      <c r="AJ26" s="27">
        <v>0.27300000000000002</v>
      </c>
      <c r="AK26" s="27">
        <v>0</v>
      </c>
      <c r="AL26" s="27">
        <v>0</v>
      </c>
      <c r="AM26" s="27">
        <v>0</v>
      </c>
      <c r="AN26" s="27">
        <v>0</v>
      </c>
      <c r="AO26" s="27">
        <v>0</v>
      </c>
      <c r="AP26" s="27">
        <v>0</v>
      </c>
      <c r="AQ26" s="27">
        <v>0</v>
      </c>
      <c r="AR26" s="27">
        <v>0</v>
      </c>
      <c r="AS26" s="27">
        <v>0</v>
      </c>
      <c r="AT26" s="27">
        <v>0</v>
      </c>
      <c r="AU26" s="27">
        <v>0.91299999999999992</v>
      </c>
      <c r="AV26" s="27">
        <v>0</v>
      </c>
      <c r="AW26" s="27">
        <v>0</v>
      </c>
      <c r="AX26" s="27">
        <v>0</v>
      </c>
      <c r="AY26" s="27">
        <v>0.45400000000000001</v>
      </c>
      <c r="AZ26" s="27">
        <v>0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1.1839999999999999</v>
      </c>
      <c r="BH26" s="27">
        <v>0</v>
      </c>
      <c r="BI26" s="27">
        <v>0</v>
      </c>
      <c r="BJ26" s="27">
        <v>0</v>
      </c>
      <c r="BK26" s="27">
        <v>0</v>
      </c>
      <c r="BL26" s="27">
        <v>0</v>
      </c>
      <c r="BM26" s="27">
        <v>0</v>
      </c>
      <c r="BN26" s="27">
        <v>0</v>
      </c>
      <c r="BO26" s="27">
        <v>0</v>
      </c>
      <c r="BP26" s="27">
        <v>0</v>
      </c>
      <c r="BQ26" s="27">
        <v>0</v>
      </c>
      <c r="BR26" s="27">
        <v>0</v>
      </c>
      <c r="BS26" s="27">
        <v>0</v>
      </c>
      <c r="BT26" s="27">
        <v>0</v>
      </c>
      <c r="BU26" s="27">
        <v>0.51700000000000002</v>
      </c>
      <c r="BV26" s="27">
        <v>0</v>
      </c>
      <c r="BW26" s="27">
        <v>0</v>
      </c>
      <c r="BX26" s="27">
        <v>0</v>
      </c>
      <c r="BY26" s="27">
        <v>0.499</v>
      </c>
      <c r="BZ26" s="27">
        <v>0</v>
      </c>
      <c r="CA26" s="27">
        <v>0</v>
      </c>
      <c r="CB26" s="27">
        <v>4.987012987012987E-2</v>
      </c>
      <c r="CC26" s="33">
        <v>3.84</v>
      </c>
    </row>
    <row r="27" spans="1:81" x14ac:dyDescent="0.25">
      <c r="A27" s="23">
        <v>26</v>
      </c>
      <c r="B27" s="25">
        <v>12.5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7">
        <v>0</v>
      </c>
      <c r="AJ27" s="27">
        <v>0.89400000000000002</v>
      </c>
      <c r="AK27" s="27">
        <v>0</v>
      </c>
      <c r="AL27" s="27">
        <v>0</v>
      </c>
      <c r="AM27" s="27">
        <v>0</v>
      </c>
      <c r="AN27" s="27">
        <v>0</v>
      </c>
      <c r="AO27" s="27">
        <v>0</v>
      </c>
      <c r="AP27" s="27">
        <v>0</v>
      </c>
      <c r="AQ27" s="27">
        <v>0</v>
      </c>
      <c r="AR27" s="27">
        <v>0</v>
      </c>
      <c r="AS27" s="27">
        <v>0</v>
      </c>
      <c r="AT27" s="27">
        <v>0</v>
      </c>
      <c r="AU27" s="27">
        <v>0</v>
      </c>
      <c r="AV27" s="27">
        <v>0</v>
      </c>
      <c r="AW27" s="27">
        <v>0</v>
      </c>
      <c r="AX27" s="27">
        <v>0</v>
      </c>
      <c r="AY27" s="27">
        <v>0</v>
      </c>
      <c r="AZ27" s="27">
        <v>0</v>
      </c>
      <c r="BA27" s="27">
        <v>0</v>
      </c>
      <c r="BB27" s="27">
        <v>0</v>
      </c>
      <c r="BC27" s="27">
        <v>0</v>
      </c>
      <c r="BD27" s="27">
        <v>0</v>
      </c>
      <c r="BE27" s="27">
        <v>0</v>
      </c>
      <c r="BF27" s="27">
        <v>0.36699999999999999</v>
      </c>
      <c r="BG27" s="27">
        <v>0.50600000000000001</v>
      </c>
      <c r="BH27" s="27">
        <v>0</v>
      </c>
      <c r="BI27" s="27">
        <v>0</v>
      </c>
      <c r="BJ27" s="27">
        <v>0</v>
      </c>
      <c r="BK27" s="27">
        <v>0</v>
      </c>
      <c r="BL27" s="27">
        <v>0</v>
      </c>
      <c r="BM27" s="27">
        <v>0</v>
      </c>
      <c r="BN27" s="27">
        <v>0</v>
      </c>
      <c r="BO27" s="27">
        <v>0</v>
      </c>
      <c r="BP27" s="27">
        <v>0</v>
      </c>
      <c r="BQ27" s="27">
        <v>0</v>
      </c>
      <c r="BR27" s="27">
        <v>0</v>
      </c>
      <c r="BS27" s="27">
        <v>0</v>
      </c>
      <c r="BT27" s="27">
        <v>0</v>
      </c>
      <c r="BU27" s="27">
        <v>0</v>
      </c>
      <c r="BV27" s="27">
        <v>0</v>
      </c>
      <c r="BW27" s="27">
        <v>0</v>
      </c>
      <c r="BX27" s="27">
        <v>0</v>
      </c>
      <c r="BY27" s="27">
        <v>0</v>
      </c>
      <c r="BZ27" s="27">
        <v>0</v>
      </c>
      <c r="CA27" s="27">
        <v>0</v>
      </c>
      <c r="CB27" s="27">
        <v>2.294805194805195E-2</v>
      </c>
      <c r="CC27" s="33">
        <v>1.7669999999999999</v>
      </c>
    </row>
    <row r="28" spans="1:81" x14ac:dyDescent="0.25">
      <c r="A28" s="23">
        <v>27</v>
      </c>
      <c r="B28" s="25">
        <v>13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  <c r="AJ28" s="27">
        <v>1.19</v>
      </c>
      <c r="AK28" s="27">
        <v>0</v>
      </c>
      <c r="AL28" s="27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0</v>
      </c>
      <c r="AR28" s="27">
        <v>0</v>
      </c>
      <c r="AS28" s="27">
        <v>0</v>
      </c>
      <c r="AT28" s="27">
        <v>0</v>
      </c>
      <c r="AU28" s="27">
        <v>0</v>
      </c>
      <c r="AV28" s="27">
        <v>0</v>
      </c>
      <c r="AW28" s="27">
        <v>0</v>
      </c>
      <c r="AX28" s="27">
        <v>0</v>
      </c>
      <c r="AY28" s="27">
        <v>0</v>
      </c>
      <c r="AZ28" s="27">
        <v>0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0.161</v>
      </c>
      <c r="BH28" s="27">
        <v>0</v>
      </c>
      <c r="BI28" s="27">
        <v>0</v>
      </c>
      <c r="BJ28" s="27">
        <v>1.413</v>
      </c>
      <c r="BK28" s="27">
        <v>0</v>
      </c>
      <c r="BL28" s="27">
        <v>0</v>
      </c>
      <c r="BM28" s="27">
        <v>0</v>
      </c>
      <c r="BN28" s="27">
        <v>0</v>
      </c>
      <c r="BO28" s="27">
        <v>0</v>
      </c>
      <c r="BP28" s="27">
        <v>0</v>
      </c>
      <c r="BQ28" s="27">
        <v>0</v>
      </c>
      <c r="BR28" s="27">
        <v>0</v>
      </c>
      <c r="BS28" s="27">
        <v>0</v>
      </c>
      <c r="BT28" s="27">
        <v>0</v>
      </c>
      <c r="BU28" s="27">
        <v>0</v>
      </c>
      <c r="BV28" s="27">
        <v>0</v>
      </c>
      <c r="BW28" s="27">
        <v>0</v>
      </c>
      <c r="BX28" s="27">
        <v>0</v>
      </c>
      <c r="BY28" s="27">
        <v>0</v>
      </c>
      <c r="BZ28" s="27">
        <v>0</v>
      </c>
      <c r="CA28" s="27">
        <v>0</v>
      </c>
      <c r="CB28" s="27">
        <v>3.5896103896103898E-2</v>
      </c>
      <c r="CC28" s="33">
        <v>2.7639999999999998</v>
      </c>
    </row>
    <row r="29" spans="1:81" x14ac:dyDescent="0.25">
      <c r="A29" s="23">
        <v>28</v>
      </c>
      <c r="B29" s="25">
        <v>13.5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  <c r="AJ29" s="27">
        <v>5.5E-2</v>
      </c>
      <c r="AK29" s="27">
        <v>0</v>
      </c>
      <c r="AL29" s="27">
        <v>0</v>
      </c>
      <c r="AM29" s="27">
        <v>0</v>
      </c>
      <c r="AN29" s="27">
        <v>0</v>
      </c>
      <c r="AO29" s="27">
        <v>0</v>
      </c>
      <c r="AP29" s="27">
        <v>0</v>
      </c>
      <c r="AQ29" s="27">
        <v>0</v>
      </c>
      <c r="AR29" s="27">
        <v>0</v>
      </c>
      <c r="AS29" s="27">
        <v>0</v>
      </c>
      <c r="AT29" s="27">
        <v>0</v>
      </c>
      <c r="AU29" s="27">
        <v>0.22</v>
      </c>
      <c r="AV29" s="27">
        <v>0</v>
      </c>
      <c r="AW29" s="27">
        <v>0</v>
      </c>
      <c r="AX29" s="27">
        <v>0</v>
      </c>
      <c r="AY29" s="27">
        <v>0</v>
      </c>
      <c r="AZ29" s="27">
        <v>0</v>
      </c>
      <c r="BA29" s="27">
        <v>0</v>
      </c>
      <c r="BB29" s="27">
        <v>0</v>
      </c>
      <c r="BC29" s="27">
        <v>0</v>
      </c>
      <c r="BD29" s="27">
        <v>0</v>
      </c>
      <c r="BE29" s="27">
        <v>0</v>
      </c>
      <c r="BF29" s="27">
        <v>1.149</v>
      </c>
      <c r="BG29" s="27">
        <v>0.53200000000000003</v>
      </c>
      <c r="BH29" s="27">
        <v>0</v>
      </c>
      <c r="BI29" s="27">
        <v>0</v>
      </c>
      <c r="BJ29" s="27">
        <v>1.2030000000000001</v>
      </c>
      <c r="BK29" s="27">
        <v>0</v>
      </c>
      <c r="BL29" s="27">
        <v>0</v>
      </c>
      <c r="BM29" s="27">
        <v>0</v>
      </c>
      <c r="BN29" s="27">
        <v>0</v>
      </c>
      <c r="BO29" s="27">
        <v>0</v>
      </c>
      <c r="BP29" s="27">
        <v>0</v>
      </c>
      <c r="BQ29" s="27">
        <v>0</v>
      </c>
      <c r="BR29" s="27">
        <v>0</v>
      </c>
      <c r="BS29" s="27">
        <v>0</v>
      </c>
      <c r="BT29" s="27">
        <v>0</v>
      </c>
      <c r="BU29" s="27">
        <v>0</v>
      </c>
      <c r="BV29" s="27">
        <v>0</v>
      </c>
      <c r="BW29" s="27">
        <v>0.8630000000000001</v>
      </c>
      <c r="BX29" s="27">
        <v>0</v>
      </c>
      <c r="BY29" s="27">
        <v>0</v>
      </c>
      <c r="BZ29" s="27">
        <v>2.7E-2</v>
      </c>
      <c r="CA29" s="27">
        <v>0</v>
      </c>
      <c r="CB29" s="27">
        <v>5.2584415584415588E-2</v>
      </c>
      <c r="CC29" s="33">
        <v>4.0490000000000004</v>
      </c>
    </row>
    <row r="30" spans="1:81" x14ac:dyDescent="0.25">
      <c r="A30" s="23">
        <v>29</v>
      </c>
      <c r="B30" s="25">
        <v>14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  <c r="AJ30" s="27">
        <v>0</v>
      </c>
      <c r="AK30" s="27">
        <v>0</v>
      </c>
      <c r="AL30" s="27">
        <v>0</v>
      </c>
      <c r="AM30" s="27">
        <v>0</v>
      </c>
      <c r="AN30" s="27">
        <v>0</v>
      </c>
      <c r="AO30" s="27">
        <v>0</v>
      </c>
      <c r="AP30" s="27">
        <v>0</v>
      </c>
      <c r="AQ30" s="27">
        <v>0</v>
      </c>
      <c r="AR30" s="27">
        <v>0</v>
      </c>
      <c r="AS30" s="27">
        <v>0</v>
      </c>
      <c r="AT30" s="27">
        <v>0</v>
      </c>
      <c r="AU30" s="27">
        <v>0.5</v>
      </c>
      <c r="AV30" s="27">
        <v>0</v>
      </c>
      <c r="AW30" s="27">
        <v>0</v>
      </c>
      <c r="AX30" s="27">
        <v>0</v>
      </c>
      <c r="AY30" s="27">
        <v>0</v>
      </c>
      <c r="AZ30" s="27">
        <v>0</v>
      </c>
      <c r="BA30" s="27">
        <v>0</v>
      </c>
      <c r="BB30" s="27">
        <v>0</v>
      </c>
      <c r="BC30" s="27">
        <v>0</v>
      </c>
      <c r="BD30" s="27">
        <v>0</v>
      </c>
      <c r="BE30" s="27">
        <v>0</v>
      </c>
      <c r="BF30" s="27">
        <v>0.92900000000000005</v>
      </c>
      <c r="BG30" s="27">
        <v>0</v>
      </c>
      <c r="BH30" s="27">
        <v>0</v>
      </c>
      <c r="BI30" s="27">
        <v>0</v>
      </c>
      <c r="BJ30" s="27">
        <v>1.423</v>
      </c>
      <c r="BK30" s="27">
        <v>0</v>
      </c>
      <c r="BL30" s="27">
        <v>0</v>
      </c>
      <c r="BM30" s="27">
        <v>0</v>
      </c>
      <c r="BN30" s="27">
        <v>0</v>
      </c>
      <c r="BO30" s="27">
        <v>0</v>
      </c>
      <c r="BP30" s="27">
        <v>0</v>
      </c>
      <c r="BQ30" s="27">
        <v>0</v>
      </c>
      <c r="BR30" s="27">
        <v>0</v>
      </c>
      <c r="BS30" s="27">
        <v>0</v>
      </c>
      <c r="BT30" s="27">
        <v>0</v>
      </c>
      <c r="BU30" s="27">
        <v>0</v>
      </c>
      <c r="BV30" s="27">
        <v>0</v>
      </c>
      <c r="BW30" s="27">
        <v>2.6259999999999999</v>
      </c>
      <c r="BX30" s="27">
        <v>0</v>
      </c>
      <c r="BY30" s="27">
        <v>0</v>
      </c>
      <c r="BZ30" s="27">
        <v>0.57600000000000007</v>
      </c>
      <c r="CA30" s="27">
        <v>0</v>
      </c>
      <c r="CB30" s="27">
        <v>7.8623376623376623E-2</v>
      </c>
      <c r="CC30" s="33">
        <v>6.0540000000000003</v>
      </c>
    </row>
    <row r="31" spans="1:81" x14ac:dyDescent="0.25">
      <c r="A31" s="23">
        <v>30</v>
      </c>
      <c r="B31" s="25">
        <v>14.5</v>
      </c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  <c r="V31" s="27">
        <v>0</v>
      </c>
      <c r="W31" s="27">
        <v>0</v>
      </c>
      <c r="X31" s="27">
        <v>0</v>
      </c>
      <c r="Y31" s="27">
        <v>0</v>
      </c>
      <c r="Z31" s="27">
        <v>0</v>
      </c>
      <c r="AA31" s="27">
        <v>0</v>
      </c>
      <c r="AB31" s="27">
        <v>0</v>
      </c>
      <c r="AC31" s="27">
        <v>0</v>
      </c>
      <c r="AD31" s="27">
        <v>0</v>
      </c>
      <c r="AE31" s="27">
        <v>0</v>
      </c>
      <c r="AF31" s="27">
        <v>0</v>
      </c>
      <c r="AG31" s="27">
        <v>0</v>
      </c>
      <c r="AH31" s="27">
        <v>0</v>
      </c>
      <c r="AI31" s="27">
        <v>0</v>
      </c>
      <c r="AJ31" s="27">
        <v>8.6999999999999994E-2</v>
      </c>
      <c r="AK31" s="27">
        <v>0</v>
      </c>
      <c r="AL31" s="27">
        <v>0</v>
      </c>
      <c r="AM31" s="27">
        <v>0</v>
      </c>
      <c r="AN31" s="27">
        <v>0</v>
      </c>
      <c r="AO31" s="27">
        <v>0</v>
      </c>
      <c r="AP31" s="27">
        <v>1.2230000000000001</v>
      </c>
      <c r="AQ31" s="27">
        <v>0</v>
      </c>
      <c r="AR31" s="27">
        <v>0</v>
      </c>
      <c r="AS31" s="27">
        <v>0</v>
      </c>
      <c r="AT31" s="27">
        <v>0</v>
      </c>
      <c r="AU31" s="27">
        <v>0</v>
      </c>
      <c r="AV31" s="27">
        <v>0</v>
      </c>
      <c r="AW31" s="27">
        <v>0</v>
      </c>
      <c r="AX31" s="27">
        <v>0</v>
      </c>
      <c r="AY31" s="27">
        <v>0</v>
      </c>
      <c r="AZ31" s="27">
        <v>0</v>
      </c>
      <c r="BA31" s="27">
        <v>0</v>
      </c>
      <c r="BB31" s="27">
        <v>0</v>
      </c>
      <c r="BC31" s="27">
        <v>0</v>
      </c>
      <c r="BD31" s="27">
        <v>0</v>
      </c>
      <c r="BE31" s="27">
        <v>0</v>
      </c>
      <c r="BF31" s="27">
        <v>0.83699999999999997</v>
      </c>
      <c r="BG31" s="27">
        <v>0.23100000000000001</v>
      </c>
      <c r="BH31" s="27">
        <v>0</v>
      </c>
      <c r="BI31" s="27">
        <v>0</v>
      </c>
      <c r="BJ31" s="27">
        <v>1.246</v>
      </c>
      <c r="BK31" s="27">
        <v>0</v>
      </c>
      <c r="BL31" s="27">
        <v>0</v>
      </c>
      <c r="BM31" s="27">
        <v>0</v>
      </c>
      <c r="BN31" s="27">
        <v>0</v>
      </c>
      <c r="BO31" s="27">
        <v>0</v>
      </c>
      <c r="BP31" s="27">
        <v>0</v>
      </c>
      <c r="BQ31" s="27">
        <v>0</v>
      </c>
      <c r="BR31" s="27">
        <v>0</v>
      </c>
      <c r="BS31" s="27">
        <v>0</v>
      </c>
      <c r="BT31" s="27">
        <v>0</v>
      </c>
      <c r="BU31" s="27">
        <v>0</v>
      </c>
      <c r="BV31" s="27">
        <v>0</v>
      </c>
      <c r="BW31" s="27">
        <v>4.0000000000000001E-3</v>
      </c>
      <c r="BX31" s="27">
        <v>0</v>
      </c>
      <c r="BY31" s="27">
        <v>0</v>
      </c>
      <c r="BZ31" s="27">
        <v>0.48499999999999999</v>
      </c>
      <c r="CA31" s="27">
        <v>0</v>
      </c>
      <c r="CB31" s="27">
        <v>5.3415584415584409E-2</v>
      </c>
      <c r="CC31" s="33">
        <v>4.1130000000000004</v>
      </c>
    </row>
    <row r="32" spans="1:81" x14ac:dyDescent="0.25">
      <c r="A32" s="23">
        <v>31</v>
      </c>
      <c r="B32" s="25">
        <v>15</v>
      </c>
      <c r="C32" s="27">
        <v>0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  <c r="V32" s="27">
        <v>0</v>
      </c>
      <c r="W32" s="27">
        <v>0</v>
      </c>
      <c r="X32" s="27">
        <v>0</v>
      </c>
      <c r="Y32" s="27">
        <v>0</v>
      </c>
      <c r="Z32" s="27">
        <v>0</v>
      </c>
      <c r="AA32" s="27">
        <v>0</v>
      </c>
      <c r="AB32" s="27">
        <v>0</v>
      </c>
      <c r="AC32" s="27">
        <v>0</v>
      </c>
      <c r="AD32" s="27">
        <v>0</v>
      </c>
      <c r="AE32" s="27">
        <v>0</v>
      </c>
      <c r="AF32" s="27">
        <v>0</v>
      </c>
      <c r="AG32" s="27">
        <v>0</v>
      </c>
      <c r="AH32" s="27">
        <v>0</v>
      </c>
      <c r="AI32" s="27">
        <v>0</v>
      </c>
      <c r="AJ32" s="27">
        <v>0</v>
      </c>
      <c r="AK32" s="27">
        <v>0</v>
      </c>
      <c r="AL32" s="27">
        <v>0</v>
      </c>
      <c r="AM32" s="27">
        <v>0</v>
      </c>
      <c r="AN32" s="27">
        <v>0</v>
      </c>
      <c r="AO32" s="27">
        <v>0</v>
      </c>
      <c r="AP32" s="27">
        <v>0.8899999999999999</v>
      </c>
      <c r="AQ32" s="27">
        <v>0</v>
      </c>
      <c r="AR32" s="27">
        <v>0</v>
      </c>
      <c r="AS32" s="27">
        <v>0</v>
      </c>
      <c r="AT32" s="27">
        <v>0</v>
      </c>
      <c r="AU32" s="27">
        <v>0</v>
      </c>
      <c r="AV32" s="27">
        <v>0</v>
      </c>
      <c r="AW32" s="27">
        <v>0</v>
      </c>
      <c r="AX32" s="27">
        <v>0</v>
      </c>
      <c r="AY32" s="27">
        <v>0</v>
      </c>
      <c r="AZ32" s="27">
        <v>0</v>
      </c>
      <c r="BA32" s="27">
        <v>0</v>
      </c>
      <c r="BB32" s="27">
        <v>0</v>
      </c>
      <c r="BC32" s="27">
        <v>0</v>
      </c>
      <c r="BD32" s="27">
        <v>0</v>
      </c>
      <c r="BE32" s="27">
        <v>0</v>
      </c>
      <c r="BF32" s="27">
        <v>0</v>
      </c>
      <c r="BG32" s="27">
        <v>0</v>
      </c>
      <c r="BH32" s="27">
        <v>0</v>
      </c>
      <c r="BI32" s="27">
        <v>0</v>
      </c>
      <c r="BJ32" s="27">
        <v>0.27300000000000002</v>
      </c>
      <c r="BK32" s="27">
        <v>0</v>
      </c>
      <c r="BL32" s="27">
        <v>0</v>
      </c>
      <c r="BM32" s="27">
        <v>0</v>
      </c>
      <c r="BN32" s="27">
        <v>0</v>
      </c>
      <c r="BO32" s="27">
        <v>0</v>
      </c>
      <c r="BP32" s="27">
        <v>0</v>
      </c>
      <c r="BQ32" s="27">
        <v>0</v>
      </c>
      <c r="BR32" s="27">
        <v>0</v>
      </c>
      <c r="BS32" s="27">
        <v>0</v>
      </c>
      <c r="BT32" s="27">
        <v>0</v>
      </c>
      <c r="BU32" s="27">
        <v>0</v>
      </c>
      <c r="BV32" s="27">
        <v>0</v>
      </c>
      <c r="BW32" s="27">
        <v>0</v>
      </c>
      <c r="BX32" s="27">
        <v>0</v>
      </c>
      <c r="BY32" s="27">
        <v>0</v>
      </c>
      <c r="BZ32" s="27">
        <v>0</v>
      </c>
      <c r="CA32" s="27">
        <v>0</v>
      </c>
      <c r="CB32" s="27">
        <v>1.51038961038961E-2</v>
      </c>
      <c r="CC32" s="33">
        <v>1.163</v>
      </c>
    </row>
    <row r="33" spans="1:81" x14ac:dyDescent="0.25">
      <c r="A33" s="23">
        <v>32</v>
      </c>
      <c r="B33" s="25">
        <v>15.5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7">
        <v>0</v>
      </c>
      <c r="AJ33" s="27">
        <v>0</v>
      </c>
      <c r="AK33" s="27">
        <v>0</v>
      </c>
      <c r="AL33" s="27">
        <v>0</v>
      </c>
      <c r="AM33" s="27">
        <v>0</v>
      </c>
      <c r="AN33" s="27">
        <v>0</v>
      </c>
      <c r="AO33" s="27">
        <v>0</v>
      </c>
      <c r="AP33" s="27">
        <v>0</v>
      </c>
      <c r="AQ33" s="27">
        <v>0</v>
      </c>
      <c r="AR33" s="27">
        <v>0</v>
      </c>
      <c r="AS33" s="27">
        <v>0</v>
      </c>
      <c r="AT33" s="27">
        <v>0</v>
      </c>
      <c r="AU33" s="27">
        <v>0</v>
      </c>
      <c r="AV33" s="27">
        <v>0</v>
      </c>
      <c r="AW33" s="27">
        <v>0</v>
      </c>
      <c r="AX33" s="27">
        <v>0</v>
      </c>
      <c r="AY33" s="27">
        <v>0</v>
      </c>
      <c r="AZ33" s="27">
        <v>0</v>
      </c>
      <c r="BA33" s="27">
        <v>0</v>
      </c>
      <c r="BB33" s="27">
        <v>0</v>
      </c>
      <c r="BC33" s="27">
        <v>0</v>
      </c>
      <c r="BD33" s="27">
        <v>0</v>
      </c>
      <c r="BE33" s="27">
        <v>0</v>
      </c>
      <c r="BF33" s="27">
        <v>0</v>
      </c>
      <c r="BG33" s="27">
        <v>0.20399999999999999</v>
      </c>
      <c r="BH33" s="27">
        <v>0</v>
      </c>
      <c r="BI33" s="27">
        <v>0</v>
      </c>
      <c r="BJ33" s="27">
        <v>0</v>
      </c>
      <c r="BK33" s="27">
        <v>0</v>
      </c>
      <c r="BL33" s="27">
        <v>0</v>
      </c>
      <c r="BM33" s="27">
        <v>0</v>
      </c>
      <c r="BN33" s="27">
        <v>0</v>
      </c>
      <c r="BO33" s="27">
        <v>0</v>
      </c>
      <c r="BP33" s="27">
        <v>0</v>
      </c>
      <c r="BQ33" s="27">
        <v>0</v>
      </c>
      <c r="BR33" s="27">
        <v>0</v>
      </c>
      <c r="BS33" s="27">
        <v>0</v>
      </c>
      <c r="BT33" s="27">
        <v>0</v>
      </c>
      <c r="BU33" s="27">
        <v>0</v>
      </c>
      <c r="BV33" s="27">
        <v>0</v>
      </c>
      <c r="BW33" s="27">
        <v>0</v>
      </c>
      <c r="BX33" s="27">
        <v>0</v>
      </c>
      <c r="BY33" s="27">
        <v>0</v>
      </c>
      <c r="BZ33" s="27">
        <v>0</v>
      </c>
      <c r="CA33" s="27">
        <v>0</v>
      </c>
      <c r="CB33" s="27">
        <v>2.6493506493506492E-3</v>
      </c>
      <c r="CC33" s="33">
        <v>0.20399999999999999</v>
      </c>
    </row>
    <row r="34" spans="1:81" x14ac:dyDescent="0.25">
      <c r="A34" s="23">
        <v>33</v>
      </c>
      <c r="B34" s="25">
        <v>16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0.57600000000000007</v>
      </c>
      <c r="AF34" s="27">
        <v>0</v>
      </c>
      <c r="AG34" s="27">
        <v>0</v>
      </c>
      <c r="AH34" s="27">
        <v>0</v>
      </c>
      <c r="AI34" s="27">
        <v>0</v>
      </c>
      <c r="AJ34" s="27">
        <v>0</v>
      </c>
      <c r="AK34" s="27">
        <v>0</v>
      </c>
      <c r="AL34" s="27">
        <v>0</v>
      </c>
      <c r="AM34" s="27">
        <v>0</v>
      </c>
      <c r="AN34" s="27">
        <v>0</v>
      </c>
      <c r="AO34" s="27">
        <v>0</v>
      </c>
      <c r="AP34" s="27">
        <v>0</v>
      </c>
      <c r="AQ34" s="27">
        <v>0</v>
      </c>
      <c r="AR34" s="27">
        <v>0</v>
      </c>
      <c r="AS34" s="27">
        <v>0</v>
      </c>
      <c r="AT34" s="27">
        <v>0</v>
      </c>
      <c r="AU34" s="27">
        <v>0</v>
      </c>
      <c r="AV34" s="27">
        <v>0</v>
      </c>
      <c r="AW34" s="27">
        <v>0</v>
      </c>
      <c r="AX34" s="27">
        <v>0</v>
      </c>
      <c r="AY34" s="27">
        <v>0</v>
      </c>
      <c r="AZ34" s="27">
        <v>0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0</v>
      </c>
      <c r="BI34" s="27">
        <v>0</v>
      </c>
      <c r="BJ34" s="27">
        <v>0</v>
      </c>
      <c r="BK34" s="27">
        <v>0</v>
      </c>
      <c r="BL34" s="27">
        <v>0</v>
      </c>
      <c r="BM34" s="27">
        <v>0</v>
      </c>
      <c r="BN34" s="27">
        <v>0</v>
      </c>
      <c r="BO34" s="27">
        <v>0</v>
      </c>
      <c r="BP34" s="27">
        <v>0</v>
      </c>
      <c r="BQ34" s="27">
        <v>0</v>
      </c>
      <c r="BR34" s="27">
        <v>0</v>
      </c>
      <c r="BS34" s="27">
        <v>0</v>
      </c>
      <c r="BT34" s="27">
        <v>0</v>
      </c>
      <c r="BU34" s="27">
        <v>0</v>
      </c>
      <c r="BV34" s="27">
        <v>0</v>
      </c>
      <c r="BW34" s="27">
        <v>0</v>
      </c>
      <c r="BX34" s="27">
        <v>0</v>
      </c>
      <c r="BY34" s="27">
        <v>0</v>
      </c>
      <c r="BZ34" s="27">
        <v>0</v>
      </c>
      <c r="CA34" s="27">
        <v>0</v>
      </c>
      <c r="CB34" s="27">
        <v>7.4805194805194824E-3</v>
      </c>
      <c r="CC34" s="33">
        <v>0.57600000000000007</v>
      </c>
    </row>
    <row r="35" spans="1:81" x14ac:dyDescent="0.25">
      <c r="A35" s="23">
        <v>34</v>
      </c>
      <c r="B35" s="25">
        <v>16.5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0.83799999999999997</v>
      </c>
      <c r="AF35" s="27">
        <v>0</v>
      </c>
      <c r="AG35" s="27">
        <v>0</v>
      </c>
      <c r="AH35" s="27">
        <v>0</v>
      </c>
      <c r="AI35" s="27">
        <v>0</v>
      </c>
      <c r="AJ35" s="27">
        <v>0</v>
      </c>
      <c r="AK35" s="27">
        <v>0</v>
      </c>
      <c r="AL35" s="27">
        <v>0</v>
      </c>
      <c r="AM35" s="27">
        <v>0</v>
      </c>
      <c r="AN35" s="27">
        <v>0</v>
      </c>
      <c r="AO35" s="27">
        <v>0</v>
      </c>
      <c r="AP35" s="27">
        <v>0</v>
      </c>
      <c r="AQ35" s="27">
        <v>0</v>
      </c>
      <c r="AR35" s="27">
        <v>0</v>
      </c>
      <c r="AS35" s="27">
        <v>0</v>
      </c>
      <c r="AT35" s="27">
        <v>0</v>
      </c>
      <c r="AU35" s="27">
        <v>0</v>
      </c>
      <c r="AV35" s="27">
        <v>0</v>
      </c>
      <c r="AW35" s="27">
        <v>0</v>
      </c>
      <c r="AX35" s="27">
        <v>0</v>
      </c>
      <c r="AY35" s="27">
        <v>0</v>
      </c>
      <c r="AZ35" s="27">
        <v>0.21</v>
      </c>
      <c r="BA35" s="27">
        <v>0</v>
      </c>
      <c r="BB35" s="27">
        <v>0</v>
      </c>
      <c r="BC35" s="27">
        <v>0</v>
      </c>
      <c r="BD35" s="27">
        <v>0</v>
      </c>
      <c r="BE35" s="27">
        <v>0</v>
      </c>
      <c r="BF35" s="27">
        <v>0</v>
      </c>
      <c r="BG35" s="27">
        <v>0</v>
      </c>
      <c r="BH35" s="27">
        <v>0</v>
      </c>
      <c r="BI35" s="27">
        <v>0.34200000000000003</v>
      </c>
      <c r="BJ35" s="27">
        <v>0</v>
      </c>
      <c r="BK35" s="27">
        <v>0</v>
      </c>
      <c r="BL35" s="27">
        <v>0</v>
      </c>
      <c r="BM35" s="27">
        <v>0</v>
      </c>
      <c r="BN35" s="27">
        <v>0</v>
      </c>
      <c r="BO35" s="27">
        <v>0</v>
      </c>
      <c r="BP35" s="27">
        <v>0</v>
      </c>
      <c r="BQ35" s="27">
        <v>0</v>
      </c>
      <c r="BR35" s="27">
        <v>0</v>
      </c>
      <c r="BS35" s="27">
        <v>0</v>
      </c>
      <c r="BT35" s="27">
        <v>0</v>
      </c>
      <c r="BU35" s="27">
        <v>0</v>
      </c>
      <c r="BV35" s="27">
        <v>0</v>
      </c>
      <c r="BW35" s="27">
        <v>0</v>
      </c>
      <c r="BX35" s="27">
        <v>0</v>
      </c>
      <c r="BY35" s="27">
        <v>0</v>
      </c>
      <c r="BZ35" s="27">
        <v>0</v>
      </c>
      <c r="CA35" s="27">
        <v>0</v>
      </c>
      <c r="CB35" s="27">
        <v>1.8051948051948059E-2</v>
      </c>
      <c r="CC35" s="33">
        <v>1.39</v>
      </c>
    </row>
    <row r="36" spans="1:81" x14ac:dyDescent="0.25">
      <c r="A36" s="23">
        <v>35</v>
      </c>
      <c r="B36" s="25">
        <v>17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0.23200000000000001</v>
      </c>
      <c r="AB36" s="27">
        <v>0</v>
      </c>
      <c r="AC36" s="27">
        <v>0</v>
      </c>
      <c r="AD36" s="27">
        <v>0</v>
      </c>
      <c r="AE36" s="27">
        <v>0.43</v>
      </c>
      <c r="AF36" s="27">
        <v>0</v>
      </c>
      <c r="AG36" s="27">
        <v>0</v>
      </c>
      <c r="AH36" s="27">
        <v>0</v>
      </c>
      <c r="AI36" s="27">
        <v>0</v>
      </c>
      <c r="AJ36" s="27">
        <v>0</v>
      </c>
      <c r="AK36" s="27">
        <v>0</v>
      </c>
      <c r="AL36" s="27">
        <v>0</v>
      </c>
      <c r="AM36" s="27">
        <v>0</v>
      </c>
      <c r="AN36" s="27">
        <v>0</v>
      </c>
      <c r="AO36" s="27">
        <v>0</v>
      </c>
      <c r="AP36" s="27">
        <v>0</v>
      </c>
      <c r="AQ36" s="27">
        <v>0</v>
      </c>
      <c r="AR36" s="27">
        <v>0</v>
      </c>
      <c r="AS36" s="27">
        <v>0</v>
      </c>
      <c r="AT36" s="27">
        <v>0</v>
      </c>
      <c r="AU36" s="27">
        <v>0</v>
      </c>
      <c r="AV36" s="27">
        <v>0</v>
      </c>
      <c r="AW36" s="27">
        <v>0</v>
      </c>
      <c r="AX36" s="27">
        <v>0</v>
      </c>
      <c r="AY36" s="27">
        <v>0</v>
      </c>
      <c r="AZ36" s="27">
        <v>0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0</v>
      </c>
      <c r="BN36" s="27">
        <v>0</v>
      </c>
      <c r="BO36" s="27">
        <v>0</v>
      </c>
      <c r="BP36" s="27">
        <v>0.64800000000000002</v>
      </c>
      <c r="BQ36" s="27">
        <v>0</v>
      </c>
      <c r="BR36" s="27">
        <v>0</v>
      </c>
      <c r="BS36" s="27">
        <v>0</v>
      </c>
      <c r="BT36" s="27">
        <v>0</v>
      </c>
      <c r="BU36" s="27">
        <v>0</v>
      </c>
      <c r="BV36" s="27">
        <v>0</v>
      </c>
      <c r="BW36" s="27">
        <v>0</v>
      </c>
      <c r="BX36" s="27">
        <v>0</v>
      </c>
      <c r="BY36" s="27">
        <v>0</v>
      </c>
      <c r="BZ36" s="27">
        <v>0</v>
      </c>
      <c r="CA36" s="27">
        <v>0</v>
      </c>
      <c r="CB36" s="27">
        <v>1.7012987012987011E-2</v>
      </c>
      <c r="CC36" s="33">
        <v>1.31</v>
      </c>
    </row>
    <row r="37" spans="1:81" x14ac:dyDescent="0.25">
      <c r="A37" s="23">
        <v>36</v>
      </c>
      <c r="B37" s="25">
        <v>17.5</v>
      </c>
      <c r="C37" s="27">
        <v>0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  <c r="V37" s="27">
        <v>0.19</v>
      </c>
      <c r="W37" s="27">
        <v>0</v>
      </c>
      <c r="X37" s="27">
        <v>0</v>
      </c>
      <c r="Y37" s="27">
        <v>0</v>
      </c>
      <c r="Z37" s="27">
        <v>0</v>
      </c>
      <c r="AA37" s="27">
        <v>0</v>
      </c>
      <c r="AB37" s="27">
        <v>0</v>
      </c>
      <c r="AC37" s="27">
        <v>0</v>
      </c>
      <c r="AD37" s="27">
        <v>0</v>
      </c>
      <c r="AE37" s="27">
        <v>0.219</v>
      </c>
      <c r="AF37" s="27">
        <v>0</v>
      </c>
      <c r="AG37" s="27">
        <v>0</v>
      </c>
      <c r="AH37" s="27">
        <v>0</v>
      </c>
      <c r="AI37" s="27">
        <v>0</v>
      </c>
      <c r="AJ37" s="27">
        <v>0</v>
      </c>
      <c r="AK37" s="27">
        <v>0</v>
      </c>
      <c r="AL37" s="27">
        <v>0</v>
      </c>
      <c r="AM37" s="27">
        <v>0</v>
      </c>
      <c r="AN37" s="27">
        <v>0</v>
      </c>
      <c r="AO37" s="27">
        <v>0</v>
      </c>
      <c r="AP37" s="27">
        <v>0</v>
      </c>
      <c r="AQ37" s="27">
        <v>0</v>
      </c>
      <c r="AR37" s="27">
        <v>0</v>
      </c>
      <c r="AS37" s="27">
        <v>0</v>
      </c>
      <c r="AT37" s="27">
        <v>0</v>
      </c>
      <c r="AU37" s="27">
        <v>0</v>
      </c>
      <c r="AV37" s="27">
        <v>0</v>
      </c>
      <c r="AW37" s="27">
        <v>0</v>
      </c>
      <c r="AX37" s="27">
        <v>0</v>
      </c>
      <c r="AY37" s="27">
        <v>0</v>
      </c>
      <c r="AZ37" s="27">
        <v>0</v>
      </c>
      <c r="BA37" s="27">
        <v>0</v>
      </c>
      <c r="BB37" s="27">
        <v>1.103</v>
      </c>
      <c r="BC37" s="27">
        <v>0</v>
      </c>
      <c r="BD37" s="27">
        <v>0</v>
      </c>
      <c r="BE37" s="27">
        <v>0</v>
      </c>
      <c r="BF37" s="27">
        <v>0</v>
      </c>
      <c r="BG37" s="27">
        <v>0</v>
      </c>
      <c r="BH37" s="27">
        <v>0</v>
      </c>
      <c r="BI37" s="27">
        <v>0</v>
      </c>
      <c r="BJ37" s="27">
        <v>0</v>
      </c>
      <c r="BK37" s="27">
        <v>0.16600000000000001</v>
      </c>
      <c r="BL37" s="27">
        <v>0</v>
      </c>
      <c r="BM37" s="27">
        <v>0</v>
      </c>
      <c r="BN37" s="27">
        <v>0</v>
      </c>
      <c r="BO37" s="27">
        <v>0</v>
      </c>
      <c r="BP37" s="27">
        <v>0</v>
      </c>
      <c r="BQ37" s="27">
        <v>0</v>
      </c>
      <c r="BR37" s="27">
        <v>0</v>
      </c>
      <c r="BS37" s="27">
        <v>0</v>
      </c>
      <c r="BT37" s="27">
        <v>0</v>
      </c>
      <c r="BU37" s="27">
        <v>0</v>
      </c>
      <c r="BV37" s="27">
        <v>0</v>
      </c>
      <c r="BW37" s="27">
        <v>0</v>
      </c>
      <c r="BX37" s="27">
        <v>0</v>
      </c>
      <c r="BY37" s="27">
        <v>0</v>
      </c>
      <c r="BZ37" s="27">
        <v>0</v>
      </c>
      <c r="CA37" s="27">
        <v>0</v>
      </c>
      <c r="CB37" s="27">
        <v>2.179220779220779E-2</v>
      </c>
      <c r="CC37" s="33">
        <v>1.6779999999999999</v>
      </c>
    </row>
    <row r="38" spans="1:81" x14ac:dyDescent="0.25">
      <c r="A38" s="23">
        <v>37</v>
      </c>
      <c r="B38" s="25">
        <v>18</v>
      </c>
      <c r="C38" s="27">
        <v>0</v>
      </c>
      <c r="D38" s="27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8.6000000000000007E-2</v>
      </c>
      <c r="O38" s="27">
        <v>0</v>
      </c>
      <c r="P38" s="27">
        <v>0</v>
      </c>
      <c r="Q38" s="27">
        <v>0</v>
      </c>
      <c r="R38" s="27">
        <v>1.4E-2</v>
      </c>
      <c r="S38" s="27">
        <v>0</v>
      </c>
      <c r="T38" s="27">
        <v>0</v>
      </c>
      <c r="U38" s="27">
        <v>0</v>
      </c>
      <c r="V38" s="27">
        <v>0</v>
      </c>
      <c r="W38" s="27">
        <v>0</v>
      </c>
      <c r="X38" s="27">
        <v>0</v>
      </c>
      <c r="Y38" s="27">
        <v>0</v>
      </c>
      <c r="Z38" s="27">
        <v>0</v>
      </c>
      <c r="AA38" s="27">
        <v>0</v>
      </c>
      <c r="AB38" s="27">
        <v>0</v>
      </c>
      <c r="AC38" s="27">
        <v>0</v>
      </c>
      <c r="AD38" s="27">
        <v>0</v>
      </c>
      <c r="AE38" s="27">
        <v>0</v>
      </c>
      <c r="AF38" s="27">
        <v>0</v>
      </c>
      <c r="AG38" s="27">
        <v>0</v>
      </c>
      <c r="AH38" s="27">
        <v>0</v>
      </c>
      <c r="AI38" s="27">
        <v>0</v>
      </c>
      <c r="AJ38" s="27">
        <v>0</v>
      </c>
      <c r="AK38" s="27">
        <v>0</v>
      </c>
      <c r="AL38" s="27">
        <v>0.155</v>
      </c>
      <c r="AM38" s="27">
        <v>0</v>
      </c>
      <c r="AN38" s="27">
        <v>0</v>
      </c>
      <c r="AO38" s="27">
        <v>0</v>
      </c>
      <c r="AP38" s="27">
        <v>0</v>
      </c>
      <c r="AQ38" s="27">
        <v>0</v>
      </c>
      <c r="AR38" s="27">
        <v>0</v>
      </c>
      <c r="AS38" s="27">
        <v>0</v>
      </c>
      <c r="AT38" s="27">
        <v>0</v>
      </c>
      <c r="AU38" s="27">
        <v>0</v>
      </c>
      <c r="AV38" s="27">
        <v>0</v>
      </c>
      <c r="AW38" s="27">
        <v>0</v>
      </c>
      <c r="AX38" s="27">
        <v>0</v>
      </c>
      <c r="AY38" s="27">
        <v>0</v>
      </c>
      <c r="AZ38" s="27">
        <v>0.13</v>
      </c>
      <c r="BA38" s="27">
        <v>0</v>
      </c>
      <c r="BB38" s="27">
        <v>0</v>
      </c>
      <c r="BC38" s="27">
        <v>0</v>
      </c>
      <c r="BD38" s="27">
        <v>0</v>
      </c>
      <c r="BE38" s="27">
        <v>0</v>
      </c>
      <c r="BF38" s="27">
        <v>0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0</v>
      </c>
      <c r="BN38" s="27">
        <v>0</v>
      </c>
      <c r="BO38" s="27">
        <v>0</v>
      </c>
      <c r="BP38" s="27">
        <v>0</v>
      </c>
      <c r="BQ38" s="27">
        <v>0</v>
      </c>
      <c r="BR38" s="27">
        <v>0</v>
      </c>
      <c r="BS38" s="27">
        <v>0</v>
      </c>
      <c r="BT38" s="27">
        <v>0</v>
      </c>
      <c r="BU38" s="27">
        <v>0</v>
      </c>
      <c r="BV38" s="27">
        <v>0.247</v>
      </c>
      <c r="BW38" s="27">
        <v>0</v>
      </c>
      <c r="BX38" s="27">
        <v>0</v>
      </c>
      <c r="BY38" s="27">
        <v>0</v>
      </c>
      <c r="BZ38" s="27">
        <v>0</v>
      </c>
      <c r="CA38" s="27">
        <v>0</v>
      </c>
      <c r="CB38" s="27">
        <v>8.2077922077922073E-3</v>
      </c>
      <c r="CC38" s="33">
        <v>0.63200000000000001</v>
      </c>
    </row>
    <row r="39" spans="1:81" x14ac:dyDescent="0.25">
      <c r="A39" s="23">
        <v>38</v>
      </c>
      <c r="B39" s="25">
        <v>18.5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0.03</v>
      </c>
      <c r="R39" s="27">
        <v>0</v>
      </c>
      <c r="S39" s="27">
        <v>0</v>
      </c>
      <c r="T39" s="27">
        <v>0</v>
      </c>
      <c r="U39" s="27">
        <v>0</v>
      </c>
      <c r="V39" s="27">
        <v>0</v>
      </c>
      <c r="W39" s="27">
        <v>0</v>
      </c>
      <c r="X39" s="27">
        <v>4.2000000000000003E-2</v>
      </c>
      <c r="Y39" s="27">
        <v>0</v>
      </c>
      <c r="Z39" s="27">
        <v>0</v>
      </c>
      <c r="AA39" s="27">
        <v>0</v>
      </c>
      <c r="AB39" s="27">
        <v>0</v>
      </c>
      <c r="AC39" s="27">
        <v>0</v>
      </c>
      <c r="AD39" s="27">
        <v>0</v>
      </c>
      <c r="AE39" s="27">
        <v>0</v>
      </c>
      <c r="AF39" s="27">
        <v>0</v>
      </c>
      <c r="AG39" s="27">
        <v>0</v>
      </c>
      <c r="AH39" s="27">
        <v>0</v>
      </c>
      <c r="AI39" s="27">
        <v>0</v>
      </c>
      <c r="AJ39" s="27">
        <v>0</v>
      </c>
      <c r="AK39" s="27">
        <v>0</v>
      </c>
      <c r="AL39" s="27">
        <v>0.28399999999999997</v>
      </c>
      <c r="AM39" s="27">
        <v>0</v>
      </c>
      <c r="AN39" s="27">
        <v>0</v>
      </c>
      <c r="AO39" s="27">
        <v>0</v>
      </c>
      <c r="AP39" s="27">
        <v>0</v>
      </c>
      <c r="AQ39" s="27">
        <v>0</v>
      </c>
      <c r="AR39" s="27">
        <v>0</v>
      </c>
      <c r="AS39" s="27">
        <v>0</v>
      </c>
      <c r="AT39" s="27">
        <v>0</v>
      </c>
      <c r="AU39" s="27">
        <v>0</v>
      </c>
      <c r="AV39" s="27">
        <v>0</v>
      </c>
      <c r="AW39" s="27">
        <v>0</v>
      </c>
      <c r="AX39" s="27">
        <v>0</v>
      </c>
      <c r="AY39" s="27">
        <v>0</v>
      </c>
      <c r="AZ39" s="27">
        <v>3.1E-2</v>
      </c>
      <c r="BA39" s="27">
        <v>0</v>
      </c>
      <c r="BB39" s="27">
        <v>0.33500000000000002</v>
      </c>
      <c r="BC39" s="27">
        <v>0</v>
      </c>
      <c r="BD39" s="27">
        <v>0</v>
      </c>
      <c r="BE39" s="27">
        <v>0</v>
      </c>
      <c r="BF39" s="27">
        <v>0</v>
      </c>
      <c r="BG39" s="27">
        <v>0</v>
      </c>
      <c r="BH39" s="27">
        <v>0</v>
      </c>
      <c r="BI39" s="27">
        <v>0</v>
      </c>
      <c r="BJ39" s="27">
        <v>0</v>
      </c>
      <c r="BK39" s="27">
        <v>0.109</v>
      </c>
      <c r="BL39" s="27">
        <v>0</v>
      </c>
      <c r="BM39" s="27">
        <v>0</v>
      </c>
      <c r="BN39" s="27">
        <v>0</v>
      </c>
      <c r="BO39" s="27">
        <v>0</v>
      </c>
      <c r="BP39" s="27">
        <v>0</v>
      </c>
      <c r="BQ39" s="27">
        <v>0</v>
      </c>
      <c r="BR39" s="27">
        <v>0</v>
      </c>
      <c r="BS39" s="27">
        <v>0</v>
      </c>
      <c r="BT39" s="27">
        <v>0</v>
      </c>
      <c r="BU39" s="27">
        <v>0</v>
      </c>
      <c r="BV39" s="27">
        <v>0</v>
      </c>
      <c r="BW39" s="27">
        <v>0</v>
      </c>
      <c r="BX39" s="27">
        <v>0</v>
      </c>
      <c r="BY39" s="27">
        <v>0</v>
      </c>
      <c r="BZ39" s="27">
        <v>0</v>
      </c>
      <c r="CA39" s="27">
        <v>0</v>
      </c>
      <c r="CB39" s="27">
        <v>1.0792207792207791E-2</v>
      </c>
      <c r="CC39" s="33">
        <v>0.83099999999999996</v>
      </c>
    </row>
    <row r="40" spans="1:81" x14ac:dyDescent="0.25">
      <c r="A40" s="23">
        <v>39</v>
      </c>
      <c r="B40" s="25">
        <v>19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3.7999999999999999E-2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  <c r="V40" s="27">
        <v>0.11</v>
      </c>
      <c r="W40" s="27">
        <v>0</v>
      </c>
      <c r="X40" s="27">
        <v>0.106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0</v>
      </c>
      <c r="AI40" s="27">
        <v>0</v>
      </c>
      <c r="AJ40" s="27">
        <v>0</v>
      </c>
      <c r="AK40" s="27">
        <v>0</v>
      </c>
      <c r="AL40" s="27">
        <v>0</v>
      </c>
      <c r="AM40" s="27">
        <v>0</v>
      </c>
      <c r="AN40" s="27">
        <v>0</v>
      </c>
      <c r="AO40" s="27">
        <v>0</v>
      </c>
      <c r="AP40" s="27">
        <v>0</v>
      </c>
      <c r="AQ40" s="27">
        <v>0</v>
      </c>
      <c r="AR40" s="27">
        <v>0</v>
      </c>
      <c r="AS40" s="27">
        <v>0</v>
      </c>
      <c r="AT40" s="27">
        <v>0</v>
      </c>
      <c r="AU40" s="27">
        <v>7.6999999999999999E-2</v>
      </c>
      <c r="AV40" s="27">
        <v>0</v>
      </c>
      <c r="AW40" s="27">
        <v>0</v>
      </c>
      <c r="AX40" s="27">
        <v>0</v>
      </c>
      <c r="AY40" s="27">
        <v>2.1000000000000001E-2</v>
      </c>
      <c r="AZ40" s="27">
        <v>7.1000000000000008E-2</v>
      </c>
      <c r="BA40" s="27">
        <v>0</v>
      </c>
      <c r="BB40" s="27">
        <v>0.19</v>
      </c>
      <c r="BC40" s="27">
        <v>0</v>
      </c>
      <c r="BD40" s="27">
        <v>0</v>
      </c>
      <c r="BE40" s="27">
        <v>0</v>
      </c>
      <c r="BF40" s="27">
        <v>0</v>
      </c>
      <c r="BG40" s="27">
        <v>0</v>
      </c>
      <c r="BH40" s="27">
        <v>0</v>
      </c>
      <c r="BI40" s="27">
        <v>0</v>
      </c>
      <c r="BJ40" s="27">
        <v>0</v>
      </c>
      <c r="BK40" s="27">
        <v>0</v>
      </c>
      <c r="BL40" s="27">
        <v>0</v>
      </c>
      <c r="BM40" s="27">
        <v>0</v>
      </c>
      <c r="BN40" s="27">
        <v>0</v>
      </c>
      <c r="BO40" s="27">
        <v>0</v>
      </c>
      <c r="BP40" s="27">
        <v>0</v>
      </c>
      <c r="BQ40" s="27">
        <v>0</v>
      </c>
      <c r="BR40" s="27">
        <v>0</v>
      </c>
      <c r="BS40" s="27">
        <v>0</v>
      </c>
      <c r="BT40" s="27">
        <v>0</v>
      </c>
      <c r="BU40" s="27">
        <v>0</v>
      </c>
      <c r="BV40" s="27">
        <v>0</v>
      </c>
      <c r="BW40" s="27">
        <v>0</v>
      </c>
      <c r="BX40" s="27">
        <v>0</v>
      </c>
      <c r="BY40" s="27">
        <v>0</v>
      </c>
      <c r="BZ40" s="27">
        <v>0</v>
      </c>
      <c r="CA40" s="27">
        <v>0</v>
      </c>
      <c r="CB40" s="27">
        <v>7.9610389610389604E-3</v>
      </c>
      <c r="CC40" s="33">
        <v>0.61299999999999999</v>
      </c>
    </row>
    <row r="41" spans="1:81" x14ac:dyDescent="0.25">
      <c r="A41" s="23">
        <v>40</v>
      </c>
      <c r="B41" s="25">
        <v>19.5</v>
      </c>
      <c r="C41" s="27">
        <v>0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1.6E-2</v>
      </c>
      <c r="K41" s="27">
        <v>0</v>
      </c>
      <c r="L41" s="27">
        <v>0</v>
      </c>
      <c r="M41" s="27">
        <v>0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  <c r="V41" s="27">
        <v>0</v>
      </c>
      <c r="W41" s="27">
        <v>0</v>
      </c>
      <c r="X41" s="27">
        <v>0</v>
      </c>
      <c r="Y41" s="27">
        <v>0</v>
      </c>
      <c r="Z41" s="27">
        <v>0</v>
      </c>
      <c r="AA41" s="27">
        <v>0</v>
      </c>
      <c r="AB41" s="27">
        <v>0</v>
      </c>
      <c r="AC41" s="27">
        <v>0</v>
      </c>
      <c r="AD41" s="27">
        <v>0</v>
      </c>
      <c r="AE41" s="27">
        <v>0</v>
      </c>
      <c r="AF41" s="27">
        <v>0</v>
      </c>
      <c r="AG41" s="27">
        <v>0</v>
      </c>
      <c r="AH41" s="27">
        <v>0</v>
      </c>
      <c r="AI41" s="27">
        <v>0</v>
      </c>
      <c r="AJ41" s="27">
        <v>0</v>
      </c>
      <c r="AK41" s="27">
        <v>0</v>
      </c>
      <c r="AL41" s="27">
        <v>5.0000000000000001E-3</v>
      </c>
      <c r="AM41" s="27">
        <v>0</v>
      </c>
      <c r="AN41" s="27">
        <v>0</v>
      </c>
      <c r="AO41" s="27">
        <v>0</v>
      </c>
      <c r="AP41" s="27">
        <v>0</v>
      </c>
      <c r="AQ41" s="27">
        <v>0</v>
      </c>
      <c r="AR41" s="27">
        <v>0</v>
      </c>
      <c r="AS41" s="27">
        <v>0</v>
      </c>
      <c r="AT41" s="27">
        <v>0</v>
      </c>
      <c r="AU41" s="27">
        <v>0</v>
      </c>
      <c r="AV41" s="27">
        <v>0</v>
      </c>
      <c r="AW41" s="27">
        <v>0</v>
      </c>
      <c r="AX41" s="27">
        <v>0</v>
      </c>
      <c r="AY41" s="27">
        <v>0</v>
      </c>
      <c r="AZ41" s="27">
        <v>0</v>
      </c>
      <c r="BA41" s="27">
        <v>0</v>
      </c>
      <c r="BB41" s="27">
        <v>0</v>
      </c>
      <c r="BC41" s="27">
        <v>0</v>
      </c>
      <c r="BD41" s="27">
        <v>0</v>
      </c>
      <c r="BE41" s="27">
        <v>0</v>
      </c>
      <c r="BF41" s="27">
        <v>0</v>
      </c>
      <c r="BG41" s="27">
        <v>0</v>
      </c>
      <c r="BH41" s="27">
        <v>0</v>
      </c>
      <c r="BI41" s="27">
        <v>0</v>
      </c>
      <c r="BJ41" s="27">
        <v>0</v>
      </c>
      <c r="BK41" s="27">
        <v>0</v>
      </c>
      <c r="BL41" s="27">
        <v>0</v>
      </c>
      <c r="BM41" s="27">
        <v>0</v>
      </c>
      <c r="BN41" s="27">
        <v>0</v>
      </c>
      <c r="BO41" s="27">
        <v>0</v>
      </c>
      <c r="BP41" s="27">
        <v>0</v>
      </c>
      <c r="BQ41" s="27">
        <v>0</v>
      </c>
      <c r="BR41" s="27">
        <v>0</v>
      </c>
      <c r="BS41" s="27">
        <v>0</v>
      </c>
      <c r="BT41" s="27">
        <v>0</v>
      </c>
      <c r="BU41" s="27">
        <v>0</v>
      </c>
      <c r="BV41" s="27">
        <v>0</v>
      </c>
      <c r="BW41" s="27">
        <v>0</v>
      </c>
      <c r="BX41" s="27">
        <v>0</v>
      </c>
      <c r="BY41" s="27">
        <v>0</v>
      </c>
      <c r="BZ41" s="27">
        <v>0</v>
      </c>
      <c r="CA41" s="27">
        <v>0</v>
      </c>
      <c r="CB41" s="27">
        <v>2.7272727272727268E-4</v>
      </c>
      <c r="CC41" s="33">
        <v>2.1000000000000001E-2</v>
      </c>
    </row>
    <row r="42" spans="1:81" x14ac:dyDescent="0.25">
      <c r="A42" s="23">
        <v>41</v>
      </c>
      <c r="B42" s="25">
        <v>20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  <c r="V42" s="27">
        <v>0</v>
      </c>
      <c r="W42" s="27">
        <v>0</v>
      </c>
      <c r="X42" s="27">
        <v>0</v>
      </c>
      <c r="Y42" s="27">
        <v>0</v>
      </c>
      <c r="Z42" s="27">
        <v>0</v>
      </c>
      <c r="AA42" s="27">
        <v>0</v>
      </c>
      <c r="AB42" s="27">
        <v>0</v>
      </c>
      <c r="AC42" s="27">
        <v>0</v>
      </c>
      <c r="AD42" s="27">
        <v>0</v>
      </c>
      <c r="AE42" s="27">
        <v>0</v>
      </c>
      <c r="AF42" s="27">
        <v>0</v>
      </c>
      <c r="AG42" s="27">
        <v>0</v>
      </c>
      <c r="AH42" s="27">
        <v>0</v>
      </c>
      <c r="AI42" s="27">
        <v>0</v>
      </c>
      <c r="AJ42" s="27">
        <v>0</v>
      </c>
      <c r="AK42" s="27">
        <v>0</v>
      </c>
      <c r="AL42" s="27">
        <v>0</v>
      </c>
      <c r="AM42" s="27">
        <v>0</v>
      </c>
      <c r="AN42" s="27">
        <v>0</v>
      </c>
      <c r="AO42" s="27">
        <v>0</v>
      </c>
      <c r="AP42" s="27">
        <v>0</v>
      </c>
      <c r="AQ42" s="27">
        <v>0</v>
      </c>
      <c r="AR42" s="27">
        <v>0</v>
      </c>
      <c r="AS42" s="27">
        <v>0</v>
      </c>
      <c r="AT42" s="27">
        <v>0</v>
      </c>
      <c r="AU42" s="27">
        <v>0</v>
      </c>
      <c r="AV42" s="27">
        <v>0</v>
      </c>
      <c r="AW42" s="27">
        <v>0</v>
      </c>
      <c r="AX42" s="27">
        <v>0</v>
      </c>
      <c r="AY42" s="27">
        <v>0</v>
      </c>
      <c r="AZ42" s="27">
        <v>0</v>
      </c>
      <c r="BA42" s="27">
        <v>0</v>
      </c>
      <c r="BB42" s="27">
        <v>0</v>
      </c>
      <c r="BC42" s="27">
        <v>0</v>
      </c>
      <c r="BD42" s="27">
        <v>0</v>
      </c>
      <c r="BE42" s="27">
        <v>0</v>
      </c>
      <c r="BF42" s="27">
        <v>0</v>
      </c>
      <c r="BG42" s="27">
        <v>0</v>
      </c>
      <c r="BH42" s="27">
        <v>0</v>
      </c>
      <c r="BI42" s="27">
        <v>0</v>
      </c>
      <c r="BJ42" s="27">
        <v>0</v>
      </c>
      <c r="BK42" s="27">
        <v>0</v>
      </c>
      <c r="BL42" s="27">
        <v>0</v>
      </c>
      <c r="BM42" s="27">
        <v>0</v>
      </c>
      <c r="BN42" s="27">
        <v>0</v>
      </c>
      <c r="BO42" s="27">
        <v>0</v>
      </c>
      <c r="BP42" s="27">
        <v>0</v>
      </c>
      <c r="BQ42" s="27">
        <v>0</v>
      </c>
      <c r="BR42" s="27">
        <v>0</v>
      </c>
      <c r="BS42" s="27">
        <v>0</v>
      </c>
      <c r="BT42" s="27">
        <v>0</v>
      </c>
      <c r="BU42" s="27">
        <v>0</v>
      </c>
      <c r="BV42" s="27">
        <v>0</v>
      </c>
      <c r="BW42" s="27">
        <v>0</v>
      </c>
      <c r="BX42" s="27">
        <v>0</v>
      </c>
      <c r="BY42" s="27">
        <v>0</v>
      </c>
      <c r="BZ42" s="27">
        <v>0</v>
      </c>
      <c r="CA42" s="27">
        <v>0</v>
      </c>
      <c r="CB42" s="27">
        <v>0</v>
      </c>
      <c r="CC42" s="33">
        <v>0</v>
      </c>
    </row>
    <row r="43" spans="1:81" x14ac:dyDescent="0.25">
      <c r="A43" s="23">
        <v>42</v>
      </c>
      <c r="B43" s="25">
        <v>20.5</v>
      </c>
      <c r="C43" s="27">
        <v>0</v>
      </c>
      <c r="D43" s="27">
        <v>0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  <c r="V43" s="27">
        <v>0</v>
      </c>
      <c r="W43" s="27">
        <v>0</v>
      </c>
      <c r="X43" s="27">
        <v>0</v>
      </c>
      <c r="Y43" s="27">
        <v>0</v>
      </c>
      <c r="Z43" s="27">
        <v>0</v>
      </c>
      <c r="AA43" s="27">
        <v>0</v>
      </c>
      <c r="AB43" s="27">
        <v>0</v>
      </c>
      <c r="AC43" s="27">
        <v>0</v>
      </c>
      <c r="AD43" s="27">
        <v>0</v>
      </c>
      <c r="AE43" s="27">
        <v>0</v>
      </c>
      <c r="AF43" s="27">
        <v>0</v>
      </c>
      <c r="AG43" s="27">
        <v>0</v>
      </c>
      <c r="AH43" s="27">
        <v>0</v>
      </c>
      <c r="AI43" s="27">
        <v>0</v>
      </c>
      <c r="AJ43" s="27">
        <v>0</v>
      </c>
      <c r="AK43" s="27">
        <v>0</v>
      </c>
      <c r="AL43" s="27">
        <v>0</v>
      </c>
      <c r="AM43" s="27">
        <v>0</v>
      </c>
      <c r="AN43" s="27">
        <v>0</v>
      </c>
      <c r="AO43" s="27">
        <v>0</v>
      </c>
      <c r="AP43" s="27">
        <v>0</v>
      </c>
      <c r="AQ43" s="27">
        <v>0</v>
      </c>
      <c r="AR43" s="27">
        <v>0</v>
      </c>
      <c r="AS43" s="27">
        <v>0</v>
      </c>
      <c r="AT43" s="27">
        <v>0</v>
      </c>
      <c r="AU43" s="27">
        <v>0</v>
      </c>
      <c r="AV43" s="27">
        <v>0</v>
      </c>
      <c r="AW43" s="27">
        <v>0</v>
      </c>
      <c r="AX43" s="27">
        <v>0</v>
      </c>
      <c r="AY43" s="27">
        <v>0</v>
      </c>
      <c r="AZ43" s="27">
        <v>0</v>
      </c>
      <c r="BA43" s="27">
        <v>0</v>
      </c>
      <c r="BB43" s="27">
        <v>0</v>
      </c>
      <c r="BC43" s="27">
        <v>0</v>
      </c>
      <c r="BD43" s="27">
        <v>0</v>
      </c>
      <c r="BE43" s="27">
        <v>0</v>
      </c>
      <c r="BF43" s="27">
        <v>0</v>
      </c>
      <c r="BG43" s="27">
        <v>0</v>
      </c>
      <c r="BH43" s="27">
        <v>0</v>
      </c>
      <c r="BI43" s="27">
        <v>0</v>
      </c>
      <c r="BJ43" s="27">
        <v>0</v>
      </c>
      <c r="BK43" s="27">
        <v>0</v>
      </c>
      <c r="BL43" s="27">
        <v>0</v>
      </c>
      <c r="BM43" s="27">
        <v>0</v>
      </c>
      <c r="BN43" s="27">
        <v>0</v>
      </c>
      <c r="BO43" s="27">
        <v>0</v>
      </c>
      <c r="BP43" s="27">
        <v>0</v>
      </c>
      <c r="BQ43" s="27">
        <v>0</v>
      </c>
      <c r="BR43" s="27">
        <v>0</v>
      </c>
      <c r="BS43" s="27">
        <v>0</v>
      </c>
      <c r="BT43" s="27">
        <v>0</v>
      </c>
      <c r="BU43" s="27">
        <v>0</v>
      </c>
      <c r="BV43" s="27">
        <v>0</v>
      </c>
      <c r="BW43" s="27">
        <v>0</v>
      </c>
      <c r="BX43" s="27">
        <v>0</v>
      </c>
      <c r="BY43" s="27">
        <v>0</v>
      </c>
      <c r="BZ43" s="27">
        <v>0</v>
      </c>
      <c r="CA43" s="27">
        <v>0</v>
      </c>
      <c r="CB43" s="27">
        <v>0</v>
      </c>
      <c r="CC43" s="33">
        <v>0</v>
      </c>
    </row>
    <row r="44" spans="1:81" x14ac:dyDescent="0.25">
      <c r="A44" s="23">
        <v>43</v>
      </c>
      <c r="B44" s="25">
        <v>21</v>
      </c>
      <c r="C44" s="27">
        <v>0</v>
      </c>
      <c r="D44" s="27">
        <v>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  <c r="W44" s="27">
        <v>0</v>
      </c>
      <c r="X44" s="27">
        <v>0</v>
      </c>
      <c r="Y44" s="27">
        <v>0</v>
      </c>
      <c r="Z44" s="27">
        <v>0</v>
      </c>
      <c r="AA44" s="27">
        <v>0</v>
      </c>
      <c r="AB44" s="27">
        <v>0</v>
      </c>
      <c r="AC44" s="27">
        <v>0</v>
      </c>
      <c r="AD44" s="27">
        <v>0</v>
      </c>
      <c r="AE44" s="27">
        <v>0</v>
      </c>
      <c r="AF44" s="27">
        <v>0</v>
      </c>
      <c r="AG44" s="27">
        <v>0</v>
      </c>
      <c r="AH44" s="27">
        <v>0</v>
      </c>
      <c r="AI44" s="27">
        <v>0</v>
      </c>
      <c r="AJ44" s="27">
        <v>0</v>
      </c>
      <c r="AK44" s="27">
        <v>0</v>
      </c>
      <c r="AL44" s="27">
        <v>0</v>
      </c>
      <c r="AM44" s="27">
        <v>0</v>
      </c>
      <c r="AN44" s="27">
        <v>0</v>
      </c>
      <c r="AO44" s="27">
        <v>0</v>
      </c>
      <c r="AP44" s="27">
        <v>0</v>
      </c>
      <c r="AQ44" s="27">
        <v>0</v>
      </c>
      <c r="AR44" s="27">
        <v>0</v>
      </c>
      <c r="AS44" s="27">
        <v>0</v>
      </c>
      <c r="AT44" s="27">
        <v>0</v>
      </c>
      <c r="AU44" s="27">
        <v>0</v>
      </c>
      <c r="AV44" s="27">
        <v>0</v>
      </c>
      <c r="AW44" s="27">
        <v>0</v>
      </c>
      <c r="AX44" s="27">
        <v>0</v>
      </c>
      <c r="AY44" s="27">
        <v>0</v>
      </c>
      <c r="AZ44" s="27">
        <v>0</v>
      </c>
      <c r="BA44" s="27">
        <v>0</v>
      </c>
      <c r="BB44" s="27">
        <v>0</v>
      </c>
      <c r="BC44" s="27">
        <v>0</v>
      </c>
      <c r="BD44" s="27">
        <v>0</v>
      </c>
      <c r="BE44" s="27">
        <v>0</v>
      </c>
      <c r="BF44" s="27">
        <v>0</v>
      </c>
      <c r="BG44" s="27">
        <v>0</v>
      </c>
      <c r="BH44" s="27">
        <v>0</v>
      </c>
      <c r="BI44" s="27">
        <v>0</v>
      </c>
      <c r="BJ44" s="27">
        <v>0</v>
      </c>
      <c r="BK44" s="27">
        <v>0</v>
      </c>
      <c r="BL44" s="27">
        <v>0</v>
      </c>
      <c r="BM44" s="27">
        <v>0</v>
      </c>
      <c r="BN44" s="27">
        <v>0</v>
      </c>
      <c r="BO44" s="27">
        <v>0</v>
      </c>
      <c r="BP44" s="27">
        <v>0</v>
      </c>
      <c r="BQ44" s="27">
        <v>0</v>
      </c>
      <c r="BR44" s="27">
        <v>0</v>
      </c>
      <c r="BS44" s="27">
        <v>0</v>
      </c>
      <c r="BT44" s="27">
        <v>0</v>
      </c>
      <c r="BU44" s="27">
        <v>0</v>
      </c>
      <c r="BV44" s="27">
        <v>0</v>
      </c>
      <c r="BW44" s="27">
        <v>0</v>
      </c>
      <c r="BX44" s="27">
        <v>0</v>
      </c>
      <c r="BY44" s="27">
        <v>0</v>
      </c>
      <c r="BZ44" s="27">
        <v>0</v>
      </c>
      <c r="CA44" s="27">
        <v>0</v>
      </c>
      <c r="CB44" s="27">
        <v>0</v>
      </c>
      <c r="CC44" s="33">
        <v>0</v>
      </c>
    </row>
    <row r="45" spans="1:81" x14ac:dyDescent="0.25">
      <c r="A45" s="23">
        <v>44</v>
      </c>
      <c r="B45" s="25">
        <v>21.5</v>
      </c>
      <c r="C45" s="27">
        <v>0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  <c r="W45" s="27">
        <v>0</v>
      </c>
      <c r="X45" s="27">
        <v>0</v>
      </c>
      <c r="Y45" s="27">
        <v>0</v>
      </c>
      <c r="Z45" s="27">
        <v>0</v>
      </c>
      <c r="AA45" s="27">
        <v>0</v>
      </c>
      <c r="AB45" s="27">
        <v>0</v>
      </c>
      <c r="AC45" s="27">
        <v>0</v>
      </c>
      <c r="AD45" s="27">
        <v>0</v>
      </c>
      <c r="AE45" s="27">
        <v>0</v>
      </c>
      <c r="AF45" s="27">
        <v>0</v>
      </c>
      <c r="AG45" s="27">
        <v>0</v>
      </c>
      <c r="AH45" s="27">
        <v>0</v>
      </c>
      <c r="AI45" s="27">
        <v>0</v>
      </c>
      <c r="AJ45" s="27">
        <v>0</v>
      </c>
      <c r="AK45" s="27">
        <v>0</v>
      </c>
      <c r="AL45" s="27">
        <v>0</v>
      </c>
      <c r="AM45" s="27">
        <v>0</v>
      </c>
      <c r="AN45" s="27">
        <v>0</v>
      </c>
      <c r="AO45" s="27">
        <v>0</v>
      </c>
      <c r="AP45" s="27">
        <v>0</v>
      </c>
      <c r="AQ45" s="27">
        <v>0</v>
      </c>
      <c r="AR45" s="27">
        <v>0</v>
      </c>
      <c r="AS45" s="27">
        <v>0</v>
      </c>
      <c r="AT45" s="27">
        <v>0</v>
      </c>
      <c r="AU45" s="27">
        <v>0</v>
      </c>
      <c r="AV45" s="27">
        <v>0</v>
      </c>
      <c r="AW45" s="27">
        <v>0</v>
      </c>
      <c r="AX45" s="27">
        <v>0</v>
      </c>
      <c r="AY45" s="27">
        <v>0</v>
      </c>
      <c r="AZ45" s="27">
        <v>0</v>
      </c>
      <c r="BA45" s="27">
        <v>0</v>
      </c>
      <c r="BB45" s="27">
        <v>0</v>
      </c>
      <c r="BC45" s="27">
        <v>0</v>
      </c>
      <c r="BD45" s="27">
        <v>0</v>
      </c>
      <c r="BE45" s="27">
        <v>0</v>
      </c>
      <c r="BF45" s="27">
        <v>0</v>
      </c>
      <c r="BG45" s="27">
        <v>0</v>
      </c>
      <c r="BH45" s="27">
        <v>0</v>
      </c>
      <c r="BI45" s="27">
        <v>0</v>
      </c>
      <c r="BJ45" s="27">
        <v>0</v>
      </c>
      <c r="BK45" s="27">
        <v>0</v>
      </c>
      <c r="BL45" s="27">
        <v>0</v>
      </c>
      <c r="BM45" s="27">
        <v>0</v>
      </c>
      <c r="BN45" s="27">
        <v>0</v>
      </c>
      <c r="BO45" s="27">
        <v>0</v>
      </c>
      <c r="BP45" s="27">
        <v>0</v>
      </c>
      <c r="BQ45" s="27">
        <v>0</v>
      </c>
      <c r="BR45" s="27">
        <v>0</v>
      </c>
      <c r="BS45" s="27">
        <v>0</v>
      </c>
      <c r="BT45" s="27">
        <v>0</v>
      </c>
      <c r="BU45" s="27">
        <v>0</v>
      </c>
      <c r="BV45" s="27">
        <v>0</v>
      </c>
      <c r="BW45" s="27">
        <v>0</v>
      </c>
      <c r="BX45" s="27">
        <v>0</v>
      </c>
      <c r="BY45" s="27">
        <v>0</v>
      </c>
      <c r="BZ45" s="27">
        <v>0</v>
      </c>
      <c r="CA45" s="27">
        <v>0</v>
      </c>
      <c r="CB45" s="27">
        <v>0</v>
      </c>
      <c r="CC45" s="33">
        <v>0</v>
      </c>
    </row>
    <row r="46" spans="1:81" x14ac:dyDescent="0.25">
      <c r="A46" s="23">
        <v>45</v>
      </c>
      <c r="B46" s="25">
        <v>22</v>
      </c>
      <c r="C46" s="27">
        <v>0</v>
      </c>
      <c r="D46" s="27">
        <v>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  <c r="V46" s="27">
        <v>0</v>
      </c>
      <c r="W46" s="27">
        <v>0</v>
      </c>
      <c r="X46" s="27">
        <v>0</v>
      </c>
      <c r="Y46" s="27">
        <v>0</v>
      </c>
      <c r="Z46" s="27">
        <v>0</v>
      </c>
      <c r="AA46" s="27">
        <v>0</v>
      </c>
      <c r="AB46" s="27">
        <v>0</v>
      </c>
      <c r="AC46" s="27">
        <v>0</v>
      </c>
      <c r="AD46" s="27">
        <v>0</v>
      </c>
      <c r="AE46" s="27">
        <v>0</v>
      </c>
      <c r="AF46" s="27">
        <v>0</v>
      </c>
      <c r="AG46" s="27">
        <v>0</v>
      </c>
      <c r="AH46" s="27">
        <v>0</v>
      </c>
      <c r="AI46" s="27">
        <v>0</v>
      </c>
      <c r="AJ46" s="27">
        <v>0</v>
      </c>
      <c r="AK46" s="27">
        <v>0</v>
      </c>
      <c r="AL46" s="27">
        <v>0</v>
      </c>
      <c r="AM46" s="27">
        <v>0</v>
      </c>
      <c r="AN46" s="27">
        <v>0</v>
      </c>
      <c r="AO46" s="27">
        <v>0</v>
      </c>
      <c r="AP46" s="27">
        <v>0</v>
      </c>
      <c r="AQ46" s="27">
        <v>0</v>
      </c>
      <c r="AR46" s="27">
        <v>0</v>
      </c>
      <c r="AS46" s="27">
        <v>0</v>
      </c>
      <c r="AT46" s="27">
        <v>0</v>
      </c>
      <c r="AU46" s="27">
        <v>0</v>
      </c>
      <c r="AV46" s="27">
        <v>0</v>
      </c>
      <c r="AW46" s="27">
        <v>0</v>
      </c>
      <c r="AX46" s="27">
        <v>0</v>
      </c>
      <c r="AY46" s="27">
        <v>0</v>
      </c>
      <c r="AZ46" s="27">
        <v>0</v>
      </c>
      <c r="BA46" s="27">
        <v>0</v>
      </c>
      <c r="BB46" s="27">
        <v>0</v>
      </c>
      <c r="BC46" s="27">
        <v>0</v>
      </c>
      <c r="BD46" s="27">
        <v>0</v>
      </c>
      <c r="BE46" s="27">
        <v>0</v>
      </c>
      <c r="BF46" s="27">
        <v>0</v>
      </c>
      <c r="BG46" s="27">
        <v>0</v>
      </c>
      <c r="BH46" s="27">
        <v>0</v>
      </c>
      <c r="BI46" s="27">
        <v>0</v>
      </c>
      <c r="BJ46" s="27">
        <v>0</v>
      </c>
      <c r="BK46" s="27">
        <v>0</v>
      </c>
      <c r="BL46" s="27">
        <v>0</v>
      </c>
      <c r="BM46" s="27">
        <v>0</v>
      </c>
      <c r="BN46" s="27">
        <v>0</v>
      </c>
      <c r="BO46" s="27">
        <v>0</v>
      </c>
      <c r="BP46" s="27">
        <v>0</v>
      </c>
      <c r="BQ46" s="27">
        <v>0</v>
      </c>
      <c r="BR46" s="27">
        <v>0</v>
      </c>
      <c r="BS46" s="27">
        <v>0</v>
      </c>
      <c r="BT46" s="27">
        <v>0</v>
      </c>
      <c r="BU46" s="27">
        <v>0</v>
      </c>
      <c r="BV46" s="27">
        <v>0</v>
      </c>
      <c r="BW46" s="27">
        <v>0</v>
      </c>
      <c r="BX46" s="27">
        <v>0</v>
      </c>
      <c r="BY46" s="27">
        <v>0</v>
      </c>
      <c r="BZ46" s="27">
        <v>0</v>
      </c>
      <c r="CA46" s="27">
        <v>0</v>
      </c>
      <c r="CB46" s="27">
        <v>0</v>
      </c>
      <c r="CC46" s="33">
        <v>0</v>
      </c>
    </row>
    <row r="47" spans="1:81" x14ac:dyDescent="0.25">
      <c r="A47" s="23">
        <v>46</v>
      </c>
      <c r="B47" s="25">
        <v>22.5</v>
      </c>
      <c r="C47" s="27">
        <v>0</v>
      </c>
      <c r="D47" s="27">
        <v>0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  <c r="V47" s="27">
        <v>0</v>
      </c>
      <c r="W47" s="27">
        <v>0</v>
      </c>
      <c r="X47" s="27">
        <v>0</v>
      </c>
      <c r="Y47" s="27">
        <v>0</v>
      </c>
      <c r="Z47" s="27">
        <v>0</v>
      </c>
      <c r="AA47" s="27">
        <v>0</v>
      </c>
      <c r="AB47" s="27">
        <v>0</v>
      </c>
      <c r="AC47" s="27">
        <v>0</v>
      </c>
      <c r="AD47" s="27">
        <v>0</v>
      </c>
      <c r="AE47" s="27">
        <v>0</v>
      </c>
      <c r="AF47" s="27">
        <v>0</v>
      </c>
      <c r="AG47" s="27">
        <v>0</v>
      </c>
      <c r="AH47" s="27">
        <v>0</v>
      </c>
      <c r="AI47" s="27">
        <v>0</v>
      </c>
      <c r="AJ47" s="27">
        <v>0</v>
      </c>
      <c r="AK47" s="27">
        <v>0</v>
      </c>
      <c r="AL47" s="27">
        <v>0</v>
      </c>
      <c r="AM47" s="27">
        <v>0</v>
      </c>
      <c r="AN47" s="27">
        <v>0</v>
      </c>
      <c r="AO47" s="27">
        <v>0</v>
      </c>
      <c r="AP47" s="27">
        <v>0</v>
      </c>
      <c r="AQ47" s="27">
        <v>0</v>
      </c>
      <c r="AR47" s="27">
        <v>0</v>
      </c>
      <c r="AS47" s="27">
        <v>0</v>
      </c>
      <c r="AT47" s="27">
        <v>0</v>
      </c>
      <c r="AU47" s="27">
        <v>0</v>
      </c>
      <c r="AV47" s="27">
        <v>0</v>
      </c>
      <c r="AW47" s="27">
        <v>0</v>
      </c>
      <c r="AX47" s="27">
        <v>0</v>
      </c>
      <c r="AY47" s="27">
        <v>0</v>
      </c>
      <c r="AZ47" s="27">
        <v>0</v>
      </c>
      <c r="BA47" s="27">
        <v>0</v>
      </c>
      <c r="BB47" s="27">
        <v>0</v>
      </c>
      <c r="BC47" s="27">
        <v>0</v>
      </c>
      <c r="BD47" s="27">
        <v>0</v>
      </c>
      <c r="BE47" s="27">
        <v>0</v>
      </c>
      <c r="BF47" s="27">
        <v>0</v>
      </c>
      <c r="BG47" s="27">
        <v>0</v>
      </c>
      <c r="BH47" s="27">
        <v>0</v>
      </c>
      <c r="BI47" s="27">
        <v>0</v>
      </c>
      <c r="BJ47" s="27">
        <v>0</v>
      </c>
      <c r="BK47" s="27">
        <v>0</v>
      </c>
      <c r="BL47" s="27">
        <v>0</v>
      </c>
      <c r="BM47" s="27">
        <v>0</v>
      </c>
      <c r="BN47" s="27">
        <v>0</v>
      </c>
      <c r="BO47" s="27">
        <v>0</v>
      </c>
      <c r="BP47" s="27">
        <v>0</v>
      </c>
      <c r="BQ47" s="27">
        <v>0</v>
      </c>
      <c r="BR47" s="27">
        <v>0</v>
      </c>
      <c r="BS47" s="27">
        <v>0</v>
      </c>
      <c r="BT47" s="27">
        <v>0</v>
      </c>
      <c r="BU47" s="27">
        <v>0</v>
      </c>
      <c r="BV47" s="27">
        <v>0</v>
      </c>
      <c r="BW47" s="27">
        <v>0</v>
      </c>
      <c r="BX47" s="27">
        <v>0</v>
      </c>
      <c r="BY47" s="27">
        <v>0</v>
      </c>
      <c r="BZ47" s="27">
        <v>0</v>
      </c>
      <c r="CA47" s="27">
        <v>0</v>
      </c>
      <c r="CB47" s="27">
        <v>0</v>
      </c>
      <c r="CC47" s="33">
        <v>0</v>
      </c>
    </row>
    <row r="48" spans="1:81" x14ac:dyDescent="0.25">
      <c r="A48" s="23">
        <v>47</v>
      </c>
      <c r="B48" s="25">
        <v>23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  <c r="V48" s="27">
        <v>0</v>
      </c>
      <c r="W48" s="27">
        <v>0</v>
      </c>
      <c r="X48" s="27">
        <v>0</v>
      </c>
      <c r="Y48" s="27">
        <v>0</v>
      </c>
      <c r="Z48" s="27">
        <v>0</v>
      </c>
      <c r="AA48" s="27">
        <v>0</v>
      </c>
      <c r="AB48" s="27">
        <v>0</v>
      </c>
      <c r="AC48" s="27">
        <v>0</v>
      </c>
      <c r="AD48" s="27">
        <v>0</v>
      </c>
      <c r="AE48" s="27">
        <v>0</v>
      </c>
      <c r="AF48" s="27">
        <v>0</v>
      </c>
      <c r="AG48" s="27">
        <v>0</v>
      </c>
      <c r="AH48" s="27">
        <v>0</v>
      </c>
      <c r="AI48" s="27">
        <v>0</v>
      </c>
      <c r="AJ48" s="27">
        <v>0</v>
      </c>
      <c r="AK48" s="27">
        <v>0</v>
      </c>
      <c r="AL48" s="27">
        <v>0</v>
      </c>
      <c r="AM48" s="27">
        <v>0</v>
      </c>
      <c r="AN48" s="27">
        <v>0</v>
      </c>
      <c r="AO48" s="27">
        <v>0</v>
      </c>
      <c r="AP48" s="27">
        <v>0</v>
      </c>
      <c r="AQ48" s="27">
        <v>0</v>
      </c>
      <c r="AR48" s="27">
        <v>0</v>
      </c>
      <c r="AS48" s="27">
        <v>0</v>
      </c>
      <c r="AT48" s="27">
        <v>0</v>
      </c>
      <c r="AU48" s="27">
        <v>0</v>
      </c>
      <c r="AV48" s="27">
        <v>0</v>
      </c>
      <c r="AW48" s="27">
        <v>0</v>
      </c>
      <c r="AX48" s="27">
        <v>0</v>
      </c>
      <c r="AY48" s="27">
        <v>0</v>
      </c>
      <c r="AZ48" s="27">
        <v>0</v>
      </c>
      <c r="BA48" s="27">
        <v>0</v>
      </c>
      <c r="BB48" s="27">
        <v>0</v>
      </c>
      <c r="BC48" s="27">
        <v>0</v>
      </c>
      <c r="BD48" s="27">
        <v>0</v>
      </c>
      <c r="BE48" s="27">
        <v>0</v>
      </c>
      <c r="BF48" s="27">
        <v>0</v>
      </c>
      <c r="BG48" s="27">
        <v>0</v>
      </c>
      <c r="BH48" s="27">
        <v>0</v>
      </c>
      <c r="BI48" s="27">
        <v>0</v>
      </c>
      <c r="BJ48" s="27">
        <v>0</v>
      </c>
      <c r="BK48" s="27">
        <v>0</v>
      </c>
      <c r="BL48" s="27">
        <v>0</v>
      </c>
      <c r="BM48" s="27">
        <v>0</v>
      </c>
      <c r="BN48" s="27">
        <v>0</v>
      </c>
      <c r="BO48" s="27">
        <v>0</v>
      </c>
      <c r="BP48" s="27">
        <v>0</v>
      </c>
      <c r="BQ48" s="27">
        <v>0</v>
      </c>
      <c r="BR48" s="27">
        <v>0</v>
      </c>
      <c r="BS48" s="27">
        <v>0</v>
      </c>
      <c r="BT48" s="27">
        <v>0</v>
      </c>
      <c r="BU48" s="27">
        <v>0</v>
      </c>
      <c r="BV48" s="27">
        <v>0</v>
      </c>
      <c r="BW48" s="27">
        <v>0</v>
      </c>
      <c r="BX48" s="27">
        <v>0</v>
      </c>
      <c r="BY48" s="27">
        <v>0</v>
      </c>
      <c r="BZ48" s="27">
        <v>0</v>
      </c>
      <c r="CA48" s="27">
        <v>0</v>
      </c>
      <c r="CB48" s="27">
        <v>0</v>
      </c>
      <c r="CC48" s="33">
        <v>0</v>
      </c>
    </row>
    <row r="49" spans="1:81" x14ac:dyDescent="0.25">
      <c r="A49" s="24">
        <v>48</v>
      </c>
      <c r="B49" s="26">
        <v>23.5</v>
      </c>
      <c r="C49" s="28">
        <v>0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0</v>
      </c>
      <c r="BV49" s="28">
        <v>0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3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C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81" width="15" customWidth="1"/>
  </cols>
  <sheetData>
    <row r="1" spans="1:81" ht="30" customHeight="1" x14ac:dyDescent="0.25">
      <c r="A1" s="8" t="s">
        <v>26</v>
      </c>
      <c r="B1" s="20" t="s">
        <v>27</v>
      </c>
      <c r="C1" s="20" t="s">
        <v>37</v>
      </c>
      <c r="D1" s="20" t="s">
        <v>38</v>
      </c>
      <c r="E1" s="20" t="s">
        <v>39</v>
      </c>
      <c r="F1" s="20" t="s">
        <v>40</v>
      </c>
      <c r="G1" s="20" t="s">
        <v>41</v>
      </c>
      <c r="H1" s="20" t="s">
        <v>42</v>
      </c>
      <c r="I1" s="20" t="s">
        <v>43</v>
      </c>
      <c r="J1" s="20" t="s">
        <v>44</v>
      </c>
      <c r="K1" s="20" t="s">
        <v>45</v>
      </c>
      <c r="L1" s="20" t="s">
        <v>46</v>
      </c>
      <c r="M1" s="20" t="s">
        <v>47</v>
      </c>
      <c r="N1" s="20" t="s">
        <v>48</v>
      </c>
      <c r="O1" s="20" t="s">
        <v>49</v>
      </c>
      <c r="P1" s="20" t="s">
        <v>50</v>
      </c>
      <c r="Q1" s="20" t="s">
        <v>51</v>
      </c>
      <c r="R1" s="20" t="s">
        <v>52</v>
      </c>
      <c r="S1" s="20" t="s">
        <v>53</v>
      </c>
      <c r="T1" s="20" t="s">
        <v>54</v>
      </c>
      <c r="U1" s="20" t="s">
        <v>55</v>
      </c>
      <c r="V1" s="20" t="s">
        <v>56</v>
      </c>
      <c r="W1" s="20" t="s">
        <v>57</v>
      </c>
      <c r="X1" s="20" t="s">
        <v>58</v>
      </c>
      <c r="Y1" s="20" t="s">
        <v>59</v>
      </c>
      <c r="Z1" s="20" t="s">
        <v>60</v>
      </c>
      <c r="AA1" s="20" t="s">
        <v>61</v>
      </c>
      <c r="AB1" s="20" t="s">
        <v>62</v>
      </c>
      <c r="AC1" s="20" t="s">
        <v>63</v>
      </c>
      <c r="AD1" s="20" t="s">
        <v>64</v>
      </c>
      <c r="AE1" s="20" t="s">
        <v>65</v>
      </c>
      <c r="AF1" s="20" t="s">
        <v>66</v>
      </c>
      <c r="AG1" s="20" t="s">
        <v>67</v>
      </c>
      <c r="AH1" s="20" t="s">
        <v>68</v>
      </c>
      <c r="AI1" s="20" t="s">
        <v>69</v>
      </c>
      <c r="AJ1" s="20" t="s">
        <v>70</v>
      </c>
      <c r="AK1" s="20" t="s">
        <v>71</v>
      </c>
      <c r="AL1" s="20" t="s">
        <v>72</v>
      </c>
      <c r="AM1" s="20" t="s">
        <v>73</v>
      </c>
      <c r="AN1" s="20" t="s">
        <v>74</v>
      </c>
      <c r="AO1" s="20" t="s">
        <v>75</v>
      </c>
      <c r="AP1" s="20" t="s">
        <v>76</v>
      </c>
      <c r="AQ1" s="20" t="s">
        <v>77</v>
      </c>
      <c r="AR1" s="20" t="s">
        <v>78</v>
      </c>
      <c r="AS1" s="20" t="s">
        <v>79</v>
      </c>
      <c r="AT1" s="20" t="s">
        <v>80</v>
      </c>
      <c r="AU1" s="20" t="s">
        <v>81</v>
      </c>
      <c r="AV1" s="20" t="s">
        <v>82</v>
      </c>
      <c r="AW1" s="20" t="s">
        <v>83</v>
      </c>
      <c r="AX1" s="20" t="s">
        <v>84</v>
      </c>
      <c r="AY1" s="20" t="s">
        <v>85</v>
      </c>
      <c r="AZ1" s="20" t="s">
        <v>86</v>
      </c>
      <c r="BA1" s="20" t="s">
        <v>87</v>
      </c>
      <c r="BB1" s="20" t="s">
        <v>88</v>
      </c>
      <c r="BC1" s="20" t="s">
        <v>89</v>
      </c>
      <c r="BD1" s="20" t="s">
        <v>90</v>
      </c>
      <c r="BE1" s="20" t="s">
        <v>91</v>
      </c>
      <c r="BF1" s="20" t="s">
        <v>92</v>
      </c>
      <c r="BG1" s="20" t="s">
        <v>93</v>
      </c>
      <c r="BH1" s="20" t="s">
        <v>94</v>
      </c>
      <c r="BI1" s="20" t="s">
        <v>95</v>
      </c>
      <c r="BJ1" s="20" t="s">
        <v>96</v>
      </c>
      <c r="BK1" s="20" t="s">
        <v>97</v>
      </c>
      <c r="BL1" s="20" t="s">
        <v>98</v>
      </c>
      <c r="BM1" s="20" t="s">
        <v>99</v>
      </c>
      <c r="BN1" s="20" t="s">
        <v>100</v>
      </c>
      <c r="BO1" s="20" t="s">
        <v>101</v>
      </c>
      <c r="BP1" s="20" t="s">
        <v>102</v>
      </c>
      <c r="BQ1" s="20" t="s">
        <v>103</v>
      </c>
      <c r="BR1" s="20" t="s">
        <v>104</v>
      </c>
      <c r="BS1" s="20" t="s">
        <v>105</v>
      </c>
      <c r="BT1" s="20" t="s">
        <v>106</v>
      </c>
      <c r="BU1" s="20" t="s">
        <v>107</v>
      </c>
      <c r="BV1" s="20" t="s">
        <v>108</v>
      </c>
      <c r="BW1" s="20" t="s">
        <v>109</v>
      </c>
      <c r="BX1" s="20" t="s">
        <v>110</v>
      </c>
      <c r="BY1" s="20" t="s">
        <v>111</v>
      </c>
      <c r="BZ1" s="20" t="s">
        <v>112</v>
      </c>
      <c r="CA1" s="20" t="s">
        <v>113</v>
      </c>
      <c r="CB1" s="20" t="s">
        <v>114</v>
      </c>
      <c r="CC1" s="9" t="s">
        <v>115</v>
      </c>
    </row>
    <row r="2" spans="1:81" x14ac:dyDescent="0.25">
      <c r="A2" s="23">
        <v>1</v>
      </c>
      <c r="B2" s="25">
        <v>0</v>
      </c>
      <c r="C2" s="27">
        <v>0.183</v>
      </c>
      <c r="D2" s="27">
        <v>9.4E-2</v>
      </c>
      <c r="E2" s="27">
        <v>0.05</v>
      </c>
      <c r="F2" s="27">
        <v>5.7000000000000002E-2</v>
      </c>
      <c r="G2" s="27">
        <v>5.5E-2</v>
      </c>
      <c r="H2" s="27">
        <v>0.192</v>
      </c>
      <c r="I2" s="27">
        <v>0.22900000000000001</v>
      </c>
      <c r="J2" s="27">
        <v>0.25600000000000001</v>
      </c>
      <c r="K2" s="27">
        <v>0.55999999999999994</v>
      </c>
      <c r="L2" s="27">
        <v>0.378</v>
      </c>
      <c r="M2" s="27">
        <v>0.48399999999999999</v>
      </c>
      <c r="N2" s="27">
        <v>0.35299999999999998</v>
      </c>
      <c r="O2" s="27">
        <v>0.183</v>
      </c>
      <c r="P2" s="27">
        <v>0.22900000000000001</v>
      </c>
      <c r="Q2" s="27">
        <v>0.13</v>
      </c>
      <c r="R2" s="27">
        <v>4.5000000000000012E-2</v>
      </c>
      <c r="S2" s="27">
        <v>7.9000000000000001E-2</v>
      </c>
      <c r="T2" s="27">
        <v>0.378</v>
      </c>
      <c r="U2" s="27">
        <v>0.107</v>
      </c>
      <c r="V2" s="27">
        <v>0.22</v>
      </c>
      <c r="W2" s="27">
        <v>0.1</v>
      </c>
      <c r="X2" s="27">
        <v>5.0999999999999997E-2</v>
      </c>
      <c r="Y2" s="27">
        <v>0.05</v>
      </c>
      <c r="Z2" s="27">
        <v>2.391</v>
      </c>
      <c r="AA2" s="27">
        <v>9.5000000000000001E-2</v>
      </c>
      <c r="AB2" s="27">
        <v>0.52200000000000002</v>
      </c>
      <c r="AC2" s="27">
        <v>0.13300000000000001</v>
      </c>
      <c r="AD2" s="27">
        <v>0.19700000000000001</v>
      </c>
      <c r="AE2" s="27">
        <v>0.65500000000000003</v>
      </c>
      <c r="AF2" s="27">
        <v>0.245</v>
      </c>
      <c r="AG2" s="27">
        <v>5.8999999999999997E-2</v>
      </c>
      <c r="AH2" s="27">
        <v>0.14699999999999999</v>
      </c>
      <c r="AI2" s="27">
        <v>0.16800000000000001</v>
      </c>
      <c r="AJ2" s="27">
        <v>6.9999999999999993E-2</v>
      </c>
      <c r="AK2" s="27">
        <v>7.2999999999999995E-2</v>
      </c>
      <c r="AL2" s="27">
        <v>0.26900000000000002</v>
      </c>
      <c r="AM2" s="27">
        <v>0.112</v>
      </c>
      <c r="AN2" s="27">
        <v>5.8999999999999997E-2</v>
      </c>
      <c r="AO2" s="27">
        <v>0.39100000000000001</v>
      </c>
      <c r="AP2" s="27">
        <v>0.52600000000000002</v>
      </c>
      <c r="AQ2" s="27">
        <v>5.2999999999999999E-2</v>
      </c>
      <c r="AR2" s="27">
        <v>0.14199999999999999</v>
      </c>
      <c r="AS2" s="27">
        <v>4.2000000000000003E-2</v>
      </c>
      <c r="AT2" s="27">
        <v>0.19700000000000001</v>
      </c>
      <c r="AU2" s="27">
        <v>0.11600000000000001</v>
      </c>
      <c r="AV2" s="27">
        <v>0.218</v>
      </c>
      <c r="AW2" s="27">
        <v>0.313</v>
      </c>
      <c r="AX2" s="27">
        <v>0.03</v>
      </c>
      <c r="AY2" s="27">
        <v>0.16</v>
      </c>
      <c r="AZ2" s="27">
        <v>0.29299999999999998</v>
      </c>
      <c r="BA2" s="27">
        <v>0.124</v>
      </c>
      <c r="BB2" s="27">
        <v>9.5000000000000001E-2</v>
      </c>
      <c r="BC2" s="27">
        <v>8.8999999999999996E-2</v>
      </c>
      <c r="BD2" s="27">
        <v>0.40100000000000002</v>
      </c>
      <c r="BE2" s="27">
        <v>5.8000000000000003E-2</v>
      </c>
      <c r="BF2" s="27">
        <v>0.153</v>
      </c>
      <c r="BG2" s="27">
        <v>0.187</v>
      </c>
      <c r="BH2" s="27">
        <v>0.184</v>
      </c>
      <c r="BI2" s="27">
        <v>0.35899999999999999</v>
      </c>
      <c r="BJ2" s="27">
        <v>0.71899999999999997</v>
      </c>
      <c r="BK2" s="27">
        <v>0.219</v>
      </c>
      <c r="BL2" s="27">
        <v>0.28499999999999998</v>
      </c>
      <c r="BM2" s="27">
        <v>1.792</v>
      </c>
      <c r="BN2" s="27">
        <v>1.946</v>
      </c>
      <c r="BO2" s="27">
        <v>0.16800000000000001</v>
      </c>
      <c r="BP2" s="27">
        <v>0.05</v>
      </c>
      <c r="BQ2" s="27">
        <v>0.36299999999999999</v>
      </c>
      <c r="BR2" s="27">
        <v>4.8000000000000001E-2</v>
      </c>
      <c r="BS2" s="27">
        <v>0.10199999999999999</v>
      </c>
      <c r="BT2" s="27">
        <v>5.5E-2</v>
      </c>
      <c r="BU2" s="27">
        <v>0.214</v>
      </c>
      <c r="BV2" s="27">
        <v>0.14599999999999999</v>
      </c>
      <c r="BW2" s="27">
        <v>0.16800000000000001</v>
      </c>
      <c r="BX2" s="27">
        <v>0.76</v>
      </c>
      <c r="BY2" s="27">
        <v>0.107</v>
      </c>
      <c r="BZ2" s="27">
        <v>4.3999999999999997E-2</v>
      </c>
      <c r="CA2" s="27">
        <v>4.8000000000000001E-2</v>
      </c>
      <c r="CB2" s="27">
        <v>0.27302597402597389</v>
      </c>
      <c r="CC2" s="33">
        <v>21.022999999999989</v>
      </c>
    </row>
    <row r="3" spans="1:81" x14ac:dyDescent="0.25">
      <c r="A3" s="23">
        <v>2</v>
      </c>
      <c r="B3" s="25">
        <v>0.5</v>
      </c>
      <c r="C3" s="27">
        <v>0.24</v>
      </c>
      <c r="D3" s="27">
        <v>0.04</v>
      </c>
      <c r="E3" s="27">
        <v>0.13300000000000001</v>
      </c>
      <c r="F3" s="27">
        <v>5.7000000000000002E-2</v>
      </c>
      <c r="G3" s="27">
        <v>5.5E-2</v>
      </c>
      <c r="H3" s="27">
        <v>0.218</v>
      </c>
      <c r="I3" s="27">
        <v>0.108</v>
      </c>
      <c r="J3" s="27">
        <v>9.5000000000000001E-2</v>
      </c>
      <c r="K3" s="27">
        <v>0.53399999999999992</v>
      </c>
      <c r="L3" s="27">
        <v>0.38200000000000001</v>
      </c>
      <c r="M3" s="27">
        <v>0.50600000000000001</v>
      </c>
      <c r="N3" s="27">
        <v>0.503</v>
      </c>
      <c r="O3" s="27">
        <v>5.0999999999999997E-2</v>
      </c>
      <c r="P3" s="27">
        <v>8.3999999999999991E-2</v>
      </c>
      <c r="Q3" s="27">
        <v>0.13</v>
      </c>
      <c r="R3" s="27">
        <v>4.5000000000000012E-2</v>
      </c>
      <c r="S3" s="27">
        <v>0.28799999999999998</v>
      </c>
      <c r="T3" s="27">
        <v>0.216</v>
      </c>
      <c r="U3" s="27">
        <v>4.7E-2</v>
      </c>
      <c r="V3" s="27">
        <v>0.104</v>
      </c>
      <c r="W3" s="27">
        <v>0.33100000000000002</v>
      </c>
      <c r="X3" s="27">
        <v>0.16800000000000001</v>
      </c>
      <c r="Y3" s="27">
        <v>0.05</v>
      </c>
      <c r="Z3" s="27">
        <v>0</v>
      </c>
      <c r="AA3" s="27">
        <v>0.104</v>
      </c>
      <c r="AB3" s="27">
        <v>9.7000000000000003E-2</v>
      </c>
      <c r="AC3" s="27">
        <v>0.05</v>
      </c>
      <c r="AD3" s="27">
        <v>5.5E-2</v>
      </c>
      <c r="AE3" s="27">
        <v>0.69300000000000006</v>
      </c>
      <c r="AF3" s="27">
        <v>0.38800000000000001</v>
      </c>
      <c r="AG3" s="27">
        <v>0.17299999999999999</v>
      </c>
      <c r="AH3" s="27">
        <v>0.19800000000000001</v>
      </c>
      <c r="AI3" s="27">
        <v>0.11700000000000001</v>
      </c>
      <c r="AJ3" s="27">
        <v>0.372</v>
      </c>
      <c r="AK3" s="27">
        <v>0.29799999999999999</v>
      </c>
      <c r="AL3" s="27">
        <v>0.22500000000000001</v>
      </c>
      <c r="AM3" s="27">
        <v>8.2000000000000003E-2</v>
      </c>
      <c r="AN3" s="27">
        <v>0.29299999999999998</v>
      </c>
      <c r="AO3" s="27">
        <v>4.7E-2</v>
      </c>
      <c r="AP3" s="27">
        <v>0.44700000000000001</v>
      </c>
      <c r="AQ3" s="27">
        <v>0.13100000000000001</v>
      </c>
      <c r="AR3" s="27">
        <v>4.5999999999999999E-2</v>
      </c>
      <c r="AS3" s="27">
        <v>0.127</v>
      </c>
      <c r="AT3" s="27">
        <v>3.6999999999999998E-2</v>
      </c>
      <c r="AU3" s="27">
        <v>0.248</v>
      </c>
      <c r="AV3" s="27">
        <v>8.1000000000000003E-2</v>
      </c>
      <c r="AW3" s="27">
        <v>8.1000000000000003E-2</v>
      </c>
      <c r="AX3" s="27">
        <v>0.161</v>
      </c>
      <c r="AY3" s="27">
        <v>0.24199999999999999</v>
      </c>
      <c r="AZ3" s="27">
        <v>8.7999999999999995E-2</v>
      </c>
      <c r="BA3" s="27">
        <v>0.14000000000000001</v>
      </c>
      <c r="BB3" s="27">
        <v>9.5000000000000001E-2</v>
      </c>
      <c r="BC3" s="27">
        <v>0.08</v>
      </c>
      <c r="BD3" s="27">
        <v>9.0999999999999998E-2</v>
      </c>
      <c r="BE3" s="27">
        <v>5.8000000000000003E-2</v>
      </c>
      <c r="BF3" s="27">
        <v>0.16800000000000001</v>
      </c>
      <c r="BG3" s="27">
        <v>0.16600000000000001</v>
      </c>
      <c r="BH3" s="27">
        <v>6.8000000000000005E-2</v>
      </c>
      <c r="BI3" s="27">
        <v>0.94799999999999995</v>
      </c>
      <c r="BJ3" s="27">
        <v>9.4E-2</v>
      </c>
      <c r="BK3" s="27">
        <v>5.5E-2</v>
      </c>
      <c r="BL3" s="27">
        <v>0.23699999999999999</v>
      </c>
      <c r="BM3" s="27">
        <v>0.37</v>
      </c>
      <c r="BN3" s="27">
        <v>0.44500000000000001</v>
      </c>
      <c r="BO3" s="27">
        <v>8.3999999999999991E-2</v>
      </c>
      <c r="BP3" s="27">
        <v>0.05</v>
      </c>
      <c r="BQ3" s="27">
        <v>3.6999999999999998E-2</v>
      </c>
      <c r="BR3" s="27">
        <v>4.8000000000000001E-2</v>
      </c>
      <c r="BS3" s="27">
        <v>0.16</v>
      </c>
      <c r="BT3" s="27">
        <v>0.191</v>
      </c>
      <c r="BU3" s="27">
        <v>5.5E-2</v>
      </c>
      <c r="BV3" s="27">
        <v>0.18099999999999999</v>
      </c>
      <c r="BW3" s="27">
        <v>5.6000000000000001E-2</v>
      </c>
      <c r="BX3" s="27">
        <v>5.1999999999999998E-2</v>
      </c>
      <c r="BY3" s="27">
        <v>0.26500000000000001</v>
      </c>
      <c r="BZ3" s="27">
        <v>4.3999999999999997E-2</v>
      </c>
      <c r="CA3" s="27">
        <v>4.8000000000000001E-2</v>
      </c>
      <c r="CB3" s="27">
        <v>0.17599999999999999</v>
      </c>
      <c r="CC3" s="33">
        <v>13.552</v>
      </c>
    </row>
    <row r="4" spans="1:81" x14ac:dyDescent="0.25">
      <c r="A4" s="23">
        <v>3</v>
      </c>
      <c r="B4" s="25">
        <v>1</v>
      </c>
      <c r="C4" s="27">
        <v>0.152</v>
      </c>
      <c r="D4" s="27">
        <v>0.04</v>
      </c>
      <c r="E4" s="27">
        <v>0.05</v>
      </c>
      <c r="F4" s="27">
        <v>5.7000000000000002E-2</v>
      </c>
      <c r="G4" s="27">
        <v>0.214</v>
      </c>
      <c r="H4" s="27">
        <v>0.08</v>
      </c>
      <c r="I4" s="27">
        <v>0.111</v>
      </c>
      <c r="J4" s="27">
        <v>5.0999999999999997E-2</v>
      </c>
      <c r="K4" s="27">
        <v>5.5E-2</v>
      </c>
      <c r="L4" s="27">
        <v>6.0999999999999999E-2</v>
      </c>
      <c r="M4" s="27">
        <v>0.38400000000000001</v>
      </c>
      <c r="N4" s="27">
        <v>0.71</v>
      </c>
      <c r="O4" s="27">
        <v>6.7000000000000004E-2</v>
      </c>
      <c r="P4" s="27">
        <v>0.31900000000000001</v>
      </c>
      <c r="Q4" s="27">
        <v>0.112</v>
      </c>
      <c r="R4" s="27">
        <v>0.06</v>
      </c>
      <c r="S4" s="27">
        <v>0.05</v>
      </c>
      <c r="T4" s="27">
        <v>5.3999999999999999E-2</v>
      </c>
      <c r="U4" s="27">
        <v>0.16</v>
      </c>
      <c r="V4" s="27">
        <v>0.28899999999999998</v>
      </c>
      <c r="W4" s="27">
        <v>5.8000000000000003E-2</v>
      </c>
      <c r="X4" s="27">
        <v>0.108</v>
      </c>
      <c r="Y4" s="27">
        <v>0.05</v>
      </c>
      <c r="Z4" s="27">
        <v>0</v>
      </c>
      <c r="AA4" s="27">
        <v>5.8000000000000003E-2</v>
      </c>
      <c r="AB4" s="27">
        <v>0.13</v>
      </c>
      <c r="AC4" s="27">
        <v>8.6000000000000007E-2</v>
      </c>
      <c r="AD4" s="27">
        <v>0.38800000000000001</v>
      </c>
      <c r="AE4" s="27">
        <v>0.47899999999999998</v>
      </c>
      <c r="AF4" s="27">
        <v>0.26900000000000002</v>
      </c>
      <c r="AG4" s="27">
        <v>0.16600000000000001</v>
      </c>
      <c r="AH4" s="27">
        <v>9.6000000000000002E-2</v>
      </c>
      <c r="AI4" s="27">
        <v>0.161</v>
      </c>
      <c r="AJ4" s="27">
        <v>0.161</v>
      </c>
      <c r="AK4" s="27">
        <v>0.15</v>
      </c>
      <c r="AL4" s="27">
        <v>0.18099999999999999</v>
      </c>
      <c r="AM4" s="27">
        <v>4.8000000000000001E-2</v>
      </c>
      <c r="AN4" s="27">
        <v>5.8999999999999997E-2</v>
      </c>
      <c r="AO4" s="27">
        <v>4.7E-2</v>
      </c>
      <c r="AP4" s="27">
        <v>5.1999999999999998E-2</v>
      </c>
      <c r="AQ4" s="27">
        <v>5.2999999999999999E-2</v>
      </c>
      <c r="AR4" s="27">
        <v>4.5999999999999999E-2</v>
      </c>
      <c r="AS4" s="27">
        <v>0.13900000000000001</v>
      </c>
      <c r="AT4" s="27">
        <v>3.6999999999999998E-2</v>
      </c>
      <c r="AU4" s="27">
        <v>0.04</v>
      </c>
      <c r="AV4" s="27">
        <v>0.128</v>
      </c>
      <c r="AW4" s="27">
        <v>0.26</v>
      </c>
      <c r="AX4" s="27">
        <v>0.03</v>
      </c>
      <c r="AY4" s="27">
        <v>0.14699999999999999</v>
      </c>
      <c r="AZ4" s="27">
        <v>0.19800000000000001</v>
      </c>
      <c r="BA4" s="27">
        <v>0.18</v>
      </c>
      <c r="BB4" s="27">
        <v>5.8000000000000003E-2</v>
      </c>
      <c r="BC4" s="27">
        <v>0.08</v>
      </c>
      <c r="BD4" s="27">
        <v>0.254</v>
      </c>
      <c r="BE4" s="27">
        <v>5.8000000000000003E-2</v>
      </c>
      <c r="BF4" s="27">
        <v>8.5000000000000006E-2</v>
      </c>
      <c r="BG4" s="27">
        <v>8.7999999999999995E-2</v>
      </c>
      <c r="BH4" s="27">
        <v>0.24399999999999999</v>
      </c>
      <c r="BI4" s="27">
        <v>4.3999999999999997E-2</v>
      </c>
      <c r="BJ4" s="27">
        <v>0.06</v>
      </c>
      <c r="BK4" s="27">
        <v>5.5E-2</v>
      </c>
      <c r="BL4" s="27">
        <v>0.19800000000000001</v>
      </c>
      <c r="BM4" s="27">
        <v>0.11799999999999999</v>
      </c>
      <c r="BN4" s="27">
        <v>0</v>
      </c>
      <c r="BO4" s="27">
        <v>0.157</v>
      </c>
      <c r="BP4" s="27">
        <v>0.05</v>
      </c>
      <c r="BQ4" s="27">
        <v>3.6999999999999998E-2</v>
      </c>
      <c r="BR4" s="27">
        <v>4.8000000000000001E-2</v>
      </c>
      <c r="BS4" s="27">
        <v>0.05</v>
      </c>
      <c r="BT4" s="27">
        <v>0.105</v>
      </c>
      <c r="BU4" s="27">
        <v>5.5E-2</v>
      </c>
      <c r="BV4" s="27">
        <v>0.13200000000000001</v>
      </c>
      <c r="BW4" s="27">
        <v>5.6000000000000001E-2</v>
      </c>
      <c r="BX4" s="27">
        <v>0.157</v>
      </c>
      <c r="BY4" s="27">
        <v>0.126</v>
      </c>
      <c r="BZ4" s="27">
        <v>0.105</v>
      </c>
      <c r="CA4" s="27">
        <v>4.8000000000000001E-2</v>
      </c>
      <c r="CB4" s="27">
        <v>0.12401298701298701</v>
      </c>
      <c r="CC4" s="33">
        <v>9.5489999999999995</v>
      </c>
    </row>
    <row r="5" spans="1:81" x14ac:dyDescent="0.25">
      <c r="A5" s="23">
        <v>4</v>
      </c>
      <c r="B5" s="25">
        <v>1.5</v>
      </c>
      <c r="C5" s="27">
        <v>0.223</v>
      </c>
      <c r="D5" s="27">
        <v>9.4E-2</v>
      </c>
      <c r="E5" s="27">
        <v>0.13300000000000001</v>
      </c>
      <c r="F5" s="27">
        <v>0.17499999999999999</v>
      </c>
      <c r="G5" s="27">
        <v>5.5E-2</v>
      </c>
      <c r="H5" s="27">
        <v>0.30599999999999999</v>
      </c>
      <c r="I5" s="27">
        <v>0.222</v>
      </c>
      <c r="J5" s="27">
        <v>0.3</v>
      </c>
      <c r="K5" s="27">
        <v>5.5E-2</v>
      </c>
      <c r="L5" s="27">
        <v>0.22500000000000001</v>
      </c>
      <c r="M5" s="27">
        <v>0.16700000000000001</v>
      </c>
      <c r="N5" s="27">
        <v>0.36900000000000011</v>
      </c>
      <c r="O5" s="27">
        <v>0.20699999999999999</v>
      </c>
      <c r="P5" s="27">
        <v>5.1999999999999998E-2</v>
      </c>
      <c r="Q5" s="27">
        <v>0.107</v>
      </c>
      <c r="R5" s="27">
        <v>0.19600000000000001</v>
      </c>
      <c r="S5" s="27">
        <v>0.05</v>
      </c>
      <c r="T5" s="27">
        <v>5.3999999999999999E-2</v>
      </c>
      <c r="U5" s="27">
        <v>0.1</v>
      </c>
      <c r="V5" s="27">
        <v>7.3999999999999996E-2</v>
      </c>
      <c r="W5" s="27">
        <v>0.22600000000000001</v>
      </c>
      <c r="X5" s="27">
        <v>5.0999999999999997E-2</v>
      </c>
      <c r="Y5" s="27">
        <v>0.05</v>
      </c>
      <c r="Z5" s="27">
        <v>0</v>
      </c>
      <c r="AA5" s="27">
        <v>0.13200000000000001</v>
      </c>
      <c r="AB5" s="27">
        <v>5.7000000000000002E-2</v>
      </c>
      <c r="AC5" s="27">
        <v>0.11700000000000001</v>
      </c>
      <c r="AD5" s="27">
        <v>6.9999999999999993E-2</v>
      </c>
      <c r="AE5" s="27">
        <v>9.0999999999999998E-2</v>
      </c>
      <c r="AF5" s="27">
        <v>5.3999999999999999E-2</v>
      </c>
      <c r="AG5" s="27">
        <v>0.17299999999999999</v>
      </c>
      <c r="AH5" s="27">
        <v>9.6000000000000002E-2</v>
      </c>
      <c r="AI5" s="27">
        <v>0.161</v>
      </c>
      <c r="AJ5" s="27">
        <v>0.05</v>
      </c>
      <c r="AK5" s="27">
        <v>0.16600000000000001</v>
      </c>
      <c r="AL5" s="27">
        <v>0.13100000000000001</v>
      </c>
      <c r="AM5" s="27">
        <v>0.11899999999999999</v>
      </c>
      <c r="AN5" s="27">
        <v>0.20799999999999999</v>
      </c>
      <c r="AO5" s="27">
        <v>4.7E-2</v>
      </c>
      <c r="AP5" s="27">
        <v>5.1999999999999998E-2</v>
      </c>
      <c r="AQ5" s="27">
        <v>5.2999999999999999E-2</v>
      </c>
      <c r="AR5" s="27">
        <v>4.5999999999999999E-2</v>
      </c>
      <c r="AS5" s="27">
        <v>0.35099999999999998</v>
      </c>
      <c r="AT5" s="27">
        <v>0.20499999999999999</v>
      </c>
      <c r="AU5" s="27">
        <v>0.183</v>
      </c>
      <c r="AV5" s="27">
        <v>0.17399999999999999</v>
      </c>
      <c r="AW5" s="27">
        <v>5.5E-2</v>
      </c>
      <c r="AX5" s="27">
        <v>0.161</v>
      </c>
      <c r="AY5" s="27">
        <v>0.187</v>
      </c>
      <c r="AZ5" s="27">
        <v>5.8000000000000003E-2</v>
      </c>
      <c r="BA5" s="27">
        <v>0.14000000000000001</v>
      </c>
      <c r="BB5" s="27">
        <v>0.13300000000000001</v>
      </c>
      <c r="BC5" s="27">
        <v>0.10100000000000001</v>
      </c>
      <c r="BD5" s="27">
        <v>3.5999999999999997E-2</v>
      </c>
      <c r="BE5" s="27">
        <v>0.124</v>
      </c>
      <c r="BF5" s="27">
        <v>0.29499999999999998</v>
      </c>
      <c r="BG5" s="27">
        <v>0.27300000000000002</v>
      </c>
      <c r="BH5" s="27">
        <v>5.5E-2</v>
      </c>
      <c r="BI5" s="27">
        <v>0.113</v>
      </c>
      <c r="BJ5" s="27">
        <v>0.27900000000000003</v>
      </c>
      <c r="BK5" s="27">
        <v>0.219</v>
      </c>
      <c r="BL5" s="27">
        <v>0.23</v>
      </c>
      <c r="BM5" s="27">
        <v>0.11</v>
      </c>
      <c r="BN5" s="27">
        <v>0</v>
      </c>
      <c r="BO5" s="27">
        <v>8.3999999999999991E-2</v>
      </c>
      <c r="BP5" s="27">
        <v>0.05</v>
      </c>
      <c r="BQ5" s="27">
        <v>0.20699999999999999</v>
      </c>
      <c r="BR5" s="27">
        <v>4.8000000000000001E-2</v>
      </c>
      <c r="BS5" s="27">
        <v>0.124</v>
      </c>
      <c r="BT5" s="27">
        <v>8.3999999999999991E-2</v>
      </c>
      <c r="BU5" s="27">
        <v>0.214</v>
      </c>
      <c r="BV5" s="27">
        <v>0.18</v>
      </c>
      <c r="BW5" s="27">
        <v>0.16800000000000001</v>
      </c>
      <c r="BX5" s="27">
        <v>0.125</v>
      </c>
      <c r="BY5" s="27">
        <v>0.443</v>
      </c>
      <c r="BZ5" s="27">
        <v>0.151</v>
      </c>
      <c r="CA5" s="27">
        <v>4.8000000000000001E-2</v>
      </c>
      <c r="CB5" s="27">
        <v>0.1392467532467532</v>
      </c>
      <c r="CC5" s="33">
        <v>10.722</v>
      </c>
    </row>
    <row r="6" spans="1:81" x14ac:dyDescent="0.25">
      <c r="A6" s="23">
        <v>5</v>
      </c>
      <c r="B6" s="25">
        <v>2</v>
      </c>
      <c r="C6" s="27">
        <v>0.14099999999999999</v>
      </c>
      <c r="D6" s="27">
        <v>0.13500000000000001</v>
      </c>
      <c r="E6" s="27">
        <v>0.05</v>
      </c>
      <c r="F6" s="27">
        <v>5.7000000000000002E-2</v>
      </c>
      <c r="G6" s="27">
        <v>0.16400000000000001</v>
      </c>
      <c r="H6" s="27">
        <v>0.151</v>
      </c>
      <c r="I6" s="27">
        <v>7.4999999999999997E-2</v>
      </c>
      <c r="J6" s="27">
        <v>5.0999999999999997E-2</v>
      </c>
      <c r="K6" s="27">
        <v>5.5E-2</v>
      </c>
      <c r="L6" s="27">
        <v>6.0999999999999999E-2</v>
      </c>
      <c r="M6" s="27">
        <v>4.5999999999999999E-2</v>
      </c>
      <c r="N6" s="27">
        <v>0.23499999999999999</v>
      </c>
      <c r="O6" s="27">
        <v>5.0999999999999997E-2</v>
      </c>
      <c r="P6" s="27">
        <v>6.4000000000000001E-2</v>
      </c>
      <c r="Q6" s="27">
        <v>0.152</v>
      </c>
      <c r="R6" s="27">
        <v>4.5000000000000012E-2</v>
      </c>
      <c r="S6" s="27">
        <v>0.29499999999999998</v>
      </c>
      <c r="T6" s="27">
        <v>5.3999999999999999E-2</v>
      </c>
      <c r="U6" s="27">
        <v>5.0999999999999997E-2</v>
      </c>
      <c r="V6" s="27">
        <v>0.13200000000000001</v>
      </c>
      <c r="W6" s="27">
        <v>0.155</v>
      </c>
      <c r="X6" s="27">
        <v>0.184</v>
      </c>
      <c r="Y6" s="27">
        <v>0.05</v>
      </c>
      <c r="Z6" s="27">
        <v>0</v>
      </c>
      <c r="AA6" s="27">
        <v>6.7000000000000004E-2</v>
      </c>
      <c r="AB6" s="27">
        <v>5.7000000000000002E-2</v>
      </c>
      <c r="AC6" s="27">
        <v>0.05</v>
      </c>
      <c r="AD6" s="27">
        <v>0.107</v>
      </c>
      <c r="AE6" s="27">
        <v>0.16</v>
      </c>
      <c r="AF6" s="27">
        <v>5.3999999999999999E-2</v>
      </c>
      <c r="AG6" s="27">
        <v>5.8999999999999997E-2</v>
      </c>
      <c r="AH6" s="27">
        <v>4.3999999999999997E-2</v>
      </c>
      <c r="AI6" s="27">
        <v>0.13500000000000001</v>
      </c>
      <c r="AJ6" s="27">
        <v>0.20799999999999999</v>
      </c>
      <c r="AK6" s="27">
        <v>0.25600000000000001</v>
      </c>
      <c r="AL6" s="27">
        <v>0.184</v>
      </c>
      <c r="AM6" s="27">
        <v>4.8000000000000001E-2</v>
      </c>
      <c r="AN6" s="27">
        <v>0.14399999999999999</v>
      </c>
      <c r="AO6" s="27">
        <v>0.128</v>
      </c>
      <c r="AP6" s="27">
        <v>5.1999999999999998E-2</v>
      </c>
      <c r="AQ6" s="27">
        <v>0.13100000000000001</v>
      </c>
      <c r="AR6" s="27">
        <v>4.5999999999999999E-2</v>
      </c>
      <c r="AS6" s="27">
        <v>0.46300000000000002</v>
      </c>
      <c r="AT6" s="27">
        <v>5.3999999999999999E-2</v>
      </c>
      <c r="AU6" s="27">
        <v>0.18099999999999999</v>
      </c>
      <c r="AV6" s="27">
        <v>6.8000000000000005E-2</v>
      </c>
      <c r="AW6" s="27">
        <v>0.18</v>
      </c>
      <c r="AX6" s="27">
        <v>0.03</v>
      </c>
      <c r="AY6" s="27">
        <v>0.159</v>
      </c>
      <c r="AZ6" s="27">
        <v>9.0999999999999998E-2</v>
      </c>
      <c r="BA6" s="27">
        <v>0.18</v>
      </c>
      <c r="BB6" s="27">
        <v>5.8000000000000003E-2</v>
      </c>
      <c r="BC6" s="27">
        <v>0.06</v>
      </c>
      <c r="BD6" s="27">
        <v>0.247</v>
      </c>
      <c r="BE6" s="27">
        <v>5.8000000000000003E-2</v>
      </c>
      <c r="BF6" s="27">
        <v>6.4999999999999988E-2</v>
      </c>
      <c r="BG6" s="27">
        <v>0.05</v>
      </c>
      <c r="BH6" s="27">
        <v>0.17100000000000001</v>
      </c>
      <c r="BI6" s="27">
        <v>5.2999999999999999E-2</v>
      </c>
      <c r="BJ6" s="27">
        <v>5.2999999999999999E-2</v>
      </c>
      <c r="BK6" s="27">
        <v>5.5E-2</v>
      </c>
      <c r="BL6" s="27">
        <v>0.14899999999999999</v>
      </c>
      <c r="BM6" s="27">
        <v>2E-3</v>
      </c>
      <c r="BN6" s="27">
        <v>0</v>
      </c>
      <c r="BO6" s="27">
        <v>0.05</v>
      </c>
      <c r="BP6" s="27">
        <v>0.05</v>
      </c>
      <c r="BQ6" s="27">
        <v>3.6999999999999998E-2</v>
      </c>
      <c r="BR6" s="27">
        <v>4.8000000000000001E-2</v>
      </c>
      <c r="BS6" s="27">
        <v>0.13800000000000001</v>
      </c>
      <c r="BT6" s="27">
        <v>0.113</v>
      </c>
      <c r="BU6" s="27">
        <v>5.5E-2</v>
      </c>
      <c r="BV6" s="27">
        <v>0.215</v>
      </c>
      <c r="BW6" s="27">
        <v>5.6000000000000001E-2</v>
      </c>
      <c r="BX6" s="27">
        <v>6.8000000000000005E-2</v>
      </c>
      <c r="BY6" s="27">
        <v>8.8999999999999996E-2</v>
      </c>
      <c r="BZ6" s="27">
        <v>4.3999999999999997E-2</v>
      </c>
      <c r="CA6" s="27">
        <v>4.8000000000000001E-2</v>
      </c>
      <c r="CB6" s="27">
        <v>0.1015844155844156</v>
      </c>
      <c r="CC6" s="33">
        <v>7.8219999999999992</v>
      </c>
    </row>
    <row r="7" spans="1:81" x14ac:dyDescent="0.25">
      <c r="A7" s="23">
        <v>6</v>
      </c>
      <c r="B7" s="25">
        <v>2.5</v>
      </c>
      <c r="C7" s="27">
        <v>0.14799999999999999</v>
      </c>
      <c r="D7" s="27">
        <v>0.04</v>
      </c>
      <c r="E7" s="27">
        <v>6.4000000000000001E-2</v>
      </c>
      <c r="F7" s="27">
        <v>0.17499999999999999</v>
      </c>
      <c r="G7" s="27">
        <v>0.106</v>
      </c>
      <c r="H7" s="27">
        <v>0.14899999999999999</v>
      </c>
      <c r="I7" s="27">
        <v>0.14699999999999999</v>
      </c>
      <c r="J7" s="27">
        <v>0.10199999999999999</v>
      </c>
      <c r="K7" s="27">
        <v>5.5E-2</v>
      </c>
      <c r="L7" s="27">
        <v>6.0999999999999999E-2</v>
      </c>
      <c r="M7" s="27">
        <v>4.5999999999999999E-2</v>
      </c>
      <c r="N7" s="27">
        <v>0.13900000000000001</v>
      </c>
      <c r="O7" s="27">
        <v>0.20699999999999999</v>
      </c>
      <c r="P7" s="27">
        <v>0.33100000000000002</v>
      </c>
      <c r="Q7" s="27">
        <v>4.8000000000000001E-2</v>
      </c>
      <c r="R7" s="27">
        <v>7.4999999999999997E-2</v>
      </c>
      <c r="S7" s="27">
        <v>7.2000000000000008E-2</v>
      </c>
      <c r="T7" s="27">
        <v>0.12</v>
      </c>
      <c r="U7" s="27">
        <v>0.19400000000000001</v>
      </c>
      <c r="V7" s="27">
        <v>0.223</v>
      </c>
      <c r="W7" s="27">
        <v>0.17399999999999999</v>
      </c>
      <c r="X7" s="27">
        <v>9.1999999999999998E-2</v>
      </c>
      <c r="Y7" s="27">
        <v>0.05</v>
      </c>
      <c r="Z7" s="27">
        <v>0</v>
      </c>
      <c r="AA7" s="27">
        <v>0.1</v>
      </c>
      <c r="AB7" s="27">
        <v>6.8000000000000005E-2</v>
      </c>
      <c r="AC7" s="27">
        <v>0.154</v>
      </c>
      <c r="AD7" s="27">
        <v>0.23400000000000001</v>
      </c>
      <c r="AE7" s="27">
        <v>0.05</v>
      </c>
      <c r="AF7" s="27">
        <v>5.3999999999999999E-2</v>
      </c>
      <c r="AG7" s="27">
        <v>0.26800000000000002</v>
      </c>
      <c r="AH7" s="27">
        <v>0.17499999999999999</v>
      </c>
      <c r="AI7" s="27">
        <v>0.16800000000000001</v>
      </c>
      <c r="AJ7" s="27">
        <v>0.05</v>
      </c>
      <c r="AK7" s="27">
        <v>0.1</v>
      </c>
      <c r="AL7" s="27">
        <v>0.25700000000000001</v>
      </c>
      <c r="AM7" s="27">
        <v>0.11899999999999999</v>
      </c>
      <c r="AN7" s="27">
        <v>5.8999999999999997E-2</v>
      </c>
      <c r="AO7" s="27">
        <v>4.7E-2</v>
      </c>
      <c r="AP7" s="27">
        <v>5.1999999999999998E-2</v>
      </c>
      <c r="AQ7" s="27">
        <v>5.2999999999999999E-2</v>
      </c>
      <c r="AR7" s="27">
        <v>4.5999999999999999E-2</v>
      </c>
      <c r="AS7" s="27">
        <v>0.54199999999999993</v>
      </c>
      <c r="AT7" s="27">
        <v>4.5000000000000012E-2</v>
      </c>
      <c r="AU7" s="27">
        <v>0.04</v>
      </c>
      <c r="AV7" s="27">
        <v>0.11799999999999999</v>
      </c>
      <c r="AW7" s="27">
        <v>0.157</v>
      </c>
      <c r="AX7" s="27">
        <v>0.115</v>
      </c>
      <c r="AY7" s="27">
        <v>0.14000000000000001</v>
      </c>
      <c r="AZ7" s="27">
        <v>0.33900000000000002</v>
      </c>
      <c r="BA7" s="27">
        <v>0.112</v>
      </c>
      <c r="BB7" s="27">
        <v>0.13300000000000001</v>
      </c>
      <c r="BC7" s="27">
        <v>4.2999999999999997E-2</v>
      </c>
      <c r="BD7" s="27">
        <v>6.4000000000000001E-2</v>
      </c>
      <c r="BE7" s="27">
        <v>5.8000000000000003E-2</v>
      </c>
      <c r="BF7" s="27">
        <v>0.17699999999999999</v>
      </c>
      <c r="BG7" s="27">
        <v>0.05</v>
      </c>
      <c r="BH7" s="27">
        <v>0.14099999999999999</v>
      </c>
      <c r="BI7" s="27">
        <v>4.3999999999999997E-2</v>
      </c>
      <c r="BJ7" s="27">
        <v>0.184</v>
      </c>
      <c r="BK7" s="27">
        <v>0.21199999999999999</v>
      </c>
      <c r="BL7" s="27">
        <v>0.155</v>
      </c>
      <c r="BM7" s="27">
        <v>0</v>
      </c>
      <c r="BN7" s="27">
        <v>0</v>
      </c>
      <c r="BO7" s="27">
        <v>0.16300000000000001</v>
      </c>
      <c r="BP7" s="27">
        <v>0.05</v>
      </c>
      <c r="BQ7" s="27">
        <v>0.13</v>
      </c>
      <c r="BR7" s="27">
        <v>4.8000000000000001E-2</v>
      </c>
      <c r="BS7" s="27">
        <v>0.05</v>
      </c>
      <c r="BT7" s="27">
        <v>0.16400000000000001</v>
      </c>
      <c r="BU7" s="27">
        <v>9.8000000000000004E-2</v>
      </c>
      <c r="BV7" s="27">
        <v>5.0999999999999997E-2</v>
      </c>
      <c r="BW7" s="27">
        <v>0.16800000000000001</v>
      </c>
      <c r="BX7" s="27">
        <v>0.21299999999999999</v>
      </c>
      <c r="BY7" s="27">
        <v>0.36599999999999999</v>
      </c>
      <c r="BZ7" s="27">
        <v>4.3999999999999997E-2</v>
      </c>
      <c r="CA7" s="27">
        <v>4.8000000000000001E-2</v>
      </c>
      <c r="CB7" s="27">
        <v>0.1212207792207792</v>
      </c>
      <c r="CC7" s="33">
        <v>9.3339999999999979</v>
      </c>
    </row>
    <row r="8" spans="1:81" x14ac:dyDescent="0.25">
      <c r="A8" s="23">
        <v>7</v>
      </c>
      <c r="B8" s="25">
        <v>3</v>
      </c>
      <c r="C8" s="27">
        <v>0.27900000000000003</v>
      </c>
      <c r="D8" s="27">
        <v>0.19</v>
      </c>
      <c r="E8" s="27">
        <v>0.11899999999999999</v>
      </c>
      <c r="F8" s="27">
        <v>5.7000000000000002E-2</v>
      </c>
      <c r="G8" s="27">
        <v>7.6999999999999999E-2</v>
      </c>
      <c r="H8" s="27">
        <v>0.315</v>
      </c>
      <c r="I8" s="27">
        <v>0.19700000000000001</v>
      </c>
      <c r="J8" s="27">
        <v>0.249</v>
      </c>
      <c r="K8" s="27">
        <v>5.5E-2</v>
      </c>
      <c r="L8" s="27">
        <v>0.21</v>
      </c>
      <c r="M8" s="27">
        <v>4.5999999999999999E-2</v>
      </c>
      <c r="N8" s="27">
        <v>4.8000000000000001E-2</v>
      </c>
      <c r="O8" s="27">
        <v>6.7000000000000004E-2</v>
      </c>
      <c r="P8" s="27">
        <v>0.06</v>
      </c>
      <c r="Q8" s="27">
        <v>6.3E-2</v>
      </c>
      <c r="R8" s="27">
        <v>0.18099999999999999</v>
      </c>
      <c r="S8" s="27">
        <v>0.127</v>
      </c>
      <c r="T8" s="27">
        <v>0.26800000000000002</v>
      </c>
      <c r="U8" s="27">
        <v>0.16</v>
      </c>
      <c r="V8" s="27">
        <v>0.108</v>
      </c>
      <c r="W8" s="27">
        <v>0.20899999999999999</v>
      </c>
      <c r="X8" s="27">
        <v>5.0999999999999997E-2</v>
      </c>
      <c r="Y8" s="27">
        <v>0.05</v>
      </c>
      <c r="Z8" s="27">
        <v>0</v>
      </c>
      <c r="AA8" s="27">
        <v>0.1</v>
      </c>
      <c r="AB8" s="27">
        <v>0.159</v>
      </c>
      <c r="AC8" s="27">
        <v>0.05</v>
      </c>
      <c r="AD8" s="27">
        <v>0.1</v>
      </c>
      <c r="AE8" s="27">
        <v>0.20799999999999999</v>
      </c>
      <c r="AF8" s="27">
        <v>5.3999999999999999E-2</v>
      </c>
      <c r="AG8" s="27">
        <v>6.9999999999999993E-2</v>
      </c>
      <c r="AH8" s="27">
        <v>0.17</v>
      </c>
      <c r="AI8" s="27">
        <v>0.161</v>
      </c>
      <c r="AJ8" s="27">
        <v>0.20799999999999999</v>
      </c>
      <c r="AK8" s="27">
        <v>0.31900000000000001</v>
      </c>
      <c r="AL8" s="27">
        <v>0.223</v>
      </c>
      <c r="AM8" s="27">
        <v>0.14599999999999999</v>
      </c>
      <c r="AN8" s="27">
        <v>0.185</v>
      </c>
      <c r="AO8" s="27">
        <v>4.7E-2</v>
      </c>
      <c r="AP8" s="27">
        <v>5.1999999999999998E-2</v>
      </c>
      <c r="AQ8" s="27">
        <v>0.105</v>
      </c>
      <c r="AR8" s="27">
        <v>4.5999999999999999E-2</v>
      </c>
      <c r="AS8" s="27">
        <v>0.21</v>
      </c>
      <c r="AT8" s="27">
        <v>0.21299999999999999</v>
      </c>
      <c r="AU8" s="27">
        <v>0.191</v>
      </c>
      <c r="AV8" s="27">
        <v>0.156</v>
      </c>
      <c r="AW8" s="27">
        <v>0.13200000000000001</v>
      </c>
      <c r="AX8" s="27">
        <v>7.5999999999999998E-2</v>
      </c>
      <c r="AY8" s="27">
        <v>0.21299999999999999</v>
      </c>
      <c r="AZ8" s="27">
        <v>4.1000000000000002E-2</v>
      </c>
      <c r="BA8" s="27">
        <v>8.3999999999999991E-2</v>
      </c>
      <c r="BB8" s="27">
        <v>5.8000000000000003E-2</v>
      </c>
      <c r="BC8" s="27">
        <v>4.2999999999999997E-2</v>
      </c>
      <c r="BD8" s="27">
        <v>0.14799999999999999</v>
      </c>
      <c r="BE8" s="27">
        <v>0.124</v>
      </c>
      <c r="BF8" s="27">
        <v>0.21199999999999999</v>
      </c>
      <c r="BG8" s="27">
        <v>0.153</v>
      </c>
      <c r="BH8" s="27">
        <v>0.112</v>
      </c>
      <c r="BI8" s="27">
        <v>6.6000000000000003E-2</v>
      </c>
      <c r="BJ8" s="27">
        <v>8.2000000000000003E-2</v>
      </c>
      <c r="BK8" s="27">
        <v>6.2E-2</v>
      </c>
      <c r="BL8" s="27">
        <v>0.193</v>
      </c>
      <c r="BM8" s="27">
        <v>0</v>
      </c>
      <c r="BN8" s="27">
        <v>0</v>
      </c>
      <c r="BO8" s="27">
        <v>7.8E-2</v>
      </c>
      <c r="BP8" s="27">
        <v>0.05</v>
      </c>
      <c r="BQ8" s="27">
        <v>0.114</v>
      </c>
      <c r="BR8" s="27">
        <v>4.8000000000000001E-2</v>
      </c>
      <c r="BS8" s="27">
        <v>0.21199999999999999</v>
      </c>
      <c r="BT8" s="27">
        <v>0.13200000000000001</v>
      </c>
      <c r="BU8" s="27">
        <v>0.17</v>
      </c>
      <c r="BV8" s="27">
        <v>0.35099999999999998</v>
      </c>
      <c r="BW8" s="27">
        <v>5.6000000000000001E-2</v>
      </c>
      <c r="BX8" s="27">
        <v>5.1999999999999998E-2</v>
      </c>
      <c r="BY8" s="27">
        <v>0.223</v>
      </c>
      <c r="BZ8" s="27">
        <v>4.3999999999999997E-2</v>
      </c>
      <c r="CA8" s="27">
        <v>4.8000000000000001E-2</v>
      </c>
      <c r="CB8" s="27">
        <v>0.12644155844155841</v>
      </c>
      <c r="CC8" s="33">
        <v>9.7359999999999971</v>
      </c>
    </row>
    <row r="9" spans="1:81" x14ac:dyDescent="0.25">
      <c r="A9" s="23">
        <v>8</v>
      </c>
      <c r="B9" s="25">
        <v>3.5</v>
      </c>
      <c r="C9" s="27">
        <v>4.2999999999999997E-2</v>
      </c>
      <c r="D9" s="27">
        <v>3.6999999999999998E-2</v>
      </c>
      <c r="E9" s="27">
        <v>4.8000000000000001E-2</v>
      </c>
      <c r="F9" s="27">
        <v>0.16</v>
      </c>
      <c r="G9" s="27">
        <v>0.19</v>
      </c>
      <c r="H9" s="27">
        <v>9.2999999999999999E-2</v>
      </c>
      <c r="I9" s="27">
        <v>5.0999999999999997E-2</v>
      </c>
      <c r="J9" s="27">
        <v>9.4E-2</v>
      </c>
      <c r="K9" s="27">
        <v>5.2999999999999999E-2</v>
      </c>
      <c r="L9" s="27">
        <v>7.3999999999999996E-2</v>
      </c>
      <c r="M9" s="27">
        <v>4.2999999999999997E-2</v>
      </c>
      <c r="N9" s="27">
        <v>3.3000000000000002E-2</v>
      </c>
      <c r="O9" s="27">
        <v>4.8000000000000001E-2</v>
      </c>
      <c r="P9" s="27">
        <v>0.17299999999999999</v>
      </c>
      <c r="Q9" s="27">
        <v>0.19500000000000001</v>
      </c>
      <c r="R9" s="27">
        <v>4.2999999999999997E-2</v>
      </c>
      <c r="S9" s="27">
        <v>0.222</v>
      </c>
      <c r="T9" s="27">
        <v>5.0999999999999997E-2</v>
      </c>
      <c r="U9" s="27">
        <v>4.3999999999999997E-2</v>
      </c>
      <c r="V9" s="27">
        <v>0.27900000000000003</v>
      </c>
      <c r="W9" s="27">
        <v>0.24399999999999999</v>
      </c>
      <c r="X9" s="27">
        <v>7.6999999999999999E-2</v>
      </c>
      <c r="Y9" s="27">
        <v>4.7E-2</v>
      </c>
      <c r="Z9" s="27">
        <v>0</v>
      </c>
      <c r="AA9" s="27">
        <v>5.5E-2</v>
      </c>
      <c r="AB9" s="27">
        <v>5.5E-2</v>
      </c>
      <c r="AC9" s="27">
        <v>4.7E-2</v>
      </c>
      <c r="AD9" s="27">
        <v>0.16300000000000001</v>
      </c>
      <c r="AE9" s="27">
        <v>5.3999999999999999E-2</v>
      </c>
      <c r="AF9" s="27">
        <v>5.0999999999999997E-2</v>
      </c>
      <c r="AG9" s="27">
        <v>7.8E-2</v>
      </c>
      <c r="AH9" s="27">
        <v>0.05</v>
      </c>
      <c r="AI9" s="27">
        <v>0.121</v>
      </c>
      <c r="AJ9" s="27">
        <v>4.9000000000000002E-2</v>
      </c>
      <c r="AK9" s="27">
        <v>0.14299999999999999</v>
      </c>
      <c r="AL9" s="27">
        <v>0.152</v>
      </c>
      <c r="AM9" s="27">
        <v>0.05</v>
      </c>
      <c r="AN9" s="27">
        <v>5.7000000000000002E-2</v>
      </c>
      <c r="AO9" s="27">
        <v>4.3999999999999997E-2</v>
      </c>
      <c r="AP9" s="27">
        <v>0.05</v>
      </c>
      <c r="AQ9" s="27">
        <v>7.5999999999999998E-2</v>
      </c>
      <c r="AR9" s="27">
        <v>4.2999999999999997E-2</v>
      </c>
      <c r="AS9" s="27">
        <v>0.13700000000000001</v>
      </c>
      <c r="AT9" s="27">
        <v>3.5999999999999997E-2</v>
      </c>
      <c r="AU9" s="27">
        <v>5.3999999999999999E-2</v>
      </c>
      <c r="AV9" s="27">
        <v>9.6000000000000002E-2</v>
      </c>
      <c r="AW9" s="27">
        <v>0.20799999999999999</v>
      </c>
      <c r="AX9" s="27">
        <v>7.9000000000000001E-2</v>
      </c>
      <c r="AY9" s="27">
        <v>0.222</v>
      </c>
      <c r="AZ9" s="27">
        <v>0.219</v>
      </c>
      <c r="BA9" s="27">
        <v>0.13300000000000001</v>
      </c>
      <c r="BB9" s="27">
        <v>5.5E-2</v>
      </c>
      <c r="BC9" s="27">
        <v>0.115</v>
      </c>
      <c r="BD9" s="27">
        <v>0.161</v>
      </c>
      <c r="BE9" s="27">
        <v>5.5E-2</v>
      </c>
      <c r="BF9" s="27">
        <v>7.9000000000000001E-2</v>
      </c>
      <c r="BG9" s="27">
        <v>0.13400000000000001</v>
      </c>
      <c r="BH9" s="27">
        <v>0.151</v>
      </c>
      <c r="BI9" s="27">
        <v>9.8000000000000004E-2</v>
      </c>
      <c r="BJ9" s="27">
        <v>0.124</v>
      </c>
      <c r="BK9" s="27">
        <v>0.184</v>
      </c>
      <c r="BL9" s="27">
        <v>0.23200000000000001</v>
      </c>
      <c r="BM9" s="27">
        <v>0</v>
      </c>
      <c r="BN9" s="27">
        <v>0</v>
      </c>
      <c r="BO9" s="27">
        <v>6.2E-2</v>
      </c>
      <c r="BP9" s="27">
        <v>4.8000000000000001E-2</v>
      </c>
      <c r="BQ9" s="27">
        <v>3.5000000000000003E-2</v>
      </c>
      <c r="BR9" s="27">
        <v>4.5000000000000012E-2</v>
      </c>
      <c r="BS9" s="27">
        <v>4.7E-2</v>
      </c>
      <c r="BT9" s="27">
        <v>0.153</v>
      </c>
      <c r="BU9" s="27">
        <v>5.3999999999999999E-2</v>
      </c>
      <c r="BV9" s="27">
        <v>4.8000000000000001E-2</v>
      </c>
      <c r="BW9" s="27">
        <v>5.2999999999999999E-2</v>
      </c>
      <c r="BX9" s="27">
        <v>0.153</v>
      </c>
      <c r="BY9" s="27">
        <v>0.23200000000000001</v>
      </c>
      <c r="BZ9" s="27">
        <v>4.2999999999999997E-2</v>
      </c>
      <c r="CA9" s="27">
        <v>4.5000000000000012E-2</v>
      </c>
      <c r="CB9" s="27">
        <v>9.4415584415584411E-2</v>
      </c>
      <c r="CC9" s="33">
        <v>7.27</v>
      </c>
    </row>
    <row r="10" spans="1:81" x14ac:dyDescent="0.25">
      <c r="A10" s="23">
        <v>9</v>
      </c>
      <c r="B10" s="25">
        <v>4</v>
      </c>
      <c r="C10" s="27">
        <v>9.5000000000000001E-2</v>
      </c>
      <c r="D10" s="27">
        <v>7.2000000000000008E-2</v>
      </c>
      <c r="E10" s="27">
        <v>2.5000000000000001E-2</v>
      </c>
      <c r="F10" s="27">
        <v>1.9E-2</v>
      </c>
      <c r="G10" s="27">
        <v>1.7999999999999999E-2</v>
      </c>
      <c r="H10" s="27">
        <v>0.182</v>
      </c>
      <c r="I10" s="27">
        <v>0.14699999999999999</v>
      </c>
      <c r="J10" s="27">
        <v>0.19900000000000001</v>
      </c>
      <c r="K10" s="27">
        <v>0.03</v>
      </c>
      <c r="L10" s="27">
        <v>3.5999999999999997E-2</v>
      </c>
      <c r="M10" s="27">
        <v>9.0000000000000011E-3</v>
      </c>
      <c r="N10" s="27">
        <v>0</v>
      </c>
      <c r="O10" s="27">
        <v>0.17199999999999999</v>
      </c>
      <c r="P10" s="27">
        <v>2.1000000000000001E-2</v>
      </c>
      <c r="Q10" s="27">
        <v>1.7000000000000001E-2</v>
      </c>
      <c r="R10" s="27">
        <v>0.18</v>
      </c>
      <c r="S10" s="27">
        <v>1.4999999999999999E-2</v>
      </c>
      <c r="T10" s="27">
        <v>0.21099999999999999</v>
      </c>
      <c r="U10" s="27">
        <v>0.16900000000000001</v>
      </c>
      <c r="V10" s="27">
        <v>0.14099999999999999</v>
      </c>
      <c r="W10" s="27">
        <v>0.13400000000000001</v>
      </c>
      <c r="X10" s="27">
        <v>0.159</v>
      </c>
      <c r="Y10" s="27">
        <v>1.2999999999999999E-2</v>
      </c>
      <c r="Z10" s="27">
        <v>0</v>
      </c>
      <c r="AA10" s="27">
        <v>9.8000000000000004E-2</v>
      </c>
      <c r="AB10" s="27">
        <v>0.13900000000000001</v>
      </c>
      <c r="AC10" s="27">
        <v>2.6551649999999999E-4</v>
      </c>
      <c r="AD10" s="27">
        <v>0.13600000000000001</v>
      </c>
      <c r="AE10" s="27">
        <v>0</v>
      </c>
      <c r="AF10" s="27">
        <v>4.0000000000000001E-3</v>
      </c>
      <c r="AG10" s="27">
        <v>0.1</v>
      </c>
      <c r="AH10" s="27">
        <v>0.24099999999999999</v>
      </c>
      <c r="AI10" s="27">
        <v>0.16700000000000001</v>
      </c>
      <c r="AJ10" s="27">
        <v>0.14699999999999999</v>
      </c>
      <c r="AK10" s="27">
        <v>0.14099999999999999</v>
      </c>
      <c r="AL10" s="27">
        <v>9.4E-2</v>
      </c>
      <c r="AM10" s="27">
        <v>0.182</v>
      </c>
      <c r="AN10" s="27">
        <v>0.14199999999999999</v>
      </c>
      <c r="AO10" s="27">
        <v>0.01</v>
      </c>
      <c r="AP10" s="27">
        <v>2.1000000000000001E-2</v>
      </c>
      <c r="AQ10" s="27">
        <v>3.0000000000000001E-3</v>
      </c>
      <c r="AR10" s="27">
        <v>0</v>
      </c>
      <c r="AS10" s="27">
        <v>3.6999999999999998E-2</v>
      </c>
      <c r="AT10" s="27">
        <v>0.20300000000000001</v>
      </c>
      <c r="AU10" s="27">
        <v>0.127</v>
      </c>
      <c r="AV10" s="27">
        <v>7.1000000000000008E-2</v>
      </c>
      <c r="AW10" s="27">
        <v>9.2999999999999999E-2</v>
      </c>
      <c r="AX10" s="27">
        <v>5.8999999999999997E-2</v>
      </c>
      <c r="AY10" s="27">
        <v>4.5000000000000012E-2</v>
      </c>
      <c r="AZ10" s="27">
        <v>0.151</v>
      </c>
      <c r="BA10" s="27">
        <v>5.6000000000000001E-2</v>
      </c>
      <c r="BB10" s="27">
        <v>7.1000000000000008E-2</v>
      </c>
      <c r="BC10" s="27">
        <v>1.2E-2</v>
      </c>
      <c r="BD10" s="27">
        <v>3.3000000000000002E-2</v>
      </c>
      <c r="BE10" s="27">
        <v>1.4E-2</v>
      </c>
      <c r="BF10" s="27">
        <v>0.1</v>
      </c>
      <c r="BG10" s="27">
        <v>7.9000000000000001E-2</v>
      </c>
      <c r="BH10" s="27">
        <v>5.1999999999999998E-2</v>
      </c>
      <c r="BI10" s="27">
        <v>7.0000000000000001E-3</v>
      </c>
      <c r="BJ10" s="27">
        <v>0.13</v>
      </c>
      <c r="BK10" s="27">
        <v>0.127</v>
      </c>
      <c r="BL10" s="27">
        <v>0.16200000000000001</v>
      </c>
      <c r="BM10" s="27">
        <v>0</v>
      </c>
      <c r="BN10" s="27">
        <v>0</v>
      </c>
      <c r="BO10" s="27">
        <v>0.1</v>
      </c>
      <c r="BP10" s="27">
        <v>1.9E-2</v>
      </c>
      <c r="BQ10" s="27">
        <v>0.17599999999999999</v>
      </c>
      <c r="BR10" s="27">
        <v>3.2000000000000001E-2</v>
      </c>
      <c r="BS10" s="27">
        <v>0.10299999999999999</v>
      </c>
      <c r="BT10" s="27">
        <v>0.11700000000000001</v>
      </c>
      <c r="BU10" s="27">
        <v>0.20100000000000001</v>
      </c>
      <c r="BV10" s="27">
        <v>0.249</v>
      </c>
      <c r="BW10" s="27">
        <v>1.2E-2</v>
      </c>
      <c r="BX10" s="27">
        <v>7.4999999999999997E-2</v>
      </c>
      <c r="BY10" s="27">
        <v>0.29699999999999999</v>
      </c>
      <c r="BZ10" s="27">
        <v>3.2000000000000001E-2</v>
      </c>
      <c r="CA10" s="27">
        <v>1.0999999999999999E-2</v>
      </c>
      <c r="CB10" s="27">
        <v>8.7561889824675249E-2</v>
      </c>
      <c r="CC10" s="33">
        <v>6.7422655164999954</v>
      </c>
    </row>
    <row r="11" spans="1:81" x14ac:dyDescent="0.25">
      <c r="A11" s="23">
        <v>10</v>
      </c>
      <c r="B11" s="25">
        <v>4.5</v>
      </c>
      <c r="C11" s="27">
        <v>0</v>
      </c>
      <c r="D11" s="27">
        <v>0</v>
      </c>
      <c r="E11" s="27">
        <v>0</v>
      </c>
      <c r="F11" s="27">
        <v>0</v>
      </c>
      <c r="G11" s="27">
        <v>0</v>
      </c>
      <c r="H11" s="27">
        <v>9.8999999999999991E-2</v>
      </c>
      <c r="I11" s="27">
        <v>0.02</v>
      </c>
      <c r="J11" s="27">
        <v>0</v>
      </c>
      <c r="K11" s="27">
        <v>0</v>
      </c>
      <c r="L11" s="27">
        <v>0.109</v>
      </c>
      <c r="M11" s="27">
        <v>0</v>
      </c>
      <c r="N11" s="27">
        <v>0</v>
      </c>
      <c r="O11" s="27">
        <v>0</v>
      </c>
      <c r="P11" s="27">
        <v>7.1000000000000008E-2</v>
      </c>
      <c r="Q11" s="27">
        <v>5.0999999999999997E-2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W11" s="27">
        <v>0</v>
      </c>
      <c r="X11" s="27">
        <v>0</v>
      </c>
      <c r="Y11" s="27">
        <v>0</v>
      </c>
      <c r="Z11" s="27">
        <v>0</v>
      </c>
      <c r="AA11" s="27">
        <v>0</v>
      </c>
      <c r="AB11" s="27">
        <v>0</v>
      </c>
      <c r="AC11" s="27">
        <v>0</v>
      </c>
      <c r="AD11" s="27">
        <v>0</v>
      </c>
      <c r="AE11" s="27">
        <v>0</v>
      </c>
      <c r="AF11" s="27">
        <v>0</v>
      </c>
      <c r="AG11" s="27">
        <v>0</v>
      </c>
      <c r="AH11" s="27">
        <v>0</v>
      </c>
      <c r="AI11" s="27">
        <v>0</v>
      </c>
      <c r="AJ11" s="27">
        <v>6.0000000000000001E-3</v>
      </c>
      <c r="AK11" s="27">
        <v>0</v>
      </c>
      <c r="AL11" s="27">
        <v>7.8E-2</v>
      </c>
      <c r="AM11" s="27">
        <v>0</v>
      </c>
      <c r="AN11" s="27">
        <v>3.4000000000000002E-2</v>
      </c>
      <c r="AO11" s="27">
        <v>0</v>
      </c>
      <c r="AP11" s="27">
        <v>0</v>
      </c>
      <c r="AQ11" s="27">
        <v>0</v>
      </c>
      <c r="AR11" s="27">
        <v>0</v>
      </c>
      <c r="AS11" s="27">
        <v>0</v>
      </c>
      <c r="AT11" s="27">
        <v>0</v>
      </c>
      <c r="AU11" s="27">
        <v>0.11899999999999999</v>
      </c>
      <c r="AV11" s="27">
        <v>3.2000000000000001E-2</v>
      </c>
      <c r="AW11" s="27">
        <v>5.7000000000000002E-2</v>
      </c>
      <c r="AX11" s="27">
        <v>0.755</v>
      </c>
      <c r="AY11" s="27">
        <v>8.2000000000000003E-2</v>
      </c>
      <c r="AZ11" s="27">
        <v>0</v>
      </c>
      <c r="BA11" s="27">
        <v>0</v>
      </c>
      <c r="BB11" s="27">
        <v>0</v>
      </c>
      <c r="BC11" s="27">
        <v>0</v>
      </c>
      <c r="BD11" s="27">
        <v>6.4000000000000001E-2</v>
      </c>
      <c r="BE11" s="27">
        <v>0</v>
      </c>
      <c r="BF11" s="27">
        <v>0</v>
      </c>
      <c r="BG11" s="27">
        <v>0.17199999999999999</v>
      </c>
      <c r="BH11" s="27">
        <v>0</v>
      </c>
      <c r="BI11" s="27">
        <v>0</v>
      </c>
      <c r="BJ11" s="27">
        <v>0</v>
      </c>
      <c r="BK11" s="27">
        <v>0</v>
      </c>
      <c r="BL11" s="27">
        <v>0</v>
      </c>
      <c r="BM11" s="27">
        <v>0</v>
      </c>
      <c r="BN11" s="27">
        <v>0</v>
      </c>
      <c r="BO11" s="27">
        <v>0</v>
      </c>
      <c r="BP11" s="27">
        <v>0</v>
      </c>
      <c r="BQ11" s="27">
        <v>0</v>
      </c>
      <c r="BR11" s="27">
        <v>0</v>
      </c>
      <c r="BS11" s="27">
        <v>0</v>
      </c>
      <c r="BT11" s="27">
        <v>0</v>
      </c>
      <c r="BU11" s="27">
        <v>0</v>
      </c>
      <c r="BV11" s="27">
        <v>0</v>
      </c>
      <c r="BW11" s="27">
        <v>0</v>
      </c>
      <c r="BX11" s="27">
        <v>0</v>
      </c>
      <c r="BY11" s="27">
        <v>1.4999999999999999E-2</v>
      </c>
      <c r="BZ11" s="27">
        <v>0</v>
      </c>
      <c r="CA11" s="27">
        <v>0</v>
      </c>
      <c r="CB11" s="27">
        <v>2.290909090909091E-2</v>
      </c>
      <c r="CC11" s="33">
        <v>1.764</v>
      </c>
    </row>
    <row r="12" spans="1:81" x14ac:dyDescent="0.25">
      <c r="A12" s="23">
        <v>11</v>
      </c>
      <c r="B12" s="25">
        <v>5</v>
      </c>
      <c r="C12" s="27">
        <v>0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5.2999999999999999E-2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  <c r="V12" s="27">
        <v>0.105</v>
      </c>
      <c r="W12" s="27">
        <v>0</v>
      </c>
      <c r="X12" s="27">
        <v>0</v>
      </c>
      <c r="Y12" s="27">
        <v>0</v>
      </c>
      <c r="Z12" s="27">
        <v>0</v>
      </c>
      <c r="AA12" s="27">
        <v>0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0</v>
      </c>
      <c r="AI12" s="27">
        <v>0</v>
      </c>
      <c r="AJ12" s="27">
        <v>0</v>
      </c>
      <c r="AK12" s="27">
        <v>0</v>
      </c>
      <c r="AL12" s="27">
        <v>0</v>
      </c>
      <c r="AM12" s="27">
        <v>0</v>
      </c>
      <c r="AN12" s="27">
        <v>0</v>
      </c>
      <c r="AO12" s="27">
        <v>0</v>
      </c>
      <c r="AP12" s="27">
        <v>0</v>
      </c>
      <c r="AQ12" s="27">
        <v>0</v>
      </c>
      <c r="AR12" s="27">
        <v>0</v>
      </c>
      <c r="AS12" s="27">
        <v>0</v>
      </c>
      <c r="AT12" s="27">
        <v>2E-3</v>
      </c>
      <c r="AU12" s="27">
        <v>0</v>
      </c>
      <c r="AV12" s="27">
        <v>0</v>
      </c>
      <c r="AW12" s="27">
        <v>0</v>
      </c>
      <c r="AX12" s="27">
        <v>0</v>
      </c>
      <c r="AY12" s="27">
        <v>0</v>
      </c>
      <c r="AZ12" s="27">
        <v>0</v>
      </c>
      <c r="BA12" s="27">
        <v>0</v>
      </c>
      <c r="BB12" s="27">
        <v>0</v>
      </c>
      <c r="BC12" s="27">
        <v>0</v>
      </c>
      <c r="BD12" s="27">
        <v>0</v>
      </c>
      <c r="BE12" s="27">
        <v>0</v>
      </c>
      <c r="BF12" s="27">
        <v>0.16</v>
      </c>
      <c r="BG12" s="27">
        <v>0</v>
      </c>
      <c r="BH12" s="27">
        <v>0</v>
      </c>
      <c r="BI12" s="27">
        <v>0</v>
      </c>
      <c r="BJ12" s="27">
        <v>0</v>
      </c>
      <c r="BK12" s="27">
        <v>0</v>
      </c>
      <c r="BL12" s="27">
        <v>0</v>
      </c>
      <c r="BM12" s="27">
        <v>0</v>
      </c>
      <c r="BN12" s="27">
        <v>0</v>
      </c>
      <c r="BO12" s="27">
        <v>0</v>
      </c>
      <c r="BP12" s="27">
        <v>0</v>
      </c>
      <c r="BQ12" s="27">
        <v>0</v>
      </c>
      <c r="BR12" s="27">
        <v>0</v>
      </c>
      <c r="BS12" s="27">
        <v>0</v>
      </c>
      <c r="BT12" s="27">
        <v>0</v>
      </c>
      <c r="BU12" s="27">
        <v>0</v>
      </c>
      <c r="BV12" s="27">
        <v>0</v>
      </c>
      <c r="BW12" s="27">
        <v>0</v>
      </c>
      <c r="BX12" s="27">
        <v>0</v>
      </c>
      <c r="BY12" s="27">
        <v>0</v>
      </c>
      <c r="BZ12" s="27">
        <v>0</v>
      </c>
      <c r="CA12" s="27">
        <v>0</v>
      </c>
      <c r="CB12" s="27">
        <v>4.1558441558441558E-3</v>
      </c>
      <c r="CC12" s="33">
        <v>0.32</v>
      </c>
    </row>
    <row r="13" spans="1:81" x14ac:dyDescent="0.25">
      <c r="A13" s="23">
        <v>12</v>
      </c>
      <c r="B13" s="25">
        <v>5.5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  <c r="V13" s="27">
        <v>0</v>
      </c>
      <c r="W13" s="27">
        <v>0</v>
      </c>
      <c r="X13" s="27">
        <v>0</v>
      </c>
      <c r="Y13" s="27">
        <v>0</v>
      </c>
      <c r="Z13" s="27">
        <v>0</v>
      </c>
      <c r="AA13" s="27">
        <v>0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27">
        <v>0</v>
      </c>
      <c r="AH13" s="27">
        <v>0</v>
      </c>
      <c r="AI13" s="27">
        <v>0</v>
      </c>
      <c r="AJ13" s="27">
        <v>0</v>
      </c>
      <c r="AK13" s="27">
        <v>0</v>
      </c>
      <c r="AL13" s="27">
        <v>0</v>
      </c>
      <c r="AM13" s="27">
        <v>0</v>
      </c>
      <c r="AN13" s="27">
        <v>0</v>
      </c>
      <c r="AO13" s="27">
        <v>0</v>
      </c>
      <c r="AP13" s="27">
        <v>0</v>
      </c>
      <c r="AQ13" s="27">
        <v>0</v>
      </c>
      <c r="AR13" s="27">
        <v>0</v>
      </c>
      <c r="AS13" s="27">
        <v>0</v>
      </c>
      <c r="AT13" s="27">
        <v>0</v>
      </c>
      <c r="AU13" s="27">
        <v>0</v>
      </c>
      <c r="AV13" s="27">
        <v>0</v>
      </c>
      <c r="AW13" s="27">
        <v>0</v>
      </c>
      <c r="AX13" s="27">
        <v>0</v>
      </c>
      <c r="AY13" s="27">
        <v>0</v>
      </c>
      <c r="AZ13" s="27">
        <v>0</v>
      </c>
      <c r="BA13" s="27">
        <v>0</v>
      </c>
      <c r="BB13" s="27">
        <v>0</v>
      </c>
      <c r="BC13" s="27">
        <v>0</v>
      </c>
      <c r="BD13" s="27">
        <v>0</v>
      </c>
      <c r="BE13" s="27">
        <v>0</v>
      </c>
      <c r="BF13" s="27">
        <v>0</v>
      </c>
      <c r="BG13" s="27">
        <v>0.02</v>
      </c>
      <c r="BH13" s="27">
        <v>0</v>
      </c>
      <c r="BI13" s="27">
        <v>0</v>
      </c>
      <c r="BJ13" s="27">
        <v>0</v>
      </c>
      <c r="BK13" s="27">
        <v>0</v>
      </c>
      <c r="BL13" s="27">
        <v>0</v>
      </c>
      <c r="BM13" s="27">
        <v>0</v>
      </c>
      <c r="BN13" s="27">
        <v>0</v>
      </c>
      <c r="BO13" s="27">
        <v>0</v>
      </c>
      <c r="BP13" s="27">
        <v>0</v>
      </c>
      <c r="BQ13" s="27">
        <v>0</v>
      </c>
      <c r="BR13" s="27">
        <v>0</v>
      </c>
      <c r="BS13" s="27">
        <v>0</v>
      </c>
      <c r="BT13" s="27">
        <v>0</v>
      </c>
      <c r="BU13" s="27">
        <v>7.0000000000000001E-3</v>
      </c>
      <c r="BV13" s="27">
        <v>0</v>
      </c>
      <c r="BW13" s="27">
        <v>0</v>
      </c>
      <c r="BX13" s="27">
        <v>0</v>
      </c>
      <c r="BY13" s="27">
        <v>0</v>
      </c>
      <c r="BZ13" s="27">
        <v>0</v>
      </c>
      <c r="CA13" s="27">
        <v>0</v>
      </c>
      <c r="CB13" s="27">
        <v>3.5064935064935072E-4</v>
      </c>
      <c r="CC13" s="33">
        <v>2.7E-2</v>
      </c>
    </row>
    <row r="14" spans="1:81" x14ac:dyDescent="0.25">
      <c r="A14" s="23">
        <v>13</v>
      </c>
      <c r="B14" s="25">
        <v>6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  <c r="BQ14" s="27">
        <v>0</v>
      </c>
      <c r="BR14" s="27">
        <v>0</v>
      </c>
      <c r="BS14" s="27">
        <v>0</v>
      </c>
      <c r="BT14" s="27">
        <v>0</v>
      </c>
      <c r="BU14" s="27">
        <v>0</v>
      </c>
      <c r="BV14" s="27">
        <v>0</v>
      </c>
      <c r="BW14" s="27">
        <v>0</v>
      </c>
      <c r="BX14" s="27">
        <v>0</v>
      </c>
      <c r="BY14" s="27">
        <v>0</v>
      </c>
      <c r="BZ14" s="27">
        <v>0</v>
      </c>
      <c r="CA14" s="27">
        <v>0</v>
      </c>
      <c r="CB14" s="27">
        <v>0</v>
      </c>
      <c r="CC14" s="33">
        <v>0</v>
      </c>
    </row>
    <row r="15" spans="1:81" x14ac:dyDescent="0.25">
      <c r="A15" s="23">
        <v>14</v>
      </c>
      <c r="B15" s="25">
        <v>6.5</v>
      </c>
      <c r="C15" s="27">
        <v>0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0.51200000000000001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0</v>
      </c>
      <c r="AC15" s="27">
        <v>0</v>
      </c>
      <c r="AD15" s="27">
        <v>0</v>
      </c>
      <c r="AE15" s="27">
        <v>0</v>
      </c>
      <c r="AF15" s="27">
        <v>0.20799999999999999</v>
      </c>
      <c r="AG15" s="27">
        <v>0</v>
      </c>
      <c r="AH15" s="27">
        <v>0</v>
      </c>
      <c r="AI15" s="27">
        <v>0</v>
      </c>
      <c r="AJ15" s="27">
        <v>0</v>
      </c>
      <c r="AK15" s="27">
        <v>0</v>
      </c>
      <c r="AL15" s="27">
        <v>0</v>
      </c>
      <c r="AM15" s="27">
        <v>0</v>
      </c>
      <c r="AN15" s="27">
        <v>0</v>
      </c>
      <c r="AO15" s="27">
        <v>0</v>
      </c>
      <c r="AP15" s="27">
        <v>0</v>
      </c>
      <c r="AQ15" s="27">
        <v>0</v>
      </c>
      <c r="AR15" s="27">
        <v>0</v>
      </c>
      <c r="AS15" s="27">
        <v>0</v>
      </c>
      <c r="AT15" s="27">
        <v>0</v>
      </c>
      <c r="AU15" s="27">
        <v>0</v>
      </c>
      <c r="AV15" s="27">
        <v>0</v>
      </c>
      <c r="AW15" s="27">
        <v>0</v>
      </c>
      <c r="AX15" s="27">
        <v>0</v>
      </c>
      <c r="AY15" s="27">
        <v>0</v>
      </c>
      <c r="AZ15" s="27">
        <v>0</v>
      </c>
      <c r="BA15" s="27">
        <v>0</v>
      </c>
      <c r="BB15" s="27">
        <v>0</v>
      </c>
      <c r="BC15" s="27">
        <v>0</v>
      </c>
      <c r="BD15" s="27">
        <v>0</v>
      </c>
      <c r="BE15" s="27">
        <v>0</v>
      </c>
      <c r="BF15" s="27">
        <v>0</v>
      </c>
      <c r="BG15" s="27">
        <v>0.55900000000000005</v>
      </c>
      <c r="BH15" s="27">
        <v>0</v>
      </c>
      <c r="BI15" s="27">
        <v>0</v>
      </c>
      <c r="BJ15" s="27">
        <v>0</v>
      </c>
      <c r="BK15" s="27">
        <v>0</v>
      </c>
      <c r="BL15" s="27">
        <v>0</v>
      </c>
      <c r="BM15" s="27">
        <v>0</v>
      </c>
      <c r="BN15" s="27">
        <v>0</v>
      </c>
      <c r="BO15" s="27">
        <v>0</v>
      </c>
      <c r="BP15" s="27">
        <v>0</v>
      </c>
      <c r="BQ15" s="27">
        <v>0</v>
      </c>
      <c r="BR15" s="27">
        <v>0</v>
      </c>
      <c r="BS15" s="27">
        <v>0</v>
      </c>
      <c r="BT15" s="27">
        <v>0</v>
      </c>
      <c r="BU15" s="27">
        <v>0</v>
      </c>
      <c r="BV15" s="27">
        <v>0</v>
      </c>
      <c r="BW15" s="27">
        <v>0</v>
      </c>
      <c r="BX15" s="27">
        <v>0</v>
      </c>
      <c r="BY15" s="27">
        <v>0</v>
      </c>
      <c r="BZ15" s="27">
        <v>0</v>
      </c>
      <c r="CA15" s="27">
        <v>0</v>
      </c>
      <c r="CB15" s="27">
        <v>1.661038961038961E-2</v>
      </c>
      <c r="CC15" s="33">
        <v>1.2789999999999999</v>
      </c>
    </row>
    <row r="16" spans="1:81" x14ac:dyDescent="0.25">
      <c r="A16" s="23">
        <v>15</v>
      </c>
      <c r="B16" s="25">
        <v>7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0</v>
      </c>
      <c r="AI16" s="27">
        <v>0</v>
      </c>
      <c r="AJ16" s="27">
        <v>0</v>
      </c>
      <c r="AK16" s="27">
        <v>0</v>
      </c>
      <c r="AL16" s="27">
        <v>0</v>
      </c>
      <c r="AM16" s="27">
        <v>0</v>
      </c>
      <c r="AN16" s="27">
        <v>0.315</v>
      </c>
      <c r="AO16" s="27">
        <v>0</v>
      </c>
      <c r="AP16" s="27">
        <v>0</v>
      </c>
      <c r="AQ16" s="27">
        <v>0</v>
      </c>
      <c r="AR16" s="27">
        <v>0</v>
      </c>
      <c r="AS16" s="27">
        <v>0</v>
      </c>
      <c r="AT16" s="27">
        <v>0</v>
      </c>
      <c r="AU16" s="27">
        <v>0</v>
      </c>
      <c r="AV16" s="27">
        <v>0</v>
      </c>
      <c r="AW16" s="27">
        <v>0</v>
      </c>
      <c r="AX16" s="27">
        <v>0</v>
      </c>
      <c r="AY16" s="27">
        <v>0</v>
      </c>
      <c r="AZ16" s="27">
        <v>0</v>
      </c>
      <c r="BA16" s="27">
        <v>0</v>
      </c>
      <c r="BB16" s="27">
        <v>0</v>
      </c>
      <c r="BC16" s="27">
        <v>0</v>
      </c>
      <c r="BD16" s="27">
        <v>0</v>
      </c>
      <c r="BE16" s="27">
        <v>0</v>
      </c>
      <c r="BF16" s="27">
        <v>0</v>
      </c>
      <c r="BG16" s="27">
        <v>0.80199999999999994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0</v>
      </c>
      <c r="BN16" s="27">
        <v>0</v>
      </c>
      <c r="BO16" s="27">
        <v>0</v>
      </c>
      <c r="BP16" s="27">
        <v>0</v>
      </c>
      <c r="BQ16" s="27">
        <v>0</v>
      </c>
      <c r="BR16" s="27">
        <v>0</v>
      </c>
      <c r="BS16" s="27">
        <v>0</v>
      </c>
      <c r="BT16" s="27">
        <v>0</v>
      </c>
      <c r="BU16" s="27">
        <v>0</v>
      </c>
      <c r="BV16" s="27">
        <v>0</v>
      </c>
      <c r="BW16" s="27">
        <v>0</v>
      </c>
      <c r="BX16" s="27">
        <v>0</v>
      </c>
      <c r="BY16" s="27">
        <v>0</v>
      </c>
      <c r="BZ16" s="27">
        <v>0</v>
      </c>
      <c r="CA16" s="27">
        <v>0</v>
      </c>
      <c r="CB16" s="27">
        <v>1.4506493506493511E-2</v>
      </c>
      <c r="CC16" s="33">
        <v>1.117</v>
      </c>
    </row>
    <row r="17" spans="1:81" x14ac:dyDescent="0.25">
      <c r="A17" s="23">
        <v>16</v>
      </c>
      <c r="B17" s="25">
        <v>7.5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 s="27">
        <v>0</v>
      </c>
      <c r="Y17" s="27">
        <v>0</v>
      </c>
      <c r="Z17" s="27">
        <v>0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  <c r="AG17" s="27">
        <v>0</v>
      </c>
      <c r="AH17" s="27">
        <v>0.158</v>
      </c>
      <c r="AI17" s="27">
        <v>0</v>
      </c>
      <c r="AJ17" s="27">
        <v>0</v>
      </c>
      <c r="AK17" s="27">
        <v>0</v>
      </c>
      <c r="AL17" s="27">
        <v>0</v>
      </c>
      <c r="AM17" s="27">
        <v>0</v>
      </c>
      <c r="AN17" s="27">
        <v>0</v>
      </c>
      <c r="AO17" s="27">
        <v>0</v>
      </c>
      <c r="AP17" s="27">
        <v>0</v>
      </c>
      <c r="AQ17" s="27">
        <v>0</v>
      </c>
      <c r="AR17" s="27">
        <v>0</v>
      </c>
      <c r="AS17" s="27">
        <v>0</v>
      </c>
      <c r="AT17" s="27">
        <v>0</v>
      </c>
      <c r="AU17" s="27">
        <v>0</v>
      </c>
      <c r="AV17" s="27">
        <v>0</v>
      </c>
      <c r="AW17" s="27">
        <v>0</v>
      </c>
      <c r="AX17" s="27">
        <v>0</v>
      </c>
      <c r="AY17" s="27">
        <v>0</v>
      </c>
      <c r="AZ17" s="27">
        <v>0</v>
      </c>
      <c r="BA17" s="27">
        <v>0</v>
      </c>
      <c r="BB17" s="27">
        <v>0</v>
      </c>
      <c r="BC17" s="27">
        <v>0</v>
      </c>
      <c r="BD17" s="27">
        <v>0</v>
      </c>
      <c r="BE17" s="27">
        <v>0</v>
      </c>
      <c r="BF17" s="27">
        <v>0</v>
      </c>
      <c r="BG17" s="27">
        <v>0</v>
      </c>
      <c r="BH17" s="27">
        <v>0</v>
      </c>
      <c r="BI17" s="27">
        <v>0</v>
      </c>
      <c r="BJ17" s="27">
        <v>0</v>
      </c>
      <c r="BK17" s="27">
        <v>0</v>
      </c>
      <c r="BL17" s="27">
        <v>0</v>
      </c>
      <c r="BM17" s="27">
        <v>0</v>
      </c>
      <c r="BN17" s="27">
        <v>0</v>
      </c>
      <c r="BO17" s="27">
        <v>0</v>
      </c>
      <c r="BP17" s="27">
        <v>0</v>
      </c>
      <c r="BQ17" s="27">
        <v>0</v>
      </c>
      <c r="BR17" s="27">
        <v>0</v>
      </c>
      <c r="BS17" s="27">
        <v>0</v>
      </c>
      <c r="BT17" s="27">
        <v>0.501</v>
      </c>
      <c r="BU17" s="27">
        <v>0</v>
      </c>
      <c r="BV17" s="27">
        <v>0</v>
      </c>
      <c r="BW17" s="27">
        <v>0</v>
      </c>
      <c r="BX17" s="27">
        <v>0</v>
      </c>
      <c r="BY17" s="27">
        <v>0</v>
      </c>
      <c r="BZ17" s="27">
        <v>0</v>
      </c>
      <c r="CA17" s="27">
        <v>0</v>
      </c>
      <c r="CB17" s="27">
        <v>8.5584415584415586E-3</v>
      </c>
      <c r="CC17" s="33">
        <v>0.65900000000000003</v>
      </c>
    </row>
    <row r="18" spans="1:81" x14ac:dyDescent="0.25">
      <c r="A18" s="23">
        <v>17</v>
      </c>
      <c r="B18" s="25">
        <v>8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  <c r="AI18" s="27">
        <v>0</v>
      </c>
      <c r="AJ18" s="27">
        <v>0</v>
      </c>
      <c r="AK18" s="27">
        <v>0</v>
      </c>
      <c r="AL18" s="27">
        <v>0</v>
      </c>
      <c r="AM18" s="27">
        <v>0</v>
      </c>
      <c r="AN18" s="27">
        <v>0</v>
      </c>
      <c r="AO18" s="27">
        <v>0</v>
      </c>
      <c r="AP18" s="27">
        <v>0</v>
      </c>
      <c r="AQ18" s="27">
        <v>0</v>
      </c>
      <c r="AR18" s="27">
        <v>0</v>
      </c>
      <c r="AS18" s="27">
        <v>0</v>
      </c>
      <c r="AT18" s="27">
        <v>0</v>
      </c>
      <c r="AU18" s="27">
        <v>0</v>
      </c>
      <c r="AV18" s="27">
        <v>0</v>
      </c>
      <c r="AW18" s="27">
        <v>0</v>
      </c>
      <c r="AX18" s="27">
        <v>0</v>
      </c>
      <c r="AY18" s="27">
        <v>0</v>
      </c>
      <c r="AZ18" s="27">
        <v>0</v>
      </c>
      <c r="BA18" s="27">
        <v>0</v>
      </c>
      <c r="BB18" s="27">
        <v>0</v>
      </c>
      <c r="BC18" s="27">
        <v>0</v>
      </c>
      <c r="BD18" s="27">
        <v>0</v>
      </c>
      <c r="BE18" s="27">
        <v>0</v>
      </c>
      <c r="BF18" s="27">
        <v>0</v>
      </c>
      <c r="BG18" s="27">
        <v>0</v>
      </c>
      <c r="BH18" s="27">
        <v>0</v>
      </c>
      <c r="BI18" s="27">
        <v>0</v>
      </c>
      <c r="BJ18" s="27">
        <v>0</v>
      </c>
      <c r="BK18" s="27">
        <v>0</v>
      </c>
      <c r="BL18" s="27">
        <v>0</v>
      </c>
      <c r="BM18" s="27">
        <v>0</v>
      </c>
      <c r="BN18" s="27">
        <v>0</v>
      </c>
      <c r="BO18" s="27">
        <v>0</v>
      </c>
      <c r="BP18" s="27">
        <v>0</v>
      </c>
      <c r="BQ18" s="27">
        <v>0</v>
      </c>
      <c r="BR18" s="27">
        <v>0</v>
      </c>
      <c r="BS18" s="27">
        <v>0</v>
      </c>
      <c r="BT18" s="27">
        <v>0</v>
      </c>
      <c r="BU18" s="27">
        <v>0</v>
      </c>
      <c r="BV18" s="27">
        <v>0</v>
      </c>
      <c r="BW18" s="27">
        <v>0</v>
      </c>
      <c r="BX18" s="27">
        <v>0</v>
      </c>
      <c r="BY18" s="27">
        <v>0</v>
      </c>
      <c r="BZ18" s="27">
        <v>0</v>
      </c>
      <c r="CA18" s="27">
        <v>0</v>
      </c>
      <c r="CB18" s="27">
        <v>0</v>
      </c>
      <c r="CC18" s="33">
        <v>0</v>
      </c>
    </row>
    <row r="19" spans="1:81" x14ac:dyDescent="0.25">
      <c r="A19" s="23">
        <v>18</v>
      </c>
      <c r="B19" s="25">
        <v>8.5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0.13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  <c r="X19" s="27">
        <v>0</v>
      </c>
      <c r="Y19" s="27">
        <v>0</v>
      </c>
      <c r="Z19" s="27">
        <v>0</v>
      </c>
      <c r="AA19" s="27">
        <v>0</v>
      </c>
      <c r="AB19" s="27">
        <v>0</v>
      </c>
      <c r="AC19" s="27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0</v>
      </c>
      <c r="AI19" s="27">
        <v>0</v>
      </c>
      <c r="AJ19" s="27">
        <v>0.59899999999999998</v>
      </c>
      <c r="AK19" s="27">
        <v>0</v>
      </c>
      <c r="AL19" s="27">
        <v>0</v>
      </c>
      <c r="AM19" s="27">
        <v>0</v>
      </c>
      <c r="AN19" s="27">
        <v>0</v>
      </c>
      <c r="AO19" s="27">
        <v>0</v>
      </c>
      <c r="AP19" s="27">
        <v>0</v>
      </c>
      <c r="AQ19" s="27">
        <v>0</v>
      </c>
      <c r="AR19" s="27">
        <v>0.53500000000000003</v>
      </c>
      <c r="AS19" s="27">
        <v>0</v>
      </c>
      <c r="AT19" s="27">
        <v>0</v>
      </c>
      <c r="AU19" s="27">
        <v>0</v>
      </c>
      <c r="AV19" s="27">
        <v>0</v>
      </c>
      <c r="AW19" s="27">
        <v>0</v>
      </c>
      <c r="AX19" s="27">
        <v>0</v>
      </c>
      <c r="AY19" s="27">
        <v>1.637</v>
      </c>
      <c r="AZ19" s="27">
        <v>0</v>
      </c>
      <c r="BA19" s="27">
        <v>0</v>
      </c>
      <c r="BB19" s="27">
        <v>0</v>
      </c>
      <c r="BC19" s="27">
        <v>0</v>
      </c>
      <c r="BD19" s="27">
        <v>0</v>
      </c>
      <c r="BE19" s="27">
        <v>0</v>
      </c>
      <c r="BF19" s="27">
        <v>0</v>
      </c>
      <c r="BG19" s="27">
        <v>0</v>
      </c>
      <c r="BH19" s="27">
        <v>0</v>
      </c>
      <c r="BI19" s="27">
        <v>0</v>
      </c>
      <c r="BJ19" s="27">
        <v>0</v>
      </c>
      <c r="BK19" s="27">
        <v>0</v>
      </c>
      <c r="BL19" s="27">
        <v>0</v>
      </c>
      <c r="BM19" s="27">
        <v>0</v>
      </c>
      <c r="BN19" s="27">
        <v>0</v>
      </c>
      <c r="BO19" s="27">
        <v>0</v>
      </c>
      <c r="BP19" s="27">
        <v>0</v>
      </c>
      <c r="BQ19" s="27">
        <v>0</v>
      </c>
      <c r="BR19" s="27">
        <v>0</v>
      </c>
      <c r="BS19" s="27">
        <v>0</v>
      </c>
      <c r="BT19" s="27">
        <v>0</v>
      </c>
      <c r="BU19" s="27">
        <v>0</v>
      </c>
      <c r="BV19" s="27">
        <v>0</v>
      </c>
      <c r="BW19" s="27">
        <v>0</v>
      </c>
      <c r="BX19" s="27">
        <v>0</v>
      </c>
      <c r="BY19" s="27">
        <v>0</v>
      </c>
      <c r="BZ19" s="27">
        <v>0</v>
      </c>
      <c r="CA19" s="27">
        <v>0</v>
      </c>
      <c r="CB19" s="27">
        <v>3.7675324675324667E-2</v>
      </c>
      <c r="CC19" s="33">
        <v>2.9009999999999998</v>
      </c>
    </row>
    <row r="20" spans="1:81" x14ac:dyDescent="0.25">
      <c r="A20" s="23">
        <v>19</v>
      </c>
      <c r="B20" s="25">
        <v>9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  <c r="W20" s="27">
        <v>0</v>
      </c>
      <c r="X20" s="27">
        <v>0</v>
      </c>
      <c r="Y20" s="27">
        <v>0</v>
      </c>
      <c r="Z20" s="27">
        <v>0</v>
      </c>
      <c r="AA20" s="27">
        <v>0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0</v>
      </c>
      <c r="AI20" s="27">
        <v>0</v>
      </c>
      <c r="AJ20" s="27">
        <v>1.0189999999999999</v>
      </c>
      <c r="AK20" s="27">
        <v>0</v>
      </c>
      <c r="AL20" s="27">
        <v>0</v>
      </c>
      <c r="AM20" s="27">
        <v>0</v>
      </c>
      <c r="AN20" s="27">
        <v>0</v>
      </c>
      <c r="AO20" s="27">
        <v>0</v>
      </c>
      <c r="AP20" s="27">
        <v>0</v>
      </c>
      <c r="AQ20" s="27">
        <v>0</v>
      </c>
      <c r="AR20" s="27">
        <v>0</v>
      </c>
      <c r="AS20" s="27">
        <v>0</v>
      </c>
      <c r="AT20" s="27">
        <v>0</v>
      </c>
      <c r="AU20" s="27">
        <v>0</v>
      </c>
      <c r="AV20" s="27">
        <v>0</v>
      </c>
      <c r="AW20" s="27">
        <v>0</v>
      </c>
      <c r="AX20" s="27">
        <v>0</v>
      </c>
      <c r="AY20" s="27">
        <v>0</v>
      </c>
      <c r="AZ20" s="27">
        <v>0</v>
      </c>
      <c r="BA20" s="27">
        <v>0</v>
      </c>
      <c r="BB20" s="27">
        <v>0</v>
      </c>
      <c r="BC20" s="27">
        <v>0</v>
      </c>
      <c r="BD20" s="27">
        <v>0</v>
      </c>
      <c r="BE20" s="27">
        <v>0</v>
      </c>
      <c r="BF20" s="27">
        <v>0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0</v>
      </c>
      <c r="BN20" s="27">
        <v>0</v>
      </c>
      <c r="BO20" s="27">
        <v>0</v>
      </c>
      <c r="BP20" s="27">
        <v>0</v>
      </c>
      <c r="BQ20" s="27">
        <v>0</v>
      </c>
      <c r="BR20" s="27">
        <v>0</v>
      </c>
      <c r="BS20" s="27">
        <v>0</v>
      </c>
      <c r="BT20" s="27">
        <v>0</v>
      </c>
      <c r="BU20" s="27">
        <v>0</v>
      </c>
      <c r="BV20" s="27">
        <v>0</v>
      </c>
      <c r="BW20" s="27">
        <v>0</v>
      </c>
      <c r="BX20" s="27">
        <v>0</v>
      </c>
      <c r="BY20" s="27">
        <v>0</v>
      </c>
      <c r="BZ20" s="27">
        <v>0</v>
      </c>
      <c r="CA20" s="27">
        <v>0</v>
      </c>
      <c r="CB20" s="27">
        <v>1.323376623376623E-2</v>
      </c>
      <c r="CC20" s="33">
        <v>1.0189999999999999</v>
      </c>
    </row>
    <row r="21" spans="1:81" x14ac:dyDescent="0.25">
      <c r="A21" s="23">
        <v>20</v>
      </c>
      <c r="B21" s="25">
        <v>9.5</v>
      </c>
      <c r="C21" s="27">
        <v>0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0.308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  <c r="V21" s="27">
        <v>0</v>
      </c>
      <c r="W21" s="27">
        <v>0</v>
      </c>
      <c r="X21" s="27">
        <v>0</v>
      </c>
      <c r="Y21" s="27">
        <v>0</v>
      </c>
      <c r="Z21" s="27">
        <v>0</v>
      </c>
      <c r="AA21" s="27">
        <v>0</v>
      </c>
      <c r="AB21" s="27">
        <v>0</v>
      </c>
      <c r="AC21" s="27">
        <v>0</v>
      </c>
      <c r="AD21" s="27">
        <v>0</v>
      </c>
      <c r="AE21" s="27">
        <v>0</v>
      </c>
      <c r="AF21" s="27">
        <v>0</v>
      </c>
      <c r="AG21" s="27">
        <v>0</v>
      </c>
      <c r="AH21" s="27">
        <v>0</v>
      </c>
      <c r="AI21" s="27">
        <v>0</v>
      </c>
      <c r="AJ21" s="27">
        <v>4.3999999999999997E-2</v>
      </c>
      <c r="AK21" s="27">
        <v>0</v>
      </c>
      <c r="AL21" s="27">
        <v>0</v>
      </c>
      <c r="AM21" s="27">
        <v>0</v>
      </c>
      <c r="AN21" s="27">
        <v>0</v>
      </c>
      <c r="AO21" s="27">
        <v>0</v>
      </c>
      <c r="AP21" s="27">
        <v>0</v>
      </c>
      <c r="AQ21" s="27">
        <v>0</v>
      </c>
      <c r="AR21" s="27">
        <v>0</v>
      </c>
      <c r="AS21" s="27">
        <v>0</v>
      </c>
      <c r="AT21" s="27">
        <v>0</v>
      </c>
      <c r="AU21" s="27">
        <v>0</v>
      </c>
      <c r="AV21" s="27">
        <v>0</v>
      </c>
      <c r="AW21" s="27">
        <v>0</v>
      </c>
      <c r="AX21" s="27">
        <v>0</v>
      </c>
      <c r="AY21" s="27">
        <v>0</v>
      </c>
      <c r="AZ21" s="27">
        <v>0</v>
      </c>
      <c r="BA21" s="27">
        <v>0</v>
      </c>
      <c r="BB21" s="27">
        <v>0</v>
      </c>
      <c r="BC21" s="27">
        <v>0</v>
      </c>
      <c r="BD21" s="27">
        <v>0</v>
      </c>
      <c r="BE21" s="27">
        <v>0</v>
      </c>
      <c r="BF21" s="27">
        <v>0</v>
      </c>
      <c r="BG21" s="27">
        <v>0</v>
      </c>
      <c r="BH21" s="27">
        <v>0</v>
      </c>
      <c r="BI21" s="27">
        <v>0</v>
      </c>
      <c r="BJ21" s="27">
        <v>0</v>
      </c>
      <c r="BK21" s="27">
        <v>0</v>
      </c>
      <c r="BL21" s="27">
        <v>0</v>
      </c>
      <c r="BM21" s="27">
        <v>0</v>
      </c>
      <c r="BN21" s="27">
        <v>0</v>
      </c>
      <c r="BO21" s="27">
        <v>0</v>
      </c>
      <c r="BP21" s="27">
        <v>0</v>
      </c>
      <c r="BQ21" s="27">
        <v>0</v>
      </c>
      <c r="BR21" s="27">
        <v>0</v>
      </c>
      <c r="BS21" s="27">
        <v>0</v>
      </c>
      <c r="BT21" s="27">
        <v>0</v>
      </c>
      <c r="BU21" s="27">
        <v>0</v>
      </c>
      <c r="BV21" s="27">
        <v>0</v>
      </c>
      <c r="BW21" s="27">
        <v>0</v>
      </c>
      <c r="BX21" s="27">
        <v>0</v>
      </c>
      <c r="BY21" s="27">
        <v>0</v>
      </c>
      <c r="BZ21" s="27">
        <v>0</v>
      </c>
      <c r="CA21" s="27">
        <v>0</v>
      </c>
      <c r="CB21" s="27">
        <v>4.5714285714285709E-3</v>
      </c>
      <c r="CC21" s="33">
        <v>0.35199999999999998</v>
      </c>
    </row>
    <row r="22" spans="1:81" x14ac:dyDescent="0.25">
      <c r="A22" s="23">
        <v>21</v>
      </c>
      <c r="B22" s="25">
        <v>10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I22" s="27">
        <v>0</v>
      </c>
      <c r="AJ22" s="27">
        <v>0</v>
      </c>
      <c r="AK22" s="27">
        <v>0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0</v>
      </c>
      <c r="AR22" s="27">
        <v>0</v>
      </c>
      <c r="AS22" s="27">
        <v>0</v>
      </c>
      <c r="AT22" s="27">
        <v>0</v>
      </c>
      <c r="AU22" s="27">
        <v>0</v>
      </c>
      <c r="AV22" s="27">
        <v>0</v>
      </c>
      <c r="AW22" s="27">
        <v>0</v>
      </c>
      <c r="AX22" s="27">
        <v>0</v>
      </c>
      <c r="AY22" s="27">
        <v>0.56700000000000006</v>
      </c>
      <c r="AZ22" s="27">
        <v>0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0</v>
      </c>
      <c r="BH22" s="27">
        <v>0</v>
      </c>
      <c r="BI22" s="27">
        <v>0</v>
      </c>
      <c r="BJ22" s="27">
        <v>1.94</v>
      </c>
      <c r="BK22" s="27">
        <v>0</v>
      </c>
      <c r="BL22" s="27">
        <v>0</v>
      </c>
      <c r="BM22" s="27">
        <v>0</v>
      </c>
      <c r="BN22" s="27">
        <v>0</v>
      </c>
      <c r="BO22" s="27">
        <v>0</v>
      </c>
      <c r="BP22" s="27">
        <v>0</v>
      </c>
      <c r="BQ22" s="27">
        <v>0</v>
      </c>
      <c r="BR22" s="27">
        <v>0</v>
      </c>
      <c r="BS22" s="27">
        <v>0</v>
      </c>
      <c r="BT22" s="27">
        <v>0</v>
      </c>
      <c r="BU22" s="27">
        <v>0</v>
      </c>
      <c r="BV22" s="27">
        <v>0</v>
      </c>
      <c r="BW22" s="27">
        <v>0</v>
      </c>
      <c r="BX22" s="27">
        <v>0</v>
      </c>
      <c r="BY22" s="27">
        <v>0</v>
      </c>
      <c r="BZ22" s="27">
        <v>0</v>
      </c>
      <c r="CA22" s="27">
        <v>0</v>
      </c>
      <c r="CB22" s="27">
        <v>3.2558441558441557E-2</v>
      </c>
      <c r="CC22" s="33">
        <v>2.5070000000000001</v>
      </c>
    </row>
    <row r="23" spans="1:81" x14ac:dyDescent="0.25">
      <c r="A23" s="23">
        <v>22</v>
      </c>
      <c r="B23" s="25">
        <v>10.5</v>
      </c>
      <c r="C23" s="27">
        <v>0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0.59899999999999998</v>
      </c>
      <c r="BK23" s="27">
        <v>0</v>
      </c>
      <c r="BL23" s="27">
        <v>0</v>
      </c>
      <c r="BM23" s="27">
        <v>0</v>
      </c>
      <c r="BN23" s="27">
        <v>0</v>
      </c>
      <c r="BO23" s="27">
        <v>0</v>
      </c>
      <c r="BP23" s="27">
        <v>0</v>
      </c>
      <c r="BQ23" s="27">
        <v>0</v>
      </c>
      <c r="BR23" s="27">
        <v>0</v>
      </c>
      <c r="BS23" s="27">
        <v>0</v>
      </c>
      <c r="BT23" s="27">
        <v>0</v>
      </c>
      <c r="BU23" s="27">
        <v>0</v>
      </c>
      <c r="BV23" s="27">
        <v>0</v>
      </c>
      <c r="BW23" s="27">
        <v>0</v>
      </c>
      <c r="BX23" s="27">
        <v>0</v>
      </c>
      <c r="BY23" s="27">
        <v>0</v>
      </c>
      <c r="BZ23" s="27">
        <v>0</v>
      </c>
      <c r="CA23" s="27">
        <v>0</v>
      </c>
      <c r="CB23" s="27">
        <v>7.7792207792207789E-3</v>
      </c>
      <c r="CC23" s="33">
        <v>0.59899999999999998</v>
      </c>
    </row>
    <row r="24" spans="1:81" x14ac:dyDescent="0.25">
      <c r="A24" s="23">
        <v>23</v>
      </c>
      <c r="B24" s="25">
        <v>11</v>
      </c>
      <c r="C24" s="27">
        <v>0</v>
      </c>
      <c r="D24" s="27">
        <v>0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  <c r="V24" s="27">
        <v>0</v>
      </c>
      <c r="W24" s="27">
        <v>0</v>
      </c>
      <c r="X24" s="27">
        <v>0</v>
      </c>
      <c r="Y24" s="27">
        <v>0</v>
      </c>
      <c r="Z24" s="27">
        <v>0.11</v>
      </c>
      <c r="AA24" s="27">
        <v>0</v>
      </c>
      <c r="AB24" s="27">
        <v>0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0</v>
      </c>
      <c r="AI24" s="27">
        <v>0</v>
      </c>
      <c r="AJ24" s="27">
        <v>0</v>
      </c>
      <c r="AK24" s="27">
        <v>0</v>
      </c>
      <c r="AL24" s="27">
        <v>0</v>
      </c>
      <c r="AM24" s="27">
        <v>0</v>
      </c>
      <c r="AN24" s="27">
        <v>0</v>
      </c>
      <c r="AO24" s="27">
        <v>0</v>
      </c>
      <c r="AP24" s="27">
        <v>0</v>
      </c>
      <c r="AQ24" s="27">
        <v>0</v>
      </c>
      <c r="AR24" s="27">
        <v>0</v>
      </c>
      <c r="AS24" s="27">
        <v>0</v>
      </c>
      <c r="AT24" s="27">
        <v>0</v>
      </c>
      <c r="AU24" s="27">
        <v>0</v>
      </c>
      <c r="AV24" s="27">
        <v>0</v>
      </c>
      <c r="AW24" s="27">
        <v>0</v>
      </c>
      <c r="AX24" s="27">
        <v>0</v>
      </c>
      <c r="AY24" s="27">
        <v>0</v>
      </c>
      <c r="AZ24" s="27">
        <v>0</v>
      </c>
      <c r="BA24" s="27">
        <v>0</v>
      </c>
      <c r="BB24" s="27">
        <v>0</v>
      </c>
      <c r="BC24" s="27">
        <v>0</v>
      </c>
      <c r="BD24" s="27">
        <v>0</v>
      </c>
      <c r="BE24" s="27">
        <v>0</v>
      </c>
      <c r="BF24" s="27">
        <v>0</v>
      </c>
      <c r="BG24" s="27">
        <v>0</v>
      </c>
      <c r="BH24" s="27">
        <v>0</v>
      </c>
      <c r="BI24" s="27">
        <v>0</v>
      </c>
      <c r="BJ24" s="27">
        <v>0</v>
      </c>
      <c r="BK24" s="27">
        <v>0</v>
      </c>
      <c r="BL24" s="27">
        <v>0</v>
      </c>
      <c r="BM24" s="27">
        <v>0</v>
      </c>
      <c r="BN24" s="27">
        <v>0</v>
      </c>
      <c r="BO24" s="27">
        <v>0</v>
      </c>
      <c r="BP24" s="27">
        <v>0.46700000000000003</v>
      </c>
      <c r="BQ24" s="27">
        <v>0</v>
      </c>
      <c r="BR24" s="27">
        <v>0</v>
      </c>
      <c r="BS24" s="27">
        <v>0</v>
      </c>
      <c r="BT24" s="27">
        <v>0</v>
      </c>
      <c r="BU24" s="27">
        <v>0</v>
      </c>
      <c r="BV24" s="27">
        <v>0</v>
      </c>
      <c r="BW24" s="27">
        <v>0</v>
      </c>
      <c r="BX24" s="27">
        <v>0</v>
      </c>
      <c r="BY24" s="27">
        <v>0</v>
      </c>
      <c r="BZ24" s="27">
        <v>0</v>
      </c>
      <c r="CA24" s="27">
        <v>0</v>
      </c>
      <c r="CB24" s="27">
        <v>7.4935064935064948E-3</v>
      </c>
      <c r="CC24" s="33">
        <v>0.57700000000000007</v>
      </c>
    </row>
    <row r="25" spans="1:81" x14ac:dyDescent="0.25">
      <c r="A25" s="23">
        <v>24</v>
      </c>
      <c r="B25" s="25">
        <v>11.5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  <c r="AA25" s="27">
        <v>0</v>
      </c>
      <c r="AB25" s="27">
        <v>0</v>
      </c>
      <c r="AC25" s="27">
        <v>0</v>
      </c>
      <c r="AD25" s="27">
        <v>0</v>
      </c>
      <c r="AE25" s="27">
        <v>0</v>
      </c>
      <c r="AF25" s="27">
        <v>0</v>
      </c>
      <c r="AG25" s="27">
        <v>0</v>
      </c>
      <c r="AH25" s="27">
        <v>0</v>
      </c>
      <c r="AI25" s="27">
        <v>0</v>
      </c>
      <c r="AJ25" s="27">
        <v>0</v>
      </c>
      <c r="AK25" s="27">
        <v>0</v>
      </c>
      <c r="AL25" s="27">
        <v>0</v>
      </c>
      <c r="AM25" s="27">
        <v>0</v>
      </c>
      <c r="AN25" s="27">
        <v>0</v>
      </c>
      <c r="AO25" s="27">
        <v>0</v>
      </c>
      <c r="AP25" s="27">
        <v>0</v>
      </c>
      <c r="AQ25" s="27">
        <v>0</v>
      </c>
      <c r="AR25" s="27">
        <v>0</v>
      </c>
      <c r="AS25" s="27">
        <v>0</v>
      </c>
      <c r="AT25" s="27">
        <v>0</v>
      </c>
      <c r="AU25" s="27">
        <v>0.82200000000000006</v>
      </c>
      <c r="AV25" s="27">
        <v>0</v>
      </c>
      <c r="AW25" s="27">
        <v>0</v>
      </c>
      <c r="AX25" s="27">
        <v>0</v>
      </c>
      <c r="AY25" s="27">
        <v>0</v>
      </c>
      <c r="AZ25" s="27">
        <v>0</v>
      </c>
      <c r="BA25" s="27">
        <v>0</v>
      </c>
      <c r="BB25" s="27">
        <v>0</v>
      </c>
      <c r="BC25" s="27">
        <v>0</v>
      </c>
      <c r="BD25" s="27">
        <v>0</v>
      </c>
      <c r="BE25" s="27">
        <v>0</v>
      </c>
      <c r="BF25" s="27">
        <v>1.4850000000000001</v>
      </c>
      <c r="BG25" s="27">
        <v>0</v>
      </c>
      <c r="BH25" s="27">
        <v>0</v>
      </c>
      <c r="BI25" s="27">
        <v>0</v>
      </c>
      <c r="BJ25" s="27">
        <v>1.036</v>
      </c>
      <c r="BK25" s="27">
        <v>0</v>
      </c>
      <c r="BL25" s="27">
        <v>0</v>
      </c>
      <c r="BM25" s="27">
        <v>0</v>
      </c>
      <c r="BN25" s="27">
        <v>0</v>
      </c>
      <c r="BO25" s="27">
        <v>0</v>
      </c>
      <c r="BP25" s="27">
        <v>0</v>
      </c>
      <c r="BQ25" s="27">
        <v>0</v>
      </c>
      <c r="BR25" s="27">
        <v>0</v>
      </c>
      <c r="BS25" s="27">
        <v>0</v>
      </c>
      <c r="BT25" s="27">
        <v>0</v>
      </c>
      <c r="BU25" s="27">
        <v>0</v>
      </c>
      <c r="BV25" s="27">
        <v>0</v>
      </c>
      <c r="BW25" s="27">
        <v>0</v>
      </c>
      <c r="BX25" s="27">
        <v>0</v>
      </c>
      <c r="BY25" s="27">
        <v>0</v>
      </c>
      <c r="BZ25" s="27">
        <v>0</v>
      </c>
      <c r="CA25" s="27">
        <v>0</v>
      </c>
      <c r="CB25" s="27">
        <v>4.3415584415584421E-2</v>
      </c>
      <c r="CC25" s="33">
        <v>3.343</v>
      </c>
    </row>
    <row r="26" spans="1:81" x14ac:dyDescent="0.25">
      <c r="A26" s="23">
        <v>25</v>
      </c>
      <c r="B26" s="25">
        <v>12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  <c r="V26" s="27">
        <v>0</v>
      </c>
      <c r="W26" s="27">
        <v>0</v>
      </c>
      <c r="X26" s="27">
        <v>0</v>
      </c>
      <c r="Y26" s="27">
        <v>0</v>
      </c>
      <c r="Z26" s="27">
        <v>0</v>
      </c>
      <c r="AA26" s="27">
        <v>0</v>
      </c>
      <c r="AB26" s="27">
        <v>0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I26" s="27">
        <v>0</v>
      </c>
      <c r="AJ26" s="27">
        <v>0</v>
      </c>
      <c r="AK26" s="27">
        <v>0</v>
      </c>
      <c r="AL26" s="27">
        <v>0</v>
      </c>
      <c r="AM26" s="27">
        <v>0</v>
      </c>
      <c r="AN26" s="27">
        <v>0</v>
      </c>
      <c r="AO26" s="27">
        <v>0</v>
      </c>
      <c r="AP26" s="27">
        <v>0</v>
      </c>
      <c r="AQ26" s="27">
        <v>0</v>
      </c>
      <c r="AR26" s="27">
        <v>0</v>
      </c>
      <c r="AS26" s="27">
        <v>0</v>
      </c>
      <c r="AT26" s="27">
        <v>0</v>
      </c>
      <c r="AU26" s="27">
        <v>0</v>
      </c>
      <c r="AV26" s="27">
        <v>0</v>
      </c>
      <c r="AW26" s="27">
        <v>0</v>
      </c>
      <c r="AX26" s="27">
        <v>0</v>
      </c>
      <c r="AY26" s="27">
        <v>0</v>
      </c>
      <c r="AZ26" s="27">
        <v>0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1.351</v>
      </c>
      <c r="BG26" s="27">
        <v>0</v>
      </c>
      <c r="BH26" s="27">
        <v>0</v>
      </c>
      <c r="BI26" s="27">
        <v>0</v>
      </c>
      <c r="BJ26" s="27">
        <v>1.268</v>
      </c>
      <c r="BK26" s="27">
        <v>0</v>
      </c>
      <c r="BL26" s="27">
        <v>0</v>
      </c>
      <c r="BM26" s="27">
        <v>0</v>
      </c>
      <c r="BN26" s="27">
        <v>0</v>
      </c>
      <c r="BO26" s="27">
        <v>0</v>
      </c>
      <c r="BP26" s="27">
        <v>0</v>
      </c>
      <c r="BQ26" s="27">
        <v>0</v>
      </c>
      <c r="BR26" s="27">
        <v>0</v>
      </c>
      <c r="BS26" s="27">
        <v>0</v>
      </c>
      <c r="BT26" s="27">
        <v>0</v>
      </c>
      <c r="BU26" s="27">
        <v>0</v>
      </c>
      <c r="BV26" s="27">
        <v>0</v>
      </c>
      <c r="BW26" s="27">
        <v>0</v>
      </c>
      <c r="BX26" s="27">
        <v>0</v>
      </c>
      <c r="BY26" s="27">
        <v>0</v>
      </c>
      <c r="BZ26" s="27">
        <v>0</v>
      </c>
      <c r="CA26" s="27">
        <v>0</v>
      </c>
      <c r="CB26" s="27">
        <v>3.4012987012987009E-2</v>
      </c>
      <c r="CC26" s="33">
        <v>2.6190000000000002</v>
      </c>
    </row>
    <row r="27" spans="1:81" x14ac:dyDescent="0.25">
      <c r="A27" s="23">
        <v>26</v>
      </c>
      <c r="B27" s="25">
        <v>12.5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7">
        <v>0</v>
      </c>
      <c r="AJ27" s="27">
        <v>0</v>
      </c>
      <c r="AK27" s="27">
        <v>0</v>
      </c>
      <c r="AL27" s="27">
        <v>0</v>
      </c>
      <c r="AM27" s="27">
        <v>0</v>
      </c>
      <c r="AN27" s="27">
        <v>0</v>
      </c>
      <c r="AO27" s="27">
        <v>0</v>
      </c>
      <c r="AP27" s="27">
        <v>0</v>
      </c>
      <c r="AQ27" s="27">
        <v>0</v>
      </c>
      <c r="AR27" s="27">
        <v>0</v>
      </c>
      <c r="AS27" s="27">
        <v>0</v>
      </c>
      <c r="AT27" s="27">
        <v>0</v>
      </c>
      <c r="AU27" s="27">
        <v>0</v>
      </c>
      <c r="AV27" s="27">
        <v>0</v>
      </c>
      <c r="AW27" s="27">
        <v>0</v>
      </c>
      <c r="AX27" s="27">
        <v>0</v>
      </c>
      <c r="AY27" s="27">
        <v>0</v>
      </c>
      <c r="AZ27" s="27">
        <v>0</v>
      </c>
      <c r="BA27" s="27">
        <v>0</v>
      </c>
      <c r="BB27" s="27">
        <v>0</v>
      </c>
      <c r="BC27" s="27">
        <v>0</v>
      </c>
      <c r="BD27" s="27">
        <v>0</v>
      </c>
      <c r="BE27" s="27">
        <v>0</v>
      </c>
      <c r="BF27" s="27">
        <v>0</v>
      </c>
      <c r="BG27" s="27">
        <v>0</v>
      </c>
      <c r="BH27" s="27">
        <v>0</v>
      </c>
      <c r="BI27" s="27">
        <v>0</v>
      </c>
      <c r="BJ27" s="27">
        <v>0.307</v>
      </c>
      <c r="BK27" s="27">
        <v>0</v>
      </c>
      <c r="BL27" s="27">
        <v>0</v>
      </c>
      <c r="BM27" s="27">
        <v>0</v>
      </c>
      <c r="BN27" s="27">
        <v>0</v>
      </c>
      <c r="BO27" s="27">
        <v>0</v>
      </c>
      <c r="BP27" s="27">
        <v>0</v>
      </c>
      <c r="BQ27" s="27">
        <v>0</v>
      </c>
      <c r="BR27" s="27">
        <v>0</v>
      </c>
      <c r="BS27" s="27">
        <v>0</v>
      </c>
      <c r="BT27" s="27">
        <v>0</v>
      </c>
      <c r="BU27" s="27">
        <v>0</v>
      </c>
      <c r="BV27" s="27">
        <v>0</v>
      </c>
      <c r="BW27" s="27">
        <v>0.94300000000000006</v>
      </c>
      <c r="BX27" s="27">
        <v>0</v>
      </c>
      <c r="BY27" s="27">
        <v>0</v>
      </c>
      <c r="BZ27" s="27">
        <v>0.48</v>
      </c>
      <c r="CA27" s="27">
        <v>0</v>
      </c>
      <c r="CB27" s="27">
        <v>2.2467532467532469E-2</v>
      </c>
      <c r="CC27" s="33">
        <v>1.73</v>
      </c>
    </row>
    <row r="28" spans="1:81" x14ac:dyDescent="0.25">
      <c r="A28" s="23">
        <v>27</v>
      </c>
      <c r="B28" s="25">
        <v>13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  <c r="AJ28" s="27">
        <v>0</v>
      </c>
      <c r="AK28" s="27">
        <v>0</v>
      </c>
      <c r="AL28" s="27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0</v>
      </c>
      <c r="AR28" s="27">
        <v>0</v>
      </c>
      <c r="AS28" s="27">
        <v>0</v>
      </c>
      <c r="AT28" s="27">
        <v>0</v>
      </c>
      <c r="AU28" s="27">
        <v>0.64800000000000002</v>
      </c>
      <c r="AV28" s="27">
        <v>0</v>
      </c>
      <c r="AW28" s="27">
        <v>0</v>
      </c>
      <c r="AX28" s="27">
        <v>0</v>
      </c>
      <c r="AY28" s="27">
        <v>0</v>
      </c>
      <c r="AZ28" s="27">
        <v>0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0</v>
      </c>
      <c r="BN28" s="27">
        <v>0</v>
      </c>
      <c r="BO28" s="27">
        <v>0</v>
      </c>
      <c r="BP28" s="27">
        <v>0</v>
      </c>
      <c r="BQ28" s="27">
        <v>0</v>
      </c>
      <c r="BR28" s="27">
        <v>0</v>
      </c>
      <c r="BS28" s="27">
        <v>0</v>
      </c>
      <c r="BT28" s="27">
        <v>0</v>
      </c>
      <c r="BU28" s="27">
        <v>0</v>
      </c>
      <c r="BV28" s="27">
        <v>0</v>
      </c>
      <c r="BW28" s="27">
        <v>2.2000000000000002</v>
      </c>
      <c r="BX28" s="27">
        <v>0</v>
      </c>
      <c r="BY28" s="27">
        <v>0</v>
      </c>
      <c r="BZ28" s="27">
        <v>0.499</v>
      </c>
      <c r="CA28" s="27">
        <v>0</v>
      </c>
      <c r="CB28" s="27">
        <v>4.3467532467532467E-2</v>
      </c>
      <c r="CC28" s="33">
        <v>3.347</v>
      </c>
    </row>
    <row r="29" spans="1:81" x14ac:dyDescent="0.25">
      <c r="A29" s="23">
        <v>28</v>
      </c>
      <c r="B29" s="25">
        <v>13.5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  <c r="AJ29" s="27">
        <v>0</v>
      </c>
      <c r="AK29" s="27">
        <v>0</v>
      </c>
      <c r="AL29" s="27">
        <v>0</v>
      </c>
      <c r="AM29" s="27">
        <v>0</v>
      </c>
      <c r="AN29" s="27">
        <v>0</v>
      </c>
      <c r="AO29" s="27">
        <v>0</v>
      </c>
      <c r="AP29" s="27">
        <v>0.78700000000000003</v>
      </c>
      <c r="AQ29" s="27">
        <v>0</v>
      </c>
      <c r="AR29" s="27">
        <v>0</v>
      </c>
      <c r="AS29" s="27">
        <v>0</v>
      </c>
      <c r="AT29" s="27">
        <v>0</v>
      </c>
      <c r="AU29" s="27">
        <v>0</v>
      </c>
      <c r="AV29" s="27">
        <v>0</v>
      </c>
      <c r="AW29" s="27">
        <v>0</v>
      </c>
      <c r="AX29" s="27">
        <v>0</v>
      </c>
      <c r="AY29" s="27">
        <v>0</v>
      </c>
      <c r="AZ29" s="27">
        <v>0</v>
      </c>
      <c r="BA29" s="27">
        <v>0</v>
      </c>
      <c r="BB29" s="27">
        <v>0</v>
      </c>
      <c r="BC29" s="27">
        <v>0</v>
      </c>
      <c r="BD29" s="27">
        <v>0</v>
      </c>
      <c r="BE29" s="27">
        <v>0</v>
      </c>
      <c r="BF29" s="27">
        <v>0</v>
      </c>
      <c r="BG29" s="27">
        <v>0</v>
      </c>
      <c r="BH29" s="27">
        <v>0</v>
      </c>
      <c r="BI29" s="27">
        <v>0</v>
      </c>
      <c r="BJ29" s="27">
        <v>0</v>
      </c>
      <c r="BK29" s="27">
        <v>0</v>
      </c>
      <c r="BL29" s="27">
        <v>0</v>
      </c>
      <c r="BM29" s="27">
        <v>0</v>
      </c>
      <c r="BN29" s="27">
        <v>0</v>
      </c>
      <c r="BO29" s="27">
        <v>0</v>
      </c>
      <c r="BP29" s="27">
        <v>0</v>
      </c>
      <c r="BQ29" s="27">
        <v>0</v>
      </c>
      <c r="BR29" s="27">
        <v>0</v>
      </c>
      <c r="BS29" s="27">
        <v>0</v>
      </c>
      <c r="BT29" s="27">
        <v>0</v>
      </c>
      <c r="BU29" s="27">
        <v>0</v>
      </c>
      <c r="BV29" s="27">
        <v>0</v>
      </c>
      <c r="BW29" s="27">
        <v>0</v>
      </c>
      <c r="BX29" s="27">
        <v>0</v>
      </c>
      <c r="BY29" s="27">
        <v>0</v>
      </c>
      <c r="BZ29" s="27">
        <v>0</v>
      </c>
      <c r="CA29" s="27">
        <v>0</v>
      </c>
      <c r="CB29" s="27">
        <v>1.0220779220779221E-2</v>
      </c>
      <c r="CC29" s="33">
        <v>0.78700000000000003</v>
      </c>
    </row>
    <row r="30" spans="1:81" x14ac:dyDescent="0.25">
      <c r="A30" s="23">
        <v>29</v>
      </c>
      <c r="B30" s="25">
        <v>14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  <c r="AJ30" s="27">
        <v>7.8E-2</v>
      </c>
      <c r="AK30" s="27">
        <v>0</v>
      </c>
      <c r="AL30" s="27">
        <v>0</v>
      </c>
      <c r="AM30" s="27">
        <v>0</v>
      </c>
      <c r="AN30" s="27">
        <v>0</v>
      </c>
      <c r="AO30" s="27">
        <v>0</v>
      </c>
      <c r="AP30" s="27">
        <v>1.1140000000000001</v>
      </c>
      <c r="AQ30" s="27">
        <v>0</v>
      </c>
      <c r="AR30" s="27">
        <v>0</v>
      </c>
      <c r="AS30" s="27">
        <v>0</v>
      </c>
      <c r="AT30" s="27">
        <v>0</v>
      </c>
      <c r="AU30" s="27">
        <v>0</v>
      </c>
      <c r="AV30" s="27">
        <v>0</v>
      </c>
      <c r="AW30" s="27">
        <v>0</v>
      </c>
      <c r="AX30" s="27">
        <v>0</v>
      </c>
      <c r="AY30" s="27">
        <v>0</v>
      </c>
      <c r="AZ30" s="27">
        <v>0</v>
      </c>
      <c r="BA30" s="27">
        <v>0</v>
      </c>
      <c r="BB30" s="27">
        <v>0</v>
      </c>
      <c r="BC30" s="27">
        <v>0</v>
      </c>
      <c r="BD30" s="27">
        <v>0</v>
      </c>
      <c r="BE30" s="27">
        <v>0</v>
      </c>
      <c r="BF30" s="27">
        <v>0</v>
      </c>
      <c r="BG30" s="27">
        <v>0.107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0</v>
      </c>
      <c r="BN30" s="27">
        <v>0</v>
      </c>
      <c r="BO30" s="27">
        <v>0</v>
      </c>
      <c r="BP30" s="27">
        <v>0</v>
      </c>
      <c r="BQ30" s="27">
        <v>0</v>
      </c>
      <c r="BR30" s="27">
        <v>0</v>
      </c>
      <c r="BS30" s="27">
        <v>0</v>
      </c>
      <c r="BT30" s="27">
        <v>0</v>
      </c>
      <c r="BU30" s="27">
        <v>0</v>
      </c>
      <c r="BV30" s="27">
        <v>0</v>
      </c>
      <c r="BW30" s="27">
        <v>0</v>
      </c>
      <c r="BX30" s="27">
        <v>0</v>
      </c>
      <c r="BY30" s="27">
        <v>0</v>
      </c>
      <c r="BZ30" s="27">
        <v>0</v>
      </c>
      <c r="CA30" s="27">
        <v>0</v>
      </c>
      <c r="CB30" s="27">
        <v>1.6870129870129869E-2</v>
      </c>
      <c r="CC30" s="33">
        <v>1.2989999999999999</v>
      </c>
    </row>
    <row r="31" spans="1:81" x14ac:dyDescent="0.25">
      <c r="A31" s="23">
        <v>30</v>
      </c>
      <c r="B31" s="25">
        <v>14.5</v>
      </c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  <c r="V31" s="27">
        <v>0</v>
      </c>
      <c r="W31" s="27">
        <v>0</v>
      </c>
      <c r="X31" s="27">
        <v>0</v>
      </c>
      <c r="Y31" s="27">
        <v>0</v>
      </c>
      <c r="Z31" s="27">
        <v>0</v>
      </c>
      <c r="AA31" s="27">
        <v>0</v>
      </c>
      <c r="AB31" s="27">
        <v>0</v>
      </c>
      <c r="AC31" s="27">
        <v>0</v>
      </c>
      <c r="AD31" s="27">
        <v>0</v>
      </c>
      <c r="AE31" s="27">
        <v>0</v>
      </c>
      <c r="AF31" s="27">
        <v>0</v>
      </c>
      <c r="AG31" s="27">
        <v>0</v>
      </c>
      <c r="AH31" s="27">
        <v>0</v>
      </c>
      <c r="AI31" s="27">
        <v>0</v>
      </c>
      <c r="AJ31" s="27">
        <v>0</v>
      </c>
      <c r="AK31" s="27">
        <v>0</v>
      </c>
      <c r="AL31" s="27">
        <v>0</v>
      </c>
      <c r="AM31" s="27">
        <v>0</v>
      </c>
      <c r="AN31" s="27">
        <v>0</v>
      </c>
      <c r="AO31" s="27">
        <v>0</v>
      </c>
      <c r="AP31" s="27">
        <v>0</v>
      </c>
      <c r="AQ31" s="27">
        <v>0</v>
      </c>
      <c r="AR31" s="27">
        <v>0</v>
      </c>
      <c r="AS31" s="27">
        <v>0</v>
      </c>
      <c r="AT31" s="27">
        <v>0</v>
      </c>
      <c r="AU31" s="27">
        <v>0</v>
      </c>
      <c r="AV31" s="27">
        <v>0</v>
      </c>
      <c r="AW31" s="27">
        <v>0</v>
      </c>
      <c r="AX31" s="27">
        <v>0</v>
      </c>
      <c r="AY31" s="27">
        <v>0</v>
      </c>
      <c r="AZ31" s="27">
        <v>0</v>
      </c>
      <c r="BA31" s="27">
        <v>0</v>
      </c>
      <c r="BB31" s="27">
        <v>0</v>
      </c>
      <c r="BC31" s="27">
        <v>0</v>
      </c>
      <c r="BD31" s="27">
        <v>0</v>
      </c>
      <c r="BE31" s="27">
        <v>0</v>
      </c>
      <c r="BF31" s="27">
        <v>0</v>
      </c>
      <c r="BG31" s="27">
        <v>0</v>
      </c>
      <c r="BH31" s="27">
        <v>0</v>
      </c>
      <c r="BI31" s="27">
        <v>0</v>
      </c>
      <c r="BJ31" s="27">
        <v>0</v>
      </c>
      <c r="BK31" s="27">
        <v>0</v>
      </c>
      <c r="BL31" s="27">
        <v>0</v>
      </c>
      <c r="BM31" s="27">
        <v>0</v>
      </c>
      <c r="BN31" s="27">
        <v>0</v>
      </c>
      <c r="BO31" s="27">
        <v>0</v>
      </c>
      <c r="BP31" s="27">
        <v>0</v>
      </c>
      <c r="BQ31" s="27">
        <v>0</v>
      </c>
      <c r="BR31" s="27">
        <v>0</v>
      </c>
      <c r="BS31" s="27">
        <v>0</v>
      </c>
      <c r="BT31" s="27">
        <v>0</v>
      </c>
      <c r="BU31" s="27">
        <v>0</v>
      </c>
      <c r="BV31" s="27">
        <v>0</v>
      </c>
      <c r="BW31" s="27">
        <v>0</v>
      </c>
      <c r="BX31" s="27">
        <v>0</v>
      </c>
      <c r="BY31" s="27">
        <v>0</v>
      </c>
      <c r="BZ31" s="27">
        <v>0</v>
      </c>
      <c r="CA31" s="27">
        <v>0</v>
      </c>
      <c r="CB31" s="27">
        <v>0</v>
      </c>
      <c r="CC31" s="33">
        <v>0</v>
      </c>
    </row>
    <row r="32" spans="1:81" x14ac:dyDescent="0.25">
      <c r="A32" s="23">
        <v>31</v>
      </c>
      <c r="B32" s="25">
        <v>15</v>
      </c>
      <c r="C32" s="27">
        <v>0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  <c r="V32" s="27">
        <v>0</v>
      </c>
      <c r="W32" s="27">
        <v>0</v>
      </c>
      <c r="X32" s="27">
        <v>0</v>
      </c>
      <c r="Y32" s="27">
        <v>0</v>
      </c>
      <c r="Z32" s="27">
        <v>0</v>
      </c>
      <c r="AA32" s="27">
        <v>0</v>
      </c>
      <c r="AB32" s="27">
        <v>0</v>
      </c>
      <c r="AC32" s="27">
        <v>0</v>
      </c>
      <c r="AD32" s="27">
        <v>0</v>
      </c>
      <c r="AE32" s="27">
        <v>1.538</v>
      </c>
      <c r="AF32" s="27">
        <v>0</v>
      </c>
      <c r="AG32" s="27">
        <v>0</v>
      </c>
      <c r="AH32" s="27">
        <v>0</v>
      </c>
      <c r="AI32" s="27">
        <v>0</v>
      </c>
      <c r="AJ32" s="27">
        <v>0</v>
      </c>
      <c r="AK32" s="27">
        <v>0</v>
      </c>
      <c r="AL32" s="27">
        <v>0</v>
      </c>
      <c r="AM32" s="27">
        <v>0</v>
      </c>
      <c r="AN32" s="27">
        <v>0</v>
      </c>
      <c r="AO32" s="27">
        <v>0</v>
      </c>
      <c r="AP32" s="27">
        <v>0</v>
      </c>
      <c r="AQ32" s="27">
        <v>0</v>
      </c>
      <c r="AR32" s="27">
        <v>0</v>
      </c>
      <c r="AS32" s="27">
        <v>0</v>
      </c>
      <c r="AT32" s="27">
        <v>0</v>
      </c>
      <c r="AU32" s="27">
        <v>0</v>
      </c>
      <c r="AV32" s="27">
        <v>0</v>
      </c>
      <c r="AW32" s="27">
        <v>0</v>
      </c>
      <c r="AX32" s="27">
        <v>0</v>
      </c>
      <c r="AY32" s="27">
        <v>0</v>
      </c>
      <c r="AZ32" s="27">
        <v>0</v>
      </c>
      <c r="BA32" s="27">
        <v>0</v>
      </c>
      <c r="BB32" s="27">
        <v>0</v>
      </c>
      <c r="BC32" s="27">
        <v>0</v>
      </c>
      <c r="BD32" s="27">
        <v>0</v>
      </c>
      <c r="BE32" s="27">
        <v>0</v>
      </c>
      <c r="BF32" s="27">
        <v>0</v>
      </c>
      <c r="BG32" s="27">
        <v>0.03</v>
      </c>
      <c r="BH32" s="27">
        <v>0</v>
      </c>
      <c r="BI32" s="27">
        <v>0</v>
      </c>
      <c r="BJ32" s="27">
        <v>0</v>
      </c>
      <c r="BK32" s="27">
        <v>0</v>
      </c>
      <c r="BL32" s="27">
        <v>0</v>
      </c>
      <c r="BM32" s="27">
        <v>0</v>
      </c>
      <c r="BN32" s="27">
        <v>0</v>
      </c>
      <c r="BO32" s="27">
        <v>0</v>
      </c>
      <c r="BP32" s="27">
        <v>0</v>
      </c>
      <c r="BQ32" s="27">
        <v>0</v>
      </c>
      <c r="BR32" s="27">
        <v>0</v>
      </c>
      <c r="BS32" s="27">
        <v>0</v>
      </c>
      <c r="BT32" s="27">
        <v>0</v>
      </c>
      <c r="BU32" s="27">
        <v>0</v>
      </c>
      <c r="BV32" s="27">
        <v>0</v>
      </c>
      <c r="BW32" s="27">
        <v>0</v>
      </c>
      <c r="BX32" s="27">
        <v>0</v>
      </c>
      <c r="BY32" s="27">
        <v>0</v>
      </c>
      <c r="BZ32" s="27">
        <v>0</v>
      </c>
      <c r="CA32" s="27">
        <v>0</v>
      </c>
      <c r="CB32" s="27">
        <v>2.0363636363636368E-2</v>
      </c>
      <c r="CC32" s="33">
        <v>1.5680000000000001</v>
      </c>
    </row>
    <row r="33" spans="1:81" x14ac:dyDescent="0.25">
      <c r="A33" s="23">
        <v>32</v>
      </c>
      <c r="B33" s="25">
        <v>15.5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1.397</v>
      </c>
      <c r="AF33" s="27">
        <v>0</v>
      </c>
      <c r="AG33" s="27">
        <v>0</v>
      </c>
      <c r="AH33" s="27">
        <v>0</v>
      </c>
      <c r="AI33" s="27">
        <v>0</v>
      </c>
      <c r="AJ33" s="27">
        <v>0</v>
      </c>
      <c r="AK33" s="27">
        <v>0</v>
      </c>
      <c r="AL33" s="27">
        <v>0</v>
      </c>
      <c r="AM33" s="27">
        <v>0</v>
      </c>
      <c r="AN33" s="27">
        <v>0</v>
      </c>
      <c r="AO33" s="27">
        <v>0</v>
      </c>
      <c r="AP33" s="27">
        <v>0</v>
      </c>
      <c r="AQ33" s="27">
        <v>0</v>
      </c>
      <c r="AR33" s="27">
        <v>0</v>
      </c>
      <c r="AS33" s="27">
        <v>0</v>
      </c>
      <c r="AT33" s="27">
        <v>0</v>
      </c>
      <c r="AU33" s="27">
        <v>0</v>
      </c>
      <c r="AV33" s="27">
        <v>0</v>
      </c>
      <c r="AW33" s="27">
        <v>0</v>
      </c>
      <c r="AX33" s="27">
        <v>0</v>
      </c>
      <c r="AY33" s="27">
        <v>0</v>
      </c>
      <c r="AZ33" s="27">
        <v>0</v>
      </c>
      <c r="BA33" s="27">
        <v>0</v>
      </c>
      <c r="BB33" s="27">
        <v>0</v>
      </c>
      <c r="BC33" s="27">
        <v>0</v>
      </c>
      <c r="BD33" s="27">
        <v>0</v>
      </c>
      <c r="BE33" s="27">
        <v>0</v>
      </c>
      <c r="BF33" s="27">
        <v>0</v>
      </c>
      <c r="BG33" s="27">
        <v>0</v>
      </c>
      <c r="BH33" s="27">
        <v>0</v>
      </c>
      <c r="BI33" s="27">
        <v>0</v>
      </c>
      <c r="BJ33" s="27">
        <v>0</v>
      </c>
      <c r="BK33" s="27">
        <v>0</v>
      </c>
      <c r="BL33" s="27">
        <v>0</v>
      </c>
      <c r="BM33" s="27">
        <v>0</v>
      </c>
      <c r="BN33" s="27">
        <v>0</v>
      </c>
      <c r="BO33" s="27">
        <v>0</v>
      </c>
      <c r="BP33" s="27">
        <v>0</v>
      </c>
      <c r="BQ33" s="27">
        <v>0</v>
      </c>
      <c r="BR33" s="27">
        <v>0</v>
      </c>
      <c r="BS33" s="27">
        <v>0</v>
      </c>
      <c r="BT33" s="27">
        <v>0</v>
      </c>
      <c r="BU33" s="27">
        <v>0</v>
      </c>
      <c r="BV33" s="27">
        <v>0</v>
      </c>
      <c r="BW33" s="27">
        <v>0</v>
      </c>
      <c r="BX33" s="27">
        <v>0</v>
      </c>
      <c r="BY33" s="27">
        <v>0</v>
      </c>
      <c r="BZ33" s="27">
        <v>0</v>
      </c>
      <c r="CA33" s="27">
        <v>0</v>
      </c>
      <c r="CB33" s="27">
        <v>1.8142857142857141E-2</v>
      </c>
      <c r="CC33" s="33">
        <v>1.397</v>
      </c>
    </row>
    <row r="34" spans="1:81" x14ac:dyDescent="0.25">
      <c r="A34" s="23">
        <v>33</v>
      </c>
      <c r="B34" s="25">
        <v>16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  <c r="AJ34" s="27">
        <v>0</v>
      </c>
      <c r="AK34" s="27">
        <v>0</v>
      </c>
      <c r="AL34" s="27">
        <v>0</v>
      </c>
      <c r="AM34" s="27">
        <v>0</v>
      </c>
      <c r="AN34" s="27">
        <v>0</v>
      </c>
      <c r="AO34" s="27">
        <v>0</v>
      </c>
      <c r="AP34" s="27">
        <v>0</v>
      </c>
      <c r="AQ34" s="27">
        <v>0</v>
      </c>
      <c r="AR34" s="27">
        <v>0</v>
      </c>
      <c r="AS34" s="27">
        <v>0</v>
      </c>
      <c r="AT34" s="27">
        <v>0</v>
      </c>
      <c r="AU34" s="27">
        <v>0</v>
      </c>
      <c r="AV34" s="27">
        <v>0</v>
      </c>
      <c r="AW34" s="27">
        <v>0</v>
      </c>
      <c r="AX34" s="27">
        <v>0</v>
      </c>
      <c r="AY34" s="27">
        <v>0</v>
      </c>
      <c r="AZ34" s="27">
        <v>0.189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0</v>
      </c>
      <c r="BI34" s="27">
        <v>0.308</v>
      </c>
      <c r="BJ34" s="27">
        <v>0</v>
      </c>
      <c r="BK34" s="27">
        <v>0</v>
      </c>
      <c r="BL34" s="27">
        <v>0</v>
      </c>
      <c r="BM34" s="27">
        <v>0</v>
      </c>
      <c r="BN34" s="27">
        <v>0</v>
      </c>
      <c r="BO34" s="27">
        <v>0</v>
      </c>
      <c r="BP34" s="27">
        <v>0.16400000000000001</v>
      </c>
      <c r="BQ34" s="27">
        <v>0</v>
      </c>
      <c r="BR34" s="27">
        <v>0</v>
      </c>
      <c r="BS34" s="27">
        <v>0</v>
      </c>
      <c r="BT34" s="27">
        <v>0</v>
      </c>
      <c r="BU34" s="27">
        <v>0</v>
      </c>
      <c r="BV34" s="27">
        <v>0</v>
      </c>
      <c r="BW34" s="27">
        <v>0</v>
      </c>
      <c r="BX34" s="27">
        <v>0</v>
      </c>
      <c r="BY34" s="27">
        <v>0</v>
      </c>
      <c r="BZ34" s="27">
        <v>0</v>
      </c>
      <c r="CA34" s="27">
        <v>0</v>
      </c>
      <c r="CB34" s="27">
        <v>8.5844155844155851E-3</v>
      </c>
      <c r="CC34" s="33">
        <v>0.66100000000000003</v>
      </c>
    </row>
    <row r="35" spans="1:81" x14ac:dyDescent="0.25">
      <c r="A35" s="23">
        <v>34</v>
      </c>
      <c r="B35" s="25">
        <v>16.5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0.42199999999999999</v>
      </c>
      <c r="W35" s="27">
        <v>0</v>
      </c>
      <c r="X35" s="27">
        <v>0</v>
      </c>
      <c r="Y35" s="27">
        <v>0</v>
      </c>
      <c r="Z35" s="27">
        <v>0</v>
      </c>
      <c r="AA35" s="27">
        <v>0.20899999999999999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  <c r="AJ35" s="27">
        <v>0</v>
      </c>
      <c r="AK35" s="27">
        <v>0</v>
      </c>
      <c r="AL35" s="27">
        <v>0</v>
      </c>
      <c r="AM35" s="27">
        <v>0</v>
      </c>
      <c r="AN35" s="27">
        <v>0</v>
      </c>
      <c r="AO35" s="27">
        <v>0</v>
      </c>
      <c r="AP35" s="27">
        <v>0</v>
      </c>
      <c r="AQ35" s="27">
        <v>0</v>
      </c>
      <c r="AR35" s="27">
        <v>0</v>
      </c>
      <c r="AS35" s="27">
        <v>0</v>
      </c>
      <c r="AT35" s="27">
        <v>0</v>
      </c>
      <c r="AU35" s="27">
        <v>0</v>
      </c>
      <c r="AV35" s="27">
        <v>0</v>
      </c>
      <c r="AW35" s="27">
        <v>0</v>
      </c>
      <c r="AX35" s="27">
        <v>0</v>
      </c>
      <c r="AY35" s="27">
        <v>0</v>
      </c>
      <c r="AZ35" s="27">
        <v>0</v>
      </c>
      <c r="BA35" s="27">
        <v>0</v>
      </c>
      <c r="BB35" s="27">
        <v>0</v>
      </c>
      <c r="BC35" s="27">
        <v>0</v>
      </c>
      <c r="BD35" s="27">
        <v>0</v>
      </c>
      <c r="BE35" s="27">
        <v>0</v>
      </c>
      <c r="BF35" s="27">
        <v>0.13200000000000001</v>
      </c>
      <c r="BG35" s="27">
        <v>0</v>
      </c>
      <c r="BH35" s="27">
        <v>0</v>
      </c>
      <c r="BI35" s="27">
        <v>0</v>
      </c>
      <c r="BJ35" s="27">
        <v>0</v>
      </c>
      <c r="BK35" s="27">
        <v>1.1259999999999999</v>
      </c>
      <c r="BL35" s="27">
        <v>0</v>
      </c>
      <c r="BM35" s="27">
        <v>0</v>
      </c>
      <c r="BN35" s="27">
        <v>0</v>
      </c>
      <c r="BO35" s="27">
        <v>0</v>
      </c>
      <c r="BP35" s="27">
        <v>1.454</v>
      </c>
      <c r="BQ35" s="27">
        <v>0</v>
      </c>
      <c r="BR35" s="27">
        <v>0</v>
      </c>
      <c r="BS35" s="27">
        <v>0</v>
      </c>
      <c r="BT35" s="27">
        <v>0</v>
      </c>
      <c r="BU35" s="27">
        <v>0</v>
      </c>
      <c r="BV35" s="27">
        <v>0</v>
      </c>
      <c r="BW35" s="27">
        <v>0</v>
      </c>
      <c r="BX35" s="27">
        <v>0</v>
      </c>
      <c r="BY35" s="27">
        <v>0</v>
      </c>
      <c r="BZ35" s="27">
        <v>0</v>
      </c>
      <c r="CA35" s="27">
        <v>0</v>
      </c>
      <c r="CB35" s="27">
        <v>4.3415584415584407E-2</v>
      </c>
      <c r="CC35" s="33">
        <v>3.343</v>
      </c>
    </row>
    <row r="36" spans="1:81" x14ac:dyDescent="0.25">
      <c r="A36" s="23">
        <v>35</v>
      </c>
      <c r="B36" s="25">
        <v>17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1.08</v>
      </c>
      <c r="S36" s="27">
        <v>0</v>
      </c>
      <c r="T36" s="27">
        <v>0</v>
      </c>
      <c r="U36" s="27">
        <v>0</v>
      </c>
      <c r="V36" s="27">
        <v>8.0000000000000002E-3</v>
      </c>
      <c r="W36" s="27">
        <v>0</v>
      </c>
      <c r="X36" s="27">
        <v>0.45300000000000001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  <c r="AJ36" s="27">
        <v>0</v>
      </c>
      <c r="AK36" s="27">
        <v>0</v>
      </c>
      <c r="AL36" s="27">
        <v>0.67800000000000005</v>
      </c>
      <c r="AM36" s="27">
        <v>0</v>
      </c>
      <c r="AN36" s="27">
        <v>0</v>
      </c>
      <c r="AO36" s="27">
        <v>0</v>
      </c>
      <c r="AP36" s="27">
        <v>0</v>
      </c>
      <c r="AQ36" s="27">
        <v>0</v>
      </c>
      <c r="AR36" s="27">
        <v>0</v>
      </c>
      <c r="AS36" s="27">
        <v>0</v>
      </c>
      <c r="AT36" s="27">
        <v>0</v>
      </c>
      <c r="AU36" s="27">
        <v>0</v>
      </c>
      <c r="AV36" s="27">
        <v>0</v>
      </c>
      <c r="AW36" s="27">
        <v>0</v>
      </c>
      <c r="AX36" s="27">
        <v>0</v>
      </c>
      <c r="AY36" s="27">
        <v>0</v>
      </c>
      <c r="AZ36" s="27">
        <v>9.0000000000000011E-3</v>
      </c>
      <c r="BA36" s="27">
        <v>0</v>
      </c>
      <c r="BB36" s="27">
        <v>1.35</v>
      </c>
      <c r="BC36" s="27">
        <v>0</v>
      </c>
      <c r="BD36" s="27">
        <v>0</v>
      </c>
      <c r="BE36" s="27">
        <v>0</v>
      </c>
      <c r="BF36" s="27">
        <v>0.33800000000000002</v>
      </c>
      <c r="BG36" s="27">
        <v>0.77100000000000002</v>
      </c>
      <c r="BH36" s="27">
        <v>0</v>
      </c>
      <c r="BI36" s="27">
        <v>0</v>
      </c>
      <c r="BJ36" s="27">
        <v>0</v>
      </c>
      <c r="BK36" s="27">
        <v>2.1930000000000001</v>
      </c>
      <c r="BL36" s="27">
        <v>0</v>
      </c>
      <c r="BM36" s="27">
        <v>0</v>
      </c>
      <c r="BN36" s="27">
        <v>0</v>
      </c>
      <c r="BO36" s="27">
        <v>0</v>
      </c>
      <c r="BP36" s="27">
        <v>0</v>
      </c>
      <c r="BQ36" s="27">
        <v>0</v>
      </c>
      <c r="BR36" s="27">
        <v>0</v>
      </c>
      <c r="BS36" s="27">
        <v>0</v>
      </c>
      <c r="BT36" s="27">
        <v>0</v>
      </c>
      <c r="BU36" s="27">
        <v>0</v>
      </c>
      <c r="BV36" s="27">
        <v>0</v>
      </c>
      <c r="BW36" s="27">
        <v>0</v>
      </c>
      <c r="BX36" s="27">
        <v>0</v>
      </c>
      <c r="BY36" s="27">
        <v>0</v>
      </c>
      <c r="BZ36" s="27">
        <v>0</v>
      </c>
      <c r="CA36" s="27">
        <v>0</v>
      </c>
      <c r="CB36" s="27">
        <v>8.9350649350649361E-2</v>
      </c>
      <c r="CC36" s="33">
        <v>6.8800000000000008</v>
      </c>
    </row>
    <row r="37" spans="1:81" x14ac:dyDescent="0.25">
      <c r="A37" s="23">
        <v>36</v>
      </c>
      <c r="B37" s="25">
        <v>17.5</v>
      </c>
      <c r="C37" s="27">
        <v>0</v>
      </c>
      <c r="D37" s="27">
        <v>0</v>
      </c>
      <c r="E37" s="27">
        <v>0</v>
      </c>
      <c r="F37" s="27">
        <v>0</v>
      </c>
      <c r="G37" s="27">
        <v>0</v>
      </c>
      <c r="H37" s="27">
        <v>0.109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1.069</v>
      </c>
      <c r="O37" s="27">
        <v>0</v>
      </c>
      <c r="P37" s="27">
        <v>0</v>
      </c>
      <c r="Q37" s="27">
        <v>0</v>
      </c>
      <c r="R37" s="27">
        <v>6.7000000000000004E-2</v>
      </c>
      <c r="S37" s="27">
        <v>0</v>
      </c>
      <c r="T37" s="27">
        <v>0</v>
      </c>
      <c r="U37" s="27">
        <v>0</v>
      </c>
      <c r="V37" s="27">
        <v>0</v>
      </c>
      <c r="W37" s="27">
        <v>0</v>
      </c>
      <c r="X37" s="27">
        <v>5.8999999999999997E-2</v>
      </c>
      <c r="Y37" s="27">
        <v>0</v>
      </c>
      <c r="Z37" s="27">
        <v>0</v>
      </c>
      <c r="AA37" s="27">
        <v>0</v>
      </c>
      <c r="AB37" s="27">
        <v>0</v>
      </c>
      <c r="AC37" s="27">
        <v>0</v>
      </c>
      <c r="AD37" s="27">
        <v>0</v>
      </c>
      <c r="AE37" s="27">
        <v>0</v>
      </c>
      <c r="AF37" s="27">
        <v>0</v>
      </c>
      <c r="AG37" s="27">
        <v>0</v>
      </c>
      <c r="AH37" s="27">
        <v>0</v>
      </c>
      <c r="AI37" s="27">
        <v>0</v>
      </c>
      <c r="AJ37" s="27">
        <v>0</v>
      </c>
      <c r="AK37" s="27">
        <v>0</v>
      </c>
      <c r="AL37" s="27">
        <v>0.77399999999999991</v>
      </c>
      <c r="AM37" s="27">
        <v>0</v>
      </c>
      <c r="AN37" s="27">
        <v>0</v>
      </c>
      <c r="AO37" s="27">
        <v>0</v>
      </c>
      <c r="AP37" s="27">
        <v>0</v>
      </c>
      <c r="AQ37" s="27">
        <v>0</v>
      </c>
      <c r="AR37" s="27">
        <v>0</v>
      </c>
      <c r="AS37" s="27">
        <v>0</v>
      </c>
      <c r="AT37" s="27">
        <v>0</v>
      </c>
      <c r="AU37" s="27">
        <v>0</v>
      </c>
      <c r="AV37" s="27">
        <v>0</v>
      </c>
      <c r="AW37" s="27">
        <v>0</v>
      </c>
      <c r="AX37" s="27">
        <v>0</v>
      </c>
      <c r="AY37" s="27">
        <v>0</v>
      </c>
      <c r="AZ37" s="27">
        <v>1.139</v>
      </c>
      <c r="BA37" s="27">
        <v>0</v>
      </c>
      <c r="BB37" s="27">
        <v>0</v>
      </c>
      <c r="BC37" s="27">
        <v>0</v>
      </c>
      <c r="BD37" s="27">
        <v>0</v>
      </c>
      <c r="BE37" s="27">
        <v>0</v>
      </c>
      <c r="BF37" s="27">
        <v>0.67199999999999993</v>
      </c>
      <c r="BG37" s="27">
        <v>0.123</v>
      </c>
      <c r="BH37" s="27">
        <v>0</v>
      </c>
      <c r="BI37" s="27">
        <v>0.39900000000000002</v>
      </c>
      <c r="BJ37" s="27">
        <v>0</v>
      </c>
      <c r="BK37" s="27">
        <v>0</v>
      </c>
      <c r="BL37" s="27">
        <v>0</v>
      </c>
      <c r="BM37" s="27">
        <v>0</v>
      </c>
      <c r="BN37" s="27">
        <v>0</v>
      </c>
      <c r="BO37" s="27">
        <v>0</v>
      </c>
      <c r="BP37" s="27">
        <v>0.99400000000000011</v>
      </c>
      <c r="BQ37" s="27">
        <v>0</v>
      </c>
      <c r="BR37" s="27">
        <v>0</v>
      </c>
      <c r="BS37" s="27">
        <v>0</v>
      </c>
      <c r="BT37" s="27">
        <v>0</v>
      </c>
      <c r="BU37" s="27">
        <v>0</v>
      </c>
      <c r="BV37" s="27">
        <v>0.222</v>
      </c>
      <c r="BW37" s="27">
        <v>0</v>
      </c>
      <c r="BX37" s="27">
        <v>0</v>
      </c>
      <c r="BY37" s="27">
        <v>0</v>
      </c>
      <c r="BZ37" s="27">
        <v>0</v>
      </c>
      <c r="CA37" s="27">
        <v>0</v>
      </c>
      <c r="CB37" s="27">
        <v>7.3077922077922075E-2</v>
      </c>
      <c r="CC37" s="33">
        <v>5.6269999999999998</v>
      </c>
    </row>
    <row r="38" spans="1:81" x14ac:dyDescent="0.25">
      <c r="A38" s="23">
        <v>37</v>
      </c>
      <c r="B38" s="25">
        <v>18</v>
      </c>
      <c r="C38" s="27">
        <v>0</v>
      </c>
      <c r="D38" s="27">
        <v>0</v>
      </c>
      <c r="E38" s="27">
        <v>0</v>
      </c>
      <c r="F38" s="27">
        <v>0</v>
      </c>
      <c r="G38" s="27">
        <v>0</v>
      </c>
      <c r="H38" s="27">
        <v>1.9079999999999999</v>
      </c>
      <c r="I38" s="27">
        <v>0</v>
      </c>
      <c r="J38" s="27">
        <v>0</v>
      </c>
      <c r="K38" s="27">
        <v>0</v>
      </c>
      <c r="L38" s="27">
        <v>5.6000000000000001E-2</v>
      </c>
      <c r="M38" s="27">
        <v>0</v>
      </c>
      <c r="N38" s="27">
        <v>0</v>
      </c>
      <c r="O38" s="27">
        <v>0</v>
      </c>
      <c r="P38" s="27">
        <v>0</v>
      </c>
      <c r="Q38" s="27">
        <v>2.7E-2</v>
      </c>
      <c r="R38" s="27">
        <v>0</v>
      </c>
      <c r="S38" s="27">
        <v>0</v>
      </c>
      <c r="T38" s="27">
        <v>0</v>
      </c>
      <c r="U38" s="27">
        <v>0</v>
      </c>
      <c r="V38" s="27">
        <v>5.7000000000000002E-2</v>
      </c>
      <c r="W38" s="27">
        <v>0</v>
      </c>
      <c r="X38" s="27">
        <v>1.0209999999999999</v>
      </c>
      <c r="Y38" s="27">
        <v>0</v>
      </c>
      <c r="Z38" s="27">
        <v>0</v>
      </c>
      <c r="AA38" s="27">
        <v>0</v>
      </c>
      <c r="AB38" s="27">
        <v>0</v>
      </c>
      <c r="AC38" s="27">
        <v>0</v>
      </c>
      <c r="AD38" s="27">
        <v>0</v>
      </c>
      <c r="AE38" s="27">
        <v>1.1040000000000001</v>
      </c>
      <c r="AF38" s="27">
        <v>0</v>
      </c>
      <c r="AG38" s="27">
        <v>0</v>
      </c>
      <c r="AH38" s="27">
        <v>0</v>
      </c>
      <c r="AI38" s="27">
        <v>0</v>
      </c>
      <c r="AJ38" s="27">
        <v>0.158</v>
      </c>
      <c r="AK38" s="27">
        <v>0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0</v>
      </c>
      <c r="AR38" s="27">
        <v>0</v>
      </c>
      <c r="AS38" s="27">
        <v>0</v>
      </c>
      <c r="AT38" s="27">
        <v>0</v>
      </c>
      <c r="AU38" s="27">
        <v>0</v>
      </c>
      <c r="AV38" s="27">
        <v>0</v>
      </c>
      <c r="AW38" s="27">
        <v>0</v>
      </c>
      <c r="AX38" s="27">
        <v>0</v>
      </c>
      <c r="AY38" s="27">
        <v>0</v>
      </c>
      <c r="AZ38" s="27">
        <v>0</v>
      </c>
      <c r="BA38" s="27">
        <v>0</v>
      </c>
      <c r="BB38" s="27">
        <v>0.34699999999999998</v>
      </c>
      <c r="BC38" s="27">
        <v>0</v>
      </c>
      <c r="BD38" s="27">
        <v>0</v>
      </c>
      <c r="BE38" s="27">
        <v>0</v>
      </c>
      <c r="BF38" s="27">
        <v>0.499</v>
      </c>
      <c r="BG38" s="27">
        <v>0.64100000000000001</v>
      </c>
      <c r="BH38" s="27">
        <v>0</v>
      </c>
      <c r="BI38" s="27">
        <v>0.46899999999999997</v>
      </c>
      <c r="BJ38" s="27">
        <v>0</v>
      </c>
      <c r="BK38" s="27">
        <v>1.21</v>
      </c>
      <c r="BL38" s="27">
        <v>0</v>
      </c>
      <c r="BM38" s="27">
        <v>0</v>
      </c>
      <c r="BN38" s="27">
        <v>0</v>
      </c>
      <c r="BO38" s="27">
        <v>0</v>
      </c>
      <c r="BP38" s="27">
        <v>3.456</v>
      </c>
      <c r="BQ38" s="27">
        <v>0</v>
      </c>
      <c r="BR38" s="27">
        <v>0</v>
      </c>
      <c r="BS38" s="27">
        <v>0</v>
      </c>
      <c r="BT38" s="27">
        <v>1.2E-2</v>
      </c>
      <c r="BU38" s="27">
        <v>1.6240000000000001</v>
      </c>
      <c r="BV38" s="27">
        <v>0</v>
      </c>
      <c r="BW38" s="27">
        <v>0</v>
      </c>
      <c r="BX38" s="27">
        <v>0</v>
      </c>
      <c r="BY38" s="27">
        <v>0</v>
      </c>
      <c r="BZ38" s="27">
        <v>0</v>
      </c>
      <c r="CA38" s="27">
        <v>0</v>
      </c>
      <c r="CB38" s="27">
        <v>0.1634935064935065</v>
      </c>
      <c r="CC38" s="33">
        <v>12.589</v>
      </c>
    </row>
    <row r="39" spans="1:81" x14ac:dyDescent="0.25">
      <c r="A39" s="23">
        <v>38</v>
      </c>
      <c r="B39" s="25">
        <v>18.5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0.17499999999999999</v>
      </c>
      <c r="I39" s="27">
        <v>0</v>
      </c>
      <c r="J39" s="27">
        <v>0</v>
      </c>
      <c r="K39" s="27">
        <v>0.151</v>
      </c>
      <c r="L39" s="27">
        <v>5.8000000000000003E-2</v>
      </c>
      <c r="M39" s="27">
        <v>0</v>
      </c>
      <c r="N39" s="27">
        <v>2.4319999999999999</v>
      </c>
      <c r="O39" s="27">
        <v>0</v>
      </c>
      <c r="P39" s="27">
        <v>0</v>
      </c>
      <c r="Q39" s="27">
        <v>0</v>
      </c>
      <c r="R39" s="27">
        <v>0.33</v>
      </c>
      <c r="S39" s="27">
        <v>0</v>
      </c>
      <c r="T39" s="27">
        <v>0</v>
      </c>
      <c r="U39" s="27">
        <v>0</v>
      </c>
      <c r="V39" s="27">
        <v>0.47499999999999998</v>
      </c>
      <c r="W39" s="27">
        <v>0</v>
      </c>
      <c r="X39" s="27">
        <v>0</v>
      </c>
      <c r="Y39" s="27">
        <v>0</v>
      </c>
      <c r="Z39" s="27">
        <v>0</v>
      </c>
      <c r="AA39" s="27">
        <v>0</v>
      </c>
      <c r="AB39" s="27">
        <v>0</v>
      </c>
      <c r="AC39" s="27">
        <v>0</v>
      </c>
      <c r="AD39" s="27">
        <v>0</v>
      </c>
      <c r="AE39" s="27">
        <v>3.2309999999999999</v>
      </c>
      <c r="AF39" s="27">
        <v>0</v>
      </c>
      <c r="AG39" s="27">
        <v>0</v>
      </c>
      <c r="AH39" s="27">
        <v>0</v>
      </c>
      <c r="AI39" s="27">
        <v>0</v>
      </c>
      <c r="AJ39" s="27">
        <v>2.8000000000000001E-2</v>
      </c>
      <c r="AK39" s="27">
        <v>0</v>
      </c>
      <c r="AL39" s="27">
        <v>0</v>
      </c>
      <c r="AM39" s="27">
        <v>0</v>
      </c>
      <c r="AN39" s="27">
        <v>0</v>
      </c>
      <c r="AO39" s="27">
        <v>0</v>
      </c>
      <c r="AP39" s="27">
        <v>0</v>
      </c>
      <c r="AQ39" s="27">
        <v>0</v>
      </c>
      <c r="AR39" s="27">
        <v>0</v>
      </c>
      <c r="AS39" s="27">
        <v>0</v>
      </c>
      <c r="AT39" s="27">
        <v>0</v>
      </c>
      <c r="AU39" s="27">
        <v>6.8999999999999992E-2</v>
      </c>
      <c r="AV39" s="27">
        <v>5.0000000000000001E-3</v>
      </c>
      <c r="AW39" s="27">
        <v>0</v>
      </c>
      <c r="AX39" s="27">
        <v>0</v>
      </c>
      <c r="AY39" s="27">
        <v>1.9E-2</v>
      </c>
      <c r="AZ39" s="27">
        <v>0</v>
      </c>
      <c r="BA39" s="27">
        <v>0</v>
      </c>
      <c r="BB39" s="27">
        <v>0</v>
      </c>
      <c r="BC39" s="27">
        <v>0</v>
      </c>
      <c r="BD39" s="27">
        <v>0</v>
      </c>
      <c r="BE39" s="27">
        <v>0</v>
      </c>
      <c r="BF39" s="27">
        <v>6.2E-2</v>
      </c>
      <c r="BG39" s="27">
        <v>0.32400000000000001</v>
      </c>
      <c r="BH39" s="27">
        <v>0</v>
      </c>
      <c r="BI39" s="27">
        <v>7.0000000000000001E-3</v>
      </c>
      <c r="BJ39" s="27">
        <v>0</v>
      </c>
      <c r="BK39" s="27">
        <v>0</v>
      </c>
      <c r="BL39" s="27">
        <v>0</v>
      </c>
      <c r="BM39" s="27">
        <v>0</v>
      </c>
      <c r="BN39" s="27">
        <v>0</v>
      </c>
      <c r="BO39" s="27">
        <v>0</v>
      </c>
      <c r="BP39" s="27">
        <v>1.6870000000000001</v>
      </c>
      <c r="BQ39" s="27">
        <v>0</v>
      </c>
      <c r="BR39" s="27">
        <v>0</v>
      </c>
      <c r="BS39" s="27">
        <v>0</v>
      </c>
      <c r="BT39" s="27">
        <v>0.22600000000000001</v>
      </c>
      <c r="BU39" s="27">
        <v>0.311</v>
      </c>
      <c r="BV39" s="27">
        <v>0</v>
      </c>
      <c r="BW39" s="27">
        <v>0</v>
      </c>
      <c r="BX39" s="27">
        <v>0</v>
      </c>
      <c r="BY39" s="27">
        <v>0</v>
      </c>
      <c r="BZ39" s="27">
        <v>0</v>
      </c>
      <c r="CA39" s="27">
        <v>0</v>
      </c>
      <c r="CB39" s="27">
        <v>0.1245454545454545</v>
      </c>
      <c r="CC39" s="33">
        <v>9.59</v>
      </c>
    </row>
    <row r="40" spans="1:81" x14ac:dyDescent="0.25">
      <c r="A40" s="23">
        <v>39</v>
      </c>
      <c r="B40" s="25">
        <v>19</v>
      </c>
      <c r="C40" s="27">
        <v>0</v>
      </c>
      <c r="D40" s="27">
        <v>0</v>
      </c>
      <c r="E40" s="27">
        <v>0.189</v>
      </c>
      <c r="F40" s="27">
        <v>0</v>
      </c>
      <c r="G40" s="27">
        <v>0</v>
      </c>
      <c r="H40" s="27">
        <v>0.23499999999999999</v>
      </c>
      <c r="I40" s="27">
        <v>0.16600000000000001</v>
      </c>
      <c r="J40" s="27">
        <v>5.3999999999999999E-2</v>
      </c>
      <c r="K40" s="27">
        <v>0</v>
      </c>
      <c r="L40" s="27">
        <v>0.46500000000000002</v>
      </c>
      <c r="M40" s="27">
        <v>0</v>
      </c>
      <c r="N40" s="27">
        <v>0.44500000000000001</v>
      </c>
      <c r="O40" s="27">
        <v>0</v>
      </c>
      <c r="P40" s="27">
        <v>0.17799999999999999</v>
      </c>
      <c r="Q40" s="27">
        <v>0.63300000000000001</v>
      </c>
      <c r="R40" s="27">
        <v>0.251</v>
      </c>
      <c r="S40" s="27">
        <v>0</v>
      </c>
      <c r="T40" s="27">
        <v>0</v>
      </c>
      <c r="U40" s="27">
        <v>0</v>
      </c>
      <c r="V40" s="27">
        <v>0</v>
      </c>
      <c r="W40" s="27">
        <v>0</v>
      </c>
      <c r="X40" s="27">
        <v>0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27">
        <v>7.2000000000000008E-2</v>
      </c>
      <c r="AE40" s="27">
        <v>1.76</v>
      </c>
      <c r="AF40" s="27">
        <v>0</v>
      </c>
      <c r="AG40" s="27">
        <v>0</v>
      </c>
      <c r="AH40" s="27">
        <v>3.9E-2</v>
      </c>
      <c r="AI40" s="27">
        <v>0.2</v>
      </c>
      <c r="AJ40" s="27">
        <v>1.474</v>
      </c>
      <c r="AK40" s="27">
        <v>0.121</v>
      </c>
      <c r="AL40" s="27">
        <v>0.126</v>
      </c>
      <c r="AM40" s="27">
        <v>0</v>
      </c>
      <c r="AN40" s="27">
        <v>0</v>
      </c>
      <c r="AO40" s="27">
        <v>0</v>
      </c>
      <c r="AP40" s="27">
        <v>0</v>
      </c>
      <c r="AQ40" s="27">
        <v>0</v>
      </c>
      <c r="AR40" s="27">
        <v>0.03</v>
      </c>
      <c r="AS40" s="27">
        <v>0</v>
      </c>
      <c r="AT40" s="27">
        <v>0</v>
      </c>
      <c r="AU40" s="27">
        <v>0</v>
      </c>
      <c r="AV40" s="27">
        <v>3.5999999999999997E-2</v>
      </c>
      <c r="AW40" s="27">
        <v>0</v>
      </c>
      <c r="AX40" s="27">
        <v>0</v>
      </c>
      <c r="AY40" s="27">
        <v>0</v>
      </c>
      <c r="AZ40" s="27">
        <v>0</v>
      </c>
      <c r="BA40" s="27">
        <v>0.01</v>
      </c>
      <c r="BB40" s="27">
        <v>0</v>
      </c>
      <c r="BC40" s="27">
        <v>1.9E-2</v>
      </c>
      <c r="BD40" s="27">
        <v>0</v>
      </c>
      <c r="BE40" s="27">
        <v>0</v>
      </c>
      <c r="BF40" s="27">
        <v>0.105</v>
      </c>
      <c r="BG40" s="27">
        <v>0.96100000000000008</v>
      </c>
      <c r="BH40" s="27">
        <v>2E-3</v>
      </c>
      <c r="BI40" s="27">
        <v>8.0000000000000002E-3</v>
      </c>
      <c r="BJ40" s="27">
        <v>0</v>
      </c>
      <c r="BK40" s="27">
        <v>1.377</v>
      </c>
      <c r="BL40" s="27">
        <v>0</v>
      </c>
      <c r="BM40" s="27">
        <v>0</v>
      </c>
      <c r="BN40" s="27">
        <v>0.60299999999999998</v>
      </c>
      <c r="BO40" s="27">
        <v>0</v>
      </c>
      <c r="BP40" s="27">
        <v>0</v>
      </c>
      <c r="BQ40" s="27">
        <v>0</v>
      </c>
      <c r="BR40" s="27">
        <v>0</v>
      </c>
      <c r="BS40" s="27">
        <v>0</v>
      </c>
      <c r="BT40" s="27">
        <v>0.26300000000000001</v>
      </c>
      <c r="BU40" s="27">
        <v>2.1579999999999999</v>
      </c>
      <c r="BV40" s="27">
        <v>0</v>
      </c>
      <c r="BW40" s="27">
        <v>0</v>
      </c>
      <c r="BX40" s="27">
        <v>3.6999999999999998E-2</v>
      </c>
      <c r="BY40" s="27">
        <v>0.115</v>
      </c>
      <c r="BZ40" s="27">
        <v>3.4000000000000002E-2</v>
      </c>
      <c r="CA40" s="27">
        <v>0.318</v>
      </c>
      <c r="CB40" s="27">
        <v>0.16212987012987021</v>
      </c>
      <c r="CC40" s="33">
        <v>12.484</v>
      </c>
    </row>
    <row r="41" spans="1:81" x14ac:dyDescent="0.25">
      <c r="A41" s="23">
        <v>40</v>
      </c>
      <c r="B41" s="25">
        <v>19.5</v>
      </c>
      <c r="C41" s="27">
        <v>0.35</v>
      </c>
      <c r="D41" s="27">
        <v>0</v>
      </c>
      <c r="E41" s="27">
        <v>1.2729999999999999</v>
      </c>
      <c r="F41" s="27">
        <v>5.6000000000000001E-2</v>
      </c>
      <c r="G41" s="27">
        <v>8.3000000000000004E-2</v>
      </c>
      <c r="H41" s="27">
        <v>0.66699999999999993</v>
      </c>
      <c r="I41" s="27">
        <v>0.63500000000000001</v>
      </c>
      <c r="J41" s="27">
        <v>0</v>
      </c>
      <c r="K41" s="27">
        <v>0.17100000000000001</v>
      </c>
      <c r="L41" s="27">
        <v>0.76700000000000002</v>
      </c>
      <c r="M41" s="27">
        <v>0.23699999999999999</v>
      </c>
      <c r="N41" s="27">
        <v>0.36699999999999999</v>
      </c>
      <c r="O41" s="27">
        <v>0.186</v>
      </c>
      <c r="P41" s="27">
        <v>4.1000000000000002E-2</v>
      </c>
      <c r="Q41" s="27">
        <v>0.86099999999999999</v>
      </c>
      <c r="R41" s="27">
        <v>0.28899999999999998</v>
      </c>
      <c r="S41" s="27">
        <v>0.309</v>
      </c>
      <c r="T41" s="27">
        <v>0.53799999999999992</v>
      </c>
      <c r="U41" s="27">
        <v>0.11799999999999999</v>
      </c>
      <c r="V41" s="27">
        <v>0.29799999999999999</v>
      </c>
      <c r="W41" s="27">
        <v>0.33800000000000002</v>
      </c>
      <c r="X41" s="27">
        <v>0.249</v>
      </c>
      <c r="Y41" s="27">
        <v>0</v>
      </c>
      <c r="Z41" s="27">
        <v>0</v>
      </c>
      <c r="AA41" s="27">
        <v>2.1000000000000001E-2</v>
      </c>
      <c r="AB41" s="27">
        <v>0.46100000000000002</v>
      </c>
      <c r="AC41" s="27">
        <v>8.7999999999999995E-2</v>
      </c>
      <c r="AD41" s="27">
        <v>0.26300000000000001</v>
      </c>
      <c r="AE41" s="27">
        <v>0</v>
      </c>
      <c r="AF41" s="27">
        <v>0.13700000000000001</v>
      </c>
      <c r="AG41" s="27">
        <v>0.14099999999999999</v>
      </c>
      <c r="AH41" s="27">
        <v>0.372</v>
      </c>
      <c r="AI41" s="27">
        <v>0.35199999999999998</v>
      </c>
      <c r="AJ41" s="27">
        <v>0.93700000000000006</v>
      </c>
      <c r="AK41" s="27">
        <v>0.57099999999999995</v>
      </c>
      <c r="AL41" s="27">
        <v>0</v>
      </c>
      <c r="AM41" s="27">
        <v>0.46800000000000003</v>
      </c>
      <c r="AN41" s="27">
        <v>4.5999999999999999E-2</v>
      </c>
      <c r="AO41" s="27">
        <v>0</v>
      </c>
      <c r="AP41" s="27">
        <v>9.4E-2</v>
      </c>
      <c r="AQ41" s="27">
        <v>0.55699999999999994</v>
      </c>
      <c r="AR41" s="27">
        <v>0.47399999999999998</v>
      </c>
      <c r="AS41" s="27">
        <v>0.58600000000000008</v>
      </c>
      <c r="AT41" s="27">
        <v>0.21</v>
      </c>
      <c r="AU41" s="27">
        <v>0.29299999999999998</v>
      </c>
      <c r="AV41" s="27">
        <v>0.36399999999999999</v>
      </c>
      <c r="AW41" s="27">
        <v>0.49700000000000011</v>
      </c>
      <c r="AX41" s="27">
        <v>2.1000000000000001E-2</v>
      </c>
      <c r="AY41" s="27">
        <v>0.219</v>
      </c>
      <c r="AZ41" s="27">
        <v>0.35799999999999998</v>
      </c>
      <c r="BA41" s="27">
        <v>0.50800000000000001</v>
      </c>
      <c r="BB41" s="27">
        <v>0.374</v>
      </c>
      <c r="BC41" s="27">
        <v>0.18</v>
      </c>
      <c r="BD41" s="27">
        <v>0.29599999999999999</v>
      </c>
      <c r="BE41" s="27">
        <v>0</v>
      </c>
      <c r="BF41" s="27">
        <v>0.41599999999999998</v>
      </c>
      <c r="BG41" s="27">
        <v>3.9E-2</v>
      </c>
      <c r="BH41" s="27">
        <v>0.60899999999999999</v>
      </c>
      <c r="BI41" s="27">
        <v>0.49199999999999999</v>
      </c>
      <c r="BJ41" s="27">
        <v>0.23200000000000001</v>
      </c>
      <c r="BK41" s="27">
        <v>1.2549999999999999</v>
      </c>
      <c r="BL41" s="27">
        <v>0.67800000000000005</v>
      </c>
      <c r="BM41" s="27">
        <v>0.34699999999999998</v>
      </c>
      <c r="BN41" s="27">
        <v>0.71</v>
      </c>
      <c r="BO41" s="27">
        <v>4.5999999999999999E-2</v>
      </c>
      <c r="BP41" s="27">
        <v>0</v>
      </c>
      <c r="BQ41" s="27">
        <v>4.7E-2</v>
      </c>
      <c r="BR41" s="27">
        <v>0.18</v>
      </c>
      <c r="BS41" s="27">
        <v>0.69200000000000006</v>
      </c>
      <c r="BT41" s="27">
        <v>8.7999999999999995E-2</v>
      </c>
      <c r="BU41" s="27">
        <v>0.35599999999999998</v>
      </c>
      <c r="BV41" s="27">
        <v>6.0000000000000001E-3</v>
      </c>
      <c r="BW41" s="27">
        <v>0.109</v>
      </c>
      <c r="BX41" s="27">
        <v>0.317</v>
      </c>
      <c r="BY41" s="27">
        <v>0.19800000000000001</v>
      </c>
      <c r="BZ41" s="27">
        <v>0.24299999999999999</v>
      </c>
      <c r="CA41" s="27">
        <v>0.41099999999999998</v>
      </c>
      <c r="CB41" s="27">
        <v>0.31418181818181817</v>
      </c>
      <c r="CC41" s="33">
        <v>24.192</v>
      </c>
    </row>
    <row r="42" spans="1:81" x14ac:dyDescent="0.25">
      <c r="A42" s="23">
        <v>41</v>
      </c>
      <c r="B42" s="25">
        <v>20</v>
      </c>
      <c r="C42" s="27">
        <v>0.98599999999999988</v>
      </c>
      <c r="D42" s="27">
        <v>0.17</v>
      </c>
      <c r="E42" s="27">
        <v>0.46200000000000002</v>
      </c>
      <c r="F42" s="27">
        <v>4.9000000000000002E-2</v>
      </c>
      <c r="G42" s="27">
        <v>0.04</v>
      </c>
      <c r="H42" s="27">
        <v>0.7649999999999999</v>
      </c>
      <c r="I42" s="27">
        <v>1.054</v>
      </c>
      <c r="J42" s="27">
        <v>0.27600000000000002</v>
      </c>
      <c r="K42" s="27">
        <v>0.40899999999999997</v>
      </c>
      <c r="L42" s="27">
        <v>1.423</v>
      </c>
      <c r="M42" s="27">
        <v>0.29499999999999998</v>
      </c>
      <c r="N42" s="27">
        <v>0.47399999999999998</v>
      </c>
      <c r="O42" s="27">
        <v>0.42799999999999999</v>
      </c>
      <c r="P42" s="27">
        <v>0.28299999999999997</v>
      </c>
      <c r="Q42" s="27">
        <v>1.5329999999999999</v>
      </c>
      <c r="R42" s="27">
        <v>0.47299999999999998</v>
      </c>
      <c r="S42" s="27">
        <v>1.865</v>
      </c>
      <c r="T42" s="27">
        <v>0.309</v>
      </c>
      <c r="U42" s="27">
        <v>0.03</v>
      </c>
      <c r="V42" s="27">
        <v>0.33600000000000002</v>
      </c>
      <c r="W42" s="27">
        <v>0.59299999999999997</v>
      </c>
      <c r="X42" s="27">
        <v>0.30399999999999999</v>
      </c>
      <c r="Y42" s="27">
        <v>0.13100000000000001</v>
      </c>
      <c r="Z42" s="27">
        <v>0.04</v>
      </c>
      <c r="AA42" s="27">
        <v>0.17199999999999999</v>
      </c>
      <c r="AB42" s="27">
        <v>0.81599999999999995</v>
      </c>
      <c r="AC42" s="27">
        <v>0.14699999999999999</v>
      </c>
      <c r="AD42" s="27">
        <v>0.65</v>
      </c>
      <c r="AE42" s="27">
        <v>0</v>
      </c>
      <c r="AF42" s="27">
        <v>0.221</v>
      </c>
      <c r="AG42" s="27">
        <v>0.55300000000000005</v>
      </c>
      <c r="AH42" s="27">
        <v>0.56800000000000006</v>
      </c>
      <c r="AI42" s="27">
        <v>0.41899999999999998</v>
      </c>
      <c r="AJ42" s="27">
        <v>1.1830000000000001</v>
      </c>
      <c r="AK42" s="27">
        <v>0.91100000000000003</v>
      </c>
      <c r="AL42" s="27">
        <v>0.20399999999999999</v>
      </c>
      <c r="AM42" s="27">
        <v>0.66600000000000004</v>
      </c>
      <c r="AN42" s="27">
        <v>0.10100000000000001</v>
      </c>
      <c r="AO42" s="27">
        <v>9.5000000000000001E-2</v>
      </c>
      <c r="AP42" s="27">
        <v>0.442</v>
      </c>
      <c r="AQ42" s="27">
        <v>0.54199999999999993</v>
      </c>
      <c r="AR42" s="27">
        <v>0.46300000000000002</v>
      </c>
      <c r="AS42" s="27">
        <v>0.745</v>
      </c>
      <c r="AT42" s="27">
        <v>0.16400000000000001</v>
      </c>
      <c r="AU42" s="27">
        <v>0.55099999999999993</v>
      </c>
      <c r="AV42" s="27">
        <v>7.8E-2</v>
      </c>
      <c r="AW42" s="27">
        <v>0.35499999999999998</v>
      </c>
      <c r="AX42" s="27">
        <v>2.3E-2</v>
      </c>
      <c r="AY42" s="27">
        <v>0.25800000000000001</v>
      </c>
      <c r="AZ42" s="27">
        <v>0.53700000000000003</v>
      </c>
      <c r="BA42" s="27">
        <v>0.54799999999999993</v>
      </c>
      <c r="BB42" s="27">
        <v>0.59899999999999998</v>
      </c>
      <c r="BC42" s="27">
        <v>0.39900000000000002</v>
      </c>
      <c r="BD42" s="27">
        <v>0.42199999999999999</v>
      </c>
      <c r="BE42" s="27">
        <v>0.107</v>
      </c>
      <c r="BF42" s="27">
        <v>0.40200000000000002</v>
      </c>
      <c r="BG42" s="27">
        <v>0.24299999999999999</v>
      </c>
      <c r="BH42" s="27">
        <v>0.59299999999999997</v>
      </c>
      <c r="BI42" s="27">
        <v>0.51700000000000002</v>
      </c>
      <c r="BJ42" s="27">
        <v>4.2999999999999997E-2</v>
      </c>
      <c r="BK42" s="27">
        <v>0.25900000000000001</v>
      </c>
      <c r="BL42" s="27">
        <v>1.649</v>
      </c>
      <c r="BM42" s="27">
        <v>0.77399999999999991</v>
      </c>
      <c r="BN42" s="27">
        <v>0.58699999999999997</v>
      </c>
      <c r="BO42" s="27">
        <v>0.98100000000000009</v>
      </c>
      <c r="BP42" s="27">
        <v>0</v>
      </c>
      <c r="BQ42" s="27">
        <v>0.11799999999999999</v>
      </c>
      <c r="BR42" s="27">
        <v>1.3069999999999999</v>
      </c>
      <c r="BS42" s="27">
        <v>1.728</v>
      </c>
      <c r="BT42" s="27">
        <v>0.14499999999999999</v>
      </c>
      <c r="BU42" s="27">
        <v>0.68599999999999994</v>
      </c>
      <c r="BV42" s="27">
        <v>0.35299999999999998</v>
      </c>
      <c r="BW42" s="27">
        <v>0.184</v>
      </c>
      <c r="BX42" s="27">
        <v>0.55800000000000005</v>
      </c>
      <c r="BY42" s="27">
        <v>1.6970000000000001</v>
      </c>
      <c r="BZ42" s="27">
        <v>0.40799999999999997</v>
      </c>
      <c r="CA42" s="27">
        <v>0.53500000000000003</v>
      </c>
      <c r="CB42" s="27">
        <v>0.51212987012987021</v>
      </c>
      <c r="CC42" s="33">
        <v>39.433999999999997</v>
      </c>
    </row>
    <row r="43" spans="1:81" x14ac:dyDescent="0.25">
      <c r="A43" s="23">
        <v>42</v>
      </c>
      <c r="B43" s="25">
        <v>20.5</v>
      </c>
      <c r="C43" s="27">
        <v>0.72699999999999998</v>
      </c>
      <c r="D43" s="27">
        <v>0.04</v>
      </c>
      <c r="E43" s="27">
        <v>0.5</v>
      </c>
      <c r="F43" s="27">
        <v>9.2999999999999999E-2</v>
      </c>
      <c r="G43" s="27">
        <v>6.2E-2</v>
      </c>
      <c r="H43" s="27">
        <v>1.2070000000000001</v>
      </c>
      <c r="I43" s="27">
        <v>0.56300000000000006</v>
      </c>
      <c r="J43" s="27">
        <v>6.2E-2</v>
      </c>
      <c r="K43" s="27">
        <v>1.6850000000000001</v>
      </c>
      <c r="L43" s="27">
        <v>0.98</v>
      </c>
      <c r="M43" s="27">
        <v>0.47599999999999998</v>
      </c>
      <c r="N43" s="27">
        <v>0.63100000000000001</v>
      </c>
      <c r="O43" s="27">
        <v>0.629</v>
      </c>
      <c r="P43" s="27">
        <v>5.1999999999999998E-2</v>
      </c>
      <c r="Q43" s="27">
        <v>0.86399999999999999</v>
      </c>
      <c r="R43" s="27">
        <v>1.657</v>
      </c>
      <c r="S43" s="27">
        <v>0.60899999999999999</v>
      </c>
      <c r="T43" s="27">
        <v>0.437</v>
      </c>
      <c r="U43" s="27">
        <v>7.1000000000000008E-2</v>
      </c>
      <c r="V43" s="27">
        <v>0.99299999999999999</v>
      </c>
      <c r="W43" s="27">
        <v>0.505</v>
      </c>
      <c r="X43" s="27">
        <v>0.108</v>
      </c>
      <c r="Y43" s="27">
        <v>0.48299999999999998</v>
      </c>
      <c r="Z43" s="27">
        <v>5.5E-2</v>
      </c>
      <c r="AA43" s="27">
        <v>1.7809999999999999</v>
      </c>
      <c r="AB43" s="27">
        <v>0.73499999999999999</v>
      </c>
      <c r="AC43" s="27">
        <v>0.05</v>
      </c>
      <c r="AD43" s="27">
        <v>1.325</v>
      </c>
      <c r="AE43" s="27">
        <v>0</v>
      </c>
      <c r="AF43" s="27">
        <v>0.29899999999999999</v>
      </c>
      <c r="AG43" s="27">
        <v>0.63600000000000001</v>
      </c>
      <c r="AH43" s="27">
        <v>0.61699999999999999</v>
      </c>
      <c r="AI43" s="27">
        <v>0.29899999999999999</v>
      </c>
      <c r="AJ43" s="27">
        <v>0.21299999999999999</v>
      </c>
      <c r="AK43" s="27">
        <v>1.546</v>
      </c>
      <c r="AL43" s="27">
        <v>0.41599999999999998</v>
      </c>
      <c r="AM43" s="27">
        <v>1.0409999999999999</v>
      </c>
      <c r="AN43" s="27">
        <v>0.17899999999999999</v>
      </c>
      <c r="AO43" s="27">
        <v>0.22600000000000001</v>
      </c>
      <c r="AP43" s="27">
        <v>0.437</v>
      </c>
      <c r="AQ43" s="27">
        <v>0.39100000000000001</v>
      </c>
      <c r="AR43" s="27">
        <v>0.57899999999999996</v>
      </c>
      <c r="AS43" s="27">
        <v>0.60899999999999999</v>
      </c>
      <c r="AT43" s="27">
        <v>1.212</v>
      </c>
      <c r="AU43" s="27">
        <v>2.3090000000000002</v>
      </c>
      <c r="AV43" s="27">
        <v>0.224</v>
      </c>
      <c r="AW43" s="27">
        <v>0.59399999999999997</v>
      </c>
      <c r="AX43" s="27">
        <v>0.32300000000000001</v>
      </c>
      <c r="AY43" s="27">
        <v>0.47599999999999998</v>
      </c>
      <c r="AZ43" s="27">
        <v>0.40400000000000003</v>
      </c>
      <c r="BA43" s="27">
        <v>0.55900000000000005</v>
      </c>
      <c r="BB43" s="27">
        <v>0.55500000000000005</v>
      </c>
      <c r="BC43" s="27">
        <v>0.40400000000000003</v>
      </c>
      <c r="BD43" s="27">
        <v>0.77300000000000002</v>
      </c>
      <c r="BE43" s="27">
        <v>5.8000000000000003E-2</v>
      </c>
      <c r="BF43" s="27">
        <v>0.74099999999999999</v>
      </c>
      <c r="BG43" s="27">
        <v>0.08</v>
      </c>
      <c r="BH43" s="27">
        <v>0.39</v>
      </c>
      <c r="BI43" s="27">
        <v>0.58100000000000007</v>
      </c>
      <c r="BJ43" s="27">
        <v>0.14699999999999999</v>
      </c>
      <c r="BK43" s="27">
        <v>0</v>
      </c>
      <c r="BL43" s="27">
        <v>0.61699999999999999</v>
      </c>
      <c r="BM43" s="27">
        <v>0.34300000000000003</v>
      </c>
      <c r="BN43" s="27">
        <v>0.48699999999999999</v>
      </c>
      <c r="BO43" s="27">
        <v>0.85699999999999998</v>
      </c>
      <c r="BP43" s="27">
        <v>0</v>
      </c>
      <c r="BQ43" s="27">
        <v>3.6999999999999998E-2</v>
      </c>
      <c r="BR43" s="27">
        <v>0.7</v>
      </c>
      <c r="BS43" s="27">
        <v>0.55599999999999994</v>
      </c>
      <c r="BT43" s="27">
        <v>0.14099999999999999</v>
      </c>
      <c r="BU43" s="27">
        <v>0.45900000000000002</v>
      </c>
      <c r="BV43" s="27">
        <v>0.33500000000000002</v>
      </c>
      <c r="BW43" s="27">
        <v>0.216</v>
      </c>
      <c r="BX43" s="27">
        <v>0.751</v>
      </c>
      <c r="BY43" s="27">
        <v>0.36599999999999999</v>
      </c>
      <c r="BZ43" s="27">
        <v>0.27</v>
      </c>
      <c r="CA43" s="27">
        <v>0.44</v>
      </c>
      <c r="CB43" s="27">
        <v>0.53601298701298705</v>
      </c>
      <c r="CC43" s="33">
        <v>41.273000000000003</v>
      </c>
    </row>
    <row r="44" spans="1:81" x14ac:dyDescent="0.25">
      <c r="A44" s="23">
        <v>43</v>
      </c>
      <c r="B44" s="25">
        <v>21</v>
      </c>
      <c r="C44" s="27">
        <v>0.96899999999999997</v>
      </c>
      <c r="D44" s="27">
        <v>0.04</v>
      </c>
      <c r="E44" s="27">
        <v>0.40699999999999997</v>
      </c>
      <c r="F44" s="27">
        <v>0.14000000000000001</v>
      </c>
      <c r="G44" s="27">
        <v>0.20699999999999999</v>
      </c>
      <c r="H44" s="27">
        <v>1.081</v>
      </c>
      <c r="I44" s="27">
        <v>0.72000000000000008</v>
      </c>
      <c r="J44" s="27">
        <v>0.17499999999999999</v>
      </c>
      <c r="K44" s="27">
        <v>0.60499999999999998</v>
      </c>
      <c r="L44" s="27">
        <v>0.69599999999999995</v>
      </c>
      <c r="M44" s="27">
        <v>0.438</v>
      </c>
      <c r="N44" s="27">
        <v>0.7</v>
      </c>
      <c r="O44" s="27">
        <v>0.56800000000000006</v>
      </c>
      <c r="P44" s="27">
        <v>0.22800000000000001</v>
      </c>
      <c r="Q44" s="27">
        <v>0.49299999999999988</v>
      </c>
      <c r="R44" s="27">
        <v>1.1879999999999999</v>
      </c>
      <c r="S44" s="27">
        <v>0.76300000000000001</v>
      </c>
      <c r="T44" s="27">
        <v>0.7380000000000001</v>
      </c>
      <c r="U44" s="27">
        <v>0.21299999999999999</v>
      </c>
      <c r="V44" s="27">
        <v>0.28100000000000003</v>
      </c>
      <c r="W44" s="27">
        <v>0.217</v>
      </c>
      <c r="X44" s="27">
        <v>0.11</v>
      </c>
      <c r="Y44" s="27">
        <v>0.50600000000000001</v>
      </c>
      <c r="Z44" s="27">
        <v>5.5E-2</v>
      </c>
      <c r="AA44" s="27">
        <v>1.476</v>
      </c>
      <c r="AB44" s="27">
        <v>0.54600000000000004</v>
      </c>
      <c r="AC44" s="27">
        <v>0.05</v>
      </c>
      <c r="AD44" s="27">
        <v>3.07</v>
      </c>
      <c r="AE44" s="27">
        <v>0</v>
      </c>
      <c r="AF44" s="27">
        <v>0.29899999999999999</v>
      </c>
      <c r="AG44" s="27">
        <v>0.49399999999999999</v>
      </c>
      <c r="AH44" s="27">
        <v>0.24299999999999999</v>
      </c>
      <c r="AI44" s="27">
        <v>0.307</v>
      </c>
      <c r="AJ44" s="27">
        <v>0.315</v>
      </c>
      <c r="AK44" s="27">
        <v>1.0169999999999999</v>
      </c>
      <c r="AL44" s="27">
        <v>0.219</v>
      </c>
      <c r="AM44" s="27">
        <v>1.153</v>
      </c>
      <c r="AN44" s="27">
        <v>0.17299999999999999</v>
      </c>
      <c r="AO44" s="27">
        <v>0.29199999999999998</v>
      </c>
      <c r="AP44" s="27">
        <v>0.99900000000000011</v>
      </c>
      <c r="AQ44" s="27">
        <v>0.51500000000000001</v>
      </c>
      <c r="AR44" s="27">
        <v>0.72799999999999998</v>
      </c>
      <c r="AS44" s="27">
        <v>0.67100000000000004</v>
      </c>
      <c r="AT44" s="27">
        <v>0.64</v>
      </c>
      <c r="AU44" s="27">
        <v>0.42699999999999999</v>
      </c>
      <c r="AV44" s="27">
        <v>0.35</v>
      </c>
      <c r="AW44" s="27">
        <v>0.68700000000000006</v>
      </c>
      <c r="AX44" s="27">
        <v>0.30499999999999999</v>
      </c>
      <c r="AY44" s="27">
        <v>0.84799999999999998</v>
      </c>
      <c r="AZ44" s="27">
        <v>0.755</v>
      </c>
      <c r="BA44" s="27">
        <v>0.68</v>
      </c>
      <c r="BB44" s="27">
        <v>0.53100000000000003</v>
      </c>
      <c r="BC44" s="27">
        <v>0.42099999999999999</v>
      </c>
      <c r="BD44" s="27">
        <v>0.57200000000000006</v>
      </c>
      <c r="BE44" s="27">
        <v>5.8000000000000003E-2</v>
      </c>
      <c r="BF44" s="27">
        <v>0.65200000000000002</v>
      </c>
      <c r="BG44" s="27">
        <v>0.22</v>
      </c>
      <c r="BH44" s="27">
        <v>0.45300000000000001</v>
      </c>
      <c r="BI44" s="27">
        <v>0.623</v>
      </c>
      <c r="BJ44" s="27">
        <v>0.11799999999999999</v>
      </c>
      <c r="BK44" s="27">
        <v>0</v>
      </c>
      <c r="BL44" s="27">
        <v>0.80099999999999993</v>
      </c>
      <c r="BM44" s="27">
        <v>0.34200000000000003</v>
      </c>
      <c r="BN44" s="27">
        <v>0.53700000000000003</v>
      </c>
      <c r="BO44" s="27">
        <v>0.29899999999999999</v>
      </c>
      <c r="BP44" s="27">
        <v>0</v>
      </c>
      <c r="BQ44" s="27">
        <v>4.3999999999999997E-2</v>
      </c>
      <c r="BR44" s="27">
        <v>0.48599999999999999</v>
      </c>
      <c r="BS44" s="27">
        <v>0.54500000000000004</v>
      </c>
      <c r="BT44" s="27">
        <v>0.11899999999999999</v>
      </c>
      <c r="BU44" s="27">
        <v>1.383</v>
      </c>
      <c r="BV44" s="27">
        <v>0.34599999999999997</v>
      </c>
      <c r="BW44" s="27">
        <v>0.28999999999999998</v>
      </c>
      <c r="BX44" s="27">
        <v>0.63800000000000001</v>
      </c>
      <c r="BY44" s="27">
        <v>0.628</v>
      </c>
      <c r="BZ44" s="27">
        <v>0.35399999999999998</v>
      </c>
      <c r="CA44" s="27">
        <v>0.6</v>
      </c>
      <c r="CB44" s="27">
        <v>0.51762337662337643</v>
      </c>
      <c r="CC44" s="33">
        <v>39.856999999999992</v>
      </c>
    </row>
    <row r="45" spans="1:81" x14ac:dyDescent="0.25">
      <c r="A45" s="23">
        <v>44</v>
      </c>
      <c r="B45" s="25">
        <v>21.5</v>
      </c>
      <c r="C45" s="27">
        <v>0.59599999999999997</v>
      </c>
      <c r="D45" s="27">
        <v>0.06</v>
      </c>
      <c r="E45" s="27">
        <v>0.45300000000000001</v>
      </c>
      <c r="F45" s="27">
        <v>9.2999999999999999E-2</v>
      </c>
      <c r="G45" s="27">
        <v>5.5E-2</v>
      </c>
      <c r="H45" s="27">
        <v>0.86099999999999999</v>
      </c>
      <c r="I45" s="27">
        <v>0.50600000000000001</v>
      </c>
      <c r="J45" s="27">
        <v>0.27700000000000002</v>
      </c>
      <c r="K45" s="27">
        <v>0.73899999999999999</v>
      </c>
      <c r="L45" s="27">
        <v>1.744</v>
      </c>
      <c r="M45" s="27">
        <v>0.48799999999999999</v>
      </c>
      <c r="N45" s="27">
        <v>0.30199999999999999</v>
      </c>
      <c r="O45" s="27">
        <v>0.437</v>
      </c>
      <c r="P45" s="27">
        <v>5.1999999999999998E-2</v>
      </c>
      <c r="Q45" s="27">
        <v>1.5620000000000001</v>
      </c>
      <c r="R45" s="27">
        <v>0.86699999999999999</v>
      </c>
      <c r="S45" s="27">
        <v>0.92900000000000005</v>
      </c>
      <c r="T45" s="27">
        <v>0.72400000000000009</v>
      </c>
      <c r="U45" s="27">
        <v>0.47799999999999998</v>
      </c>
      <c r="V45" s="27">
        <v>5.7000000000000002E-2</v>
      </c>
      <c r="W45" s="27">
        <v>0.36099999999999999</v>
      </c>
      <c r="X45" s="27">
        <v>0.16600000000000001</v>
      </c>
      <c r="Y45" s="27">
        <v>0.61399999999999999</v>
      </c>
      <c r="Z45" s="27">
        <v>0.30599999999999999</v>
      </c>
      <c r="AA45" s="27">
        <v>1.0189999999999999</v>
      </c>
      <c r="AB45" s="27">
        <v>0.55300000000000005</v>
      </c>
      <c r="AC45" s="27">
        <v>0.05</v>
      </c>
      <c r="AD45" s="27">
        <v>1.792</v>
      </c>
      <c r="AE45" s="27">
        <v>0</v>
      </c>
      <c r="AF45" s="27">
        <v>0.59899999999999998</v>
      </c>
      <c r="AG45" s="27">
        <v>0.60499999999999998</v>
      </c>
      <c r="AH45" s="27">
        <v>0.65300000000000002</v>
      </c>
      <c r="AI45" s="27">
        <v>0.317</v>
      </c>
      <c r="AJ45" s="27">
        <v>0.42299999999999999</v>
      </c>
      <c r="AK45" s="27">
        <v>0.95600000000000007</v>
      </c>
      <c r="AL45" s="27">
        <v>0.40600000000000003</v>
      </c>
      <c r="AM45" s="27">
        <v>1.1739999999999999</v>
      </c>
      <c r="AN45" s="27">
        <v>0.154</v>
      </c>
      <c r="AO45" s="27">
        <v>0.52899999999999991</v>
      </c>
      <c r="AP45" s="27">
        <v>2.823</v>
      </c>
      <c r="AQ45" s="27">
        <v>0.502</v>
      </c>
      <c r="AR45" s="27">
        <v>0.90799999999999992</v>
      </c>
      <c r="AS45" s="27">
        <v>0.154</v>
      </c>
      <c r="AT45" s="27">
        <v>0.41199999999999998</v>
      </c>
      <c r="AU45" s="27">
        <v>0.245</v>
      </c>
      <c r="AV45" s="27">
        <v>0.46700000000000003</v>
      </c>
      <c r="AW45" s="27">
        <v>0.66299999999999992</v>
      </c>
      <c r="AX45" s="27">
        <v>0.43</v>
      </c>
      <c r="AY45" s="27">
        <v>1.0009999999999999</v>
      </c>
      <c r="AZ45" s="27">
        <v>0.66200000000000003</v>
      </c>
      <c r="BA45" s="27">
        <v>0.41199999999999998</v>
      </c>
      <c r="BB45" s="27">
        <v>0.55300000000000005</v>
      </c>
      <c r="BC45" s="27">
        <v>0.503</v>
      </c>
      <c r="BD45" s="27">
        <v>0.49799999999999989</v>
      </c>
      <c r="BE45" s="27">
        <v>9.8000000000000004E-2</v>
      </c>
      <c r="BF45" s="27">
        <v>0.68099999999999994</v>
      </c>
      <c r="BG45" s="27">
        <v>1.002</v>
      </c>
      <c r="BH45" s="27">
        <v>8.3000000000000004E-2</v>
      </c>
      <c r="BI45" s="27">
        <v>0.36099999999999999</v>
      </c>
      <c r="BJ45" s="27">
        <v>0.126</v>
      </c>
      <c r="BK45" s="27">
        <v>0</v>
      </c>
      <c r="BL45" s="27">
        <v>0.73599999999999999</v>
      </c>
      <c r="BM45" s="27">
        <v>0.60699999999999998</v>
      </c>
      <c r="BN45" s="27">
        <v>0.495</v>
      </c>
      <c r="BO45" s="27">
        <v>0.182</v>
      </c>
      <c r="BP45" s="27">
        <v>0</v>
      </c>
      <c r="BQ45" s="27">
        <v>0.14699999999999999</v>
      </c>
      <c r="BR45" s="27">
        <v>0.40500000000000003</v>
      </c>
      <c r="BS45" s="27">
        <v>0.40699999999999997</v>
      </c>
      <c r="BT45" s="27">
        <v>9.0999999999999998E-2</v>
      </c>
      <c r="BU45" s="27">
        <v>0.19500000000000001</v>
      </c>
      <c r="BV45" s="27">
        <v>0.252</v>
      </c>
      <c r="BW45" s="27">
        <v>0.24</v>
      </c>
      <c r="BX45" s="27">
        <v>0.11700000000000001</v>
      </c>
      <c r="BY45" s="27">
        <v>0.87</v>
      </c>
      <c r="BZ45" s="27">
        <v>0.38400000000000001</v>
      </c>
      <c r="CA45" s="27">
        <v>0.38700000000000001</v>
      </c>
      <c r="CB45" s="27">
        <v>0.52020779220779201</v>
      </c>
      <c r="CC45" s="33">
        <v>40.055999999999983</v>
      </c>
    </row>
    <row r="46" spans="1:81" x14ac:dyDescent="0.25">
      <c r="A46" s="23">
        <v>45</v>
      </c>
      <c r="B46" s="25">
        <v>22</v>
      </c>
      <c r="C46" s="27">
        <v>1.7250000000000001</v>
      </c>
      <c r="D46" s="27">
        <v>0.16900000000000001</v>
      </c>
      <c r="E46" s="27">
        <v>0.27300000000000002</v>
      </c>
      <c r="F46" s="27">
        <v>0.14000000000000001</v>
      </c>
      <c r="G46" s="27">
        <v>0.214</v>
      </c>
      <c r="H46" s="27">
        <v>0.16500000000000001</v>
      </c>
      <c r="I46" s="27">
        <v>0.89899999999999991</v>
      </c>
      <c r="J46" s="27">
        <v>8.2000000000000003E-2</v>
      </c>
      <c r="K46" s="27">
        <v>0.77700000000000002</v>
      </c>
      <c r="L46" s="27">
        <v>0.98299999999999998</v>
      </c>
      <c r="M46" s="27">
        <v>0.40500000000000003</v>
      </c>
      <c r="N46" s="27">
        <v>0.221</v>
      </c>
      <c r="O46" s="27">
        <v>0.46700000000000003</v>
      </c>
      <c r="P46" s="27">
        <v>0.17499999999999999</v>
      </c>
      <c r="Q46" s="27">
        <v>0.38500000000000001</v>
      </c>
      <c r="R46" s="27">
        <v>0.9</v>
      </c>
      <c r="S46" s="27">
        <v>0.73099999999999998</v>
      </c>
      <c r="T46" s="27">
        <v>0.65399999999999991</v>
      </c>
      <c r="U46" s="27">
        <v>0.32600000000000001</v>
      </c>
      <c r="V46" s="27">
        <v>0.93400000000000005</v>
      </c>
      <c r="W46" s="27">
        <v>5.8000000000000003E-2</v>
      </c>
      <c r="X46" s="27">
        <v>5.0999999999999997E-2</v>
      </c>
      <c r="Y46" s="27">
        <v>0.124</v>
      </c>
      <c r="Z46" s="27">
        <v>0.36399999999999999</v>
      </c>
      <c r="AA46" s="27">
        <v>0.51</v>
      </c>
      <c r="AB46" s="27">
        <v>0.96899999999999997</v>
      </c>
      <c r="AC46" s="27">
        <v>0.14899999999999999</v>
      </c>
      <c r="AD46" s="27">
        <v>0</v>
      </c>
      <c r="AE46" s="27">
        <v>0</v>
      </c>
      <c r="AF46" s="27">
        <v>0.32</v>
      </c>
      <c r="AG46" s="27">
        <v>0.85499999999999998</v>
      </c>
      <c r="AH46" s="27">
        <v>0.45300000000000001</v>
      </c>
      <c r="AI46" s="27">
        <v>0.29699999999999999</v>
      </c>
      <c r="AJ46" s="27">
        <v>0.27</v>
      </c>
      <c r="AK46" s="27">
        <v>1.359</v>
      </c>
      <c r="AL46" s="27">
        <v>5.2999999999999999E-2</v>
      </c>
      <c r="AM46" s="27">
        <v>1.0429999999999999</v>
      </c>
      <c r="AN46" s="27">
        <v>0.17499999999999999</v>
      </c>
      <c r="AO46" s="27">
        <v>0.34799999999999998</v>
      </c>
      <c r="AP46" s="27">
        <v>2.3759999999999999</v>
      </c>
      <c r="AQ46" s="27">
        <v>0.44900000000000001</v>
      </c>
      <c r="AR46" s="27">
        <v>0.55599999999999994</v>
      </c>
      <c r="AS46" s="27">
        <v>0.443</v>
      </c>
      <c r="AT46" s="27">
        <v>0.46899999999999997</v>
      </c>
      <c r="AU46" s="27">
        <v>0.24</v>
      </c>
      <c r="AV46" s="27">
        <v>0.52300000000000002</v>
      </c>
      <c r="AW46" s="27">
        <v>0.13400000000000001</v>
      </c>
      <c r="AX46" s="27">
        <v>0.41599999999999998</v>
      </c>
      <c r="AY46" s="27">
        <v>1.0269999999999999</v>
      </c>
      <c r="AZ46" s="27">
        <v>0.54199999999999993</v>
      </c>
      <c r="BA46" s="27">
        <v>0.51300000000000001</v>
      </c>
      <c r="BB46" s="27">
        <v>0.501</v>
      </c>
      <c r="BC46" s="27">
        <v>0.65799999999999992</v>
      </c>
      <c r="BD46" s="27">
        <v>0.51</v>
      </c>
      <c r="BE46" s="27">
        <v>8.3999999999999991E-2</v>
      </c>
      <c r="BF46" s="27">
        <v>7.4999999999999997E-2</v>
      </c>
      <c r="BG46" s="27">
        <v>0.05</v>
      </c>
      <c r="BH46" s="27">
        <v>0.14599999999999999</v>
      </c>
      <c r="BI46" s="27">
        <v>4.3999999999999997E-2</v>
      </c>
      <c r="BJ46" s="27">
        <v>0.21299999999999999</v>
      </c>
      <c r="BK46" s="27">
        <v>0</v>
      </c>
      <c r="BL46" s="27">
        <v>0.74299999999999999</v>
      </c>
      <c r="BM46" s="27">
        <v>0.36900000000000011</v>
      </c>
      <c r="BN46" s="27">
        <v>0.69099999999999995</v>
      </c>
      <c r="BO46" s="27">
        <v>0.38800000000000001</v>
      </c>
      <c r="BP46" s="27">
        <v>0</v>
      </c>
      <c r="BQ46" s="27">
        <v>0.51200000000000001</v>
      </c>
      <c r="BR46" s="27">
        <v>0.55199999999999994</v>
      </c>
      <c r="BS46" s="27">
        <v>0.70499999999999996</v>
      </c>
      <c r="BT46" s="27">
        <v>0.11700000000000001</v>
      </c>
      <c r="BU46" s="27">
        <v>0</v>
      </c>
      <c r="BV46" s="27">
        <v>0.43</v>
      </c>
      <c r="BW46" s="27">
        <v>0.45</v>
      </c>
      <c r="BX46" s="27">
        <v>0.16500000000000001</v>
      </c>
      <c r="BY46" s="27">
        <v>0.48</v>
      </c>
      <c r="BZ46" s="27">
        <v>0.38600000000000001</v>
      </c>
      <c r="CA46" s="27">
        <v>0.51300000000000001</v>
      </c>
      <c r="CB46" s="27">
        <v>0.44796103896103912</v>
      </c>
      <c r="CC46" s="33">
        <v>34.493000000000009</v>
      </c>
    </row>
    <row r="47" spans="1:81" x14ac:dyDescent="0.25">
      <c r="A47" s="23">
        <v>46</v>
      </c>
      <c r="B47" s="25">
        <v>22.5</v>
      </c>
      <c r="C47" s="27">
        <v>0.70799999999999996</v>
      </c>
      <c r="D47" s="27">
        <v>0.04</v>
      </c>
      <c r="E47" s="27">
        <v>0.503</v>
      </c>
      <c r="F47" s="27">
        <v>5.7000000000000002E-2</v>
      </c>
      <c r="G47" s="27">
        <v>5.5E-2</v>
      </c>
      <c r="H47" s="27">
        <v>0</v>
      </c>
      <c r="I47" s="27">
        <v>0.67599999999999993</v>
      </c>
      <c r="J47" s="27">
        <v>0.26900000000000002</v>
      </c>
      <c r="K47" s="27">
        <v>0.54500000000000004</v>
      </c>
      <c r="L47" s="27">
        <v>0</v>
      </c>
      <c r="M47" s="27">
        <v>0.32300000000000001</v>
      </c>
      <c r="N47" s="27">
        <v>0.186</v>
      </c>
      <c r="O47" s="27">
        <v>0.76200000000000001</v>
      </c>
      <c r="P47" s="27">
        <v>0.13200000000000001</v>
      </c>
      <c r="Q47" s="27">
        <v>0.40100000000000002</v>
      </c>
      <c r="R47" s="27">
        <v>8.3000000000000004E-2</v>
      </c>
      <c r="S47" s="27">
        <v>0.55000000000000004</v>
      </c>
      <c r="T47" s="27">
        <v>0.82499999999999996</v>
      </c>
      <c r="U47" s="27">
        <v>0.26600000000000001</v>
      </c>
      <c r="V47" s="27">
        <v>0.13700000000000001</v>
      </c>
      <c r="W47" s="27">
        <v>0.30599999999999999</v>
      </c>
      <c r="X47" s="27">
        <v>0.108</v>
      </c>
      <c r="Y47" s="27">
        <v>0.70200000000000007</v>
      </c>
      <c r="Z47" s="27">
        <v>0.25900000000000001</v>
      </c>
      <c r="AA47" s="27">
        <v>0.31900000000000001</v>
      </c>
      <c r="AB47" s="27">
        <v>0.69</v>
      </c>
      <c r="AC47" s="27">
        <v>5.5E-2</v>
      </c>
      <c r="AD47" s="27">
        <v>0</v>
      </c>
      <c r="AE47" s="27">
        <v>0</v>
      </c>
      <c r="AF47" s="27">
        <v>0.66500000000000004</v>
      </c>
      <c r="AG47" s="27">
        <v>0.60499999999999998</v>
      </c>
      <c r="AH47" s="27">
        <v>0.40899999999999997</v>
      </c>
      <c r="AI47" s="27">
        <v>0.40799999999999997</v>
      </c>
      <c r="AJ47" s="27">
        <v>0.25</v>
      </c>
      <c r="AK47" s="27">
        <v>0.57300000000000006</v>
      </c>
      <c r="AL47" s="27">
        <v>0.308</v>
      </c>
      <c r="AM47" s="27">
        <v>1.2749999999999999</v>
      </c>
      <c r="AN47" s="27">
        <v>8.2000000000000003E-2</v>
      </c>
      <c r="AO47" s="27">
        <v>0.32200000000000001</v>
      </c>
      <c r="AP47" s="27">
        <v>0</v>
      </c>
      <c r="AQ47" s="27">
        <v>0.23</v>
      </c>
      <c r="AR47" s="27">
        <v>0.40799999999999997</v>
      </c>
      <c r="AS47" s="27">
        <v>0.45400000000000001</v>
      </c>
      <c r="AT47" s="27">
        <v>0.17</v>
      </c>
      <c r="AU47" s="27">
        <v>0.24199999999999999</v>
      </c>
      <c r="AV47" s="27">
        <v>0.50700000000000001</v>
      </c>
      <c r="AW47" s="27">
        <v>0.25800000000000001</v>
      </c>
      <c r="AX47" s="27">
        <v>0.03</v>
      </c>
      <c r="AY47" s="27">
        <v>1.9570000000000001</v>
      </c>
      <c r="AZ47" s="27">
        <v>0.41199999999999998</v>
      </c>
      <c r="BA47" s="27">
        <v>0.438</v>
      </c>
      <c r="BB47" s="27">
        <v>0.81800000000000006</v>
      </c>
      <c r="BC47" s="27">
        <v>0.51200000000000001</v>
      </c>
      <c r="BD47" s="27">
        <v>0.20799999999999999</v>
      </c>
      <c r="BE47" s="27">
        <v>5.8000000000000003E-2</v>
      </c>
      <c r="BF47" s="27">
        <v>0.52700000000000002</v>
      </c>
      <c r="BG47" s="27">
        <v>0.23799999999999999</v>
      </c>
      <c r="BH47" s="27">
        <v>0.248</v>
      </c>
      <c r="BI47" s="27">
        <v>0.122</v>
      </c>
      <c r="BJ47" s="27">
        <v>5.2999999999999999E-2</v>
      </c>
      <c r="BK47" s="27">
        <v>0</v>
      </c>
      <c r="BL47" s="27">
        <v>0.79299999999999993</v>
      </c>
      <c r="BM47" s="27">
        <v>5.7000000000000002E-2</v>
      </c>
      <c r="BN47" s="27">
        <v>0.50900000000000001</v>
      </c>
      <c r="BO47" s="27">
        <v>0.33500000000000002</v>
      </c>
      <c r="BP47" s="27">
        <v>0</v>
      </c>
      <c r="BQ47" s="27">
        <v>0.311</v>
      </c>
      <c r="BR47" s="27">
        <v>0.54900000000000004</v>
      </c>
      <c r="BS47" s="27">
        <v>0.44900000000000001</v>
      </c>
      <c r="BT47" s="27">
        <v>7.9000000000000001E-2</v>
      </c>
      <c r="BU47" s="27">
        <v>0</v>
      </c>
      <c r="BV47" s="27">
        <v>0.33900000000000002</v>
      </c>
      <c r="BW47" s="27">
        <v>0.311</v>
      </c>
      <c r="BX47" s="27">
        <v>0.11600000000000001</v>
      </c>
      <c r="BY47" s="27">
        <v>0.47</v>
      </c>
      <c r="BZ47" s="27">
        <v>0.34899999999999998</v>
      </c>
      <c r="CA47" s="27">
        <v>0.49399999999999999</v>
      </c>
      <c r="CB47" s="27">
        <v>0.34941558441558451</v>
      </c>
      <c r="CC47" s="33">
        <v>26.905000000000001</v>
      </c>
    </row>
    <row r="48" spans="1:81" x14ac:dyDescent="0.25">
      <c r="A48" s="23">
        <v>47</v>
      </c>
      <c r="B48" s="25">
        <v>23</v>
      </c>
      <c r="C48" s="27">
        <v>0.52600000000000002</v>
      </c>
      <c r="D48" s="27">
        <v>0.122</v>
      </c>
      <c r="E48" s="27">
        <v>0.45600000000000002</v>
      </c>
      <c r="F48" s="27">
        <v>5.7000000000000002E-2</v>
      </c>
      <c r="G48" s="27">
        <v>8.3999999999999991E-2</v>
      </c>
      <c r="H48" s="27">
        <v>0</v>
      </c>
      <c r="I48" s="27">
        <v>1.825</v>
      </c>
      <c r="J48" s="27">
        <v>5.0999999999999997E-2</v>
      </c>
      <c r="K48" s="27">
        <v>0.219</v>
      </c>
      <c r="L48" s="27">
        <v>0</v>
      </c>
      <c r="M48" s="27">
        <v>0.59399999999999997</v>
      </c>
      <c r="N48" s="27">
        <v>0.39400000000000002</v>
      </c>
      <c r="O48" s="27">
        <v>0.317</v>
      </c>
      <c r="P48" s="27">
        <v>0.27100000000000002</v>
      </c>
      <c r="Q48" s="27">
        <v>0.441</v>
      </c>
      <c r="R48" s="27">
        <v>0</v>
      </c>
      <c r="S48" s="27">
        <v>0.442</v>
      </c>
      <c r="T48" s="27">
        <v>0.82600000000000007</v>
      </c>
      <c r="U48" s="27">
        <v>0.36199999999999999</v>
      </c>
      <c r="V48" s="27">
        <v>0.151</v>
      </c>
      <c r="W48" s="27">
        <v>0.151</v>
      </c>
      <c r="X48" s="27">
        <v>0.109</v>
      </c>
      <c r="Y48" s="27">
        <v>0.41399999999999998</v>
      </c>
      <c r="Z48" s="27">
        <v>5.5E-2</v>
      </c>
      <c r="AA48" s="27">
        <v>0.14199999999999999</v>
      </c>
      <c r="AB48" s="27">
        <v>1.179</v>
      </c>
      <c r="AC48" s="27">
        <v>6.6000000000000003E-2</v>
      </c>
      <c r="AD48" s="27">
        <v>0</v>
      </c>
      <c r="AE48" s="27">
        <v>0</v>
      </c>
      <c r="AF48" s="27">
        <v>5.3999999999999999E-2</v>
      </c>
      <c r="AG48" s="27">
        <v>0.151</v>
      </c>
      <c r="AH48" s="27">
        <v>0.312</v>
      </c>
      <c r="AI48" s="27">
        <v>0.14099999999999999</v>
      </c>
      <c r="AJ48" s="27">
        <v>0.17899999999999999</v>
      </c>
      <c r="AK48" s="27">
        <v>0.11899999999999999</v>
      </c>
      <c r="AL48" s="27">
        <v>0.17299999999999999</v>
      </c>
      <c r="AM48" s="27">
        <v>0.35299999999999998</v>
      </c>
      <c r="AN48" s="27">
        <v>5.8999999999999997E-2</v>
      </c>
      <c r="AO48" s="27">
        <v>0.61399999999999999</v>
      </c>
      <c r="AP48" s="27">
        <v>0</v>
      </c>
      <c r="AQ48" s="27">
        <v>5.2999999999999999E-2</v>
      </c>
      <c r="AR48" s="27">
        <v>0.20100000000000001</v>
      </c>
      <c r="AS48" s="27">
        <v>0.36</v>
      </c>
      <c r="AT48" s="27">
        <v>0.19700000000000001</v>
      </c>
      <c r="AU48" s="27">
        <v>0.25900000000000001</v>
      </c>
      <c r="AV48" s="27">
        <v>0.155</v>
      </c>
      <c r="AW48" s="27">
        <v>0.27400000000000002</v>
      </c>
      <c r="AX48" s="27">
        <v>0.03</v>
      </c>
      <c r="AY48" s="27">
        <v>0.57399999999999995</v>
      </c>
      <c r="AZ48" s="27">
        <v>5.8000000000000003E-2</v>
      </c>
      <c r="BA48" s="27">
        <v>0.17599999999999999</v>
      </c>
      <c r="BB48" s="27">
        <v>0.89300000000000002</v>
      </c>
      <c r="BC48" s="27">
        <v>0.34499999999999997</v>
      </c>
      <c r="BD48" s="27">
        <v>0.14399999999999999</v>
      </c>
      <c r="BE48" s="27">
        <v>5.8000000000000003E-2</v>
      </c>
      <c r="BF48" s="27">
        <v>0.35599999999999998</v>
      </c>
      <c r="BG48" s="27">
        <v>0.11899999999999999</v>
      </c>
      <c r="BH48" s="27">
        <v>5.5E-2</v>
      </c>
      <c r="BI48" s="27">
        <v>4.3999999999999997E-2</v>
      </c>
      <c r="BJ48" s="27">
        <v>9.0000000000000011E-2</v>
      </c>
      <c r="BK48" s="27">
        <v>0</v>
      </c>
      <c r="BL48" s="27">
        <v>0.93199999999999994</v>
      </c>
      <c r="BM48" s="27">
        <v>0.224</v>
      </c>
      <c r="BN48" s="27">
        <v>0.13</v>
      </c>
      <c r="BO48" s="27">
        <v>4.1000000000000002E-2</v>
      </c>
      <c r="BP48" s="27">
        <v>0</v>
      </c>
      <c r="BQ48" s="27">
        <v>0.88300000000000001</v>
      </c>
      <c r="BR48" s="27">
        <v>0.40699999999999997</v>
      </c>
      <c r="BS48" s="27">
        <v>0.36399999999999999</v>
      </c>
      <c r="BT48" s="27">
        <v>0.5109999999999999</v>
      </c>
      <c r="BU48" s="27">
        <v>0</v>
      </c>
      <c r="BV48" s="27">
        <v>0.4</v>
      </c>
      <c r="BW48" s="27">
        <v>0.36799999999999999</v>
      </c>
      <c r="BX48" s="27">
        <v>0.221</v>
      </c>
      <c r="BY48" s="27">
        <v>0.45200000000000001</v>
      </c>
      <c r="BZ48" s="27">
        <v>0.22</v>
      </c>
      <c r="CA48" s="27">
        <v>0.67300000000000004</v>
      </c>
      <c r="CB48" s="27">
        <v>0.28150649350649343</v>
      </c>
      <c r="CC48" s="33">
        <v>21.675999999999991</v>
      </c>
    </row>
    <row r="49" spans="1:81" x14ac:dyDescent="0.25">
      <c r="A49" s="24">
        <v>48</v>
      </c>
      <c r="B49" s="26">
        <v>23.5</v>
      </c>
      <c r="C49" s="28">
        <v>0.53200000000000003</v>
      </c>
      <c r="D49" s="28">
        <v>0.108</v>
      </c>
      <c r="E49" s="28">
        <v>0.311</v>
      </c>
      <c r="F49" s="28">
        <v>0.14000000000000001</v>
      </c>
      <c r="G49" s="28">
        <v>0.185</v>
      </c>
      <c r="H49" s="28">
        <v>0</v>
      </c>
      <c r="I49" s="28">
        <v>0.128</v>
      </c>
      <c r="J49" s="28">
        <v>0.23100000000000001</v>
      </c>
      <c r="K49" s="28">
        <v>5.5E-2</v>
      </c>
      <c r="L49" s="28">
        <v>0</v>
      </c>
      <c r="M49" s="28">
        <v>0.504</v>
      </c>
      <c r="N49" s="28">
        <v>0.03</v>
      </c>
      <c r="O49" s="28">
        <v>0.434</v>
      </c>
      <c r="P49" s="28">
        <v>6.8000000000000005E-2</v>
      </c>
      <c r="Q49" s="28">
        <v>0</v>
      </c>
      <c r="R49" s="28">
        <v>0</v>
      </c>
      <c r="S49" s="28">
        <v>0.61599999999999999</v>
      </c>
      <c r="T49" s="28">
        <v>0.64700000000000002</v>
      </c>
      <c r="U49" s="28">
        <v>0.55699999999999994</v>
      </c>
      <c r="V49" s="28">
        <v>0.187</v>
      </c>
      <c r="W49" s="28">
        <v>6.2E-2</v>
      </c>
      <c r="X49" s="28">
        <v>0.16700000000000001</v>
      </c>
      <c r="Y49" s="28">
        <v>0.34100000000000003</v>
      </c>
      <c r="Z49" s="28">
        <v>5.5E-2</v>
      </c>
      <c r="AA49" s="28">
        <v>5.8000000000000003E-2</v>
      </c>
      <c r="AB49" s="28">
        <v>0.70399999999999996</v>
      </c>
      <c r="AC49" s="28">
        <v>0.13800000000000001</v>
      </c>
      <c r="AD49" s="28">
        <v>0</v>
      </c>
      <c r="AE49" s="28">
        <v>0</v>
      </c>
      <c r="AF49" s="28">
        <v>5.3999999999999999E-2</v>
      </c>
      <c r="AG49" s="28">
        <v>0.16500000000000001</v>
      </c>
      <c r="AH49" s="28">
        <v>0.11799999999999999</v>
      </c>
      <c r="AI49" s="28">
        <v>0.14199999999999999</v>
      </c>
      <c r="AJ49" s="28">
        <v>0.10199999999999999</v>
      </c>
      <c r="AK49" s="28">
        <v>0</v>
      </c>
      <c r="AL49" s="28">
        <v>4.8000000000000001E-2</v>
      </c>
      <c r="AM49" s="28">
        <v>0</v>
      </c>
      <c r="AN49" s="28">
        <v>5.8999999999999997E-2</v>
      </c>
      <c r="AO49" s="28">
        <v>0.442</v>
      </c>
      <c r="AP49" s="28">
        <v>0</v>
      </c>
      <c r="AQ49" s="28">
        <v>0.13100000000000001</v>
      </c>
      <c r="AR49" s="28">
        <v>4.5999999999999999E-2</v>
      </c>
      <c r="AS49" s="28">
        <v>0.33700000000000002</v>
      </c>
      <c r="AT49" s="28">
        <v>3.6999999999999998E-2</v>
      </c>
      <c r="AU49" s="28">
        <v>0.28499999999999998</v>
      </c>
      <c r="AV49" s="28">
        <v>0.16200000000000001</v>
      </c>
      <c r="AW49" s="28">
        <v>9.1999999999999998E-2</v>
      </c>
      <c r="AX49" s="28">
        <v>0.03</v>
      </c>
      <c r="AY49" s="28">
        <v>0.81400000000000006</v>
      </c>
      <c r="AZ49" s="28">
        <v>0.191</v>
      </c>
      <c r="BA49" s="28">
        <v>6.9999999999999993E-2</v>
      </c>
      <c r="BB49" s="28">
        <v>1.4330000000000001</v>
      </c>
      <c r="BC49" s="28">
        <v>0.28899999999999998</v>
      </c>
      <c r="BD49" s="28">
        <v>0.27500000000000002</v>
      </c>
      <c r="BE49" s="28">
        <v>0.124</v>
      </c>
      <c r="BF49" s="28">
        <v>9.8999999999999991E-2</v>
      </c>
      <c r="BG49" s="28">
        <v>7.5999999999999998E-2</v>
      </c>
      <c r="BH49" s="28">
        <v>0.11799999999999999</v>
      </c>
      <c r="BI49" s="28">
        <v>4.3999999999999997E-2</v>
      </c>
      <c r="BJ49" s="28">
        <v>0.249</v>
      </c>
      <c r="BK49" s="28">
        <v>0</v>
      </c>
      <c r="BL49" s="28">
        <v>0.223</v>
      </c>
      <c r="BM49" s="28">
        <v>5.7000000000000002E-2</v>
      </c>
      <c r="BN49" s="28">
        <v>9.5000000000000001E-2</v>
      </c>
      <c r="BO49" s="28">
        <v>0.151</v>
      </c>
      <c r="BP49" s="28">
        <v>0</v>
      </c>
      <c r="BQ49" s="28">
        <v>0.75700000000000001</v>
      </c>
      <c r="BR49" s="28">
        <v>0.20599999999999999</v>
      </c>
      <c r="BS49" s="28">
        <v>0.20499999999999999</v>
      </c>
      <c r="BT49" s="28">
        <v>0.42299999999999999</v>
      </c>
      <c r="BU49" s="28">
        <v>0</v>
      </c>
      <c r="BV49" s="28">
        <v>0.40699999999999997</v>
      </c>
      <c r="BW49" s="28">
        <v>0.624</v>
      </c>
      <c r="BX49" s="28">
        <v>5.1999999999999998E-2</v>
      </c>
      <c r="BY49" s="28">
        <v>0.67800000000000005</v>
      </c>
      <c r="BZ49" s="28">
        <v>4.3999999999999997E-2</v>
      </c>
      <c r="CA49" s="28">
        <v>0.51300000000000001</v>
      </c>
      <c r="CB49" s="28">
        <v>0.21720779220779229</v>
      </c>
      <c r="CC49" s="34">
        <v>16.725000000000009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C49"/>
  <sheetViews>
    <sheetView showGridLines="0" workbookViewId="0">
      <selection activeCell="I6" sqref="I6"/>
    </sheetView>
  </sheetViews>
  <sheetFormatPr defaultRowHeight="15" x14ac:dyDescent="0.25"/>
  <cols>
    <col min="1" max="1" width="10" customWidth="1"/>
    <col min="2" max="2" width="9" customWidth="1"/>
    <col min="3" max="81" width="15" customWidth="1"/>
  </cols>
  <sheetData>
    <row r="1" spans="1:81" ht="30" customHeight="1" x14ac:dyDescent="0.25">
      <c r="A1" s="8" t="s">
        <v>26</v>
      </c>
      <c r="B1" s="20" t="s">
        <v>27</v>
      </c>
      <c r="C1" s="20" t="s">
        <v>37</v>
      </c>
      <c r="D1" s="20" t="s">
        <v>38</v>
      </c>
      <c r="E1" s="20" t="s">
        <v>39</v>
      </c>
      <c r="F1" s="20" t="s">
        <v>40</v>
      </c>
      <c r="G1" s="20" t="s">
        <v>41</v>
      </c>
      <c r="H1" s="20" t="s">
        <v>42</v>
      </c>
      <c r="I1" s="20" t="s">
        <v>43</v>
      </c>
      <c r="J1" s="20" t="s">
        <v>44</v>
      </c>
      <c r="K1" s="20" t="s">
        <v>45</v>
      </c>
      <c r="L1" s="20" t="s">
        <v>46</v>
      </c>
      <c r="M1" s="20" t="s">
        <v>47</v>
      </c>
      <c r="N1" s="20" t="s">
        <v>48</v>
      </c>
      <c r="O1" s="20" t="s">
        <v>49</v>
      </c>
      <c r="P1" s="20" t="s">
        <v>50</v>
      </c>
      <c r="Q1" s="20" t="s">
        <v>51</v>
      </c>
      <c r="R1" s="20" t="s">
        <v>52</v>
      </c>
      <c r="S1" s="20" t="s">
        <v>53</v>
      </c>
      <c r="T1" s="20" t="s">
        <v>54</v>
      </c>
      <c r="U1" s="20" t="s">
        <v>55</v>
      </c>
      <c r="V1" s="20" t="s">
        <v>56</v>
      </c>
      <c r="W1" s="20" t="s">
        <v>57</v>
      </c>
      <c r="X1" s="20" t="s">
        <v>58</v>
      </c>
      <c r="Y1" s="20" t="s">
        <v>59</v>
      </c>
      <c r="Z1" s="20" t="s">
        <v>60</v>
      </c>
      <c r="AA1" s="20" t="s">
        <v>61</v>
      </c>
      <c r="AB1" s="20" t="s">
        <v>62</v>
      </c>
      <c r="AC1" s="20" t="s">
        <v>63</v>
      </c>
      <c r="AD1" s="20" t="s">
        <v>64</v>
      </c>
      <c r="AE1" s="20" t="s">
        <v>65</v>
      </c>
      <c r="AF1" s="20" t="s">
        <v>66</v>
      </c>
      <c r="AG1" s="20" t="s">
        <v>67</v>
      </c>
      <c r="AH1" s="20" t="s">
        <v>68</v>
      </c>
      <c r="AI1" s="20" t="s">
        <v>69</v>
      </c>
      <c r="AJ1" s="20" t="s">
        <v>70</v>
      </c>
      <c r="AK1" s="20" t="s">
        <v>71</v>
      </c>
      <c r="AL1" s="20" t="s">
        <v>72</v>
      </c>
      <c r="AM1" s="20" t="s">
        <v>73</v>
      </c>
      <c r="AN1" s="20" t="s">
        <v>74</v>
      </c>
      <c r="AO1" s="20" t="s">
        <v>75</v>
      </c>
      <c r="AP1" s="20" t="s">
        <v>76</v>
      </c>
      <c r="AQ1" s="20" t="s">
        <v>77</v>
      </c>
      <c r="AR1" s="20" t="s">
        <v>78</v>
      </c>
      <c r="AS1" s="20" t="s">
        <v>79</v>
      </c>
      <c r="AT1" s="20" t="s">
        <v>80</v>
      </c>
      <c r="AU1" s="20" t="s">
        <v>81</v>
      </c>
      <c r="AV1" s="20" t="s">
        <v>82</v>
      </c>
      <c r="AW1" s="20" t="s">
        <v>83</v>
      </c>
      <c r="AX1" s="20" t="s">
        <v>84</v>
      </c>
      <c r="AY1" s="20" t="s">
        <v>85</v>
      </c>
      <c r="AZ1" s="20" t="s">
        <v>86</v>
      </c>
      <c r="BA1" s="20" t="s">
        <v>87</v>
      </c>
      <c r="BB1" s="20" t="s">
        <v>88</v>
      </c>
      <c r="BC1" s="20" t="s">
        <v>89</v>
      </c>
      <c r="BD1" s="20" t="s">
        <v>90</v>
      </c>
      <c r="BE1" s="20" t="s">
        <v>91</v>
      </c>
      <c r="BF1" s="20" t="s">
        <v>92</v>
      </c>
      <c r="BG1" s="20" t="s">
        <v>93</v>
      </c>
      <c r="BH1" s="20" t="s">
        <v>94</v>
      </c>
      <c r="BI1" s="20" t="s">
        <v>95</v>
      </c>
      <c r="BJ1" s="20" t="s">
        <v>96</v>
      </c>
      <c r="BK1" s="20" t="s">
        <v>97</v>
      </c>
      <c r="BL1" s="20" t="s">
        <v>98</v>
      </c>
      <c r="BM1" s="20" t="s">
        <v>99</v>
      </c>
      <c r="BN1" s="20" t="s">
        <v>100</v>
      </c>
      <c r="BO1" s="20" t="s">
        <v>101</v>
      </c>
      <c r="BP1" s="20" t="s">
        <v>102</v>
      </c>
      <c r="BQ1" s="20" t="s">
        <v>103</v>
      </c>
      <c r="BR1" s="20" t="s">
        <v>104</v>
      </c>
      <c r="BS1" s="20" t="s">
        <v>105</v>
      </c>
      <c r="BT1" s="20" t="s">
        <v>106</v>
      </c>
      <c r="BU1" s="20" t="s">
        <v>107</v>
      </c>
      <c r="BV1" s="20" t="s">
        <v>108</v>
      </c>
      <c r="BW1" s="20" t="s">
        <v>109</v>
      </c>
      <c r="BX1" s="20" t="s">
        <v>110</v>
      </c>
      <c r="BY1" s="20" t="s">
        <v>111</v>
      </c>
      <c r="BZ1" s="20" t="s">
        <v>112</v>
      </c>
      <c r="CA1" s="20" t="s">
        <v>113</v>
      </c>
      <c r="CB1" s="20" t="s">
        <v>114</v>
      </c>
      <c r="CC1" s="9" t="s">
        <v>115</v>
      </c>
    </row>
    <row r="2" spans="1:81" x14ac:dyDescent="0.25">
      <c r="A2" s="23">
        <v>1</v>
      </c>
      <c r="B2" s="25">
        <v>0</v>
      </c>
      <c r="C2" s="27">
        <v>3.0066666666700442E-4</v>
      </c>
      <c r="D2" s="27">
        <v>4.2666666666670022E-4</v>
      </c>
      <c r="E2" s="27">
        <v>0</v>
      </c>
      <c r="F2" s="27">
        <v>0</v>
      </c>
      <c r="G2" s="27">
        <v>0</v>
      </c>
      <c r="H2" s="27">
        <v>-3.7266666666699311E-4</v>
      </c>
      <c r="I2" s="27">
        <v>-4.0000000000040004E-6</v>
      </c>
      <c r="J2" s="27">
        <v>1.683333333329928E-4</v>
      </c>
      <c r="K2" s="27">
        <v>-2.8333333332963839E-5</v>
      </c>
      <c r="L2" s="27">
        <v>2.8833333333300182E-4</v>
      </c>
      <c r="M2" s="27">
        <v>3.7799999999998951E-4</v>
      </c>
      <c r="N2" s="27">
        <v>1.349999999999407E-4</v>
      </c>
      <c r="O2" s="27">
        <v>2.6000000000001022E-4</v>
      </c>
      <c r="P2" s="27">
        <v>-2.4533333333301433E-4</v>
      </c>
      <c r="Q2" s="27">
        <v>-2.296666666669889E-4</v>
      </c>
      <c r="R2" s="27">
        <v>-6.9388939039072284E-18</v>
      </c>
      <c r="S2" s="27">
        <v>-1.7200000000000551E-4</v>
      </c>
      <c r="T2" s="27">
        <v>3.7599999999998751E-4</v>
      </c>
      <c r="U2" s="27">
        <v>7.2000000000002617E-5</v>
      </c>
      <c r="V2" s="27">
        <v>-1.2433333333300431E-4</v>
      </c>
      <c r="W2" s="27">
        <v>1.983333333329951E-4</v>
      </c>
      <c r="X2" s="27">
        <v>0</v>
      </c>
      <c r="Y2" s="27">
        <v>0</v>
      </c>
      <c r="Z2" s="27">
        <v>4.7516666666670197E-2</v>
      </c>
      <c r="AA2" s="27">
        <v>1.4133333333339601E-4</v>
      </c>
      <c r="AB2" s="27">
        <v>3.1033333333296831E-4</v>
      </c>
      <c r="AC2" s="27">
        <v>6.1333333332996842E-5</v>
      </c>
      <c r="AD2" s="27">
        <v>-3.5799999999996951E-4</v>
      </c>
      <c r="AE2" s="27">
        <v>-8.6666666667012393E-5</v>
      </c>
      <c r="AF2" s="27">
        <v>1.2833333333300831E-4</v>
      </c>
      <c r="AG2" s="27">
        <v>0</v>
      </c>
      <c r="AH2" s="27">
        <v>3.0666666667011899E-5</v>
      </c>
      <c r="AI2" s="27">
        <v>-4.9999999999997269E-4</v>
      </c>
      <c r="AJ2" s="27">
        <v>-2.1783333333329211E-4</v>
      </c>
      <c r="AK2" s="27">
        <v>3.7800000000000328E-4</v>
      </c>
      <c r="AL2" s="27">
        <v>2.2133333333301811E-4</v>
      </c>
      <c r="AM2" s="27">
        <v>-4.4733333333300818E-4</v>
      </c>
      <c r="AN2" s="27">
        <v>0</v>
      </c>
      <c r="AO2" s="27">
        <v>4.5466666666699179E-4</v>
      </c>
      <c r="AP2" s="27">
        <v>3.9999999999928981E-5</v>
      </c>
      <c r="AQ2" s="27">
        <v>0</v>
      </c>
      <c r="AR2" s="27">
        <v>-1.000000000000167E-4</v>
      </c>
      <c r="AS2" s="27">
        <v>6.9388939039072284E-18</v>
      </c>
      <c r="AT2" s="27">
        <v>-4.8233333333297379E-4</v>
      </c>
      <c r="AU2" s="27">
        <v>-3.5000000000000309E-4</v>
      </c>
      <c r="AV2" s="27">
        <v>-1.2633333333303409E-4</v>
      </c>
      <c r="AW2" s="27">
        <v>2.6599999999998852E-4</v>
      </c>
      <c r="AX2" s="27">
        <v>-3.4694469519536142E-18</v>
      </c>
      <c r="AY2" s="27">
        <v>3.8066666666700111E-4</v>
      </c>
      <c r="AZ2" s="27">
        <v>2.4033333333295381E-4</v>
      </c>
      <c r="BA2" s="27">
        <v>1.0100000000000391E-4</v>
      </c>
      <c r="BB2" s="27">
        <v>3.8900000000000051E-4</v>
      </c>
      <c r="BC2" s="27">
        <v>-4.3433333333330049E-4</v>
      </c>
      <c r="BD2" s="27">
        <v>-4.123333333329593E-4</v>
      </c>
      <c r="BE2" s="27">
        <v>0</v>
      </c>
      <c r="BF2" s="27">
        <v>7.7666666667003392E-5</v>
      </c>
      <c r="BG2" s="27">
        <v>-2.9333333332992592E-5</v>
      </c>
      <c r="BH2" s="27">
        <v>2.9466666666699842E-4</v>
      </c>
      <c r="BI2" s="27">
        <v>6.2000000000006494E-5</v>
      </c>
      <c r="BJ2" s="27">
        <v>-5.6666666670146526E-6</v>
      </c>
      <c r="BK2" s="27">
        <v>-4.6666666670136534E-6</v>
      </c>
      <c r="BL2" s="27">
        <v>-1.4533333333299761E-4</v>
      </c>
      <c r="BM2" s="27">
        <v>-2.24000000000002E-4</v>
      </c>
      <c r="BN2" s="27">
        <v>9.9999999999988987E-5</v>
      </c>
      <c r="BO2" s="27">
        <v>4.2333333333402501E-4</v>
      </c>
      <c r="BP2" s="27">
        <v>0</v>
      </c>
      <c r="BQ2" s="27">
        <v>-2.966666666698314E-5</v>
      </c>
      <c r="BR2" s="27">
        <v>0</v>
      </c>
      <c r="BS2" s="27">
        <v>-4.8699999999998739E-4</v>
      </c>
      <c r="BT2" s="27">
        <v>0</v>
      </c>
      <c r="BU2" s="27">
        <v>-2.6999999999999252E-4</v>
      </c>
      <c r="BV2" s="27">
        <v>3.8200000000002121E-4</v>
      </c>
      <c r="BW2" s="27">
        <v>-2.8466666666698842E-4</v>
      </c>
      <c r="BX2" s="27">
        <v>-1.0666666666703239E-4</v>
      </c>
      <c r="BY2" s="27">
        <v>-2.096666666669966E-4</v>
      </c>
      <c r="BZ2" s="27">
        <v>0</v>
      </c>
      <c r="CA2" s="27">
        <v>0</v>
      </c>
      <c r="CB2" s="27">
        <v>6.2486363636368345E-4</v>
      </c>
      <c r="CC2" s="33">
        <v>4.8114500000003627E-2</v>
      </c>
    </row>
    <row r="3" spans="1:81" x14ac:dyDescent="0.25">
      <c r="A3" s="23">
        <v>2</v>
      </c>
      <c r="B3" s="25">
        <v>0.5</v>
      </c>
      <c r="C3" s="27">
        <v>4.019999999999857E-4</v>
      </c>
      <c r="D3" s="27">
        <v>0</v>
      </c>
      <c r="E3" s="27">
        <v>2.19999999999998E-4</v>
      </c>
      <c r="F3" s="27">
        <v>0</v>
      </c>
      <c r="G3" s="27">
        <v>0</v>
      </c>
      <c r="H3" s="27">
        <v>-1.2766666666702559E-4</v>
      </c>
      <c r="I3" s="27">
        <v>-1.7000000000000351E-4</v>
      </c>
      <c r="J3" s="27">
        <v>-3.5966666666660541E-4</v>
      </c>
      <c r="K3" s="27">
        <v>-4.5133333333291498E-4</v>
      </c>
      <c r="L3" s="27">
        <v>1.16000000000005E-4</v>
      </c>
      <c r="M3" s="27">
        <v>3.0900000000000372E-4</v>
      </c>
      <c r="N3" s="27">
        <v>2.246666666659847E-4</v>
      </c>
      <c r="O3" s="27">
        <v>0</v>
      </c>
      <c r="P3" s="27">
        <v>5.0666666666712712E-5</v>
      </c>
      <c r="Q3" s="27">
        <v>-2.296666666669889E-4</v>
      </c>
      <c r="R3" s="27">
        <v>-6.9388939039072284E-18</v>
      </c>
      <c r="S3" s="27">
        <v>-2.8733333333302857E-4</v>
      </c>
      <c r="T3" s="27">
        <v>1.2533333333300531E-4</v>
      </c>
      <c r="U3" s="27">
        <v>0</v>
      </c>
      <c r="V3" s="27">
        <v>-2.5666666666993021E-5</v>
      </c>
      <c r="W3" s="27">
        <v>3.1666666666985137E-5</v>
      </c>
      <c r="X3" s="27">
        <v>-2.4666666666697812E-4</v>
      </c>
      <c r="Y3" s="27">
        <v>0</v>
      </c>
      <c r="Z3" s="27">
        <v>5.5E-2</v>
      </c>
      <c r="AA3" s="27">
        <v>4.2666666666700548E-4</v>
      </c>
      <c r="AB3" s="27">
        <v>-4.2433333333330442E-4</v>
      </c>
      <c r="AC3" s="27">
        <v>0</v>
      </c>
      <c r="AD3" s="27">
        <v>0</v>
      </c>
      <c r="AE3" s="27">
        <v>1.9166666666692311E-4</v>
      </c>
      <c r="AF3" s="27">
        <v>2.8299999999997771E-4</v>
      </c>
      <c r="AG3" s="27">
        <v>-1.6000000000002121E-4</v>
      </c>
      <c r="AH3" s="27">
        <v>-2.1999999999997019E-4</v>
      </c>
      <c r="AI3" s="27">
        <v>-4.2599999999999583E-4</v>
      </c>
      <c r="AJ3" s="27">
        <v>1.035999999999815E-4</v>
      </c>
      <c r="AK3" s="27">
        <v>2.5400000000003198E-4</v>
      </c>
      <c r="AL3" s="27">
        <v>3.6866666666698911E-4</v>
      </c>
      <c r="AM3" s="27">
        <v>2.2066666666670229E-4</v>
      </c>
      <c r="AN3" s="27">
        <v>5.3333333332961093E-5</v>
      </c>
      <c r="AO3" s="27">
        <v>0</v>
      </c>
      <c r="AP3" s="27">
        <v>-3.3666666666698491E-4</v>
      </c>
      <c r="AQ3" s="27">
        <v>2.9399999999998871E-4</v>
      </c>
      <c r="AR3" s="27">
        <v>0</v>
      </c>
      <c r="AS3" s="27">
        <v>-2.010000000000067E-4</v>
      </c>
      <c r="AT3" s="27">
        <v>0</v>
      </c>
      <c r="AU3" s="27">
        <v>-4.6666666667000152E-5</v>
      </c>
      <c r="AV3" s="27">
        <v>1.886666666666981E-4</v>
      </c>
      <c r="AW3" s="27">
        <v>2.5333333333329988E-4</v>
      </c>
      <c r="AX3" s="27">
        <v>4.399999999999959E-4</v>
      </c>
      <c r="AY3" s="27">
        <v>2.7733333333301863E-4</v>
      </c>
      <c r="AZ3" s="27">
        <v>4.4999999999990881E-4</v>
      </c>
      <c r="BA3" s="27">
        <v>3.6000000000008248E-5</v>
      </c>
      <c r="BB3" s="27">
        <v>3.8899999999990331E-4</v>
      </c>
      <c r="BC3" s="27">
        <v>2.8100000000000352E-4</v>
      </c>
      <c r="BD3" s="27">
        <v>5.4666666666702828E-5</v>
      </c>
      <c r="BE3" s="27">
        <v>0</v>
      </c>
      <c r="BF3" s="27">
        <v>4.456666666670106E-4</v>
      </c>
      <c r="BG3" s="27">
        <v>1.7366666666698841E-4</v>
      </c>
      <c r="BH3" s="27">
        <v>2.2333333333329761E-4</v>
      </c>
      <c r="BI3" s="27">
        <v>1.506666666670764E-4</v>
      </c>
      <c r="BJ3" s="27">
        <v>-4.3666666666669629E-4</v>
      </c>
      <c r="BK3" s="27">
        <v>0</v>
      </c>
      <c r="BL3" s="27">
        <v>-2.403333333339808E-4</v>
      </c>
      <c r="BM3" s="27">
        <v>-3.0533333333299112E-4</v>
      </c>
      <c r="BN3" s="27">
        <v>8.8976666666667037E-2</v>
      </c>
      <c r="BO3" s="27">
        <v>1.8000000000001351E-4</v>
      </c>
      <c r="BP3" s="27">
        <v>0</v>
      </c>
      <c r="BQ3" s="27">
        <v>0</v>
      </c>
      <c r="BR3" s="27">
        <v>0</v>
      </c>
      <c r="BS3" s="27">
        <v>3.8499999999999651E-4</v>
      </c>
      <c r="BT3" s="27">
        <v>3.8099999999999251E-4</v>
      </c>
      <c r="BU3" s="27">
        <v>0</v>
      </c>
      <c r="BV3" s="27">
        <v>3.5799999999996951E-4</v>
      </c>
      <c r="BW3" s="27">
        <v>0</v>
      </c>
      <c r="BX3" s="27">
        <v>0</v>
      </c>
      <c r="BY3" s="27">
        <v>-1.6666666666997901E-5</v>
      </c>
      <c r="BZ3" s="27">
        <v>0</v>
      </c>
      <c r="CA3" s="27">
        <v>0</v>
      </c>
      <c r="CB3" s="27">
        <v>1.9169774891774759E-3</v>
      </c>
      <c r="CC3" s="33">
        <v>0.14760726666666571</v>
      </c>
    </row>
    <row r="4" spans="1:81" x14ac:dyDescent="0.25">
      <c r="A4" s="23">
        <v>3</v>
      </c>
      <c r="B4" s="25">
        <v>1</v>
      </c>
      <c r="C4" s="27">
        <v>-3.4699999999998621E-4</v>
      </c>
      <c r="D4" s="27">
        <v>0</v>
      </c>
      <c r="E4" s="27">
        <v>0</v>
      </c>
      <c r="F4" s="27">
        <v>0</v>
      </c>
      <c r="G4" s="27">
        <v>2.5800000000000822E-4</v>
      </c>
      <c r="H4" s="27">
        <v>1.3333333333340189E-4</v>
      </c>
      <c r="I4" s="27">
        <v>-3.2000000000004247E-5</v>
      </c>
      <c r="J4" s="27">
        <v>0</v>
      </c>
      <c r="K4" s="27">
        <v>0</v>
      </c>
      <c r="L4" s="27">
        <v>0</v>
      </c>
      <c r="M4" s="27">
        <v>2.6999999999999252E-4</v>
      </c>
      <c r="N4" s="27">
        <v>4.7133333333304611E-4</v>
      </c>
      <c r="O4" s="27">
        <v>-4.4000000000000977E-4</v>
      </c>
      <c r="P4" s="27">
        <v>1.7466666666698941E-4</v>
      </c>
      <c r="Q4" s="27">
        <v>2.293333333329983E-4</v>
      </c>
      <c r="R4" s="27">
        <v>1.3733333333329489E-4</v>
      </c>
      <c r="S4" s="27">
        <v>0</v>
      </c>
      <c r="T4" s="27">
        <v>0</v>
      </c>
      <c r="U4" s="27">
        <v>-3.6500000000000421E-4</v>
      </c>
      <c r="V4" s="27">
        <v>3.6133333333304712E-4</v>
      </c>
      <c r="W4" s="27">
        <v>-3.4533333333330168E-4</v>
      </c>
      <c r="X4" s="27">
        <v>2.7000000000000629E-4</v>
      </c>
      <c r="Y4" s="27">
        <v>0</v>
      </c>
      <c r="Z4" s="27">
        <v>5.5E-2</v>
      </c>
      <c r="AA4" s="27">
        <v>0</v>
      </c>
      <c r="AB4" s="27">
        <v>4.9766666666703485E-4</v>
      </c>
      <c r="AC4" s="27">
        <v>3.3933333333339982E-4</v>
      </c>
      <c r="AD4" s="27">
        <v>2.5500000000000522E-4</v>
      </c>
      <c r="AE4" s="27">
        <v>4.4433333333404601E-4</v>
      </c>
      <c r="AF4" s="27">
        <v>1.226666666670484E-4</v>
      </c>
      <c r="AG4" s="27">
        <v>-7.7333333333012844E-5</v>
      </c>
      <c r="AH4" s="27">
        <v>-4.8466666666660552E-4</v>
      </c>
      <c r="AI4" s="27">
        <v>1.733333333329978E-4</v>
      </c>
      <c r="AJ4" s="27">
        <v>4.8666666667002152E-5</v>
      </c>
      <c r="AK4" s="27">
        <v>1.5800000000001921E-4</v>
      </c>
      <c r="AL4" s="27">
        <v>-3.5600000000002302E-4</v>
      </c>
      <c r="AM4" s="27">
        <v>0</v>
      </c>
      <c r="AN4" s="27">
        <v>0</v>
      </c>
      <c r="AO4" s="27">
        <v>0</v>
      </c>
      <c r="AP4" s="27">
        <v>0</v>
      </c>
      <c r="AQ4" s="27">
        <v>0</v>
      </c>
      <c r="AR4" s="27">
        <v>0</v>
      </c>
      <c r="AS4" s="27">
        <v>3.9100000000000251E-4</v>
      </c>
      <c r="AT4" s="27">
        <v>0</v>
      </c>
      <c r="AU4" s="27">
        <v>0</v>
      </c>
      <c r="AV4" s="27">
        <v>-2.5066666666700987E-4</v>
      </c>
      <c r="AW4" s="27">
        <v>8.2000000000026496E-5</v>
      </c>
      <c r="AX4" s="27">
        <v>-3.4694469519536142E-18</v>
      </c>
      <c r="AY4" s="27">
        <v>6.4000000000008495E-5</v>
      </c>
      <c r="AZ4" s="27">
        <v>-1.5299999999998651E-4</v>
      </c>
      <c r="BA4" s="27">
        <v>-1.8000000000001351E-4</v>
      </c>
      <c r="BB4" s="27">
        <v>0</v>
      </c>
      <c r="BC4" s="27">
        <v>2.8100000000000352E-4</v>
      </c>
      <c r="BD4" s="27">
        <v>-7.4000000000018495E-5</v>
      </c>
      <c r="BE4" s="27">
        <v>0</v>
      </c>
      <c r="BF4" s="27">
        <v>-1.5400000000000141E-4</v>
      </c>
      <c r="BG4" s="27">
        <v>5.4999999999999487E-5</v>
      </c>
      <c r="BH4" s="27">
        <v>-2.036666666669906E-4</v>
      </c>
      <c r="BI4" s="27">
        <v>0</v>
      </c>
      <c r="BJ4" s="27">
        <v>2.64333333333297E-4</v>
      </c>
      <c r="BK4" s="27">
        <v>0</v>
      </c>
      <c r="BL4" s="27">
        <v>-2.333333333329746E-4</v>
      </c>
      <c r="BM4" s="27">
        <v>-4.1333333333298811E-4</v>
      </c>
      <c r="BN4" s="27">
        <v>7.7342666666666698E-2</v>
      </c>
      <c r="BO4" s="27">
        <v>-9.1333333332999089E-5</v>
      </c>
      <c r="BP4" s="27">
        <v>0</v>
      </c>
      <c r="BQ4" s="27">
        <v>0</v>
      </c>
      <c r="BR4" s="27">
        <v>0</v>
      </c>
      <c r="BS4" s="27">
        <v>0</v>
      </c>
      <c r="BT4" s="27">
        <v>-9.7000000000013742E-5</v>
      </c>
      <c r="BU4" s="27">
        <v>0</v>
      </c>
      <c r="BV4" s="27">
        <v>3.7966666666700011E-4</v>
      </c>
      <c r="BW4" s="27">
        <v>0</v>
      </c>
      <c r="BX4" s="27">
        <v>-1.506666666669931E-4</v>
      </c>
      <c r="BY4" s="27">
        <v>-4.0333333333300581E-4</v>
      </c>
      <c r="BZ4" s="27">
        <v>2.6666666666698419E-4</v>
      </c>
      <c r="CA4" s="27">
        <v>0</v>
      </c>
      <c r="CB4" s="27">
        <v>1.7353116883117199E-3</v>
      </c>
      <c r="CC4" s="33">
        <v>0.1336190000000024</v>
      </c>
    </row>
    <row r="5" spans="1:81" x14ac:dyDescent="0.25">
      <c r="A5" s="23">
        <v>4</v>
      </c>
      <c r="B5" s="25">
        <v>1.5</v>
      </c>
      <c r="C5" s="27">
        <v>1.5666666666996901E-5</v>
      </c>
      <c r="D5" s="27">
        <v>4.2666666666670022E-4</v>
      </c>
      <c r="E5" s="27">
        <v>2.19999999999998E-4</v>
      </c>
      <c r="F5" s="27">
        <v>4.533333333330003E-4</v>
      </c>
      <c r="G5" s="27">
        <v>0</v>
      </c>
      <c r="H5" s="27">
        <v>-3.99333333332974E-4</v>
      </c>
      <c r="I5" s="27">
        <v>2.026666666669896E-4</v>
      </c>
      <c r="J5" s="27">
        <v>-1.913333333329881E-4</v>
      </c>
      <c r="K5" s="27">
        <v>0</v>
      </c>
      <c r="L5" s="27">
        <v>-1.073333333330151E-4</v>
      </c>
      <c r="M5" s="27">
        <v>-1.4333333333299561E-4</v>
      </c>
      <c r="N5" s="27">
        <v>-2.4200000000007549E-4</v>
      </c>
      <c r="O5" s="27">
        <v>-3.999999999999837E-4</v>
      </c>
      <c r="P5" s="27">
        <v>0</v>
      </c>
      <c r="Q5" s="27">
        <v>4.6933333333300242E-4</v>
      </c>
      <c r="R5" s="27">
        <v>3.7333333333300361E-4</v>
      </c>
      <c r="S5" s="27">
        <v>0</v>
      </c>
      <c r="T5" s="27">
        <v>0</v>
      </c>
      <c r="U5" s="27">
        <v>-4.3699999999990968E-4</v>
      </c>
      <c r="V5" s="27">
        <v>-1.1666666666701461E-5</v>
      </c>
      <c r="W5" s="27">
        <v>7.4000000000018495E-5</v>
      </c>
      <c r="X5" s="27">
        <v>0</v>
      </c>
      <c r="Y5" s="27">
        <v>0</v>
      </c>
      <c r="Z5" s="27">
        <v>5.5E-2</v>
      </c>
      <c r="AA5" s="27">
        <v>2.8266666666698642E-4</v>
      </c>
      <c r="AB5" s="27">
        <v>0</v>
      </c>
      <c r="AC5" s="27">
        <v>4.8733333333300649E-4</v>
      </c>
      <c r="AD5" s="27">
        <v>-1.1333333333329861E-4</v>
      </c>
      <c r="AE5" s="27">
        <v>3.2000000000000079E-4</v>
      </c>
      <c r="AF5" s="27">
        <v>0</v>
      </c>
      <c r="AG5" s="27">
        <v>-1.6000000000002121E-4</v>
      </c>
      <c r="AH5" s="27">
        <v>-4.8466666666660552E-4</v>
      </c>
      <c r="AI5" s="27">
        <v>-3.8333333333301361E-4</v>
      </c>
      <c r="AJ5" s="27">
        <v>0</v>
      </c>
      <c r="AK5" s="27">
        <v>-3.5400000000002102E-4</v>
      </c>
      <c r="AL5" s="27">
        <v>4.613333333330083E-4</v>
      </c>
      <c r="AM5" s="27">
        <v>1.4199999999998941E-4</v>
      </c>
      <c r="AN5" s="27">
        <v>-4.099999999999937E-4</v>
      </c>
      <c r="AO5" s="27">
        <v>0</v>
      </c>
      <c r="AP5" s="27">
        <v>0</v>
      </c>
      <c r="AQ5" s="27">
        <v>0</v>
      </c>
      <c r="AR5" s="27">
        <v>0</v>
      </c>
      <c r="AS5" s="27">
        <v>-3.4333333333302912E-4</v>
      </c>
      <c r="AT5" s="27">
        <v>-8.6666666666984638E-5</v>
      </c>
      <c r="AU5" s="27">
        <v>-2.316666666669909E-4</v>
      </c>
      <c r="AV5" s="27">
        <v>3.8093333333300011E-4</v>
      </c>
      <c r="AW5" s="27">
        <v>5.2333333333300092E-5</v>
      </c>
      <c r="AX5" s="27">
        <v>4.399999999999959E-4</v>
      </c>
      <c r="AY5" s="27">
        <v>9.6666666669908974E-6</v>
      </c>
      <c r="AZ5" s="27">
        <v>1.9333333333329539E-4</v>
      </c>
      <c r="BA5" s="27">
        <v>3.6000000000008248E-5</v>
      </c>
      <c r="BB5" s="27">
        <v>-2.22E-4</v>
      </c>
      <c r="BC5" s="27">
        <v>-7.3333333330122263E-6</v>
      </c>
      <c r="BD5" s="27">
        <v>-6.9388939039072284E-18</v>
      </c>
      <c r="BE5" s="27">
        <v>-1.199999999999812E-5</v>
      </c>
      <c r="BF5" s="27">
        <v>3.3499999999997421E-4</v>
      </c>
      <c r="BG5" s="27">
        <v>-2.8600000000000852E-4</v>
      </c>
      <c r="BH5" s="27">
        <v>0</v>
      </c>
      <c r="BI5" s="27">
        <v>2.58666666667004E-4</v>
      </c>
      <c r="BJ5" s="27">
        <v>-4.3500000000001871E-4</v>
      </c>
      <c r="BK5" s="27">
        <v>-4.6666666670136534E-6</v>
      </c>
      <c r="BL5" s="27">
        <v>1.6299999999999651E-4</v>
      </c>
      <c r="BM5" s="27">
        <v>1.3333333333004351E-5</v>
      </c>
      <c r="BN5" s="27">
        <v>0.14737066666666701</v>
      </c>
      <c r="BO5" s="27">
        <v>1.8000000000001351E-4</v>
      </c>
      <c r="BP5" s="27">
        <v>0</v>
      </c>
      <c r="BQ5" s="27">
        <v>2.6533333333300663E-4</v>
      </c>
      <c r="BR5" s="27">
        <v>0</v>
      </c>
      <c r="BS5" s="27">
        <v>-4.099999999999937E-4</v>
      </c>
      <c r="BT5" s="27">
        <v>-1.739999999999936E-4</v>
      </c>
      <c r="BU5" s="27">
        <v>-2.6999999999999252E-4</v>
      </c>
      <c r="BV5" s="27">
        <v>4.4699999999997519E-4</v>
      </c>
      <c r="BW5" s="27">
        <v>-2.8466666666698842E-4</v>
      </c>
      <c r="BX5" s="27">
        <v>-4.119999999999957E-4</v>
      </c>
      <c r="BY5" s="27">
        <v>-7.2333333334007044E-5</v>
      </c>
      <c r="BZ5" s="27">
        <v>-3.8666666666703492E-4</v>
      </c>
      <c r="CA5" s="27">
        <v>0</v>
      </c>
      <c r="CB5" s="27">
        <v>2.6181549783549688E-3</v>
      </c>
      <c r="CC5" s="33">
        <v>0.20159793333333259</v>
      </c>
    </row>
    <row r="6" spans="1:81" x14ac:dyDescent="0.25">
      <c r="A6" s="23">
        <v>5</v>
      </c>
      <c r="B6" s="25">
        <v>2</v>
      </c>
      <c r="C6" s="27">
        <v>-9.8000000000014742E-5</v>
      </c>
      <c r="D6" s="27">
        <v>2.4666666666697812E-4</v>
      </c>
      <c r="E6" s="27">
        <v>0</v>
      </c>
      <c r="F6" s="27">
        <v>0</v>
      </c>
      <c r="G6" s="27">
        <v>-4.149999999999987E-4</v>
      </c>
      <c r="H6" s="27">
        <v>-1.5500000000001621E-4</v>
      </c>
      <c r="I6" s="27">
        <v>-6.7999999999998617E-5</v>
      </c>
      <c r="J6" s="27">
        <v>0</v>
      </c>
      <c r="K6" s="27">
        <v>0</v>
      </c>
      <c r="L6" s="27">
        <v>0</v>
      </c>
      <c r="M6" s="27">
        <v>0</v>
      </c>
      <c r="N6" s="27">
        <v>-2.4266666666697409E-4</v>
      </c>
      <c r="O6" s="27">
        <v>0</v>
      </c>
      <c r="P6" s="27">
        <v>2.9466666666669311E-4</v>
      </c>
      <c r="Q6" s="27">
        <v>7.1333333333006843E-5</v>
      </c>
      <c r="R6" s="27">
        <v>-6.9388939039072284E-18</v>
      </c>
      <c r="S6" s="27">
        <v>-8.0333333333015844E-5</v>
      </c>
      <c r="T6" s="27">
        <v>0</v>
      </c>
      <c r="U6" s="27">
        <v>4.8966666666670072E-4</v>
      </c>
      <c r="V6" s="27">
        <v>-3.2500000000001972E-4</v>
      </c>
      <c r="W6" s="27">
        <v>7.0000000000070006E-6</v>
      </c>
      <c r="X6" s="27">
        <v>-3.3833333333299631E-4</v>
      </c>
      <c r="Y6" s="27">
        <v>0</v>
      </c>
      <c r="Z6" s="27">
        <v>5.5E-2</v>
      </c>
      <c r="AA6" s="27">
        <v>2.8533333333340127E-4</v>
      </c>
      <c r="AB6" s="27">
        <v>0</v>
      </c>
      <c r="AC6" s="27">
        <v>0</v>
      </c>
      <c r="AD6" s="27">
        <v>2.9466666666699842E-4</v>
      </c>
      <c r="AE6" s="27">
        <v>1.8666666666700141E-4</v>
      </c>
      <c r="AF6" s="27">
        <v>0</v>
      </c>
      <c r="AG6" s="27">
        <v>0</v>
      </c>
      <c r="AH6" s="27">
        <v>0</v>
      </c>
      <c r="AI6" s="27">
        <v>4.3199999999998789E-4</v>
      </c>
      <c r="AJ6" s="27">
        <v>4.0000000000001151E-4</v>
      </c>
      <c r="AK6" s="27">
        <v>-3.0200000000002453E-4</v>
      </c>
      <c r="AL6" s="27">
        <v>-4.8166666666699109E-4</v>
      </c>
      <c r="AM6" s="27">
        <v>0</v>
      </c>
      <c r="AN6" s="27">
        <v>4.6333333333298249E-4</v>
      </c>
      <c r="AO6" s="27">
        <v>-4.9199999999999244E-4</v>
      </c>
      <c r="AP6" s="27">
        <v>0</v>
      </c>
      <c r="AQ6" s="27">
        <v>2.9399999999998871E-4</v>
      </c>
      <c r="AR6" s="27">
        <v>0</v>
      </c>
      <c r="AS6" s="27">
        <v>1.5666666666702689E-4</v>
      </c>
      <c r="AT6" s="27">
        <v>-2.0866666666669731E-4</v>
      </c>
      <c r="AU6" s="27">
        <v>-1.6500000000002621E-4</v>
      </c>
      <c r="AV6" s="27">
        <v>-6.2666666666599813E-5</v>
      </c>
      <c r="AW6" s="27">
        <v>3.96333333332971E-4</v>
      </c>
      <c r="AX6" s="27">
        <v>-3.4694469519536142E-18</v>
      </c>
      <c r="AY6" s="27">
        <v>4.0333333333003603E-5</v>
      </c>
      <c r="AZ6" s="27">
        <v>3.4233333333340282E-4</v>
      </c>
      <c r="BA6" s="27">
        <v>-1.8000000000001351E-4</v>
      </c>
      <c r="BB6" s="27">
        <v>0</v>
      </c>
      <c r="BC6" s="27">
        <v>-4.3066666666670422E-4</v>
      </c>
      <c r="BD6" s="27">
        <v>-4.200000000000037E-4</v>
      </c>
      <c r="BE6" s="27">
        <v>0</v>
      </c>
      <c r="BF6" s="27">
        <v>-3.5033333333328592E-4</v>
      </c>
      <c r="BG6" s="27">
        <v>0</v>
      </c>
      <c r="BH6" s="27">
        <v>7.299999999998974E-5</v>
      </c>
      <c r="BI6" s="27">
        <v>-3.4266666666659529E-4</v>
      </c>
      <c r="BJ6" s="27">
        <v>0</v>
      </c>
      <c r="BK6" s="27">
        <v>0</v>
      </c>
      <c r="BL6" s="27">
        <v>-3.1633333333300212E-4</v>
      </c>
      <c r="BM6" s="27">
        <v>0.1686</v>
      </c>
      <c r="BN6" s="27">
        <v>0.146942666666667</v>
      </c>
      <c r="BO6" s="27">
        <v>-3.6400000000000321E-4</v>
      </c>
      <c r="BP6" s="27">
        <v>0</v>
      </c>
      <c r="BQ6" s="27">
        <v>0</v>
      </c>
      <c r="BR6" s="27">
        <v>0</v>
      </c>
      <c r="BS6" s="27">
        <v>3.0800000000000272E-4</v>
      </c>
      <c r="BT6" s="27">
        <v>-3.4799999999998721E-4</v>
      </c>
      <c r="BU6" s="27">
        <v>0</v>
      </c>
      <c r="BV6" s="27">
        <v>4.6666666667000152E-5</v>
      </c>
      <c r="BW6" s="27">
        <v>0</v>
      </c>
      <c r="BX6" s="27">
        <v>1.306666666666956E-4</v>
      </c>
      <c r="BY6" s="27">
        <v>3.0866666666670711E-4</v>
      </c>
      <c r="BZ6" s="27">
        <v>0</v>
      </c>
      <c r="CA6" s="27">
        <v>0</v>
      </c>
      <c r="CB6" s="27">
        <v>4.8003160173160329E-3</v>
      </c>
      <c r="CC6" s="33">
        <v>0.36962433333333461</v>
      </c>
    </row>
    <row r="7" spans="1:81" x14ac:dyDescent="0.25">
      <c r="A7" s="23">
        <v>6</v>
      </c>
      <c r="B7" s="25">
        <v>2.5</v>
      </c>
      <c r="C7" s="27">
        <v>3.6266666666701092E-4</v>
      </c>
      <c r="D7" s="27">
        <v>0</v>
      </c>
      <c r="E7" s="27">
        <v>-1.3000000000000511E-4</v>
      </c>
      <c r="F7" s="27">
        <v>4.533333333330003E-4</v>
      </c>
      <c r="G7" s="27">
        <v>-3.2699999999999402E-4</v>
      </c>
      <c r="H7" s="27">
        <v>-2.9933333333298512E-4</v>
      </c>
      <c r="I7" s="27">
        <v>4.0000000000040004E-6</v>
      </c>
      <c r="J7" s="27">
        <v>-1.043333333329982E-4</v>
      </c>
      <c r="K7" s="27">
        <v>0</v>
      </c>
      <c r="L7" s="27">
        <v>0</v>
      </c>
      <c r="M7" s="27">
        <v>0</v>
      </c>
      <c r="N7" s="27">
        <v>-5.666666666698239E-5</v>
      </c>
      <c r="O7" s="27">
        <v>-3.999999999999837E-4</v>
      </c>
      <c r="P7" s="27">
        <v>-8.2000000000026496E-5</v>
      </c>
      <c r="Q7" s="27">
        <v>0</v>
      </c>
      <c r="R7" s="27">
        <v>2.7466666666670081E-4</v>
      </c>
      <c r="S7" s="27">
        <v>-3.7900000000000428E-4</v>
      </c>
      <c r="T7" s="27">
        <v>3.2399999999999102E-4</v>
      </c>
      <c r="U7" s="27">
        <v>-1.960666666669941E-4</v>
      </c>
      <c r="V7" s="27">
        <v>-2.9899999999999372E-4</v>
      </c>
      <c r="W7" s="27">
        <v>-3.3833333333299631E-4</v>
      </c>
      <c r="X7" s="27">
        <v>3.616666666667046E-4</v>
      </c>
      <c r="Y7" s="27">
        <v>0</v>
      </c>
      <c r="Z7" s="27">
        <v>5.5E-2</v>
      </c>
      <c r="AA7" s="27">
        <v>-2.1599999999991071E-4</v>
      </c>
      <c r="AB7" s="27">
        <v>3.0733333333329838E-4</v>
      </c>
      <c r="AC7" s="27">
        <v>-1.733333333329978E-4</v>
      </c>
      <c r="AD7" s="27">
        <v>-3.0533333333299112E-4</v>
      </c>
      <c r="AE7" s="27">
        <v>0</v>
      </c>
      <c r="AF7" s="27">
        <v>0</v>
      </c>
      <c r="AG7" s="27">
        <v>3.7866666666697141E-4</v>
      </c>
      <c r="AH7" s="27">
        <v>-9.3333333330003487E-6</v>
      </c>
      <c r="AI7" s="27">
        <v>-4.9999999999997269E-4</v>
      </c>
      <c r="AJ7" s="27">
        <v>0</v>
      </c>
      <c r="AK7" s="27">
        <v>4.4599999999998813E-4</v>
      </c>
      <c r="AL7" s="27">
        <v>1.2600000000001499E-4</v>
      </c>
      <c r="AM7" s="27">
        <v>1.4199999999998941E-4</v>
      </c>
      <c r="AN7" s="27">
        <v>0</v>
      </c>
      <c r="AO7" s="27">
        <v>0</v>
      </c>
      <c r="AP7" s="27">
        <v>0</v>
      </c>
      <c r="AQ7" s="27">
        <v>0</v>
      </c>
      <c r="AR7" s="27">
        <v>0</v>
      </c>
      <c r="AS7" s="27">
        <v>7.8666666667115415E-5</v>
      </c>
      <c r="AT7" s="27">
        <v>3.9566666666669692E-4</v>
      </c>
      <c r="AU7" s="27">
        <v>0</v>
      </c>
      <c r="AV7" s="27">
        <v>-2.193333333329883E-4</v>
      </c>
      <c r="AW7" s="27">
        <v>-1.133333333329933E-4</v>
      </c>
      <c r="AX7" s="27">
        <v>4.359999999999919E-4</v>
      </c>
      <c r="AY7" s="27">
        <v>-1.1999999999984251E-5</v>
      </c>
      <c r="AZ7" s="27">
        <v>-3.1533333333300112E-4</v>
      </c>
      <c r="BA7" s="27">
        <v>2.399999999999625E-5</v>
      </c>
      <c r="BB7" s="27">
        <v>-2.22E-4</v>
      </c>
      <c r="BC7" s="27">
        <v>-6.9388939039072284E-18</v>
      </c>
      <c r="BD7" s="27">
        <v>3.3400000000000102E-4</v>
      </c>
      <c r="BE7" s="27">
        <v>0</v>
      </c>
      <c r="BF7" s="27">
        <v>1.3666666666700691E-4</v>
      </c>
      <c r="BG7" s="27">
        <v>0</v>
      </c>
      <c r="BH7" s="27">
        <v>-4.8333333333011597E-5</v>
      </c>
      <c r="BI7" s="27">
        <v>0</v>
      </c>
      <c r="BJ7" s="27">
        <v>-2.4199999999999219E-4</v>
      </c>
      <c r="BK7" s="27">
        <v>-4.589999999999872E-4</v>
      </c>
      <c r="BL7" s="27">
        <v>-6.3333333332998842E-5</v>
      </c>
      <c r="BM7" s="27">
        <v>5.7000000000000002E-2</v>
      </c>
      <c r="BN7" s="27">
        <v>0.14153499999999999</v>
      </c>
      <c r="BO7" s="27">
        <v>-3.3400000000000102E-4</v>
      </c>
      <c r="BP7" s="27">
        <v>0</v>
      </c>
      <c r="BQ7" s="27">
        <v>-1.2799999999998921E-4</v>
      </c>
      <c r="BR7" s="27">
        <v>0</v>
      </c>
      <c r="BS7" s="27">
        <v>0</v>
      </c>
      <c r="BT7" s="27">
        <v>4.146666666669796E-4</v>
      </c>
      <c r="BU7" s="27">
        <v>2.8999999999999859E-4</v>
      </c>
      <c r="BV7" s="27">
        <v>0</v>
      </c>
      <c r="BW7" s="27">
        <v>-2.8466666666698842E-4</v>
      </c>
      <c r="BX7" s="27">
        <v>3.0666666666701042E-4</v>
      </c>
      <c r="BY7" s="27">
        <v>-3.1333333332994602E-5</v>
      </c>
      <c r="BZ7" s="27">
        <v>0</v>
      </c>
      <c r="CA7" s="27">
        <v>0</v>
      </c>
      <c r="CB7" s="27">
        <v>3.283678787878855E-3</v>
      </c>
      <c r="CC7" s="33">
        <v>0.25284326666667178</v>
      </c>
    </row>
    <row r="8" spans="1:81" x14ac:dyDescent="0.25">
      <c r="A8" s="23">
        <v>7</v>
      </c>
      <c r="B8" s="25">
        <v>3</v>
      </c>
      <c r="C8" s="27">
        <v>-1.3600000000002499E-4</v>
      </c>
      <c r="D8" s="27">
        <v>-3.2666666666700261E-4</v>
      </c>
      <c r="E8" s="27">
        <v>3.4999999999998921E-4</v>
      </c>
      <c r="F8" s="27">
        <v>0</v>
      </c>
      <c r="G8" s="27">
        <v>-2.8300000000000552E-4</v>
      </c>
      <c r="H8" s="27">
        <v>-4.9066666666702785E-4</v>
      </c>
      <c r="I8" s="27">
        <v>1.3266666666703059E-4</v>
      </c>
      <c r="J8" s="27">
        <v>-8.6999999999975985E-5</v>
      </c>
      <c r="K8" s="27">
        <v>0</v>
      </c>
      <c r="L8" s="27">
        <v>-6.6666666670156527E-6</v>
      </c>
      <c r="M8" s="27">
        <v>0</v>
      </c>
      <c r="N8" s="27">
        <v>0</v>
      </c>
      <c r="O8" s="27">
        <v>-4.4000000000000977E-4</v>
      </c>
      <c r="P8" s="27">
        <v>1.266666666669553E-5</v>
      </c>
      <c r="Q8" s="27">
        <v>-1.326666666666976E-4</v>
      </c>
      <c r="R8" s="27">
        <v>2.3599999999998619E-4</v>
      </c>
      <c r="S8" s="27">
        <v>1.3333333333298561E-4</v>
      </c>
      <c r="T8" s="27">
        <v>4.6799999999996839E-4</v>
      </c>
      <c r="U8" s="27">
        <v>-3.6500000000000421E-4</v>
      </c>
      <c r="V8" s="27">
        <v>-4.5000000000003371E-5</v>
      </c>
      <c r="W8" s="27">
        <v>3.0133333333298712E-4</v>
      </c>
      <c r="X8" s="27">
        <v>0</v>
      </c>
      <c r="Y8" s="27">
        <v>0</v>
      </c>
      <c r="Z8" s="27">
        <v>5.5E-2</v>
      </c>
      <c r="AA8" s="27">
        <v>-2.16000000000105E-4</v>
      </c>
      <c r="AB8" s="27">
        <v>-2.34000000000012E-4</v>
      </c>
      <c r="AC8" s="27">
        <v>0</v>
      </c>
      <c r="AD8" s="27">
        <v>-1.7600000000000951E-4</v>
      </c>
      <c r="AE8" s="27">
        <v>-1.5666666666996901E-5</v>
      </c>
      <c r="AF8" s="27">
        <v>0</v>
      </c>
      <c r="AG8" s="27">
        <v>3.8400000000000928E-4</v>
      </c>
      <c r="AH8" s="27">
        <v>-1.8000000000001351E-4</v>
      </c>
      <c r="AI8" s="27">
        <v>-4.240000000000077E-4</v>
      </c>
      <c r="AJ8" s="27">
        <v>4.0000000000001151E-4</v>
      </c>
      <c r="AK8" s="27">
        <v>-4.0200000000001351E-4</v>
      </c>
      <c r="AL8" s="27">
        <v>3.7666666666699711E-4</v>
      </c>
      <c r="AM8" s="27">
        <v>-2.266666666669859E-4</v>
      </c>
      <c r="AN8" s="27">
        <v>2.5333333333299462E-4</v>
      </c>
      <c r="AO8" s="27">
        <v>0</v>
      </c>
      <c r="AP8" s="27">
        <v>0</v>
      </c>
      <c r="AQ8" s="27">
        <v>1.959999999999879E-4</v>
      </c>
      <c r="AR8" s="27">
        <v>0</v>
      </c>
      <c r="AS8" s="27">
        <v>2.5333333333296681E-4</v>
      </c>
      <c r="AT8" s="27">
        <v>3.0900000000000372E-4</v>
      </c>
      <c r="AU8" s="27">
        <v>2.9999999999999472E-4</v>
      </c>
      <c r="AV8" s="27">
        <v>3.5999999999999921E-4</v>
      </c>
      <c r="AW8" s="27">
        <v>-4.946666666670041E-4</v>
      </c>
      <c r="AX8" s="27">
        <v>4.0000000000040004E-6</v>
      </c>
      <c r="AY8" s="27">
        <v>5.9333333332994842E-5</v>
      </c>
      <c r="AZ8" s="27">
        <v>0</v>
      </c>
      <c r="BA8" s="27">
        <v>1.2000000000011999E-5</v>
      </c>
      <c r="BB8" s="27">
        <v>0</v>
      </c>
      <c r="BC8" s="27">
        <v>-6.9388939039072284E-18</v>
      </c>
      <c r="BD8" s="27">
        <v>-6.3999999999980739E-5</v>
      </c>
      <c r="BE8" s="27">
        <v>-1.199999999999812E-5</v>
      </c>
      <c r="BF8" s="27">
        <v>-3.0600000000000072E-4</v>
      </c>
      <c r="BG8" s="27">
        <v>-2.7199999999999452E-4</v>
      </c>
      <c r="BH8" s="27">
        <v>-4.3200000000000183E-4</v>
      </c>
      <c r="BI8" s="27">
        <v>-3.566666666666995E-4</v>
      </c>
      <c r="BJ8" s="27">
        <v>5.7333333333298153E-5</v>
      </c>
      <c r="BK8" s="27">
        <v>4.5433333333329973E-4</v>
      </c>
      <c r="BL8" s="27">
        <v>-4.9733333333301655E-4</v>
      </c>
      <c r="BM8" s="27">
        <v>0.223613333333334</v>
      </c>
      <c r="BN8" s="27">
        <v>0.15277833333333299</v>
      </c>
      <c r="BO8" s="27">
        <v>4.2266666666659902E-4</v>
      </c>
      <c r="BP8" s="27">
        <v>0</v>
      </c>
      <c r="BQ8" s="27">
        <v>3.933333333329958E-4</v>
      </c>
      <c r="BR8" s="27">
        <v>0</v>
      </c>
      <c r="BS8" s="27">
        <v>-1.01999999999991E-4</v>
      </c>
      <c r="BT8" s="27">
        <v>-1.3066666666700091E-4</v>
      </c>
      <c r="BU8" s="27">
        <v>4.399999999999959E-4</v>
      </c>
      <c r="BV8" s="27">
        <v>3.0666666666695491E-4</v>
      </c>
      <c r="BW8" s="27">
        <v>0</v>
      </c>
      <c r="BX8" s="27">
        <v>0</v>
      </c>
      <c r="BY8" s="27">
        <v>1.8866666666700341E-4</v>
      </c>
      <c r="BZ8" s="27">
        <v>0</v>
      </c>
      <c r="CA8" s="27">
        <v>0</v>
      </c>
      <c r="CB8" s="27">
        <v>5.6018441558441188E-3</v>
      </c>
      <c r="CC8" s="33">
        <v>0.43134199999999712</v>
      </c>
    </row>
    <row r="9" spans="1:81" x14ac:dyDescent="0.25">
      <c r="A9" s="23">
        <v>8</v>
      </c>
      <c r="B9" s="25">
        <v>3.5</v>
      </c>
      <c r="C9" s="27">
        <v>-4.4080346666667408E-4</v>
      </c>
      <c r="D9" s="27">
        <v>-4.4080346666666709E-4</v>
      </c>
      <c r="E9" s="27">
        <v>2.7959826666666693E-4</v>
      </c>
      <c r="F9" s="27">
        <v>1.6719653333333029E-4</v>
      </c>
      <c r="G9" s="27">
        <v>-3.9602600000021582E-5</v>
      </c>
      <c r="H9" s="27">
        <v>-1.3440173333323371E-4</v>
      </c>
      <c r="I9" s="27">
        <v>-1.5050216666666341E-4</v>
      </c>
      <c r="J9" s="27">
        <v>-4.8916883333326167E-4</v>
      </c>
      <c r="K9" s="27">
        <v>2.7959826666666693E-4</v>
      </c>
      <c r="L9" s="27">
        <v>1.7893159999997349E-4</v>
      </c>
      <c r="M9" s="27">
        <v>4.1939739999999342E-4</v>
      </c>
      <c r="N9" s="27">
        <v>0.14104059826666671</v>
      </c>
      <c r="O9" s="27">
        <v>-4.4080346666667408E-4</v>
      </c>
      <c r="P9" s="27">
        <v>-2.0383549999969391E-4</v>
      </c>
      <c r="Q9" s="27">
        <v>-4.7716883333367988E-4</v>
      </c>
      <c r="R9" s="27">
        <v>-1.505021666666703E-4</v>
      </c>
      <c r="S9" s="27">
        <v>-4.474701333336828E-4</v>
      </c>
      <c r="T9" s="27">
        <v>-4.4080346666666709E-4</v>
      </c>
      <c r="U9" s="27">
        <v>-1.0703033333329949E-5</v>
      </c>
      <c r="V9" s="27">
        <v>4.5426493333367007E-4</v>
      </c>
      <c r="W9" s="27">
        <v>4.5119653333333681E-4</v>
      </c>
      <c r="X9" s="27">
        <v>4.8449783333333329E-4</v>
      </c>
      <c r="Y9" s="27">
        <v>4.1939740000000031E-4</v>
      </c>
      <c r="Z9" s="27">
        <v>5.2419397399999998E-2</v>
      </c>
      <c r="AA9" s="27">
        <v>-1.0703033333329949E-5</v>
      </c>
      <c r="AB9" s="27">
        <v>-1.5050216666666341E-4</v>
      </c>
      <c r="AC9" s="27">
        <v>-4.4080346666666709E-4</v>
      </c>
      <c r="AD9" s="27">
        <v>2.9119653333331552E-4</v>
      </c>
      <c r="AE9" s="27">
        <v>0.1173552649333337</v>
      </c>
      <c r="AF9" s="27">
        <v>-4.4080346666666709E-4</v>
      </c>
      <c r="AG9" s="27">
        <v>3.2719653333332382E-4</v>
      </c>
      <c r="AH9" s="27">
        <v>-3.6106839999993512E-4</v>
      </c>
      <c r="AI9" s="27">
        <v>4.7406406666700152E-4</v>
      </c>
      <c r="AJ9" s="27">
        <v>-2.9030129999999682E-4</v>
      </c>
      <c r="AK9" s="27">
        <v>4.7159826666665072E-4</v>
      </c>
      <c r="AL9" s="27">
        <v>-2.5750216666667319E-4</v>
      </c>
      <c r="AM9" s="27">
        <v>-1.9816883333326901E-4</v>
      </c>
      <c r="AN9" s="27">
        <v>-1.505021666666703E-4</v>
      </c>
      <c r="AO9" s="27">
        <v>4.1939740000000031E-4</v>
      </c>
      <c r="AP9" s="27">
        <v>-1.505021666666703E-4</v>
      </c>
      <c r="AQ9" s="27">
        <v>-3.4280346666666628E-4</v>
      </c>
      <c r="AR9" s="27">
        <v>-4.4080346666667408E-4</v>
      </c>
      <c r="AS9" s="27">
        <v>2.6439740000000489E-4</v>
      </c>
      <c r="AT9" s="27">
        <v>-2.9030130000000381E-4</v>
      </c>
      <c r="AU9" s="27">
        <v>-1.6030129999999859E-4</v>
      </c>
      <c r="AV9" s="27">
        <v>1.229315999999592E-4</v>
      </c>
      <c r="AW9" s="27">
        <v>-3.2050216666668069E-4</v>
      </c>
      <c r="AX9" s="27">
        <v>1.3519653333332599E-4</v>
      </c>
      <c r="AY9" s="27">
        <v>3.9806406666698102E-4</v>
      </c>
      <c r="AZ9" s="27">
        <v>-4.0226926666700469E-4</v>
      </c>
      <c r="BA9" s="27">
        <v>4.7229696666664661E-4</v>
      </c>
      <c r="BB9" s="27">
        <v>-4.4080346666666709E-4</v>
      </c>
      <c r="BC9" s="27">
        <v>4.1149783333332968E-4</v>
      </c>
      <c r="BD9" s="27">
        <v>-1.7250216666667151E-4</v>
      </c>
      <c r="BE9" s="27">
        <v>-1.0703033333329949E-5</v>
      </c>
      <c r="BF9" s="27">
        <v>-2.5196796666659971E-4</v>
      </c>
      <c r="BG9" s="27">
        <v>3.1636536666698739E-4</v>
      </c>
      <c r="BH9" s="27">
        <v>-2.6580346666668642E-4</v>
      </c>
      <c r="BI9" s="27">
        <v>-3.079359333330034E-4</v>
      </c>
      <c r="BJ9" s="27">
        <v>2.9359826666665312E-4</v>
      </c>
      <c r="BK9" s="27">
        <v>-3.9735066666324308E-5</v>
      </c>
      <c r="BL9" s="27">
        <v>2.27196533333307E-4</v>
      </c>
      <c r="BM9" s="27">
        <v>5.3559196533333332E-2</v>
      </c>
      <c r="BN9" s="27">
        <v>5.055919653333333E-2</v>
      </c>
      <c r="BO9" s="27">
        <v>2.6659826666666769E-4</v>
      </c>
      <c r="BP9" s="27">
        <v>-1.5050216666666341E-4</v>
      </c>
      <c r="BQ9" s="27">
        <v>-1.5050216666666341E-4</v>
      </c>
      <c r="BR9" s="27">
        <v>-1.070303333333689E-5</v>
      </c>
      <c r="BS9" s="27">
        <v>-4.4080346666666709E-4</v>
      </c>
      <c r="BT9" s="27">
        <v>8.5598266666681022E-5</v>
      </c>
      <c r="BU9" s="27">
        <v>1.3979913333333341E-4</v>
      </c>
      <c r="BV9" s="27">
        <v>-4.4080346666667408E-4</v>
      </c>
      <c r="BW9" s="27">
        <v>-1.0703033333329949E-5</v>
      </c>
      <c r="BX9" s="27">
        <v>4.0852986666634061E-4</v>
      </c>
      <c r="BY9" s="27">
        <v>2.2039739999998859E-4</v>
      </c>
      <c r="BZ9" s="27">
        <v>1.397991333333265E-4</v>
      </c>
      <c r="CA9" s="27">
        <v>4.1939739999999342E-4</v>
      </c>
      <c r="CB9" s="27">
        <v>5.3688957640692786E-3</v>
      </c>
      <c r="CC9" s="33">
        <v>0.41340497383333452</v>
      </c>
    </row>
    <row r="10" spans="1:81" x14ac:dyDescent="0.25">
      <c r="A10" s="23">
        <v>9</v>
      </c>
      <c r="B10" s="25">
        <v>4</v>
      </c>
      <c r="C10" s="27">
        <v>-2.5382586666619628E-4</v>
      </c>
      <c r="D10" s="27">
        <v>-9.4492533333212503E-5</v>
      </c>
      <c r="E10" s="27">
        <v>1.3275373333340029E-4</v>
      </c>
      <c r="F10" s="27">
        <v>1.108408000000984E-4</v>
      </c>
      <c r="G10" s="27">
        <v>-3.0086939999990348E-4</v>
      </c>
      <c r="H10" s="27">
        <v>4.8708706666639179E-4</v>
      </c>
      <c r="I10" s="27">
        <v>2.5460883333375262E-4</v>
      </c>
      <c r="J10" s="27">
        <v>1.25942166666726E-4</v>
      </c>
      <c r="K10" s="27">
        <v>1.327537333333968E-4</v>
      </c>
      <c r="L10" s="27">
        <v>1.3275373333339341E-4</v>
      </c>
      <c r="M10" s="27">
        <v>-3.0086939999990348E-4</v>
      </c>
      <c r="N10" s="27">
        <v>0.20634042040000039</v>
      </c>
      <c r="O10" s="27">
        <v>4.2550746666678019E-4</v>
      </c>
      <c r="P10" s="27">
        <v>-8.4057833333251591E-5</v>
      </c>
      <c r="Q10" s="27">
        <v>-8.4057833333251591E-5</v>
      </c>
      <c r="R10" s="27">
        <v>4.2660883333373029E-4</v>
      </c>
      <c r="S10" s="27">
        <v>-3.2049253333320428E-4</v>
      </c>
      <c r="T10" s="27">
        <v>3.6417413333378329E-4</v>
      </c>
      <c r="U10" s="27">
        <v>-3.1968096666654122E-4</v>
      </c>
      <c r="V10" s="27">
        <v>1.3808706666640361E-4</v>
      </c>
      <c r="W10" s="27">
        <v>-4.6049253333321771E-4</v>
      </c>
      <c r="X10" s="27">
        <v>4.6660883333374259E-4</v>
      </c>
      <c r="Y10" s="27">
        <v>-3.0086939999989833E-4</v>
      </c>
      <c r="Z10" s="27">
        <v>1.7699130600000099E-2</v>
      </c>
      <c r="AA10" s="27">
        <v>5.0319033333440233E-5</v>
      </c>
      <c r="AB10" s="27">
        <v>-1.072450000025316E-5</v>
      </c>
      <c r="AC10" s="27">
        <v>-9.0333331994609488E-9</v>
      </c>
      <c r="AD10" s="27">
        <v>-2.7115920000020388E-4</v>
      </c>
      <c r="AE10" s="27">
        <v>0.1697527537333334</v>
      </c>
      <c r="AF10" s="27">
        <v>2.6550746666679712E-4</v>
      </c>
      <c r="AG10" s="27">
        <v>3.375074666668032E-4</v>
      </c>
      <c r="AH10" s="27">
        <v>-3.7591293333355541E-4</v>
      </c>
      <c r="AI10" s="27">
        <v>-2.7953606666689113E-4</v>
      </c>
      <c r="AJ10" s="27">
        <v>-4.504346999999187E-4</v>
      </c>
      <c r="AK10" s="27">
        <v>-2.2124626666664149E-4</v>
      </c>
      <c r="AL10" s="27">
        <v>5.3875499999758707E-5</v>
      </c>
      <c r="AM10" s="27">
        <v>-1.2105783333324351E-4</v>
      </c>
      <c r="AN10" s="27">
        <v>-4.5605783333327321E-4</v>
      </c>
      <c r="AO10" s="27">
        <v>-3.0086939999990169E-4</v>
      </c>
      <c r="AP10" s="27">
        <v>-8.4057833333251591E-5</v>
      </c>
      <c r="AQ10" s="27">
        <v>2.6550746666679619E-4</v>
      </c>
      <c r="AR10" s="27">
        <v>2.6550746666679712E-4</v>
      </c>
      <c r="AS10" s="27">
        <v>3.1413060000010101E-4</v>
      </c>
      <c r="AT10" s="27">
        <v>5.4231966667039888E-5</v>
      </c>
      <c r="AU10" s="27">
        <v>2.5956530000006972E-4</v>
      </c>
      <c r="AV10" s="27">
        <v>-2.5257959999991359E-4</v>
      </c>
      <c r="AW10" s="27">
        <v>-1.4205783333325059E-4</v>
      </c>
      <c r="AX10" s="27">
        <v>1.295074666668034E-4</v>
      </c>
      <c r="AY10" s="27">
        <v>-2.132027333332093E-4</v>
      </c>
      <c r="AZ10" s="27">
        <v>-1.7086939999994E-4</v>
      </c>
      <c r="BA10" s="27">
        <v>-1.8068096666656869E-4</v>
      </c>
      <c r="BB10" s="27">
        <v>-4.1949253333320452E-4</v>
      </c>
      <c r="BC10" s="27">
        <v>-8.4057833333255061E-5</v>
      </c>
      <c r="BD10" s="27">
        <v>-1.000578333332502E-4</v>
      </c>
      <c r="BE10" s="27">
        <v>4.8231903333344033E-4</v>
      </c>
      <c r="BF10" s="27">
        <v>-1.5076803333295699E-4</v>
      </c>
      <c r="BG10" s="27">
        <v>-3.043469999995663E-5</v>
      </c>
      <c r="BH10" s="27">
        <v>-4.5282586666619412E-4</v>
      </c>
      <c r="BI10" s="27">
        <v>-3.0086939999990429E-4</v>
      </c>
      <c r="BJ10" s="27">
        <v>-1.665795999995778E-4</v>
      </c>
      <c r="BK10" s="27">
        <v>3.9087066666387837E-5</v>
      </c>
      <c r="BL10" s="27">
        <v>-1.6815920000021189E-4</v>
      </c>
      <c r="BM10" s="27">
        <v>7.2655074666667999E-3</v>
      </c>
      <c r="BN10" s="27">
        <v>9.7208174133333797E-2</v>
      </c>
      <c r="BO10" s="27">
        <v>4.1842040000038272E-4</v>
      </c>
      <c r="BP10" s="27">
        <v>-8.4057833333248122E-5</v>
      </c>
      <c r="BQ10" s="27">
        <v>1.812754999997446E-4</v>
      </c>
      <c r="BR10" s="27">
        <v>-6.0014299999959497E-5</v>
      </c>
      <c r="BS10" s="27">
        <v>3.1117413333379968E-4</v>
      </c>
      <c r="BT10" s="27">
        <v>-3.8924626666660128E-4</v>
      </c>
      <c r="BU10" s="27">
        <v>2.9637686666669771E-4</v>
      </c>
      <c r="BV10" s="27">
        <v>3.755074666668134E-4</v>
      </c>
      <c r="BW10" s="27">
        <v>4.8231903333343859E-4</v>
      </c>
      <c r="BX10" s="27">
        <v>-1.4649253333319509E-4</v>
      </c>
      <c r="BY10" s="27">
        <v>4.814639333331483E-4</v>
      </c>
      <c r="BZ10" s="27">
        <v>-4.3362313333330382E-4</v>
      </c>
      <c r="CA10" s="27">
        <v>-3.0086939999990001E-4</v>
      </c>
      <c r="CB10" s="27">
        <v>6.4570078311689321E-3</v>
      </c>
      <c r="CC10" s="33">
        <v>0.49718960300000781</v>
      </c>
    </row>
    <row r="11" spans="1:81" x14ac:dyDescent="0.25">
      <c r="A11" s="23">
        <v>10</v>
      </c>
      <c r="B11" s="25">
        <v>4.5</v>
      </c>
      <c r="C11" s="27">
        <v>2.964428000000012E-4</v>
      </c>
      <c r="D11" s="27">
        <v>4.597761333329925E-4</v>
      </c>
      <c r="E11" s="27">
        <v>-2.8677859999999561E-4</v>
      </c>
      <c r="F11" s="27">
        <v>3.4442799999992453E-5</v>
      </c>
      <c r="G11" s="27">
        <v>-4.3016789999998639E-4</v>
      </c>
      <c r="H11" s="27">
        <v>-1.711193333299443E-5</v>
      </c>
      <c r="I11" s="27">
        <v>4.3952674999999178E-4</v>
      </c>
      <c r="J11" s="27">
        <v>2.401934166669992E-4</v>
      </c>
      <c r="K11" s="27">
        <v>-2.8677860000000249E-4</v>
      </c>
      <c r="L11" s="27">
        <v>-3.9411193333302452E-4</v>
      </c>
      <c r="M11" s="27">
        <v>-4.3016790000000032E-4</v>
      </c>
      <c r="N11" s="27">
        <v>-1.9244526666660491E-4</v>
      </c>
      <c r="O11" s="27">
        <v>4.2644279999998203E-4</v>
      </c>
      <c r="P11" s="27">
        <v>-3.4473250000027773E-5</v>
      </c>
      <c r="Q11" s="27">
        <v>3.1486008333300042E-4</v>
      </c>
      <c r="R11" s="27">
        <v>-3.584732500000049E-4</v>
      </c>
      <c r="S11" s="27">
        <v>4.1310946666699161E-4</v>
      </c>
      <c r="T11" s="27">
        <v>1.197761333329994E-4</v>
      </c>
      <c r="U11" s="27">
        <v>4.9813745000001908E-4</v>
      </c>
      <c r="V11" s="27">
        <v>-1.6677859999999871E-4</v>
      </c>
      <c r="W11" s="27">
        <v>-3.0589053333299199E-4</v>
      </c>
      <c r="X11" s="27">
        <v>2.2526749999987609E-5</v>
      </c>
      <c r="Y11" s="27">
        <v>-4.3016789999998639E-4</v>
      </c>
      <c r="Z11" s="27">
        <v>-4.3016789999998639E-4</v>
      </c>
      <c r="AA11" s="27">
        <v>4.9813744999999132E-4</v>
      </c>
      <c r="AB11" s="27">
        <v>-3.5847325000001867E-4</v>
      </c>
      <c r="AC11" s="27">
        <v>4.2644279999998203E-4</v>
      </c>
      <c r="AD11" s="27">
        <v>-3.6755720000000708E-4</v>
      </c>
      <c r="AE11" s="27">
        <v>4.212213999999978E-4</v>
      </c>
      <c r="AF11" s="27">
        <v>4.2644279999998203E-4</v>
      </c>
      <c r="AG11" s="27">
        <v>4.2644279999998203E-4</v>
      </c>
      <c r="AH11" s="27">
        <v>-3.267786000000078E-4</v>
      </c>
      <c r="AI11" s="27">
        <v>-4.3016789999998639E-4</v>
      </c>
      <c r="AJ11" s="27">
        <v>-1.5083950000100221E-5</v>
      </c>
      <c r="AK11" s="27">
        <v>-2.8677859999999561E-4</v>
      </c>
      <c r="AL11" s="27">
        <v>1.819341666699226E-5</v>
      </c>
      <c r="AM11" s="27">
        <v>-3.584732500000049E-4</v>
      </c>
      <c r="AN11" s="27">
        <v>6.6860083332981324E-5</v>
      </c>
      <c r="AO11" s="27">
        <v>-4.3016790000000032E-4</v>
      </c>
      <c r="AP11" s="27">
        <v>-3.5847325000001867E-4</v>
      </c>
      <c r="AQ11" s="27">
        <v>1.7477613333330419E-4</v>
      </c>
      <c r="AR11" s="27">
        <v>4.2644279999998203E-4</v>
      </c>
      <c r="AS11" s="27">
        <v>3.2283210000001727E-4</v>
      </c>
      <c r="AT11" s="27">
        <v>-2.150839499999932E-4</v>
      </c>
      <c r="AU11" s="27">
        <v>-2.3908395000001031E-4</v>
      </c>
      <c r="AV11" s="27">
        <v>3.332214E-4</v>
      </c>
      <c r="AW11" s="27">
        <v>-9.1806583332999792E-5</v>
      </c>
      <c r="AX11" s="27">
        <v>6.9776133332921653E-5</v>
      </c>
      <c r="AY11" s="27">
        <v>4.5616543333300291E-4</v>
      </c>
      <c r="AZ11" s="27">
        <v>2.8483209999999309E-4</v>
      </c>
      <c r="BA11" s="27">
        <v>4.4413744999999109E-4</v>
      </c>
      <c r="BB11" s="27">
        <v>-1.105571999999999E-4</v>
      </c>
      <c r="BC11" s="27">
        <v>-3.5847325000001867E-4</v>
      </c>
      <c r="BD11" s="27">
        <v>-2.0713991666701509E-4</v>
      </c>
      <c r="BE11" s="27">
        <v>4.8613745000000708E-4</v>
      </c>
      <c r="BF11" s="27">
        <v>-2.150839499999932E-4</v>
      </c>
      <c r="BG11" s="27">
        <v>1.215827166669847E-4</v>
      </c>
      <c r="BH11" s="27">
        <v>-6.8557200000013419E-5</v>
      </c>
      <c r="BI11" s="27">
        <v>2.131654333333288E-4</v>
      </c>
      <c r="BJ11" s="27">
        <v>-1.721119333330011E-4</v>
      </c>
      <c r="BK11" s="27">
        <v>-2.8677860000000249E-4</v>
      </c>
      <c r="BL11" s="27">
        <v>-1.878905333329989E-4</v>
      </c>
      <c r="BM11" s="27">
        <v>-1.3355720000002291E-4</v>
      </c>
      <c r="BN11" s="27">
        <v>-2.028905333329861E-4</v>
      </c>
      <c r="BO11" s="27">
        <v>-2.8677859999999561E-4</v>
      </c>
      <c r="BP11" s="27">
        <v>-3.584732500000049E-4</v>
      </c>
      <c r="BQ11" s="27">
        <v>-3.584732500000049E-4</v>
      </c>
      <c r="BR11" s="27">
        <v>4.9813745000001908E-4</v>
      </c>
      <c r="BS11" s="27">
        <v>-3.4255719999999601E-4</v>
      </c>
      <c r="BT11" s="27">
        <v>-2.8677860000000249E-4</v>
      </c>
      <c r="BU11" s="27">
        <v>-1.4338930000000041E-4</v>
      </c>
      <c r="BV11" s="27">
        <v>-3.7689053333300748E-4</v>
      </c>
      <c r="BW11" s="27">
        <v>2.1347078333300301E-4</v>
      </c>
      <c r="BX11" s="27">
        <v>-1.8155720000001541E-4</v>
      </c>
      <c r="BY11" s="27">
        <v>2.378321000000138E-4</v>
      </c>
      <c r="BZ11" s="27">
        <v>-1.4338930000000301E-4</v>
      </c>
      <c r="CA11" s="27">
        <v>-4.3016790000000032E-4</v>
      </c>
      <c r="CB11" s="27">
        <v>-2.9369514069251881E-5</v>
      </c>
      <c r="CC11" s="33">
        <v>-2.2614525833323951E-3</v>
      </c>
    </row>
    <row r="12" spans="1:81" x14ac:dyDescent="0.25">
      <c r="A12" s="23">
        <v>11</v>
      </c>
      <c r="B12" s="25">
        <v>5</v>
      </c>
      <c r="C12" s="27">
        <v>-4.8288266667972923E-5</v>
      </c>
      <c r="D12" s="27">
        <v>4.6304506666527972E-4</v>
      </c>
      <c r="E12" s="27">
        <v>3.298558666660345E-4</v>
      </c>
      <c r="F12" s="27">
        <v>-4.9495493333467921E-4</v>
      </c>
      <c r="G12" s="27">
        <v>-5.2162000009903231E-6</v>
      </c>
      <c r="H12" s="27">
        <v>3.2985586666597899E-4</v>
      </c>
      <c r="I12" s="27">
        <v>-3.3568016666751799E-4</v>
      </c>
      <c r="J12" s="27">
        <v>-1.7401350000051391E-4</v>
      </c>
      <c r="K12" s="27">
        <v>3.2985586666597899E-4</v>
      </c>
      <c r="L12" s="27">
        <v>3.2985586666600669E-4</v>
      </c>
      <c r="M12" s="27">
        <v>-5.2162000010458343E-6</v>
      </c>
      <c r="N12" s="27">
        <v>4.9570189199999018E-2</v>
      </c>
      <c r="O12" s="27">
        <v>1.3971173333204859E-4</v>
      </c>
      <c r="P12" s="27">
        <v>-1.5521350000051451E-4</v>
      </c>
      <c r="Q12" s="27">
        <v>-4.7034683333410649E-4</v>
      </c>
      <c r="R12" s="27">
        <v>-3.3768016666751999E-4</v>
      </c>
      <c r="S12" s="27">
        <v>2.1371173333195601E-4</v>
      </c>
      <c r="T12" s="27">
        <v>-4.9362160000132604E-4</v>
      </c>
      <c r="U12" s="27">
        <v>3.8124776666553778E-4</v>
      </c>
      <c r="V12" s="27">
        <v>-4.7681080000100412E-4</v>
      </c>
      <c r="W12" s="27">
        <v>4.4704506666498611E-4</v>
      </c>
      <c r="X12" s="27">
        <v>3.8898649999910551E-4</v>
      </c>
      <c r="Y12" s="27">
        <v>-5.2162000010458343E-6</v>
      </c>
      <c r="Z12" s="27">
        <v>-5.2162000009903231E-6</v>
      </c>
      <c r="AA12" s="27">
        <v>3.2724776666553929E-4</v>
      </c>
      <c r="AB12" s="27">
        <v>1.5998649999951489E-4</v>
      </c>
      <c r="AC12" s="27">
        <v>2.337117333319205E-4</v>
      </c>
      <c r="AD12" s="27">
        <v>-1.042882666679734E-4</v>
      </c>
      <c r="AE12" s="27">
        <v>6.1855866666002401E-5</v>
      </c>
      <c r="AF12" s="27">
        <v>-3.4028826666798739E-4</v>
      </c>
      <c r="AG12" s="27">
        <v>-4.1762160000097248E-4</v>
      </c>
      <c r="AH12" s="27">
        <v>-2.328108000007045E-4</v>
      </c>
      <c r="AI12" s="27">
        <v>-5.2162000009903231E-6</v>
      </c>
      <c r="AJ12" s="27">
        <v>-2.6081000005159778E-6</v>
      </c>
      <c r="AK12" s="27">
        <v>-1.2614413333401561E-4</v>
      </c>
      <c r="AL12" s="27">
        <v>-1.816801666674889E-4</v>
      </c>
      <c r="AM12" s="27">
        <v>4.3565316666552278E-4</v>
      </c>
      <c r="AN12" s="27">
        <v>-3.9968016666747102E-4</v>
      </c>
      <c r="AO12" s="27">
        <v>3.0345046666568898E-4</v>
      </c>
      <c r="AP12" s="27">
        <v>-3.3768016666751999E-4</v>
      </c>
      <c r="AQ12" s="27">
        <v>2.0537839999895671E-4</v>
      </c>
      <c r="AR12" s="27">
        <v>-3.402882666680429E-4</v>
      </c>
      <c r="AS12" s="27">
        <v>-2.9821620000103349E-4</v>
      </c>
      <c r="AT12" s="27">
        <v>-2.633414333335065E-4</v>
      </c>
      <c r="AU12" s="27">
        <v>-2.5274766667110479E-5</v>
      </c>
      <c r="AV12" s="27">
        <v>4.7855866666002278E-5</v>
      </c>
      <c r="AW12" s="27">
        <v>3.1231983333249169E-4</v>
      </c>
      <c r="AX12" s="27">
        <v>4.3304506666502762E-4</v>
      </c>
      <c r="AY12" s="27">
        <v>5.8783799998990423E-5</v>
      </c>
      <c r="AZ12" s="27">
        <v>-1.354953333398967E-5</v>
      </c>
      <c r="BA12" s="27">
        <v>2.3724776666556041E-4</v>
      </c>
      <c r="BB12" s="27">
        <v>-3.402882666680429E-4</v>
      </c>
      <c r="BC12" s="27">
        <v>2.2431983333251471E-4</v>
      </c>
      <c r="BD12" s="27">
        <v>4.4098649999921302E-4</v>
      </c>
      <c r="BE12" s="27">
        <v>3.2724776666553929E-4</v>
      </c>
      <c r="BF12" s="27">
        <v>-1.7194143333351669E-4</v>
      </c>
      <c r="BG12" s="27">
        <v>-2.608100000495162E-6</v>
      </c>
      <c r="BH12" s="27">
        <v>1.7637839999901089E-4</v>
      </c>
      <c r="BI12" s="27">
        <v>2.674504666660138E-4</v>
      </c>
      <c r="BJ12" s="27">
        <v>3.4385586666599299E-4</v>
      </c>
      <c r="BK12" s="27">
        <v>3.2985586666597899E-4</v>
      </c>
      <c r="BL12" s="27">
        <v>-8.7288266667984171E-5</v>
      </c>
      <c r="BM12" s="27">
        <v>-1.6695493333401809E-4</v>
      </c>
      <c r="BN12" s="27">
        <v>3.9304506666543171E-4</v>
      </c>
      <c r="BO12" s="27">
        <v>4.1852253333299339E-4</v>
      </c>
      <c r="BP12" s="27">
        <v>-3.3768016666749218E-4</v>
      </c>
      <c r="BQ12" s="27">
        <v>4.0165316666579409E-4</v>
      </c>
      <c r="BR12" s="27">
        <v>3.2724776666548378E-4</v>
      </c>
      <c r="BS12" s="27">
        <v>-3.4028826666798739E-4</v>
      </c>
      <c r="BT12" s="27">
        <v>3.2985586666597899E-4</v>
      </c>
      <c r="BU12" s="27">
        <v>-3.3507206666699712E-4</v>
      </c>
      <c r="BV12" s="27">
        <v>-3.402882666680429E-4</v>
      </c>
      <c r="BW12" s="27">
        <v>3.2724776666548378E-4</v>
      </c>
      <c r="BX12" s="27">
        <v>-2.9495493333503431E-4</v>
      </c>
      <c r="BY12" s="27">
        <v>2.7678379999895858E-4</v>
      </c>
      <c r="BZ12" s="27">
        <v>-3.3507206666699712E-4</v>
      </c>
      <c r="CA12" s="27">
        <v>-5.2162000010458343E-6</v>
      </c>
      <c r="CB12" s="27">
        <v>6.6844846536703037E-4</v>
      </c>
      <c r="CC12" s="33">
        <v>5.1470531833261328E-2</v>
      </c>
    </row>
    <row r="13" spans="1:81" x14ac:dyDescent="0.25">
      <c r="A13" s="23">
        <v>12</v>
      </c>
      <c r="B13" s="25">
        <v>5.5</v>
      </c>
      <c r="C13" s="27">
        <v>2.3035680000105249E-4</v>
      </c>
      <c r="D13" s="27">
        <v>1.20234666680652E-5</v>
      </c>
      <c r="E13" s="27">
        <v>2.9101173333404012E-4</v>
      </c>
      <c r="F13" s="27">
        <v>1.420234666680287E-4</v>
      </c>
      <c r="G13" s="27">
        <v>4.7451760000100102E-4</v>
      </c>
      <c r="H13" s="27">
        <v>4.6567840000101562E-4</v>
      </c>
      <c r="I13" s="27">
        <v>4.7343133333452298E-4</v>
      </c>
      <c r="J13" s="27">
        <v>3.2243133333448298E-4</v>
      </c>
      <c r="K13" s="27">
        <v>7.1011733334014338E-5</v>
      </c>
      <c r="L13" s="27">
        <v>7.1011733334014338E-5</v>
      </c>
      <c r="M13" s="27">
        <v>-3.9348239999892343E-4</v>
      </c>
      <c r="N13" s="27">
        <v>-2.9498826666601857E-4</v>
      </c>
      <c r="O13" s="27">
        <v>-1.7797653333184729E-4</v>
      </c>
      <c r="P13" s="27">
        <v>-7.8368666665773468E-5</v>
      </c>
      <c r="Q13" s="27">
        <v>3.3876466666749039E-4</v>
      </c>
      <c r="R13" s="27">
        <v>-1.5056866666546259E-4</v>
      </c>
      <c r="S13" s="27">
        <v>4.2202346666808671E-4</v>
      </c>
      <c r="T13" s="27">
        <v>8.7356800001048285E-5</v>
      </c>
      <c r="U13" s="27">
        <v>1.8270533334474589E-5</v>
      </c>
      <c r="V13" s="27">
        <v>7.1011733334014338E-5</v>
      </c>
      <c r="W13" s="27">
        <v>2.863568000009975E-4</v>
      </c>
      <c r="X13" s="27">
        <v>2.4543133333460032E-4</v>
      </c>
      <c r="Y13" s="27">
        <v>-3.9348239999892343E-4</v>
      </c>
      <c r="Z13" s="27">
        <v>-2.8248239999900671E-4</v>
      </c>
      <c r="AA13" s="27">
        <v>-1.2572946666533641E-4</v>
      </c>
      <c r="AB13" s="27">
        <v>-8.5568666665869486E-5</v>
      </c>
      <c r="AC13" s="27">
        <v>3.9469013333515163E-4</v>
      </c>
      <c r="AD13" s="27">
        <v>-1.046431999989217E-4</v>
      </c>
      <c r="AE13" s="27">
        <v>7.1011733334014338E-5</v>
      </c>
      <c r="AF13" s="27">
        <v>1.08690133334699E-4</v>
      </c>
      <c r="AG13" s="27">
        <v>1.420234666680287E-4</v>
      </c>
      <c r="AH13" s="27">
        <v>4.4434506666704571E-4</v>
      </c>
      <c r="AI13" s="27">
        <v>-3.1748239999895839E-4</v>
      </c>
      <c r="AJ13" s="27">
        <v>2.0325880000052199E-4</v>
      </c>
      <c r="AK13" s="27">
        <v>-2.109882666659624E-4</v>
      </c>
      <c r="AL13" s="27">
        <v>2.8043133333449649E-4</v>
      </c>
      <c r="AM13" s="27">
        <v>3.3876466666749039E-4</v>
      </c>
      <c r="AN13" s="27">
        <v>-3.4590199999945392E-4</v>
      </c>
      <c r="AO13" s="27">
        <v>-1.941490666655388E-4</v>
      </c>
      <c r="AP13" s="27">
        <v>3.3876466666749039E-4</v>
      </c>
      <c r="AQ13" s="27">
        <v>1.420234666681397E-4</v>
      </c>
      <c r="AR13" s="27">
        <v>1.420234666680287E-4</v>
      </c>
      <c r="AS13" s="27">
        <v>-3.9348239999892343E-4</v>
      </c>
      <c r="AT13" s="27">
        <v>3.6425880000051652E-4</v>
      </c>
      <c r="AU13" s="27">
        <v>-2.6741199999499868E-5</v>
      </c>
      <c r="AV13" s="27">
        <v>-4.4898826666600611E-4</v>
      </c>
      <c r="AW13" s="27">
        <v>-2.425686666657767E-4</v>
      </c>
      <c r="AX13" s="27">
        <v>1.420234666680287E-4</v>
      </c>
      <c r="AY13" s="27">
        <v>-2.3614906666596941E-4</v>
      </c>
      <c r="AZ13" s="27">
        <v>-3.5714906666595159E-4</v>
      </c>
      <c r="BA13" s="27">
        <v>-8.9729466665411373E-5</v>
      </c>
      <c r="BB13" s="27">
        <v>1.420234666681397E-4</v>
      </c>
      <c r="BC13" s="27">
        <v>3.3876466666749039E-4</v>
      </c>
      <c r="BD13" s="27">
        <v>3.3876466666749039E-4</v>
      </c>
      <c r="BE13" s="27">
        <v>1.9827053333454361E-4</v>
      </c>
      <c r="BF13" s="27">
        <v>-1.967411999994895E-4</v>
      </c>
      <c r="BG13" s="27">
        <v>1.9925880000050761E-4</v>
      </c>
      <c r="BH13" s="27">
        <v>1.420234666681397E-4</v>
      </c>
      <c r="BI13" s="27">
        <v>2.3585093333439169E-4</v>
      </c>
      <c r="BJ13" s="27">
        <v>-1.13654933332985E-4</v>
      </c>
      <c r="BK13" s="27">
        <v>-2.9665493333300152E-4</v>
      </c>
      <c r="BL13" s="27">
        <v>6.3023466667977424E-5</v>
      </c>
      <c r="BM13" s="27">
        <v>1.420234666680287E-4</v>
      </c>
      <c r="BN13" s="27">
        <v>6.0234666680036852E-6</v>
      </c>
      <c r="BO13" s="27">
        <v>7.1011733334014338E-5</v>
      </c>
      <c r="BP13" s="27">
        <v>3.3876466666749039E-4</v>
      </c>
      <c r="BQ13" s="27">
        <v>-1.3523533333248411E-4</v>
      </c>
      <c r="BR13" s="27">
        <v>-1.257294666654474E-4</v>
      </c>
      <c r="BS13" s="27">
        <v>4.0023466668093199E-5</v>
      </c>
      <c r="BT13" s="27">
        <v>-1.2298826666598539E-4</v>
      </c>
      <c r="BU13" s="27">
        <v>-3.7949413333298552E-4</v>
      </c>
      <c r="BV13" s="27">
        <v>4.0535680000103319E-4</v>
      </c>
      <c r="BW13" s="27">
        <v>-1.257294666654474E-4</v>
      </c>
      <c r="BX13" s="27">
        <v>1.420234666680287E-4</v>
      </c>
      <c r="BY13" s="27">
        <v>1.4351760000103081E-4</v>
      </c>
      <c r="BZ13" s="27">
        <v>-4.6449413333299328E-4</v>
      </c>
      <c r="CA13" s="27">
        <v>-3.9348239999892343E-4</v>
      </c>
      <c r="CB13" s="27">
        <v>3.6063922078905563E-5</v>
      </c>
      <c r="CC13" s="33">
        <v>2.7769220000757279E-3</v>
      </c>
    </row>
    <row r="14" spans="1:81" x14ac:dyDescent="0.25">
      <c r="A14" s="23">
        <v>13</v>
      </c>
      <c r="B14" s="25">
        <v>6</v>
      </c>
      <c r="C14" s="27">
        <v>-6.8592666668143565E-5</v>
      </c>
      <c r="D14" s="27">
        <v>8.1407333331950937E-5</v>
      </c>
      <c r="E14" s="27">
        <v>4.0703666665919958E-5</v>
      </c>
      <c r="F14" s="27">
        <v>-4.5992600000144268E-4</v>
      </c>
      <c r="G14" s="27">
        <v>4.5105549999879813E-4</v>
      </c>
      <c r="H14" s="27">
        <v>-1.4396300000102391E-4</v>
      </c>
      <c r="I14" s="27">
        <v>5.0879583332497091E-5</v>
      </c>
      <c r="J14" s="27">
        <v>-2.8912041666750993E-4</v>
      </c>
      <c r="K14" s="27">
        <v>2.8430366666598589E-4</v>
      </c>
      <c r="L14" s="27">
        <v>-6.6629666667095133E-5</v>
      </c>
      <c r="M14" s="27">
        <v>6.1055499998907692E-5</v>
      </c>
      <c r="N14" s="27">
        <v>-2.4462966666710662E-4</v>
      </c>
      <c r="O14" s="27">
        <v>8.140733333206196E-5</v>
      </c>
      <c r="P14" s="27">
        <v>9.8879583332489585E-5</v>
      </c>
      <c r="Q14" s="27">
        <v>3.0621291666588219E-4</v>
      </c>
      <c r="R14" s="27">
        <v>5.0879583332497091E-5</v>
      </c>
      <c r="S14" s="27">
        <v>3.0707399999896362E-4</v>
      </c>
      <c r="T14" s="27">
        <v>8.140733333206196E-5</v>
      </c>
      <c r="U14" s="27">
        <v>7.1231416665429315E-5</v>
      </c>
      <c r="V14" s="27">
        <v>2.837033333297212E-5</v>
      </c>
      <c r="W14" s="27">
        <v>4.3140733333180142E-4</v>
      </c>
      <c r="X14" s="27">
        <v>4.142129166657682E-4</v>
      </c>
      <c r="Y14" s="27">
        <v>6.1055499998907692E-5</v>
      </c>
      <c r="Z14" s="27">
        <v>4.3105549999900022E-4</v>
      </c>
      <c r="AA14" s="27">
        <v>-3.6076858333455858E-4</v>
      </c>
      <c r="AB14" s="27">
        <v>5.0879583332497091E-5</v>
      </c>
      <c r="AC14" s="27">
        <v>8.1407333331950937E-5</v>
      </c>
      <c r="AD14" s="27">
        <v>3.1740733333185389E-4</v>
      </c>
      <c r="AE14" s="27">
        <v>1.0070366666598E-4</v>
      </c>
      <c r="AF14" s="27">
        <v>-4.7159266666807481E-4</v>
      </c>
      <c r="AG14" s="27">
        <v>4.0739999989103381E-6</v>
      </c>
      <c r="AH14" s="27">
        <v>4.0703666665975469E-5</v>
      </c>
      <c r="AI14" s="27">
        <v>6.1055499998907692E-5</v>
      </c>
      <c r="AJ14" s="27">
        <v>3.0527749999342817E-5</v>
      </c>
      <c r="AK14" s="27">
        <v>-4.3129633333405248E-4</v>
      </c>
      <c r="AL14" s="27">
        <v>4.5587958333248579E-4</v>
      </c>
      <c r="AM14" s="27">
        <v>5.0879583332497091E-5</v>
      </c>
      <c r="AN14" s="27">
        <v>-2.4912041666769191E-4</v>
      </c>
      <c r="AO14" s="27">
        <v>3.1505549999877308E-4</v>
      </c>
      <c r="AP14" s="27">
        <v>5.0879583332497091E-5</v>
      </c>
      <c r="AQ14" s="27">
        <v>-3.7292600000105042E-4</v>
      </c>
      <c r="AR14" s="27">
        <v>8.1407333331950937E-5</v>
      </c>
      <c r="AS14" s="27">
        <v>3.8305549999884109E-4</v>
      </c>
      <c r="AT14" s="27">
        <v>3.0527749999342817E-5</v>
      </c>
      <c r="AU14" s="27">
        <v>2.0386108333236841E-4</v>
      </c>
      <c r="AV14" s="27">
        <v>-3.1429633333407431E-4</v>
      </c>
      <c r="AW14" s="27">
        <v>-2.0512041666753689E-4</v>
      </c>
      <c r="AX14" s="27">
        <v>8.1407333331950937E-5</v>
      </c>
      <c r="AY14" s="27">
        <v>2.5772216666586362E-4</v>
      </c>
      <c r="AZ14" s="27">
        <v>6.1055499998907692E-5</v>
      </c>
      <c r="BA14" s="27">
        <v>7.1231416665429315E-5</v>
      </c>
      <c r="BB14" s="27">
        <v>8.1407333331950937E-5</v>
      </c>
      <c r="BC14" s="27">
        <v>-2.4112041666746189E-4</v>
      </c>
      <c r="BD14" s="27">
        <v>-3.7120416667535412E-5</v>
      </c>
      <c r="BE14" s="27">
        <v>-2.6476858333468472E-4</v>
      </c>
      <c r="BF14" s="27">
        <v>3.9986108333235631E-4</v>
      </c>
      <c r="BG14" s="27">
        <v>-4.0880558333394879E-4</v>
      </c>
      <c r="BH14" s="27">
        <v>-1.199260000011027E-4</v>
      </c>
      <c r="BI14" s="27">
        <v>3.4772216666556499E-4</v>
      </c>
      <c r="BJ14" s="27">
        <v>4.0703666665975469E-5</v>
      </c>
      <c r="BK14" s="27">
        <v>4.0370366666597768E-4</v>
      </c>
      <c r="BL14" s="27">
        <v>8.6407333331872671E-5</v>
      </c>
      <c r="BM14" s="27">
        <v>-3.0525933333414018E-4</v>
      </c>
      <c r="BN14" s="27">
        <v>1.8274066666534861E-4</v>
      </c>
      <c r="BO14" s="27">
        <v>2.2070366666598901E-4</v>
      </c>
      <c r="BP14" s="27">
        <v>5.0879583332497091E-5</v>
      </c>
      <c r="BQ14" s="27">
        <v>5.0879583332497091E-5</v>
      </c>
      <c r="BR14" s="27">
        <v>2.495647499987097E-4</v>
      </c>
      <c r="BS14" s="27">
        <v>8.1407333331950937E-5</v>
      </c>
      <c r="BT14" s="27">
        <v>4.0703666665975469E-5</v>
      </c>
      <c r="BU14" s="27">
        <v>-3.3464816666700647E-4</v>
      </c>
      <c r="BV14" s="27">
        <v>1.24740666664902E-4</v>
      </c>
      <c r="BW14" s="27">
        <v>-2.1343525000161459E-4</v>
      </c>
      <c r="BX14" s="27">
        <v>3.8807399999896131E-4</v>
      </c>
      <c r="BY14" s="27">
        <v>4.3138883333193601E-4</v>
      </c>
      <c r="BZ14" s="27">
        <v>2.0351833332987731E-5</v>
      </c>
      <c r="CA14" s="27">
        <v>6.1055499999018714E-5</v>
      </c>
      <c r="CB14" s="27">
        <v>4.8331812769556317E-5</v>
      </c>
      <c r="CC14" s="33">
        <v>3.7215495832558371E-3</v>
      </c>
    </row>
    <row r="15" spans="1:81" x14ac:dyDescent="0.25">
      <c r="A15" s="23">
        <v>14</v>
      </c>
      <c r="B15" s="25">
        <v>6.5</v>
      </c>
      <c r="C15" s="27">
        <v>-4.9650106666510041E-4</v>
      </c>
      <c r="D15" s="27">
        <v>2.588322666678966E-4</v>
      </c>
      <c r="E15" s="27">
        <v>1.294161333340593E-4</v>
      </c>
      <c r="F15" s="27">
        <v>2.5349893333492801E-4</v>
      </c>
      <c r="G15" s="27">
        <v>1.721242000010115E-4</v>
      </c>
      <c r="H15" s="27">
        <v>-4.0825053333293232E-4</v>
      </c>
      <c r="I15" s="27">
        <v>-2.8922983333257157E-4</v>
      </c>
      <c r="J15" s="27">
        <v>6.5103500000440739E-5</v>
      </c>
      <c r="K15" s="27">
        <v>3.7674946666399478E-4</v>
      </c>
      <c r="L15" s="27">
        <v>1.294161333339483E-4</v>
      </c>
      <c r="M15" s="27">
        <v>-3.0587579999896702E-4</v>
      </c>
      <c r="N15" s="27">
        <v>3.8341613333403579E-4</v>
      </c>
      <c r="O15" s="27">
        <v>-3.8116773333185527E-4</v>
      </c>
      <c r="P15" s="27">
        <v>-4.1089649999948019E-4</v>
      </c>
      <c r="Q15" s="27">
        <v>-4.7563166665431922E-5</v>
      </c>
      <c r="R15" s="27">
        <v>4.1177016666760208E-4</v>
      </c>
      <c r="S15" s="27">
        <v>2.9383226666790391E-4</v>
      </c>
      <c r="T15" s="27">
        <v>1.483226666798565E-5</v>
      </c>
      <c r="U15" s="27">
        <v>1.7447823333494039E-4</v>
      </c>
      <c r="V15" s="27">
        <v>4.5441613333402348E-4</v>
      </c>
      <c r="W15" s="27">
        <v>1.5083226666812169E-4</v>
      </c>
      <c r="X15" s="27">
        <v>-1.3489649999909309E-4</v>
      </c>
      <c r="Y15" s="27">
        <v>-3.0587579999896702E-4</v>
      </c>
      <c r="Z15" s="27">
        <v>4.8412420000110151E-4</v>
      </c>
      <c r="AA15" s="27">
        <v>-2.3521766665091089E-5</v>
      </c>
      <c r="AB15" s="27">
        <v>4.1177016666749111E-4</v>
      </c>
      <c r="AC15" s="27">
        <v>2.588322666678966E-4</v>
      </c>
      <c r="AD15" s="27">
        <v>4.6549893333502901E-4</v>
      </c>
      <c r="AE15" s="27">
        <v>1.294161333340593E-4</v>
      </c>
      <c r="AF15" s="27">
        <v>-3.9760106666200667E-4</v>
      </c>
      <c r="AG15" s="27">
        <v>9.8832266667958635E-5</v>
      </c>
      <c r="AH15" s="27">
        <v>1.8441613333403109E-4</v>
      </c>
      <c r="AI15" s="27">
        <v>5.0124200001056003E-5</v>
      </c>
      <c r="AJ15" s="27">
        <v>4.4706210000050589E-4</v>
      </c>
      <c r="AK15" s="27">
        <v>-4.4491719999906199E-4</v>
      </c>
      <c r="AL15" s="27">
        <v>-8.2298333325958595E-6</v>
      </c>
      <c r="AM15" s="27">
        <v>3.2710350000053617E-4</v>
      </c>
      <c r="AN15" s="27">
        <v>2.1710350000053719E-4</v>
      </c>
      <c r="AO15" s="27">
        <v>-5.1875799999101517E-5</v>
      </c>
      <c r="AP15" s="27">
        <v>8.8436833334482046E-5</v>
      </c>
      <c r="AQ15" s="27">
        <v>7.1656000015796204E-6</v>
      </c>
      <c r="AR15" s="27">
        <v>2.5883226666811859E-4</v>
      </c>
      <c r="AS15" s="27">
        <v>-1.6787579999888449E-4</v>
      </c>
      <c r="AT15" s="27">
        <v>-4.4827123333252011E-4</v>
      </c>
      <c r="AU15" s="27">
        <v>-1.5293789999948351E-4</v>
      </c>
      <c r="AV15" s="27">
        <v>8.2416133334040076E-5</v>
      </c>
      <c r="AW15" s="27">
        <v>-1.1563166665506939E-5</v>
      </c>
      <c r="AX15" s="27">
        <v>-1.6116773333196829E-4</v>
      </c>
      <c r="AY15" s="27">
        <v>-1.287579999897925E-5</v>
      </c>
      <c r="AZ15" s="27">
        <v>1.2457533334009341E-5</v>
      </c>
      <c r="BA15" s="27">
        <v>-1.6752176666501309E-4</v>
      </c>
      <c r="BB15" s="27">
        <v>3.683226666795214E-5</v>
      </c>
      <c r="BC15" s="27">
        <v>2.6577016666740061E-4</v>
      </c>
      <c r="BD15" s="27">
        <v>4.1377016666754862E-4</v>
      </c>
      <c r="BE15" s="27">
        <v>-2.3521766665091089E-5</v>
      </c>
      <c r="BF15" s="27">
        <v>3.0839543333388558E-4</v>
      </c>
      <c r="BG15" s="27">
        <v>-1.006712333294635E-4</v>
      </c>
      <c r="BH15" s="27">
        <v>4.8216560000113867E-4</v>
      </c>
      <c r="BI15" s="27">
        <v>-3.4787579999906448E-4</v>
      </c>
      <c r="BJ15" s="27">
        <v>4.314161333340838E-4</v>
      </c>
      <c r="BK15" s="27">
        <v>3.5749466667067693E-5</v>
      </c>
      <c r="BL15" s="27">
        <v>-1.268343999987209E-4</v>
      </c>
      <c r="BM15" s="27">
        <v>2.5883226666811859E-4</v>
      </c>
      <c r="BN15" s="27">
        <v>-2.2916773333192531E-4</v>
      </c>
      <c r="BO15" s="27">
        <v>3.8082800001060242E-5</v>
      </c>
      <c r="BP15" s="27">
        <v>4.1177016666760208E-4</v>
      </c>
      <c r="BQ15" s="27">
        <v>-3.2289649999950321E-4</v>
      </c>
      <c r="BR15" s="27">
        <v>4.8431156666794978E-4</v>
      </c>
      <c r="BS15" s="27">
        <v>2.588322666678966E-4</v>
      </c>
      <c r="BT15" s="27">
        <v>-4.4891719999889951E-4</v>
      </c>
      <c r="BU15" s="27">
        <v>-4.3529193333297078E-4</v>
      </c>
      <c r="BV15" s="27">
        <v>-7.4501066664955928E-5</v>
      </c>
      <c r="BW15" s="27">
        <v>-2.3521766665091089E-5</v>
      </c>
      <c r="BX15" s="27">
        <v>3.8949893333461988E-4</v>
      </c>
      <c r="BY15" s="27">
        <v>4.1745753333399799E-4</v>
      </c>
      <c r="BZ15" s="27">
        <v>-4.3529193333297078E-4</v>
      </c>
      <c r="CA15" s="27">
        <v>-3.0587579999885589E-4</v>
      </c>
      <c r="CB15" s="27">
        <v>4.3145603897162638E-5</v>
      </c>
      <c r="CC15" s="33">
        <v>3.3222115000815229E-3</v>
      </c>
    </row>
    <row r="16" spans="1:81" x14ac:dyDescent="0.25">
      <c r="A16" s="23">
        <v>15</v>
      </c>
      <c r="B16" s="25">
        <v>7</v>
      </c>
      <c r="C16" s="27">
        <v>4.375452000000557E-4</v>
      </c>
      <c r="D16" s="27">
        <v>4.2354520000009721E-4</v>
      </c>
      <c r="E16" s="27">
        <v>-1.09727400000037E-4</v>
      </c>
      <c r="F16" s="27">
        <v>4.0545199999852948E-5</v>
      </c>
      <c r="G16" s="27">
        <v>3.1040890000011418E-4</v>
      </c>
      <c r="H16" s="27">
        <v>-4.739406666709467E-5</v>
      </c>
      <c r="I16" s="27">
        <v>-1.969925833330555E-4</v>
      </c>
      <c r="J16" s="27">
        <v>-2.2465925000003659E-4</v>
      </c>
      <c r="K16" s="27">
        <v>2.02726000000375E-5</v>
      </c>
      <c r="L16" s="27">
        <v>-2.347273999999677E-4</v>
      </c>
      <c r="M16" s="27">
        <v>-4.6959109999988868E-4</v>
      </c>
      <c r="N16" s="27">
        <v>3.0593926666699911E-4</v>
      </c>
      <c r="O16" s="27">
        <v>-1.5945480000012499E-4</v>
      </c>
      <c r="P16" s="27">
        <v>1.013407500000119E-4</v>
      </c>
      <c r="Q16" s="27">
        <v>-2.2465925000003659E-4</v>
      </c>
      <c r="R16" s="27">
        <v>3.4400741666673618E-4</v>
      </c>
      <c r="S16" s="27">
        <v>2.692118666667298E-4</v>
      </c>
      <c r="T16" s="27">
        <v>4.098785333332966E-4</v>
      </c>
      <c r="U16" s="27">
        <v>2.8547705000003809E-4</v>
      </c>
      <c r="V16" s="27">
        <v>2.02726000000375E-5</v>
      </c>
      <c r="W16" s="27">
        <v>3.0621186666679462E-4</v>
      </c>
      <c r="X16" s="27">
        <v>3.4534074999992281E-4</v>
      </c>
      <c r="Y16" s="27">
        <v>-4.6959109999988868E-4</v>
      </c>
      <c r="Z16" s="27">
        <v>-4.6959110000011067E-4</v>
      </c>
      <c r="AA16" s="27">
        <v>2.8547705000003809E-4</v>
      </c>
      <c r="AB16" s="27">
        <v>3.9000741666661559E-4</v>
      </c>
      <c r="AC16" s="27">
        <v>-1.9454800000096029E-5</v>
      </c>
      <c r="AD16" s="27">
        <v>-3.8278813333292311E-4</v>
      </c>
      <c r="AE16" s="27">
        <v>-1.306073333307012E-5</v>
      </c>
      <c r="AF16" s="27">
        <v>2.5291186666653859E-4</v>
      </c>
      <c r="AG16" s="27">
        <v>4.0545199999852948E-5</v>
      </c>
      <c r="AH16" s="27">
        <v>3.5860593333303381E-4</v>
      </c>
      <c r="AI16" s="27">
        <v>2.504088999999432E-4</v>
      </c>
      <c r="AJ16" s="27">
        <v>3.4120445000002109E-4</v>
      </c>
      <c r="AK16" s="27">
        <v>4.626059333330268E-4</v>
      </c>
      <c r="AL16" s="27">
        <v>-3.0199258333307721E-4</v>
      </c>
      <c r="AM16" s="27">
        <v>-2.2465925000003659E-4</v>
      </c>
      <c r="AN16" s="27">
        <v>4.2080741666999932E-4</v>
      </c>
      <c r="AO16" s="27">
        <v>-4.6959110000011067E-4</v>
      </c>
      <c r="AP16" s="27">
        <v>-2.2465924999992559E-4</v>
      </c>
      <c r="AQ16" s="27">
        <v>4.0545199999852948E-5</v>
      </c>
      <c r="AR16" s="27">
        <v>4.0545199999852948E-5</v>
      </c>
      <c r="AS16" s="27">
        <v>-4.6959110000011067E-4</v>
      </c>
      <c r="AT16" s="27">
        <v>2.6520445000000059E-4</v>
      </c>
      <c r="AU16" s="27">
        <v>4.1253778333305569E-4</v>
      </c>
      <c r="AV16" s="27">
        <v>3.0939266666640819E-5</v>
      </c>
      <c r="AW16" s="27">
        <v>-2.8265925000015008E-4</v>
      </c>
      <c r="AX16" s="27">
        <v>-9.9454800000176036E-5</v>
      </c>
      <c r="AY16" s="27">
        <v>-1.0459110000005099E-4</v>
      </c>
      <c r="AZ16" s="27">
        <v>-2.7659110000000098E-4</v>
      </c>
      <c r="BA16" s="27">
        <v>2.8547705000026008E-4</v>
      </c>
      <c r="BB16" s="27">
        <v>4.0545200000074999E-5</v>
      </c>
      <c r="BC16" s="27">
        <v>-2.2465925000003659E-4</v>
      </c>
      <c r="BD16" s="27">
        <v>-3.5799258333324419E-4</v>
      </c>
      <c r="BE16" s="27">
        <v>2.8547705000003809E-4</v>
      </c>
      <c r="BF16" s="27">
        <v>2.6520445000000059E-4</v>
      </c>
      <c r="BG16" s="27">
        <v>-2.2646221666999811E-4</v>
      </c>
      <c r="BH16" s="27">
        <v>4.8721186666655919E-4</v>
      </c>
      <c r="BI16" s="27">
        <v>4.8840890000012571E-4</v>
      </c>
      <c r="BJ16" s="27">
        <v>-4.523940666669723E-4</v>
      </c>
      <c r="BK16" s="27">
        <v>1.092726000000432E-4</v>
      </c>
      <c r="BL16" s="27">
        <v>-1.971214666669496E-4</v>
      </c>
      <c r="BM16" s="27">
        <v>4.0545199999852948E-5</v>
      </c>
      <c r="BN16" s="27">
        <v>4.3387853333287651E-4</v>
      </c>
      <c r="BO16" s="27">
        <v>-4.2394066666728847E-5</v>
      </c>
      <c r="BP16" s="27">
        <v>-2.2465925000014761E-4</v>
      </c>
      <c r="BQ16" s="27">
        <v>-2.2465925000014761E-4</v>
      </c>
      <c r="BR16" s="27">
        <v>2.8547705000003809E-4</v>
      </c>
      <c r="BS16" s="27">
        <v>-1.644547999999357E-4</v>
      </c>
      <c r="BT16" s="27">
        <v>-1.1739406666710921E-4</v>
      </c>
      <c r="BU16" s="27">
        <v>3.801363000000002E-4</v>
      </c>
      <c r="BV16" s="27">
        <v>3.2387853333393218E-4</v>
      </c>
      <c r="BW16" s="27">
        <v>1.024770500002159E-4</v>
      </c>
      <c r="BX16" s="27">
        <v>1.2211866666778089E-5</v>
      </c>
      <c r="BY16" s="27">
        <v>-2.9025776666591341E-4</v>
      </c>
      <c r="BZ16" s="27">
        <v>-4.8986370000003721E-4</v>
      </c>
      <c r="CA16" s="27">
        <v>-4.6959109999988868E-4</v>
      </c>
      <c r="CB16" s="27">
        <v>2.3313767316011869E-5</v>
      </c>
      <c r="CC16" s="33">
        <v>1.795160083332914E-3</v>
      </c>
    </row>
    <row r="17" spans="1:81" x14ac:dyDescent="0.25">
      <c r="A17" s="23">
        <v>16</v>
      </c>
      <c r="B17" s="25">
        <v>7.5</v>
      </c>
      <c r="C17" s="27">
        <v>-3.4423333332922468E-5</v>
      </c>
      <c r="D17" s="27">
        <v>-0.36091709000000011</v>
      </c>
      <c r="E17" s="27">
        <v>3.6955000000005178E-5</v>
      </c>
      <c r="F17" s="27">
        <v>-0.59801275666666687</v>
      </c>
      <c r="G17" s="27">
        <v>3.0432499999788479E-5</v>
      </c>
      <c r="H17" s="27">
        <v>-1.077116666668987E-4</v>
      </c>
      <c r="I17" s="27">
        <v>1.1869374999995411E-4</v>
      </c>
      <c r="J17" s="27">
        <v>1.813604166669425E-4</v>
      </c>
      <c r="K17" s="27">
        <v>3.9962166666707161E-4</v>
      </c>
      <c r="L17" s="27">
        <v>4.2795500000003539E-4</v>
      </c>
      <c r="M17" s="27">
        <v>3.0432500000010521E-5</v>
      </c>
      <c r="N17" s="27">
        <v>6.9121666667060211E-5</v>
      </c>
      <c r="O17" s="27">
        <v>-0.2823380900000001</v>
      </c>
      <c r="P17" s="27">
        <v>2.2402708333302271E-4</v>
      </c>
      <c r="Q17" s="27">
        <v>-1.413062499999729E-4</v>
      </c>
      <c r="R17" s="27">
        <v>-1.7810624999992089E-4</v>
      </c>
      <c r="S17" s="27">
        <v>-3.1408999999982262E-4</v>
      </c>
      <c r="T17" s="27">
        <v>-3.0208999999992159E-4</v>
      </c>
      <c r="U17" s="27">
        <v>-1.6282874999995481E-4</v>
      </c>
      <c r="V17" s="27">
        <v>2.96216666670901E-5</v>
      </c>
      <c r="W17" s="27">
        <v>-4.9089999999862848E-5</v>
      </c>
      <c r="X17" s="27">
        <v>-3.6797291666657023E-4</v>
      </c>
      <c r="Y17" s="27">
        <v>3.0432500000010521E-5</v>
      </c>
      <c r="Z17" s="27">
        <v>3.0432499999788479E-5</v>
      </c>
      <c r="AA17" s="27">
        <v>-4.1582875000023561E-4</v>
      </c>
      <c r="AB17" s="27">
        <v>3.1736041666707848E-4</v>
      </c>
      <c r="AC17" s="27">
        <v>-0.78778942333333291</v>
      </c>
      <c r="AD17" s="27">
        <v>-4.2008999999998409E-4</v>
      </c>
      <c r="AE17" s="27">
        <v>-4.1711666666888192E-5</v>
      </c>
      <c r="AF17" s="27">
        <v>4.1057666666710618E-4</v>
      </c>
      <c r="AG17" s="27">
        <v>4.7657666666700571E-4</v>
      </c>
      <c r="AH17" s="27">
        <v>2.2495499999999891E-4</v>
      </c>
      <c r="AI17" s="27">
        <v>2.3576583333295709E-4</v>
      </c>
      <c r="AJ17" s="27">
        <v>-7.6450416666928867E-5</v>
      </c>
      <c r="AK17" s="27">
        <v>-2.0131166666692921E-4</v>
      </c>
      <c r="AL17" s="27">
        <v>-4.703062499999966E-4</v>
      </c>
      <c r="AM17" s="27">
        <v>-1.8897291666641891E-4</v>
      </c>
      <c r="AN17" s="27">
        <v>-3.1797291666701982E-4</v>
      </c>
      <c r="AO17" s="27">
        <v>3.0432499999788479E-5</v>
      </c>
      <c r="AP17" s="27">
        <v>-1.4130624999975081E-4</v>
      </c>
      <c r="AQ17" s="27">
        <v>-0.82582295666666683</v>
      </c>
      <c r="AR17" s="27">
        <v>-1.3396260900000001</v>
      </c>
      <c r="AS17" s="27">
        <v>-1.705675000003293E-4</v>
      </c>
      <c r="AT17" s="27">
        <v>7.6216250000094021E-5</v>
      </c>
      <c r="AU17" s="27">
        <v>-2.8783749999816699E-5</v>
      </c>
      <c r="AV17" s="27">
        <v>-2.8637833333300389E-4</v>
      </c>
      <c r="AW17" s="27">
        <v>2.5202708333305068E-4</v>
      </c>
      <c r="AX17" s="27">
        <v>-1.940899999999246E-4</v>
      </c>
      <c r="AY17" s="27">
        <v>3.0432500000010521E-5</v>
      </c>
      <c r="AZ17" s="27">
        <v>-1.612341666668016E-4</v>
      </c>
      <c r="BA17" s="27">
        <v>4.2850458333298919E-4</v>
      </c>
      <c r="BB17" s="27">
        <v>-0.79043082333333281</v>
      </c>
      <c r="BC17" s="27">
        <v>-1.413062499999729E-4</v>
      </c>
      <c r="BD17" s="27">
        <v>-4.2463958333305302E-4</v>
      </c>
      <c r="BE17" s="27">
        <v>-1.3982875000007061E-4</v>
      </c>
      <c r="BF17" s="27">
        <v>5.3216250000098768E-5</v>
      </c>
      <c r="BG17" s="27">
        <v>-4.4395041666689389E-4</v>
      </c>
      <c r="BH17" s="27">
        <v>3.8391000000026493E-4</v>
      </c>
      <c r="BI17" s="27">
        <v>3.0432499999788479E-5</v>
      </c>
      <c r="BJ17" s="27">
        <v>-3.1304499999984531E-4</v>
      </c>
      <c r="BK17" s="27">
        <v>-4.5304499999987419E-4</v>
      </c>
      <c r="BL17" s="27">
        <v>2.8424333333321172E-4</v>
      </c>
      <c r="BM17" s="27">
        <v>2.539100000000794E-4</v>
      </c>
      <c r="BN17" s="27">
        <v>3.4624333333321822E-4</v>
      </c>
      <c r="BO17" s="27">
        <v>-1.950449999998938E-4</v>
      </c>
      <c r="BP17" s="27">
        <v>-2.1330625000004491E-4</v>
      </c>
      <c r="BQ17" s="27">
        <v>9.836041666699824E-5</v>
      </c>
      <c r="BR17" s="27">
        <v>-0.1837108954166666</v>
      </c>
      <c r="BS17" s="27">
        <v>-0.33452309000000002</v>
      </c>
      <c r="BT17" s="27">
        <v>2.5621666670083702E-5</v>
      </c>
      <c r="BU17" s="27">
        <v>2.0347749999999329E-4</v>
      </c>
      <c r="BV17" s="27">
        <v>3.0391000000018492E-4</v>
      </c>
      <c r="BW17" s="27">
        <v>1.0050458333332731E-4</v>
      </c>
      <c r="BX17" s="27">
        <v>3.6524333333298742E-4</v>
      </c>
      <c r="BY17" s="27">
        <v>4.8376583333298312E-4</v>
      </c>
      <c r="BZ17" s="27">
        <v>4.7614416666702519E-4</v>
      </c>
      <c r="CA17" s="27">
        <v>3.0432500000010521E-5</v>
      </c>
      <c r="CB17" s="27">
        <v>-7.1464112418831063E-2</v>
      </c>
      <c r="CC17" s="33">
        <v>-5.5027366562499918</v>
      </c>
    </row>
    <row r="18" spans="1:81" x14ac:dyDescent="0.25">
      <c r="A18" s="23">
        <v>17</v>
      </c>
      <c r="B18" s="25">
        <v>8</v>
      </c>
      <c r="C18" s="27">
        <v>-0.86417253160000118</v>
      </c>
      <c r="D18" s="27">
        <v>-2.2243293982666681</v>
      </c>
      <c r="E18" s="27">
        <v>-1.646991333339454E-4</v>
      </c>
      <c r="F18" s="27">
        <v>-1.9521453982666681</v>
      </c>
      <c r="G18" s="27">
        <v>-8.6423048700000837E-2</v>
      </c>
      <c r="H18" s="27">
        <v>-4.416991333340281E-4</v>
      </c>
      <c r="I18" s="27">
        <v>-2.8420725000111169E-4</v>
      </c>
      <c r="J18" s="27">
        <v>4.0545941666514368E-4</v>
      </c>
      <c r="K18" s="27">
        <v>-1.3036580000114209E-4</v>
      </c>
      <c r="L18" s="27">
        <v>-1.6469913333416741E-4</v>
      </c>
      <c r="M18" s="27">
        <v>-2.4704870000080698E-4</v>
      </c>
      <c r="N18" s="27">
        <v>4.9946753333285354E-4</v>
      </c>
      <c r="O18" s="27">
        <v>-2.002990198266668</v>
      </c>
      <c r="P18" s="27">
        <v>-1.7454058333488121E-4</v>
      </c>
      <c r="Q18" s="27">
        <v>3.3479274999903552E-4</v>
      </c>
      <c r="R18" s="27">
        <v>-5.0273916668119867E-5</v>
      </c>
      <c r="S18" s="27">
        <v>-1.8065993982666679</v>
      </c>
      <c r="T18" s="27">
        <v>-1.2523573982666669</v>
      </c>
      <c r="U18" s="27">
        <v>-1.198725223483335</v>
      </c>
      <c r="V18" s="27">
        <v>-1.9403246666704901E-4</v>
      </c>
      <c r="W18" s="27">
        <v>-1.273329398266668</v>
      </c>
      <c r="X18" s="27">
        <v>-3.5754058333808958E-4</v>
      </c>
      <c r="Y18" s="27">
        <v>-1.141247048700001</v>
      </c>
      <c r="Z18" s="27">
        <v>2.112846333319762E-4</v>
      </c>
      <c r="AA18" s="27">
        <v>-1.427275556816668</v>
      </c>
      <c r="AB18" s="27">
        <v>3.1412608333214459E-4</v>
      </c>
      <c r="AC18" s="27">
        <v>-2.2103327316000012</v>
      </c>
      <c r="AD18" s="27">
        <v>-1.652428731600001</v>
      </c>
      <c r="AE18" s="27">
        <v>-4.4503246666693919E-4</v>
      </c>
      <c r="AF18" s="27">
        <v>-1.2939826666791279E-4</v>
      </c>
      <c r="AG18" s="27">
        <v>-1.846917398266668</v>
      </c>
      <c r="AH18" s="27">
        <v>2.9063419999886259E-4</v>
      </c>
      <c r="AI18" s="27">
        <v>-3.7638203333401071E-4</v>
      </c>
      <c r="AJ18" s="27">
        <v>-3.1952435000059948E-4</v>
      </c>
      <c r="AK18" s="27">
        <v>4.4763419999893639E-4</v>
      </c>
      <c r="AL18" s="27">
        <v>-2.9040725000195611E-4</v>
      </c>
      <c r="AM18" s="27">
        <v>2.9045941666483438E-4</v>
      </c>
      <c r="AN18" s="27">
        <v>2.0079274999895699E-4</v>
      </c>
      <c r="AO18" s="27">
        <v>-0.50857504870000092</v>
      </c>
      <c r="AP18" s="27">
        <v>-2.0587391666793131E-4</v>
      </c>
      <c r="AQ18" s="27">
        <v>-2.2113293982666682</v>
      </c>
      <c r="AR18" s="27">
        <v>-1.5685867316000011</v>
      </c>
      <c r="AS18" s="27">
        <v>4.139512999989936E-4</v>
      </c>
      <c r="AT18" s="27">
        <v>2.0142316666360571E-5</v>
      </c>
      <c r="AU18" s="27">
        <v>-4.7352435000058701E-4</v>
      </c>
      <c r="AV18" s="27">
        <v>-4.4669913333394978E-4</v>
      </c>
      <c r="AW18" s="27">
        <v>-2.6387391666782278E-4</v>
      </c>
      <c r="AX18" s="27">
        <v>-1.850321398266668</v>
      </c>
      <c r="AY18" s="27">
        <v>2.7595129999907758E-4</v>
      </c>
      <c r="AZ18" s="27">
        <v>-4.0138203333395239E-4</v>
      </c>
      <c r="BA18" s="27">
        <v>-0.78265855681666818</v>
      </c>
      <c r="BB18" s="27">
        <v>-1.605875398266668</v>
      </c>
      <c r="BC18" s="27">
        <v>3.6222608333202899E-4</v>
      </c>
      <c r="BD18" s="27">
        <v>-4.7720725000122138E-4</v>
      </c>
      <c r="BE18" s="27">
        <v>-1.8789582234833351</v>
      </c>
      <c r="BF18" s="27">
        <v>-1.2352435000062559E-4</v>
      </c>
      <c r="BG18" s="27">
        <v>4.9597564999942501E-4</v>
      </c>
      <c r="BH18" s="27">
        <v>-2.0954747316000009</v>
      </c>
      <c r="BI18" s="27">
        <v>-3.3104870000122411E-4</v>
      </c>
      <c r="BJ18" s="27">
        <v>-3.3536580000104182E-4</v>
      </c>
      <c r="BK18" s="27">
        <v>-1.6703246666704971E-4</v>
      </c>
      <c r="BL18" s="27">
        <v>-1.0010307316000009</v>
      </c>
      <c r="BM18" s="27">
        <v>-0.82159606493333515</v>
      </c>
      <c r="BN18" s="27">
        <v>-0.41156539826666799</v>
      </c>
      <c r="BO18" s="27">
        <v>-7.6032466667097509E-5</v>
      </c>
      <c r="BP18" s="27">
        <v>3.8612608333199461E-4</v>
      </c>
      <c r="BQ18" s="27">
        <v>3.3912608333208638E-4</v>
      </c>
      <c r="BR18" s="27">
        <v>-1.916344223483335</v>
      </c>
      <c r="BS18" s="27">
        <v>-1.9813861982666681</v>
      </c>
      <c r="BT18" s="27">
        <v>1.2730086666601359E-4</v>
      </c>
      <c r="BU18" s="27">
        <v>-8.2349566667083707E-5</v>
      </c>
      <c r="BV18" s="27">
        <v>-1.289938064933335</v>
      </c>
      <c r="BW18" s="27">
        <v>-1.5512882234833349</v>
      </c>
      <c r="BX18" s="27">
        <v>-0.73067573160000099</v>
      </c>
      <c r="BY18" s="27">
        <v>-3.9048700001043102E-5</v>
      </c>
      <c r="BZ18" s="27">
        <v>-4.2234956666697959E-4</v>
      </c>
      <c r="CA18" s="27">
        <v>-1.1772470487000011</v>
      </c>
      <c r="CB18" s="27">
        <v>-0.57564057591233886</v>
      </c>
      <c r="CC18" s="33">
        <v>-44.324324345250091</v>
      </c>
    </row>
    <row r="19" spans="1:81" x14ac:dyDescent="0.25">
      <c r="A19" s="23">
        <v>18</v>
      </c>
      <c r="B19" s="25">
        <v>8.5</v>
      </c>
      <c r="C19" s="27">
        <v>-1.4137242669333301</v>
      </c>
      <c r="D19" s="27">
        <v>-2.2935509336000002</v>
      </c>
      <c r="E19" s="27">
        <v>-3.2546679999989608E-4</v>
      </c>
      <c r="F19" s="27">
        <v>-1.8103849336</v>
      </c>
      <c r="G19" s="27">
        <v>-1.8040542002</v>
      </c>
      <c r="H19" s="27">
        <v>4.1286653333316709E-4</v>
      </c>
      <c r="I19" s="27">
        <v>4.0049983332993139E-4</v>
      </c>
      <c r="J19" s="27">
        <v>4.678331666669866E-4</v>
      </c>
      <c r="K19" s="27">
        <v>1.8453320000011431E-4</v>
      </c>
      <c r="L19" s="27">
        <v>1.8053320000011031E-4</v>
      </c>
      <c r="M19" s="27">
        <v>-1.5614882001999999</v>
      </c>
      <c r="N19" s="27">
        <v>2.7453320000003778E-4</v>
      </c>
      <c r="O19" s="27">
        <v>-1.1752690669333301</v>
      </c>
      <c r="P19" s="27">
        <v>1.6183316666684711E-4</v>
      </c>
      <c r="Q19" s="27">
        <v>-0.36840683350000009</v>
      </c>
      <c r="R19" s="27">
        <v>-1.581668333300798E-4</v>
      </c>
      <c r="S19" s="27">
        <v>-1.16839226693333</v>
      </c>
      <c r="T19" s="27">
        <v>-2.3867476002666672</v>
      </c>
      <c r="U19" s="27">
        <v>-2.1425335669000001</v>
      </c>
      <c r="V19" s="27">
        <v>1.2119986666708769E-4</v>
      </c>
      <c r="W19" s="27">
        <v>-2.1291079335999998</v>
      </c>
      <c r="X19" s="27">
        <v>1.3183316666709471E-4</v>
      </c>
      <c r="Y19" s="27">
        <v>-1.727944866866667</v>
      </c>
      <c r="Z19" s="27">
        <v>-2.150820019999999E-2</v>
      </c>
      <c r="AA19" s="27">
        <v>-2.0780015668999998</v>
      </c>
      <c r="AB19" s="27">
        <v>-4.683349999989872E-5</v>
      </c>
      <c r="AC19" s="27">
        <v>-2.1856409335999998</v>
      </c>
      <c r="AD19" s="27">
        <v>-2.4405622669333331</v>
      </c>
      <c r="AE19" s="27">
        <v>-2.8846680000005342E-4</v>
      </c>
      <c r="AF19" s="27">
        <v>-2.1436509336</v>
      </c>
      <c r="AG19" s="27">
        <v>-2.3357709336000001</v>
      </c>
      <c r="AH19" s="27">
        <v>2.5786653333303988E-4</v>
      </c>
      <c r="AI19" s="27">
        <v>-1.1542828668666669</v>
      </c>
      <c r="AJ19" s="27">
        <v>-3.6743343333001111E-4</v>
      </c>
      <c r="AK19" s="27">
        <v>-3.4280013333287668E-4</v>
      </c>
      <c r="AL19" s="27">
        <v>2.9183316666989151E-4</v>
      </c>
      <c r="AM19" s="27">
        <v>-0.2166335001666668</v>
      </c>
      <c r="AN19" s="27">
        <v>4.1449983333308182E-4</v>
      </c>
      <c r="AO19" s="27">
        <v>-1.8286522002000001</v>
      </c>
      <c r="AP19" s="27">
        <v>-0.39940683349999978</v>
      </c>
      <c r="AQ19" s="27">
        <v>-2.392023600266667</v>
      </c>
      <c r="AR19" s="27">
        <v>4.5906640000004112E-4</v>
      </c>
      <c r="AS19" s="27">
        <v>-0.85348820019999994</v>
      </c>
      <c r="AT19" s="27">
        <v>-5.7100099999929377E-5</v>
      </c>
      <c r="AU19" s="27">
        <v>-8.1000999998526169E-6</v>
      </c>
      <c r="AV19" s="27">
        <v>5.7199866666968191E-5</v>
      </c>
      <c r="AW19" s="27">
        <v>4.7983316666688758E-4</v>
      </c>
      <c r="AX19" s="27">
        <v>-2.5066509336</v>
      </c>
      <c r="AY19" s="27">
        <v>3.6513313333008668E-4</v>
      </c>
      <c r="AZ19" s="27">
        <v>-0.74311820019999986</v>
      </c>
      <c r="BA19" s="27">
        <v>-2.0535522335666672</v>
      </c>
      <c r="BB19" s="27">
        <v>-1.3669212669333299</v>
      </c>
      <c r="BC19" s="27">
        <v>-0.77625323350000008</v>
      </c>
      <c r="BD19" s="27">
        <v>-2.4983350000007398E-4</v>
      </c>
      <c r="BE19" s="27">
        <v>-1.9306919002333329</v>
      </c>
      <c r="BF19" s="27">
        <v>-4.1343343333288818E-4</v>
      </c>
      <c r="BG19" s="27">
        <v>4.052332333330938E-4</v>
      </c>
      <c r="BH19" s="27">
        <v>-2.465937600266666</v>
      </c>
      <c r="BI19" s="27">
        <v>-1.212754866866667</v>
      </c>
      <c r="BJ19" s="27">
        <v>-3.2546680000011818E-4</v>
      </c>
      <c r="BK19" s="27">
        <v>2.458665333331389E-4</v>
      </c>
      <c r="BL19" s="27">
        <v>-2.454601600266666</v>
      </c>
      <c r="BM19" s="27">
        <v>-2.4796509335999999</v>
      </c>
      <c r="BN19" s="27">
        <v>-2.201717600266667</v>
      </c>
      <c r="BO19" s="27">
        <v>-3.2546679999989608E-4</v>
      </c>
      <c r="BP19" s="27">
        <v>-1.067793500166667</v>
      </c>
      <c r="BQ19" s="27">
        <v>-1.168335000001353E-4</v>
      </c>
      <c r="BR19" s="27">
        <v>-1.627894433566667</v>
      </c>
      <c r="BS19" s="27">
        <v>-2.4422256002666671</v>
      </c>
      <c r="BT19" s="27">
        <v>3.4386653333307038E-4</v>
      </c>
      <c r="BU19" s="27">
        <v>-4.3273339999994048E-4</v>
      </c>
      <c r="BV19" s="27">
        <v>-2.2680502669333329</v>
      </c>
      <c r="BW19" s="27">
        <v>-2.1635695669000001</v>
      </c>
      <c r="BX19" s="27">
        <v>-2.1731709335999998</v>
      </c>
      <c r="BY19" s="27">
        <v>-0.1188615335333332</v>
      </c>
      <c r="BZ19" s="27">
        <v>4.9726660000004586E-4</v>
      </c>
      <c r="CA19" s="27">
        <v>-1.8544882002</v>
      </c>
      <c r="CB19" s="27">
        <v>-0.9342394274653677</v>
      </c>
      <c r="CC19" s="33">
        <v>-71.936435914833311</v>
      </c>
    </row>
    <row r="20" spans="1:81" x14ac:dyDescent="0.25">
      <c r="A20" s="23">
        <v>19</v>
      </c>
      <c r="B20" s="25">
        <v>9</v>
      </c>
      <c r="C20" s="27">
        <v>-2.388895362666668</v>
      </c>
      <c r="D20" s="27">
        <v>-2.4985766960000011</v>
      </c>
      <c r="E20" s="27">
        <v>-0.71606768133333409</v>
      </c>
      <c r="F20" s="27">
        <v>-2.486674696000001</v>
      </c>
      <c r="G20" s="27">
        <v>-2.0214315220000012</v>
      </c>
      <c r="H20" s="27">
        <v>-1.5934799999994809E-4</v>
      </c>
      <c r="I20" s="27">
        <v>-1.689350000009249E-4</v>
      </c>
      <c r="J20" s="27">
        <v>-1.086491268333335</v>
      </c>
      <c r="K20" s="27">
        <v>2.2231866666588829E-4</v>
      </c>
      <c r="L20" s="27">
        <v>-5.5014666667130292E-5</v>
      </c>
      <c r="M20" s="27">
        <v>-2.0304315220000011</v>
      </c>
      <c r="N20" s="27">
        <v>-2.8768133333501028E-4</v>
      </c>
      <c r="O20" s="27">
        <v>-1.965642029333335</v>
      </c>
      <c r="P20" s="27">
        <v>-0.70502226833333514</v>
      </c>
      <c r="Q20" s="27">
        <v>-1.359740868333335</v>
      </c>
      <c r="R20" s="27">
        <v>-0.31315926833333507</v>
      </c>
      <c r="S20" s="27">
        <v>-2.2139480293333338</v>
      </c>
      <c r="T20" s="27">
        <v>-2.5260590293333349</v>
      </c>
      <c r="U20" s="27">
        <v>-2.2403414423333352</v>
      </c>
      <c r="V20" s="27">
        <v>-4.8768133333412442E-4</v>
      </c>
      <c r="W20" s="27">
        <v>-2.3937196960000011</v>
      </c>
      <c r="X20" s="27">
        <v>-0.83917760166666799</v>
      </c>
      <c r="Y20" s="27">
        <v>-1.9921700553333339</v>
      </c>
      <c r="Z20" s="27">
        <v>-1.6858148553333341</v>
      </c>
      <c r="AA20" s="27">
        <v>-2.3645034423333349</v>
      </c>
      <c r="AB20" s="27">
        <v>3.260649999989873E-4</v>
      </c>
      <c r="AC20" s="27">
        <v>-1.516878695999998</v>
      </c>
      <c r="AD20" s="27">
        <v>-2.6838020293333349</v>
      </c>
      <c r="AE20" s="27">
        <v>1.7651999999923621E-5</v>
      </c>
      <c r="AF20" s="27">
        <v>-2.7145753626666682</v>
      </c>
      <c r="AG20" s="27">
        <v>-2.220357696000002</v>
      </c>
      <c r="AH20" s="27">
        <v>-4.0348000001300122E-5</v>
      </c>
      <c r="AI20" s="27">
        <v>-1.8941328553333341</v>
      </c>
      <c r="AJ20" s="27">
        <v>-4.1909433332976143E-4</v>
      </c>
      <c r="AK20" s="27">
        <v>4.2431866666604873E-4</v>
      </c>
      <c r="AL20" s="27">
        <v>3.713983333319959E-4</v>
      </c>
      <c r="AM20" s="27">
        <v>-1.359143268333334</v>
      </c>
      <c r="AN20" s="27">
        <v>3.1639833333207967E-4</v>
      </c>
      <c r="AO20" s="27">
        <v>-2.0294315220000012</v>
      </c>
      <c r="AP20" s="27">
        <v>-1.5786672683333349</v>
      </c>
      <c r="AQ20" s="27">
        <v>-2.681553496000002</v>
      </c>
      <c r="AR20" s="27">
        <v>2.0463733333186959E-4</v>
      </c>
      <c r="AS20" s="27">
        <v>-1.9039715220000011</v>
      </c>
      <c r="AT20" s="27">
        <v>3.0190566666699059E-4</v>
      </c>
      <c r="AU20" s="27">
        <v>-2.3842766666659629E-4</v>
      </c>
      <c r="AV20" s="27">
        <v>-1.2968133333401971E-4</v>
      </c>
      <c r="AW20" s="27">
        <v>-0.84597793500000107</v>
      </c>
      <c r="AX20" s="27">
        <v>-2.5996353626666679</v>
      </c>
      <c r="AY20" s="27">
        <v>2.7381133332912699E-4</v>
      </c>
      <c r="AZ20" s="27">
        <v>-1.840733188666668</v>
      </c>
      <c r="BA20" s="27">
        <v>-2.268664775666668</v>
      </c>
      <c r="BB20" s="27">
        <v>-2.433257362666668</v>
      </c>
      <c r="BC20" s="27">
        <v>-1.503499601666668</v>
      </c>
      <c r="BD20" s="27">
        <v>-1.087073301666668</v>
      </c>
      <c r="BE20" s="27">
        <v>-2.215749442333335</v>
      </c>
      <c r="BF20" s="27">
        <v>1.2357233333337711E-4</v>
      </c>
      <c r="BG20" s="27">
        <v>4.0090566666702021E-4</v>
      </c>
      <c r="BH20" s="27">
        <v>-2.5813420293333351</v>
      </c>
      <c r="BI20" s="27">
        <v>-1.769361522000001</v>
      </c>
      <c r="BJ20" s="27">
        <v>-4.8681333334021908E-5</v>
      </c>
      <c r="BK20" s="27">
        <v>2.698533333300723E-5</v>
      </c>
      <c r="BL20" s="27">
        <v>-2.1883980293333338</v>
      </c>
      <c r="BM20" s="27">
        <v>-2.5449620293333339</v>
      </c>
      <c r="BN20" s="27">
        <v>-2.5121730293333351</v>
      </c>
      <c r="BO20" s="27">
        <v>-0.1248223480000008</v>
      </c>
      <c r="BP20" s="27">
        <v>-1.680359601666668</v>
      </c>
      <c r="BQ20" s="27">
        <v>-1.1600942683333351</v>
      </c>
      <c r="BR20" s="27">
        <v>-1.619400642333334</v>
      </c>
      <c r="BS20" s="27">
        <v>-2.7185753626666682</v>
      </c>
      <c r="BT20" s="27">
        <v>3.2661866666616751E-4</v>
      </c>
      <c r="BU20" s="27">
        <v>-1.4384066666695011E-4</v>
      </c>
      <c r="BV20" s="27">
        <v>-2.058492696000001</v>
      </c>
      <c r="BW20" s="27">
        <v>-2.2547881090000019</v>
      </c>
      <c r="BX20" s="27">
        <v>-2.6203493626666678</v>
      </c>
      <c r="BY20" s="27">
        <v>-1.809531522000001</v>
      </c>
      <c r="BZ20" s="27">
        <v>-1.205073333339635E-4</v>
      </c>
      <c r="CA20" s="27">
        <v>-1.7390698553333339</v>
      </c>
      <c r="CB20" s="27">
        <v>-1.2803331828787889</v>
      </c>
      <c r="CC20" s="33">
        <v>-98.585655081666758</v>
      </c>
    </row>
    <row r="21" spans="1:81" x14ac:dyDescent="0.25">
      <c r="A21" s="23">
        <v>20</v>
      </c>
      <c r="B21" s="25">
        <v>9.5</v>
      </c>
      <c r="C21" s="27">
        <v>-2.6550327394666651</v>
      </c>
      <c r="D21" s="27">
        <v>-2.7127734061333322</v>
      </c>
      <c r="E21" s="27">
        <v>-1.4331917030666661</v>
      </c>
      <c r="F21" s="27">
        <v>-2.6476717394666651</v>
      </c>
      <c r="G21" s="27">
        <v>-2.1697875545999992</v>
      </c>
      <c r="H21" s="27">
        <v>2.2296933334109429E-5</v>
      </c>
      <c r="I21" s="27">
        <v>4.1470449999786441E-4</v>
      </c>
      <c r="J21" s="27">
        <v>-1.1456826288333319</v>
      </c>
      <c r="K21" s="27">
        <v>3.1829693333418341E-4</v>
      </c>
      <c r="L21" s="27">
        <v>-9.1413369733332805E-2</v>
      </c>
      <c r="M21" s="27">
        <v>-2.1787875545999991</v>
      </c>
      <c r="N21" s="27">
        <v>-3.9936973333287717E-4</v>
      </c>
      <c r="O21" s="27">
        <v>-1.675096739466662</v>
      </c>
      <c r="P21" s="27">
        <v>-1.6333836288333321</v>
      </c>
      <c r="Q21" s="27">
        <v>-1.388864962166666</v>
      </c>
      <c r="R21" s="27">
        <v>-1.4572896288333319</v>
      </c>
      <c r="S21" s="27">
        <v>-2.7795687394666651</v>
      </c>
      <c r="T21" s="27">
        <v>-2.8417780727999991</v>
      </c>
      <c r="U21" s="27">
        <v>-2.5485854803666652</v>
      </c>
      <c r="V21" s="27">
        <v>2.429693333402122E-5</v>
      </c>
      <c r="W21" s="27">
        <v>-2.0150557061333312</v>
      </c>
      <c r="X21" s="27">
        <v>-1.5945362954999991</v>
      </c>
      <c r="Y21" s="27">
        <v>-2.1330980879333321</v>
      </c>
      <c r="Z21" s="27">
        <v>-1.4730408879333321</v>
      </c>
      <c r="AA21" s="27">
        <v>-2.5375854803666651</v>
      </c>
      <c r="AB21" s="27">
        <v>-1.4147992954999991</v>
      </c>
      <c r="AC21" s="27">
        <v>-2.6732447394666652</v>
      </c>
      <c r="AD21" s="27">
        <v>-2.7101674061333321</v>
      </c>
      <c r="AE21" s="27">
        <v>-3.2570306666590548E-4</v>
      </c>
      <c r="AF21" s="27">
        <v>-2.912383406133332</v>
      </c>
      <c r="AG21" s="27">
        <v>-2.558552406133332</v>
      </c>
      <c r="AH21" s="27">
        <v>-1.137030666658045E-4</v>
      </c>
      <c r="AI21" s="27">
        <v>-2.1482868879333319</v>
      </c>
      <c r="AJ21" s="27">
        <v>-2.8177729999896711E-4</v>
      </c>
      <c r="AK21" s="27">
        <v>4.5896360000410858E-4</v>
      </c>
      <c r="AL21" s="27">
        <v>-0.26994596216666511</v>
      </c>
      <c r="AM21" s="27">
        <v>-0.44578096216666202</v>
      </c>
      <c r="AN21" s="27">
        <v>-1.002989628833332</v>
      </c>
      <c r="AO21" s="27">
        <v>-2.1777875545999992</v>
      </c>
      <c r="AP21" s="27">
        <v>-1.665949628833332</v>
      </c>
      <c r="AQ21" s="27">
        <v>-2.832421606133332</v>
      </c>
      <c r="AR21" s="27">
        <v>-2.5783834061333319</v>
      </c>
      <c r="AS21" s="27">
        <v>-2.1827875545999991</v>
      </c>
      <c r="AT21" s="27">
        <v>-3.937772999991207E-4</v>
      </c>
      <c r="AU21" s="27">
        <v>-2.2377729999911719E-4</v>
      </c>
      <c r="AV21" s="27">
        <v>-0.75443970306666586</v>
      </c>
      <c r="AW21" s="27">
        <v>-1.6266979621666651</v>
      </c>
      <c r="AX21" s="27">
        <v>-2.9313834061333321</v>
      </c>
      <c r="AY21" s="27">
        <v>-7.6887933328939617E-5</v>
      </c>
      <c r="AZ21" s="27">
        <v>-2.107832554599999</v>
      </c>
      <c r="BA21" s="27">
        <v>-2.4714844803666649</v>
      </c>
      <c r="BB21" s="27">
        <v>-2.6699564061333318</v>
      </c>
      <c r="BC21" s="27">
        <v>-1.5325646288333321</v>
      </c>
      <c r="BD21" s="27">
        <v>-1.634861195499999</v>
      </c>
      <c r="BE21" s="27">
        <v>-2.4527034803666652</v>
      </c>
      <c r="BF21" s="27">
        <v>-2.1644396666598009E-4</v>
      </c>
      <c r="BG21" s="27">
        <v>2.982227000010162E-4</v>
      </c>
      <c r="BH21" s="27">
        <v>-2.8415927394666651</v>
      </c>
      <c r="BI21" s="27">
        <v>-1.300177221266666</v>
      </c>
      <c r="BJ21" s="27">
        <v>3.9596360000396241E-4</v>
      </c>
      <c r="BK21" s="27">
        <v>-0.65121570306666587</v>
      </c>
      <c r="BL21" s="27">
        <v>-2.8735600727999979</v>
      </c>
      <c r="BM21" s="27">
        <v>-2.9093834061333319</v>
      </c>
      <c r="BN21" s="27">
        <v>-2.8785700727999979</v>
      </c>
      <c r="BO21" s="27">
        <v>-0.54382803639999888</v>
      </c>
      <c r="BP21" s="27">
        <v>-1.670194962166665</v>
      </c>
      <c r="BQ21" s="27">
        <v>-1.8141861288333321</v>
      </c>
      <c r="BR21" s="27">
        <v>-2.4968052803666652</v>
      </c>
      <c r="BS21" s="27">
        <v>-2.7544854061333321</v>
      </c>
      <c r="BT21" s="27">
        <v>2.0829693333390689E-4</v>
      </c>
      <c r="BU21" s="27">
        <v>4.8914846666714418E-4</v>
      </c>
      <c r="BV21" s="27">
        <v>-2.265219072799999</v>
      </c>
      <c r="BW21" s="27">
        <v>-2.5395854803666649</v>
      </c>
      <c r="BX21" s="27">
        <v>-2.833730072799999</v>
      </c>
      <c r="BY21" s="27">
        <v>-1.929154887933332</v>
      </c>
      <c r="BZ21" s="27">
        <v>4.0414846666714238E-4</v>
      </c>
      <c r="CA21" s="27">
        <v>-1.824869621266666</v>
      </c>
      <c r="CB21" s="27">
        <v>-1.54536602510173</v>
      </c>
      <c r="CC21" s="33">
        <v>-118.9931839328332</v>
      </c>
    </row>
    <row r="22" spans="1:81" x14ac:dyDescent="0.25">
      <c r="A22" s="23">
        <v>21</v>
      </c>
      <c r="B22" s="25">
        <v>10</v>
      </c>
      <c r="C22" s="27">
        <v>-2.7080849430666678</v>
      </c>
      <c r="D22" s="27">
        <v>-2.7133076097333348</v>
      </c>
      <c r="E22" s="27">
        <v>-1.436784471533334</v>
      </c>
      <c r="F22" s="27">
        <v>-2.8735226097333348</v>
      </c>
      <c r="G22" s="27">
        <v>-2.1444410406333341</v>
      </c>
      <c r="H22" s="27">
        <v>-0.39532980486666691</v>
      </c>
      <c r="I22" s="27">
        <v>-0.65950558941666704</v>
      </c>
      <c r="J22" s="27">
        <v>-1.039499256083334</v>
      </c>
      <c r="K22" s="27">
        <v>-0.8424944715333339</v>
      </c>
      <c r="L22" s="27">
        <v>-1.064515471533334</v>
      </c>
      <c r="M22" s="27">
        <v>-2.3050067073000009</v>
      </c>
      <c r="N22" s="27">
        <v>7.0528466665997769E-5</v>
      </c>
      <c r="O22" s="27">
        <v>-2.9489689430666681</v>
      </c>
      <c r="P22" s="27">
        <v>-1.809670256083334</v>
      </c>
      <c r="Q22" s="27">
        <v>-1.3015722560833329</v>
      </c>
      <c r="R22" s="27">
        <v>-1.781464256083334</v>
      </c>
      <c r="S22" s="27">
        <v>-2.9602829430666682</v>
      </c>
      <c r="T22" s="27">
        <v>-2.3043772764000008</v>
      </c>
      <c r="U22" s="27">
        <v>-2.5878728251833341</v>
      </c>
      <c r="V22" s="27">
        <v>4.4561799996040152E-5</v>
      </c>
      <c r="W22" s="27">
        <v>-2.892000243066668</v>
      </c>
      <c r="X22" s="27">
        <v>-1.777655589416667</v>
      </c>
      <c r="Y22" s="27">
        <v>-2.2759071739666679</v>
      </c>
      <c r="Z22" s="27">
        <v>-1.8604650406333341</v>
      </c>
      <c r="AA22" s="27">
        <v>-2.5396178251833339</v>
      </c>
      <c r="AB22" s="27">
        <v>-1.64788392275</v>
      </c>
      <c r="AC22" s="27">
        <v>-2.8884009430666682</v>
      </c>
      <c r="AD22" s="27">
        <v>-3.0850089430666681</v>
      </c>
      <c r="AE22" s="27">
        <v>-4.9513820000068876E-4</v>
      </c>
      <c r="AF22" s="27">
        <v>-3.086008943066668</v>
      </c>
      <c r="AG22" s="27">
        <v>-1.8345679430666679</v>
      </c>
      <c r="AH22" s="27">
        <v>-0.81519447153333402</v>
      </c>
      <c r="AI22" s="27">
        <v>-2.2875422406333339</v>
      </c>
      <c r="AJ22" s="27">
        <v>7.4313016667049148E-5</v>
      </c>
      <c r="AK22" s="27">
        <v>-4.0680486666699878E-4</v>
      </c>
      <c r="AL22" s="27">
        <v>-1.5883455894166669</v>
      </c>
      <c r="AM22" s="27">
        <v>-1.539569589416667</v>
      </c>
      <c r="AN22" s="27">
        <v>-1.7310522560833339</v>
      </c>
      <c r="AO22" s="27">
        <v>-2.308006707300001</v>
      </c>
      <c r="AP22" s="27">
        <v>-1.774465589416667</v>
      </c>
      <c r="AQ22" s="27">
        <v>-2.752705409733335</v>
      </c>
      <c r="AR22" s="27">
        <v>-2.9127689430666681</v>
      </c>
      <c r="AS22" s="27">
        <v>-2.3130067073000009</v>
      </c>
      <c r="AT22" s="27">
        <v>-8.4798686983332927E-2</v>
      </c>
      <c r="AU22" s="27">
        <v>4.2664635000000389E-4</v>
      </c>
      <c r="AV22" s="27">
        <v>-0.52980313820000391</v>
      </c>
      <c r="AW22" s="27">
        <v>-0.34906692274999701</v>
      </c>
      <c r="AX22" s="27">
        <v>-3.0373382764000012</v>
      </c>
      <c r="AY22" s="27">
        <v>-4.8004063333129121E-4</v>
      </c>
      <c r="AZ22" s="27">
        <v>-2.0315647073000012</v>
      </c>
      <c r="BA22" s="27">
        <v>-2.3181221585166671</v>
      </c>
      <c r="BB22" s="27">
        <v>-2.6330712764000008</v>
      </c>
      <c r="BC22" s="27">
        <v>-1.8987939227499999</v>
      </c>
      <c r="BD22" s="27">
        <v>-1.8985215894166669</v>
      </c>
      <c r="BE22" s="27">
        <v>-2.493089825183334</v>
      </c>
      <c r="BF22" s="27">
        <v>-2.1935364999980939E-4</v>
      </c>
      <c r="BG22" s="27">
        <v>-2.1468698333304559E-4</v>
      </c>
      <c r="BH22" s="27">
        <v>-3.0091382764000012</v>
      </c>
      <c r="BI22" s="27">
        <v>-2.291777373966668</v>
      </c>
      <c r="BJ22" s="27">
        <v>-3.2780486666394992E-4</v>
      </c>
      <c r="BK22" s="27">
        <v>-1.3779344715333339</v>
      </c>
      <c r="BL22" s="27">
        <v>-3.0106232764000009</v>
      </c>
      <c r="BM22" s="27">
        <v>-3.0830089430666678</v>
      </c>
      <c r="BN22" s="27">
        <v>-3.0304329430666681</v>
      </c>
      <c r="BO22" s="27">
        <v>-1.449804471533334</v>
      </c>
      <c r="BP22" s="27">
        <v>-0.58276558941666701</v>
      </c>
      <c r="BQ22" s="27">
        <v>-1.6675924227500001</v>
      </c>
      <c r="BR22" s="27">
        <v>-2.6696427585166669</v>
      </c>
      <c r="BS22" s="27">
        <v>-3.090008943066668</v>
      </c>
      <c r="BT22" s="27">
        <v>-0.98598280486666712</v>
      </c>
      <c r="BU22" s="27">
        <v>-3.57235766667019E-4</v>
      </c>
      <c r="BV22" s="27">
        <v>-2.7143089430666678</v>
      </c>
      <c r="BW22" s="27">
        <v>-2.619690825183334</v>
      </c>
      <c r="BX22" s="27">
        <v>-2.7857506097333351</v>
      </c>
      <c r="BY22" s="27">
        <v>-2.1593447073000012</v>
      </c>
      <c r="BZ22" s="27">
        <v>-2.2357666669137188E-6</v>
      </c>
      <c r="CA22" s="27">
        <v>-2.3049175073000008</v>
      </c>
      <c r="CB22" s="27">
        <v>-1.738904641879871</v>
      </c>
      <c r="CC22" s="33">
        <v>-133.89565742475011</v>
      </c>
    </row>
    <row r="23" spans="1:81" x14ac:dyDescent="0.25">
      <c r="A23" s="23">
        <v>22</v>
      </c>
      <c r="B23" s="25">
        <v>10.5</v>
      </c>
      <c r="C23" s="27">
        <v>-2.14202945453333</v>
      </c>
      <c r="D23" s="27">
        <v>-3.0354184545333331</v>
      </c>
      <c r="E23" s="27">
        <v>-1.5132125606</v>
      </c>
      <c r="F23" s="27">
        <v>-3.0802411878666671</v>
      </c>
      <c r="G23" s="27">
        <v>-2.4002398408999999</v>
      </c>
      <c r="H23" s="27">
        <v>-1.4111438939333329</v>
      </c>
      <c r="I23" s="27">
        <v>-1.9332697007499999</v>
      </c>
      <c r="J23" s="27">
        <v>-1.4692297007499999</v>
      </c>
      <c r="K23" s="27">
        <v>-1.5866525605999999</v>
      </c>
      <c r="L23" s="27">
        <v>-1.4431068939333329</v>
      </c>
      <c r="M23" s="27">
        <v>-2.245494174233333</v>
      </c>
      <c r="N23" s="27">
        <v>-5.3220227266670077E-2</v>
      </c>
      <c r="O23" s="27">
        <v>-3.2323051212</v>
      </c>
      <c r="P23" s="27">
        <v>-1.4307740340833339</v>
      </c>
      <c r="Q23" s="27">
        <v>-0.51035470075</v>
      </c>
      <c r="R23" s="27">
        <v>-2.0070657007500001</v>
      </c>
      <c r="S23" s="27">
        <v>-3.1338384545333331</v>
      </c>
      <c r="T23" s="27">
        <v>-1.8118741212</v>
      </c>
      <c r="U23" s="27">
        <v>-2.7733289810500001</v>
      </c>
      <c r="V23" s="27">
        <v>3.407727333328836E-4</v>
      </c>
      <c r="W23" s="27">
        <v>-2.6351431212</v>
      </c>
      <c r="X23" s="27">
        <v>-1.68279070075</v>
      </c>
      <c r="Y23" s="27">
        <v>-2.3619081408999998</v>
      </c>
      <c r="Z23" s="27">
        <v>-0.27601350756666992</v>
      </c>
      <c r="AA23" s="27">
        <v>-2.6812473143833331</v>
      </c>
      <c r="AB23" s="27">
        <v>-1.0709613674166669</v>
      </c>
      <c r="AC23" s="27">
        <v>-2.9780244545333332</v>
      </c>
      <c r="AD23" s="27">
        <v>-3.146428454533333</v>
      </c>
      <c r="AE23" s="27">
        <v>-1.1797025606</v>
      </c>
      <c r="AF23" s="27">
        <v>-3.2293051211999999</v>
      </c>
      <c r="AG23" s="27">
        <v>-2.9544911211999998</v>
      </c>
      <c r="AH23" s="27">
        <v>-1.473651893933333</v>
      </c>
      <c r="AI23" s="27">
        <v>-1.9931408409</v>
      </c>
      <c r="AJ23" s="27">
        <v>2.1724621666718849E-4</v>
      </c>
      <c r="AK23" s="27">
        <v>4.0443940000001183E-4</v>
      </c>
      <c r="AL23" s="27">
        <v>-1.670747367416666</v>
      </c>
      <c r="AM23" s="27">
        <v>-1.3179117007500001</v>
      </c>
      <c r="AN23" s="27">
        <v>-1.93146570075</v>
      </c>
      <c r="AO23" s="27">
        <v>-2.3349708409000001</v>
      </c>
      <c r="AP23" s="27">
        <v>-1.8640257007500001</v>
      </c>
      <c r="AQ23" s="27">
        <v>-3.2303051211999998</v>
      </c>
      <c r="AR23" s="27">
        <v>-3.0016297878666669</v>
      </c>
      <c r="AS23" s="27">
        <v>-2.3878638409000001</v>
      </c>
      <c r="AT23" s="27">
        <v>-1.19423942045</v>
      </c>
      <c r="AU23" s="27">
        <v>-0.27796308711666678</v>
      </c>
      <c r="AV23" s="27">
        <v>-1.228905227266667</v>
      </c>
      <c r="AW23" s="27">
        <v>-1.87974570075</v>
      </c>
      <c r="AX23" s="27">
        <v>-3.1678691211999999</v>
      </c>
      <c r="AY23" s="27">
        <v>3.3215910000003462E-4</v>
      </c>
      <c r="AZ23" s="27">
        <v>-2.2443779409000002</v>
      </c>
      <c r="BA23" s="27">
        <v>-0.98879858104999996</v>
      </c>
      <c r="BB23" s="27">
        <v>-2.9147431211999999</v>
      </c>
      <c r="BC23" s="27">
        <v>-1.955215367416667</v>
      </c>
      <c r="BD23" s="27">
        <v>-1.8021603674166671</v>
      </c>
      <c r="BE23" s="27">
        <v>-2.6264619810499998</v>
      </c>
      <c r="BF23" s="27">
        <v>9.2579550000193578E-5</v>
      </c>
      <c r="BG23" s="27">
        <v>-7.2087116666841311E-5</v>
      </c>
      <c r="BH23" s="27">
        <v>-3.1021551212</v>
      </c>
      <c r="BI23" s="27">
        <v>-2.3117215075666668</v>
      </c>
      <c r="BJ23" s="27">
        <v>2.7077273332976048E-4</v>
      </c>
      <c r="BK23" s="27">
        <v>-1.501437227266667</v>
      </c>
      <c r="BL23" s="27">
        <v>-2.8982097878666671</v>
      </c>
      <c r="BM23" s="27">
        <v>-3.1202784545333331</v>
      </c>
      <c r="BN23" s="27">
        <v>-3.1527451212000002</v>
      </c>
      <c r="BO23" s="27">
        <v>-1.4277958939333331</v>
      </c>
      <c r="BP23" s="27">
        <v>-1.8307463674166671</v>
      </c>
      <c r="BQ23" s="27">
        <v>-1.95764620075</v>
      </c>
      <c r="BR23" s="27">
        <v>-2.7645919810500001</v>
      </c>
      <c r="BS23" s="27">
        <v>-3.1702037878666669</v>
      </c>
      <c r="BT23" s="27">
        <v>-1.438648227266667</v>
      </c>
      <c r="BU23" s="27">
        <v>1.7371970000001899E-4</v>
      </c>
      <c r="BV23" s="27">
        <v>-3.0591317878666668</v>
      </c>
      <c r="BW23" s="27">
        <v>-2.776993647716667</v>
      </c>
      <c r="BX23" s="27">
        <v>-3.2313051212000001</v>
      </c>
      <c r="BY23" s="27">
        <v>-2.2692828408999999</v>
      </c>
      <c r="BZ23" s="27">
        <v>1.7371970000001899E-4</v>
      </c>
      <c r="CA23" s="27">
        <v>-2.4144788409000002</v>
      </c>
      <c r="CB23" s="27">
        <v>-1.887278531602814</v>
      </c>
      <c r="CC23" s="33">
        <v>-145.32044693341669</v>
      </c>
    </row>
    <row r="24" spans="1:81" x14ac:dyDescent="0.25">
      <c r="A24" s="23">
        <v>23</v>
      </c>
      <c r="B24" s="25">
        <v>11</v>
      </c>
      <c r="C24" s="27">
        <v>-2.9365429246666679</v>
      </c>
      <c r="D24" s="27">
        <v>-3.1771159246666678</v>
      </c>
      <c r="E24" s="27">
        <v>-1.559268962333334</v>
      </c>
      <c r="F24" s="27">
        <v>-3.2648519246666678</v>
      </c>
      <c r="G24" s="27">
        <v>-2.4837334435000011</v>
      </c>
      <c r="H24" s="27">
        <v>-1.119412295666667</v>
      </c>
      <c r="I24" s="27">
        <v>-1.3380052029166669</v>
      </c>
      <c r="J24" s="27">
        <v>-0.71359120291666689</v>
      </c>
      <c r="K24" s="27">
        <v>-1.637488962333334</v>
      </c>
      <c r="L24" s="27">
        <v>-1.370578962333334</v>
      </c>
      <c r="M24" s="27">
        <v>-1.7804851101666681</v>
      </c>
      <c r="N24" s="27">
        <v>-0.65107262900000396</v>
      </c>
      <c r="O24" s="27">
        <v>-3.1783779246666679</v>
      </c>
      <c r="P24" s="27">
        <v>-1.894031869583334</v>
      </c>
      <c r="Q24" s="27">
        <v>-1.64898453625</v>
      </c>
      <c r="R24" s="27">
        <v>-1.9041005362500001</v>
      </c>
      <c r="S24" s="27">
        <v>-2.9898389246666679</v>
      </c>
      <c r="T24" s="27">
        <v>-1.6870452579999979</v>
      </c>
      <c r="U24" s="27">
        <v>-2.8547836840833338</v>
      </c>
      <c r="V24" s="27">
        <v>2.117043333329516E-4</v>
      </c>
      <c r="W24" s="27">
        <v>-1.9729445913333381</v>
      </c>
      <c r="X24" s="27">
        <v>-1.8657738695833339</v>
      </c>
      <c r="Y24" s="27">
        <v>-2.4523277101666681</v>
      </c>
      <c r="Z24" s="27">
        <v>2.9988983332916719E-4</v>
      </c>
      <c r="AA24" s="27">
        <v>-2.9038556840833341</v>
      </c>
      <c r="AB24" s="27">
        <v>-1.1901772029166671</v>
      </c>
      <c r="AC24" s="27">
        <v>-3.1255119246666681</v>
      </c>
      <c r="AD24" s="27">
        <v>-3.2144832580000009</v>
      </c>
      <c r="AE24" s="27">
        <v>-1.3932222956666671</v>
      </c>
      <c r="AF24" s="27">
        <v>-3.330977924666668</v>
      </c>
      <c r="AG24" s="27">
        <v>-2.8672635913333351</v>
      </c>
      <c r="AH24" s="27">
        <v>-1.6205289623333341</v>
      </c>
      <c r="AI24" s="27">
        <v>-2.4570667768333339</v>
      </c>
      <c r="AJ24" s="27">
        <v>4.2061158333295268E-4</v>
      </c>
      <c r="AK24" s="27">
        <v>-0.49402829566666712</v>
      </c>
      <c r="AL24" s="27">
        <v>-1.130388869583334</v>
      </c>
      <c r="AM24" s="27">
        <v>-1.462164869583334</v>
      </c>
      <c r="AN24" s="27">
        <v>-1.9303578695833341</v>
      </c>
      <c r="AO24" s="27">
        <v>-2.4917334435000011</v>
      </c>
      <c r="AP24" s="27">
        <v>-1.8915712029166669</v>
      </c>
      <c r="AQ24" s="27">
        <v>-3.2841315913333351</v>
      </c>
      <c r="AR24" s="27">
        <v>-2.5805149246666672</v>
      </c>
      <c r="AS24" s="27">
        <v>-2.3844334435000012</v>
      </c>
      <c r="AT24" s="27">
        <v>-1.2323667217500001</v>
      </c>
      <c r="AU24" s="27">
        <v>-0.63609872174999993</v>
      </c>
      <c r="AV24" s="27">
        <v>-1.305943295666667</v>
      </c>
      <c r="AW24" s="27">
        <v>-1.8113945362499999</v>
      </c>
      <c r="AX24" s="27">
        <v>-3.3221179246666681</v>
      </c>
      <c r="AY24" s="27">
        <v>2.8822316666587971E-4</v>
      </c>
      <c r="AZ24" s="27">
        <v>-2.4249875101666678</v>
      </c>
      <c r="BA24" s="27">
        <v>-2.705019684083334</v>
      </c>
      <c r="BB24" s="27">
        <v>-3.045757258000001</v>
      </c>
      <c r="BC24" s="27">
        <v>-2.0726112029166668</v>
      </c>
      <c r="BD24" s="27">
        <v>-2.0796112029166669</v>
      </c>
      <c r="BE24" s="27">
        <v>-2.7154256840833342</v>
      </c>
      <c r="BF24" s="27">
        <v>-3.2055083332982459E-5</v>
      </c>
      <c r="BG24" s="27">
        <v>-3.4972175000003158E-4</v>
      </c>
      <c r="BH24" s="27">
        <v>-3.1343779246666679</v>
      </c>
      <c r="BI24" s="27">
        <v>-2.400177176833334</v>
      </c>
      <c r="BJ24" s="27">
        <v>-2.6529566666688709E-4</v>
      </c>
      <c r="BK24" s="27">
        <v>-1.4167182956666671</v>
      </c>
      <c r="BL24" s="27">
        <v>-3.322839591333334</v>
      </c>
      <c r="BM24" s="27">
        <v>-3.2673912580000009</v>
      </c>
      <c r="BN24" s="27">
        <v>-3.2776179246666679</v>
      </c>
      <c r="BO24" s="27">
        <v>-1.5901902956666669</v>
      </c>
      <c r="BP24" s="27">
        <v>-2.19869583336807E-4</v>
      </c>
      <c r="BQ24" s="27">
        <v>-1.9352782029166671</v>
      </c>
      <c r="BR24" s="27">
        <v>-2.8133653840833341</v>
      </c>
      <c r="BS24" s="27">
        <v>-3.084731524666668</v>
      </c>
      <c r="BT24" s="27">
        <v>-1.570383295666667</v>
      </c>
      <c r="BU24" s="27">
        <v>-3.7448116666694009E-4</v>
      </c>
      <c r="BV24" s="27">
        <v>-3.2444979246666681</v>
      </c>
      <c r="BW24" s="27">
        <v>-2.9058556840833338</v>
      </c>
      <c r="BX24" s="27">
        <v>-3.3018639246666681</v>
      </c>
      <c r="BY24" s="27">
        <v>-2.3131541101666682</v>
      </c>
      <c r="BZ24" s="27">
        <v>-2.4448116666697661E-4</v>
      </c>
      <c r="CA24" s="27">
        <v>-2.4907334435000008</v>
      </c>
      <c r="CB24" s="27">
        <v>-1.943552516358225</v>
      </c>
      <c r="CC24" s="33">
        <v>-149.65354375958341</v>
      </c>
    </row>
    <row r="25" spans="1:81" x14ac:dyDescent="0.25">
      <c r="A25" s="23">
        <v>24</v>
      </c>
      <c r="B25" s="25">
        <v>11.5</v>
      </c>
      <c r="C25" s="27">
        <v>-3.3525107088000001</v>
      </c>
      <c r="D25" s="27">
        <v>-2.9990110421333331</v>
      </c>
      <c r="E25" s="27">
        <v>-1.6647833543999999</v>
      </c>
      <c r="F25" s="27">
        <v>-3.213879375466667</v>
      </c>
      <c r="G25" s="27">
        <v>-2.4809800316000001</v>
      </c>
      <c r="H25" s="27">
        <v>-1.4040873544000001</v>
      </c>
      <c r="I25" s="27">
        <v>-0.41993052633333022</v>
      </c>
      <c r="J25" s="27">
        <v>-1.932568526333333</v>
      </c>
      <c r="K25" s="27">
        <v>-1.6597833544</v>
      </c>
      <c r="L25" s="27">
        <v>-1.141044687733334</v>
      </c>
      <c r="M25" s="27">
        <v>-2.0025950315999999</v>
      </c>
      <c r="N25" s="27">
        <v>-1.1176296877333329</v>
      </c>
      <c r="O25" s="27">
        <v>-3.3630067088</v>
      </c>
      <c r="P25" s="27">
        <v>-1.857617526333333</v>
      </c>
      <c r="Q25" s="27">
        <v>-2.0404912596666671</v>
      </c>
      <c r="R25" s="27">
        <v>-2.0984791930000002</v>
      </c>
      <c r="S25" s="27">
        <v>-2.1467053754666701</v>
      </c>
      <c r="T25" s="27">
        <v>-3.0996573754666659</v>
      </c>
      <c r="U25" s="27">
        <v>-2.8487448702</v>
      </c>
      <c r="V25" s="27">
        <v>-1.516860021066667</v>
      </c>
      <c r="W25" s="27">
        <v>-0.91852730879999989</v>
      </c>
      <c r="X25" s="27">
        <v>-1.8880515263333331</v>
      </c>
      <c r="Y25" s="27">
        <v>-2.4248377982666671</v>
      </c>
      <c r="Z25" s="27">
        <v>-1.726148364933334</v>
      </c>
      <c r="AA25" s="27">
        <v>-2.9428708702000002</v>
      </c>
      <c r="AB25" s="27">
        <v>-1.5849628596666661</v>
      </c>
      <c r="AC25" s="27">
        <v>-2.3510227088</v>
      </c>
      <c r="AD25" s="27">
        <v>-3.3111753754666671</v>
      </c>
      <c r="AE25" s="27">
        <v>-1.3086963544000001</v>
      </c>
      <c r="AF25" s="27">
        <v>-3.3755667088000001</v>
      </c>
      <c r="AG25" s="27">
        <v>-3.1176670421333328</v>
      </c>
      <c r="AH25" s="27">
        <v>-1.5449633544000001</v>
      </c>
      <c r="AI25" s="27">
        <v>-2.3393340316</v>
      </c>
      <c r="AJ25" s="27">
        <v>3.651508666669967E-4</v>
      </c>
      <c r="AK25" s="27">
        <v>-1.5040620210666671</v>
      </c>
      <c r="AL25" s="27">
        <v>-1.2399161929999989</v>
      </c>
      <c r="AM25" s="27">
        <v>-1.7312991929999999</v>
      </c>
      <c r="AN25" s="27">
        <v>-2.084479193</v>
      </c>
      <c r="AO25" s="27">
        <v>-2.4580850316</v>
      </c>
      <c r="AP25" s="27">
        <v>-1.9796471929999999</v>
      </c>
      <c r="AQ25" s="27">
        <v>-3.3461190421333331</v>
      </c>
      <c r="AR25" s="27">
        <v>-2.7228450421333328</v>
      </c>
      <c r="AS25" s="27">
        <v>-2.4868100316000001</v>
      </c>
      <c r="AT25" s="27">
        <v>-1.1735265157999999</v>
      </c>
      <c r="AU25" s="27">
        <v>-3.4218246667028218E-4</v>
      </c>
      <c r="AV25" s="27">
        <v>-1.5893833544</v>
      </c>
      <c r="AW25" s="27">
        <v>-1.752483193</v>
      </c>
      <c r="AX25" s="27">
        <v>-3.300153375466667</v>
      </c>
      <c r="AY25" s="27">
        <v>2.319683999998379E-4</v>
      </c>
      <c r="AZ25" s="27">
        <v>-1.3044706982666701</v>
      </c>
      <c r="BA25" s="27">
        <v>-1.8271858701999999</v>
      </c>
      <c r="BB25" s="27">
        <v>-2.739286375466667</v>
      </c>
      <c r="BC25" s="27">
        <v>-2.100479193</v>
      </c>
      <c r="BD25" s="27">
        <v>-2.103589693</v>
      </c>
      <c r="BE25" s="27">
        <v>-2.7544408701999998</v>
      </c>
      <c r="BF25" s="27">
        <v>4.1248419999995178E-4</v>
      </c>
      <c r="BG25" s="27">
        <v>1.844842000000568E-4</v>
      </c>
      <c r="BH25" s="27">
        <v>-3.2049487087999999</v>
      </c>
      <c r="BI25" s="27">
        <v>-2.1757939649333329</v>
      </c>
      <c r="BJ25" s="27">
        <v>-1.354399999931033E-6</v>
      </c>
      <c r="BK25" s="27">
        <v>-1.5926943544000001</v>
      </c>
      <c r="BL25" s="27">
        <v>-3.2513407087999999</v>
      </c>
      <c r="BM25" s="27">
        <v>-3.3725667088</v>
      </c>
      <c r="BN25" s="27">
        <v>-3.1568433754666669</v>
      </c>
      <c r="BO25" s="27">
        <v>-1.6219673543999999</v>
      </c>
      <c r="BP25" s="27">
        <v>-0.52720252633333009</v>
      </c>
      <c r="BQ25" s="27">
        <v>-1.8631411929999999</v>
      </c>
      <c r="BR25" s="27">
        <v>-2.864937536866667</v>
      </c>
      <c r="BS25" s="27">
        <v>-3.150816575466667</v>
      </c>
      <c r="BT25" s="27">
        <v>-1.626153021066667</v>
      </c>
      <c r="BU25" s="27">
        <v>-4.3534386666699287E-4</v>
      </c>
      <c r="BV25" s="27">
        <v>-3.3040000421333331</v>
      </c>
      <c r="BW25" s="27">
        <v>-2.8331555368666672</v>
      </c>
      <c r="BX25" s="27">
        <v>-3.0996307754666672</v>
      </c>
      <c r="BY25" s="27">
        <v>-2.0550796982666668</v>
      </c>
      <c r="BZ25" s="27">
        <v>-0.32339167719999989</v>
      </c>
      <c r="CA25" s="27">
        <v>-2.5241750316</v>
      </c>
      <c r="CB25" s="27">
        <v>-1.9992191685324681</v>
      </c>
      <c r="CC25" s="33">
        <v>-153.93987597700001</v>
      </c>
    </row>
    <row r="26" spans="1:81" x14ac:dyDescent="0.25">
      <c r="A26" s="23">
        <v>25</v>
      </c>
      <c r="B26" s="25">
        <v>12</v>
      </c>
      <c r="C26" s="27">
        <v>-3.1443043290666681</v>
      </c>
      <c r="D26" s="27">
        <v>-3.3522779957333348</v>
      </c>
      <c r="E26" s="27">
        <v>-1.4656036645333339</v>
      </c>
      <c r="F26" s="27">
        <v>-3.3854813290666681</v>
      </c>
      <c r="G26" s="27">
        <v>-2.4037979968000012</v>
      </c>
      <c r="H26" s="27">
        <v>-1.394386664533334</v>
      </c>
      <c r="I26" s="27">
        <v>-0.59310016399999688</v>
      </c>
      <c r="J26" s="27">
        <v>-1.933157830666667</v>
      </c>
      <c r="K26" s="27">
        <v>-1.6662406645333341</v>
      </c>
      <c r="L26" s="27">
        <v>-1.424738664533334</v>
      </c>
      <c r="M26" s="27">
        <v>-2.4211943301333338</v>
      </c>
      <c r="N26" s="27">
        <v>-1.1444796645333339</v>
      </c>
      <c r="O26" s="27">
        <v>-3.383701329066668</v>
      </c>
      <c r="P26" s="27">
        <v>-1.108895830666667</v>
      </c>
      <c r="Q26" s="27">
        <v>-1.5704421639999999</v>
      </c>
      <c r="R26" s="27">
        <v>-2.1065508306666669</v>
      </c>
      <c r="S26" s="27">
        <v>-3.2432813290666682</v>
      </c>
      <c r="T26" s="27">
        <v>-3.1322826624000011</v>
      </c>
      <c r="U26" s="27">
        <v>-2.965171162933335</v>
      </c>
      <c r="V26" s="27">
        <v>-1.533460664533334</v>
      </c>
      <c r="W26" s="27">
        <v>-2.9841843290666681</v>
      </c>
      <c r="X26" s="27">
        <v>-1.9971051639999999</v>
      </c>
      <c r="Y26" s="27">
        <v>-2.4032743301333341</v>
      </c>
      <c r="Z26" s="27">
        <v>-2.5268609968000009</v>
      </c>
      <c r="AA26" s="27">
        <v>-2.9541711629333349</v>
      </c>
      <c r="AB26" s="27">
        <v>-1.217371164</v>
      </c>
      <c r="AC26" s="27">
        <v>-3.1285773290666681</v>
      </c>
      <c r="AD26" s="27">
        <v>-3.2049419957333352</v>
      </c>
      <c r="AE26" s="27">
        <v>-1.4314583312000011</v>
      </c>
      <c r="AF26" s="27">
        <v>-3.3884813290666682</v>
      </c>
      <c r="AG26" s="27">
        <v>-3.1626946624000012</v>
      </c>
      <c r="AH26" s="27">
        <v>-1.523570931200001</v>
      </c>
      <c r="AI26" s="27">
        <v>-2.4662327968000008</v>
      </c>
      <c r="AJ26" s="27">
        <v>-3.7683173333091791E-4</v>
      </c>
      <c r="AK26" s="27">
        <v>-1.523494664533334</v>
      </c>
      <c r="AL26" s="27">
        <v>-1.8084404973333339</v>
      </c>
      <c r="AM26" s="27">
        <v>-1.7809191639999999</v>
      </c>
      <c r="AN26" s="27">
        <v>-1.8758708306666669</v>
      </c>
      <c r="AO26" s="27">
        <v>-2.5214429968000012</v>
      </c>
      <c r="AP26" s="27">
        <v>-2.0984841639999998</v>
      </c>
      <c r="AQ26" s="27">
        <v>-3.3459846624000011</v>
      </c>
      <c r="AR26" s="27">
        <v>-1.6995029957333381</v>
      </c>
      <c r="AS26" s="27">
        <v>-2.2673546968000009</v>
      </c>
      <c r="AT26" s="27">
        <v>-1.1447868317333341</v>
      </c>
      <c r="AU26" s="27">
        <v>-9.4523831733334007E-2</v>
      </c>
      <c r="AV26" s="27">
        <v>-1.583522664533334</v>
      </c>
      <c r="AW26" s="27">
        <v>-1.953374830666667</v>
      </c>
      <c r="AX26" s="27">
        <v>-3.4116479957333352</v>
      </c>
      <c r="AY26" s="27">
        <v>-1.830581330133334</v>
      </c>
      <c r="AZ26" s="27">
        <v>-1.253357663466671</v>
      </c>
      <c r="BA26" s="27">
        <v>-1.774433162933335</v>
      </c>
      <c r="BB26" s="27">
        <v>-2.9424213290666681</v>
      </c>
      <c r="BC26" s="27">
        <v>-2.1085508306666672</v>
      </c>
      <c r="BD26" s="27">
        <v>-1.988946497333334</v>
      </c>
      <c r="BE26" s="27">
        <v>-2.761741162933335</v>
      </c>
      <c r="BF26" s="27">
        <v>-4.1049840000106919E-4</v>
      </c>
      <c r="BG26" s="27">
        <v>4.3263493333189912E-4</v>
      </c>
      <c r="BH26" s="27">
        <v>-3.3749106624000009</v>
      </c>
      <c r="BI26" s="27">
        <v>-1.560467663466671</v>
      </c>
      <c r="BJ26" s="27">
        <v>1.193354666659818E-4</v>
      </c>
      <c r="BK26" s="27">
        <v>-1.542380664533334</v>
      </c>
      <c r="BL26" s="27">
        <v>-3.0990899957333351</v>
      </c>
      <c r="BM26" s="27">
        <v>-3.3854813290666681</v>
      </c>
      <c r="BN26" s="27">
        <v>-3.2784479957333348</v>
      </c>
      <c r="BO26" s="27">
        <v>-1.4774469978666669</v>
      </c>
      <c r="BP26" s="27">
        <v>-0.43204389733333692</v>
      </c>
      <c r="BQ26" s="27">
        <v>-2.0395508306666672</v>
      </c>
      <c r="BR26" s="27">
        <v>-2.928961162933335</v>
      </c>
      <c r="BS26" s="27">
        <v>-3.243699662400001</v>
      </c>
      <c r="BT26" s="27">
        <v>-1.508782664533334</v>
      </c>
      <c r="BU26" s="27">
        <v>-0.1488093322666669</v>
      </c>
      <c r="BV26" s="27">
        <v>-3.354197995733335</v>
      </c>
      <c r="BW26" s="27">
        <v>-2.9561711629333352</v>
      </c>
      <c r="BX26" s="27">
        <v>-3.1945589957333338</v>
      </c>
      <c r="BY26" s="27">
        <v>-1.9169263301333339</v>
      </c>
      <c r="BZ26" s="27">
        <v>-0.81662033226666697</v>
      </c>
      <c r="CA26" s="27">
        <v>-2.533860996800001</v>
      </c>
      <c r="CB26" s="27">
        <v>-2.082123384796537</v>
      </c>
      <c r="CC26" s="33">
        <v>-160.32350062933341</v>
      </c>
    </row>
    <row r="27" spans="1:81" x14ac:dyDescent="0.25">
      <c r="A27" s="23">
        <v>26</v>
      </c>
      <c r="B27" s="25">
        <v>12.5</v>
      </c>
      <c r="C27" s="27">
        <v>-3.3203280053333328</v>
      </c>
      <c r="D27" s="27">
        <v>-3.2830750053333331</v>
      </c>
      <c r="E27" s="27">
        <v>-1.3652815026666669</v>
      </c>
      <c r="F27" s="27">
        <v>-3.2428683386666668</v>
      </c>
      <c r="G27" s="27">
        <v>-2.5087412539999998</v>
      </c>
      <c r="H27" s="27">
        <v>-1.206587169333333</v>
      </c>
      <c r="I27" s="27">
        <v>-0.45264671166666992</v>
      </c>
      <c r="J27" s="27">
        <v>-2.0542793783333329</v>
      </c>
      <c r="K27" s="27">
        <v>-1.654160836</v>
      </c>
      <c r="L27" s="27">
        <v>-1.3835218359999999</v>
      </c>
      <c r="M27" s="27">
        <v>-2.4957412539999999</v>
      </c>
      <c r="N27" s="27">
        <v>-1.622864836</v>
      </c>
      <c r="O27" s="27">
        <v>-3.203941672</v>
      </c>
      <c r="P27" s="27">
        <v>-1.4611771116666661</v>
      </c>
      <c r="Q27" s="27">
        <v>-0.74290031166666992</v>
      </c>
      <c r="R27" s="27">
        <v>-1.709413311666667</v>
      </c>
      <c r="S27" s="27">
        <v>-3.0552343386666672</v>
      </c>
      <c r="T27" s="27">
        <v>-2.666508672</v>
      </c>
      <c r="U27" s="27">
        <v>-2.8614324629999999</v>
      </c>
      <c r="V27" s="27">
        <v>-1.520904502666667</v>
      </c>
      <c r="W27" s="27">
        <v>-3.2652443386666672</v>
      </c>
      <c r="X27" s="27">
        <v>-2.0668867116666672</v>
      </c>
      <c r="Y27" s="27">
        <v>-2.4855548540000001</v>
      </c>
      <c r="Z27" s="27">
        <v>-2.5087412539999998</v>
      </c>
      <c r="AA27" s="27">
        <v>-2.692093463</v>
      </c>
      <c r="AB27" s="27">
        <v>-0.61957504499999994</v>
      </c>
      <c r="AC27" s="27">
        <v>-3.1874790053333331</v>
      </c>
      <c r="AD27" s="27">
        <v>-3.3446450053333332</v>
      </c>
      <c r="AE27" s="27">
        <v>-1.411334969333333</v>
      </c>
      <c r="AF27" s="27">
        <v>-1.1841950053333301</v>
      </c>
      <c r="AG27" s="27">
        <v>-3.3058603386666672</v>
      </c>
      <c r="AH27" s="27">
        <v>-1.4324808360000001</v>
      </c>
      <c r="AI27" s="27">
        <v>-2.3939332539999998</v>
      </c>
      <c r="AJ27" s="27">
        <v>-1.976270000000335E-4</v>
      </c>
      <c r="AK27" s="27">
        <v>-1.6002988359999999</v>
      </c>
      <c r="AL27" s="27">
        <v>-1.956973378333333</v>
      </c>
      <c r="AM27" s="27">
        <v>-1.5829980450000001</v>
      </c>
      <c r="AN27" s="27">
        <v>-1.6918337116666671</v>
      </c>
      <c r="AO27" s="27">
        <v>-2.0558598539999999</v>
      </c>
      <c r="AP27" s="27">
        <v>-1.8109943783333331</v>
      </c>
      <c r="AQ27" s="27">
        <v>-3.3305243386666659</v>
      </c>
      <c r="AR27" s="27">
        <v>-3.267848672</v>
      </c>
      <c r="AS27" s="27">
        <v>-2.2993512539999998</v>
      </c>
      <c r="AT27" s="27">
        <v>-1.1682767603333331</v>
      </c>
      <c r="AU27" s="27">
        <v>-0.782811960333333</v>
      </c>
      <c r="AV27" s="27">
        <v>-1.6456808359999999</v>
      </c>
      <c r="AW27" s="27">
        <v>-1.889051045</v>
      </c>
      <c r="AX27" s="27">
        <v>-3.0676952386666669</v>
      </c>
      <c r="AY27" s="27">
        <v>-2.2558308206666671</v>
      </c>
      <c r="AZ27" s="27">
        <v>-2.3169029206666671</v>
      </c>
      <c r="BA27" s="27">
        <v>-2.7713414630000002</v>
      </c>
      <c r="BB27" s="27">
        <v>-2.799916005333333</v>
      </c>
      <c r="BC27" s="27">
        <v>-2.0188890449999999</v>
      </c>
      <c r="BD27" s="27">
        <v>-1.9979790449999999</v>
      </c>
      <c r="BE27" s="27">
        <v>-2.6988694629999999</v>
      </c>
      <c r="BF27" s="27">
        <v>-0.26072762700000002</v>
      </c>
      <c r="BG27" s="27">
        <v>-2.5527000000025168E-5</v>
      </c>
      <c r="BH27" s="27">
        <v>-3.2178650053333331</v>
      </c>
      <c r="BI27" s="27">
        <v>-2.5151042540000002</v>
      </c>
      <c r="BJ27" s="27">
        <v>2.583066667022349E-5</v>
      </c>
      <c r="BK27" s="27">
        <v>-0.77547483599999989</v>
      </c>
      <c r="BL27" s="27">
        <v>-3.3633216720000001</v>
      </c>
      <c r="BM27" s="27">
        <v>-3.1947083386666661</v>
      </c>
      <c r="BN27" s="27">
        <v>-3.1982626719999998</v>
      </c>
      <c r="BO27" s="27">
        <v>-1.668160836</v>
      </c>
      <c r="BP27" s="27">
        <v>-1.9672972449999999</v>
      </c>
      <c r="BQ27" s="27">
        <v>-1.847696045</v>
      </c>
      <c r="BR27" s="27">
        <v>-2.8443820296666669</v>
      </c>
      <c r="BS27" s="27">
        <v>-2.4506356720000002</v>
      </c>
      <c r="BT27" s="27">
        <v>-1.6253348359999999</v>
      </c>
      <c r="BU27" s="27">
        <v>-0.58258841799999994</v>
      </c>
      <c r="BV27" s="27">
        <v>-3.1042983386666672</v>
      </c>
      <c r="BW27" s="27">
        <v>-3.8780314630000001</v>
      </c>
      <c r="BX27" s="27">
        <v>-3.215475005333333</v>
      </c>
      <c r="BY27" s="27">
        <v>-2.3119862539999998</v>
      </c>
      <c r="BZ27" s="27">
        <v>-1.290580418</v>
      </c>
      <c r="CA27" s="27">
        <v>-2.5157412539999999</v>
      </c>
      <c r="CB27" s="27">
        <v>-2.1110055740909091</v>
      </c>
      <c r="CC27" s="33">
        <v>-162.54742920499999</v>
      </c>
    </row>
    <row r="28" spans="1:81" x14ac:dyDescent="0.25">
      <c r="A28" s="23">
        <v>27</v>
      </c>
      <c r="B28" s="25">
        <v>13</v>
      </c>
      <c r="C28" s="27">
        <v>-3.283573482</v>
      </c>
      <c r="D28" s="27">
        <v>-3.2427318153333329</v>
      </c>
      <c r="E28" s="27">
        <v>-1.1525422409999999</v>
      </c>
      <c r="F28" s="27">
        <v>-3.229429482</v>
      </c>
      <c r="G28" s="27">
        <v>-2.4478688614999999</v>
      </c>
      <c r="H28" s="27">
        <v>-1.378254241</v>
      </c>
      <c r="I28" s="27">
        <v>-0.57187205125000018</v>
      </c>
      <c r="J28" s="27">
        <v>-2.03472405125</v>
      </c>
      <c r="K28" s="27">
        <v>-1.6135792410000001</v>
      </c>
      <c r="L28" s="27">
        <v>-1.341459574333334</v>
      </c>
      <c r="M28" s="27">
        <v>-2.456543694833333</v>
      </c>
      <c r="N28" s="27">
        <v>-1.438692574333333</v>
      </c>
      <c r="O28" s="27">
        <v>-3.2861584819999998</v>
      </c>
      <c r="P28" s="27">
        <v>-1.9000213845833329</v>
      </c>
      <c r="Q28" s="27">
        <v>-1.1888840512500001</v>
      </c>
      <c r="R28" s="27">
        <v>-1.97948325125</v>
      </c>
      <c r="S28" s="27">
        <v>-2.9786998153333331</v>
      </c>
      <c r="T28" s="27">
        <v>-3.0437264819999998</v>
      </c>
      <c r="U28" s="27">
        <v>-2.7904146717499998</v>
      </c>
      <c r="V28" s="27">
        <v>-1.464776574333333</v>
      </c>
      <c r="W28" s="27">
        <v>-3.2102664820000002</v>
      </c>
      <c r="X28" s="27">
        <v>-1.834648384583333</v>
      </c>
      <c r="Y28" s="27">
        <v>-1.38296032816667</v>
      </c>
      <c r="Z28" s="27">
        <v>-2.4478688614999999</v>
      </c>
      <c r="AA28" s="27">
        <v>-2.70464367175</v>
      </c>
      <c r="AB28" s="27">
        <v>-1.8710873845833329</v>
      </c>
      <c r="AC28" s="27">
        <v>-2.9349178153333328</v>
      </c>
      <c r="AD28" s="27">
        <v>-3.274715148666667</v>
      </c>
      <c r="AE28" s="27">
        <v>-1.5101647743333331</v>
      </c>
      <c r="AF28" s="27">
        <v>-3.2831584820000002</v>
      </c>
      <c r="AG28" s="27">
        <v>-3.2246971486666669</v>
      </c>
      <c r="AH28" s="27">
        <v>-1.434077907666667</v>
      </c>
      <c r="AI28" s="27">
        <v>-2.316879528166667</v>
      </c>
      <c r="AJ28" s="27">
        <v>-1.3743074999994501E-4</v>
      </c>
      <c r="AK28" s="27">
        <v>-1.2278652409999999</v>
      </c>
      <c r="AL28" s="27">
        <v>-1.4771407179166669</v>
      </c>
      <c r="AM28" s="27">
        <v>-1.3921160512499999</v>
      </c>
      <c r="AN28" s="27">
        <v>-1.68327605125</v>
      </c>
      <c r="AO28" s="27">
        <v>-2.3969997615</v>
      </c>
      <c r="AP28" s="27">
        <v>-1.1290937179166669</v>
      </c>
      <c r="AQ28" s="27">
        <v>-3.2406618153333331</v>
      </c>
      <c r="AR28" s="27">
        <v>-3.2116511486666668</v>
      </c>
      <c r="AS28" s="27">
        <v>-2.3135619281666671</v>
      </c>
      <c r="AT28" s="27">
        <v>-1.1459552974166669</v>
      </c>
      <c r="AU28" s="27">
        <v>4.8023591666990217E-4</v>
      </c>
      <c r="AV28" s="27">
        <v>-1.4379812409999999</v>
      </c>
      <c r="AW28" s="27">
        <v>-1.9840340512500001</v>
      </c>
      <c r="AX28" s="27">
        <v>-3.1556975820000002</v>
      </c>
      <c r="AY28" s="27">
        <v>-2.4499991948333339</v>
      </c>
      <c r="AZ28" s="27">
        <v>-0.92496652816667013</v>
      </c>
      <c r="BA28" s="27">
        <v>-2.4924676717500001</v>
      </c>
      <c r="BB28" s="27">
        <v>-3.0319878153333328</v>
      </c>
      <c r="BC28" s="27">
        <v>-2.02006505125</v>
      </c>
      <c r="BD28" s="27">
        <v>-1.599789384583334</v>
      </c>
      <c r="BE28" s="27">
        <v>-2.46133467175</v>
      </c>
      <c r="BF28" s="27">
        <v>-1.1867847640833331</v>
      </c>
      <c r="BG28" s="27">
        <v>-3.9403075000013499E-4</v>
      </c>
      <c r="BH28" s="27">
        <v>-3.2255904819999999</v>
      </c>
      <c r="BI28" s="27">
        <v>-2.4533124614999999</v>
      </c>
      <c r="BJ28" s="27">
        <v>3.5758999999968573E-5</v>
      </c>
      <c r="BK28" s="27">
        <v>-0.906358574333333</v>
      </c>
      <c r="BL28" s="27">
        <v>-2.9386798153333329</v>
      </c>
      <c r="BM28" s="27">
        <v>-3.280158482</v>
      </c>
      <c r="BN28" s="27">
        <v>-3.2831584820000002</v>
      </c>
      <c r="BO28" s="27">
        <v>-1.575763241</v>
      </c>
      <c r="BP28" s="27">
        <v>-2.0229254845833329</v>
      </c>
      <c r="BQ28" s="27">
        <v>-1.9551313845833329</v>
      </c>
      <c r="BR28" s="27">
        <v>-2.686708638416667</v>
      </c>
      <c r="BS28" s="27">
        <v>-3.100420282</v>
      </c>
      <c r="BT28" s="27">
        <v>-1.6135792410000001</v>
      </c>
      <c r="BU28" s="27">
        <v>-0.550250953833333</v>
      </c>
      <c r="BV28" s="27">
        <v>-3.2861584819999998</v>
      </c>
      <c r="BW28" s="27">
        <v>-5.0640136717500006</v>
      </c>
      <c r="BX28" s="27">
        <v>-2.8912464820000001</v>
      </c>
      <c r="BY28" s="27">
        <v>-2.0976205281666669</v>
      </c>
      <c r="BZ28" s="27">
        <v>-1.0634596205</v>
      </c>
      <c r="CA28" s="27">
        <v>-2.4548688615000001</v>
      </c>
      <c r="CB28" s="27">
        <v>-2.1125502891071428</v>
      </c>
      <c r="CC28" s="33">
        <v>-162.66637226124999</v>
      </c>
    </row>
    <row r="29" spans="1:81" x14ac:dyDescent="0.25">
      <c r="A29" s="23">
        <v>28</v>
      </c>
      <c r="B29" s="25">
        <v>13.5</v>
      </c>
      <c r="C29" s="27">
        <v>-2.8979226608000008</v>
      </c>
      <c r="D29" s="27">
        <v>-3.139317660800002</v>
      </c>
      <c r="E29" s="27">
        <v>-1.3900928304000011</v>
      </c>
      <c r="F29" s="27">
        <v>-2.848938327466668</v>
      </c>
      <c r="G29" s="27">
        <v>-2.2174597456000011</v>
      </c>
      <c r="H29" s="27">
        <v>-1.112008497066667</v>
      </c>
      <c r="I29" s="27">
        <v>-1.7087456213333341</v>
      </c>
      <c r="J29" s="27">
        <v>-1.820178621333334</v>
      </c>
      <c r="K29" s="27">
        <v>-1.5516671637333339</v>
      </c>
      <c r="L29" s="27">
        <v>-1.3484781637333341</v>
      </c>
      <c r="M29" s="27">
        <v>-2.3640007456000012</v>
      </c>
      <c r="N29" s="27">
        <v>-1.4295851637333341</v>
      </c>
      <c r="O29" s="27">
        <v>-3.1181659941333351</v>
      </c>
      <c r="P29" s="27">
        <v>-1.829637288</v>
      </c>
      <c r="Q29" s="27">
        <v>-1.9041092879999999</v>
      </c>
      <c r="R29" s="27">
        <v>-1.9050439546666671</v>
      </c>
      <c r="S29" s="27">
        <v>-2.9291906608000011</v>
      </c>
      <c r="T29" s="27">
        <v>-2.7989176608000008</v>
      </c>
      <c r="U29" s="27">
        <v>-2.7646675365333349</v>
      </c>
      <c r="V29" s="27">
        <v>-1.397118497066667</v>
      </c>
      <c r="W29" s="27">
        <v>-3.0032286608000009</v>
      </c>
      <c r="X29" s="27">
        <v>-1.795901954666667</v>
      </c>
      <c r="Y29" s="27">
        <v>-2.1216107456000008</v>
      </c>
      <c r="Z29" s="27">
        <v>-2.3550007456000008</v>
      </c>
      <c r="AA29" s="27">
        <v>-2.5007572032000018</v>
      </c>
      <c r="AB29" s="27">
        <v>-1.513265621333334</v>
      </c>
      <c r="AC29" s="27">
        <v>-2.900584994133335</v>
      </c>
      <c r="AD29" s="27">
        <v>-2.9833476608000011</v>
      </c>
      <c r="AE29" s="27">
        <v>-1.3306030304000001</v>
      </c>
      <c r="AF29" s="27">
        <v>-3.1593343274666679</v>
      </c>
      <c r="AG29" s="27">
        <v>-3.0404943274666678</v>
      </c>
      <c r="AH29" s="27">
        <v>-1.2961678304000011</v>
      </c>
      <c r="AI29" s="27">
        <v>-2.265148078933334</v>
      </c>
      <c r="AJ29" s="27">
        <v>-0.71936270613333309</v>
      </c>
      <c r="AK29" s="27">
        <v>-1.3863168304000011</v>
      </c>
      <c r="AL29" s="27">
        <v>-1.775523954666667</v>
      </c>
      <c r="AM29" s="27">
        <v>-1.7045312880000001</v>
      </c>
      <c r="AN29" s="27">
        <v>-1.7464212880000001</v>
      </c>
      <c r="AO29" s="27">
        <v>-2.262774545600001</v>
      </c>
      <c r="AP29" s="27">
        <v>1.8271200000297141E-4</v>
      </c>
      <c r="AQ29" s="27">
        <v>-3.1255369941333351</v>
      </c>
      <c r="AR29" s="27">
        <v>-2.843737327466668</v>
      </c>
      <c r="AS29" s="27">
        <v>-2.056902612266668</v>
      </c>
      <c r="AT29" s="27">
        <v>-1.100522039466667</v>
      </c>
      <c r="AU29" s="27">
        <v>-4.4303946666610078E-4</v>
      </c>
      <c r="AV29" s="27">
        <v>-1.558667163733334</v>
      </c>
      <c r="AW29" s="27">
        <v>-1.807327621333334</v>
      </c>
      <c r="AX29" s="27">
        <v>-3.1833343274666679</v>
      </c>
      <c r="AY29" s="27">
        <v>-2.024830745600001</v>
      </c>
      <c r="AZ29" s="27">
        <v>-2.0541897456000009</v>
      </c>
      <c r="BA29" s="27">
        <v>-2.7011042032000021</v>
      </c>
      <c r="BB29" s="27">
        <v>-1.6391649941333379</v>
      </c>
      <c r="BC29" s="27">
        <v>-1.965333954666667</v>
      </c>
      <c r="BD29" s="27">
        <v>-1.637805821333334</v>
      </c>
      <c r="BE29" s="27">
        <v>-2.3376805365333349</v>
      </c>
      <c r="BF29" s="27">
        <v>-3.7279999998141022E-7</v>
      </c>
      <c r="BG29" s="27">
        <v>6.1827200000030835E-5</v>
      </c>
      <c r="BH29" s="27">
        <v>-3.158334327466668</v>
      </c>
      <c r="BI29" s="27">
        <v>-2.2184610122666681</v>
      </c>
      <c r="BJ29" s="27">
        <v>-3.9316373333408983E-4</v>
      </c>
      <c r="BK29" s="27">
        <v>-1.5143954970666671</v>
      </c>
      <c r="BL29" s="27">
        <v>-3.0901946608000008</v>
      </c>
      <c r="BM29" s="27">
        <v>-3.1563343274666682</v>
      </c>
      <c r="BN29" s="27">
        <v>-3.0426209941333351</v>
      </c>
      <c r="BO29" s="27">
        <v>-1.4996743637333341</v>
      </c>
      <c r="BP29" s="27">
        <v>-1.7125673546666671</v>
      </c>
      <c r="BQ29" s="27">
        <v>-1.716338621333334</v>
      </c>
      <c r="BR29" s="27">
        <v>-2.6957933698666681</v>
      </c>
      <c r="BS29" s="27">
        <v>-3.1326721274666678</v>
      </c>
      <c r="BT29" s="27">
        <v>-1.370187497066667</v>
      </c>
      <c r="BU29" s="27">
        <v>-0.61465791520000002</v>
      </c>
      <c r="BV29" s="27">
        <v>-3.1555213274666678</v>
      </c>
      <c r="BW29" s="27">
        <v>-1.780952203200002</v>
      </c>
      <c r="BX29" s="27">
        <v>-2.9588293274666682</v>
      </c>
      <c r="BY29" s="27">
        <v>-2.016692078933334</v>
      </c>
      <c r="BZ29" s="27">
        <v>-0.506503581866667</v>
      </c>
      <c r="CA29" s="27">
        <v>-2.331796478933335</v>
      </c>
      <c r="CB29" s="27">
        <v>-2.0005828450043301</v>
      </c>
      <c r="CC29" s="33">
        <v>-154.04487906533339</v>
      </c>
    </row>
    <row r="30" spans="1:81" x14ac:dyDescent="0.25">
      <c r="A30" s="23">
        <v>29</v>
      </c>
      <c r="B30" s="25">
        <v>14</v>
      </c>
      <c r="C30" s="27">
        <v>-2.9612778932000001</v>
      </c>
      <c r="D30" s="27">
        <v>-2.9098512265333332</v>
      </c>
      <c r="E30" s="27">
        <v>-1.2798739466</v>
      </c>
      <c r="F30" s="27">
        <v>-2.7619902265333329</v>
      </c>
      <c r="G30" s="27">
        <v>-2.2224139199000001</v>
      </c>
      <c r="H30" s="27">
        <v>-1.3793412799333331</v>
      </c>
      <c r="I30" s="27">
        <v>-1.80549743325</v>
      </c>
      <c r="J30" s="27">
        <v>-1.7588717665833331</v>
      </c>
      <c r="K30" s="27">
        <v>-1.4777539466</v>
      </c>
      <c r="L30" s="27">
        <v>-0.73764427993333292</v>
      </c>
      <c r="M30" s="27">
        <v>-2.1176509199</v>
      </c>
      <c r="N30" s="27">
        <v>-1.4847539465999999</v>
      </c>
      <c r="O30" s="27">
        <v>-2.9521086265333332</v>
      </c>
      <c r="P30" s="27">
        <v>-1.79761643325</v>
      </c>
      <c r="Q30" s="27">
        <v>-1.1791007665833331</v>
      </c>
      <c r="R30" s="27">
        <v>-1.6512704332499999</v>
      </c>
      <c r="S30" s="27">
        <v>-2.4170285598666661</v>
      </c>
      <c r="T30" s="27">
        <v>-2.5581308932</v>
      </c>
      <c r="U30" s="27">
        <v>-2.6052834065499999</v>
      </c>
      <c r="V30" s="27">
        <v>-0.80527694659999993</v>
      </c>
      <c r="W30" s="27">
        <v>-2.7584782265333332</v>
      </c>
      <c r="X30" s="27">
        <v>-1.4258810999166669</v>
      </c>
      <c r="Y30" s="27">
        <v>-2.2491309198999998</v>
      </c>
      <c r="Z30" s="27">
        <v>-2.2441309198999999</v>
      </c>
      <c r="AA30" s="27">
        <v>-2.4277624065499999</v>
      </c>
      <c r="AB30" s="27">
        <v>-1.656369766583333</v>
      </c>
      <c r="AC30" s="27">
        <v>-2.9939372265333328</v>
      </c>
      <c r="AD30" s="27">
        <v>-2.9619485598666668</v>
      </c>
      <c r="AE30" s="27">
        <v>-1.3807571465999999</v>
      </c>
      <c r="AF30" s="27">
        <v>-3.0115078932000001</v>
      </c>
      <c r="AG30" s="27">
        <v>-2.8683630265333329</v>
      </c>
      <c r="AH30" s="27">
        <v>-1.4347739466</v>
      </c>
      <c r="AI30" s="27">
        <v>-2.1147355865666668</v>
      </c>
      <c r="AJ30" s="27">
        <v>3.3787338332998129E-4</v>
      </c>
      <c r="AK30" s="27">
        <v>-1.3225012799333331</v>
      </c>
      <c r="AL30" s="27">
        <v>-1.026405766583333</v>
      </c>
      <c r="AM30" s="27">
        <v>-1.2645270999166669</v>
      </c>
      <c r="AN30" s="27">
        <v>-1.502785099916667</v>
      </c>
      <c r="AO30" s="27">
        <v>-2.2363831199000002</v>
      </c>
      <c r="AP30" s="27">
        <v>1.7756675000035749E-4</v>
      </c>
      <c r="AQ30" s="27">
        <v>-3.0125078932</v>
      </c>
      <c r="AR30" s="27">
        <v>-2.807795226533333</v>
      </c>
      <c r="AS30" s="27">
        <v>-2.1499005199000001</v>
      </c>
      <c r="AT30" s="27">
        <v>-0.98663045994999998</v>
      </c>
      <c r="AU30" s="27">
        <v>-0.60812595994999996</v>
      </c>
      <c r="AV30" s="27">
        <v>-1.3475419466</v>
      </c>
      <c r="AW30" s="27">
        <v>-1.58509043325</v>
      </c>
      <c r="AX30" s="27">
        <v>-2.9040678932000001</v>
      </c>
      <c r="AY30" s="27">
        <v>-2.2511309199</v>
      </c>
      <c r="AZ30" s="27">
        <v>-1.8856095865666671</v>
      </c>
      <c r="BA30" s="27">
        <v>-2.4184634065499999</v>
      </c>
      <c r="BB30" s="27">
        <v>-1.5492315598666699</v>
      </c>
      <c r="BC30" s="27">
        <v>-1.79838043325</v>
      </c>
      <c r="BD30" s="27">
        <v>-1.659154199916667</v>
      </c>
      <c r="BE30" s="27">
        <v>-1.4380024065499999</v>
      </c>
      <c r="BF30" s="27">
        <v>-2.217932833330494E-4</v>
      </c>
      <c r="BG30" s="27">
        <v>3.9154005000006931E-4</v>
      </c>
      <c r="BH30" s="27">
        <v>-2.8315848932000001</v>
      </c>
      <c r="BI30" s="27">
        <v>-2.1216845199000001</v>
      </c>
      <c r="BJ30" s="27">
        <v>3.4720066667048848E-5</v>
      </c>
      <c r="BK30" s="27">
        <v>-1.3510302799333329</v>
      </c>
      <c r="BL30" s="27">
        <v>-2.8353888932000002</v>
      </c>
      <c r="BM30" s="27">
        <v>-2.8418945598666658</v>
      </c>
      <c r="BN30" s="27">
        <v>-2.9615078931999999</v>
      </c>
      <c r="BO30" s="27">
        <v>-1.3421279466</v>
      </c>
      <c r="BP30" s="27">
        <v>-1.7140944332500001</v>
      </c>
      <c r="BQ30" s="27">
        <v>-1.643119099916666</v>
      </c>
      <c r="BR30" s="27">
        <v>-2.0084202398833328</v>
      </c>
      <c r="BS30" s="27">
        <v>-3.0155078932000001</v>
      </c>
      <c r="BT30" s="27">
        <v>-1.4729496132666671</v>
      </c>
      <c r="BU30" s="27">
        <v>-0.4351869733</v>
      </c>
      <c r="BV30" s="27">
        <v>-2.8850608931999999</v>
      </c>
      <c r="BW30" s="27">
        <v>-3.1940655000006762E-4</v>
      </c>
      <c r="BX30" s="27">
        <v>-2.0415845598666702</v>
      </c>
      <c r="BY30" s="27">
        <v>-1.7864475865666669</v>
      </c>
      <c r="BZ30" s="27">
        <v>2.2026700000066232E-5</v>
      </c>
      <c r="CA30" s="27">
        <v>-2.0812398532333329</v>
      </c>
      <c r="CB30" s="27">
        <v>-1.8118591739296539</v>
      </c>
      <c r="CC30" s="33">
        <v>-139.5131563925834</v>
      </c>
    </row>
    <row r="31" spans="1:81" x14ac:dyDescent="0.25">
      <c r="A31" s="23">
        <v>30</v>
      </c>
      <c r="B31" s="25">
        <v>14.5</v>
      </c>
      <c r="C31" s="27">
        <v>-2.7470478397333351</v>
      </c>
      <c r="D31" s="27">
        <v>-2.8381901730666681</v>
      </c>
      <c r="E31" s="27">
        <v>-1.2590390865333341</v>
      </c>
      <c r="F31" s="27">
        <v>-2.510871173066668</v>
      </c>
      <c r="G31" s="27">
        <v>-2.1036426298000008</v>
      </c>
      <c r="H31" s="27">
        <v>-1.103753419866667</v>
      </c>
      <c r="I31" s="27">
        <v>-1.6983495248333349</v>
      </c>
      <c r="J31" s="27">
        <v>-1.742286191500001</v>
      </c>
      <c r="K31" s="27">
        <v>-1.3840950865333339</v>
      </c>
      <c r="L31" s="27">
        <v>-0.33542941986666408</v>
      </c>
      <c r="M31" s="27">
        <v>-0.884247296466671</v>
      </c>
      <c r="N31" s="27">
        <v>-1.296835753200001</v>
      </c>
      <c r="O31" s="27">
        <v>-2.8195597730666679</v>
      </c>
      <c r="P31" s="27">
        <v>-1.5884581915000009</v>
      </c>
      <c r="Q31" s="27">
        <v>-1.0051518581666681</v>
      </c>
      <c r="R31" s="27">
        <v>-1.5901195248333351</v>
      </c>
      <c r="S31" s="27">
        <v>-2.6959603730666681</v>
      </c>
      <c r="T31" s="27">
        <v>-2.5265551730666682</v>
      </c>
      <c r="U31" s="27">
        <v>-2.3362544014333348</v>
      </c>
      <c r="V31" s="27">
        <v>-0.83878375320000109</v>
      </c>
      <c r="W31" s="27">
        <v>-1.4123076730666679</v>
      </c>
      <c r="X31" s="27">
        <v>-1.4303808581666679</v>
      </c>
      <c r="Y31" s="27">
        <v>-2.1086426298000012</v>
      </c>
      <c r="Z31" s="27">
        <v>-2.1036426298000008</v>
      </c>
      <c r="AA31" s="27">
        <v>-2.3845622014333352</v>
      </c>
      <c r="AB31" s="27">
        <v>-1.662717524833335</v>
      </c>
      <c r="AC31" s="27">
        <v>-2.7039521730666678</v>
      </c>
      <c r="AD31" s="27">
        <v>-2.823190173066668</v>
      </c>
      <c r="AE31" s="27">
        <v>-0.19963375320000409</v>
      </c>
      <c r="AF31" s="27">
        <v>-2.8241901730666679</v>
      </c>
      <c r="AG31" s="27">
        <v>-2.819190173066668</v>
      </c>
      <c r="AH31" s="27">
        <v>-1.2920644198666671</v>
      </c>
      <c r="AI31" s="27">
        <v>-1.770065263133334</v>
      </c>
      <c r="AJ31" s="27">
        <v>-0.49605731489999999</v>
      </c>
      <c r="AK31" s="27">
        <v>-0.85421841986666702</v>
      </c>
      <c r="AL31" s="27">
        <v>-1.420846024833335</v>
      </c>
      <c r="AM31" s="27">
        <v>-1.4536508581666681</v>
      </c>
      <c r="AN31" s="27">
        <v>-1.292627191500002</v>
      </c>
      <c r="AO31" s="27">
        <v>-2.0311346298000008</v>
      </c>
      <c r="AP31" s="27">
        <v>3.248084999989409E-4</v>
      </c>
      <c r="AQ31" s="27">
        <v>-2.7468961730666681</v>
      </c>
      <c r="AR31" s="27">
        <v>-2.2642371730666682</v>
      </c>
      <c r="AS31" s="27">
        <v>-1.8535606298000009</v>
      </c>
      <c r="AT31" s="27">
        <v>-1.0423213148999999</v>
      </c>
      <c r="AU31" s="27">
        <v>-0.94290731490000002</v>
      </c>
      <c r="AV31" s="27">
        <v>-1.3302290865333339</v>
      </c>
      <c r="AW31" s="27">
        <v>-1.5355838581666681</v>
      </c>
      <c r="AX31" s="27">
        <v>-2.8481901730666679</v>
      </c>
      <c r="AY31" s="27">
        <v>-1.8896016298000009</v>
      </c>
      <c r="AZ31" s="27">
        <v>-1.5565482964666679</v>
      </c>
      <c r="BA31" s="27">
        <v>-2.4624164014333352</v>
      </c>
      <c r="BB31" s="27">
        <v>-0.99955550639999813</v>
      </c>
      <c r="BC31" s="27">
        <v>-1.7558688581666679</v>
      </c>
      <c r="BD31" s="27">
        <v>-1.464353858166668</v>
      </c>
      <c r="BE31" s="27">
        <v>-2.4530844014333351</v>
      </c>
      <c r="BF31" s="27">
        <v>-4.7531490000007892E-4</v>
      </c>
      <c r="BG31" s="27">
        <v>2.9268509999993969E-4</v>
      </c>
      <c r="BH31" s="27">
        <v>-2.7319348397333352</v>
      </c>
      <c r="BI31" s="27">
        <v>-1.9061226298000009</v>
      </c>
      <c r="BJ31" s="27">
        <v>3.8091346666591091E-4</v>
      </c>
      <c r="BK31" s="27">
        <v>-1.3840950865333339</v>
      </c>
      <c r="BL31" s="27">
        <v>-2.347711173066668</v>
      </c>
      <c r="BM31" s="27">
        <v>-2.8211901730666682</v>
      </c>
      <c r="BN31" s="27">
        <v>-2.6670551730666681</v>
      </c>
      <c r="BO31" s="27">
        <v>-0.24021068653333399</v>
      </c>
      <c r="BP31" s="27">
        <v>-1.6495689915000009</v>
      </c>
      <c r="BQ31" s="27">
        <v>-1.482787858166668</v>
      </c>
      <c r="BR31" s="27">
        <v>-2.1358174681000022</v>
      </c>
      <c r="BS31" s="27">
        <v>-2.6947245064000009</v>
      </c>
      <c r="BT31" s="27">
        <v>-1.2619720865333339</v>
      </c>
      <c r="BU31" s="27">
        <v>-0.64671054326666699</v>
      </c>
      <c r="BV31" s="27">
        <v>-2.827190173066668</v>
      </c>
      <c r="BW31" s="27">
        <v>-2.362660401433335</v>
      </c>
      <c r="BX31" s="27">
        <v>-2.4173801730666682</v>
      </c>
      <c r="BY31" s="27">
        <v>-1.978781296466668</v>
      </c>
      <c r="BZ31" s="27">
        <v>-2.6887543266666921E-2</v>
      </c>
      <c r="CA31" s="27">
        <v>-1.649743963133335</v>
      </c>
      <c r="CB31" s="27">
        <v>-1.698247806192642</v>
      </c>
      <c r="CC31" s="33">
        <v>-130.76508107683341</v>
      </c>
    </row>
    <row r="32" spans="1:81" x14ac:dyDescent="0.25">
      <c r="A32" s="23">
        <v>31</v>
      </c>
      <c r="B32" s="25">
        <v>15</v>
      </c>
      <c r="C32" s="27">
        <v>-2.3830424948000002</v>
      </c>
      <c r="D32" s="27">
        <v>-2.5166684948000002</v>
      </c>
      <c r="E32" s="27">
        <v>-1.0691165807333329</v>
      </c>
      <c r="F32" s="27">
        <v>-2.2882841614666658</v>
      </c>
      <c r="G32" s="27">
        <v>-1.9543463711</v>
      </c>
      <c r="H32" s="27">
        <v>-0.88267158073333296</v>
      </c>
      <c r="I32" s="27">
        <v>-1.472615642583333</v>
      </c>
      <c r="J32" s="27">
        <v>-1.6234553092499999</v>
      </c>
      <c r="K32" s="27">
        <v>-1.2845642474000001</v>
      </c>
      <c r="L32" s="27">
        <v>-1.2785642474000001</v>
      </c>
      <c r="M32" s="27">
        <v>-1.9189658710999999</v>
      </c>
      <c r="N32" s="27">
        <v>-1.202175580733333</v>
      </c>
      <c r="O32" s="27">
        <v>-2.4593224947999999</v>
      </c>
      <c r="P32" s="27">
        <v>-1.4789119759166669</v>
      </c>
      <c r="Q32" s="27">
        <v>-1.0885219759166671</v>
      </c>
      <c r="R32" s="27">
        <v>-1.3307089759166659</v>
      </c>
      <c r="S32" s="27">
        <v>-2.5130234948000001</v>
      </c>
      <c r="T32" s="27">
        <v>-2.389633161466667</v>
      </c>
      <c r="U32" s="27">
        <v>-2.2972374329499998</v>
      </c>
      <c r="V32" s="27">
        <v>-1.0346355807333329</v>
      </c>
      <c r="W32" s="27">
        <v>-2.4162624948000002</v>
      </c>
      <c r="X32" s="27">
        <v>-1.437136642583333</v>
      </c>
      <c r="Y32" s="27">
        <v>-1.9593463711000001</v>
      </c>
      <c r="Z32" s="27">
        <v>-1.9543463711</v>
      </c>
      <c r="AA32" s="27">
        <v>-2.22131843295</v>
      </c>
      <c r="AB32" s="27">
        <v>-1.5835333092499999</v>
      </c>
      <c r="AC32" s="27">
        <v>-2.5644628281333328</v>
      </c>
      <c r="AD32" s="27">
        <v>-2.4118584948000001</v>
      </c>
      <c r="AE32" s="27">
        <v>-3.2758073332983528E-4</v>
      </c>
      <c r="AF32" s="27">
        <v>-2.6251284948000002</v>
      </c>
      <c r="AG32" s="27">
        <v>-2.5441871614666671</v>
      </c>
      <c r="AH32" s="27">
        <v>-1.1417842474</v>
      </c>
      <c r="AI32" s="27">
        <v>-1.6697563711000001</v>
      </c>
      <c r="AJ32" s="27">
        <v>-0.17371518555000101</v>
      </c>
      <c r="AK32" s="27">
        <v>-1.2454295807333331</v>
      </c>
      <c r="AL32" s="27">
        <v>-1.418386342583333</v>
      </c>
      <c r="AM32" s="27">
        <v>-1.3414879759166669</v>
      </c>
      <c r="AN32" s="27">
        <v>-1.6154553092499999</v>
      </c>
      <c r="AO32" s="27">
        <v>-1.9568807711</v>
      </c>
      <c r="AP32" s="27">
        <v>-0.55809930925000018</v>
      </c>
      <c r="AQ32" s="27">
        <v>-2.6261284948000001</v>
      </c>
      <c r="AR32" s="27">
        <v>-2.6331284948000002</v>
      </c>
      <c r="AS32" s="27">
        <v>-1.8349783711000001</v>
      </c>
      <c r="AT32" s="27">
        <v>-0.80815551888333292</v>
      </c>
      <c r="AU32" s="27">
        <v>-0.71430285221666701</v>
      </c>
      <c r="AV32" s="27">
        <v>-1.256673914066667</v>
      </c>
      <c r="AW32" s="27">
        <v>-1.292357642583333</v>
      </c>
      <c r="AX32" s="27">
        <v>-2.6491284947999998</v>
      </c>
      <c r="AY32" s="27">
        <v>-1.8403483710999999</v>
      </c>
      <c r="AZ32" s="27">
        <v>-1.1020053711</v>
      </c>
      <c r="BA32" s="27">
        <v>-2.1410740996166671</v>
      </c>
      <c r="BB32" s="27">
        <v>-2.4132028281333331</v>
      </c>
      <c r="BC32" s="27">
        <v>-1.590031975916667</v>
      </c>
      <c r="BD32" s="27">
        <v>-1.483292642583333</v>
      </c>
      <c r="BE32" s="27">
        <v>-2.145471099616667</v>
      </c>
      <c r="BF32" s="27">
        <v>-0.86505285221666695</v>
      </c>
      <c r="BG32" s="27">
        <v>4.9048111666996283E-4</v>
      </c>
      <c r="BH32" s="27">
        <v>-2.6241284947999999</v>
      </c>
      <c r="BI32" s="27">
        <v>-1.722199704433333</v>
      </c>
      <c r="BJ32" s="27">
        <v>-0.77944091406666705</v>
      </c>
      <c r="BK32" s="27">
        <v>-1.240375580733333</v>
      </c>
      <c r="BL32" s="27">
        <v>-2.5148118281333329</v>
      </c>
      <c r="BM32" s="27">
        <v>-2.5463951614666671</v>
      </c>
      <c r="BN32" s="27">
        <v>-2.550503761466667</v>
      </c>
      <c r="BO32" s="27">
        <v>-1.180229980733333</v>
      </c>
      <c r="BP32" s="27">
        <v>-1.4860693092499999</v>
      </c>
      <c r="BQ32" s="27">
        <v>-1.557040975916667</v>
      </c>
      <c r="BR32" s="27">
        <v>-2.2422094329500002</v>
      </c>
      <c r="BS32" s="27">
        <v>-2.014694828133333</v>
      </c>
      <c r="BT32" s="27">
        <v>-0.90522911406666706</v>
      </c>
      <c r="BU32" s="27">
        <v>-0.47083419036666702</v>
      </c>
      <c r="BV32" s="27">
        <v>-1.47475116146667</v>
      </c>
      <c r="BW32" s="27">
        <v>-2.272278099616666</v>
      </c>
      <c r="BX32" s="27">
        <v>-2.4005484948000002</v>
      </c>
      <c r="BY32" s="27">
        <v>-1.864441704433333</v>
      </c>
      <c r="BZ32" s="27">
        <v>-0.54895879036666706</v>
      </c>
      <c r="CA32" s="27">
        <v>-1.4946400377666671</v>
      </c>
      <c r="CB32" s="27">
        <v>-1.6699999098257581</v>
      </c>
      <c r="CC32" s="33">
        <v>-128.58999305658341</v>
      </c>
    </row>
    <row r="33" spans="1:81" x14ac:dyDescent="0.25">
      <c r="A33" s="23">
        <v>32</v>
      </c>
      <c r="B33" s="25">
        <v>15.5</v>
      </c>
      <c r="C33" s="27">
        <v>-2.3935838538666681</v>
      </c>
      <c r="D33" s="27">
        <v>-2.3723705205333339</v>
      </c>
      <c r="E33" s="27">
        <v>-0.72891259360000094</v>
      </c>
      <c r="F33" s="27">
        <v>-2.294301853866668</v>
      </c>
      <c r="G33" s="27">
        <v>-1.6154298904000011</v>
      </c>
      <c r="H33" s="27">
        <v>-0.88432859360000093</v>
      </c>
      <c r="I33" s="27">
        <v>-1.3824429086666681</v>
      </c>
      <c r="J33" s="27">
        <v>-1.3506389086666679</v>
      </c>
      <c r="K33" s="27">
        <v>-1.164791926933334</v>
      </c>
      <c r="L33" s="27">
        <v>-0.99489926026666697</v>
      </c>
      <c r="M33" s="27">
        <v>-1.753801223733334</v>
      </c>
      <c r="N33" s="27">
        <v>-0.897604593600001</v>
      </c>
      <c r="O33" s="27">
        <v>-2.353674820533334</v>
      </c>
      <c r="P33" s="27">
        <v>-1.3061592420000021</v>
      </c>
      <c r="Q33" s="27">
        <v>-1.4022705753333351</v>
      </c>
      <c r="R33" s="27">
        <v>-1.028636908666668</v>
      </c>
      <c r="S33" s="27">
        <v>-2.1773321872000011</v>
      </c>
      <c r="T33" s="27">
        <v>-1.664399187200001</v>
      </c>
      <c r="U33" s="27">
        <v>-1.9374558721333339</v>
      </c>
      <c r="V33" s="27">
        <v>-0.69203559360000089</v>
      </c>
      <c r="W33" s="27">
        <v>-2.2089331872000009</v>
      </c>
      <c r="X33" s="27">
        <v>-1.356986575333335</v>
      </c>
      <c r="Y33" s="27">
        <v>-1.7796878904000011</v>
      </c>
      <c r="Z33" s="27">
        <v>-1.774687890400001</v>
      </c>
      <c r="AA33" s="27">
        <v>-1.933217872133334</v>
      </c>
      <c r="AB33" s="27">
        <v>-1.467739908666668</v>
      </c>
      <c r="AC33" s="27">
        <v>-2.2549808538666678</v>
      </c>
      <c r="AD33" s="27">
        <v>-2.3845838538666682</v>
      </c>
      <c r="AE33" s="27">
        <v>1.8739733335992881E-5</v>
      </c>
      <c r="AF33" s="27">
        <v>-2.385583853866668</v>
      </c>
      <c r="AG33" s="27">
        <v>-2.2357625205333349</v>
      </c>
      <c r="AH33" s="27">
        <v>-1.094839260266667</v>
      </c>
      <c r="AI33" s="27">
        <v>-1.600247423733334</v>
      </c>
      <c r="AJ33" s="27">
        <v>-0.78716061186666741</v>
      </c>
      <c r="AK33" s="27">
        <v>-0.28712226026666798</v>
      </c>
      <c r="AL33" s="27">
        <v>-1.0505769086666681</v>
      </c>
      <c r="AM33" s="27">
        <v>-0.89614224200000192</v>
      </c>
      <c r="AN33" s="27">
        <v>-8.0647241999997954E-2</v>
      </c>
      <c r="AO33" s="27">
        <v>-1.7118052237333341</v>
      </c>
      <c r="AP33" s="27">
        <v>-1.3066499086666681</v>
      </c>
      <c r="AQ33" s="27">
        <v>-2.3082898538666679</v>
      </c>
      <c r="AR33" s="27">
        <v>-2.3935838538666681</v>
      </c>
      <c r="AS33" s="27">
        <v>-1.7576878904000011</v>
      </c>
      <c r="AT33" s="27">
        <v>-0.85265694520000046</v>
      </c>
      <c r="AU33" s="27">
        <v>-0.32124394520000038</v>
      </c>
      <c r="AV33" s="27">
        <v>-1.116964260266667</v>
      </c>
      <c r="AW33" s="27">
        <v>-1.223605575333335</v>
      </c>
      <c r="AX33" s="27">
        <v>-2.2781438538666681</v>
      </c>
      <c r="AY33" s="27">
        <v>-1.7675358904000009</v>
      </c>
      <c r="AZ33" s="27">
        <v>-1.549642890400001</v>
      </c>
      <c r="BA33" s="27">
        <v>-2.0179432054666671</v>
      </c>
      <c r="BB33" s="27">
        <v>-2.221838853866668</v>
      </c>
      <c r="BC33" s="27">
        <v>-1.448601242000001</v>
      </c>
      <c r="BD33" s="27">
        <v>-1.318820908666668</v>
      </c>
      <c r="BE33" s="27">
        <v>-2.076635872133334</v>
      </c>
      <c r="BF33" s="27">
        <v>-0.66563361186666747</v>
      </c>
      <c r="BG33" s="27">
        <v>-3.5710411866666431E-2</v>
      </c>
      <c r="BH33" s="27">
        <v>-2.2486771872000011</v>
      </c>
      <c r="BI33" s="27">
        <v>-1.3723032237333339</v>
      </c>
      <c r="BJ33" s="27">
        <v>-1.166791926933334</v>
      </c>
      <c r="BK33" s="27">
        <v>-0.68797159360000093</v>
      </c>
      <c r="BL33" s="27">
        <v>-1.2066875205333381</v>
      </c>
      <c r="BM33" s="27">
        <v>-2.1019718538666678</v>
      </c>
      <c r="BN33" s="27">
        <v>-2.2643489205333349</v>
      </c>
      <c r="BO33" s="27">
        <v>-1.010107260266667</v>
      </c>
      <c r="BP33" s="27">
        <v>-0.91354057533333499</v>
      </c>
      <c r="BQ33" s="27">
        <v>-1.2485899086666681</v>
      </c>
      <c r="BR33" s="27">
        <v>-2.0534732054666671</v>
      </c>
      <c r="BS33" s="27">
        <v>-1.4774948538666679</v>
      </c>
      <c r="BT33" s="27">
        <v>-0.81711302693333399</v>
      </c>
      <c r="BU33" s="27">
        <v>-0.32402829679999989</v>
      </c>
      <c r="BV33" s="27">
        <v>-2.2423448538666682</v>
      </c>
      <c r="BW33" s="27">
        <v>-2.0786358721333338</v>
      </c>
      <c r="BX33" s="27">
        <v>-2.154575520533335</v>
      </c>
      <c r="BY33" s="27">
        <v>-1.5619892237333339</v>
      </c>
      <c r="BZ33" s="27">
        <v>-0.52207196346666684</v>
      </c>
      <c r="CA33" s="27">
        <v>-1.769631890400001</v>
      </c>
      <c r="CB33" s="27">
        <v>-1.4749259091515159</v>
      </c>
      <c r="CC33" s="33">
        <v>-113.5692950046667</v>
      </c>
    </row>
    <row r="34" spans="1:81" x14ac:dyDescent="0.25">
      <c r="A34" s="23">
        <v>33</v>
      </c>
      <c r="B34" s="25">
        <v>16</v>
      </c>
      <c r="C34" s="27">
        <v>-1.699426390666666</v>
      </c>
      <c r="D34" s="27">
        <v>-2.0957833906666652</v>
      </c>
      <c r="E34" s="27">
        <v>-0.79879969533333295</v>
      </c>
      <c r="F34" s="27">
        <v>-1.9711095906666649</v>
      </c>
      <c r="G34" s="27">
        <v>-1.5618589763333319</v>
      </c>
      <c r="H34" s="27">
        <v>-0.50164102866666593</v>
      </c>
      <c r="I34" s="27">
        <v>-1.3031250358333319</v>
      </c>
      <c r="J34" s="27">
        <v>-1.179417369166665</v>
      </c>
      <c r="K34" s="27">
        <v>-1.029900028666666</v>
      </c>
      <c r="L34" s="27">
        <v>-0.83477002866666594</v>
      </c>
      <c r="M34" s="27">
        <v>-1.5813500429999989</v>
      </c>
      <c r="N34" s="27">
        <v>-0.7769511953333329</v>
      </c>
      <c r="O34" s="27">
        <v>-2.071144223999998</v>
      </c>
      <c r="P34" s="27">
        <v>-0.85353703583333207</v>
      </c>
      <c r="Q34" s="27">
        <v>-0.91294970249999907</v>
      </c>
      <c r="R34" s="27">
        <v>-1.123746702499999</v>
      </c>
      <c r="S34" s="27">
        <v>-1.999862390666665</v>
      </c>
      <c r="T34" s="27">
        <v>-1.5355230573333321</v>
      </c>
      <c r="U34" s="27">
        <v>-1.836557050166665</v>
      </c>
      <c r="V34" s="27">
        <v>-0.33038702866666592</v>
      </c>
      <c r="W34" s="27">
        <v>-1.2457903906666661</v>
      </c>
      <c r="X34" s="27">
        <v>-1.263763369166665</v>
      </c>
      <c r="Y34" s="27">
        <v>-1.5773500429999989</v>
      </c>
      <c r="Z34" s="27">
        <v>-1.572350042999999</v>
      </c>
      <c r="AA34" s="27">
        <v>-1.810697050166665</v>
      </c>
      <c r="AB34" s="27">
        <v>-1.186051702499999</v>
      </c>
      <c r="AC34" s="27">
        <v>-2.0366087906666648</v>
      </c>
      <c r="AD34" s="27">
        <v>-2.051518057333332</v>
      </c>
      <c r="AE34" s="27">
        <v>-3.1536199999881998E-4</v>
      </c>
      <c r="AF34" s="27">
        <v>-2.115800057333332</v>
      </c>
      <c r="AG34" s="27">
        <v>-2.0766480573333319</v>
      </c>
      <c r="AH34" s="27">
        <v>-0.87203202866666585</v>
      </c>
      <c r="AI34" s="27">
        <v>-1.4348869429999991</v>
      </c>
      <c r="AJ34" s="27">
        <v>-0.64127502149999949</v>
      </c>
      <c r="AK34" s="27">
        <v>-0.67911002866666592</v>
      </c>
      <c r="AL34" s="27">
        <v>-1.087085835833332</v>
      </c>
      <c r="AM34" s="27">
        <v>-0.64692703583333211</v>
      </c>
      <c r="AN34" s="27">
        <v>-1.1715959691666651</v>
      </c>
      <c r="AO34" s="27">
        <v>-1.401160376333332</v>
      </c>
      <c r="AP34" s="27">
        <v>-0.85703670249999908</v>
      </c>
      <c r="AQ34" s="27">
        <v>-2.0582477906666652</v>
      </c>
      <c r="AR34" s="27">
        <v>-1.054958390666662</v>
      </c>
      <c r="AS34" s="27">
        <v>-1.421166042999999</v>
      </c>
      <c r="AT34" s="27">
        <v>-0.77232068816666621</v>
      </c>
      <c r="AU34" s="27">
        <v>-0.63904985483333254</v>
      </c>
      <c r="AV34" s="27">
        <v>-0.95947922866666591</v>
      </c>
      <c r="AW34" s="27">
        <v>-1.2080450358333319</v>
      </c>
      <c r="AX34" s="27">
        <v>-2.139800057333332</v>
      </c>
      <c r="AY34" s="27">
        <v>-1.3532380429999991</v>
      </c>
      <c r="AZ34" s="27">
        <v>-3.8804299999889441E-4</v>
      </c>
      <c r="BA34" s="27">
        <v>-1.786856050166665</v>
      </c>
      <c r="BB34" s="27">
        <v>-2.0621443906666652</v>
      </c>
      <c r="BC34" s="27">
        <v>-1.313125035833332</v>
      </c>
      <c r="BD34" s="27">
        <v>-0.91167136916666602</v>
      </c>
      <c r="BE34" s="27">
        <v>-1.774587050166665</v>
      </c>
      <c r="BF34" s="27">
        <v>-0.64103902149999947</v>
      </c>
      <c r="BG34" s="27">
        <v>-0.55551402149999951</v>
      </c>
      <c r="BH34" s="27">
        <v>-2.0486833906666648</v>
      </c>
      <c r="BI34" s="27">
        <v>-3.4837633332890361E-4</v>
      </c>
      <c r="BJ34" s="27">
        <v>-0.97916769533333292</v>
      </c>
      <c r="BK34" s="27">
        <v>-0.67001669533333286</v>
      </c>
      <c r="BL34" s="27">
        <v>-1.7908850573333319</v>
      </c>
      <c r="BM34" s="27">
        <v>-1.930640057333332</v>
      </c>
      <c r="BN34" s="27">
        <v>-1.881382057333332</v>
      </c>
      <c r="BO34" s="27">
        <v>-0.9017470286666659</v>
      </c>
      <c r="BP34" s="27">
        <v>4.0163083333780158E-4</v>
      </c>
      <c r="BQ34" s="27">
        <v>-1.1502383691666651</v>
      </c>
      <c r="BR34" s="27">
        <v>-1.7540310501666649</v>
      </c>
      <c r="BS34" s="27">
        <v>-1.758589390666665</v>
      </c>
      <c r="BT34" s="27">
        <v>-0.58854309533333293</v>
      </c>
      <c r="BU34" s="27">
        <v>-0.42585868100000002</v>
      </c>
      <c r="BV34" s="27">
        <v>-1.863640057333332</v>
      </c>
      <c r="BW34" s="27">
        <v>-1.730859716833332</v>
      </c>
      <c r="BX34" s="27">
        <v>-1.8061083906666651</v>
      </c>
      <c r="BY34" s="27">
        <v>-1.2565867096666661</v>
      </c>
      <c r="BZ34" s="27">
        <v>-0.156449014333333</v>
      </c>
      <c r="CA34" s="27">
        <v>-1.5629100429999989</v>
      </c>
      <c r="CB34" s="27">
        <v>-1.2549838466125529</v>
      </c>
      <c r="CC34" s="33">
        <v>-96.633756189166562</v>
      </c>
    </row>
    <row r="35" spans="1:81" x14ac:dyDescent="0.25">
      <c r="A35" s="23">
        <v>34</v>
      </c>
      <c r="B35" s="25">
        <v>16.5</v>
      </c>
      <c r="C35" s="27">
        <v>-1.665474972933332</v>
      </c>
      <c r="D35" s="27">
        <v>-1.688414606266665</v>
      </c>
      <c r="E35" s="27">
        <v>-0.79642376979999896</v>
      </c>
      <c r="F35" s="27">
        <v>-1.5420119395999989</v>
      </c>
      <c r="G35" s="27">
        <v>-1.176034454699999</v>
      </c>
      <c r="H35" s="27">
        <v>-0.50017363646666602</v>
      </c>
      <c r="I35" s="27">
        <v>-0.94653221224999995</v>
      </c>
      <c r="J35" s="27">
        <v>-1.0680485455833331</v>
      </c>
      <c r="K35" s="27">
        <v>-0.69552563646666599</v>
      </c>
      <c r="L35" s="27">
        <v>-0.61755296979999896</v>
      </c>
      <c r="M35" s="27">
        <v>-1.337053454699999</v>
      </c>
      <c r="N35" s="27">
        <v>-0.5650628031333329</v>
      </c>
      <c r="O35" s="27">
        <v>-1.566663206266665</v>
      </c>
      <c r="P35" s="27">
        <v>-0.98989254558333295</v>
      </c>
      <c r="Q35" s="27">
        <v>-3.8108212250002937E-2</v>
      </c>
      <c r="R35" s="27">
        <v>-0.36808921225000002</v>
      </c>
      <c r="S35" s="27">
        <v>-1.579133606266665</v>
      </c>
      <c r="T35" s="27">
        <v>-1.1809556062666651</v>
      </c>
      <c r="U35" s="27">
        <v>-1.566562363816665</v>
      </c>
      <c r="V35" s="27">
        <v>7.1030200003929789E-5</v>
      </c>
      <c r="W35" s="27">
        <v>-1.3641359395999979</v>
      </c>
      <c r="X35" s="27">
        <v>-0.92615887891666593</v>
      </c>
      <c r="Y35" s="27">
        <v>-1.333053454699999</v>
      </c>
      <c r="Z35" s="27">
        <v>-1.3280534546999989</v>
      </c>
      <c r="AA35" s="27">
        <v>-1.5753048333494449E-4</v>
      </c>
      <c r="AB35" s="27">
        <v>-1.095544545583333</v>
      </c>
      <c r="AC35" s="27">
        <v>-1.5630459395999989</v>
      </c>
      <c r="AD35" s="27">
        <v>-1.621363939599999</v>
      </c>
      <c r="AE35" s="27">
        <v>-1.4896979999934329E-4</v>
      </c>
      <c r="AF35" s="27">
        <v>-1.7900712729333319</v>
      </c>
      <c r="AG35" s="27">
        <v>-1.5984606062666651</v>
      </c>
      <c r="AH35" s="27">
        <v>-0.871045636466666</v>
      </c>
      <c r="AI35" s="27">
        <v>-1.196638321366666</v>
      </c>
      <c r="AJ35" s="27">
        <v>-0.60552672734999946</v>
      </c>
      <c r="AK35" s="27">
        <v>-0.86403563646666592</v>
      </c>
      <c r="AL35" s="27">
        <v>-0.6619762455833329</v>
      </c>
      <c r="AM35" s="27">
        <v>-0.97392834558333297</v>
      </c>
      <c r="AN35" s="27">
        <v>-0.95703587891666597</v>
      </c>
      <c r="AO35" s="27">
        <v>-1.2323201213666659</v>
      </c>
      <c r="AP35" s="27">
        <v>-0.74106854558333302</v>
      </c>
      <c r="AQ35" s="27">
        <v>-1.6310892729333319</v>
      </c>
      <c r="AR35" s="27">
        <v>-0.61877627293333193</v>
      </c>
      <c r="AS35" s="27">
        <v>-1.1264354546999991</v>
      </c>
      <c r="AT35" s="27">
        <v>-0.64445946068333271</v>
      </c>
      <c r="AU35" s="27">
        <v>-0.622233394016666</v>
      </c>
      <c r="AV35" s="27">
        <v>-0.69098096979999901</v>
      </c>
      <c r="AW35" s="27">
        <v>-1.03915021225</v>
      </c>
      <c r="AX35" s="27">
        <v>-1.708919272933332</v>
      </c>
      <c r="AY35" s="27">
        <v>-1.233279454699999</v>
      </c>
      <c r="AZ35" s="27">
        <v>-0.93925612136666614</v>
      </c>
      <c r="BA35" s="27">
        <v>-1.1015686971499981</v>
      </c>
      <c r="BB35" s="27">
        <v>-1.5676619395999991</v>
      </c>
      <c r="BC35" s="27">
        <v>-1.109544545583333</v>
      </c>
      <c r="BD35" s="27">
        <v>-0.91382254558333298</v>
      </c>
      <c r="BE35" s="27">
        <v>-1.5555623638166649</v>
      </c>
      <c r="BF35" s="27">
        <v>2.7460598333362007E-4</v>
      </c>
      <c r="BG35" s="27">
        <v>-0.35143239401666537</v>
      </c>
      <c r="BH35" s="27">
        <v>-1.7710314395999991</v>
      </c>
      <c r="BI35" s="27">
        <v>-0.80599678803333208</v>
      </c>
      <c r="BJ35" s="27">
        <v>-0.68893863646666598</v>
      </c>
      <c r="BK35" s="27">
        <v>-4.6263646666622188E-4</v>
      </c>
      <c r="BL35" s="27">
        <v>-1.480338606266665</v>
      </c>
      <c r="BM35" s="27">
        <v>-1.318145606266665</v>
      </c>
      <c r="BN35" s="27">
        <v>-1.604489939599999</v>
      </c>
      <c r="BO35" s="27">
        <v>-0.81288130313333296</v>
      </c>
      <c r="BP35" s="27">
        <v>2.8878775000706902E-4</v>
      </c>
      <c r="BQ35" s="27">
        <v>-1.115544545583333</v>
      </c>
      <c r="BR35" s="27">
        <v>-1.464217030483332</v>
      </c>
      <c r="BS35" s="27">
        <v>-1.340869272933332</v>
      </c>
      <c r="BT35" s="27">
        <v>-0.29774196979999901</v>
      </c>
      <c r="BU35" s="27">
        <v>-0.26076248489999998</v>
      </c>
      <c r="BV35" s="27">
        <v>-1.6170846062666651</v>
      </c>
      <c r="BW35" s="27">
        <v>-1.5575623638166649</v>
      </c>
      <c r="BX35" s="27">
        <v>-1.528324272933332</v>
      </c>
      <c r="BY35" s="27">
        <v>-1.206186121366666</v>
      </c>
      <c r="BZ35" s="27">
        <v>-0.36562781823333301</v>
      </c>
      <c r="CA35" s="27">
        <v>-1.323545454699999</v>
      </c>
      <c r="CB35" s="27">
        <v>-1.013308734938311</v>
      </c>
      <c r="CC35" s="33">
        <v>-78.024772590249924</v>
      </c>
    </row>
    <row r="36" spans="1:81" x14ac:dyDescent="0.25">
      <c r="A36" s="23">
        <v>35</v>
      </c>
      <c r="B36" s="25">
        <v>17</v>
      </c>
      <c r="C36" s="27">
        <v>-1.426886893999999</v>
      </c>
      <c r="D36" s="27">
        <v>-1.4992117273333321</v>
      </c>
      <c r="E36" s="27">
        <v>-0.54712086366666601</v>
      </c>
      <c r="F36" s="27">
        <v>-1.482211727333332</v>
      </c>
      <c r="G36" s="27">
        <v>-1.0921697954999989</v>
      </c>
      <c r="H36" s="27">
        <v>-0.133696863666666</v>
      </c>
      <c r="I36" s="27">
        <v>-0.8238829962499995</v>
      </c>
      <c r="J36" s="27">
        <v>-0.69824466291666543</v>
      </c>
      <c r="K36" s="27">
        <v>-0.54309586366666596</v>
      </c>
      <c r="L36" s="27">
        <v>-0.552162863666666</v>
      </c>
      <c r="M36" s="27">
        <v>-1.108408795499999</v>
      </c>
      <c r="N36" s="27">
        <v>-0.45680086366666589</v>
      </c>
      <c r="O36" s="27">
        <v>-1.4761637273333319</v>
      </c>
      <c r="P36" s="27">
        <v>-0.7417413295833325</v>
      </c>
      <c r="Q36" s="27">
        <v>-0.20144566291666541</v>
      </c>
      <c r="R36" s="27">
        <v>-1.3199625000259729E-4</v>
      </c>
      <c r="S36" s="27">
        <v>-1.3802817273333321</v>
      </c>
      <c r="T36" s="27">
        <v>-1.2596647273333319</v>
      </c>
      <c r="U36" s="27">
        <v>-1.262265261416665</v>
      </c>
      <c r="V36" s="27">
        <v>2.8813633333302918E-4</v>
      </c>
      <c r="W36" s="27">
        <v>-1.1893560606666651</v>
      </c>
      <c r="X36" s="27">
        <v>-2.6566291666257902E-4</v>
      </c>
      <c r="Y36" s="27">
        <v>-1.104408795499999</v>
      </c>
      <c r="Z36" s="27">
        <v>-1.0994087954999989</v>
      </c>
      <c r="AA36" s="27">
        <v>-0.6830258614166651</v>
      </c>
      <c r="AB36" s="27">
        <v>-0.90500732958333241</v>
      </c>
      <c r="AC36" s="27">
        <v>-1.380642393999999</v>
      </c>
      <c r="AD36" s="27">
        <v>-1.484211727333332</v>
      </c>
      <c r="AE36" s="27">
        <v>-4.8456366666593809E-4</v>
      </c>
      <c r="AF36" s="27">
        <v>-1.4852117273333321</v>
      </c>
      <c r="AG36" s="27">
        <v>-1.480211727333332</v>
      </c>
      <c r="AH36" s="27">
        <v>-0.72560586366666591</v>
      </c>
      <c r="AI36" s="27">
        <v>-0.80042879549999912</v>
      </c>
      <c r="AJ36" s="27">
        <v>-0.30929906441666638</v>
      </c>
      <c r="AK36" s="27">
        <v>-0.50186986366666597</v>
      </c>
      <c r="AL36" s="27">
        <v>-4.587295833325955E-4</v>
      </c>
      <c r="AM36" s="27">
        <v>-0.4009396629166655</v>
      </c>
      <c r="AN36" s="27">
        <v>-0.68887632958333245</v>
      </c>
      <c r="AO36" s="27">
        <v>-0.94776212883333211</v>
      </c>
      <c r="AP36" s="27">
        <v>-0.75181066291666543</v>
      </c>
      <c r="AQ36" s="27">
        <v>-1.279739060666665</v>
      </c>
      <c r="AR36" s="27">
        <v>-1.176807060666665</v>
      </c>
      <c r="AS36" s="27">
        <v>-0.90627079549999912</v>
      </c>
      <c r="AT36" s="27">
        <v>-0.33823119774999938</v>
      </c>
      <c r="AU36" s="27">
        <v>-0.34148106441666642</v>
      </c>
      <c r="AV36" s="27">
        <v>-0.52643719699999891</v>
      </c>
      <c r="AW36" s="27">
        <v>-0.51945599624999939</v>
      </c>
      <c r="AX36" s="27">
        <v>-1.482923727333332</v>
      </c>
      <c r="AY36" s="27">
        <v>-0.90850479549999907</v>
      </c>
      <c r="AZ36" s="27">
        <v>-4.8879549999913258E-4</v>
      </c>
      <c r="BA36" s="27">
        <v>-0.958137261416665</v>
      </c>
      <c r="BB36" s="27">
        <v>4.8827266666795488E-4</v>
      </c>
      <c r="BC36" s="27">
        <v>-0.91486499624999917</v>
      </c>
      <c r="BD36" s="27">
        <v>-0.46563566291666553</v>
      </c>
      <c r="BE36" s="27">
        <v>-1.288810261416665</v>
      </c>
      <c r="BF36" s="27">
        <v>5.4602250000646002E-5</v>
      </c>
      <c r="BG36" s="27">
        <v>4.6935583330465207E-5</v>
      </c>
      <c r="BH36" s="27">
        <v>-1.1606970606666649</v>
      </c>
      <c r="BI36" s="27">
        <v>-0.92449779549999911</v>
      </c>
      <c r="BJ36" s="27">
        <v>-0.64359186366666599</v>
      </c>
      <c r="BK36" s="27">
        <v>-2.6586366666592198E-4</v>
      </c>
      <c r="BL36" s="27">
        <v>-0.99801239399999786</v>
      </c>
      <c r="BM36" s="27">
        <v>-1.223717727333332</v>
      </c>
      <c r="BN36" s="27">
        <v>-1.1278707273333319</v>
      </c>
      <c r="BO36" s="27">
        <v>-0.62133319699999889</v>
      </c>
      <c r="BP36" s="27">
        <v>-3.3826291666538832E-4</v>
      </c>
      <c r="BQ36" s="27">
        <v>-0.7295293295833325</v>
      </c>
      <c r="BR36" s="27">
        <v>-1.233848594749998</v>
      </c>
      <c r="BS36" s="27">
        <v>-0.3396110606666618</v>
      </c>
      <c r="BT36" s="27">
        <v>-3.5089530333331953E-2</v>
      </c>
      <c r="BU36" s="27">
        <v>-0.32980293183333298</v>
      </c>
      <c r="BV36" s="27">
        <v>-1.397068060666665</v>
      </c>
      <c r="BW36" s="27">
        <v>-1.290810261416665</v>
      </c>
      <c r="BX36" s="27">
        <v>-1.438915727333332</v>
      </c>
      <c r="BY36" s="27">
        <v>-0.70889412883333214</v>
      </c>
      <c r="BZ36" s="27">
        <v>-0.34080293183333299</v>
      </c>
      <c r="CA36" s="27">
        <v>-1.0810754621666661</v>
      </c>
      <c r="CB36" s="27">
        <v>-0.77087736276515051</v>
      </c>
      <c r="CC36" s="33">
        <v>-59.357556932916587</v>
      </c>
    </row>
    <row r="37" spans="1:81" x14ac:dyDescent="0.25">
      <c r="A37" s="23">
        <v>36</v>
      </c>
      <c r="B37" s="25">
        <v>17.5</v>
      </c>
      <c r="C37" s="27">
        <v>-0.97699555453333309</v>
      </c>
      <c r="D37" s="27">
        <v>-1.1859496212</v>
      </c>
      <c r="E37" s="27">
        <v>-0.5236921439333333</v>
      </c>
      <c r="F37" s="27">
        <v>-0.93864762120000012</v>
      </c>
      <c r="G37" s="27">
        <v>-0.86446221590000005</v>
      </c>
      <c r="H37" s="27">
        <v>3.2885606666696598E-4</v>
      </c>
      <c r="I37" s="27">
        <v>-0.57038917991666704</v>
      </c>
      <c r="J37" s="27">
        <v>-0.44875984658333301</v>
      </c>
      <c r="K37" s="27">
        <v>-0.29967814393333297</v>
      </c>
      <c r="L37" s="27">
        <v>-0.55197481059999998</v>
      </c>
      <c r="M37" s="27">
        <v>-0.87346221590000006</v>
      </c>
      <c r="N37" s="27">
        <v>1.6852273332967899E-4</v>
      </c>
      <c r="O37" s="27">
        <v>-0.9268096212000001</v>
      </c>
      <c r="P37" s="27">
        <v>-0.56417584658333297</v>
      </c>
      <c r="Q37" s="27">
        <v>-0.56868284658333301</v>
      </c>
      <c r="R37" s="27">
        <v>4.5215341666599018E-4</v>
      </c>
      <c r="S37" s="27">
        <v>-1.0679629545333329</v>
      </c>
      <c r="T37" s="27">
        <v>-0.93255362120000007</v>
      </c>
      <c r="U37" s="27">
        <v>-0.89805291855000013</v>
      </c>
      <c r="V37" s="27">
        <v>-2.2143933333051979E-5</v>
      </c>
      <c r="W37" s="27">
        <v>-0.98302862120000012</v>
      </c>
      <c r="X37" s="27">
        <v>1.8982008333295891E-4</v>
      </c>
      <c r="Y37" s="27">
        <v>-0.86946221590000006</v>
      </c>
      <c r="Z37" s="27">
        <v>-0.86446221590000005</v>
      </c>
      <c r="AA37" s="27">
        <v>-1.01470591855</v>
      </c>
      <c r="AB37" s="27">
        <v>-0.70921851324999996</v>
      </c>
      <c r="AC37" s="27">
        <v>-1.1439292212000001</v>
      </c>
      <c r="AD37" s="27">
        <v>-0.928796954533333</v>
      </c>
      <c r="AE37" s="27">
        <v>3.0318939999998679E-4</v>
      </c>
      <c r="AF37" s="27">
        <v>-1.160226087866667</v>
      </c>
      <c r="AG37" s="27">
        <v>-1.0466486545333329</v>
      </c>
      <c r="AH37" s="27">
        <v>-0.3489608106</v>
      </c>
      <c r="AI37" s="27">
        <v>-0.47668488256666708</v>
      </c>
      <c r="AJ37" s="27">
        <v>-0.16550144128333311</v>
      </c>
      <c r="AK37" s="27">
        <v>-0.41692081060000002</v>
      </c>
      <c r="AL37" s="27">
        <v>2.1808675000012381E-4</v>
      </c>
      <c r="AM37" s="27">
        <v>-0.38089434658333299</v>
      </c>
      <c r="AN37" s="27">
        <v>-0.475001846583333</v>
      </c>
      <c r="AO37" s="27">
        <v>-0.76932288256666714</v>
      </c>
      <c r="AP37" s="27">
        <v>-0.36576817991666699</v>
      </c>
      <c r="AQ37" s="27">
        <v>-0.97688062120000008</v>
      </c>
      <c r="AR37" s="27">
        <v>-0.84361828786666704</v>
      </c>
      <c r="AS37" s="27">
        <v>-0.62514021590000013</v>
      </c>
      <c r="AT37" s="27">
        <v>-0.40657310795000012</v>
      </c>
      <c r="AU37" s="27">
        <v>-0.33185110795000011</v>
      </c>
      <c r="AV37" s="27">
        <v>-0.27092327726666698</v>
      </c>
      <c r="AW37" s="27">
        <v>-0.53731117991666699</v>
      </c>
      <c r="AX37" s="27">
        <v>-1.1433736212000001</v>
      </c>
      <c r="AY37" s="27">
        <v>-0.4687458825666671</v>
      </c>
      <c r="AZ37" s="27">
        <v>1.144507666697159E-4</v>
      </c>
      <c r="BA37" s="27">
        <v>-0.7150959185500001</v>
      </c>
      <c r="BB37" s="27">
        <v>-2.0954533333172879E-5</v>
      </c>
      <c r="BC37" s="27">
        <v>-0.46893584658333398</v>
      </c>
      <c r="BD37" s="27">
        <v>-0.39542251325</v>
      </c>
      <c r="BE37" s="27">
        <v>-0.94871791855000009</v>
      </c>
      <c r="BF37" s="27">
        <v>-1.354412833300955E-4</v>
      </c>
      <c r="BG37" s="27">
        <v>-1.8060795000114649E-4</v>
      </c>
      <c r="BH37" s="27">
        <v>-1.070701887866667</v>
      </c>
      <c r="BI37" s="27">
        <v>5.5784099999955927E-5</v>
      </c>
      <c r="BJ37" s="27">
        <v>-0.48733147726666698</v>
      </c>
      <c r="BK37" s="27">
        <v>2.5885606666695149E-4</v>
      </c>
      <c r="BL37" s="27">
        <v>-0.76037795453333312</v>
      </c>
      <c r="BM37" s="27">
        <v>-0.87912962120000004</v>
      </c>
      <c r="BN37" s="27">
        <v>-0.96843562120000004</v>
      </c>
      <c r="BO37" s="27">
        <v>-0.54030947726666678</v>
      </c>
      <c r="BP37" s="27">
        <v>1.5048674999995629E-4</v>
      </c>
      <c r="BQ37" s="27">
        <v>-0.56437901324999995</v>
      </c>
      <c r="BR37" s="27">
        <v>-1.0121709185500001</v>
      </c>
      <c r="BS37" s="27">
        <v>-0.56328895453333305</v>
      </c>
      <c r="BT37" s="27">
        <v>-0.17079381060000001</v>
      </c>
      <c r="BU37" s="27">
        <v>-8.9972738633333021E-2</v>
      </c>
      <c r="BV37" s="27">
        <v>-1.0195453333008971E-4</v>
      </c>
      <c r="BW37" s="27">
        <v>-0.90499058521666709</v>
      </c>
      <c r="BX37" s="27">
        <v>-0.92540228786666701</v>
      </c>
      <c r="BY37" s="27">
        <v>-0.82406821590000023</v>
      </c>
      <c r="BZ37" s="27">
        <v>-0.26248740529999998</v>
      </c>
      <c r="CA37" s="27">
        <v>-0.7872318825666671</v>
      </c>
      <c r="CB37" s="27">
        <v>-0.56173590925432904</v>
      </c>
      <c r="CC37" s="33">
        <v>-43.253665012583333</v>
      </c>
    </row>
    <row r="38" spans="1:81" x14ac:dyDescent="0.25">
      <c r="A38" s="23">
        <v>37</v>
      </c>
      <c r="B38" s="25">
        <v>18</v>
      </c>
      <c r="C38" s="27">
        <v>-0.64004426800000103</v>
      </c>
      <c r="D38" s="27">
        <v>-0.88291693466666799</v>
      </c>
      <c r="E38" s="27">
        <v>-0.19061746733333401</v>
      </c>
      <c r="F38" s="27">
        <v>-0.69804660133333507</v>
      </c>
      <c r="G38" s="27">
        <v>-0.52860270100000106</v>
      </c>
      <c r="H38" s="27">
        <v>-3.704673333337904E-4</v>
      </c>
      <c r="I38" s="27">
        <v>-0.30542641750000049</v>
      </c>
      <c r="J38" s="27">
        <v>-0.1636080841666675</v>
      </c>
      <c r="K38" s="27">
        <v>-5.9724134000000977E-2</v>
      </c>
      <c r="L38" s="27">
        <v>-3.7280066666801198E-4</v>
      </c>
      <c r="M38" s="27">
        <v>-0.646187701000001</v>
      </c>
      <c r="N38" s="27">
        <v>-2.8380066666701398E-4</v>
      </c>
      <c r="O38" s="27">
        <v>-0.52979493466666794</v>
      </c>
      <c r="P38" s="27">
        <v>-0.37495975083333449</v>
      </c>
      <c r="Q38" s="27">
        <v>-8.8750833334459017E-5</v>
      </c>
      <c r="R38" s="27">
        <v>-4.7841750000045079E-4</v>
      </c>
      <c r="S38" s="27">
        <v>-0.63629960133333507</v>
      </c>
      <c r="T38" s="27">
        <v>-0.59905426800000106</v>
      </c>
      <c r="U38" s="27">
        <v>-0.76055231783333443</v>
      </c>
      <c r="V38" s="27">
        <v>1.141993333330024E-4</v>
      </c>
      <c r="W38" s="27">
        <v>-0.73092493466666797</v>
      </c>
      <c r="X38" s="27">
        <v>-2.975083333733863E-5</v>
      </c>
      <c r="Y38" s="27">
        <v>-0.642187701000001</v>
      </c>
      <c r="Z38" s="27">
        <v>-0.63718770100000099</v>
      </c>
      <c r="AA38" s="27">
        <v>-0.66598431783333445</v>
      </c>
      <c r="AB38" s="27">
        <v>-0.18757108416666651</v>
      </c>
      <c r="AC38" s="27">
        <v>-0.79504693466666798</v>
      </c>
      <c r="AD38" s="27">
        <v>-0.65463760133333504</v>
      </c>
      <c r="AE38" s="27">
        <v>-4.2780066666381339E-4</v>
      </c>
      <c r="AF38" s="27">
        <v>-0.77632243466666806</v>
      </c>
      <c r="AG38" s="27">
        <v>-0.75699426800000102</v>
      </c>
      <c r="AH38" s="27">
        <v>-0.31566180066666699</v>
      </c>
      <c r="AI38" s="27">
        <v>-0.19794503433333399</v>
      </c>
      <c r="AJ38" s="27">
        <v>-4.8183833333576009E-5</v>
      </c>
      <c r="AK38" s="27">
        <v>-8.8318867333333995E-2</v>
      </c>
      <c r="AL38" s="27">
        <v>-3.0208416666752108E-4</v>
      </c>
      <c r="AM38" s="27">
        <v>-0.38281608416666751</v>
      </c>
      <c r="AN38" s="27">
        <v>-0.34967108416666748</v>
      </c>
      <c r="AO38" s="27">
        <v>-0.47455770100000111</v>
      </c>
      <c r="AP38" s="27">
        <v>-0.43193075083333449</v>
      </c>
      <c r="AQ38" s="27">
        <v>-0.63617660133333498</v>
      </c>
      <c r="AR38" s="27">
        <v>-0.65432693466666803</v>
      </c>
      <c r="AS38" s="27">
        <v>-0.65018770100000101</v>
      </c>
      <c r="AT38" s="27">
        <v>-0.30909385050000049</v>
      </c>
      <c r="AU38" s="27">
        <v>-0.28851785050000051</v>
      </c>
      <c r="AV38" s="27">
        <v>-0.18560046733333399</v>
      </c>
      <c r="AW38" s="27">
        <v>-0.28315241750000048</v>
      </c>
      <c r="AX38" s="27">
        <v>-0.81405293466666806</v>
      </c>
      <c r="AY38" s="27">
        <v>-0.42560803433333411</v>
      </c>
      <c r="AZ38" s="27">
        <v>-2.027010000011098E-4</v>
      </c>
      <c r="BA38" s="27">
        <v>-0.52414565116666756</v>
      </c>
      <c r="BB38" s="27">
        <v>-4.1260133333798082E-4</v>
      </c>
      <c r="BC38" s="27">
        <v>-0.32229308416666752</v>
      </c>
      <c r="BD38" s="27">
        <v>-0.42069325083333448</v>
      </c>
      <c r="BE38" s="27">
        <v>-0.74955231783333442</v>
      </c>
      <c r="BF38" s="27">
        <v>4.2714949999944629E-4</v>
      </c>
      <c r="BG38" s="27">
        <v>-8.9650500000537647E-5</v>
      </c>
      <c r="BH38" s="27">
        <v>-0.72736180133333506</v>
      </c>
      <c r="BI38" s="27">
        <v>-4.1403433333114798E-4</v>
      </c>
      <c r="BJ38" s="27">
        <v>-0.32128646733333399</v>
      </c>
      <c r="BK38" s="27">
        <v>-1.6246733333402649E-4</v>
      </c>
      <c r="BL38" s="27">
        <v>-0.27582526800000112</v>
      </c>
      <c r="BM38" s="27">
        <v>-0.40984893466666811</v>
      </c>
      <c r="BN38" s="27">
        <v>-0.60451033466666804</v>
      </c>
      <c r="BO38" s="27">
        <v>-0.36965846733333402</v>
      </c>
      <c r="BP38" s="27">
        <v>4.0249166662231772E-5</v>
      </c>
      <c r="BQ38" s="27">
        <v>-0.46200825083333452</v>
      </c>
      <c r="BR38" s="27">
        <v>-0.65765865116666744</v>
      </c>
      <c r="BS38" s="27">
        <v>-0.54323493466666806</v>
      </c>
      <c r="BT38" s="27">
        <v>4.4453266666600807E-4</v>
      </c>
      <c r="BU38" s="27">
        <v>-8.5900333337107782E-5</v>
      </c>
      <c r="BV38" s="27">
        <v>-0.47715580133333502</v>
      </c>
      <c r="BW38" s="27">
        <v>-0.75155231783333443</v>
      </c>
      <c r="BX38" s="27">
        <v>-0.74455000133333504</v>
      </c>
      <c r="BY38" s="27">
        <v>-0.28158636766666811</v>
      </c>
      <c r="BZ38" s="27">
        <v>-0.18672923366666699</v>
      </c>
      <c r="CA38" s="27">
        <v>-0.14721970100000101</v>
      </c>
      <c r="CB38" s="27">
        <v>-0.36792109598484951</v>
      </c>
      <c r="CC38" s="33">
        <v>-28.329924390833408</v>
      </c>
    </row>
    <row r="39" spans="1:81" x14ac:dyDescent="0.25">
      <c r="A39" s="23">
        <v>38</v>
      </c>
      <c r="B39" s="25">
        <v>18.5</v>
      </c>
      <c r="C39" s="27">
        <v>-0.43401839266666697</v>
      </c>
      <c r="D39" s="27">
        <v>-0.44107739266666701</v>
      </c>
      <c r="E39" s="27">
        <v>-8.2882363000000014E-2</v>
      </c>
      <c r="F39" s="27">
        <v>-0.55598272600000009</v>
      </c>
      <c r="G39" s="27">
        <v>-0.36739004450000001</v>
      </c>
      <c r="H39" s="27">
        <v>-2.7336300000002639E-4</v>
      </c>
      <c r="I39" s="27">
        <v>-6.7898704166670099E-3</v>
      </c>
      <c r="J39" s="27">
        <v>-0.18915920375</v>
      </c>
      <c r="K39" s="27">
        <v>-8.602966666704237E-5</v>
      </c>
      <c r="L39" s="27">
        <v>-2.0902966666603429E-4</v>
      </c>
      <c r="M39" s="27">
        <v>-0.39880304449999998</v>
      </c>
      <c r="N39" s="27">
        <v>-2.2402966666001939E-4</v>
      </c>
      <c r="O39" s="27">
        <v>-0.42057072600000001</v>
      </c>
      <c r="P39" s="27">
        <v>-1.9970537083333021E-2</v>
      </c>
      <c r="Q39" s="27">
        <v>-0.16691050374999999</v>
      </c>
      <c r="R39" s="27">
        <v>-4.9453708333302426E-4</v>
      </c>
      <c r="S39" s="27">
        <v>-0.28369639266666702</v>
      </c>
      <c r="T39" s="27">
        <v>-0.22654872600000001</v>
      </c>
      <c r="U39" s="27">
        <v>-0.50490688524999994</v>
      </c>
      <c r="V39" s="27">
        <v>-2.0136299999995441E-4</v>
      </c>
      <c r="W39" s="27">
        <v>-0.38859705933333311</v>
      </c>
      <c r="X39" s="27">
        <v>2.752962499999595E-4</v>
      </c>
      <c r="Y39" s="27">
        <v>-0.42306304449999999</v>
      </c>
      <c r="Z39" s="27">
        <v>-0.41806304449999998</v>
      </c>
      <c r="AA39" s="27">
        <v>-0.49390688524999998</v>
      </c>
      <c r="AB39" s="27">
        <v>-0.33156553708333331</v>
      </c>
      <c r="AC39" s="27">
        <v>-0.56581872599999994</v>
      </c>
      <c r="AD39" s="27">
        <v>-5.8185392666667002E-2</v>
      </c>
      <c r="AE39" s="27">
        <v>2.0797033332975451E-4</v>
      </c>
      <c r="AF39" s="27">
        <v>-0.52779395933333306</v>
      </c>
      <c r="AG39" s="27">
        <v>-0.55467472600000001</v>
      </c>
      <c r="AH39" s="27">
        <v>-0.180505363</v>
      </c>
      <c r="AI39" s="27">
        <v>-0.27301937783333302</v>
      </c>
      <c r="AJ39" s="27">
        <v>4.4381108333301991E-4</v>
      </c>
      <c r="AK39" s="27">
        <v>-5.5358829666666998E-2</v>
      </c>
      <c r="AL39" s="27">
        <v>7.0796250000004779E-5</v>
      </c>
      <c r="AM39" s="27">
        <v>-4.8317537083334028E-2</v>
      </c>
      <c r="AN39" s="27">
        <v>-0.29456853708333341</v>
      </c>
      <c r="AO39" s="27">
        <v>-0.33474237783333288</v>
      </c>
      <c r="AP39" s="27">
        <v>-0.34221920374999998</v>
      </c>
      <c r="AQ39" s="27">
        <v>-0.13414109266666699</v>
      </c>
      <c r="AR39" s="27">
        <v>-0.36754039266666699</v>
      </c>
      <c r="AS39" s="27">
        <v>-0.40885771116666669</v>
      </c>
      <c r="AT39" s="27">
        <v>-6.7476555833329843E-3</v>
      </c>
      <c r="AU39" s="27">
        <v>4.9581108333300594E-4</v>
      </c>
      <c r="AV39" s="27">
        <v>4.5597033333300441E-4</v>
      </c>
      <c r="AW39" s="27">
        <v>-0.21617353708333301</v>
      </c>
      <c r="AX39" s="27">
        <v>-0.60075072600000001</v>
      </c>
      <c r="AY39" s="27">
        <v>1.1525550000003949E-4</v>
      </c>
      <c r="AZ39" s="27">
        <v>-3.1537783333299152E-4</v>
      </c>
      <c r="BA39" s="27">
        <v>-0.33220815191666703</v>
      </c>
      <c r="BB39" s="27">
        <v>1.706073333329616E-4</v>
      </c>
      <c r="BC39" s="27">
        <v>-0.23365220375000001</v>
      </c>
      <c r="BD39" s="27">
        <v>-5.5605870416667043E-2</v>
      </c>
      <c r="BE39" s="27">
        <v>-0.49390688524999998</v>
      </c>
      <c r="BF39" s="27">
        <v>1.1381108333299859E-4</v>
      </c>
      <c r="BG39" s="27">
        <v>-4.9918891666694831E-4</v>
      </c>
      <c r="BH39" s="27">
        <v>-0.26294372599999999</v>
      </c>
      <c r="BI39" s="27">
        <v>-4.5404449999996658E-4</v>
      </c>
      <c r="BJ39" s="27">
        <v>-0.189361363</v>
      </c>
      <c r="BK39" s="27">
        <v>-3.1616300000000819E-4</v>
      </c>
      <c r="BL39" s="27">
        <v>-0.37669779266666698</v>
      </c>
      <c r="BM39" s="27">
        <v>-0.21674072600000011</v>
      </c>
      <c r="BN39" s="27">
        <v>-0.45574432599999998</v>
      </c>
      <c r="BO39" s="27">
        <v>-0.197752029666667</v>
      </c>
      <c r="BP39" s="27">
        <v>0.73244746291666996</v>
      </c>
      <c r="BQ39" s="27">
        <v>-0.21791120375</v>
      </c>
      <c r="BR39" s="27">
        <v>-0.37302688524999988</v>
      </c>
      <c r="BS39" s="27">
        <v>-0.39510872600000002</v>
      </c>
      <c r="BT39" s="27">
        <v>2.5630366666695709E-4</v>
      </c>
      <c r="BU39" s="27">
        <v>-2.5068150000001621E-4</v>
      </c>
      <c r="BV39" s="27">
        <v>-0.36088672599999999</v>
      </c>
      <c r="BW39" s="27">
        <v>-0.49590688524999998</v>
      </c>
      <c r="BX39" s="27">
        <v>-0.17219372599999999</v>
      </c>
      <c r="BY39" s="27">
        <v>-8.5822044499999972E-2</v>
      </c>
      <c r="BZ39" s="27">
        <v>-0.1136876815</v>
      </c>
      <c r="CA39" s="27">
        <v>-1.1932511166666991E-2</v>
      </c>
      <c r="CB39" s="27">
        <v>-0.2004243857196969</v>
      </c>
      <c r="CC39" s="33">
        <v>-15.43267770041666</v>
      </c>
    </row>
    <row r="40" spans="1:81" x14ac:dyDescent="0.25">
      <c r="A40" s="23">
        <v>39</v>
      </c>
      <c r="B40" s="25">
        <v>19</v>
      </c>
      <c r="C40" s="27">
        <v>-0.1105757477333332</v>
      </c>
      <c r="D40" s="27">
        <v>-0.3283207477333332</v>
      </c>
      <c r="E40" s="27">
        <v>4.1329280000043661E-4</v>
      </c>
      <c r="F40" s="27">
        <v>-0.31132074773333318</v>
      </c>
      <c r="G40" s="27">
        <v>-0.17056756079999991</v>
      </c>
      <c r="H40" s="27">
        <v>-4.373738666665627E-4</v>
      </c>
      <c r="I40" s="27">
        <v>-2.6113399999921899E-4</v>
      </c>
      <c r="J40" s="27">
        <v>3.301993333338013E-4</v>
      </c>
      <c r="K40" s="27">
        <v>-9.5040533333597133E-5</v>
      </c>
      <c r="L40" s="27">
        <v>-1.8037386666663879E-4</v>
      </c>
      <c r="M40" s="27">
        <v>-0.1536638941333329</v>
      </c>
      <c r="N40" s="27">
        <v>-4.8170719999951478E-4</v>
      </c>
      <c r="O40" s="27">
        <v>-0.1835440810666662</v>
      </c>
      <c r="P40" s="27">
        <v>4.1199333333824528E-5</v>
      </c>
      <c r="Q40" s="27">
        <v>4.3259933333372752E-4</v>
      </c>
      <c r="R40" s="27">
        <v>-2.2646733333320229E-4</v>
      </c>
      <c r="S40" s="27">
        <v>-0.2005257477333332</v>
      </c>
      <c r="T40" s="27">
        <v>-0.1763840810666662</v>
      </c>
      <c r="U40" s="27">
        <v>-0.27528065426666648</v>
      </c>
      <c r="V40" s="27">
        <v>-1.720405333332925E-4</v>
      </c>
      <c r="W40" s="27">
        <v>-0.24289574773333319</v>
      </c>
      <c r="X40" s="27">
        <v>-1.809673333331846E-4</v>
      </c>
      <c r="Y40" s="27">
        <v>-0.22624056079999991</v>
      </c>
      <c r="Z40" s="27">
        <v>-0.2212405607999999</v>
      </c>
      <c r="AA40" s="27">
        <v>-0.2364246542666664</v>
      </c>
      <c r="AB40" s="27">
        <v>-0.1295233006666662</v>
      </c>
      <c r="AC40" s="27">
        <v>-0.16604001440000021</v>
      </c>
      <c r="AD40" s="27">
        <v>-2.010810666661644E-4</v>
      </c>
      <c r="AE40" s="27">
        <v>2.5927629594666741</v>
      </c>
      <c r="AF40" s="27">
        <v>-0.25998741440000023</v>
      </c>
      <c r="AG40" s="27">
        <v>-0.1975860810666662</v>
      </c>
      <c r="AH40" s="27">
        <v>-3.8637386666658813E-4</v>
      </c>
      <c r="AI40" s="27">
        <v>-1.9356079999993669E-4</v>
      </c>
      <c r="AJ40" s="27">
        <v>-2.2328039999997001E-4</v>
      </c>
      <c r="AK40" s="27">
        <v>-4.0707199999573403E-5</v>
      </c>
      <c r="AL40" s="27">
        <v>-8.1467333333168357E-5</v>
      </c>
      <c r="AM40" s="27">
        <v>-3.7717467333333199E-2</v>
      </c>
      <c r="AN40" s="27">
        <v>-7.0197800666666199E-2</v>
      </c>
      <c r="AO40" s="27">
        <v>-0.1532052274666669</v>
      </c>
      <c r="AP40" s="27">
        <v>-0.1782004673333332</v>
      </c>
      <c r="AQ40" s="27">
        <v>-7.0383747733333168E-2</v>
      </c>
      <c r="AR40" s="27">
        <v>-3.1908106666620259E-4</v>
      </c>
      <c r="AS40" s="27">
        <v>-4.6582227466666931E-2</v>
      </c>
      <c r="AT40" s="27">
        <v>-8.53200137333332E-2</v>
      </c>
      <c r="AU40" s="27">
        <v>-2.1144470666666082E-3</v>
      </c>
      <c r="AV40" s="27">
        <v>-1.67738666665973E-5</v>
      </c>
      <c r="AW40" s="27">
        <v>-5.7170800666666188E-2</v>
      </c>
      <c r="AX40" s="27">
        <v>-0.3054607477333332</v>
      </c>
      <c r="AY40" s="27">
        <v>-0.20724056079999989</v>
      </c>
      <c r="AZ40" s="27">
        <v>-4.3560799999925459E-5</v>
      </c>
      <c r="BA40" s="27">
        <v>2.9767906666645401E-4</v>
      </c>
      <c r="BB40" s="27">
        <v>-1.941440000016725E-5</v>
      </c>
      <c r="BC40" s="27">
        <v>8.7532666666823716E-5</v>
      </c>
      <c r="BD40" s="27">
        <v>-9.9926567333333188E-2</v>
      </c>
      <c r="BE40" s="27">
        <v>-0.26428065426666653</v>
      </c>
      <c r="BF40" s="27">
        <v>1.6271960000008301E-4</v>
      </c>
      <c r="BG40" s="27">
        <v>4.3405293332998701E-4</v>
      </c>
      <c r="BH40" s="27">
        <v>1.2758559999981499E-4</v>
      </c>
      <c r="BI40" s="27">
        <v>4.8439200000090221E-5</v>
      </c>
      <c r="BJ40" s="27">
        <v>-0.1311603738666666</v>
      </c>
      <c r="BK40" s="27">
        <v>-9.4707199996602043E-5</v>
      </c>
      <c r="BL40" s="27">
        <v>-8.0548810666661863E-3</v>
      </c>
      <c r="BM40" s="27">
        <v>-0.1033594144000002</v>
      </c>
      <c r="BN40" s="27">
        <v>-4.3241439999919251E-4</v>
      </c>
      <c r="BO40" s="27">
        <v>-0.12876704053333329</v>
      </c>
      <c r="BP40" s="27">
        <v>0.42440853266666678</v>
      </c>
      <c r="BQ40" s="27">
        <v>-0.19320046733333321</v>
      </c>
      <c r="BR40" s="27">
        <v>-7.6712654266666513E-2</v>
      </c>
      <c r="BS40" s="27">
        <v>-6.8170747733333203E-2</v>
      </c>
      <c r="BT40" s="27">
        <v>-3.7937386666664352E-4</v>
      </c>
      <c r="BU40" s="27">
        <v>9.9813066666065708E-5</v>
      </c>
      <c r="BV40" s="27">
        <v>-8.827444773333315E-2</v>
      </c>
      <c r="BW40" s="27">
        <v>-0.26628065426666653</v>
      </c>
      <c r="BX40" s="27">
        <v>-5.474773333315891E-5</v>
      </c>
      <c r="BY40" s="27">
        <v>-4.4822746666690888E-4</v>
      </c>
      <c r="BZ40" s="27">
        <v>-1.9752026666629291E-4</v>
      </c>
      <c r="CA40" s="27">
        <v>3.7970586666707939E-4</v>
      </c>
      <c r="CB40" s="27">
        <v>-4.1779793411255157E-2</v>
      </c>
      <c r="CC40" s="33">
        <v>-3.2170440926666481</v>
      </c>
    </row>
    <row r="41" spans="1:81" x14ac:dyDescent="0.25">
      <c r="A41" s="23">
        <v>40</v>
      </c>
      <c r="B41" s="25">
        <v>19.5</v>
      </c>
      <c r="C41" s="27">
        <v>4.727182666670604E-4</v>
      </c>
      <c r="D41" s="27">
        <v>-6.7159948400000002E-2</v>
      </c>
      <c r="E41" s="27">
        <v>-9.3307533330255765E-5</v>
      </c>
      <c r="F41" s="27">
        <v>4.4805160000000588E-4</v>
      </c>
      <c r="G41" s="27">
        <v>2.1503870000000311E-4</v>
      </c>
      <c r="H41" s="27">
        <v>-1.053075333329323E-4</v>
      </c>
      <c r="I41" s="27">
        <v>-2.0730108333300021E-4</v>
      </c>
      <c r="J41" s="27">
        <v>2.5032249999994149E-5</v>
      </c>
      <c r="K41" s="27">
        <v>4.0335913333300327E-4</v>
      </c>
      <c r="L41" s="27">
        <v>3.7435913333294662E-4</v>
      </c>
      <c r="M41" s="27">
        <v>-4.8562796666701269E-4</v>
      </c>
      <c r="N41" s="27">
        <v>4.0235913333303008E-4</v>
      </c>
      <c r="O41" s="27">
        <v>3.1671826666701541E-4</v>
      </c>
      <c r="P41" s="27">
        <v>1.1369891666699471E-4</v>
      </c>
      <c r="Q41" s="27">
        <v>2.5569891666699101E-4</v>
      </c>
      <c r="R41" s="27">
        <v>4.1103224999999849E-4</v>
      </c>
      <c r="S41" s="27">
        <v>7.605160000001554E-5</v>
      </c>
      <c r="T41" s="27">
        <v>1.0205160000009709E-4</v>
      </c>
      <c r="U41" s="27">
        <v>4.3304515000000538E-4</v>
      </c>
      <c r="V41" s="27">
        <v>3.6359133333996319E-5</v>
      </c>
      <c r="W41" s="27">
        <v>-2.7628173333293932E-4</v>
      </c>
      <c r="X41" s="27">
        <v>-2.1344166669934328E-6</v>
      </c>
      <c r="Y41" s="27">
        <v>-3.0369961300000001E-2</v>
      </c>
      <c r="Z41" s="27">
        <v>-2.53699613E-2</v>
      </c>
      <c r="AA41" s="27">
        <v>-2.896881833329909E-4</v>
      </c>
      <c r="AB41" s="27">
        <v>-2.7096775000001738E-4</v>
      </c>
      <c r="AC41" s="27">
        <v>1.1718493333300049E-4</v>
      </c>
      <c r="AD41" s="27">
        <v>-2.5728173333300353E-4</v>
      </c>
      <c r="AE41" s="27">
        <v>1.4652060257999999</v>
      </c>
      <c r="AF41" s="27">
        <v>2.5738493333302142E-4</v>
      </c>
      <c r="AG41" s="27">
        <v>-2.079483999999909E-4</v>
      </c>
      <c r="AH41" s="27">
        <v>-4.1130753333301628E-4</v>
      </c>
      <c r="AI41" s="27">
        <v>-4.9996130000001804E-4</v>
      </c>
      <c r="AJ41" s="27">
        <v>4.1268601666699661E-4</v>
      </c>
      <c r="AK41" s="27">
        <v>-2.8630753333303011E-4</v>
      </c>
      <c r="AL41" s="27">
        <v>1.1603224999999759E-4</v>
      </c>
      <c r="AM41" s="27">
        <v>-2.1530108333300821E-4</v>
      </c>
      <c r="AN41" s="27">
        <v>-7.4967750000001776E-5</v>
      </c>
      <c r="AO41" s="27">
        <v>-2.8897294633333299E-2</v>
      </c>
      <c r="AP41" s="27">
        <v>4.7836558333300139E-4</v>
      </c>
      <c r="AQ41" s="27">
        <v>4.9905160000007776E-4</v>
      </c>
      <c r="AR41" s="27">
        <v>8.3051599999994785E-5</v>
      </c>
      <c r="AS41" s="27">
        <v>2.1970536666693349E-4</v>
      </c>
      <c r="AT41" s="27">
        <v>-3.4564731666703041E-4</v>
      </c>
      <c r="AU41" s="27">
        <v>-3.7431398333304111E-4</v>
      </c>
      <c r="AV41" s="27">
        <v>3.202580000000177E-5</v>
      </c>
      <c r="AW41" s="27">
        <v>4.0403224999990828E-4</v>
      </c>
      <c r="AX41" s="27">
        <v>4.2005160000000569E-4</v>
      </c>
      <c r="AY41" s="27">
        <v>6.8372033332958493E-5</v>
      </c>
      <c r="AZ41" s="27">
        <v>3.5670536666698732E-4</v>
      </c>
      <c r="BA41" s="27">
        <v>-2.6428818333301679E-4</v>
      </c>
      <c r="BB41" s="27">
        <v>1.157182666670087E-4</v>
      </c>
      <c r="BC41" s="27">
        <v>-6.8967750000037409E-5</v>
      </c>
      <c r="BD41" s="27">
        <v>-3.1363441666698583E-4</v>
      </c>
      <c r="BE41" s="27">
        <v>-3.5764954850000003E-2</v>
      </c>
      <c r="BF41" s="27">
        <v>-9.3139833329813904E-6</v>
      </c>
      <c r="BG41" s="27">
        <v>3.093526833334026E-4</v>
      </c>
      <c r="BH41" s="27">
        <v>1.847182666669944E-4</v>
      </c>
      <c r="BI41" s="27">
        <v>3.2203869999991591E-4</v>
      </c>
      <c r="BJ41" s="27">
        <v>2.4935913333298809E-4</v>
      </c>
      <c r="BK41" s="27">
        <v>3.9235913332991151E-4</v>
      </c>
      <c r="BL41" s="27">
        <v>4.8605159999992598E-4</v>
      </c>
      <c r="BM41" s="27">
        <v>3.1005160000002752E-4</v>
      </c>
      <c r="BN41" s="27">
        <v>4.6405160000007051E-4</v>
      </c>
      <c r="BO41" s="27">
        <v>3.4269246666670389E-4</v>
      </c>
      <c r="BP41" s="27">
        <v>0.205915698916666</v>
      </c>
      <c r="BQ41" s="27">
        <v>4.1836558333299689E-4</v>
      </c>
      <c r="BR41" s="27">
        <v>1.617118166669651E-4</v>
      </c>
      <c r="BS41" s="27">
        <v>-4.0161506666602792E-4</v>
      </c>
      <c r="BT41" s="27">
        <v>-1.0197419999999351E-4</v>
      </c>
      <c r="BU41" s="27">
        <v>7.9346233332999727E-5</v>
      </c>
      <c r="BV41" s="27">
        <v>3.9505160000000671E-4</v>
      </c>
      <c r="BW41" s="27">
        <v>3.7671181666698578E-4</v>
      </c>
      <c r="BX41" s="27">
        <v>-1.0444840000001231E-4</v>
      </c>
      <c r="BY41" s="27">
        <v>-4.032946333330234E-4</v>
      </c>
      <c r="BZ41" s="27">
        <v>3.6601290000001779E-4</v>
      </c>
      <c r="CA41" s="27">
        <v>-1.4396130000005061E-4</v>
      </c>
      <c r="CB41" s="27">
        <v>1.9348938574675359E-2</v>
      </c>
      <c r="CC41" s="33">
        <v>1.4898682702500019</v>
      </c>
    </row>
    <row r="42" spans="1:81" x14ac:dyDescent="0.25">
      <c r="A42" s="23">
        <v>41</v>
      </c>
      <c r="B42" s="25">
        <v>20</v>
      </c>
      <c r="C42" s="27">
        <v>-3.244429333365551E-4</v>
      </c>
      <c r="D42" s="27">
        <v>-9.044293333368425E-5</v>
      </c>
      <c r="E42" s="27">
        <v>-4.9388813333339776E-4</v>
      </c>
      <c r="F42" s="27">
        <v>8.1557066666619604E-5</v>
      </c>
      <c r="G42" s="27">
        <v>1.771677999999888E-4</v>
      </c>
      <c r="H42" s="27">
        <v>-1.8555480000026489E-4</v>
      </c>
      <c r="I42" s="27">
        <v>4.9463983333342121E-4</v>
      </c>
      <c r="J42" s="27">
        <v>2.9097316666631961E-4</v>
      </c>
      <c r="K42" s="27">
        <v>1.8511186666664289E-4</v>
      </c>
      <c r="L42" s="27">
        <v>3.6377853333657839E-4</v>
      </c>
      <c r="M42" s="27">
        <v>-4.8949886666704856E-4</v>
      </c>
      <c r="N42" s="27">
        <v>2.2111866666674199E-5</v>
      </c>
      <c r="O42" s="27">
        <v>3.9155706666732509E-4</v>
      </c>
      <c r="P42" s="27">
        <v>-2.1569349999966961E-4</v>
      </c>
      <c r="Q42" s="27">
        <v>2.2973166663220471E-5</v>
      </c>
      <c r="R42" s="27">
        <v>-2.4469349999972628E-4</v>
      </c>
      <c r="S42" s="27">
        <v>3.4155706666338942E-4</v>
      </c>
      <c r="T42" s="27">
        <v>-2.8177626666670008E-4</v>
      </c>
      <c r="U42" s="27">
        <v>-2.9330423333334341E-4</v>
      </c>
      <c r="V42" s="27">
        <v>-4.5588813333330419E-4</v>
      </c>
      <c r="W42" s="27">
        <v>-4.3844293333361589E-4</v>
      </c>
      <c r="X42" s="27">
        <v>-1.2602683333268189E-4</v>
      </c>
      <c r="Y42" s="27">
        <v>-2.7383219999999042E-4</v>
      </c>
      <c r="Z42" s="27">
        <v>1.771677999999888E-4</v>
      </c>
      <c r="AA42" s="27">
        <v>4.0029099999644442E-5</v>
      </c>
      <c r="AB42" s="27">
        <v>5.6973166666418613E-5</v>
      </c>
      <c r="AC42" s="27">
        <v>-1.3377626666666309E-4</v>
      </c>
      <c r="AD42" s="27">
        <v>1.128904000002873E-4</v>
      </c>
      <c r="AE42" s="27">
        <v>0.60250644519999963</v>
      </c>
      <c r="AF42" s="27">
        <v>1.34890400000337E-4</v>
      </c>
      <c r="AG42" s="27">
        <v>-2.3577626666670959E-4</v>
      </c>
      <c r="AH42" s="27">
        <v>-2.9722146666644189E-4</v>
      </c>
      <c r="AI42" s="27">
        <v>-2.201655333329833E-4</v>
      </c>
      <c r="AJ42" s="27">
        <v>4.8858389999995033E-4</v>
      </c>
      <c r="AK42" s="27">
        <v>-1.3288813333334201E-4</v>
      </c>
      <c r="AL42" s="27">
        <v>4.4497316666636261E-4</v>
      </c>
      <c r="AM42" s="27">
        <v>-3.5369349999969662E-4</v>
      </c>
      <c r="AN42" s="27">
        <v>-4.5236016666667928E-4</v>
      </c>
      <c r="AO42" s="27">
        <v>-2.0549886666701431E-4</v>
      </c>
      <c r="AP42" s="27">
        <v>9.3639833333325484E-5</v>
      </c>
      <c r="AQ42" s="27">
        <v>3.1555706666641647E-4</v>
      </c>
      <c r="AR42" s="27">
        <v>7.8904000003210406E-6</v>
      </c>
      <c r="AS42" s="27">
        <v>2.0216779999993051E-4</v>
      </c>
      <c r="AT42" s="27">
        <v>4.4125056666696749E-4</v>
      </c>
      <c r="AU42" s="27">
        <v>-4.0508276666684218E-4</v>
      </c>
      <c r="AV42" s="27">
        <v>-7.2214666666375882E-6</v>
      </c>
      <c r="AW42" s="27">
        <v>4.126398333333392E-4</v>
      </c>
      <c r="AX42" s="27">
        <v>3.802237333333236E-4</v>
      </c>
      <c r="AY42" s="27">
        <v>-3.0999886666704951E-4</v>
      </c>
      <c r="AZ42" s="27">
        <v>-2.3683220000003671E-4</v>
      </c>
      <c r="BA42" s="27">
        <v>3.1269576666681509E-4</v>
      </c>
      <c r="BB42" s="27">
        <v>1.81557066666338E-4</v>
      </c>
      <c r="BC42" s="27">
        <v>4.9797316666627678E-4</v>
      </c>
      <c r="BD42" s="27">
        <v>-4.7693499999668099E-5</v>
      </c>
      <c r="BE42" s="27">
        <v>-3.05304233333345E-4</v>
      </c>
      <c r="BF42" s="27">
        <v>9.1723333295323783E-7</v>
      </c>
      <c r="BG42" s="27">
        <v>3.6458389999999291E-4</v>
      </c>
      <c r="BH42" s="27">
        <v>2.645570666672814E-4</v>
      </c>
      <c r="BI42" s="27">
        <v>4.3450113333398649E-4</v>
      </c>
      <c r="BJ42" s="27">
        <v>1.181118666666522E-4</v>
      </c>
      <c r="BK42" s="27">
        <v>0.22060244519999969</v>
      </c>
      <c r="BL42" s="27">
        <v>-1.707762666667278E-4</v>
      </c>
      <c r="BM42" s="27">
        <v>-1.14442933333625E-4</v>
      </c>
      <c r="BN42" s="27">
        <v>1.662237333333039E-4</v>
      </c>
      <c r="BO42" s="27">
        <v>-2.7388813333339979E-4</v>
      </c>
      <c r="BP42" s="27">
        <v>0.28184530650000028</v>
      </c>
      <c r="BQ42" s="27">
        <v>-4.8036016666667958E-4</v>
      </c>
      <c r="BR42" s="27">
        <v>-3.0063756666343089E-4</v>
      </c>
      <c r="BS42" s="27">
        <v>-3.0477626666658431E-4</v>
      </c>
      <c r="BT42" s="27">
        <v>-7.5888133333340546E-5</v>
      </c>
      <c r="BU42" s="27">
        <v>1.190559333333896E-4</v>
      </c>
      <c r="BV42" s="27">
        <v>-4.8710959999975772E-4</v>
      </c>
      <c r="BW42" s="27">
        <v>-2.7663756666632122E-4</v>
      </c>
      <c r="BX42" s="27">
        <v>-3.8610959999973987E-4</v>
      </c>
      <c r="BY42" s="27">
        <v>3.4816780000035408E-4</v>
      </c>
      <c r="BZ42" s="27">
        <v>-1.4427740000066969E-4</v>
      </c>
      <c r="CA42" s="27">
        <v>-5.349886666705661E-5</v>
      </c>
      <c r="CB42" s="27">
        <v>1.4326200586580049E-2</v>
      </c>
      <c r="CC42" s="33">
        <v>1.1031174451666641</v>
      </c>
    </row>
    <row r="43" spans="1:81" x14ac:dyDescent="0.25">
      <c r="A43" s="23">
        <v>42</v>
      </c>
      <c r="B43" s="25">
        <v>20.5</v>
      </c>
      <c r="C43" s="27">
        <v>2.7633333333298982E-4</v>
      </c>
      <c r="D43" s="27">
        <v>0</v>
      </c>
      <c r="E43" s="27">
        <v>2.2999999999995249E-4</v>
      </c>
      <c r="F43" s="27">
        <v>-4.6400000000000607E-4</v>
      </c>
      <c r="G43" s="27">
        <v>2.390000000000031E-4</v>
      </c>
      <c r="H43" s="27">
        <v>2.12000000000101E-4</v>
      </c>
      <c r="I43" s="27">
        <v>3.2599999999993751E-4</v>
      </c>
      <c r="J43" s="27">
        <v>1.6533333333330211E-4</v>
      </c>
      <c r="K43" s="27">
        <v>8.4999999999890719E-5</v>
      </c>
      <c r="L43" s="27">
        <v>-4.0999999999957737E-5</v>
      </c>
      <c r="M43" s="27">
        <v>7.7666666666975637E-5</v>
      </c>
      <c r="N43" s="27">
        <v>-2.5699999999995171E-4</v>
      </c>
      <c r="O43" s="27">
        <v>3.2600000000004847E-4</v>
      </c>
      <c r="P43" s="27">
        <v>0</v>
      </c>
      <c r="Q43" s="27">
        <v>-3.9599999999995189E-4</v>
      </c>
      <c r="R43" s="27">
        <v>2.2133333333007599E-4</v>
      </c>
      <c r="S43" s="27">
        <v>1.8266666666699741E-4</v>
      </c>
      <c r="T43" s="27">
        <v>4.9666666666697834E-4</v>
      </c>
      <c r="U43" s="27">
        <v>2.9599999999999071E-4</v>
      </c>
      <c r="V43" s="27">
        <v>4.910000000000192E-4</v>
      </c>
      <c r="W43" s="27">
        <v>1.9199999999997E-4</v>
      </c>
      <c r="X43" s="27">
        <v>3.3333333333300519E-4</v>
      </c>
      <c r="Y43" s="27">
        <v>1.963333333330208E-4</v>
      </c>
      <c r="Z43" s="27">
        <v>0</v>
      </c>
      <c r="AA43" s="27">
        <v>-3.6066666667022851E-4</v>
      </c>
      <c r="AB43" s="27">
        <v>2.376666666670246E-4</v>
      </c>
      <c r="AC43" s="27">
        <v>0</v>
      </c>
      <c r="AD43" s="27">
        <v>2.8033333333010718E-4</v>
      </c>
      <c r="AE43" s="27">
        <v>0.61244333333333301</v>
      </c>
      <c r="AF43" s="27">
        <v>-1.4100000000000221E-4</v>
      </c>
      <c r="AG43" s="27">
        <v>1.3200000000002099E-4</v>
      </c>
      <c r="AH43" s="27">
        <v>-3.4333333333302912E-4</v>
      </c>
      <c r="AI43" s="27">
        <v>-8.7000000000003741E-5</v>
      </c>
      <c r="AJ43" s="27">
        <v>-3.8799999999999951E-4</v>
      </c>
      <c r="AK43" s="27">
        <v>-1.953333333299945E-4</v>
      </c>
      <c r="AL43" s="27">
        <v>8.2000000000026496E-5</v>
      </c>
      <c r="AM43" s="27">
        <v>3.4466666666976842E-4</v>
      </c>
      <c r="AN43" s="27">
        <v>-5.9333333332994842E-5</v>
      </c>
      <c r="AO43" s="27">
        <v>-2.4899999999966619E-5</v>
      </c>
      <c r="AP43" s="27">
        <v>-4.1466666666700741E-4</v>
      </c>
      <c r="AQ43" s="27">
        <v>2.233333333301335E-5</v>
      </c>
      <c r="AR43" s="27">
        <v>4.8366666666699309E-4</v>
      </c>
      <c r="AS43" s="27">
        <v>3.4800000000001502E-4</v>
      </c>
      <c r="AT43" s="27">
        <v>-5.6666666699012316E-6</v>
      </c>
      <c r="AU43" s="27">
        <v>1.200000000003421E-4</v>
      </c>
      <c r="AV43" s="27">
        <v>1.426666666669851E-4</v>
      </c>
      <c r="AW43" s="27">
        <v>2.7200000000004998E-4</v>
      </c>
      <c r="AX43" s="27">
        <v>1.9199999999997E-4</v>
      </c>
      <c r="AY43" s="27">
        <v>1.7266666666698741E-4</v>
      </c>
      <c r="AZ43" s="27">
        <v>-2.9400000000001652E-4</v>
      </c>
      <c r="BA43" s="27">
        <v>-2.8866666666704788E-4</v>
      </c>
      <c r="BB43" s="27">
        <v>2.5633333333296981E-4</v>
      </c>
      <c r="BC43" s="27">
        <v>3.3333333333296361E-4</v>
      </c>
      <c r="BD43" s="27">
        <v>-3.0866666666606868E-4</v>
      </c>
      <c r="BE43" s="27">
        <v>0</v>
      </c>
      <c r="BF43" s="27">
        <v>3.8766666666700811E-4</v>
      </c>
      <c r="BG43" s="27">
        <v>4.9866666666659176E-4</v>
      </c>
      <c r="BH43" s="27">
        <v>-4.3533333333301011E-4</v>
      </c>
      <c r="BI43" s="27">
        <v>-2.8066666666604068E-4</v>
      </c>
      <c r="BJ43" s="27">
        <v>4.3633333333301111E-4</v>
      </c>
      <c r="BK43" s="27">
        <v>0.83949300000000004</v>
      </c>
      <c r="BL43" s="27">
        <v>-4.5999999999990493E-5</v>
      </c>
      <c r="BM43" s="27">
        <v>1.6933333333402081E-4</v>
      </c>
      <c r="BN43" s="27">
        <v>-1.153333333330231E-4</v>
      </c>
      <c r="BO43" s="27">
        <v>-4.1000000000002151E-4</v>
      </c>
      <c r="BP43" s="27">
        <v>1.8943540000000001</v>
      </c>
      <c r="BQ43" s="27">
        <v>0</v>
      </c>
      <c r="BR43" s="27">
        <v>-1.9866666666690241E-4</v>
      </c>
      <c r="BS43" s="27">
        <v>1.6000000000004899E-4</v>
      </c>
      <c r="BT43" s="27">
        <v>4.7799999999997839E-4</v>
      </c>
      <c r="BU43" s="27">
        <v>8.0666666667061904E-5</v>
      </c>
      <c r="BV43" s="27">
        <v>1.573333333329541E-4</v>
      </c>
      <c r="BW43" s="27">
        <v>-2.156666666670026E-4</v>
      </c>
      <c r="BX43" s="27">
        <v>1.069999999999682E-4</v>
      </c>
      <c r="BY43" s="27">
        <v>-3.3133333333301712E-4</v>
      </c>
      <c r="BZ43" s="27">
        <v>3.0666666666695491E-4</v>
      </c>
      <c r="CA43" s="27">
        <v>9.6666666667022394E-5</v>
      </c>
      <c r="CB43" s="27">
        <v>4.351730865800861E-2</v>
      </c>
      <c r="CC43" s="33">
        <v>3.3508327666666631</v>
      </c>
    </row>
    <row r="44" spans="1:81" x14ac:dyDescent="0.25">
      <c r="A44" s="23">
        <v>43</v>
      </c>
      <c r="B44" s="25">
        <v>21</v>
      </c>
      <c r="C44" s="27">
        <v>3.3566666666706713E-4</v>
      </c>
      <c r="D44" s="27">
        <v>0</v>
      </c>
      <c r="E44" s="27">
        <v>-8.7000000000003741E-5</v>
      </c>
      <c r="F44" s="27">
        <v>-8.2666666666980637E-5</v>
      </c>
      <c r="G44" s="27">
        <v>1.9000000000019002E-5</v>
      </c>
      <c r="H44" s="27">
        <v>6.8666666670047505E-5</v>
      </c>
      <c r="I44" s="27">
        <v>2.2366666666695509E-4</v>
      </c>
      <c r="J44" s="27">
        <v>4.0433333333300681E-4</v>
      </c>
      <c r="K44" s="27">
        <v>2.8766666666701912E-4</v>
      </c>
      <c r="L44" s="27">
        <v>1.173333333340798E-4</v>
      </c>
      <c r="M44" s="27">
        <v>1.6999999999989249E-5</v>
      </c>
      <c r="N44" s="27">
        <v>-4.1466666666700741E-4</v>
      </c>
      <c r="O44" s="27">
        <v>2.9999999999974492E-5</v>
      </c>
      <c r="P44" s="27">
        <v>2.7866666666698242E-4</v>
      </c>
      <c r="Q44" s="27">
        <v>-2.5133333333293711E-4</v>
      </c>
      <c r="R44" s="27">
        <v>-1.3499999999999621E-4</v>
      </c>
      <c r="S44" s="27">
        <v>-3.4633333333300431E-4</v>
      </c>
      <c r="T44" s="27">
        <v>-3.8600000000010848E-4</v>
      </c>
      <c r="U44" s="27">
        <v>-3.6983333333298618E-4</v>
      </c>
      <c r="V44" s="27">
        <v>2.2366666666695509E-4</v>
      </c>
      <c r="W44" s="27">
        <v>-2.8800000000001052E-4</v>
      </c>
      <c r="X44" s="27">
        <v>-1.2533333333300531E-4</v>
      </c>
      <c r="Y44" s="27">
        <v>2.8166666666695761E-4</v>
      </c>
      <c r="Z44" s="27">
        <v>0</v>
      </c>
      <c r="AA44" s="27">
        <v>-2.3433333333011669E-4</v>
      </c>
      <c r="AB44" s="27">
        <v>-4.543333333330013E-4</v>
      </c>
      <c r="AC44" s="27">
        <v>0</v>
      </c>
      <c r="AD44" s="27">
        <v>3.0333333332999152E-4</v>
      </c>
      <c r="AE44" s="27">
        <v>0.56213633333333302</v>
      </c>
      <c r="AF44" s="27">
        <v>-4.3066666666696779E-4</v>
      </c>
      <c r="AG44" s="27">
        <v>4.976666666670071E-4</v>
      </c>
      <c r="AH44" s="27">
        <v>1.4333333333299561E-4</v>
      </c>
      <c r="AI44" s="27">
        <v>3.3800000000000502E-4</v>
      </c>
      <c r="AJ44" s="27">
        <v>4.0433333333300681E-4</v>
      </c>
      <c r="AK44" s="27">
        <v>2.2933333333008399E-4</v>
      </c>
      <c r="AL44" s="27">
        <v>-3.2733333333301312E-4</v>
      </c>
      <c r="AM44" s="27">
        <v>-3.8533333333012898E-4</v>
      </c>
      <c r="AN44" s="27">
        <v>1.126666666669829E-4</v>
      </c>
      <c r="AO44" s="27">
        <v>1.5466666666702489E-4</v>
      </c>
      <c r="AP44" s="27">
        <v>2.9399999999990539E-4</v>
      </c>
      <c r="AQ44" s="27">
        <v>1.449999999999507E-4</v>
      </c>
      <c r="AR44" s="27">
        <v>4.656666666670306E-4</v>
      </c>
      <c r="AS44" s="27">
        <v>-2.4800000000002598E-4</v>
      </c>
      <c r="AT44" s="27">
        <v>-3.6300000000000221E-4</v>
      </c>
      <c r="AU44" s="27">
        <v>-2.0600000000003951E-4</v>
      </c>
      <c r="AV44" s="27">
        <v>4.0700000000004621E-4</v>
      </c>
      <c r="AW44" s="27">
        <v>-1.5766666666705559E-4</v>
      </c>
      <c r="AX44" s="27">
        <v>-1.626666666669774E-4</v>
      </c>
      <c r="AY44" s="27">
        <v>-4.8266666666596508E-4</v>
      </c>
      <c r="AZ44" s="27">
        <v>7.9999999999968985E-5</v>
      </c>
      <c r="BA44" s="27">
        <v>4.0299999999993119E-4</v>
      </c>
      <c r="BB44" s="27">
        <v>-4.9266666666702985E-4</v>
      </c>
      <c r="BC44" s="27">
        <v>3.3333333333301912E-4</v>
      </c>
      <c r="BD44" s="27">
        <v>4.2733333333289098E-4</v>
      </c>
      <c r="BE44" s="27">
        <v>0</v>
      </c>
      <c r="BF44" s="27">
        <v>1.929999999999987E-4</v>
      </c>
      <c r="BG44" s="27">
        <v>3.4566666666699391E-4</v>
      </c>
      <c r="BH44" s="27">
        <v>6.7333333332975087E-5</v>
      </c>
      <c r="BI44" s="27">
        <v>2.9999999999996701E-4</v>
      </c>
      <c r="BJ44" s="27">
        <v>3.7900000000000428E-4</v>
      </c>
      <c r="BK44" s="27">
        <v>0.843878666666666</v>
      </c>
      <c r="BL44" s="27">
        <v>-1.8766666666691911E-4</v>
      </c>
      <c r="BM44" s="27">
        <v>-4.6200000000001801E-4</v>
      </c>
      <c r="BN44" s="27">
        <v>4.8333333333294698E-4</v>
      </c>
      <c r="BO44" s="27">
        <v>-4.7999999999992493E-5</v>
      </c>
      <c r="BP44" s="27">
        <v>2.5317813333333299</v>
      </c>
      <c r="BQ44" s="27">
        <v>4.760000000000042E-4</v>
      </c>
      <c r="BR44" s="27">
        <v>2.5200000000002998E-4</v>
      </c>
      <c r="BS44" s="27">
        <v>3.2633333333298431E-4</v>
      </c>
      <c r="BT44" s="27">
        <v>1.6099999999999451E-4</v>
      </c>
      <c r="BU44" s="27">
        <v>4.463333333299957E-4</v>
      </c>
      <c r="BV44" s="27">
        <v>-2.8666666667009899E-5</v>
      </c>
      <c r="BW44" s="27">
        <v>-3.2633333333298431E-4</v>
      </c>
      <c r="BX44" s="27">
        <v>2.1866666666703341E-4</v>
      </c>
      <c r="BY44" s="27">
        <v>-4.336666666669986E-4</v>
      </c>
      <c r="BZ44" s="27">
        <v>-6.6666666665993191E-5</v>
      </c>
      <c r="CA44" s="27">
        <v>1.9666666666706689E-4</v>
      </c>
      <c r="CB44" s="27">
        <v>5.1177712121212089E-2</v>
      </c>
      <c r="CC44" s="33">
        <v>3.9406838333333312</v>
      </c>
    </row>
    <row r="45" spans="1:81" x14ac:dyDescent="0.25">
      <c r="A45" s="23">
        <v>44</v>
      </c>
      <c r="B45" s="25">
        <v>21.5</v>
      </c>
      <c r="C45" s="27">
        <v>-2.8633333333294431E-4</v>
      </c>
      <c r="D45" s="27">
        <v>4.099999999999937E-4</v>
      </c>
      <c r="E45" s="27">
        <v>4.443333333329913E-4</v>
      </c>
      <c r="F45" s="27">
        <v>-4.6400000000000607E-4</v>
      </c>
      <c r="G45" s="27">
        <v>0</v>
      </c>
      <c r="H45" s="27">
        <v>-2.2266666666703741E-4</v>
      </c>
      <c r="I45" s="27">
        <v>-1.073333333330151E-4</v>
      </c>
      <c r="J45" s="27">
        <v>-5.900000000003125E-5</v>
      </c>
      <c r="K45" s="27">
        <v>-4.4033333333404201E-4</v>
      </c>
      <c r="L45" s="27">
        <v>-3.4466666667021251E-4</v>
      </c>
      <c r="M45" s="27">
        <v>-1.7800000000001151E-4</v>
      </c>
      <c r="N45" s="27">
        <v>-3.7566666666705162E-4</v>
      </c>
      <c r="O45" s="27">
        <v>-4.376666666670026E-4</v>
      </c>
      <c r="P45" s="27">
        <v>0</v>
      </c>
      <c r="Q45" s="27">
        <v>-3.0033333333001622E-4</v>
      </c>
      <c r="R45" s="27">
        <v>2.1000000000048761E-5</v>
      </c>
      <c r="S45" s="27">
        <v>-4.2800000000009503E-4</v>
      </c>
      <c r="T45" s="27">
        <v>1.5733333333389779E-4</v>
      </c>
      <c r="U45" s="27">
        <v>-2.5433333333302333E-4</v>
      </c>
      <c r="V45" s="27">
        <v>-1.3933333333330381E-4</v>
      </c>
      <c r="W45" s="27">
        <v>-4.0666666666699941E-4</v>
      </c>
      <c r="X45" s="27">
        <v>1.486666666669911E-4</v>
      </c>
      <c r="Y45" s="27">
        <v>6.3333333332971087E-5</v>
      </c>
      <c r="Z45" s="27">
        <v>-4.0000000000001151E-4</v>
      </c>
      <c r="AA45" s="27">
        <v>4.2000000000097508E-5</v>
      </c>
      <c r="AB45" s="27">
        <v>4.9333333333290152E-4</v>
      </c>
      <c r="AC45" s="27">
        <v>0</v>
      </c>
      <c r="AD45" s="27">
        <v>1.18261066666667</v>
      </c>
      <c r="AE45" s="27">
        <v>0.79888566666666705</v>
      </c>
      <c r="AF45" s="27">
        <v>4.8999999999999044E-4</v>
      </c>
      <c r="AG45" s="27">
        <v>3.3700000000003172E-4</v>
      </c>
      <c r="AH45" s="27">
        <v>-1.4633333333302631E-4</v>
      </c>
      <c r="AI45" s="27">
        <v>1.8800000000002151E-4</v>
      </c>
      <c r="AJ45" s="27">
        <v>1.8666666666999902E-5</v>
      </c>
      <c r="AK45" s="27">
        <v>-3.5600000000002302E-4</v>
      </c>
      <c r="AL45" s="27">
        <v>4.3566666666694509E-4</v>
      </c>
      <c r="AM45" s="27">
        <v>-4.1599999999997189E-4</v>
      </c>
      <c r="AN45" s="27">
        <v>-3.1000000000000472E-4</v>
      </c>
      <c r="AO45" s="27">
        <v>1.023333333330934E-4</v>
      </c>
      <c r="AP45" s="27">
        <v>2.8666666666987689E-4</v>
      </c>
      <c r="AQ45" s="27">
        <v>-2.1533333333301211E-4</v>
      </c>
      <c r="AR45" s="27">
        <v>-2.469999999998862E-4</v>
      </c>
      <c r="AS45" s="27">
        <v>4.9799999999999844E-4</v>
      </c>
      <c r="AT45" s="27">
        <v>-2.9833333333295631E-4</v>
      </c>
      <c r="AU45" s="27">
        <v>2.9733333333301082E-4</v>
      </c>
      <c r="AV45" s="27">
        <v>-4.7733333333305211E-4</v>
      </c>
      <c r="AW45" s="27">
        <v>-9.099999999995223E-5</v>
      </c>
      <c r="AX45" s="27">
        <v>2.7333333333301463E-4</v>
      </c>
      <c r="AY45" s="27">
        <v>-4.4399999999988887E-4</v>
      </c>
      <c r="AZ45" s="27">
        <v>4.0833333333401001E-4</v>
      </c>
      <c r="BA45" s="27">
        <v>1.1433333333304981E-4</v>
      </c>
      <c r="BB45" s="27">
        <v>1.9066666666700541E-4</v>
      </c>
      <c r="BC45" s="27">
        <v>-3.3333333330221042E-6</v>
      </c>
      <c r="BD45" s="27">
        <v>3.5833333333307182E-4</v>
      </c>
      <c r="BE45" s="27">
        <v>3.2599999999999302E-4</v>
      </c>
      <c r="BF45" s="27">
        <v>1.7200000000006099E-4</v>
      </c>
      <c r="BG45" s="27">
        <v>-4.7866666667006902E-4</v>
      </c>
      <c r="BH45" s="27">
        <v>2.8399999999999259E-4</v>
      </c>
      <c r="BI45" s="27">
        <v>-8.7999999999976986E-5</v>
      </c>
      <c r="BJ45" s="27">
        <v>1.3999999999986251E-5</v>
      </c>
      <c r="BK45" s="27">
        <v>0.83569233333333404</v>
      </c>
      <c r="BL45" s="27">
        <v>3.873333333339612E-4</v>
      </c>
      <c r="BM45" s="27">
        <v>-1.9199999999997E-4</v>
      </c>
      <c r="BN45" s="27">
        <v>4.6733333333298649E-4</v>
      </c>
      <c r="BO45" s="27">
        <v>2.6666666667007899E-5</v>
      </c>
      <c r="BP45" s="27">
        <v>1.14769066666667</v>
      </c>
      <c r="BQ45" s="27">
        <v>-3.3333333333299131E-4</v>
      </c>
      <c r="BR45" s="27">
        <v>2.1466666666702941E-4</v>
      </c>
      <c r="BS45" s="27">
        <v>3.0599999999997301E-4</v>
      </c>
      <c r="BT45" s="27">
        <v>-3.5499999999999421E-4</v>
      </c>
      <c r="BU45" s="27">
        <v>0.51873466666666701</v>
      </c>
      <c r="BV45" s="27">
        <v>-4.4333333333301811E-4</v>
      </c>
      <c r="BW45" s="27">
        <v>-2.7566666666700712E-4</v>
      </c>
      <c r="BX45" s="27">
        <v>-4.7733333333299649E-4</v>
      </c>
      <c r="BY45" s="27">
        <v>-1.0666666666603319E-4</v>
      </c>
      <c r="BZ45" s="27">
        <v>-1.8766666666703011E-4</v>
      </c>
      <c r="CA45" s="27">
        <v>-2.7466666666597922E-4</v>
      </c>
      <c r="CB45" s="27">
        <v>5.8188692640692798E-2</v>
      </c>
      <c r="CC45" s="33">
        <v>4.4805293333333456</v>
      </c>
    </row>
    <row r="46" spans="1:81" x14ac:dyDescent="0.25">
      <c r="A46" s="23">
        <v>45</v>
      </c>
      <c r="B46" s="25">
        <v>22</v>
      </c>
      <c r="C46" s="27">
        <v>3.3666666670040257E-5</v>
      </c>
      <c r="D46" s="27">
        <v>2.6333333333300463E-4</v>
      </c>
      <c r="E46" s="27">
        <v>3.6999999999953743E-5</v>
      </c>
      <c r="F46" s="27">
        <v>-8.2666666666980637E-5</v>
      </c>
      <c r="G46" s="27">
        <v>2.5800000000000822E-4</v>
      </c>
      <c r="H46" s="27">
        <v>1.72913566666667</v>
      </c>
      <c r="I46" s="27">
        <v>-3.3666666666587458E-4</v>
      </c>
      <c r="J46" s="27">
        <v>1.7166666666669489E-4</v>
      </c>
      <c r="K46" s="27">
        <v>-4.5633333333305881E-4</v>
      </c>
      <c r="L46" s="27">
        <v>7.0413333333330108E-3</v>
      </c>
      <c r="M46" s="27">
        <v>3.0766666666703912E-4</v>
      </c>
      <c r="N46" s="27">
        <v>-2.076666666669946E-4</v>
      </c>
      <c r="O46" s="27">
        <v>3.7399999999998551E-4</v>
      </c>
      <c r="P46" s="27">
        <v>-5.3333333332988841E-5</v>
      </c>
      <c r="Q46" s="27">
        <v>3.8266666666703092E-4</v>
      </c>
      <c r="R46" s="27">
        <v>3.7433333333303231E-4</v>
      </c>
      <c r="S46" s="27">
        <v>4.4866666666698579E-4</v>
      </c>
      <c r="T46" s="27">
        <v>-2.1499999999996519E-4</v>
      </c>
      <c r="U46" s="27">
        <v>3.956666666669606E-4</v>
      </c>
      <c r="V46" s="27">
        <v>-3.1066666666701442E-4</v>
      </c>
      <c r="W46" s="27">
        <v>-3.4533333333330168E-4</v>
      </c>
      <c r="X46" s="27">
        <v>0</v>
      </c>
      <c r="Y46" s="27">
        <v>-1.4999999999999741E-4</v>
      </c>
      <c r="Z46" s="27">
        <v>0</v>
      </c>
      <c r="AA46" s="27">
        <v>-3.6333333333304912E-4</v>
      </c>
      <c r="AB46" s="27">
        <v>-2.666666666928386E-6</v>
      </c>
      <c r="AC46" s="27">
        <v>-3.6466666666698511E-4</v>
      </c>
      <c r="AD46" s="27">
        <v>0.39623599999999998</v>
      </c>
      <c r="AE46" s="27">
        <v>0.468121333333334</v>
      </c>
      <c r="AF46" s="27">
        <v>1.089999999999702E-4</v>
      </c>
      <c r="AG46" s="27">
        <v>-1.433333333400455E-5</v>
      </c>
      <c r="AH46" s="27">
        <v>-3.8466666666703292E-4</v>
      </c>
      <c r="AI46" s="27">
        <v>2.5333333333299462E-4</v>
      </c>
      <c r="AJ46" s="27">
        <v>9.1999999999980986E-5</v>
      </c>
      <c r="AK46" s="27">
        <v>-3.2133333333006497E-4</v>
      </c>
      <c r="AL46" s="27">
        <v>-3.0299999999999772E-4</v>
      </c>
      <c r="AM46" s="27">
        <v>2.5266666666978738E-4</v>
      </c>
      <c r="AN46" s="27">
        <v>2.6333333333300463E-4</v>
      </c>
      <c r="AO46" s="27">
        <v>-2.8199999999994901E-4</v>
      </c>
      <c r="AP46" s="27">
        <v>1.9556833333333301</v>
      </c>
      <c r="AQ46" s="27">
        <v>-4.0866666666700141E-4</v>
      </c>
      <c r="AR46" s="27">
        <v>1.883333333330128E-4</v>
      </c>
      <c r="AS46" s="27">
        <v>3.4800000000001502E-4</v>
      </c>
      <c r="AT46" s="27">
        <v>2.7999999999994701E-4</v>
      </c>
      <c r="AU46" s="27">
        <v>1.1499999999997621E-4</v>
      </c>
      <c r="AV46" s="27">
        <v>-2.9999999999996701E-4</v>
      </c>
      <c r="AW46" s="27">
        <v>1.966666666669836E-4</v>
      </c>
      <c r="AX46" s="27">
        <v>1.7266666666704289E-4</v>
      </c>
      <c r="AY46" s="27">
        <v>-2.7466666666997602E-4</v>
      </c>
      <c r="AZ46" s="27">
        <v>2.666666666706341E-5</v>
      </c>
      <c r="BA46" s="27">
        <v>-6.1333333333024598E-5</v>
      </c>
      <c r="BB46" s="27">
        <v>-1.736666666669606E-4</v>
      </c>
      <c r="BC46" s="27">
        <v>-2.8866666666693691E-4</v>
      </c>
      <c r="BD46" s="27">
        <v>-4.9299999999996569E-4</v>
      </c>
      <c r="BE46" s="27">
        <v>-3.3799999999999109E-4</v>
      </c>
      <c r="BF46" s="27">
        <v>2.3066666666669841E-4</v>
      </c>
      <c r="BG46" s="27">
        <v>0</v>
      </c>
      <c r="BH46" s="27">
        <v>-8.1999999999998741E-5</v>
      </c>
      <c r="BI46" s="27">
        <v>0</v>
      </c>
      <c r="BJ46" s="27">
        <v>-1.8466666666699941E-4</v>
      </c>
      <c r="BK46" s="27">
        <v>0.55227633333333304</v>
      </c>
      <c r="BL46" s="27">
        <v>2.7066666666697442E-4</v>
      </c>
      <c r="BM46" s="27">
        <v>1.9333333333293459E-4</v>
      </c>
      <c r="BN46" s="27">
        <v>1.8600000000001951E-4</v>
      </c>
      <c r="BO46" s="27">
        <v>-6.8666666666994391E-5</v>
      </c>
      <c r="BP46" s="27">
        <v>0.33702666666666697</v>
      </c>
      <c r="BQ46" s="27">
        <v>2.5833333333302733E-4</v>
      </c>
      <c r="BR46" s="27">
        <v>-1.1333333333296559E-4</v>
      </c>
      <c r="BS46" s="27">
        <v>-9.1333333332999089E-5</v>
      </c>
      <c r="BT46" s="27">
        <v>4.563333333330033E-4</v>
      </c>
      <c r="BU46" s="27">
        <v>0.91003166666666702</v>
      </c>
      <c r="BV46" s="27">
        <v>4.3333333333300811E-4</v>
      </c>
      <c r="BW46" s="27">
        <v>3.909999999999747E-4</v>
      </c>
      <c r="BX46" s="27">
        <v>-8.5333333333020844E-5</v>
      </c>
      <c r="BY46" s="27">
        <v>1.7466666666698941E-4</v>
      </c>
      <c r="BZ46" s="27">
        <v>-2.6166666666699312E-4</v>
      </c>
      <c r="CA46" s="27">
        <v>1.506666666669654E-4</v>
      </c>
      <c r="CB46" s="27">
        <v>8.2548350649350705E-2</v>
      </c>
      <c r="CC46" s="33">
        <v>6.3562230000000044</v>
      </c>
    </row>
    <row r="47" spans="1:81" x14ac:dyDescent="0.25">
      <c r="A47" s="23">
        <v>46</v>
      </c>
      <c r="B47" s="25">
        <v>22.5</v>
      </c>
      <c r="C47" s="27">
        <v>9.3333333330836155E-6</v>
      </c>
      <c r="D47" s="27">
        <v>0</v>
      </c>
      <c r="E47" s="27">
        <v>2.699999999999925E-5</v>
      </c>
      <c r="F47" s="27">
        <v>0</v>
      </c>
      <c r="G47" s="27">
        <v>0</v>
      </c>
      <c r="H47" s="27">
        <v>0.75827966666666702</v>
      </c>
      <c r="I47" s="27">
        <v>2.3000000000006349E-4</v>
      </c>
      <c r="J47" s="27">
        <v>-3.629999999999467E-4</v>
      </c>
      <c r="K47" s="27">
        <v>3.7433333333392049E-4</v>
      </c>
      <c r="L47" s="27">
        <v>0.67263899999999999</v>
      </c>
      <c r="M47" s="27">
        <v>-3.0200000000002453E-4</v>
      </c>
      <c r="N47" s="27">
        <v>1.763333333330008E-4</v>
      </c>
      <c r="O47" s="27">
        <v>-2.6099999999995571E-4</v>
      </c>
      <c r="P47" s="27">
        <v>1.2666666666699691E-4</v>
      </c>
      <c r="Q47" s="27">
        <v>-4.8599999999998639E-4</v>
      </c>
      <c r="R47" s="27">
        <v>0.72793233333333407</v>
      </c>
      <c r="S47" s="27">
        <v>-1.5166666666699411E-4</v>
      </c>
      <c r="T47" s="27">
        <v>1.1333333333030099E-5</v>
      </c>
      <c r="U47" s="27">
        <v>2.4566666666697712E-4</v>
      </c>
      <c r="V47" s="27">
        <v>-3.3333333333299131E-4</v>
      </c>
      <c r="W47" s="27">
        <v>4.7600000000003201E-4</v>
      </c>
      <c r="X47" s="27">
        <v>2.7000000000000629E-4</v>
      </c>
      <c r="Y47" s="27">
        <v>1.313333333329281E-4</v>
      </c>
      <c r="Z47" s="27">
        <v>4.9133333333301055E-4</v>
      </c>
      <c r="AA47" s="27">
        <v>3.5400000000002102E-4</v>
      </c>
      <c r="AB47" s="27">
        <v>3.4333333333302912E-4</v>
      </c>
      <c r="AC47" s="27">
        <v>1.913333333333975E-4</v>
      </c>
      <c r="AD47" s="27">
        <v>0.61279300000000003</v>
      </c>
      <c r="AE47" s="27">
        <v>0.76455300000000004</v>
      </c>
      <c r="AF47" s="27">
        <v>3.9400000000000551E-4</v>
      </c>
      <c r="AG47" s="27">
        <v>1.666666667010652E-6</v>
      </c>
      <c r="AH47" s="27">
        <v>2.6266666666696642E-4</v>
      </c>
      <c r="AI47" s="27">
        <v>1.12000000000001E-4</v>
      </c>
      <c r="AJ47" s="27">
        <v>-4.9533333333298679E-4</v>
      </c>
      <c r="AK47" s="27">
        <v>-1.7600000000006499E-4</v>
      </c>
      <c r="AL47" s="27">
        <v>-7.7333333332985088E-5</v>
      </c>
      <c r="AM47" s="27">
        <v>3.1599999999976092E-4</v>
      </c>
      <c r="AN47" s="27">
        <v>1.0000000000000291E-4</v>
      </c>
      <c r="AO47" s="27">
        <v>-3.1666666666602122E-4</v>
      </c>
      <c r="AP47" s="27">
        <v>0.49304633333333298</v>
      </c>
      <c r="AQ47" s="27">
        <v>3.0266666666697861E-4</v>
      </c>
      <c r="AR47" s="27">
        <v>4.596666666670246E-4</v>
      </c>
      <c r="AS47" s="27">
        <v>-4.4666666666970389E-5</v>
      </c>
      <c r="AT47" s="27">
        <v>-2.31000000000009E-4</v>
      </c>
      <c r="AU47" s="27">
        <v>3.2400000000001872E-4</v>
      </c>
      <c r="AV47" s="27">
        <v>-3.1133333333299712E-4</v>
      </c>
      <c r="AW47" s="27">
        <v>-4.8533333333300449E-4</v>
      </c>
      <c r="AX47" s="27">
        <v>-3.4694469519536142E-18</v>
      </c>
      <c r="AY47" s="27">
        <v>-1.7166666667001171E-4</v>
      </c>
      <c r="AZ47" s="27">
        <v>-1.736666666669606E-4</v>
      </c>
      <c r="BA47" s="27">
        <v>-1.9066666666700541E-4</v>
      </c>
      <c r="BB47" s="27">
        <v>-4.4200000000005352E-4</v>
      </c>
      <c r="BC47" s="27">
        <v>2.1133333333400731E-4</v>
      </c>
      <c r="BD47" s="27">
        <v>3.4100000000000802E-4</v>
      </c>
      <c r="BE47" s="27">
        <v>0</v>
      </c>
      <c r="BF47" s="27">
        <v>-2.6199999999998452E-4</v>
      </c>
      <c r="BG47" s="27">
        <v>3.3466666666698291E-4</v>
      </c>
      <c r="BH47" s="27">
        <v>-4.0566666666699841E-4</v>
      </c>
      <c r="BI47" s="27">
        <v>-8.4000000000000741E-5</v>
      </c>
      <c r="BJ47" s="27">
        <v>0</v>
      </c>
      <c r="BK47" s="27">
        <v>0.455141666666667</v>
      </c>
      <c r="BL47" s="27">
        <v>1.3766666666703559E-4</v>
      </c>
      <c r="BM47" s="27">
        <v>0</v>
      </c>
      <c r="BN47" s="27">
        <v>-3.9600000000006302E-4</v>
      </c>
      <c r="BO47" s="27">
        <v>-4.9733333333301655E-4</v>
      </c>
      <c r="BP47" s="27">
        <v>0.54580933333333304</v>
      </c>
      <c r="BQ47" s="27">
        <v>-1.7266666666698741E-4</v>
      </c>
      <c r="BR47" s="27">
        <v>2.263333333329953E-4</v>
      </c>
      <c r="BS47" s="27">
        <v>-3.7666666666602572E-4</v>
      </c>
      <c r="BT47" s="27">
        <v>2.1666666666697591E-5</v>
      </c>
      <c r="BU47" s="27">
        <v>0.81796766666666598</v>
      </c>
      <c r="BV47" s="27">
        <v>-3.0333333333304457E-4</v>
      </c>
      <c r="BW47" s="27">
        <v>-2.203333333329893E-4</v>
      </c>
      <c r="BX47" s="27">
        <v>5.1666666666991268E-5</v>
      </c>
      <c r="BY47" s="27">
        <v>-3.3666666666698491E-4</v>
      </c>
      <c r="BZ47" s="27">
        <v>-1.4133333333304909E-4</v>
      </c>
      <c r="CA47" s="27">
        <v>1.143333333329943E-4</v>
      </c>
      <c r="CB47" s="27">
        <v>7.5936658008658023E-2</v>
      </c>
      <c r="CC47" s="33">
        <v>5.8471226666666682</v>
      </c>
    </row>
    <row r="48" spans="1:81" x14ac:dyDescent="0.25">
      <c r="A48" s="23">
        <v>47</v>
      </c>
      <c r="B48" s="25">
        <v>23</v>
      </c>
      <c r="C48" s="27">
        <v>3.219999999999335E-4</v>
      </c>
      <c r="D48" s="27">
        <v>-3.5999999999999921E-4</v>
      </c>
      <c r="E48" s="27">
        <v>-1.3966666666703759E-4</v>
      </c>
      <c r="F48" s="27">
        <v>0</v>
      </c>
      <c r="G48" s="27">
        <v>-4.3999999999988493E-5</v>
      </c>
      <c r="H48" s="27">
        <v>2.2277830000000001</v>
      </c>
      <c r="I48" s="27">
        <v>1.6333333330065258E-5</v>
      </c>
      <c r="J48" s="27">
        <v>0</v>
      </c>
      <c r="K48" s="27">
        <v>2.8666666666699042E-4</v>
      </c>
      <c r="L48" s="27">
        <v>6.0999999999999999E-2</v>
      </c>
      <c r="M48" s="27">
        <v>-4.009999999999847E-4</v>
      </c>
      <c r="N48" s="27">
        <v>-3.7333333332945078E-5</v>
      </c>
      <c r="O48" s="27">
        <v>-2.8333333333302457E-4</v>
      </c>
      <c r="P48" s="27">
        <v>9.8666666667024394E-5</v>
      </c>
      <c r="Q48" s="27">
        <v>0.37325233333333302</v>
      </c>
      <c r="R48" s="27">
        <v>0.18880466666666701</v>
      </c>
      <c r="S48" s="27">
        <v>4.399999999999959E-4</v>
      </c>
      <c r="T48" s="27">
        <v>3.9966666666590989E-4</v>
      </c>
      <c r="U48" s="27">
        <v>2.6666666666697042E-4</v>
      </c>
      <c r="V48" s="27">
        <v>1.346666666669771E-4</v>
      </c>
      <c r="W48" s="27">
        <v>-2.8233333333302363E-4</v>
      </c>
      <c r="X48" s="27">
        <v>3.7666666666698318E-4</v>
      </c>
      <c r="Y48" s="27">
        <v>1.013333333330091E-4</v>
      </c>
      <c r="Z48" s="27">
        <v>0</v>
      </c>
      <c r="AA48" s="27">
        <v>-4.320000000000157E-4</v>
      </c>
      <c r="AB48" s="27">
        <v>-1.0999999999983249E-4</v>
      </c>
      <c r="AC48" s="27">
        <v>-4.260000000000097E-4</v>
      </c>
      <c r="AD48" s="27">
        <v>0.406418</v>
      </c>
      <c r="AE48" s="27">
        <v>0.49905633333333399</v>
      </c>
      <c r="AF48" s="27">
        <v>0</v>
      </c>
      <c r="AG48" s="27">
        <v>-3.5200000000001902E-4</v>
      </c>
      <c r="AH48" s="27">
        <v>5.3999999999998487E-5</v>
      </c>
      <c r="AI48" s="27">
        <v>-7.8333333333013844E-5</v>
      </c>
      <c r="AJ48" s="27">
        <v>6.6666666667020147E-5</v>
      </c>
      <c r="AK48" s="27">
        <v>0.70139933333333304</v>
      </c>
      <c r="AL48" s="27">
        <v>-4.200000000000037E-4</v>
      </c>
      <c r="AM48" s="27">
        <v>0.88712799999999992</v>
      </c>
      <c r="AN48" s="27">
        <v>0</v>
      </c>
      <c r="AO48" s="27">
        <v>-3.3933333333302512E-4</v>
      </c>
      <c r="AP48" s="27">
        <v>0.37425966666666699</v>
      </c>
      <c r="AQ48" s="27">
        <v>0</v>
      </c>
      <c r="AR48" s="27">
        <v>-1.0000000000009999E-5</v>
      </c>
      <c r="AS48" s="27">
        <v>-1.3333333333304109E-4</v>
      </c>
      <c r="AT48" s="27">
        <v>-4.8233333333297379E-4</v>
      </c>
      <c r="AU48" s="27">
        <v>-1.6500000000002621E-4</v>
      </c>
      <c r="AV48" s="27">
        <v>3.0600000000000072E-4</v>
      </c>
      <c r="AW48" s="27">
        <v>-4.6999999999963737E-5</v>
      </c>
      <c r="AX48" s="27">
        <v>-3.4694469519536142E-18</v>
      </c>
      <c r="AY48" s="27">
        <v>-2.1399999999993649E-4</v>
      </c>
      <c r="AZ48" s="27">
        <v>1.9333333333329539E-4</v>
      </c>
      <c r="BA48" s="27">
        <v>-4.41999999999998E-4</v>
      </c>
      <c r="BB48" s="27">
        <v>3.7433333333303231E-4</v>
      </c>
      <c r="BC48" s="27">
        <v>2.0000000000019998E-5</v>
      </c>
      <c r="BD48" s="27">
        <v>3.4999999999998921E-4</v>
      </c>
      <c r="BE48" s="27">
        <v>0</v>
      </c>
      <c r="BF48" s="27">
        <v>-1.789999999999847E-4</v>
      </c>
      <c r="BG48" s="27">
        <v>-3.7800000000000328E-4</v>
      </c>
      <c r="BH48" s="27">
        <v>0</v>
      </c>
      <c r="BI48" s="27">
        <v>0</v>
      </c>
      <c r="BJ48" s="27">
        <v>-4.9300000000000732E-4</v>
      </c>
      <c r="BK48" s="27">
        <v>0.45371166666666601</v>
      </c>
      <c r="BL48" s="27">
        <v>-3.9899999999992719E-4</v>
      </c>
      <c r="BM48" s="27">
        <v>-3.8666666666600791E-4</v>
      </c>
      <c r="BN48" s="27">
        <v>-1.3633333333298861E-4</v>
      </c>
      <c r="BO48" s="27">
        <v>0</v>
      </c>
      <c r="BP48" s="27">
        <v>0.34061533333333299</v>
      </c>
      <c r="BQ48" s="27">
        <v>4.3700000000002071E-4</v>
      </c>
      <c r="BR48" s="27">
        <v>-2.370000000000427E-4</v>
      </c>
      <c r="BS48" s="27">
        <v>-3.9999999990047996E-6</v>
      </c>
      <c r="BT48" s="27">
        <v>-4.6266666666694428E-4</v>
      </c>
      <c r="BU48" s="27">
        <v>0.30544500000000002</v>
      </c>
      <c r="BV48" s="27">
        <v>-4.0700000000004621E-4</v>
      </c>
      <c r="BW48" s="27">
        <v>-4.8333333332983841E-5</v>
      </c>
      <c r="BX48" s="27">
        <v>3.7200000000001121E-4</v>
      </c>
      <c r="BY48" s="27">
        <v>3.1766666666704912E-4</v>
      </c>
      <c r="BZ48" s="27">
        <v>-4.9999999999994493E-5</v>
      </c>
      <c r="CA48" s="27">
        <v>2.543333333339115E-4</v>
      </c>
      <c r="CB48" s="27">
        <v>8.8515341991342034E-2</v>
      </c>
      <c r="CC48" s="33">
        <v>6.8156813333333366</v>
      </c>
    </row>
    <row r="49" spans="1:81" x14ac:dyDescent="0.25">
      <c r="A49" s="24">
        <v>48</v>
      </c>
      <c r="B49" s="26">
        <v>23.5</v>
      </c>
      <c r="C49" s="28">
        <v>6.7666666667021147E-5</v>
      </c>
      <c r="D49" s="28">
        <v>3.3333333332996602E-5</v>
      </c>
      <c r="E49" s="28">
        <v>4.9599999999982991E-5</v>
      </c>
      <c r="F49" s="28">
        <v>-8.2666666666980637E-5</v>
      </c>
      <c r="G49" s="28">
        <v>3.0199999999999672E-4</v>
      </c>
      <c r="H49" s="28">
        <v>0.21694833333333399</v>
      </c>
      <c r="I49" s="28">
        <v>0.72825733333333298</v>
      </c>
      <c r="J49" s="28">
        <v>-1.3833333333301831E-4</v>
      </c>
      <c r="K49" s="28">
        <v>0</v>
      </c>
      <c r="L49" s="28">
        <v>0.16529533333333299</v>
      </c>
      <c r="M49" s="28">
        <v>-2.666666666595319E-5</v>
      </c>
      <c r="N49" s="28">
        <v>0.59633499999999995</v>
      </c>
      <c r="O49" s="28">
        <v>2.9833333333301182E-4</v>
      </c>
      <c r="P49" s="28">
        <v>2.533333333339105E-5</v>
      </c>
      <c r="Q49" s="28">
        <v>4.8000000000000001E-2</v>
      </c>
      <c r="R49" s="28">
        <v>4.4999999999999998E-2</v>
      </c>
      <c r="S49" s="28">
        <v>-2.3333333329933481E-6</v>
      </c>
      <c r="T49" s="28">
        <v>1.3099999999999221E-4</v>
      </c>
      <c r="U49" s="28">
        <v>9.666666667018653E-6</v>
      </c>
      <c r="V49" s="28">
        <v>-5.0999999999995493E-5</v>
      </c>
      <c r="W49" s="28">
        <v>-1.7999999999997182E-5</v>
      </c>
      <c r="X49" s="28">
        <v>-3.5333333333298361E-4</v>
      </c>
      <c r="Y49" s="28">
        <v>-1.733333333329701E-4</v>
      </c>
      <c r="Z49" s="28">
        <v>0</v>
      </c>
      <c r="AA49" s="28">
        <v>0</v>
      </c>
      <c r="AB49" s="28">
        <v>3.3333333332996602E-5</v>
      </c>
      <c r="AC49" s="28">
        <v>2.5266666666701187E-4</v>
      </c>
      <c r="AD49" s="28">
        <v>0.44712333333333298</v>
      </c>
      <c r="AE49" s="28">
        <v>5.7909200000000001E-2</v>
      </c>
      <c r="AF49" s="28">
        <v>0</v>
      </c>
      <c r="AG49" s="28">
        <v>3.4666666666699491E-4</v>
      </c>
      <c r="AH49" s="28">
        <v>-4.0666666666699941E-4</v>
      </c>
      <c r="AI49" s="28">
        <v>3.5599999999999521E-4</v>
      </c>
      <c r="AJ49" s="28">
        <v>3.3333333333010473E-5</v>
      </c>
      <c r="AK49" s="28">
        <v>0.28571633333333302</v>
      </c>
      <c r="AL49" s="28">
        <v>0</v>
      </c>
      <c r="AM49" s="28">
        <v>0.54701066666666698</v>
      </c>
      <c r="AN49" s="28">
        <v>0</v>
      </c>
      <c r="AO49" s="28">
        <v>-4.46666666670259E-5</v>
      </c>
      <c r="AP49" s="28">
        <v>0.27930766666666701</v>
      </c>
      <c r="AQ49" s="28">
        <v>2.9399999999998871E-4</v>
      </c>
      <c r="AR49" s="28">
        <v>0</v>
      </c>
      <c r="AS49" s="28">
        <v>-2.0000000000003351E-4</v>
      </c>
      <c r="AT49" s="28">
        <v>0</v>
      </c>
      <c r="AU49" s="28">
        <v>4.0866666666700141E-4</v>
      </c>
      <c r="AV49" s="28">
        <v>-3.7333333333300361E-4</v>
      </c>
      <c r="AW49" s="28">
        <v>-4.7666666666669471E-4</v>
      </c>
      <c r="AX49" s="28">
        <v>-3.4694469519536142E-18</v>
      </c>
      <c r="AY49" s="28">
        <v>0.112359</v>
      </c>
      <c r="AZ49" s="28">
        <v>2.5833333333299962E-4</v>
      </c>
      <c r="BA49" s="28">
        <v>6.0000000000060014E-6</v>
      </c>
      <c r="BB49" s="28">
        <v>2.8899999999998371E-4</v>
      </c>
      <c r="BC49" s="28">
        <v>-2.9733333333298312E-4</v>
      </c>
      <c r="BD49" s="28">
        <v>-8.6000000000030496E-5</v>
      </c>
      <c r="BE49" s="28">
        <v>-1.199999999999812E-5</v>
      </c>
      <c r="BF49" s="28">
        <v>2.6900000000000529E-4</v>
      </c>
      <c r="BG49" s="28">
        <v>-3.1799999999999878E-4</v>
      </c>
      <c r="BH49" s="28">
        <v>1.7966666666700831E-4</v>
      </c>
      <c r="BI49" s="28">
        <v>0</v>
      </c>
      <c r="BJ49" s="28">
        <v>3.2233333333303582E-4</v>
      </c>
      <c r="BK49" s="28">
        <v>0.687666</v>
      </c>
      <c r="BL49" s="28">
        <v>0.44442733333333312</v>
      </c>
      <c r="BM49" s="28">
        <v>0</v>
      </c>
      <c r="BN49" s="28">
        <v>-1.5033333333340501E-4</v>
      </c>
      <c r="BO49" s="28">
        <v>1.513333333329758E-4</v>
      </c>
      <c r="BP49" s="28">
        <v>0.31285800000000002</v>
      </c>
      <c r="BQ49" s="28">
        <v>-2.7233333333298582E-4</v>
      </c>
      <c r="BR49" s="28">
        <v>1.040000000000207E-4</v>
      </c>
      <c r="BS49" s="28">
        <v>-4.609999999999892E-4</v>
      </c>
      <c r="BT49" s="28">
        <v>-3.8766666666700811E-4</v>
      </c>
      <c r="BU49" s="28">
        <v>0.19208500000000001</v>
      </c>
      <c r="BV49" s="28">
        <v>3.93333333332968E-4</v>
      </c>
      <c r="BW49" s="28">
        <v>7.3333333340253049E-6</v>
      </c>
      <c r="BX49" s="28">
        <v>0</v>
      </c>
      <c r="BY49" s="28">
        <v>4.8033333333297179E-4</v>
      </c>
      <c r="BZ49" s="28">
        <v>0</v>
      </c>
      <c r="CA49" s="28">
        <v>-2.4966666666703658E-4</v>
      </c>
      <c r="CB49" s="28">
        <v>6.7101551515151542E-2</v>
      </c>
      <c r="CC49" s="34">
        <v>5.1668194666666691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8"/>
  <sheetViews>
    <sheetView showGridLines="0" workbookViewId="0">
      <selection activeCell="K2" sqref="K2"/>
    </sheetView>
  </sheetViews>
  <sheetFormatPr defaultRowHeight="15" x14ac:dyDescent="0.25"/>
  <cols>
    <col min="1" max="1" width="18.28515625" bestFit="1" customWidth="1"/>
    <col min="2" max="2" width="11.5703125" bestFit="1" customWidth="1"/>
    <col min="3" max="3" width="6.28515625" bestFit="1" customWidth="1"/>
    <col min="4" max="4" width="13.7109375" bestFit="1" customWidth="1"/>
    <col min="5" max="5" width="13.85546875" bestFit="1" customWidth="1"/>
    <col min="6" max="6" width="8.5703125" bestFit="1" customWidth="1"/>
    <col min="7" max="7" width="13.5703125" bestFit="1" customWidth="1"/>
    <col min="8" max="8" width="12" bestFit="1" customWidth="1"/>
    <col min="9" max="9" width="12.140625" bestFit="1" customWidth="1"/>
    <col min="10" max="10" width="8" bestFit="1" customWidth="1"/>
    <col min="11" max="11" width="7.85546875" bestFit="1" customWidth="1"/>
  </cols>
  <sheetData>
    <row r="1" spans="1:11" ht="30" customHeight="1" x14ac:dyDescent="0.25">
      <c r="A1" s="8" t="s">
        <v>116</v>
      </c>
      <c r="B1" s="20" t="s">
        <v>117</v>
      </c>
      <c r="C1" s="20" t="s">
        <v>118</v>
      </c>
      <c r="D1" s="20" t="s">
        <v>119</v>
      </c>
      <c r="E1" s="20" t="s">
        <v>120</v>
      </c>
      <c r="F1" s="20" t="s">
        <v>121</v>
      </c>
      <c r="G1" s="20" t="s">
        <v>122</v>
      </c>
      <c r="H1" s="20" t="s">
        <v>123</v>
      </c>
      <c r="I1" s="20" t="s">
        <v>124</v>
      </c>
      <c r="J1" s="20" t="s">
        <v>125</v>
      </c>
      <c r="K1" s="9" t="s">
        <v>126</v>
      </c>
    </row>
    <row r="2" spans="1:11" x14ac:dyDescent="0.25">
      <c r="A2" s="10" t="s">
        <v>37</v>
      </c>
      <c r="B2" s="21" t="s">
        <v>127</v>
      </c>
      <c r="C2" s="35">
        <v>2</v>
      </c>
      <c r="D2" s="27">
        <v>3.6</v>
      </c>
      <c r="E2" s="27">
        <v>4.2</v>
      </c>
      <c r="F2" s="27">
        <v>32.31</v>
      </c>
      <c r="G2" s="27">
        <v>8.85</v>
      </c>
      <c r="H2" s="27">
        <v>24.27</v>
      </c>
      <c r="I2" s="27">
        <v>2E-3</v>
      </c>
      <c r="J2" s="25">
        <v>24.9</v>
      </c>
      <c r="K2" s="16">
        <v>100</v>
      </c>
    </row>
    <row r="3" spans="1:11" x14ac:dyDescent="0.25">
      <c r="A3" s="10" t="s">
        <v>38</v>
      </c>
      <c r="B3" s="21" t="s">
        <v>128</v>
      </c>
      <c r="C3" s="35">
        <v>1</v>
      </c>
      <c r="D3" s="27">
        <v>3.6</v>
      </c>
      <c r="E3" s="27">
        <v>4.2</v>
      </c>
      <c r="F3" s="27">
        <v>32.31</v>
      </c>
      <c r="G3" s="27">
        <v>3.05</v>
      </c>
      <c r="H3" s="27">
        <v>26.93</v>
      </c>
      <c r="I3" s="27">
        <v>2E-3</v>
      </c>
      <c r="J3" s="25">
        <v>16.600000000000001</v>
      </c>
      <c r="K3" s="16">
        <v>99.9</v>
      </c>
    </row>
    <row r="4" spans="1:11" x14ac:dyDescent="0.25">
      <c r="A4" s="10" t="s">
        <v>39</v>
      </c>
      <c r="B4" s="21" t="s">
        <v>129</v>
      </c>
      <c r="C4" s="35">
        <v>2</v>
      </c>
      <c r="D4" s="27">
        <v>3.6</v>
      </c>
      <c r="E4" s="27">
        <v>4.2</v>
      </c>
      <c r="F4" s="27">
        <v>16.149999999999999</v>
      </c>
      <c r="G4" s="27">
        <v>5.39</v>
      </c>
      <c r="H4" s="27">
        <v>10.49</v>
      </c>
      <c r="I4" s="27">
        <v>2E-3</v>
      </c>
      <c r="J4" s="25">
        <v>35.1</v>
      </c>
      <c r="K4" s="16">
        <v>100</v>
      </c>
    </row>
    <row r="5" spans="1:11" x14ac:dyDescent="0.25">
      <c r="A5" s="10" t="s">
        <v>40</v>
      </c>
      <c r="B5" s="21" t="s">
        <v>130</v>
      </c>
      <c r="C5" s="35">
        <v>3</v>
      </c>
      <c r="D5" s="27">
        <v>3.6</v>
      </c>
      <c r="E5" s="27">
        <v>4.2</v>
      </c>
      <c r="F5" s="27">
        <v>32.31</v>
      </c>
      <c r="G5" s="27">
        <v>4.0199999999999996</v>
      </c>
      <c r="H5" s="27">
        <v>26</v>
      </c>
      <c r="I5" s="27">
        <v>1E-3</v>
      </c>
      <c r="J5" s="25">
        <v>19.5</v>
      </c>
      <c r="K5" s="16">
        <v>100</v>
      </c>
    </row>
    <row r="6" spans="1:11" x14ac:dyDescent="0.25">
      <c r="A6" s="10" t="s">
        <v>41</v>
      </c>
      <c r="B6" s="21" t="s">
        <v>131</v>
      </c>
      <c r="C6" s="35">
        <v>3</v>
      </c>
      <c r="D6" s="27">
        <v>3.6</v>
      </c>
      <c r="E6" s="27">
        <v>4.2</v>
      </c>
      <c r="F6" s="27">
        <v>24.23</v>
      </c>
      <c r="G6" s="27">
        <v>2.6</v>
      </c>
      <c r="H6" s="27">
        <v>19.41</v>
      </c>
      <c r="I6" s="27">
        <v>1E-3</v>
      </c>
      <c r="J6" s="25">
        <v>19.899999999999999</v>
      </c>
      <c r="K6" s="16">
        <v>99.9</v>
      </c>
    </row>
    <row r="7" spans="1:11" x14ac:dyDescent="0.25">
      <c r="A7" s="10" t="s">
        <v>42</v>
      </c>
      <c r="B7" s="21" t="s">
        <v>132</v>
      </c>
      <c r="C7" s="35">
        <v>2</v>
      </c>
      <c r="D7" s="27">
        <v>3.6</v>
      </c>
      <c r="E7" s="27">
        <v>4.2</v>
      </c>
      <c r="F7" s="27">
        <v>16.149999999999999</v>
      </c>
      <c r="G7" s="27">
        <v>12.05</v>
      </c>
      <c r="H7" s="27">
        <v>7.41</v>
      </c>
      <c r="I7" s="27">
        <v>2.4670000000000001</v>
      </c>
      <c r="J7" s="25">
        <v>54.2</v>
      </c>
      <c r="K7" s="16">
        <v>79.5</v>
      </c>
    </row>
    <row r="8" spans="1:11" x14ac:dyDescent="0.25">
      <c r="A8" s="10" t="s">
        <v>43</v>
      </c>
      <c r="B8" s="21" t="s">
        <v>133</v>
      </c>
      <c r="C8" s="35">
        <v>3</v>
      </c>
      <c r="D8" s="27">
        <v>3.6</v>
      </c>
      <c r="E8" s="27">
        <v>4.2</v>
      </c>
      <c r="F8" s="27">
        <v>20.190000000000001</v>
      </c>
      <c r="G8" s="27">
        <v>12.39</v>
      </c>
      <c r="H8" s="27">
        <v>9</v>
      </c>
      <c r="I8" s="27">
        <v>0.36599999999999999</v>
      </c>
      <c r="J8" s="25">
        <v>55.4</v>
      </c>
      <c r="K8" s="16">
        <v>97</v>
      </c>
    </row>
    <row r="9" spans="1:11" x14ac:dyDescent="0.25">
      <c r="A9" s="10" t="s">
        <v>44</v>
      </c>
      <c r="B9" s="21" t="s">
        <v>134</v>
      </c>
      <c r="C9" s="35">
        <v>2</v>
      </c>
      <c r="D9" s="27">
        <v>3.6</v>
      </c>
      <c r="E9" s="27">
        <v>4.2</v>
      </c>
      <c r="F9" s="27">
        <v>20.190000000000001</v>
      </c>
      <c r="G9" s="27">
        <v>5.46</v>
      </c>
      <c r="H9" s="27">
        <v>12.73</v>
      </c>
      <c r="I9" s="27">
        <v>2E-3</v>
      </c>
      <c r="J9" s="25">
        <v>37</v>
      </c>
      <c r="K9" s="16">
        <v>100</v>
      </c>
    </row>
    <row r="10" spans="1:11" x14ac:dyDescent="0.25">
      <c r="A10" s="10" t="s">
        <v>45</v>
      </c>
      <c r="B10" s="21" t="s">
        <v>135</v>
      </c>
      <c r="C10" s="35">
        <v>1</v>
      </c>
      <c r="D10" s="27">
        <v>3.6</v>
      </c>
      <c r="E10" s="27">
        <v>4.2</v>
      </c>
      <c r="F10" s="27">
        <v>16.149999999999999</v>
      </c>
      <c r="G10" s="27">
        <v>5.97</v>
      </c>
      <c r="H10" s="27">
        <v>10.08</v>
      </c>
      <c r="I10" s="27">
        <v>2E-3</v>
      </c>
      <c r="J10" s="25">
        <v>37.6</v>
      </c>
      <c r="K10" s="16">
        <v>100</v>
      </c>
    </row>
    <row r="11" spans="1:11" x14ac:dyDescent="0.25">
      <c r="A11" s="10" t="s">
        <v>46</v>
      </c>
      <c r="B11" s="21" t="s">
        <v>136</v>
      </c>
      <c r="C11" s="35">
        <v>2</v>
      </c>
      <c r="D11" s="27">
        <v>3.6</v>
      </c>
      <c r="E11" s="27">
        <v>4.2</v>
      </c>
      <c r="F11" s="27">
        <v>16.149999999999999</v>
      </c>
      <c r="G11" s="27">
        <v>9.19</v>
      </c>
      <c r="H11" s="27">
        <v>8.26</v>
      </c>
      <c r="I11" s="27">
        <v>0.45400000000000001</v>
      </c>
      <c r="J11" s="25">
        <v>48.9</v>
      </c>
      <c r="K11" s="16">
        <v>95.1</v>
      </c>
    </row>
    <row r="12" spans="1:11" x14ac:dyDescent="0.25">
      <c r="A12" s="10" t="s">
        <v>47</v>
      </c>
      <c r="B12" s="21" t="s">
        <v>137</v>
      </c>
      <c r="C12" s="35">
        <v>1</v>
      </c>
      <c r="D12" s="27">
        <v>3.6</v>
      </c>
      <c r="E12" s="27">
        <v>4.2</v>
      </c>
      <c r="F12" s="27">
        <v>24.23</v>
      </c>
      <c r="G12" s="27">
        <v>5.05</v>
      </c>
      <c r="H12" s="27">
        <v>18.309999999999999</v>
      </c>
      <c r="I12" s="27">
        <v>1E-3</v>
      </c>
      <c r="J12" s="25">
        <v>24.4</v>
      </c>
      <c r="K12" s="16">
        <v>100</v>
      </c>
    </row>
    <row r="13" spans="1:11" x14ac:dyDescent="0.25">
      <c r="A13" s="10" t="s">
        <v>48</v>
      </c>
      <c r="B13" s="21" t="s">
        <v>138</v>
      </c>
      <c r="C13" s="35">
        <v>1</v>
      </c>
      <c r="D13" s="27">
        <v>3.6</v>
      </c>
      <c r="E13" s="27">
        <v>4.2</v>
      </c>
      <c r="F13" s="27">
        <v>16.149999999999999</v>
      </c>
      <c r="G13" s="27">
        <v>10.37</v>
      </c>
      <c r="H13" s="27">
        <v>7.07</v>
      </c>
      <c r="I13" s="27">
        <v>0.498</v>
      </c>
      <c r="J13" s="25">
        <v>56.2</v>
      </c>
      <c r="K13" s="16">
        <v>95.2</v>
      </c>
    </row>
    <row r="14" spans="1:11" x14ac:dyDescent="0.25">
      <c r="A14" s="10" t="s">
        <v>49</v>
      </c>
      <c r="B14" s="21" t="s">
        <v>139</v>
      </c>
      <c r="C14" s="35">
        <v>2</v>
      </c>
      <c r="D14" s="27">
        <v>3.6</v>
      </c>
      <c r="E14" s="27">
        <v>4.2</v>
      </c>
      <c r="F14" s="27">
        <v>32.31</v>
      </c>
      <c r="G14" s="27">
        <v>6.42</v>
      </c>
      <c r="H14" s="27">
        <v>25.29</v>
      </c>
      <c r="I14" s="27">
        <v>2E-3</v>
      </c>
      <c r="J14" s="25">
        <v>21.7</v>
      </c>
      <c r="K14" s="16">
        <v>100</v>
      </c>
    </row>
    <row r="15" spans="1:11" x14ac:dyDescent="0.25">
      <c r="A15" s="10" t="s">
        <v>50</v>
      </c>
      <c r="B15" s="21" t="s">
        <v>140</v>
      </c>
      <c r="C15" s="35">
        <v>3</v>
      </c>
      <c r="D15" s="27">
        <v>3.6</v>
      </c>
      <c r="E15" s="27">
        <v>4.2</v>
      </c>
      <c r="F15" s="27">
        <v>20.190000000000001</v>
      </c>
      <c r="G15" s="27">
        <v>5.52</v>
      </c>
      <c r="H15" s="27">
        <v>12.67</v>
      </c>
      <c r="I15" s="27">
        <v>1E-3</v>
      </c>
      <c r="J15" s="25">
        <v>37.200000000000003</v>
      </c>
      <c r="K15" s="16">
        <v>100</v>
      </c>
    </row>
    <row r="16" spans="1:11" x14ac:dyDescent="0.25">
      <c r="A16" s="10" t="s">
        <v>51</v>
      </c>
      <c r="B16" s="21" t="s">
        <v>141</v>
      </c>
      <c r="C16" s="35">
        <v>3</v>
      </c>
      <c r="D16" s="27">
        <v>3.6</v>
      </c>
      <c r="E16" s="27">
        <v>4.2</v>
      </c>
      <c r="F16" s="27">
        <v>20.190000000000001</v>
      </c>
      <c r="G16" s="27">
        <v>10.98</v>
      </c>
      <c r="H16" s="27">
        <v>10.3</v>
      </c>
      <c r="I16" s="27">
        <v>0.21199999999999999</v>
      </c>
      <c r="J16" s="25">
        <v>49</v>
      </c>
      <c r="K16" s="16">
        <v>98.1</v>
      </c>
    </row>
    <row r="17" spans="1:11" x14ac:dyDescent="0.25">
      <c r="A17" s="10" t="s">
        <v>52</v>
      </c>
      <c r="B17" s="21" t="s">
        <v>142</v>
      </c>
      <c r="C17" s="35">
        <v>1</v>
      </c>
      <c r="D17" s="27">
        <v>3.6</v>
      </c>
      <c r="E17" s="27">
        <v>4.2</v>
      </c>
      <c r="F17" s="27">
        <v>20.190000000000001</v>
      </c>
      <c r="G17" s="27">
        <v>9.3800000000000008</v>
      </c>
      <c r="H17" s="27">
        <v>12.18</v>
      </c>
      <c r="I17" s="27">
        <v>0.48299999999999998</v>
      </c>
      <c r="J17" s="25">
        <v>39.700000000000003</v>
      </c>
      <c r="K17" s="16">
        <v>94.9</v>
      </c>
    </row>
    <row r="18" spans="1:11" x14ac:dyDescent="0.25">
      <c r="A18" s="10" t="s">
        <v>53</v>
      </c>
      <c r="B18" s="21" t="s">
        <v>143</v>
      </c>
      <c r="C18" s="35">
        <v>1</v>
      </c>
      <c r="D18" s="27">
        <v>3.6</v>
      </c>
      <c r="E18" s="27">
        <v>4.2</v>
      </c>
      <c r="F18" s="27">
        <v>32.31</v>
      </c>
      <c r="G18" s="27">
        <v>8.81</v>
      </c>
      <c r="H18" s="27">
        <v>24.18</v>
      </c>
      <c r="I18" s="27">
        <v>2E-3</v>
      </c>
      <c r="J18" s="25">
        <v>25.2</v>
      </c>
      <c r="K18" s="16">
        <v>100</v>
      </c>
    </row>
    <row r="19" spans="1:11" x14ac:dyDescent="0.25">
      <c r="A19" s="10" t="s">
        <v>54</v>
      </c>
      <c r="B19" s="21" t="s">
        <v>144</v>
      </c>
      <c r="C19" s="35">
        <v>1</v>
      </c>
      <c r="D19" s="27">
        <v>3.6</v>
      </c>
      <c r="E19" s="27">
        <v>4.2</v>
      </c>
      <c r="F19" s="27">
        <v>32.31</v>
      </c>
      <c r="G19" s="27">
        <v>10.119999999999999</v>
      </c>
      <c r="H19" s="27">
        <v>22.3</v>
      </c>
      <c r="I19" s="27">
        <v>2E-3</v>
      </c>
      <c r="J19" s="25">
        <v>31</v>
      </c>
      <c r="K19" s="16">
        <v>100</v>
      </c>
    </row>
    <row r="20" spans="1:11" x14ac:dyDescent="0.25">
      <c r="A20" s="10" t="s">
        <v>55</v>
      </c>
      <c r="B20" s="21" t="s">
        <v>145</v>
      </c>
      <c r="C20" s="35">
        <v>2</v>
      </c>
      <c r="D20" s="27">
        <v>3.6</v>
      </c>
      <c r="E20" s="27">
        <v>4.2</v>
      </c>
      <c r="F20" s="27">
        <v>28.27</v>
      </c>
      <c r="G20" s="27">
        <v>3.34</v>
      </c>
      <c r="H20" s="27">
        <v>23.43</v>
      </c>
      <c r="I20" s="27">
        <v>2E-3</v>
      </c>
      <c r="J20" s="25">
        <v>17.100000000000001</v>
      </c>
      <c r="K20" s="16">
        <v>99.9</v>
      </c>
    </row>
    <row r="21" spans="1:11" x14ac:dyDescent="0.25">
      <c r="A21" s="10" t="s">
        <v>56</v>
      </c>
      <c r="B21" s="21" t="s">
        <v>146</v>
      </c>
      <c r="C21" s="35">
        <v>3</v>
      </c>
      <c r="D21" s="27">
        <v>3.6</v>
      </c>
      <c r="E21" s="27">
        <v>4.2</v>
      </c>
      <c r="F21" s="27">
        <v>16.149999999999999</v>
      </c>
      <c r="G21" s="27">
        <v>9.85</v>
      </c>
      <c r="H21" s="27">
        <v>5.57</v>
      </c>
      <c r="I21" s="27">
        <v>2E-3</v>
      </c>
      <c r="J21" s="25">
        <v>65.5</v>
      </c>
      <c r="K21" s="16">
        <v>100</v>
      </c>
    </row>
    <row r="22" spans="1:11" x14ac:dyDescent="0.25">
      <c r="A22" s="10" t="s">
        <v>57</v>
      </c>
      <c r="B22" s="21" t="s">
        <v>147</v>
      </c>
      <c r="C22" s="35">
        <v>3</v>
      </c>
      <c r="D22" s="27">
        <v>3.6</v>
      </c>
      <c r="E22" s="27">
        <v>4.2</v>
      </c>
      <c r="F22" s="27">
        <v>32.31</v>
      </c>
      <c r="G22" s="27">
        <v>9.0399999999999991</v>
      </c>
      <c r="H22" s="27">
        <v>21.82</v>
      </c>
      <c r="I22" s="27">
        <v>2E-3</v>
      </c>
      <c r="J22" s="25">
        <v>32.5</v>
      </c>
      <c r="K22" s="16">
        <v>100</v>
      </c>
    </row>
    <row r="23" spans="1:11" x14ac:dyDescent="0.25">
      <c r="A23" s="10" t="s">
        <v>58</v>
      </c>
      <c r="B23" s="21" t="s">
        <v>148</v>
      </c>
      <c r="C23" s="35">
        <v>1</v>
      </c>
      <c r="D23" s="27">
        <v>3.6</v>
      </c>
      <c r="E23" s="27">
        <v>4.2</v>
      </c>
      <c r="F23" s="27">
        <v>20.190000000000001</v>
      </c>
      <c r="G23" s="27">
        <v>6.27</v>
      </c>
      <c r="H23" s="27">
        <v>12.59</v>
      </c>
      <c r="I23" s="27">
        <v>2E-3</v>
      </c>
      <c r="J23" s="25">
        <v>37.6</v>
      </c>
      <c r="K23" s="16">
        <v>100</v>
      </c>
    </row>
    <row r="24" spans="1:11" x14ac:dyDescent="0.25">
      <c r="A24" s="10" t="s">
        <v>59</v>
      </c>
      <c r="B24" s="21" t="s">
        <v>149</v>
      </c>
      <c r="C24" s="35">
        <v>1</v>
      </c>
      <c r="D24" s="27">
        <v>3.6</v>
      </c>
      <c r="E24" s="27">
        <v>4.2</v>
      </c>
      <c r="F24" s="27">
        <v>24.23</v>
      </c>
      <c r="G24" s="27">
        <v>3.6</v>
      </c>
      <c r="H24" s="27">
        <v>19.600000000000001</v>
      </c>
      <c r="I24" s="27">
        <v>1E-3</v>
      </c>
      <c r="J24" s="25">
        <v>19.100000000000001</v>
      </c>
      <c r="K24" s="16">
        <v>100</v>
      </c>
    </row>
    <row r="25" spans="1:11" x14ac:dyDescent="0.25">
      <c r="A25" s="10" t="s">
        <v>60</v>
      </c>
      <c r="B25" s="21" t="s">
        <v>150</v>
      </c>
      <c r="C25" s="35">
        <v>1</v>
      </c>
      <c r="D25" s="27">
        <v>3.6</v>
      </c>
      <c r="E25" s="27">
        <v>4.2</v>
      </c>
      <c r="F25" s="27">
        <v>24.23</v>
      </c>
      <c r="G25" s="27">
        <v>6.69</v>
      </c>
      <c r="H25" s="27">
        <v>15.56</v>
      </c>
      <c r="I25" s="27">
        <v>0.22500000000000001</v>
      </c>
      <c r="J25" s="25">
        <v>35.799999999999997</v>
      </c>
      <c r="K25" s="16">
        <v>96.6</v>
      </c>
    </row>
    <row r="26" spans="1:11" x14ac:dyDescent="0.25">
      <c r="A26" s="10" t="s">
        <v>61</v>
      </c>
      <c r="B26" s="21" t="s">
        <v>151</v>
      </c>
      <c r="C26" s="35">
        <v>1</v>
      </c>
      <c r="D26" s="27">
        <v>3.6</v>
      </c>
      <c r="E26" s="27">
        <v>4.2</v>
      </c>
      <c r="F26" s="27">
        <v>28.27</v>
      </c>
      <c r="G26" s="27">
        <v>6.2</v>
      </c>
      <c r="H26" s="27">
        <v>22.1</v>
      </c>
      <c r="I26" s="27">
        <v>1E-3</v>
      </c>
      <c r="J26" s="25">
        <v>21.8</v>
      </c>
      <c r="K26" s="16">
        <v>100</v>
      </c>
    </row>
    <row r="27" spans="1:11" x14ac:dyDescent="0.25">
      <c r="A27" s="10" t="s">
        <v>62</v>
      </c>
      <c r="B27" s="21" t="s">
        <v>152</v>
      </c>
      <c r="C27" s="35">
        <v>1</v>
      </c>
      <c r="D27" s="27">
        <v>3.6</v>
      </c>
      <c r="E27" s="27">
        <v>4.2</v>
      </c>
      <c r="F27" s="27">
        <v>20.190000000000001</v>
      </c>
      <c r="G27" s="27">
        <v>9.27</v>
      </c>
      <c r="H27" s="27">
        <v>11.52</v>
      </c>
      <c r="I27" s="27">
        <v>2E-3</v>
      </c>
      <c r="J27" s="25">
        <v>42.9</v>
      </c>
      <c r="K27" s="16">
        <v>100</v>
      </c>
    </row>
    <row r="28" spans="1:11" x14ac:dyDescent="0.25">
      <c r="A28" s="10" t="s">
        <v>63</v>
      </c>
      <c r="B28" s="21" t="s">
        <v>153</v>
      </c>
      <c r="C28" s="35">
        <v>3</v>
      </c>
      <c r="D28" s="27">
        <v>3.6</v>
      </c>
      <c r="E28" s="27">
        <v>4.2</v>
      </c>
      <c r="F28" s="27">
        <v>32.31</v>
      </c>
      <c r="G28" s="27">
        <v>4.49</v>
      </c>
      <c r="H28" s="27">
        <v>25.52</v>
      </c>
      <c r="I28" s="27">
        <v>1E-3</v>
      </c>
      <c r="J28" s="25">
        <v>21</v>
      </c>
      <c r="K28" s="16">
        <v>100</v>
      </c>
    </row>
    <row r="29" spans="1:11" x14ac:dyDescent="0.25">
      <c r="A29" s="10" t="s">
        <v>64</v>
      </c>
      <c r="B29" s="21" t="s">
        <v>154</v>
      </c>
      <c r="C29" s="35">
        <v>3</v>
      </c>
      <c r="D29" s="27">
        <v>3.6</v>
      </c>
      <c r="E29" s="27">
        <v>4.2</v>
      </c>
      <c r="F29" s="27">
        <v>32.31</v>
      </c>
      <c r="G29" s="27">
        <v>8.4600000000000009</v>
      </c>
      <c r="H29" s="27">
        <v>26.22</v>
      </c>
      <c r="I29" s="27">
        <v>1.524</v>
      </c>
      <c r="J29" s="25">
        <v>18.8</v>
      </c>
      <c r="K29" s="16">
        <v>82</v>
      </c>
    </row>
    <row r="30" spans="1:11" x14ac:dyDescent="0.25">
      <c r="A30" s="10" t="s">
        <v>65</v>
      </c>
      <c r="B30" s="21" t="s">
        <v>155</v>
      </c>
      <c r="C30" s="35">
        <v>1</v>
      </c>
      <c r="D30" s="27">
        <v>3.6</v>
      </c>
      <c r="E30" s="27">
        <v>4.2</v>
      </c>
      <c r="F30" s="27">
        <v>16.149999999999999</v>
      </c>
      <c r="G30" s="27">
        <v>15.63</v>
      </c>
      <c r="H30" s="27">
        <v>5.57</v>
      </c>
      <c r="I30" s="27">
        <v>4.3570000000000002</v>
      </c>
      <c r="J30" s="25">
        <v>65.5</v>
      </c>
      <c r="K30" s="16">
        <v>72.099999999999994</v>
      </c>
    </row>
    <row r="31" spans="1:11" x14ac:dyDescent="0.25">
      <c r="A31" s="10" t="s">
        <v>66</v>
      </c>
      <c r="B31" s="21" t="s">
        <v>156</v>
      </c>
      <c r="C31" s="35">
        <v>2</v>
      </c>
      <c r="D31" s="27">
        <v>3.6</v>
      </c>
      <c r="E31" s="27">
        <v>4.2</v>
      </c>
      <c r="F31" s="27">
        <v>32.31</v>
      </c>
      <c r="G31" s="27">
        <v>5.51</v>
      </c>
      <c r="H31" s="27">
        <v>25.39</v>
      </c>
      <c r="I31" s="27">
        <v>2E-3</v>
      </c>
      <c r="J31" s="25">
        <v>21.4</v>
      </c>
      <c r="K31" s="16">
        <v>100</v>
      </c>
    </row>
    <row r="32" spans="1:11" x14ac:dyDescent="0.25">
      <c r="A32" s="10" t="s">
        <v>67</v>
      </c>
      <c r="B32" s="21" t="s">
        <v>157</v>
      </c>
      <c r="C32" s="35">
        <v>2</v>
      </c>
      <c r="D32" s="27">
        <v>3.6</v>
      </c>
      <c r="E32" s="27">
        <v>4.2</v>
      </c>
      <c r="F32" s="27">
        <v>32.31</v>
      </c>
      <c r="G32" s="27">
        <v>6.36</v>
      </c>
      <c r="H32" s="27">
        <v>25.32</v>
      </c>
      <c r="I32" s="27">
        <v>2E-3</v>
      </c>
      <c r="J32" s="25">
        <v>21.6</v>
      </c>
      <c r="K32" s="16">
        <v>100</v>
      </c>
    </row>
    <row r="33" spans="1:11" x14ac:dyDescent="0.25">
      <c r="A33" s="10" t="s">
        <v>68</v>
      </c>
      <c r="B33" s="21" t="s">
        <v>158</v>
      </c>
      <c r="C33" s="35">
        <v>2</v>
      </c>
      <c r="D33" s="27">
        <v>3.6</v>
      </c>
      <c r="E33" s="27">
        <v>4.2</v>
      </c>
      <c r="F33" s="27">
        <v>16.149999999999999</v>
      </c>
      <c r="G33" s="27">
        <v>5.6</v>
      </c>
      <c r="H33" s="27">
        <v>9.7100000000000009</v>
      </c>
      <c r="I33" s="27">
        <v>1E-3</v>
      </c>
      <c r="J33" s="25">
        <v>39.9</v>
      </c>
      <c r="K33" s="16">
        <v>100</v>
      </c>
    </row>
    <row r="34" spans="1:11" x14ac:dyDescent="0.25">
      <c r="A34" s="10" t="s">
        <v>69</v>
      </c>
      <c r="B34" s="21" t="s">
        <v>159</v>
      </c>
      <c r="C34" s="35">
        <v>3</v>
      </c>
      <c r="D34" s="27">
        <v>3.6</v>
      </c>
      <c r="E34" s="27">
        <v>4.2</v>
      </c>
      <c r="F34" s="27">
        <v>24.23</v>
      </c>
      <c r="G34" s="27">
        <v>5.31</v>
      </c>
      <c r="H34" s="27">
        <v>17.63</v>
      </c>
      <c r="I34" s="27">
        <v>1E-3</v>
      </c>
      <c r="J34" s="25">
        <v>27.2</v>
      </c>
      <c r="K34" s="16">
        <v>100</v>
      </c>
    </row>
    <row r="35" spans="1:11" x14ac:dyDescent="0.25">
      <c r="A35" s="10" t="s">
        <v>70</v>
      </c>
      <c r="B35" s="21" t="s">
        <v>160</v>
      </c>
      <c r="C35" s="35">
        <v>3</v>
      </c>
      <c r="D35" s="27">
        <v>3.6</v>
      </c>
      <c r="E35" s="27">
        <v>4.2</v>
      </c>
      <c r="F35" s="27">
        <v>12.11</v>
      </c>
      <c r="G35" s="27">
        <v>10.11</v>
      </c>
      <c r="H35" s="27">
        <v>1.95</v>
      </c>
      <c r="I35" s="27">
        <v>3.0000000000000001E-3</v>
      </c>
      <c r="J35" s="25">
        <v>83.9</v>
      </c>
      <c r="K35" s="16">
        <v>100</v>
      </c>
    </row>
    <row r="36" spans="1:11" x14ac:dyDescent="0.25">
      <c r="A36" s="10" t="s">
        <v>71</v>
      </c>
      <c r="B36" s="21" t="s">
        <v>161</v>
      </c>
      <c r="C36" s="35">
        <v>3</v>
      </c>
      <c r="D36" s="27">
        <v>3.6</v>
      </c>
      <c r="E36" s="27">
        <v>4.2</v>
      </c>
      <c r="F36" s="27">
        <v>16.149999999999999</v>
      </c>
      <c r="G36" s="27">
        <v>10.46</v>
      </c>
      <c r="H36" s="27">
        <v>7.03</v>
      </c>
      <c r="I36" s="27">
        <v>0.496</v>
      </c>
      <c r="J36" s="25">
        <v>56.5</v>
      </c>
      <c r="K36" s="16">
        <v>95.3</v>
      </c>
    </row>
    <row r="37" spans="1:11" x14ac:dyDescent="0.25">
      <c r="A37" s="10" t="s">
        <v>72</v>
      </c>
      <c r="B37" s="21" t="s">
        <v>162</v>
      </c>
      <c r="C37" s="35">
        <v>3</v>
      </c>
      <c r="D37" s="27">
        <v>3.6</v>
      </c>
      <c r="E37" s="27">
        <v>4.2</v>
      </c>
      <c r="F37" s="27">
        <v>20.190000000000001</v>
      </c>
      <c r="G37" s="27">
        <v>9.1199999999999992</v>
      </c>
      <c r="H37" s="27">
        <v>9.7899999999999991</v>
      </c>
      <c r="I37" s="27">
        <v>2E-3</v>
      </c>
      <c r="J37" s="25">
        <v>51.5</v>
      </c>
      <c r="K37" s="16">
        <v>100</v>
      </c>
    </row>
    <row r="38" spans="1:11" x14ac:dyDescent="0.25">
      <c r="A38" s="10" t="s">
        <v>73</v>
      </c>
      <c r="B38" s="21" t="s">
        <v>163</v>
      </c>
      <c r="C38" s="35">
        <v>1</v>
      </c>
      <c r="D38" s="27">
        <v>3.6</v>
      </c>
      <c r="E38" s="27">
        <v>4.2</v>
      </c>
      <c r="F38" s="27">
        <v>20.190000000000001</v>
      </c>
      <c r="G38" s="27">
        <v>10.61</v>
      </c>
      <c r="H38" s="27">
        <v>11.18</v>
      </c>
      <c r="I38" s="27">
        <v>0.71799999999999997</v>
      </c>
      <c r="J38" s="25">
        <v>44.6</v>
      </c>
      <c r="K38" s="16">
        <v>93.2</v>
      </c>
    </row>
    <row r="39" spans="1:11" x14ac:dyDescent="0.25">
      <c r="A39" s="10" t="s">
        <v>74</v>
      </c>
      <c r="B39" s="21" t="s">
        <v>164</v>
      </c>
      <c r="C39" s="35">
        <v>1</v>
      </c>
      <c r="D39" s="27">
        <v>3.6</v>
      </c>
      <c r="E39" s="27">
        <v>4.2</v>
      </c>
      <c r="F39" s="27">
        <v>20.190000000000001</v>
      </c>
      <c r="G39" s="27">
        <v>5.87</v>
      </c>
      <c r="H39" s="27">
        <v>12.09</v>
      </c>
      <c r="I39" s="27">
        <v>1E-3</v>
      </c>
      <c r="J39" s="25">
        <v>40.1</v>
      </c>
      <c r="K39" s="16">
        <v>100</v>
      </c>
    </row>
    <row r="40" spans="1:11" x14ac:dyDescent="0.25">
      <c r="A40" s="10" t="s">
        <v>75</v>
      </c>
      <c r="B40" s="21" t="s">
        <v>165</v>
      </c>
      <c r="C40" s="35">
        <v>1</v>
      </c>
      <c r="D40" s="27">
        <v>3.6</v>
      </c>
      <c r="E40" s="27">
        <v>4.2</v>
      </c>
      <c r="F40" s="27">
        <v>24.23</v>
      </c>
      <c r="G40" s="27">
        <v>3.64</v>
      </c>
      <c r="H40" s="27">
        <v>19.329999999999998</v>
      </c>
      <c r="I40" s="27">
        <v>1E-3</v>
      </c>
      <c r="J40" s="25">
        <v>20.2</v>
      </c>
      <c r="K40" s="16">
        <v>100</v>
      </c>
    </row>
    <row r="41" spans="1:11" x14ac:dyDescent="0.25">
      <c r="A41" s="10" t="s">
        <v>76</v>
      </c>
      <c r="B41" s="21" t="s">
        <v>166</v>
      </c>
      <c r="C41" s="35">
        <v>1</v>
      </c>
      <c r="D41" s="27">
        <v>3.6</v>
      </c>
      <c r="E41" s="27">
        <v>4.2</v>
      </c>
      <c r="F41" s="27">
        <v>20.190000000000001</v>
      </c>
      <c r="G41" s="27">
        <v>11.63</v>
      </c>
      <c r="H41" s="27">
        <v>10.86</v>
      </c>
      <c r="I41" s="27">
        <v>1.552</v>
      </c>
      <c r="J41" s="25">
        <v>46.2</v>
      </c>
      <c r="K41" s="16">
        <v>86.7</v>
      </c>
    </row>
    <row r="42" spans="1:11" x14ac:dyDescent="0.25">
      <c r="A42" s="10" t="s">
        <v>77</v>
      </c>
      <c r="B42" s="21" t="s">
        <v>167</v>
      </c>
      <c r="C42" s="35">
        <v>2</v>
      </c>
      <c r="D42" s="27">
        <v>3.6</v>
      </c>
      <c r="E42" s="27">
        <v>4.2</v>
      </c>
      <c r="F42" s="27">
        <v>32.31</v>
      </c>
      <c r="G42" s="27">
        <v>4.26</v>
      </c>
      <c r="H42" s="27">
        <v>27.04</v>
      </c>
      <c r="I42" s="27">
        <v>2E-3</v>
      </c>
      <c r="J42" s="25">
        <v>16.3</v>
      </c>
      <c r="K42" s="16">
        <v>100</v>
      </c>
    </row>
    <row r="43" spans="1:11" x14ac:dyDescent="0.25">
      <c r="A43" s="10" t="s">
        <v>78</v>
      </c>
      <c r="B43" s="21" t="s">
        <v>168</v>
      </c>
      <c r="C43" s="35">
        <v>1</v>
      </c>
      <c r="D43" s="27">
        <v>3.6</v>
      </c>
      <c r="E43" s="27">
        <v>4.2</v>
      </c>
      <c r="F43" s="27">
        <v>32.31</v>
      </c>
      <c r="G43" s="27">
        <v>10.52</v>
      </c>
      <c r="H43" s="27">
        <v>21.27</v>
      </c>
      <c r="I43" s="27">
        <v>2E-3</v>
      </c>
      <c r="J43" s="25">
        <v>34.200000000000003</v>
      </c>
      <c r="K43" s="16">
        <v>100</v>
      </c>
    </row>
    <row r="44" spans="1:11" x14ac:dyDescent="0.25">
      <c r="A44" s="10" t="s">
        <v>79</v>
      </c>
      <c r="B44" s="21" t="s">
        <v>169</v>
      </c>
      <c r="C44" s="35">
        <v>1</v>
      </c>
      <c r="D44" s="27">
        <v>3.6</v>
      </c>
      <c r="E44" s="27">
        <v>4.2</v>
      </c>
      <c r="F44" s="27">
        <v>24.23</v>
      </c>
      <c r="G44" s="27">
        <v>5.52</v>
      </c>
      <c r="H44" s="27">
        <v>18.12</v>
      </c>
      <c r="I44" s="27">
        <v>2E-3</v>
      </c>
      <c r="J44" s="25">
        <v>25.2</v>
      </c>
      <c r="K44" s="16">
        <v>100</v>
      </c>
    </row>
    <row r="45" spans="1:11" x14ac:dyDescent="0.25">
      <c r="A45" s="10" t="s">
        <v>80</v>
      </c>
      <c r="B45" s="21" t="s">
        <v>170</v>
      </c>
      <c r="C45" s="35">
        <v>2</v>
      </c>
      <c r="D45" s="27">
        <v>3.6</v>
      </c>
      <c r="E45" s="27">
        <v>4.2</v>
      </c>
      <c r="F45" s="27">
        <v>12.11</v>
      </c>
      <c r="G45" s="27">
        <v>3.91</v>
      </c>
      <c r="H45" s="27">
        <v>7.25</v>
      </c>
      <c r="I45" s="27">
        <v>1E-3</v>
      </c>
      <c r="J45" s="25">
        <v>40.1</v>
      </c>
      <c r="K45" s="16">
        <v>100</v>
      </c>
    </row>
    <row r="46" spans="1:11" x14ac:dyDescent="0.25">
      <c r="A46" s="10" t="s">
        <v>81</v>
      </c>
      <c r="B46" s="21" t="s">
        <v>171</v>
      </c>
      <c r="C46" s="35">
        <v>1</v>
      </c>
      <c r="D46" s="27">
        <v>3.6</v>
      </c>
      <c r="E46" s="27">
        <v>4.2</v>
      </c>
      <c r="F46" s="27">
        <v>12.11</v>
      </c>
      <c r="G46" s="27">
        <v>8.42</v>
      </c>
      <c r="H46" s="27">
        <v>3.3</v>
      </c>
      <c r="I46" s="27">
        <v>2E-3</v>
      </c>
      <c r="J46" s="25">
        <v>72.7</v>
      </c>
      <c r="K46" s="16">
        <v>100</v>
      </c>
    </row>
    <row r="47" spans="1:11" x14ac:dyDescent="0.25">
      <c r="A47" s="10" t="s">
        <v>82</v>
      </c>
      <c r="B47" s="21" t="s">
        <v>172</v>
      </c>
      <c r="C47" s="35">
        <v>1</v>
      </c>
      <c r="D47" s="27">
        <v>3.6</v>
      </c>
      <c r="E47" s="27">
        <v>4.2</v>
      </c>
      <c r="F47" s="27">
        <v>16.149999999999999</v>
      </c>
      <c r="G47" s="27">
        <v>5.21</v>
      </c>
      <c r="H47" s="27">
        <v>9.66</v>
      </c>
      <c r="I47" s="27">
        <v>1E-3</v>
      </c>
      <c r="J47" s="25">
        <v>40.200000000000003</v>
      </c>
      <c r="K47" s="16">
        <v>100</v>
      </c>
    </row>
    <row r="48" spans="1:11" x14ac:dyDescent="0.25">
      <c r="A48" s="10" t="s">
        <v>83</v>
      </c>
      <c r="B48" s="21" t="s">
        <v>173</v>
      </c>
      <c r="C48" s="35">
        <v>3</v>
      </c>
      <c r="D48" s="27">
        <v>3.6</v>
      </c>
      <c r="E48" s="27">
        <v>4.2</v>
      </c>
      <c r="F48" s="27">
        <v>20.190000000000001</v>
      </c>
      <c r="G48" s="27">
        <v>6.53</v>
      </c>
      <c r="H48" s="27">
        <v>12.7</v>
      </c>
      <c r="I48" s="27">
        <v>2E-3</v>
      </c>
      <c r="J48" s="25">
        <v>37.1</v>
      </c>
      <c r="K48" s="16">
        <v>100</v>
      </c>
    </row>
    <row r="49" spans="1:11" x14ac:dyDescent="0.25">
      <c r="A49" s="10" t="s">
        <v>84</v>
      </c>
      <c r="B49" s="21" t="s">
        <v>174</v>
      </c>
      <c r="C49" s="35">
        <v>1</v>
      </c>
      <c r="D49" s="27">
        <v>3.6</v>
      </c>
      <c r="E49" s="27">
        <v>4.2</v>
      </c>
      <c r="F49" s="27">
        <v>32.31</v>
      </c>
      <c r="G49" s="27">
        <v>3.17</v>
      </c>
      <c r="H49" s="27">
        <v>27.2</v>
      </c>
      <c r="I49" s="27">
        <v>2E-3</v>
      </c>
      <c r="J49" s="25">
        <v>15.8</v>
      </c>
      <c r="K49" s="16">
        <v>99.9</v>
      </c>
    </row>
    <row r="50" spans="1:11" x14ac:dyDescent="0.25">
      <c r="A50" s="10" t="s">
        <v>85</v>
      </c>
      <c r="B50" s="21" t="s">
        <v>175</v>
      </c>
      <c r="C50" s="35">
        <v>2</v>
      </c>
      <c r="D50" s="27">
        <v>3.6</v>
      </c>
      <c r="E50" s="27">
        <v>4.2</v>
      </c>
      <c r="F50" s="27">
        <v>24.23</v>
      </c>
      <c r="G50" s="27">
        <v>14.55</v>
      </c>
      <c r="H50" s="27">
        <v>10.45</v>
      </c>
      <c r="I50" s="27">
        <v>5.8000000000000003E-2</v>
      </c>
      <c r="J50" s="25">
        <v>56.9</v>
      </c>
      <c r="K50" s="16">
        <v>99.6</v>
      </c>
    </row>
    <row r="51" spans="1:11" x14ac:dyDescent="0.25">
      <c r="A51" s="10" t="s">
        <v>86</v>
      </c>
      <c r="B51" s="21" t="s">
        <v>176</v>
      </c>
      <c r="C51" s="35">
        <v>1</v>
      </c>
      <c r="D51" s="27">
        <v>3.6</v>
      </c>
      <c r="E51" s="27">
        <v>4.2</v>
      </c>
      <c r="F51" s="27">
        <v>24.23</v>
      </c>
      <c r="G51" s="27">
        <v>10.76</v>
      </c>
      <c r="H51" s="27">
        <v>13.14</v>
      </c>
      <c r="I51" s="27">
        <v>2E-3</v>
      </c>
      <c r="J51" s="25">
        <v>45.8</v>
      </c>
      <c r="K51" s="16">
        <v>100</v>
      </c>
    </row>
    <row r="52" spans="1:11" x14ac:dyDescent="0.25">
      <c r="A52" s="10" t="s">
        <v>87</v>
      </c>
      <c r="B52" s="21" t="s">
        <v>177</v>
      </c>
      <c r="C52" s="35">
        <v>2</v>
      </c>
      <c r="D52" s="27">
        <v>3.6</v>
      </c>
      <c r="E52" s="27">
        <v>4.2</v>
      </c>
      <c r="F52" s="27">
        <v>28.27</v>
      </c>
      <c r="G52" s="27">
        <v>7.7</v>
      </c>
      <c r="H52" s="27">
        <v>19.809999999999999</v>
      </c>
      <c r="I52" s="27">
        <v>2E-3</v>
      </c>
      <c r="J52" s="25">
        <v>29.9</v>
      </c>
      <c r="K52" s="16">
        <v>100</v>
      </c>
    </row>
    <row r="53" spans="1:11" x14ac:dyDescent="0.25">
      <c r="A53" s="10" t="s">
        <v>88</v>
      </c>
      <c r="B53" s="21" t="s">
        <v>178</v>
      </c>
      <c r="C53" s="35">
        <v>2</v>
      </c>
      <c r="D53" s="27">
        <v>3.6</v>
      </c>
      <c r="E53" s="27">
        <v>4.2</v>
      </c>
      <c r="F53" s="27">
        <v>32.31</v>
      </c>
      <c r="G53" s="27">
        <v>12.06</v>
      </c>
      <c r="H53" s="27">
        <v>20.71</v>
      </c>
      <c r="I53" s="27">
        <v>2E-3</v>
      </c>
      <c r="J53" s="25">
        <v>35.9</v>
      </c>
      <c r="K53" s="16">
        <v>100</v>
      </c>
    </row>
    <row r="54" spans="1:11" x14ac:dyDescent="0.25">
      <c r="A54" s="10" t="s">
        <v>89</v>
      </c>
      <c r="B54" s="21" t="s">
        <v>179</v>
      </c>
      <c r="C54" s="35">
        <v>2</v>
      </c>
      <c r="D54" s="27">
        <v>3.6</v>
      </c>
      <c r="E54" s="27">
        <v>4.2</v>
      </c>
      <c r="F54" s="27">
        <v>20.190000000000001</v>
      </c>
      <c r="G54" s="27">
        <v>3.91</v>
      </c>
      <c r="H54" s="27">
        <v>15.46</v>
      </c>
      <c r="I54" s="27">
        <v>2E-3</v>
      </c>
      <c r="J54" s="25">
        <v>23.5</v>
      </c>
      <c r="K54" s="16">
        <v>100</v>
      </c>
    </row>
    <row r="55" spans="1:11" x14ac:dyDescent="0.25">
      <c r="A55" s="10" t="s">
        <v>90</v>
      </c>
      <c r="B55" s="21" t="s">
        <v>180</v>
      </c>
      <c r="C55" s="35">
        <v>2</v>
      </c>
      <c r="D55" s="27">
        <v>3.6</v>
      </c>
      <c r="E55" s="27">
        <v>4.2</v>
      </c>
      <c r="F55" s="27">
        <v>20.190000000000001</v>
      </c>
      <c r="G55" s="27">
        <v>5.79</v>
      </c>
      <c r="H55" s="27">
        <v>13.51</v>
      </c>
      <c r="I55" s="27">
        <v>2E-3</v>
      </c>
      <c r="J55" s="25">
        <v>33.1</v>
      </c>
      <c r="K55" s="16">
        <v>100</v>
      </c>
    </row>
    <row r="56" spans="1:11" x14ac:dyDescent="0.25">
      <c r="A56" s="10" t="s">
        <v>91</v>
      </c>
      <c r="B56" s="21" t="s">
        <v>181</v>
      </c>
      <c r="C56" s="35">
        <v>3</v>
      </c>
      <c r="D56" s="27">
        <v>3.6</v>
      </c>
      <c r="E56" s="27">
        <v>4.2</v>
      </c>
      <c r="F56" s="27">
        <v>28.27</v>
      </c>
      <c r="G56" s="27">
        <v>3.62</v>
      </c>
      <c r="H56" s="27">
        <v>22.28</v>
      </c>
      <c r="I56" s="27">
        <v>1E-3</v>
      </c>
      <c r="J56" s="25">
        <v>21.2</v>
      </c>
      <c r="K56" s="16">
        <v>100</v>
      </c>
    </row>
    <row r="57" spans="1:11" x14ac:dyDescent="0.25">
      <c r="A57" s="10" t="s">
        <v>92</v>
      </c>
      <c r="B57" s="21" t="s">
        <v>182</v>
      </c>
      <c r="C57" s="35">
        <v>3</v>
      </c>
      <c r="D57" s="27">
        <v>3.6</v>
      </c>
      <c r="E57" s="27">
        <v>4.2</v>
      </c>
      <c r="F57" s="27">
        <v>12.11</v>
      </c>
      <c r="G57" s="27">
        <v>10.29</v>
      </c>
      <c r="H57" s="27">
        <v>1.81</v>
      </c>
      <c r="I57" s="27">
        <v>2E-3</v>
      </c>
      <c r="J57" s="25">
        <v>85</v>
      </c>
      <c r="K57" s="16">
        <v>100</v>
      </c>
    </row>
    <row r="58" spans="1:11" x14ac:dyDescent="0.25">
      <c r="A58" s="10" t="s">
        <v>93</v>
      </c>
      <c r="B58" s="21" t="s">
        <v>183</v>
      </c>
      <c r="C58" s="35">
        <v>1</v>
      </c>
      <c r="D58" s="27">
        <v>3.6</v>
      </c>
      <c r="E58" s="27">
        <v>4.2</v>
      </c>
      <c r="F58" s="27">
        <v>12.11</v>
      </c>
      <c r="G58" s="27">
        <v>11.27</v>
      </c>
      <c r="H58" s="27">
        <v>0.47</v>
      </c>
      <c r="I58" s="27">
        <v>3.0000000000000001E-3</v>
      </c>
      <c r="J58" s="25">
        <v>96.1</v>
      </c>
      <c r="K58" s="16">
        <v>100</v>
      </c>
    </row>
    <row r="59" spans="1:11" x14ac:dyDescent="0.25">
      <c r="A59" s="10" t="s">
        <v>94</v>
      </c>
      <c r="B59" s="21" t="s">
        <v>184</v>
      </c>
      <c r="C59" s="35">
        <v>2</v>
      </c>
      <c r="D59" s="27">
        <v>3.6</v>
      </c>
      <c r="E59" s="27">
        <v>4.2</v>
      </c>
      <c r="F59" s="27">
        <v>32.31</v>
      </c>
      <c r="G59" s="27">
        <v>4.49</v>
      </c>
      <c r="H59" s="27">
        <v>26.45</v>
      </c>
      <c r="I59" s="27">
        <v>2E-3</v>
      </c>
      <c r="J59" s="25">
        <v>18.100000000000001</v>
      </c>
      <c r="K59" s="16">
        <v>100</v>
      </c>
    </row>
    <row r="60" spans="1:11" x14ac:dyDescent="0.25">
      <c r="A60" s="10" t="s">
        <v>95</v>
      </c>
      <c r="B60" s="21" t="s">
        <v>185</v>
      </c>
      <c r="C60" s="35">
        <v>2</v>
      </c>
      <c r="D60" s="27">
        <v>3.6</v>
      </c>
      <c r="E60" s="27">
        <v>4.2</v>
      </c>
      <c r="F60" s="27">
        <v>24.23</v>
      </c>
      <c r="G60" s="27">
        <v>7.78</v>
      </c>
      <c r="H60" s="27">
        <v>15.53</v>
      </c>
      <c r="I60" s="27">
        <v>2E-3</v>
      </c>
      <c r="J60" s="25">
        <v>35.9</v>
      </c>
      <c r="K60" s="16">
        <v>100</v>
      </c>
    </row>
    <row r="61" spans="1:11" x14ac:dyDescent="0.25">
      <c r="A61" s="10" t="s">
        <v>96</v>
      </c>
      <c r="B61" s="21" t="s">
        <v>186</v>
      </c>
      <c r="C61" s="35">
        <v>2</v>
      </c>
      <c r="D61" s="27">
        <v>3.6</v>
      </c>
      <c r="E61" s="27">
        <v>4.2</v>
      </c>
      <c r="F61" s="27">
        <v>16.149999999999999</v>
      </c>
      <c r="G61" s="27">
        <v>11.06</v>
      </c>
      <c r="H61" s="27">
        <v>2.7</v>
      </c>
      <c r="I61" s="27">
        <v>2E-3</v>
      </c>
      <c r="J61" s="25">
        <v>83.3</v>
      </c>
      <c r="K61" s="16">
        <v>100</v>
      </c>
    </row>
    <row r="62" spans="1:11" x14ac:dyDescent="0.25">
      <c r="A62" s="10" t="s">
        <v>97</v>
      </c>
      <c r="B62" s="21" t="s">
        <v>187</v>
      </c>
      <c r="C62" s="35">
        <v>1</v>
      </c>
      <c r="D62" s="27">
        <v>3.6</v>
      </c>
      <c r="E62" s="27">
        <v>4.2</v>
      </c>
      <c r="F62" s="27">
        <v>16.149999999999999</v>
      </c>
      <c r="G62" s="27">
        <v>11.14</v>
      </c>
      <c r="H62" s="27">
        <v>8.31</v>
      </c>
      <c r="I62" s="27">
        <v>2.4449999999999998</v>
      </c>
      <c r="J62" s="25">
        <v>48.6</v>
      </c>
      <c r="K62" s="16">
        <v>78.099999999999994</v>
      </c>
    </row>
    <row r="63" spans="1:11" x14ac:dyDescent="0.25">
      <c r="A63" s="10" t="s">
        <v>98</v>
      </c>
      <c r="B63" s="21" t="s">
        <v>188</v>
      </c>
      <c r="C63" s="35">
        <v>2</v>
      </c>
      <c r="D63" s="27">
        <v>3.6</v>
      </c>
      <c r="E63" s="27">
        <v>4.2</v>
      </c>
      <c r="F63" s="27">
        <v>32.31</v>
      </c>
      <c r="G63" s="27">
        <v>9.31</v>
      </c>
      <c r="H63" s="27">
        <v>24.04</v>
      </c>
      <c r="I63" s="27">
        <v>0.223</v>
      </c>
      <c r="J63" s="25">
        <v>25.6</v>
      </c>
      <c r="K63" s="16">
        <v>97.6</v>
      </c>
    </row>
    <row r="64" spans="1:11" x14ac:dyDescent="0.25">
      <c r="A64" s="10" t="s">
        <v>99</v>
      </c>
      <c r="B64" s="21" t="s">
        <v>189</v>
      </c>
      <c r="C64" s="35">
        <v>3</v>
      </c>
      <c r="D64" s="27">
        <v>3.6</v>
      </c>
      <c r="E64" s="27">
        <v>4.2</v>
      </c>
      <c r="F64" s="27">
        <v>32.31</v>
      </c>
      <c r="G64" s="27">
        <v>5.83</v>
      </c>
      <c r="H64" s="27">
        <v>25.51</v>
      </c>
      <c r="I64" s="27">
        <v>0.25600000000000001</v>
      </c>
      <c r="J64" s="25">
        <v>21</v>
      </c>
      <c r="K64" s="16">
        <v>95.6</v>
      </c>
    </row>
    <row r="65" spans="1:11" x14ac:dyDescent="0.25">
      <c r="A65" s="10" t="s">
        <v>100</v>
      </c>
      <c r="B65" s="21" t="s">
        <v>190</v>
      </c>
      <c r="C65" s="35">
        <v>3</v>
      </c>
      <c r="D65" s="27">
        <v>3.6</v>
      </c>
      <c r="E65" s="27">
        <v>4.2</v>
      </c>
      <c r="F65" s="27">
        <v>32.31</v>
      </c>
      <c r="G65" s="27">
        <v>7.13</v>
      </c>
      <c r="H65" s="27">
        <v>25.26</v>
      </c>
      <c r="I65" s="27">
        <v>0.45300000000000001</v>
      </c>
      <c r="J65" s="25">
        <v>21.8</v>
      </c>
      <c r="K65" s="16">
        <v>93.7</v>
      </c>
    </row>
    <row r="66" spans="1:11" x14ac:dyDescent="0.25">
      <c r="A66" s="10" t="s">
        <v>101</v>
      </c>
      <c r="B66" s="21" t="s">
        <v>191</v>
      </c>
      <c r="C66" s="35">
        <v>1</v>
      </c>
      <c r="D66" s="27">
        <v>3.6</v>
      </c>
      <c r="E66" s="27">
        <v>4.2</v>
      </c>
      <c r="F66" s="27">
        <v>16.149999999999999</v>
      </c>
      <c r="G66" s="27">
        <v>4.92</v>
      </c>
      <c r="H66" s="27">
        <v>10.16</v>
      </c>
      <c r="I66" s="27">
        <v>2E-3</v>
      </c>
      <c r="J66" s="25">
        <v>37.1</v>
      </c>
      <c r="K66" s="16">
        <v>100</v>
      </c>
    </row>
    <row r="67" spans="1:11" x14ac:dyDescent="0.25">
      <c r="A67" s="10" t="s">
        <v>102</v>
      </c>
      <c r="B67" s="21" t="s">
        <v>192</v>
      </c>
      <c r="C67" s="35">
        <v>3</v>
      </c>
      <c r="D67" s="27">
        <v>3.6</v>
      </c>
      <c r="E67" s="27">
        <v>4.2</v>
      </c>
      <c r="F67" s="27">
        <v>20.190000000000001</v>
      </c>
      <c r="G67" s="27">
        <v>15.79</v>
      </c>
      <c r="H67" s="27">
        <v>9.6300000000000008</v>
      </c>
      <c r="I67" s="27">
        <v>4.3780000000000001</v>
      </c>
      <c r="J67" s="25">
        <v>52.3</v>
      </c>
      <c r="K67" s="16">
        <v>72.3</v>
      </c>
    </row>
    <row r="68" spans="1:11" x14ac:dyDescent="0.25">
      <c r="A68" s="10" t="s">
        <v>103</v>
      </c>
      <c r="B68" s="21" t="s">
        <v>193</v>
      </c>
      <c r="C68" s="35">
        <v>1</v>
      </c>
      <c r="D68" s="27">
        <v>3.6</v>
      </c>
      <c r="E68" s="27">
        <v>4.2</v>
      </c>
      <c r="F68" s="27">
        <v>20.190000000000001</v>
      </c>
      <c r="G68" s="27">
        <v>4.74</v>
      </c>
      <c r="H68" s="27">
        <v>14.16</v>
      </c>
      <c r="I68" s="27">
        <v>2E-3</v>
      </c>
      <c r="J68" s="25">
        <v>29.9</v>
      </c>
      <c r="K68" s="16">
        <v>100</v>
      </c>
    </row>
    <row r="69" spans="1:11" x14ac:dyDescent="0.25">
      <c r="A69" s="10" t="s">
        <v>104</v>
      </c>
      <c r="B69" s="21" t="s">
        <v>194</v>
      </c>
      <c r="C69" s="35">
        <v>1</v>
      </c>
      <c r="D69" s="27">
        <v>3.6</v>
      </c>
      <c r="E69" s="27">
        <v>4.2</v>
      </c>
      <c r="F69" s="27">
        <v>28.27</v>
      </c>
      <c r="G69" s="27">
        <v>5.42</v>
      </c>
      <c r="H69" s="27">
        <v>22.56</v>
      </c>
      <c r="I69" s="27">
        <v>1E-3</v>
      </c>
      <c r="J69" s="25">
        <v>20.2</v>
      </c>
      <c r="K69" s="16">
        <v>100</v>
      </c>
    </row>
    <row r="70" spans="1:11" x14ac:dyDescent="0.25">
      <c r="A70" s="10" t="s">
        <v>105</v>
      </c>
      <c r="B70" s="21" t="s">
        <v>195</v>
      </c>
      <c r="C70" s="35">
        <v>3</v>
      </c>
      <c r="D70" s="27">
        <v>3.6</v>
      </c>
      <c r="E70" s="27">
        <v>4.2</v>
      </c>
      <c r="F70" s="27">
        <v>32.31</v>
      </c>
      <c r="G70" s="27">
        <v>7.99</v>
      </c>
      <c r="H70" s="27">
        <v>24.43</v>
      </c>
      <c r="I70" s="27">
        <v>1E-3</v>
      </c>
      <c r="J70" s="25">
        <v>24.4</v>
      </c>
      <c r="K70" s="16">
        <v>100</v>
      </c>
    </row>
    <row r="71" spans="1:11" x14ac:dyDescent="0.25">
      <c r="A71" s="10" t="s">
        <v>106</v>
      </c>
      <c r="B71" s="21" t="s">
        <v>196</v>
      </c>
      <c r="C71" s="35">
        <v>1</v>
      </c>
      <c r="D71" s="27">
        <v>3.6</v>
      </c>
      <c r="E71" s="27">
        <v>4.2</v>
      </c>
      <c r="F71" s="27">
        <v>16.149999999999999</v>
      </c>
      <c r="G71" s="27">
        <v>5.87</v>
      </c>
      <c r="H71" s="27">
        <v>8.65</v>
      </c>
      <c r="I71" s="27">
        <v>2E-3</v>
      </c>
      <c r="J71" s="25">
        <v>46.5</v>
      </c>
      <c r="K71" s="16">
        <v>100</v>
      </c>
    </row>
    <row r="72" spans="1:11" x14ac:dyDescent="0.25">
      <c r="A72" s="10" t="s">
        <v>107</v>
      </c>
      <c r="B72" s="21" t="s">
        <v>197</v>
      </c>
      <c r="C72" s="35">
        <v>2</v>
      </c>
      <c r="D72" s="27">
        <v>3.6</v>
      </c>
      <c r="E72" s="27">
        <v>4.2</v>
      </c>
      <c r="F72" s="27">
        <v>8.08</v>
      </c>
      <c r="G72" s="27">
        <v>7.88</v>
      </c>
      <c r="H72" s="27">
        <v>2.44</v>
      </c>
      <c r="I72" s="27">
        <v>1.3740000000000001</v>
      </c>
      <c r="J72" s="25">
        <v>69.8</v>
      </c>
      <c r="K72" s="16">
        <v>82.6</v>
      </c>
    </row>
    <row r="73" spans="1:11" x14ac:dyDescent="0.25">
      <c r="A73" s="10" t="s">
        <v>108</v>
      </c>
      <c r="B73" s="21" t="s">
        <v>198</v>
      </c>
      <c r="C73" s="35">
        <v>2</v>
      </c>
      <c r="D73" s="27">
        <v>3.6</v>
      </c>
      <c r="E73" s="27">
        <v>4.2</v>
      </c>
      <c r="F73" s="27">
        <v>32.31</v>
      </c>
      <c r="G73" s="27">
        <v>6.82</v>
      </c>
      <c r="H73" s="27">
        <v>24.17</v>
      </c>
      <c r="I73" s="27">
        <v>2E-3</v>
      </c>
      <c r="J73" s="25">
        <v>25.2</v>
      </c>
      <c r="K73" s="16">
        <v>100</v>
      </c>
    </row>
    <row r="74" spans="1:11" x14ac:dyDescent="0.25">
      <c r="A74" s="10" t="s">
        <v>109</v>
      </c>
      <c r="B74" s="21" t="s">
        <v>199</v>
      </c>
      <c r="C74" s="35">
        <v>3</v>
      </c>
      <c r="D74" s="27">
        <v>3.6</v>
      </c>
      <c r="E74" s="27">
        <v>4.2</v>
      </c>
      <c r="F74" s="27">
        <v>28.27</v>
      </c>
      <c r="G74" s="27">
        <v>3.27</v>
      </c>
      <c r="H74" s="27">
        <v>23.52</v>
      </c>
      <c r="I74" s="27">
        <v>1E-3</v>
      </c>
      <c r="J74" s="25">
        <v>16.8</v>
      </c>
      <c r="K74" s="16">
        <v>100</v>
      </c>
    </row>
    <row r="75" spans="1:11" x14ac:dyDescent="0.25">
      <c r="A75" s="10" t="s">
        <v>110</v>
      </c>
      <c r="B75" s="21" t="s">
        <v>200</v>
      </c>
      <c r="C75" s="35">
        <v>1</v>
      </c>
      <c r="D75" s="27">
        <v>3.6</v>
      </c>
      <c r="E75" s="27">
        <v>4.2</v>
      </c>
      <c r="F75" s="27">
        <v>32.31</v>
      </c>
      <c r="G75" s="27">
        <v>6.71</v>
      </c>
      <c r="H75" s="27">
        <v>24.33</v>
      </c>
      <c r="I75" s="27">
        <v>1E-3</v>
      </c>
      <c r="J75" s="25">
        <v>24.7</v>
      </c>
      <c r="K75" s="16">
        <v>100</v>
      </c>
    </row>
    <row r="76" spans="1:11" x14ac:dyDescent="0.25">
      <c r="A76" s="10" t="s">
        <v>111</v>
      </c>
      <c r="B76" s="21" t="s">
        <v>201</v>
      </c>
      <c r="C76" s="35">
        <v>2</v>
      </c>
      <c r="D76" s="27">
        <v>3.6</v>
      </c>
      <c r="E76" s="27">
        <v>4.2</v>
      </c>
      <c r="F76" s="27">
        <v>24.23</v>
      </c>
      <c r="G76" s="27">
        <v>8.15</v>
      </c>
      <c r="H76" s="27">
        <v>16.28</v>
      </c>
      <c r="I76" s="27">
        <v>2E-3</v>
      </c>
      <c r="J76" s="25">
        <v>32.799999999999997</v>
      </c>
      <c r="K76" s="16">
        <v>100</v>
      </c>
    </row>
    <row r="77" spans="1:11" x14ac:dyDescent="0.25">
      <c r="A77" s="10" t="s">
        <v>112</v>
      </c>
      <c r="B77" s="21" t="s">
        <v>202</v>
      </c>
      <c r="C77" s="35">
        <v>3</v>
      </c>
      <c r="D77" s="27">
        <v>3.6</v>
      </c>
      <c r="E77" s="27">
        <v>4.2</v>
      </c>
      <c r="F77" s="27">
        <v>8.08</v>
      </c>
      <c r="G77" s="27">
        <v>3.42</v>
      </c>
      <c r="H77" s="27">
        <v>3.26</v>
      </c>
      <c r="I77" s="27">
        <v>1E-3</v>
      </c>
      <c r="J77" s="25">
        <v>59.6</v>
      </c>
      <c r="K77" s="16">
        <v>100</v>
      </c>
    </row>
    <row r="78" spans="1:11" x14ac:dyDescent="0.25">
      <c r="A78" s="11" t="s">
        <v>113</v>
      </c>
      <c r="B78" s="22" t="s">
        <v>203</v>
      </c>
      <c r="C78" s="36">
        <v>2</v>
      </c>
      <c r="D78" s="28">
        <v>3.6</v>
      </c>
      <c r="E78" s="28">
        <v>4.2</v>
      </c>
      <c r="F78" s="28">
        <v>24.23</v>
      </c>
      <c r="G78" s="28">
        <v>4.96</v>
      </c>
      <c r="H78" s="28">
        <v>19.04</v>
      </c>
      <c r="I78" s="28">
        <v>1E-3</v>
      </c>
      <c r="J78" s="26">
        <v>21.4</v>
      </c>
      <c r="K78" s="32">
        <v>100</v>
      </c>
    </row>
  </sheetData>
  <conditionalFormatting sqref="J2:K78">
    <cfRule type="colorScale" priority="1">
      <colorScale>
        <cfvo type="min"/>
        <cfvo type="percentile" val="50"/>
        <cfvo type="max"/>
        <color rgb="FFFDECEC"/>
        <color rgb="FFFFF4E0"/>
        <color rgb="FFEAF6EA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59"/>
  <sheetViews>
    <sheetView showGridLines="0" tabSelected="1" topLeftCell="A7" workbookViewId="0">
      <selection activeCell="Z17" sqref="Z17"/>
    </sheetView>
  </sheetViews>
  <sheetFormatPr defaultRowHeight="15" x14ac:dyDescent="0.25"/>
  <cols>
    <col min="1" max="2" width="13" customWidth="1"/>
    <col min="3" max="3" width="3" customWidth="1"/>
    <col min="4" max="5" width="13" customWidth="1"/>
    <col min="6" max="6" width="3" customWidth="1"/>
    <col min="7" max="8" width="13" customWidth="1"/>
    <col min="9" max="9" width="3" customWidth="1"/>
    <col min="10" max="11" width="13" customWidth="1"/>
    <col min="12" max="12" width="3" customWidth="1"/>
    <col min="13" max="14" width="13" customWidth="1"/>
    <col min="15" max="15" width="3" customWidth="1"/>
    <col min="16" max="17" width="13" customWidth="1"/>
  </cols>
  <sheetData>
    <row r="1" spans="1:17" ht="33.950000000000003" customHeight="1" x14ac:dyDescent="0.25">
      <c r="A1" s="66" t="s">
        <v>204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</row>
    <row r="2" spans="1:17" ht="24" customHeight="1" x14ac:dyDescent="0.25">
      <c r="A2" s="68" t="s">
        <v>205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</row>
    <row r="4" spans="1:17" ht="30" customHeight="1" x14ac:dyDescent="0.25">
      <c r="A4" s="69" t="s">
        <v>206</v>
      </c>
      <c r="B4" s="70" t="s">
        <v>206</v>
      </c>
      <c r="D4" s="73" t="s">
        <v>207</v>
      </c>
      <c r="E4" s="74" t="s">
        <v>207</v>
      </c>
      <c r="G4" s="77" t="s">
        <v>208</v>
      </c>
      <c r="H4" s="78" t="s">
        <v>208</v>
      </c>
      <c r="J4" s="81" t="s">
        <v>209</v>
      </c>
      <c r="K4" s="82" t="s">
        <v>209</v>
      </c>
      <c r="M4" s="85" t="s">
        <v>210</v>
      </c>
      <c r="N4" s="86" t="s">
        <v>210</v>
      </c>
      <c r="P4" s="73" t="s">
        <v>211</v>
      </c>
      <c r="Q4" s="74" t="s">
        <v>211</v>
      </c>
    </row>
    <row r="5" spans="1:17" ht="30" customHeight="1" x14ac:dyDescent="0.25">
      <c r="A5" s="71">
        <f>Summary!B5</f>
        <v>77</v>
      </c>
      <c r="B5" s="72"/>
      <c r="D5" s="75">
        <f>Summary!B6</f>
        <v>1797</v>
      </c>
      <c r="E5" s="76"/>
      <c r="G5" s="79">
        <f>Summary!B7</f>
        <v>572.79999999999995</v>
      </c>
      <c r="H5" s="80"/>
      <c r="J5" s="83">
        <f>Summary!B9</f>
        <v>22.6</v>
      </c>
      <c r="K5" s="84"/>
      <c r="M5" s="87">
        <f>Summary!B10</f>
        <v>33.1</v>
      </c>
      <c r="N5" s="88"/>
      <c r="P5" s="89">
        <f>Summary!B11</f>
        <v>96</v>
      </c>
      <c r="Q5" s="76"/>
    </row>
    <row r="43" spans="10:17" x14ac:dyDescent="0.25">
      <c r="J43" s="57" t="s">
        <v>212</v>
      </c>
      <c r="K43" s="58"/>
      <c r="L43" s="58"/>
      <c r="M43" s="58"/>
      <c r="N43" s="58"/>
      <c r="O43" s="58"/>
      <c r="P43" s="58"/>
      <c r="Q43" s="59"/>
    </row>
    <row r="44" spans="10:17" x14ac:dyDescent="0.25">
      <c r="J44" s="60"/>
      <c r="K44" s="61"/>
      <c r="L44" s="61"/>
      <c r="M44" s="61"/>
      <c r="N44" s="61"/>
      <c r="O44" s="61"/>
      <c r="P44" s="61"/>
      <c r="Q44" s="62"/>
    </row>
    <row r="45" spans="10:17" x14ac:dyDescent="0.25">
      <c r="J45" s="60"/>
      <c r="K45" s="61"/>
      <c r="L45" s="61"/>
      <c r="M45" s="61"/>
      <c r="N45" s="61"/>
      <c r="O45" s="61"/>
      <c r="P45" s="61"/>
      <c r="Q45" s="62"/>
    </row>
    <row r="46" spans="10:17" x14ac:dyDescent="0.25">
      <c r="J46" s="60"/>
      <c r="K46" s="61"/>
      <c r="L46" s="61"/>
      <c r="M46" s="61"/>
      <c r="N46" s="61"/>
      <c r="O46" s="61"/>
      <c r="P46" s="61"/>
      <c r="Q46" s="62"/>
    </row>
    <row r="47" spans="10:17" x14ac:dyDescent="0.25">
      <c r="J47" s="60"/>
      <c r="K47" s="61"/>
      <c r="L47" s="61"/>
      <c r="M47" s="61"/>
      <c r="N47" s="61"/>
      <c r="O47" s="61"/>
      <c r="P47" s="61"/>
      <c r="Q47" s="62"/>
    </row>
    <row r="48" spans="10:17" x14ac:dyDescent="0.25">
      <c r="J48" s="60"/>
      <c r="K48" s="61"/>
      <c r="L48" s="61"/>
      <c r="M48" s="61"/>
      <c r="N48" s="61"/>
      <c r="O48" s="61"/>
      <c r="P48" s="61"/>
      <c r="Q48" s="62"/>
    </row>
    <row r="49" spans="10:17" x14ac:dyDescent="0.25">
      <c r="J49" s="60"/>
      <c r="K49" s="61"/>
      <c r="L49" s="61"/>
      <c r="M49" s="61"/>
      <c r="N49" s="61"/>
      <c r="O49" s="61"/>
      <c r="P49" s="61"/>
      <c r="Q49" s="62"/>
    </row>
    <row r="50" spans="10:17" x14ac:dyDescent="0.25">
      <c r="J50" s="60"/>
      <c r="K50" s="61"/>
      <c r="L50" s="61"/>
      <c r="M50" s="61"/>
      <c r="N50" s="61"/>
      <c r="O50" s="61"/>
      <c r="P50" s="61"/>
      <c r="Q50" s="62"/>
    </row>
    <row r="51" spans="10:17" x14ac:dyDescent="0.25">
      <c r="J51" s="60"/>
      <c r="K51" s="61"/>
      <c r="L51" s="61"/>
      <c r="M51" s="61"/>
      <c r="N51" s="61"/>
      <c r="O51" s="61"/>
      <c r="P51" s="61"/>
      <c r="Q51" s="62"/>
    </row>
    <row r="52" spans="10:17" x14ac:dyDescent="0.25">
      <c r="J52" s="60"/>
      <c r="K52" s="61"/>
      <c r="L52" s="61"/>
      <c r="M52" s="61"/>
      <c r="N52" s="61"/>
      <c r="O52" s="61"/>
      <c r="P52" s="61"/>
      <c r="Q52" s="62"/>
    </row>
    <row r="53" spans="10:17" x14ac:dyDescent="0.25">
      <c r="J53" s="60"/>
      <c r="K53" s="61"/>
      <c r="L53" s="61"/>
      <c r="M53" s="61"/>
      <c r="N53" s="61"/>
      <c r="O53" s="61"/>
      <c r="P53" s="61"/>
      <c r="Q53" s="62"/>
    </row>
    <row r="54" spans="10:17" x14ac:dyDescent="0.25">
      <c r="J54" s="60"/>
      <c r="K54" s="61"/>
      <c r="L54" s="61"/>
      <c r="M54" s="61"/>
      <c r="N54" s="61"/>
      <c r="O54" s="61"/>
      <c r="P54" s="61"/>
      <c r="Q54" s="62"/>
    </row>
    <row r="55" spans="10:17" x14ac:dyDescent="0.25">
      <c r="J55" s="60"/>
      <c r="K55" s="61"/>
      <c r="L55" s="61"/>
      <c r="M55" s="61"/>
      <c r="N55" s="61"/>
      <c r="O55" s="61"/>
      <c r="P55" s="61"/>
      <c r="Q55" s="62"/>
    </row>
    <row r="56" spans="10:17" x14ac:dyDescent="0.25">
      <c r="J56" s="60"/>
      <c r="K56" s="61"/>
      <c r="L56" s="61"/>
      <c r="M56" s="61"/>
      <c r="N56" s="61"/>
      <c r="O56" s="61"/>
      <c r="P56" s="61"/>
      <c r="Q56" s="62"/>
    </row>
    <row r="57" spans="10:17" x14ac:dyDescent="0.25">
      <c r="J57" s="60"/>
      <c r="K57" s="61"/>
      <c r="L57" s="61"/>
      <c r="M57" s="61"/>
      <c r="N57" s="61"/>
      <c r="O57" s="61"/>
      <c r="P57" s="61"/>
      <c r="Q57" s="62"/>
    </row>
    <row r="58" spans="10:17" x14ac:dyDescent="0.25">
      <c r="J58" s="60"/>
      <c r="K58" s="61"/>
      <c r="L58" s="61"/>
      <c r="M58" s="61"/>
      <c r="N58" s="61"/>
      <c r="O58" s="61"/>
      <c r="P58" s="61"/>
      <c r="Q58" s="62"/>
    </row>
    <row r="59" spans="10:17" x14ac:dyDescent="0.25">
      <c r="J59" s="63"/>
      <c r="K59" s="64"/>
      <c r="L59" s="64"/>
      <c r="M59" s="64"/>
      <c r="N59" s="64"/>
      <c r="O59" s="64"/>
      <c r="P59" s="64"/>
      <c r="Q59" s="65"/>
    </row>
  </sheetData>
  <mergeCells count="15">
    <mergeCell ref="J43:Q59"/>
    <mergeCell ref="A1:Q1"/>
    <mergeCell ref="A2:Q2"/>
    <mergeCell ref="A4:B4"/>
    <mergeCell ref="A5:B5"/>
    <mergeCell ref="D4:E4"/>
    <mergeCell ref="D5:E5"/>
    <mergeCell ref="G4:H4"/>
    <mergeCell ref="G5:H5"/>
    <mergeCell ref="J4:K4"/>
    <mergeCell ref="J5:K5"/>
    <mergeCell ref="M4:N4"/>
    <mergeCell ref="M5:N5"/>
    <mergeCell ref="P4:Q4"/>
    <mergeCell ref="P5:Q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78"/>
  <sheetViews>
    <sheetView showGridLines="0" workbookViewId="0"/>
  </sheetViews>
  <sheetFormatPr defaultRowHeight="15" x14ac:dyDescent="0.25"/>
  <cols>
    <col min="1" max="1" width="9" customWidth="1"/>
    <col min="2" max="4" width="16" customWidth="1"/>
    <col min="6" max="6" width="9" customWidth="1"/>
    <col min="7" max="9" width="16" customWidth="1"/>
    <col min="11" max="11" width="26" customWidth="1"/>
    <col min="12" max="13" width="12" customWidth="1"/>
    <col min="15" max="15" width="8" customWidth="1"/>
    <col min="16" max="16" width="26" customWidth="1"/>
    <col min="17" max="17" width="15" customWidth="1"/>
    <col min="18" max="18" width="14" customWidth="1"/>
    <col min="20" max="20" width="9" customWidth="1"/>
    <col min="21" max="25" width="15" customWidth="1"/>
    <col min="27" max="33" width="15" customWidth="1"/>
  </cols>
  <sheetData>
    <row r="1" spans="1:33" x14ac:dyDescent="0.25">
      <c r="A1" s="37" t="s">
        <v>213</v>
      </c>
      <c r="B1" s="38" t="s">
        <v>214</v>
      </c>
      <c r="C1" s="38" t="s">
        <v>215</v>
      </c>
      <c r="D1" s="39" t="s">
        <v>216</v>
      </c>
      <c r="F1" s="37" t="s">
        <v>213</v>
      </c>
      <c r="G1" s="38" t="s">
        <v>217</v>
      </c>
      <c r="H1" s="38" t="s">
        <v>218</v>
      </c>
      <c r="I1" s="39" t="s">
        <v>219</v>
      </c>
      <c r="K1" s="37" t="s">
        <v>220</v>
      </c>
      <c r="L1" s="38" t="s">
        <v>221</v>
      </c>
      <c r="M1" s="39" t="s">
        <v>222</v>
      </c>
      <c r="O1" s="37" t="s">
        <v>223</v>
      </c>
      <c r="P1" s="38" t="s">
        <v>220</v>
      </c>
      <c r="Q1" s="38" t="s">
        <v>224</v>
      </c>
      <c r="R1" s="39" t="s">
        <v>225</v>
      </c>
      <c r="T1" s="37" t="s">
        <v>213</v>
      </c>
      <c r="U1" s="38" t="s">
        <v>226</v>
      </c>
      <c r="V1" s="38" t="s">
        <v>227</v>
      </c>
      <c r="W1" s="38" t="s">
        <v>228</v>
      </c>
      <c r="X1" s="38" t="s">
        <v>229</v>
      </c>
      <c r="Y1" s="39" t="s">
        <v>230</v>
      </c>
      <c r="AA1" s="37" t="s">
        <v>213</v>
      </c>
      <c r="AB1" s="38" t="s">
        <v>231</v>
      </c>
      <c r="AC1" s="38" t="s">
        <v>232</v>
      </c>
      <c r="AD1" s="38" t="s">
        <v>233</v>
      </c>
      <c r="AE1" s="38" t="s">
        <v>234</v>
      </c>
      <c r="AF1" s="38" t="s">
        <v>235</v>
      </c>
      <c r="AG1" s="39" t="s">
        <v>236</v>
      </c>
    </row>
    <row r="2" spans="1:33" x14ac:dyDescent="0.25">
      <c r="A2" s="40">
        <f>FleetAverage!B2</f>
        <v>0</v>
      </c>
      <c r="B2" s="42">
        <f>FleetAverage!I2</f>
        <v>21.0711145</v>
      </c>
      <c r="C2" s="42">
        <f>FleetAverage!J2</f>
        <v>0</v>
      </c>
      <c r="D2" s="43">
        <f>FleetAverage!K2</f>
        <v>4.811450000000761E-2</v>
      </c>
      <c r="F2" s="40">
        <f>FleetAverage!B2</f>
        <v>0</v>
      </c>
      <c r="G2" s="46">
        <f>FleetAverage!E2</f>
        <v>0</v>
      </c>
      <c r="H2" s="46">
        <f>FleetAverage!F2</f>
        <v>0.27302597402597395</v>
      </c>
      <c r="I2" s="48">
        <f>FleetAverage!H2</f>
        <v>40</v>
      </c>
      <c r="K2" s="4" t="str">
        <f>ProsumerMetrics!A2</f>
        <v>BES_TR1_one223_B</v>
      </c>
      <c r="L2" s="50">
        <f>ProsumerMetrics!J2</f>
        <v>24.9</v>
      </c>
      <c r="M2" s="48">
        <f>ProsumerMetrics!K2</f>
        <v>100</v>
      </c>
      <c r="O2" s="52">
        <v>1</v>
      </c>
      <c r="P2" s="18" t="str">
        <f>INDEX(ProsumerMetrics!$A$2:$A$78,MATCH(Q2,ProsumerMetrics!$H$2:$H$78,0))</f>
        <v>BES_TR1_six441_A</v>
      </c>
      <c r="Q2" s="42">
        <f>LARGE(ProsumerMetrics!$H$2:$H$78,O2)</f>
        <v>27.2</v>
      </c>
      <c r="R2" s="5" t="str">
        <f t="shared" ref="R2:R11" si="0">MID(P2,9,99)</f>
        <v>six441_A</v>
      </c>
      <c r="T2" s="40">
        <f>FleetAverage!B2</f>
        <v>0</v>
      </c>
      <c r="U2" s="46">
        <f>FleetAverage!C2</f>
        <v>0.27365083766233766</v>
      </c>
      <c r="V2" s="46">
        <f>FleetAverage!D2</f>
        <v>0</v>
      </c>
      <c r="W2" s="46">
        <f>FleetAverage!E2</f>
        <v>0</v>
      </c>
      <c r="X2" s="46">
        <f>FleetAverage!F2</f>
        <v>0.27302597402597395</v>
      </c>
      <c r="Y2" s="54">
        <f>FleetAverage!G2</f>
        <v>6.24863636363715E-4</v>
      </c>
      <c r="AA2" s="40">
        <f>FleetAverage!B2</f>
        <v>0</v>
      </c>
      <c r="AB2" s="46">
        <f>0</f>
        <v>0</v>
      </c>
      <c r="AC2" s="46">
        <f>FleetAverage!G2</f>
        <v>6.24863636363715E-4</v>
      </c>
      <c r="AD2" s="46">
        <f t="shared" ref="AD2:AD49" si="1">MAX(AC2,0)</f>
        <v>6.24863636363715E-4</v>
      </c>
      <c r="AE2" s="46">
        <f t="shared" ref="AE2:AE49" si="2">MIN(AC2,0)</f>
        <v>0</v>
      </c>
      <c r="AF2" s="50">
        <f>100</f>
        <v>100</v>
      </c>
      <c r="AG2" s="48">
        <f>FleetAverage!H2</f>
        <v>40</v>
      </c>
    </row>
    <row r="3" spans="1:33" x14ac:dyDescent="0.25">
      <c r="A3" s="40">
        <f>FleetAverage!B3</f>
        <v>0.5</v>
      </c>
      <c r="B3" s="42">
        <f>FleetAverage!I3</f>
        <v>13.699607266666666</v>
      </c>
      <c r="C3" s="42">
        <f>FleetAverage!J3</f>
        <v>0</v>
      </c>
      <c r="D3" s="43">
        <f>FleetAverage!K3</f>
        <v>0.1476072666666699</v>
      </c>
      <c r="F3" s="40">
        <f>FleetAverage!B3</f>
        <v>0.5</v>
      </c>
      <c r="G3" s="46">
        <f>FleetAverage!E3</f>
        <v>0</v>
      </c>
      <c r="H3" s="46">
        <f>FleetAverage!F3</f>
        <v>0.17599999999999996</v>
      </c>
      <c r="I3" s="48">
        <f>FleetAverage!H3</f>
        <v>36.573880519480525</v>
      </c>
      <c r="K3" s="4" t="str">
        <f>ProsumerMetrics!A3</f>
        <v>BES_TR1_one313_A</v>
      </c>
      <c r="L3" s="50">
        <f>ProsumerMetrics!J3</f>
        <v>16.600000000000001</v>
      </c>
      <c r="M3" s="48">
        <f>ProsumerMetrics!K3</f>
        <v>99.9</v>
      </c>
      <c r="O3" s="52">
        <v>2</v>
      </c>
      <c r="P3" s="18" t="str">
        <f>INDEX(ProsumerMetrics!$A$2:$A$78,MATCH(Q3,ProsumerMetrics!$H$2:$H$78,0))</f>
        <v>BES_TR1_six350_B</v>
      </c>
      <c r="Q3" s="42">
        <f>LARGE(ProsumerMetrics!$H$2:$H$78,O3)</f>
        <v>27.04</v>
      </c>
      <c r="R3" s="5" t="str">
        <f t="shared" si="0"/>
        <v>six350_B</v>
      </c>
      <c r="T3" s="40">
        <f>FleetAverage!B3</f>
        <v>0.5</v>
      </c>
      <c r="U3" s="46">
        <f>FleetAverage!C3</f>
        <v>0.17791697748917748</v>
      </c>
      <c r="V3" s="46">
        <f>FleetAverage!D3</f>
        <v>0</v>
      </c>
      <c r="W3" s="46">
        <f>FleetAverage!E3</f>
        <v>0</v>
      </c>
      <c r="X3" s="46">
        <f>FleetAverage!F3</f>
        <v>0.17599999999999996</v>
      </c>
      <c r="Y3" s="54">
        <f>FleetAverage!G3</f>
        <v>1.9169774891775182E-3</v>
      </c>
      <c r="AA3" s="40">
        <f>FleetAverage!B3</f>
        <v>0.5</v>
      </c>
      <c r="AB3" s="46">
        <f>0</f>
        <v>0</v>
      </c>
      <c r="AC3" s="46">
        <f>FleetAverage!G3</f>
        <v>1.9169774891775182E-3</v>
      </c>
      <c r="AD3" s="46">
        <f t="shared" si="1"/>
        <v>1.9169774891775182E-3</v>
      </c>
      <c r="AE3" s="46">
        <f t="shared" si="2"/>
        <v>0</v>
      </c>
      <c r="AF3" s="50">
        <f>100</f>
        <v>100</v>
      </c>
      <c r="AG3" s="48">
        <f>FleetAverage!H3</f>
        <v>36.573880519480525</v>
      </c>
    </row>
    <row r="4" spans="1:33" x14ac:dyDescent="0.25">
      <c r="A4" s="40">
        <f>FleetAverage!B4</f>
        <v>1</v>
      </c>
      <c r="B4" s="42">
        <f>FleetAverage!I4</f>
        <v>9.6826190000000025</v>
      </c>
      <c r="C4" s="42">
        <f>FleetAverage!J4</f>
        <v>0</v>
      </c>
      <c r="D4" s="43">
        <f>FleetAverage!K4</f>
        <v>0.13361900000000304</v>
      </c>
      <c r="F4" s="40">
        <f>FleetAverage!B4</f>
        <v>1</v>
      </c>
      <c r="G4" s="46">
        <f>FleetAverage!E4</f>
        <v>0</v>
      </c>
      <c r="H4" s="46">
        <f>FleetAverage!F4</f>
        <v>0.12401298701298701</v>
      </c>
      <c r="I4" s="48">
        <f>FleetAverage!H4</f>
        <v>34.364816883116895</v>
      </c>
      <c r="K4" s="4" t="str">
        <f>ProsumerMetrics!A4</f>
        <v>BES_TR1_one320_B</v>
      </c>
      <c r="L4" s="50">
        <f>ProsumerMetrics!J4</f>
        <v>35.1</v>
      </c>
      <c r="M4" s="48">
        <f>ProsumerMetrics!K4</f>
        <v>100</v>
      </c>
      <c r="O4" s="52">
        <v>3</v>
      </c>
      <c r="P4" s="18" t="str">
        <f>INDEX(ProsumerMetrics!$A$2:$A$78,MATCH(Q4,ProsumerMetrics!$H$2:$H$78,0))</f>
        <v>BES_TR1_one313_A</v>
      </c>
      <c r="Q4" s="42">
        <f>LARGE(ProsumerMetrics!$H$2:$H$78,O4)</f>
        <v>26.93</v>
      </c>
      <c r="R4" s="5" t="str">
        <f t="shared" si="0"/>
        <v>one313_A</v>
      </c>
      <c r="T4" s="40">
        <f>FleetAverage!B4</f>
        <v>1</v>
      </c>
      <c r="U4" s="46">
        <f>FleetAverage!C4</f>
        <v>0.12574829870129872</v>
      </c>
      <c r="V4" s="46">
        <f>FleetAverage!D4</f>
        <v>0</v>
      </c>
      <c r="W4" s="46">
        <f>FleetAverage!E4</f>
        <v>0</v>
      </c>
      <c r="X4" s="46">
        <f>FleetAverage!F4</f>
        <v>0.12401298701298701</v>
      </c>
      <c r="Y4" s="54">
        <f>FleetAverage!G4</f>
        <v>1.7353116883117164E-3</v>
      </c>
      <c r="AA4" s="40">
        <f>FleetAverage!B4</f>
        <v>1</v>
      </c>
      <c r="AB4" s="46">
        <f>0</f>
        <v>0</v>
      </c>
      <c r="AC4" s="46">
        <f>FleetAverage!G4</f>
        <v>1.7353116883117164E-3</v>
      </c>
      <c r="AD4" s="46">
        <f t="shared" si="1"/>
        <v>1.7353116883117164E-3</v>
      </c>
      <c r="AE4" s="46">
        <f t="shared" si="2"/>
        <v>0</v>
      </c>
      <c r="AF4" s="50">
        <f>100</f>
        <v>100</v>
      </c>
      <c r="AG4" s="48">
        <f>FleetAverage!H4</f>
        <v>34.364816883116895</v>
      </c>
    </row>
    <row r="5" spans="1:33" x14ac:dyDescent="0.25">
      <c r="A5" s="40">
        <f>FleetAverage!B5</f>
        <v>1.5</v>
      </c>
      <c r="B5" s="42">
        <f>FleetAverage!I5</f>
        <v>10.92359793333333</v>
      </c>
      <c r="C5" s="42">
        <f>FleetAverage!J5</f>
        <v>0</v>
      </c>
      <c r="D5" s="43">
        <f>FleetAverage!K5</f>
        <v>0.20159793333333198</v>
      </c>
      <c r="F5" s="40">
        <f>FleetAverage!B5</f>
        <v>1.5</v>
      </c>
      <c r="G5" s="46">
        <f>FleetAverage!E5</f>
        <v>0</v>
      </c>
      <c r="H5" s="46">
        <f>FleetAverage!F5</f>
        <v>0.13924675324675323</v>
      </c>
      <c r="I5" s="48">
        <f>FleetAverage!H5</f>
        <v>32.808424675324666</v>
      </c>
      <c r="K5" s="4" t="str">
        <f>ProsumerMetrics!A5</f>
        <v>BES_TR1_one321_C</v>
      </c>
      <c r="L5" s="50">
        <f>ProsumerMetrics!J5</f>
        <v>19.5</v>
      </c>
      <c r="M5" s="48">
        <f>ProsumerMetrics!K5</f>
        <v>100</v>
      </c>
      <c r="O5" s="52">
        <v>4</v>
      </c>
      <c r="P5" s="18" t="str">
        <f>INDEX(ProsumerMetrics!$A$2:$A$78,MATCH(Q5,ProsumerMetrics!$H$2:$H$78,0))</f>
        <v>BES_TR1_six723_B</v>
      </c>
      <c r="Q5" s="42">
        <f>LARGE(ProsumerMetrics!$H$2:$H$78,O5)</f>
        <v>26.45</v>
      </c>
      <c r="R5" s="5" t="str">
        <f t="shared" si="0"/>
        <v>six723_B</v>
      </c>
      <c r="T5" s="40">
        <f>FleetAverage!B5</f>
        <v>1.5</v>
      </c>
      <c r="U5" s="46">
        <f>FleetAverage!C5</f>
        <v>0.14186490822510817</v>
      </c>
      <c r="V5" s="46">
        <f>FleetAverage!D5</f>
        <v>0</v>
      </c>
      <c r="W5" s="46">
        <f>FleetAverage!E5</f>
        <v>0</v>
      </c>
      <c r="X5" s="46">
        <f>FleetAverage!F5</f>
        <v>0.13924675324675323</v>
      </c>
      <c r="Y5" s="54">
        <f>FleetAverage!G5</f>
        <v>2.6181549783549363E-3</v>
      </c>
      <c r="AA5" s="40">
        <f>FleetAverage!B5</f>
        <v>1.5</v>
      </c>
      <c r="AB5" s="46">
        <f>0</f>
        <v>0</v>
      </c>
      <c r="AC5" s="46">
        <f>FleetAverage!G5</f>
        <v>2.6181549783549363E-3</v>
      </c>
      <c r="AD5" s="46">
        <f t="shared" si="1"/>
        <v>2.6181549783549363E-3</v>
      </c>
      <c r="AE5" s="46">
        <f t="shared" si="2"/>
        <v>0</v>
      </c>
      <c r="AF5" s="50">
        <f>100</f>
        <v>100</v>
      </c>
      <c r="AG5" s="48">
        <f>FleetAverage!H5</f>
        <v>32.808424675324666</v>
      </c>
    </row>
    <row r="6" spans="1:33" x14ac:dyDescent="0.25">
      <c r="A6" s="40">
        <f>FleetAverage!B6</f>
        <v>2</v>
      </c>
      <c r="B6" s="42">
        <f>FleetAverage!I6</f>
        <v>8.1916243333333352</v>
      </c>
      <c r="C6" s="42">
        <f>FleetAverage!J6</f>
        <v>0</v>
      </c>
      <c r="D6" s="43">
        <f>FleetAverage!K6</f>
        <v>0.369624333333336</v>
      </c>
      <c r="F6" s="40">
        <f>FleetAverage!B6</f>
        <v>2</v>
      </c>
      <c r="G6" s="46">
        <f>FleetAverage!E6</f>
        <v>0</v>
      </c>
      <c r="H6" s="46">
        <f>FleetAverage!F6</f>
        <v>0.10158441558441557</v>
      </c>
      <c r="I6" s="48">
        <f>FleetAverage!H6</f>
        <v>31.061216883116892</v>
      </c>
      <c r="K6" s="4" t="str">
        <f>ProsumerMetrics!A6</f>
        <v>BES_TR1_one346_C</v>
      </c>
      <c r="L6" s="50">
        <f>ProsumerMetrics!J6</f>
        <v>19.899999999999999</v>
      </c>
      <c r="M6" s="48">
        <f>ProsumerMetrics!K6</f>
        <v>99.9</v>
      </c>
      <c r="O6" s="52">
        <v>5</v>
      </c>
      <c r="P6" s="18" t="str">
        <f>INDEX(ProsumerMetrics!$A$2:$A$78,MATCH(Q6,ProsumerMetrics!$H$2:$H$78,0))</f>
        <v>BES_TR1_six173_C</v>
      </c>
      <c r="Q6" s="42">
        <f>LARGE(ProsumerMetrics!$H$2:$H$78,O6)</f>
        <v>26.22</v>
      </c>
      <c r="R6" s="5" t="str">
        <f t="shared" si="0"/>
        <v>six173_C</v>
      </c>
      <c r="T6" s="40">
        <f>FleetAverage!B6</f>
        <v>2</v>
      </c>
      <c r="U6" s="46">
        <f>FleetAverage!C6</f>
        <v>0.10638473160173162</v>
      </c>
      <c r="V6" s="46">
        <f>FleetAverage!D6</f>
        <v>0</v>
      </c>
      <c r="W6" s="46">
        <f>FleetAverage!E6</f>
        <v>0</v>
      </c>
      <c r="X6" s="46">
        <f>FleetAverage!F6</f>
        <v>0.10158441558441557</v>
      </c>
      <c r="Y6" s="54">
        <f>FleetAverage!G6</f>
        <v>4.8003160173160503E-3</v>
      </c>
      <c r="AA6" s="40">
        <f>FleetAverage!B6</f>
        <v>2</v>
      </c>
      <c r="AB6" s="46">
        <f>0</f>
        <v>0</v>
      </c>
      <c r="AC6" s="46">
        <f>FleetAverage!G6</f>
        <v>4.8003160173160503E-3</v>
      </c>
      <c r="AD6" s="46">
        <f t="shared" si="1"/>
        <v>4.8003160173160503E-3</v>
      </c>
      <c r="AE6" s="46">
        <f t="shared" si="2"/>
        <v>0</v>
      </c>
      <c r="AF6" s="50">
        <f>100</f>
        <v>100</v>
      </c>
      <c r="AG6" s="48">
        <f>FleetAverage!H6</f>
        <v>31.061216883116892</v>
      </c>
    </row>
    <row r="7" spans="1:33" x14ac:dyDescent="0.25">
      <c r="A7" s="40">
        <f>FleetAverage!B7</f>
        <v>2.5</v>
      </c>
      <c r="B7" s="42">
        <f>FleetAverage!I7</f>
        <v>9.5868432666666763</v>
      </c>
      <c r="C7" s="42">
        <f>FleetAverage!J7</f>
        <v>0</v>
      </c>
      <c r="D7" s="43">
        <f>FleetAverage!K7</f>
        <v>0.25284326666667845</v>
      </c>
      <c r="F7" s="40">
        <f>FleetAverage!B7</f>
        <v>2.5</v>
      </c>
      <c r="G7" s="46">
        <f>FleetAverage!E7</f>
        <v>0</v>
      </c>
      <c r="H7" s="46">
        <f>FleetAverage!F7</f>
        <v>0.12122077922077919</v>
      </c>
      <c r="I7" s="48">
        <f>FleetAverage!H7</f>
        <v>29.7866909090909</v>
      </c>
      <c r="K7" s="4" t="str">
        <f>ProsumerMetrics!A7</f>
        <v>BES_TR1_one366_B</v>
      </c>
      <c r="L7" s="50">
        <f>ProsumerMetrics!J7</f>
        <v>54.2</v>
      </c>
      <c r="M7" s="48">
        <f>ProsumerMetrics!K7</f>
        <v>79.5</v>
      </c>
      <c r="O7" s="52">
        <v>6</v>
      </c>
      <c r="P7" s="18" t="str">
        <f>INDEX(ProsumerMetrics!$A$2:$A$78,MATCH(Q7,ProsumerMetrics!$H$2:$H$78,0))</f>
        <v>BES_TR1_one321_C</v>
      </c>
      <c r="Q7" s="42">
        <f>LARGE(ProsumerMetrics!$H$2:$H$78,O7)</f>
        <v>26</v>
      </c>
      <c r="R7" s="5" t="str">
        <f t="shared" si="0"/>
        <v>one321_C</v>
      </c>
      <c r="T7" s="40">
        <f>FleetAverage!B7</f>
        <v>2.5</v>
      </c>
      <c r="U7" s="46">
        <f>FleetAverage!C7</f>
        <v>0.12450445800865813</v>
      </c>
      <c r="V7" s="46">
        <f>FleetAverage!D7</f>
        <v>0</v>
      </c>
      <c r="W7" s="46">
        <f>FleetAverage!E7</f>
        <v>0</v>
      </c>
      <c r="X7" s="46">
        <f>FleetAverage!F7</f>
        <v>0.12122077922077919</v>
      </c>
      <c r="Y7" s="54">
        <f>FleetAverage!G7</f>
        <v>3.2836787878789409E-3</v>
      </c>
      <c r="AA7" s="40">
        <f>FleetAverage!B7</f>
        <v>2.5</v>
      </c>
      <c r="AB7" s="46">
        <f>0</f>
        <v>0</v>
      </c>
      <c r="AC7" s="46">
        <f>FleetAverage!G7</f>
        <v>3.2836787878789409E-3</v>
      </c>
      <c r="AD7" s="46">
        <f t="shared" si="1"/>
        <v>3.2836787878789409E-3</v>
      </c>
      <c r="AE7" s="46">
        <f t="shared" si="2"/>
        <v>0</v>
      </c>
      <c r="AF7" s="50">
        <f>100</f>
        <v>100</v>
      </c>
      <c r="AG7" s="48">
        <f>FleetAverage!H7</f>
        <v>29.7866909090909</v>
      </c>
    </row>
    <row r="8" spans="1:33" x14ac:dyDescent="0.25">
      <c r="A8" s="40">
        <f>FleetAverage!B8</f>
        <v>3</v>
      </c>
      <c r="B8" s="42">
        <f>FleetAverage!I8</f>
        <v>10.167341999999996</v>
      </c>
      <c r="C8" s="42">
        <f>FleetAverage!J8</f>
        <v>0</v>
      </c>
      <c r="D8" s="43">
        <f>FleetAverage!K8</f>
        <v>0.43134200000000078</v>
      </c>
      <c r="F8" s="40">
        <f>FleetAverage!B8</f>
        <v>3</v>
      </c>
      <c r="G8" s="46">
        <f>FleetAverage!E8</f>
        <v>0</v>
      </c>
      <c r="H8" s="46">
        <f>FleetAverage!F8</f>
        <v>0.12644155844155838</v>
      </c>
      <c r="I8" s="48">
        <f>FleetAverage!H8</f>
        <v>28.265666233766233</v>
      </c>
      <c r="K8" s="4" t="str">
        <f>ProsumerMetrics!A8</f>
        <v>BES_TR1_one375_C</v>
      </c>
      <c r="L8" s="50">
        <f>ProsumerMetrics!J8</f>
        <v>55.4</v>
      </c>
      <c r="M8" s="48">
        <f>ProsumerMetrics!K8</f>
        <v>97</v>
      </c>
      <c r="O8" s="52">
        <v>7</v>
      </c>
      <c r="P8" s="18" t="str">
        <f>INDEX(ProsumerMetrics!$A$2:$A$78,MATCH(Q8,ProsumerMetrics!$H$2:$H$78,0))</f>
        <v>BES_TR1_six154_C</v>
      </c>
      <c r="Q8" s="42">
        <f>LARGE(ProsumerMetrics!$H$2:$H$78,O8)</f>
        <v>25.52</v>
      </c>
      <c r="R8" s="5" t="str">
        <f t="shared" si="0"/>
        <v>six154_C</v>
      </c>
      <c r="T8" s="40">
        <f>FleetAverage!B8</f>
        <v>3</v>
      </c>
      <c r="U8" s="46">
        <f>FleetAverage!C8</f>
        <v>0.13204340259740255</v>
      </c>
      <c r="V8" s="46">
        <f>FleetAverage!D8</f>
        <v>0</v>
      </c>
      <c r="W8" s="46">
        <f>FleetAverage!E8</f>
        <v>0</v>
      </c>
      <c r="X8" s="46">
        <f>FleetAverage!F8</f>
        <v>0.12644155844155838</v>
      </c>
      <c r="Y8" s="54">
        <f>FleetAverage!G8</f>
        <v>5.6018441558441656E-3</v>
      </c>
      <c r="AA8" s="40">
        <f>FleetAverage!B8</f>
        <v>3</v>
      </c>
      <c r="AB8" s="46">
        <f>0</f>
        <v>0</v>
      </c>
      <c r="AC8" s="46">
        <f>FleetAverage!G8</f>
        <v>5.6018441558441656E-3</v>
      </c>
      <c r="AD8" s="46">
        <f t="shared" si="1"/>
        <v>5.6018441558441656E-3</v>
      </c>
      <c r="AE8" s="46">
        <f t="shared" si="2"/>
        <v>0</v>
      </c>
      <c r="AF8" s="50">
        <f>100</f>
        <v>100</v>
      </c>
      <c r="AG8" s="48">
        <f>FleetAverage!H8</f>
        <v>28.265666233766233</v>
      </c>
    </row>
    <row r="9" spans="1:33" x14ac:dyDescent="0.25">
      <c r="A9" s="40">
        <f>FleetAverage!B9</f>
        <v>3.5</v>
      </c>
      <c r="B9" s="42">
        <f>FleetAverage!I9</f>
        <v>7.8747996666666689</v>
      </c>
      <c r="C9" s="42">
        <f>FleetAverage!J9</f>
        <v>0.19139469283333341</v>
      </c>
      <c r="D9" s="43">
        <f>FleetAverage!K9</f>
        <v>0.41340497383333652</v>
      </c>
      <c r="F9" s="40">
        <f>FleetAverage!B9</f>
        <v>3.5</v>
      </c>
      <c r="G9" s="46">
        <f>FleetAverage!E9</f>
        <v>0</v>
      </c>
      <c r="H9" s="46">
        <f>FleetAverage!F9</f>
        <v>9.4415584415584397E-2</v>
      </c>
      <c r="I9" s="48">
        <f>FleetAverage!H9</f>
        <v>26.67901688311688</v>
      </c>
      <c r="K9" s="4" t="str">
        <f>ProsumerMetrics!A9</f>
        <v>BES_TR1_one410_B</v>
      </c>
      <c r="L9" s="50">
        <f>ProsumerMetrics!J9</f>
        <v>37</v>
      </c>
      <c r="M9" s="48">
        <f>ProsumerMetrics!K9</f>
        <v>100</v>
      </c>
      <c r="O9" s="52">
        <v>8</v>
      </c>
      <c r="P9" s="18" t="str">
        <f>INDEX(ProsumerMetrics!$A$2:$A$78,MATCH(Q9,ProsumerMetrics!$H$2:$H$78,0))</f>
        <v>BES_TR1_six860_C</v>
      </c>
      <c r="Q9" s="42">
        <f>LARGE(ProsumerMetrics!$H$2:$H$78,O9)</f>
        <v>25.51</v>
      </c>
      <c r="R9" s="5" t="str">
        <f t="shared" si="0"/>
        <v>six860_C</v>
      </c>
      <c r="T9" s="40">
        <f>FleetAverage!B9</f>
        <v>3.5</v>
      </c>
      <c r="U9" s="46">
        <f>FleetAverage!C9</f>
        <v>0.10227012554112556</v>
      </c>
      <c r="V9" s="46">
        <f>FleetAverage!D9</f>
        <v>2.4856453614718623E-3</v>
      </c>
      <c r="W9" s="46">
        <f>FleetAverage!E9</f>
        <v>0</v>
      </c>
      <c r="X9" s="46">
        <f>FleetAverage!F9</f>
        <v>9.4415584415584397E-2</v>
      </c>
      <c r="Y9" s="54">
        <f>FleetAverage!G9</f>
        <v>5.3688957640693064E-3</v>
      </c>
      <c r="AA9" s="40">
        <f>FleetAverage!B9</f>
        <v>3.5</v>
      </c>
      <c r="AB9" s="46">
        <f>0</f>
        <v>0</v>
      </c>
      <c r="AC9" s="46">
        <f>FleetAverage!G9</f>
        <v>5.3688957640693064E-3</v>
      </c>
      <c r="AD9" s="46">
        <f t="shared" si="1"/>
        <v>5.3688957640693064E-3</v>
      </c>
      <c r="AE9" s="46">
        <f t="shared" si="2"/>
        <v>0</v>
      </c>
      <c r="AF9" s="50">
        <f>100</f>
        <v>100</v>
      </c>
      <c r="AG9" s="48">
        <f>FleetAverage!H9</f>
        <v>26.67901688311688</v>
      </c>
    </row>
    <row r="10" spans="1:33" x14ac:dyDescent="0.25">
      <c r="A10" s="40">
        <f>FleetAverage!B10</f>
        <v>4</v>
      </c>
      <c r="B10" s="42">
        <f>FleetAverage!I10</f>
        <v>10.001936266666666</v>
      </c>
      <c r="C10" s="42">
        <f>FleetAverage!J10</f>
        <v>2.7664811471666608</v>
      </c>
      <c r="D10" s="43">
        <f>FleetAverage!K10</f>
        <v>0.49718960300001047</v>
      </c>
      <c r="F10" s="40">
        <f>FleetAverage!B10</f>
        <v>4</v>
      </c>
      <c r="G10" s="46">
        <f>FleetAverage!E10</f>
        <v>5.1948051948051951E-5</v>
      </c>
      <c r="H10" s="46">
        <f>FleetAverage!F10</f>
        <v>8.7561889824675249E-2</v>
      </c>
      <c r="I10" s="48">
        <f>FleetAverage!H10</f>
        <v>25.494477922077916</v>
      </c>
      <c r="K10" s="4" t="str">
        <f>ProsumerMetrics!A10</f>
        <v>BES_TR1_one50_A</v>
      </c>
      <c r="L10" s="50">
        <f>ProsumerMetrics!J10</f>
        <v>37.6</v>
      </c>
      <c r="M10" s="48">
        <f>ProsumerMetrics!K10</f>
        <v>100</v>
      </c>
      <c r="O10" s="52">
        <v>9</v>
      </c>
      <c r="P10" s="18" t="str">
        <f>INDEX(ProsumerMetrics!$A$2:$A$78,MATCH(Q10,ProsumerMetrics!$H$2:$H$78,0))</f>
        <v>BES_TR1_six191_B</v>
      </c>
      <c r="Q10" s="42">
        <f>LARGE(ProsumerMetrics!$H$2:$H$78,O10)</f>
        <v>25.39</v>
      </c>
      <c r="R10" s="5" t="str">
        <f t="shared" si="0"/>
        <v>six191_B</v>
      </c>
      <c r="T10" s="40">
        <f>FleetAverage!B10</f>
        <v>4</v>
      </c>
      <c r="U10" s="46">
        <f>FleetAverage!C10</f>
        <v>0.12989527619047619</v>
      </c>
      <c r="V10" s="46">
        <f>FleetAverage!D10</f>
        <v>3.592832658658001E-2</v>
      </c>
      <c r="W10" s="46">
        <f>FleetAverage!E10</f>
        <v>5.1948051948051951E-5</v>
      </c>
      <c r="X10" s="46">
        <f>FleetAverage!F10</f>
        <v>8.7561889824675249E-2</v>
      </c>
      <c r="Y10" s="54">
        <f>FleetAverage!G10</f>
        <v>6.4570078311689816E-3</v>
      </c>
      <c r="AA10" s="40">
        <f>FleetAverage!B10</f>
        <v>4</v>
      </c>
      <c r="AB10" s="46">
        <f>0</f>
        <v>0</v>
      </c>
      <c r="AC10" s="46">
        <f>FleetAverage!G10</f>
        <v>6.4570078311689816E-3</v>
      </c>
      <c r="AD10" s="46">
        <f t="shared" si="1"/>
        <v>6.4570078311689816E-3</v>
      </c>
      <c r="AE10" s="46">
        <f t="shared" si="2"/>
        <v>0</v>
      </c>
      <c r="AF10" s="50">
        <f>100</f>
        <v>100</v>
      </c>
      <c r="AG10" s="48">
        <f>FleetAverage!H10</f>
        <v>25.494477922077916</v>
      </c>
    </row>
    <row r="11" spans="1:33" x14ac:dyDescent="0.25">
      <c r="A11" s="40">
        <f>FleetAverage!B11</f>
        <v>4.5</v>
      </c>
      <c r="B11" s="42">
        <f>FleetAverage!I11</f>
        <v>8.988642666666669</v>
      </c>
      <c r="C11" s="42">
        <f>FleetAverage!J11</f>
        <v>12.936904119250006</v>
      </c>
      <c r="D11" s="43">
        <f>FleetAverage!K11</f>
        <v>-2.2614525833393184E-3</v>
      </c>
      <c r="F11" s="40">
        <f>FleetAverage!B11</f>
        <v>4.5</v>
      </c>
      <c r="G11" s="46">
        <f>FleetAverage!E11</f>
        <v>7.4155844155844114E-2</v>
      </c>
      <c r="H11" s="46">
        <f>FleetAverage!F11</f>
        <v>2.290909090909091E-2</v>
      </c>
      <c r="I11" s="48">
        <f>FleetAverage!H11</f>
        <v>24.396470129870128</v>
      </c>
      <c r="K11" s="4" t="str">
        <f>ProsumerMetrics!A11</f>
        <v>BES_TR1_one423_B</v>
      </c>
      <c r="L11" s="50">
        <f>ProsumerMetrics!J11</f>
        <v>48.9</v>
      </c>
      <c r="M11" s="48">
        <f>ProsumerMetrics!K11</f>
        <v>95.1</v>
      </c>
      <c r="O11" s="53">
        <v>10</v>
      </c>
      <c r="P11" s="19" t="str">
        <f>INDEX(ProsumerMetrics!$A$2:$A$78,MATCH(Q11,ProsumerMetrics!$H$2:$H$78,0))</f>
        <v>BES_TR1_six249_B</v>
      </c>
      <c r="Q11" s="44">
        <f>LARGE(ProsumerMetrics!$H$2:$H$78,O11)</f>
        <v>25.32</v>
      </c>
      <c r="R11" s="7" t="str">
        <f t="shared" si="0"/>
        <v>six249_B</v>
      </c>
      <c r="T11" s="40">
        <f>FleetAverage!B11</f>
        <v>4.5</v>
      </c>
      <c r="U11" s="46">
        <f>FleetAverage!C11</f>
        <v>0.11673561904761907</v>
      </c>
      <c r="V11" s="46">
        <f>FleetAverage!D11</f>
        <v>0.16801174180844164</v>
      </c>
      <c r="W11" s="46">
        <f>FleetAverage!E11</f>
        <v>7.4155844155844114E-2</v>
      </c>
      <c r="X11" s="46">
        <f>FleetAverage!F11</f>
        <v>2.290909090909091E-2</v>
      </c>
      <c r="Y11" s="54">
        <f>FleetAverage!G11</f>
        <v>-2.9369514069361308E-5</v>
      </c>
      <c r="AA11" s="40">
        <f>FleetAverage!B11</f>
        <v>4.5</v>
      </c>
      <c r="AB11" s="46">
        <f>0</f>
        <v>0</v>
      </c>
      <c r="AC11" s="46">
        <f>FleetAverage!G11</f>
        <v>-2.9369514069361308E-5</v>
      </c>
      <c r="AD11" s="46">
        <f t="shared" si="1"/>
        <v>0</v>
      </c>
      <c r="AE11" s="46">
        <f t="shared" si="2"/>
        <v>-2.9369514069361308E-5</v>
      </c>
      <c r="AF11" s="50">
        <f>100</f>
        <v>100</v>
      </c>
      <c r="AG11" s="48">
        <f>FleetAverage!H11</f>
        <v>24.396470129870128</v>
      </c>
    </row>
    <row r="12" spans="1:33" x14ac:dyDescent="0.25">
      <c r="A12" s="40">
        <f>FleetAverage!B12</f>
        <v>5</v>
      </c>
      <c r="B12" s="42">
        <f>FleetAverage!I12</f>
        <v>8.3605240666666703</v>
      </c>
      <c r="C12" s="42">
        <f>FleetAverage!J12</f>
        <v>25.662053534833415</v>
      </c>
      <c r="D12" s="43">
        <f>FleetAverage!K12</f>
        <v>5.1470531833253397E-2</v>
      </c>
      <c r="F12" s="40">
        <f>FleetAverage!B12</f>
        <v>5</v>
      </c>
      <c r="G12" s="46">
        <f>FleetAverage!E12</f>
        <v>0.22951948051948048</v>
      </c>
      <c r="H12" s="46">
        <f>FleetAverage!F12</f>
        <v>4.1558441558441558E-3</v>
      </c>
      <c r="I12" s="48">
        <f>FleetAverage!H12</f>
        <v>24.946828571428572</v>
      </c>
      <c r="K12" s="4" t="str">
        <f>ProsumerMetrics!A12</f>
        <v>BES_TR1_one469_A</v>
      </c>
      <c r="L12" s="50">
        <f>ProsumerMetrics!J12</f>
        <v>24.4</v>
      </c>
      <c r="M12" s="48">
        <f>ProsumerMetrics!K12</f>
        <v>100</v>
      </c>
      <c r="T12" s="40">
        <f>FleetAverage!B12</f>
        <v>5</v>
      </c>
      <c r="U12" s="46">
        <f>FleetAverage!C12</f>
        <v>0.10857823463203468</v>
      </c>
      <c r="V12" s="46">
        <f>FleetAverage!D12</f>
        <v>0.33327342253030412</v>
      </c>
      <c r="W12" s="46">
        <f>FleetAverage!E12</f>
        <v>0.22951948051948048</v>
      </c>
      <c r="X12" s="46">
        <f>FleetAverage!F12</f>
        <v>4.1558441558441558E-3</v>
      </c>
      <c r="Y12" s="54">
        <f>FleetAverage!G12</f>
        <v>6.6844846536690677E-4</v>
      </c>
      <c r="AA12" s="40">
        <f>FleetAverage!B12</f>
        <v>5</v>
      </c>
      <c r="AB12" s="46">
        <f>0</f>
        <v>0</v>
      </c>
      <c r="AC12" s="46">
        <f>FleetAverage!G12</f>
        <v>6.6844846536690677E-4</v>
      </c>
      <c r="AD12" s="46">
        <f t="shared" si="1"/>
        <v>6.6844846536690677E-4</v>
      </c>
      <c r="AE12" s="46">
        <f t="shared" si="2"/>
        <v>0</v>
      </c>
      <c r="AF12" s="50">
        <f>100</f>
        <v>100</v>
      </c>
      <c r="AG12" s="48">
        <f>FleetAverage!H12</f>
        <v>24.946828571428572</v>
      </c>
    </row>
    <row r="13" spans="1:33" x14ac:dyDescent="0.25">
      <c r="A13" s="40">
        <f>FleetAverage!B13</f>
        <v>5.5</v>
      </c>
      <c r="B13" s="42">
        <f>FleetAverage!I13</f>
        <v>9.6716268666666689</v>
      </c>
      <c r="C13" s="42">
        <f>FleetAverage!J13</f>
        <v>41.265849944666606</v>
      </c>
      <c r="D13" s="43">
        <f>FleetAverage!K13</f>
        <v>2.7769220000674298E-3</v>
      </c>
      <c r="F13" s="40">
        <f>FleetAverage!B13</f>
        <v>5.5</v>
      </c>
      <c r="G13" s="46">
        <f>FleetAverage!E13</f>
        <v>0.41070129870129873</v>
      </c>
      <c r="H13" s="46">
        <f>FleetAverage!F13</f>
        <v>3.5064935064935067E-4</v>
      </c>
      <c r="I13" s="48">
        <f>FleetAverage!H13</f>
        <v>27.486579220779216</v>
      </c>
      <c r="K13" s="4" t="str">
        <f>ProsumerMetrics!A13</f>
        <v>BES_TR1_one480_A</v>
      </c>
      <c r="L13" s="50">
        <f>ProsumerMetrics!J13</f>
        <v>56.2</v>
      </c>
      <c r="M13" s="48">
        <f>ProsumerMetrics!K13</f>
        <v>95.2</v>
      </c>
      <c r="T13" s="40">
        <f>FleetAverage!B13</f>
        <v>5.5</v>
      </c>
      <c r="U13" s="46">
        <f>FleetAverage!C13</f>
        <v>0.12560554372294375</v>
      </c>
      <c r="V13" s="46">
        <f>FleetAverage!D13</f>
        <v>0.53592012915151432</v>
      </c>
      <c r="W13" s="46">
        <f>FleetAverage!E13</f>
        <v>0.41070129870129873</v>
      </c>
      <c r="X13" s="46">
        <f>FleetAverage!F13</f>
        <v>3.5064935064935067E-4</v>
      </c>
      <c r="Y13" s="54">
        <f>FleetAverage!G13</f>
        <v>3.6063922078805695E-5</v>
      </c>
      <c r="AA13" s="40">
        <f>FleetAverage!B13</f>
        <v>5.5</v>
      </c>
      <c r="AB13" s="46">
        <f>0</f>
        <v>0</v>
      </c>
      <c r="AC13" s="46">
        <f>FleetAverage!G13</f>
        <v>3.6063922078805695E-5</v>
      </c>
      <c r="AD13" s="46">
        <f t="shared" si="1"/>
        <v>3.6063922078805695E-5</v>
      </c>
      <c r="AE13" s="46">
        <f t="shared" si="2"/>
        <v>0</v>
      </c>
      <c r="AF13" s="50">
        <f>100</f>
        <v>100</v>
      </c>
      <c r="AG13" s="48">
        <f>FleetAverage!H13</f>
        <v>27.486579220779216</v>
      </c>
    </row>
    <row r="14" spans="1:33" x14ac:dyDescent="0.25">
      <c r="A14" s="40">
        <f>FleetAverage!B14</f>
        <v>6</v>
      </c>
      <c r="B14" s="42">
        <f>FleetAverage!I14</f>
        <v>9.6461932666666677</v>
      </c>
      <c r="C14" s="42">
        <f>FleetAverage!J14</f>
        <v>58.290471717083406</v>
      </c>
      <c r="D14" s="43">
        <f>FleetAverage!K14</f>
        <v>3.7215495832754186E-3</v>
      </c>
      <c r="F14" s="40">
        <f>FleetAverage!B14</f>
        <v>6</v>
      </c>
      <c r="G14" s="46">
        <f>FleetAverage!E14</f>
        <v>0.6317922077922079</v>
      </c>
      <c r="H14" s="46">
        <f>FleetAverage!F14</f>
        <v>0</v>
      </c>
      <c r="I14" s="48">
        <f>FleetAverage!H14</f>
        <v>32.120254545454557</v>
      </c>
      <c r="K14" s="4" t="str">
        <f>ProsumerMetrics!A14</f>
        <v>BES_TR1_one482_B</v>
      </c>
      <c r="L14" s="50">
        <f>ProsumerMetrics!J14</f>
        <v>21.7</v>
      </c>
      <c r="M14" s="48">
        <f>ProsumerMetrics!K14</f>
        <v>100</v>
      </c>
      <c r="T14" s="40">
        <f>FleetAverage!B14</f>
        <v>6</v>
      </c>
      <c r="U14" s="46">
        <f>FleetAverage!C14</f>
        <v>0.12527523722943723</v>
      </c>
      <c r="V14" s="46">
        <f>FleetAverage!D14</f>
        <v>0.75701911320887538</v>
      </c>
      <c r="W14" s="46">
        <f>FleetAverage!E14</f>
        <v>0.6317922077922079</v>
      </c>
      <c r="X14" s="46">
        <f>FleetAverage!F14</f>
        <v>0</v>
      </c>
      <c r="Y14" s="54">
        <f>FleetAverage!G14</f>
        <v>4.8331812769752958E-5</v>
      </c>
      <c r="AA14" s="40">
        <f>FleetAverage!B14</f>
        <v>6</v>
      </c>
      <c r="AB14" s="46">
        <f>0</f>
        <v>0</v>
      </c>
      <c r="AC14" s="46">
        <f>FleetAverage!G14</f>
        <v>4.8331812769752958E-5</v>
      </c>
      <c r="AD14" s="46">
        <f t="shared" si="1"/>
        <v>4.8331812769752958E-5</v>
      </c>
      <c r="AE14" s="46">
        <f t="shared" si="2"/>
        <v>0</v>
      </c>
      <c r="AF14" s="50">
        <f>100</f>
        <v>100</v>
      </c>
      <c r="AG14" s="48">
        <f>FleetAverage!H14</f>
        <v>32.120254545454557</v>
      </c>
    </row>
    <row r="15" spans="1:33" x14ac:dyDescent="0.25">
      <c r="A15" s="40">
        <f>FleetAverage!B15</f>
        <v>6.5</v>
      </c>
      <c r="B15" s="42">
        <f>FleetAverage!I15</f>
        <v>13.653674666666673</v>
      </c>
      <c r="C15" s="42">
        <f>FleetAverage!J15</f>
        <v>75.524352455166579</v>
      </c>
      <c r="D15" s="43">
        <f>FleetAverage!K15</f>
        <v>3.3222115000945962E-3</v>
      </c>
      <c r="F15" s="40">
        <f>FleetAverage!B15</f>
        <v>6.5</v>
      </c>
      <c r="G15" s="46">
        <f>FleetAverage!E15</f>
        <v>0.8201688311688311</v>
      </c>
      <c r="H15" s="46">
        <f>FleetAverage!F15</f>
        <v>1.661038961038961E-2</v>
      </c>
      <c r="I15" s="48">
        <f>FleetAverage!H15</f>
        <v>39.255199999999995</v>
      </c>
      <c r="K15" s="4" t="str">
        <f>ProsumerMetrics!A15</f>
        <v>BES_TR1_one521_C</v>
      </c>
      <c r="L15" s="50">
        <f>ProsumerMetrics!J15</f>
        <v>37.200000000000003</v>
      </c>
      <c r="M15" s="48">
        <f>ProsumerMetrics!K15</f>
        <v>100</v>
      </c>
      <c r="T15" s="40">
        <f>FleetAverage!B15</f>
        <v>6.5</v>
      </c>
      <c r="U15" s="46">
        <f>FleetAverage!C15</f>
        <v>0.17732045021645029</v>
      </c>
      <c r="V15" s="46">
        <f>FleetAverage!D15</f>
        <v>0.98083574617099456</v>
      </c>
      <c r="W15" s="46">
        <f>FleetAverage!E15</f>
        <v>0.8201688311688311</v>
      </c>
      <c r="X15" s="46">
        <f>FleetAverage!F15</f>
        <v>1.661038961038961E-2</v>
      </c>
      <c r="Y15" s="54">
        <f>FleetAverage!G15</f>
        <v>4.3145603897197515E-5</v>
      </c>
      <c r="AA15" s="40">
        <f>FleetAverage!B15</f>
        <v>6.5</v>
      </c>
      <c r="AB15" s="46">
        <f>0</f>
        <v>0</v>
      </c>
      <c r="AC15" s="46">
        <f>FleetAverage!G15</f>
        <v>4.3145603897197515E-5</v>
      </c>
      <c r="AD15" s="46">
        <f t="shared" si="1"/>
        <v>4.3145603897197515E-5</v>
      </c>
      <c r="AE15" s="46">
        <f t="shared" si="2"/>
        <v>0</v>
      </c>
      <c r="AF15" s="50">
        <f>100</f>
        <v>100</v>
      </c>
      <c r="AG15" s="48">
        <f>FleetAverage!H15</f>
        <v>39.255199999999995</v>
      </c>
    </row>
    <row r="16" spans="1:33" x14ac:dyDescent="0.25">
      <c r="A16" s="40">
        <f>FleetAverage!B16</f>
        <v>7</v>
      </c>
      <c r="B16" s="42">
        <f>FleetAverage!I16</f>
        <v>11.759789833333341</v>
      </c>
      <c r="C16" s="42">
        <f>FleetAverage!J16</f>
        <v>92.668994673250026</v>
      </c>
      <c r="D16" s="43">
        <f>FleetAverage!K16</f>
        <v>1.7951600833088222E-3</v>
      </c>
      <c r="F16" s="40">
        <f>FleetAverage!B16</f>
        <v>7</v>
      </c>
      <c r="G16" s="46">
        <f>FleetAverage!E16</f>
        <v>1.0652987012987012</v>
      </c>
      <c r="H16" s="46">
        <f>FleetAverage!F16</f>
        <v>1.4506493506493506E-2</v>
      </c>
      <c r="I16" s="48">
        <f>FleetAverage!H16</f>
        <v>48.309303896103891</v>
      </c>
      <c r="K16" s="4" t="str">
        <f>ProsumerMetrics!A16</f>
        <v>BES_TR1_one528_C</v>
      </c>
      <c r="L16" s="50">
        <f>ProsumerMetrics!J16</f>
        <v>49</v>
      </c>
      <c r="M16" s="48">
        <f>ProsumerMetrics!K16</f>
        <v>98.1</v>
      </c>
      <c r="T16" s="40">
        <f>FleetAverage!B16</f>
        <v>7</v>
      </c>
      <c r="U16" s="46">
        <f>FleetAverage!C16</f>
        <v>0.1527245432900434</v>
      </c>
      <c r="V16" s="46">
        <f>FleetAverage!D16</f>
        <v>1.2034934373149353</v>
      </c>
      <c r="W16" s="46">
        <f>FleetAverage!E16</f>
        <v>1.0652987012987012</v>
      </c>
      <c r="X16" s="46">
        <f>FleetAverage!F16</f>
        <v>1.4506493506493506E-2</v>
      </c>
      <c r="Y16" s="54">
        <f>FleetAverage!G16</f>
        <v>2.3313767315864126E-5</v>
      </c>
      <c r="AA16" s="40">
        <f>FleetAverage!B16</f>
        <v>7</v>
      </c>
      <c r="AB16" s="46">
        <f>0</f>
        <v>0</v>
      </c>
      <c r="AC16" s="46">
        <f>FleetAverage!G16</f>
        <v>2.3313767315864126E-5</v>
      </c>
      <c r="AD16" s="46">
        <f t="shared" si="1"/>
        <v>2.3313767315864126E-5</v>
      </c>
      <c r="AE16" s="46">
        <f t="shared" si="2"/>
        <v>0</v>
      </c>
      <c r="AF16" s="50">
        <f>100</f>
        <v>100</v>
      </c>
      <c r="AG16" s="48">
        <f>FleetAverage!H16</f>
        <v>48.309303896103891</v>
      </c>
    </row>
    <row r="17" spans="1:33" x14ac:dyDescent="0.25">
      <c r="A17" s="40">
        <f>FleetAverage!B17</f>
        <v>7.5</v>
      </c>
      <c r="B17" s="42">
        <f>FleetAverage!I17</f>
        <v>15.640839600000001</v>
      </c>
      <c r="C17" s="42">
        <f>FleetAverage!J17</f>
        <v>109.83857625624997</v>
      </c>
      <c r="D17" s="43">
        <f>FleetAverage!K17</f>
        <v>-5.5027366562499447</v>
      </c>
      <c r="F17" s="40">
        <f>FleetAverage!B17</f>
        <v>7.5</v>
      </c>
      <c r="G17" s="46">
        <f>FleetAverage!E17</f>
        <v>1.1604415584415586</v>
      </c>
      <c r="H17" s="46">
        <f>FleetAverage!F17</f>
        <v>8.5584415584415586E-3</v>
      </c>
      <c r="I17" s="48">
        <f>FleetAverage!H17</f>
        <v>60.158535064935066</v>
      </c>
      <c r="K17" s="4" t="str">
        <f>ProsumerMetrics!A17</f>
        <v>BES_TR1_one537_A</v>
      </c>
      <c r="L17" s="50">
        <f>ProsumerMetrics!J17</f>
        <v>39.700000000000003</v>
      </c>
      <c r="M17" s="48">
        <f>ProsumerMetrics!K17</f>
        <v>94.9</v>
      </c>
      <c r="T17" s="40">
        <f>FleetAverage!B17</f>
        <v>7.5</v>
      </c>
      <c r="U17" s="46">
        <f>FleetAverage!C17</f>
        <v>0.20312778701298703</v>
      </c>
      <c r="V17" s="46">
        <f>FleetAverage!D17</f>
        <v>1.4264750163149347</v>
      </c>
      <c r="W17" s="46">
        <f>FleetAverage!E17</f>
        <v>1.1604415584415586</v>
      </c>
      <c r="X17" s="46">
        <f>FleetAverage!F17</f>
        <v>8.5584415584415586E-3</v>
      </c>
      <c r="Y17" s="54">
        <f>FleetAverage!G17</f>
        <v>-7.1464112418830564E-2</v>
      </c>
      <c r="AA17" s="40">
        <f>FleetAverage!B17</f>
        <v>7.5</v>
      </c>
      <c r="AB17" s="46">
        <f>0</f>
        <v>0</v>
      </c>
      <c r="AC17" s="46">
        <f>FleetAverage!G17</f>
        <v>-7.1464112418830564E-2</v>
      </c>
      <c r="AD17" s="46">
        <f t="shared" si="1"/>
        <v>0</v>
      </c>
      <c r="AE17" s="46">
        <f t="shared" si="2"/>
        <v>-7.1464112418830564E-2</v>
      </c>
      <c r="AF17" s="50">
        <f>100</f>
        <v>100</v>
      </c>
      <c r="AG17" s="48">
        <f>FleetAverage!H17</f>
        <v>60.158535064935066</v>
      </c>
    </row>
    <row r="18" spans="1:33" x14ac:dyDescent="0.25">
      <c r="A18" s="40">
        <f>FleetAverage!B18</f>
        <v>8</v>
      </c>
      <c r="B18" s="42">
        <f>FleetAverage!I18</f>
        <v>18.510998433333331</v>
      </c>
      <c r="C18" s="42">
        <f>FleetAverage!J18</f>
        <v>125.95332277858343</v>
      </c>
      <c r="D18" s="43">
        <f>FleetAverage!K18</f>
        <v>-44.324324345250098</v>
      </c>
      <c r="F18" s="40">
        <f>FleetAverage!B18</f>
        <v>8</v>
      </c>
      <c r="G18" s="46">
        <f>FleetAverage!E18</f>
        <v>0.81971428571428573</v>
      </c>
      <c r="H18" s="46">
        <f>FleetAverage!F18</f>
        <v>0</v>
      </c>
      <c r="I18" s="48">
        <f>FleetAverage!H18</f>
        <v>73.156985714285739</v>
      </c>
      <c r="K18" s="4" t="str">
        <f>ProsumerMetrics!A18</f>
        <v>BES_TR1_one61_A</v>
      </c>
      <c r="L18" s="50">
        <f>ProsumerMetrics!J18</f>
        <v>25.2</v>
      </c>
      <c r="M18" s="48">
        <f>ProsumerMetrics!K18</f>
        <v>100</v>
      </c>
      <c r="T18" s="40">
        <f>FleetAverage!B18</f>
        <v>8</v>
      </c>
      <c r="U18" s="46">
        <f>FleetAverage!C18</f>
        <v>0.24040257705627702</v>
      </c>
      <c r="V18" s="46">
        <f>FleetAverage!D18</f>
        <v>1.6357574386829017</v>
      </c>
      <c r="W18" s="46">
        <f>FleetAverage!E18</f>
        <v>0.81971428571428573</v>
      </c>
      <c r="X18" s="46">
        <f>FleetAverage!F18</f>
        <v>0</v>
      </c>
      <c r="Y18" s="54">
        <f>FleetAverage!G18</f>
        <v>-0.57564057591233897</v>
      </c>
      <c r="AA18" s="40">
        <f>FleetAverage!B18</f>
        <v>8</v>
      </c>
      <c r="AB18" s="46">
        <f>0</f>
        <v>0</v>
      </c>
      <c r="AC18" s="46">
        <f>FleetAverage!G18</f>
        <v>-0.57564057591233897</v>
      </c>
      <c r="AD18" s="46">
        <f t="shared" si="1"/>
        <v>0</v>
      </c>
      <c r="AE18" s="46">
        <f t="shared" si="2"/>
        <v>-0.57564057591233897</v>
      </c>
      <c r="AF18" s="50">
        <f>100</f>
        <v>100</v>
      </c>
      <c r="AG18" s="48">
        <f>FleetAverage!H18</f>
        <v>73.156985714285739</v>
      </c>
    </row>
    <row r="19" spans="1:33" x14ac:dyDescent="0.25">
      <c r="A19" s="40">
        <f>FleetAverage!B19</f>
        <v>8.5</v>
      </c>
      <c r="B19" s="42">
        <f>FleetAverage!I19</f>
        <v>32.906772266666692</v>
      </c>
      <c r="C19" s="42">
        <f>FleetAverage!J19</f>
        <v>141.10120818149991</v>
      </c>
      <c r="D19" s="43">
        <f>FleetAverage!K19</f>
        <v>-71.936435914833211</v>
      </c>
      <c r="F19" s="40">
        <f>FleetAverage!B19</f>
        <v>8.5</v>
      </c>
      <c r="G19" s="46">
        <f>FleetAverage!E19</f>
        <v>0.50855844155844154</v>
      </c>
      <c r="H19" s="46">
        <f>FleetAverage!F19</f>
        <v>3.7675324675324674E-2</v>
      </c>
      <c r="I19" s="48">
        <f>FleetAverage!H19</f>
        <v>82.415048051948077</v>
      </c>
      <c r="K19" s="4" t="str">
        <f>ProsumerMetrics!A19</f>
        <v>BES_TR1_one544_A</v>
      </c>
      <c r="L19" s="50">
        <f>ProsumerMetrics!J19</f>
        <v>31</v>
      </c>
      <c r="M19" s="48">
        <f>ProsumerMetrics!K19</f>
        <v>100</v>
      </c>
      <c r="T19" s="40">
        <f>FleetAverage!B19</f>
        <v>8.5</v>
      </c>
      <c r="U19" s="46">
        <f>FleetAverage!C19</f>
        <v>0.42736067878787914</v>
      </c>
      <c r="V19" s="46">
        <f>FleetAverage!D19</f>
        <v>1.8324832231363626</v>
      </c>
      <c r="W19" s="46">
        <f>FleetAverage!E19</f>
        <v>0.50855844155844154</v>
      </c>
      <c r="X19" s="46">
        <f>FleetAverage!F19</f>
        <v>3.7675324675324674E-2</v>
      </c>
      <c r="Y19" s="54">
        <f>FleetAverage!G19</f>
        <v>-0.93423942746536648</v>
      </c>
      <c r="AA19" s="40">
        <f>FleetAverage!B19</f>
        <v>8.5</v>
      </c>
      <c r="AB19" s="46">
        <f>0</f>
        <v>0</v>
      </c>
      <c r="AC19" s="46">
        <f>FleetAverage!G19</f>
        <v>-0.93423942746536648</v>
      </c>
      <c r="AD19" s="46">
        <f t="shared" si="1"/>
        <v>0</v>
      </c>
      <c r="AE19" s="46">
        <f t="shared" si="2"/>
        <v>-0.93423942746536648</v>
      </c>
      <c r="AF19" s="50">
        <f>100</f>
        <v>100</v>
      </c>
      <c r="AG19" s="48">
        <f>FleetAverage!H19</f>
        <v>82.415048051948077</v>
      </c>
    </row>
    <row r="20" spans="1:33" x14ac:dyDescent="0.25">
      <c r="A20" s="40">
        <f>FleetAverage!B20</f>
        <v>9</v>
      </c>
      <c r="B20" s="42">
        <f>FleetAverage!I20</f>
        <v>29.688349466666676</v>
      </c>
      <c r="C20" s="42">
        <f>FleetAverage!J20</f>
        <v>154.00200454833342</v>
      </c>
      <c r="D20" s="43">
        <f>FleetAverage!K20</f>
        <v>-98.585655081666744</v>
      </c>
      <c r="F20" s="40">
        <f>FleetAverage!B20</f>
        <v>9</v>
      </c>
      <c r="G20" s="46">
        <f>FleetAverage!E20</f>
        <v>0.34736363636363637</v>
      </c>
      <c r="H20" s="46">
        <f>FleetAverage!F20</f>
        <v>1.3233766233766233E-2</v>
      </c>
      <c r="I20" s="48">
        <f>FleetAverage!H20</f>
        <v>87.685548051948061</v>
      </c>
      <c r="K20" s="4" t="str">
        <f>ProsumerMetrics!A20</f>
        <v>BES_TR1_one552_B</v>
      </c>
      <c r="L20" s="50">
        <f>ProsumerMetrics!J20</f>
        <v>17.100000000000001</v>
      </c>
      <c r="M20" s="48">
        <f>ProsumerMetrics!K20</f>
        <v>99.9</v>
      </c>
      <c r="T20" s="40">
        <f>FleetAverage!B20</f>
        <v>9</v>
      </c>
      <c r="U20" s="46">
        <f>FleetAverage!C20</f>
        <v>0.38556298008658019</v>
      </c>
      <c r="V20" s="46">
        <f>FleetAverage!D20</f>
        <v>2.0000260330952391</v>
      </c>
      <c r="W20" s="46">
        <f>FleetAverage!E20</f>
        <v>0.34736363636363637</v>
      </c>
      <c r="X20" s="46">
        <f>FleetAverage!F20</f>
        <v>1.3233766233766233E-2</v>
      </c>
      <c r="Y20" s="54">
        <f>FleetAverage!G20</f>
        <v>-1.2803331828787889</v>
      </c>
      <c r="AA20" s="40">
        <f>FleetAverage!B20</f>
        <v>9</v>
      </c>
      <c r="AB20" s="46">
        <f>0</f>
        <v>0</v>
      </c>
      <c r="AC20" s="46">
        <f>FleetAverage!G20</f>
        <v>-1.2803331828787889</v>
      </c>
      <c r="AD20" s="46">
        <f t="shared" si="1"/>
        <v>0</v>
      </c>
      <c r="AE20" s="46">
        <f t="shared" si="2"/>
        <v>-1.2803331828787889</v>
      </c>
      <c r="AF20" s="50">
        <f>100</f>
        <v>100</v>
      </c>
      <c r="AG20" s="48">
        <f>FleetAverage!H20</f>
        <v>87.685548051948061</v>
      </c>
    </row>
    <row r="21" spans="1:33" x14ac:dyDescent="0.25">
      <c r="A21" s="40">
        <f>FleetAverage!B21</f>
        <v>9.5</v>
      </c>
      <c r="B21" s="42">
        <f>FleetAverage!I21</f>
        <v>28.466893033333353</v>
      </c>
      <c r="C21" s="42">
        <f>FleetAverage!J21</f>
        <v>165.00507696616654</v>
      </c>
      <c r="D21" s="43">
        <f>FleetAverage!K21</f>
        <v>-118.9931839328332</v>
      </c>
      <c r="F21" s="40">
        <f>FleetAverage!B21</f>
        <v>9.5</v>
      </c>
      <c r="G21" s="46">
        <f>FleetAverage!E21</f>
        <v>0.2324285714285714</v>
      </c>
      <c r="H21" s="46">
        <f>FleetAverage!F21</f>
        <v>4.5714285714285709E-3</v>
      </c>
      <c r="I21" s="48">
        <f>FleetAverage!H21</f>
        <v>91.442580519480543</v>
      </c>
      <c r="K21" s="4" t="str">
        <f>ProsumerMetrics!A21</f>
        <v>BES_TR1_one559_C</v>
      </c>
      <c r="L21" s="50">
        <f>ProsumerMetrics!J21</f>
        <v>65.5</v>
      </c>
      <c r="M21" s="48">
        <f>ProsumerMetrics!K21</f>
        <v>100</v>
      </c>
      <c r="T21" s="40">
        <f>FleetAverage!B21</f>
        <v>9.5</v>
      </c>
      <c r="U21" s="46">
        <f>FleetAverage!C21</f>
        <v>0.36969990952380977</v>
      </c>
      <c r="V21" s="46">
        <f>FleetAverage!D21</f>
        <v>2.1429230774826822</v>
      </c>
      <c r="W21" s="46">
        <f>FleetAverage!E21</f>
        <v>0.2324285714285714</v>
      </c>
      <c r="X21" s="46">
        <f>FleetAverage!F21</f>
        <v>4.5714285714285709E-3</v>
      </c>
      <c r="Y21" s="54">
        <f>FleetAverage!G21</f>
        <v>-1.5453660251017296</v>
      </c>
      <c r="AA21" s="40">
        <f>FleetAverage!B21</f>
        <v>9.5</v>
      </c>
      <c r="AB21" s="46">
        <f>0</f>
        <v>0</v>
      </c>
      <c r="AC21" s="46">
        <f>FleetAverage!G21</f>
        <v>-1.5453660251017296</v>
      </c>
      <c r="AD21" s="46">
        <f t="shared" si="1"/>
        <v>0</v>
      </c>
      <c r="AE21" s="46">
        <f t="shared" si="2"/>
        <v>-1.5453660251017296</v>
      </c>
      <c r="AF21" s="50">
        <f>100</f>
        <v>100</v>
      </c>
      <c r="AG21" s="48">
        <f>FleetAverage!H21</f>
        <v>91.442580519480543</v>
      </c>
    </row>
    <row r="22" spans="1:33" x14ac:dyDescent="0.25">
      <c r="A22" s="40">
        <f>FleetAverage!B22</f>
        <v>10</v>
      </c>
      <c r="B22" s="42">
        <f>FleetAverage!I22</f>
        <v>30.752340033333347</v>
      </c>
      <c r="C22" s="42">
        <f>FleetAverage!J22</f>
        <v>174.6629974580834</v>
      </c>
      <c r="D22" s="43">
        <f>FleetAverage!K22</f>
        <v>-133.89565742475006</v>
      </c>
      <c r="F22" s="40">
        <f>FleetAverage!B22</f>
        <v>10</v>
      </c>
      <c r="G22" s="46">
        <f>FleetAverage!E22</f>
        <v>0.16262337662337661</v>
      </c>
      <c r="H22" s="46">
        <f>FleetAverage!F22</f>
        <v>3.2558441558441557E-2</v>
      </c>
      <c r="I22" s="48">
        <f>FleetAverage!H22</f>
        <v>94.010220779220774</v>
      </c>
      <c r="K22" s="4" t="str">
        <f>ProsumerMetrics!A22</f>
        <v>BES_TR1_one560_C</v>
      </c>
      <c r="L22" s="50">
        <f>ProsumerMetrics!J22</f>
        <v>32.5</v>
      </c>
      <c r="M22" s="48">
        <f>ProsumerMetrics!K22</f>
        <v>100</v>
      </c>
      <c r="T22" s="40">
        <f>FleetAverage!B22</f>
        <v>10</v>
      </c>
      <c r="U22" s="46">
        <f>FleetAverage!C22</f>
        <v>0.3993810393939396</v>
      </c>
      <c r="V22" s="46">
        <f>FleetAverage!D22</f>
        <v>2.2683506163387452</v>
      </c>
      <c r="W22" s="46">
        <f>FleetAverage!E22</f>
        <v>0.16262337662337661</v>
      </c>
      <c r="X22" s="46">
        <f>FleetAverage!F22</f>
        <v>3.2558441558441557E-2</v>
      </c>
      <c r="Y22" s="54">
        <f>FleetAverage!G22</f>
        <v>-1.7389046418798704</v>
      </c>
      <c r="AA22" s="40">
        <f>FleetAverage!B22</f>
        <v>10</v>
      </c>
      <c r="AB22" s="46">
        <f>0</f>
        <v>0</v>
      </c>
      <c r="AC22" s="46">
        <f>FleetAverage!G22</f>
        <v>-1.7389046418798704</v>
      </c>
      <c r="AD22" s="46">
        <f t="shared" si="1"/>
        <v>0</v>
      </c>
      <c r="AE22" s="46">
        <f t="shared" si="2"/>
        <v>-1.7389046418798704</v>
      </c>
      <c r="AF22" s="50">
        <f>100</f>
        <v>100</v>
      </c>
      <c r="AG22" s="48">
        <f>FleetAverage!H22</f>
        <v>94.010220779220774</v>
      </c>
    </row>
    <row r="23" spans="1:33" x14ac:dyDescent="0.25">
      <c r="A23" s="40">
        <f>FleetAverage!B23</f>
        <v>10.5</v>
      </c>
      <c r="B23" s="42">
        <f>FleetAverage!I23</f>
        <v>29.534400433333325</v>
      </c>
      <c r="C23" s="42">
        <f>FleetAverage!J23</f>
        <v>182.63384736674993</v>
      </c>
      <c r="D23" s="43">
        <f>FleetAverage!K23</f>
        <v>-145.32044693341658</v>
      </c>
      <c r="F23" s="40">
        <f>FleetAverage!B23</f>
        <v>10.5</v>
      </c>
      <c r="G23" s="46">
        <f>FleetAverage!E23</f>
        <v>0.10880519480519481</v>
      </c>
      <c r="H23" s="46">
        <f>FleetAverage!F23</f>
        <v>7.7792207792207789E-3</v>
      </c>
      <c r="I23" s="48">
        <f>FleetAverage!H23</f>
        <v>95.438800000000001</v>
      </c>
      <c r="K23" s="4" t="str">
        <f>ProsumerMetrics!A23</f>
        <v>BES_TR1_one605_A</v>
      </c>
      <c r="L23" s="50">
        <f>ProsumerMetrics!J23</f>
        <v>37.6</v>
      </c>
      <c r="M23" s="48">
        <f>ProsumerMetrics!K23</f>
        <v>100</v>
      </c>
      <c r="T23" s="40">
        <f>FleetAverage!B23</f>
        <v>10.5</v>
      </c>
      <c r="U23" s="46">
        <f>FleetAverage!C23</f>
        <v>0.38356364199134185</v>
      </c>
      <c r="V23" s="46">
        <f>FleetAverage!D23</f>
        <v>2.3718681476201291</v>
      </c>
      <c r="W23" s="46">
        <f>FleetAverage!E23</f>
        <v>0.10880519480519481</v>
      </c>
      <c r="X23" s="46">
        <f>FleetAverage!F23</f>
        <v>7.7792207792207789E-3</v>
      </c>
      <c r="Y23" s="54">
        <f>FleetAverage!G23</f>
        <v>-1.8872785316028131</v>
      </c>
      <c r="AA23" s="40">
        <f>FleetAverage!B23</f>
        <v>10.5</v>
      </c>
      <c r="AB23" s="46">
        <f>0</f>
        <v>0</v>
      </c>
      <c r="AC23" s="46">
        <f>FleetAverage!G23</f>
        <v>-1.8872785316028131</v>
      </c>
      <c r="AD23" s="46">
        <f t="shared" si="1"/>
        <v>0</v>
      </c>
      <c r="AE23" s="46">
        <f t="shared" si="2"/>
        <v>-1.8872785316028131</v>
      </c>
      <c r="AF23" s="50">
        <f>100</f>
        <v>100</v>
      </c>
      <c r="AG23" s="48">
        <f>FleetAverage!H23</f>
        <v>95.438800000000001</v>
      </c>
    </row>
    <row r="24" spans="1:33" x14ac:dyDescent="0.25">
      <c r="A24" s="40">
        <f>FleetAverage!B24</f>
        <v>11</v>
      </c>
      <c r="B24" s="42">
        <f>FleetAverage!I24</f>
        <v>29.767853299999985</v>
      </c>
      <c r="C24" s="42">
        <f>FleetAverage!J24</f>
        <v>188.28939705958334</v>
      </c>
      <c r="D24" s="43">
        <f>FleetAverage!K24</f>
        <v>-149.65354375958336</v>
      </c>
      <c r="F24" s="40">
        <f>FleetAverage!B24</f>
        <v>11</v>
      </c>
      <c r="G24" s="46">
        <f>FleetAverage!E24</f>
        <v>0.12266233766233767</v>
      </c>
      <c r="H24" s="46">
        <f>FleetAverage!F24</f>
        <v>7.4935064935064948E-3</v>
      </c>
      <c r="I24" s="48">
        <f>FleetAverage!H24</f>
        <v>96.5696948051948</v>
      </c>
      <c r="K24" s="4" t="str">
        <f>ProsumerMetrics!A24</f>
        <v>BES_TR1_one617_A</v>
      </c>
      <c r="L24" s="50">
        <f>ProsumerMetrics!J24</f>
        <v>19.100000000000001</v>
      </c>
      <c r="M24" s="48">
        <f>ProsumerMetrics!K24</f>
        <v>100</v>
      </c>
      <c r="T24" s="40">
        <f>FleetAverage!B24</f>
        <v>11</v>
      </c>
      <c r="U24" s="46">
        <f>FleetAverage!C24</f>
        <v>0.38659549740259719</v>
      </c>
      <c r="V24" s="46">
        <f>FleetAverage!D24</f>
        <v>2.4453168449296538</v>
      </c>
      <c r="W24" s="46">
        <f>FleetAverage!E24</f>
        <v>0.12266233766233767</v>
      </c>
      <c r="X24" s="46">
        <f>FleetAverage!F24</f>
        <v>7.4935064935064948E-3</v>
      </c>
      <c r="Y24" s="54">
        <f>FleetAverage!G24</f>
        <v>-1.9435525163582255</v>
      </c>
      <c r="AA24" s="40">
        <f>FleetAverage!B24</f>
        <v>11</v>
      </c>
      <c r="AB24" s="46">
        <f>0</f>
        <v>0</v>
      </c>
      <c r="AC24" s="46">
        <f>FleetAverage!G24</f>
        <v>-1.9435525163582255</v>
      </c>
      <c r="AD24" s="46">
        <f t="shared" si="1"/>
        <v>0</v>
      </c>
      <c r="AE24" s="46">
        <f t="shared" si="2"/>
        <v>-1.9435525163582255</v>
      </c>
      <c r="AF24" s="50">
        <f>100</f>
        <v>100</v>
      </c>
      <c r="AG24" s="48">
        <f>FleetAverage!H24</f>
        <v>96.5696948051948</v>
      </c>
    </row>
    <row r="25" spans="1:33" x14ac:dyDescent="0.25">
      <c r="A25" s="40">
        <f>FleetAverage!B25</f>
        <v>11.5</v>
      </c>
      <c r="B25" s="42">
        <f>FleetAverage!I25</f>
        <v>34.921772199999992</v>
      </c>
      <c r="C25" s="42">
        <f>FleetAverage!J25</f>
        <v>190.76964817700002</v>
      </c>
      <c r="D25" s="43">
        <f>FleetAverage!K25</f>
        <v>-153.93987597700001</v>
      </c>
      <c r="F25" s="40">
        <f>FleetAverage!B25</f>
        <v>11.5</v>
      </c>
      <c r="G25" s="46">
        <f>FleetAverage!E25</f>
        <v>6.8194805194805197E-2</v>
      </c>
      <c r="H25" s="46">
        <f>FleetAverage!F25</f>
        <v>4.3415584415584421E-2</v>
      </c>
      <c r="I25" s="48">
        <f>FleetAverage!H25</f>
        <v>97.860992207792194</v>
      </c>
      <c r="K25" s="4" t="str">
        <f>ProsumerMetrics!A25</f>
        <v>BES_TR1_one73_A</v>
      </c>
      <c r="L25" s="50">
        <f>ProsumerMetrics!J25</f>
        <v>35.799999999999997</v>
      </c>
      <c r="M25" s="48">
        <f>ProsumerMetrics!K25</f>
        <v>96.6</v>
      </c>
      <c r="T25" s="40">
        <f>FleetAverage!B25</f>
        <v>11.5</v>
      </c>
      <c r="U25" s="46">
        <f>FleetAverage!C25</f>
        <v>0.453529509090909</v>
      </c>
      <c r="V25" s="46">
        <f>FleetAverage!D25</f>
        <v>2.4775278984025979</v>
      </c>
      <c r="W25" s="46">
        <f>FleetAverage!E25</f>
        <v>6.8194805194805197E-2</v>
      </c>
      <c r="X25" s="46">
        <f>FleetAverage!F25</f>
        <v>4.3415584415584421E-2</v>
      </c>
      <c r="Y25" s="54">
        <f>FleetAverage!G25</f>
        <v>-1.9992191685324681</v>
      </c>
      <c r="AA25" s="40">
        <f>FleetAverage!B25</f>
        <v>11.5</v>
      </c>
      <c r="AB25" s="46">
        <f>0</f>
        <v>0</v>
      </c>
      <c r="AC25" s="46">
        <f>FleetAverage!G25</f>
        <v>-1.9992191685324681</v>
      </c>
      <c r="AD25" s="46">
        <f t="shared" si="1"/>
        <v>0</v>
      </c>
      <c r="AE25" s="46">
        <f t="shared" si="2"/>
        <v>-1.9992191685324681</v>
      </c>
      <c r="AF25" s="50">
        <f>100</f>
        <v>100</v>
      </c>
      <c r="AG25" s="48">
        <f>FleetAverage!H25</f>
        <v>97.860992207792194</v>
      </c>
    </row>
    <row r="26" spans="1:33" x14ac:dyDescent="0.25">
      <c r="A26" s="40">
        <f>FleetAverage!B26</f>
        <v>12</v>
      </c>
      <c r="B26" s="42">
        <f>FleetAverage!I26</f>
        <v>29.943523299999999</v>
      </c>
      <c r="C26" s="42">
        <f>FleetAverage!J26</f>
        <v>191.48802392933354</v>
      </c>
      <c r="D26" s="43">
        <f>FleetAverage!K26</f>
        <v>-160.32350062933352</v>
      </c>
      <c r="F26" s="40">
        <f>FleetAverage!B26</f>
        <v>12</v>
      </c>
      <c r="G26" s="46">
        <f>FleetAverage!E26</f>
        <v>4.987012987012987E-2</v>
      </c>
      <c r="H26" s="46">
        <f>FleetAverage!F26</f>
        <v>3.4012987012987009E-2</v>
      </c>
      <c r="I26" s="48">
        <f>FleetAverage!H26</f>
        <v>98.086123376623391</v>
      </c>
      <c r="K26" s="4" t="str">
        <f>ProsumerMetrics!A26</f>
        <v>BES_TR1_one76_A</v>
      </c>
      <c r="L26" s="50">
        <f>ProsumerMetrics!J26</f>
        <v>21.8</v>
      </c>
      <c r="M26" s="48">
        <f>ProsumerMetrics!K26</f>
        <v>100</v>
      </c>
      <c r="T26" s="40">
        <f>FleetAverage!B26</f>
        <v>12</v>
      </c>
      <c r="U26" s="46">
        <f>FleetAverage!C26</f>
        <v>0.38887692597402596</v>
      </c>
      <c r="V26" s="46">
        <f>FleetAverage!D26</f>
        <v>2.4868574536277084</v>
      </c>
      <c r="W26" s="46">
        <f>FleetAverage!E26</f>
        <v>4.987012987012987E-2</v>
      </c>
      <c r="X26" s="46">
        <f>FleetAverage!F26</f>
        <v>3.4012987012987009E-2</v>
      </c>
      <c r="Y26" s="54">
        <f>FleetAverage!G26</f>
        <v>-2.0821233847965392</v>
      </c>
      <c r="AA26" s="40">
        <f>FleetAverage!B26</f>
        <v>12</v>
      </c>
      <c r="AB26" s="46">
        <f>0</f>
        <v>0</v>
      </c>
      <c r="AC26" s="46">
        <f>FleetAverage!G26</f>
        <v>-2.0821233847965392</v>
      </c>
      <c r="AD26" s="46">
        <f t="shared" si="1"/>
        <v>0</v>
      </c>
      <c r="AE26" s="46">
        <f t="shared" si="2"/>
        <v>-2.0821233847965392</v>
      </c>
      <c r="AF26" s="50">
        <f>100</f>
        <v>100</v>
      </c>
      <c r="AG26" s="48">
        <f>FleetAverage!H26</f>
        <v>98.086123376623391</v>
      </c>
    </row>
    <row r="27" spans="1:33" x14ac:dyDescent="0.25">
      <c r="A27" s="40">
        <f>FleetAverage!B27</f>
        <v>12.5</v>
      </c>
      <c r="B27" s="42">
        <f>FleetAverage!I27</f>
        <v>27.55971379999999</v>
      </c>
      <c r="C27" s="42">
        <f>FleetAverage!J27</f>
        <v>190.14414300500002</v>
      </c>
      <c r="D27" s="43">
        <f>FleetAverage!K27</f>
        <v>-162.54742920500001</v>
      </c>
      <c r="F27" s="40">
        <f>FleetAverage!B27</f>
        <v>12.5</v>
      </c>
      <c r="G27" s="46">
        <f>FleetAverage!E27</f>
        <v>2.294805194805195E-2</v>
      </c>
      <c r="H27" s="46">
        <f>FleetAverage!F27</f>
        <v>2.2467532467532466E-2</v>
      </c>
      <c r="I27" s="48">
        <f>FleetAverage!H27</f>
        <v>98.222411688311681</v>
      </c>
      <c r="K27" s="4" t="str">
        <f>ProsumerMetrics!A27</f>
        <v>BES_TR1_six64_A</v>
      </c>
      <c r="L27" s="50">
        <f>ProsumerMetrics!J27</f>
        <v>42.9</v>
      </c>
      <c r="M27" s="48">
        <f>ProsumerMetrics!K27</f>
        <v>100</v>
      </c>
      <c r="T27" s="40">
        <f>FleetAverage!B27</f>
        <v>12.5</v>
      </c>
      <c r="U27" s="46">
        <f>FleetAverage!C27</f>
        <v>0.35791836103896091</v>
      </c>
      <c r="V27" s="46">
        <f>FleetAverage!D27</f>
        <v>2.4694044546103897</v>
      </c>
      <c r="W27" s="46">
        <f>FleetAverage!E27</f>
        <v>2.294805194805195E-2</v>
      </c>
      <c r="X27" s="46">
        <f>FleetAverage!F27</f>
        <v>2.2467532467532466E-2</v>
      </c>
      <c r="Y27" s="54">
        <f>FleetAverage!G27</f>
        <v>-2.1110055740909095</v>
      </c>
      <c r="AA27" s="40">
        <f>FleetAverage!B27</f>
        <v>12.5</v>
      </c>
      <c r="AB27" s="46">
        <f>0</f>
        <v>0</v>
      </c>
      <c r="AC27" s="46">
        <f>FleetAverage!G27</f>
        <v>-2.1110055740909095</v>
      </c>
      <c r="AD27" s="46">
        <f t="shared" si="1"/>
        <v>0</v>
      </c>
      <c r="AE27" s="46">
        <f t="shared" si="2"/>
        <v>-2.1110055740909095</v>
      </c>
      <c r="AF27" s="50">
        <f>100</f>
        <v>100</v>
      </c>
      <c r="AG27" s="48">
        <f>FleetAverage!H27</f>
        <v>98.222411688311681</v>
      </c>
    </row>
    <row r="28" spans="1:33" x14ac:dyDescent="0.25">
      <c r="A28" s="40">
        <f>FleetAverage!B28</f>
        <v>13</v>
      </c>
      <c r="B28" s="42">
        <f>FleetAverage!I28</f>
        <v>23.546068299999984</v>
      </c>
      <c r="C28" s="42">
        <f>FleetAverage!J28</f>
        <v>185.62944056125011</v>
      </c>
      <c r="D28" s="43">
        <f>FleetAverage!K28</f>
        <v>-162.66637226125013</v>
      </c>
      <c r="F28" s="40">
        <f>FleetAverage!B28</f>
        <v>13</v>
      </c>
      <c r="G28" s="46">
        <f>FleetAverage!E28</f>
        <v>3.5896103896103898E-2</v>
      </c>
      <c r="H28" s="46">
        <f>FleetAverage!F28</f>
        <v>4.3467532467532474E-2</v>
      </c>
      <c r="I28" s="48">
        <f>FleetAverage!H28</f>
        <v>98.199619480519488</v>
      </c>
      <c r="K28" s="4" t="str">
        <f>ProsumerMetrics!A28</f>
        <v>BES_TR1_six154_C</v>
      </c>
      <c r="L28" s="50">
        <f>ProsumerMetrics!J28</f>
        <v>21</v>
      </c>
      <c r="M28" s="48">
        <f>ProsumerMetrics!K28</f>
        <v>100</v>
      </c>
      <c r="T28" s="40">
        <f>FleetAverage!B28</f>
        <v>13</v>
      </c>
      <c r="U28" s="46">
        <f>FleetAverage!C28</f>
        <v>0.30579309480519462</v>
      </c>
      <c r="V28" s="46">
        <f>FleetAverage!D28</f>
        <v>2.4107719553409104</v>
      </c>
      <c r="W28" s="46">
        <f>FleetAverage!E28</f>
        <v>3.5896103896103898E-2</v>
      </c>
      <c r="X28" s="46">
        <f>FleetAverage!F28</f>
        <v>4.3467532467532474E-2</v>
      </c>
      <c r="Y28" s="54">
        <f>FleetAverage!G28</f>
        <v>-2.1125502891071442</v>
      </c>
      <c r="AA28" s="40">
        <f>FleetAverage!B28</f>
        <v>13</v>
      </c>
      <c r="AB28" s="46">
        <f>0</f>
        <v>0</v>
      </c>
      <c r="AC28" s="46">
        <f>FleetAverage!G28</f>
        <v>-2.1125502891071442</v>
      </c>
      <c r="AD28" s="46">
        <f t="shared" si="1"/>
        <v>0</v>
      </c>
      <c r="AE28" s="46">
        <f t="shared" si="2"/>
        <v>-2.1125502891071442</v>
      </c>
      <c r="AF28" s="50">
        <f>100</f>
        <v>100</v>
      </c>
      <c r="AG28" s="48">
        <f>FleetAverage!H28</f>
        <v>98.199619480519488</v>
      </c>
    </row>
    <row r="29" spans="1:33" x14ac:dyDescent="0.25">
      <c r="A29" s="40">
        <f>FleetAverage!B29</f>
        <v>13.5</v>
      </c>
      <c r="B29" s="42">
        <f>FleetAverage!I29</f>
        <v>21.434842899999996</v>
      </c>
      <c r="C29" s="42">
        <f>FleetAverage!J29</f>
        <v>178.74172196533337</v>
      </c>
      <c r="D29" s="43">
        <f>FleetAverage!K29</f>
        <v>-154.04487906533336</v>
      </c>
      <c r="F29" s="40">
        <f>FleetAverage!B29</f>
        <v>13.5</v>
      </c>
      <c r="G29" s="46">
        <f>FleetAverage!E29</f>
        <v>5.2584415584415588E-2</v>
      </c>
      <c r="H29" s="46">
        <f>FleetAverage!F29</f>
        <v>1.0220779220779221E-2</v>
      </c>
      <c r="I29" s="48">
        <f>FleetAverage!H29</f>
        <v>98.059544155844165</v>
      </c>
      <c r="K29" s="4" t="str">
        <f>ProsumerMetrics!A29</f>
        <v>BES_TR1_six173_C</v>
      </c>
      <c r="L29" s="50">
        <f>ProsumerMetrics!J29</f>
        <v>18.8</v>
      </c>
      <c r="M29" s="48">
        <f>ProsumerMetrics!K29</f>
        <v>82</v>
      </c>
      <c r="T29" s="40">
        <f>FleetAverage!B29</f>
        <v>13.5</v>
      </c>
      <c r="U29" s="46">
        <f>FleetAverage!C29</f>
        <v>0.27837458311688307</v>
      </c>
      <c r="V29" s="46">
        <f>FleetAverage!D29</f>
        <v>2.3213210644848488</v>
      </c>
      <c r="W29" s="46">
        <f>FleetAverage!E29</f>
        <v>5.2584415584415588E-2</v>
      </c>
      <c r="X29" s="46">
        <f>FleetAverage!F29</f>
        <v>1.0220779220779221E-2</v>
      </c>
      <c r="Y29" s="54">
        <f>FleetAverage!G29</f>
        <v>-2.0005828450043293</v>
      </c>
      <c r="AA29" s="40">
        <f>FleetAverage!B29</f>
        <v>13.5</v>
      </c>
      <c r="AB29" s="46">
        <f>0</f>
        <v>0</v>
      </c>
      <c r="AC29" s="46">
        <f>FleetAverage!G29</f>
        <v>-2.0005828450043293</v>
      </c>
      <c r="AD29" s="46">
        <f t="shared" si="1"/>
        <v>0</v>
      </c>
      <c r="AE29" s="46">
        <f t="shared" si="2"/>
        <v>-2.0005828450043293</v>
      </c>
      <c r="AF29" s="50">
        <f>100</f>
        <v>100</v>
      </c>
      <c r="AG29" s="48">
        <f>FleetAverage!H29</f>
        <v>98.059544155844165</v>
      </c>
    </row>
    <row r="30" spans="1:33" x14ac:dyDescent="0.25">
      <c r="A30" s="40">
        <f>FleetAverage!B30</f>
        <v>14</v>
      </c>
      <c r="B30" s="42">
        <f>FleetAverage!I30</f>
        <v>26.250720166666657</v>
      </c>
      <c r="C30" s="42">
        <f>FleetAverage!J30</f>
        <v>170.51887655924983</v>
      </c>
      <c r="D30" s="43">
        <f>FleetAverage!K30</f>
        <v>-139.51315639258317</v>
      </c>
      <c r="F30" s="40">
        <f>FleetAverage!B30</f>
        <v>14</v>
      </c>
      <c r="G30" s="46">
        <f>FleetAverage!E30</f>
        <v>7.8623376623376623E-2</v>
      </c>
      <c r="H30" s="46">
        <f>FleetAverage!F30</f>
        <v>1.6870129870129872E-2</v>
      </c>
      <c r="I30" s="48">
        <f>FleetAverage!H30</f>
        <v>98.525183116883099</v>
      </c>
      <c r="K30" s="4" t="str">
        <f>ProsumerMetrics!A30</f>
        <v>BES_TR1_six186_A</v>
      </c>
      <c r="L30" s="50">
        <f>ProsumerMetrics!J30</f>
        <v>65.5</v>
      </c>
      <c r="M30" s="48">
        <f>ProsumerMetrics!K30</f>
        <v>72.099999999999994</v>
      </c>
      <c r="T30" s="40">
        <f>FleetAverage!B30</f>
        <v>14</v>
      </c>
      <c r="U30" s="46">
        <f>FleetAverage!C30</f>
        <v>0.34091844372294361</v>
      </c>
      <c r="V30" s="46">
        <f>FleetAverage!D30</f>
        <v>2.2145308644058419</v>
      </c>
      <c r="W30" s="46">
        <f>FleetAverage!E30</f>
        <v>7.8623376623376623E-2</v>
      </c>
      <c r="X30" s="46">
        <f>FleetAverage!F30</f>
        <v>1.6870129870129872E-2</v>
      </c>
      <c r="Y30" s="54">
        <f>FleetAverage!G30</f>
        <v>-1.8118591739296517</v>
      </c>
      <c r="AA30" s="40">
        <f>FleetAverage!B30</f>
        <v>14</v>
      </c>
      <c r="AB30" s="46">
        <f>0</f>
        <v>0</v>
      </c>
      <c r="AC30" s="46">
        <f>FleetAverage!G30</f>
        <v>-1.8118591739296517</v>
      </c>
      <c r="AD30" s="46">
        <f t="shared" si="1"/>
        <v>0</v>
      </c>
      <c r="AE30" s="46">
        <f t="shared" si="2"/>
        <v>-1.8118591739296517</v>
      </c>
      <c r="AF30" s="50">
        <f>100</f>
        <v>100</v>
      </c>
      <c r="AG30" s="48">
        <f>FleetAverage!H30</f>
        <v>98.525183116883099</v>
      </c>
    </row>
    <row r="31" spans="1:33" x14ac:dyDescent="0.25">
      <c r="A31" s="40">
        <f>FleetAverage!B31</f>
        <v>14.5</v>
      </c>
      <c r="B31" s="42">
        <f>FleetAverage!I31</f>
        <v>25.221247299999995</v>
      </c>
      <c r="C31" s="42">
        <f>FleetAverage!J31</f>
        <v>160.09932837683334</v>
      </c>
      <c r="D31" s="43">
        <f>FleetAverage!K31</f>
        <v>-130.76508107683335</v>
      </c>
      <c r="F31" s="40">
        <f>FleetAverage!B31</f>
        <v>14.5</v>
      </c>
      <c r="G31" s="46">
        <f>FleetAverage!E31</f>
        <v>5.3415584415584423E-2</v>
      </c>
      <c r="H31" s="46">
        <f>FleetAverage!F31</f>
        <v>0</v>
      </c>
      <c r="I31" s="48">
        <f>FleetAverage!H31</f>
        <v>99.201398701298686</v>
      </c>
      <c r="K31" s="4" t="str">
        <f>ProsumerMetrics!A31</f>
        <v>BES_TR1_six191_B</v>
      </c>
      <c r="L31" s="50">
        <f>ProsumerMetrics!J31</f>
        <v>21.4</v>
      </c>
      <c r="M31" s="48">
        <f>ProsumerMetrics!K31</f>
        <v>100</v>
      </c>
      <c r="T31" s="40">
        <f>FleetAverage!B31</f>
        <v>14.5</v>
      </c>
      <c r="U31" s="46">
        <f>FleetAverage!C31</f>
        <v>0.32754866623376616</v>
      </c>
      <c r="V31" s="46">
        <f>FleetAverage!D31</f>
        <v>2.0792120568419916</v>
      </c>
      <c r="W31" s="46">
        <f>FleetAverage!E31</f>
        <v>5.3415584415584423E-2</v>
      </c>
      <c r="X31" s="46">
        <f>FleetAverage!F31</f>
        <v>0</v>
      </c>
      <c r="Y31" s="54">
        <f>FleetAverage!G31</f>
        <v>-1.6982478061926412</v>
      </c>
      <c r="AA31" s="40">
        <f>FleetAverage!B31</f>
        <v>14.5</v>
      </c>
      <c r="AB31" s="46">
        <f>0</f>
        <v>0</v>
      </c>
      <c r="AC31" s="46">
        <f>FleetAverage!G31</f>
        <v>-1.6982478061926412</v>
      </c>
      <c r="AD31" s="46">
        <f t="shared" si="1"/>
        <v>0</v>
      </c>
      <c r="AE31" s="46">
        <f t="shared" si="2"/>
        <v>-1.6982478061926412</v>
      </c>
      <c r="AF31" s="50">
        <f>100</f>
        <v>100</v>
      </c>
      <c r="AG31" s="48">
        <f>FleetAverage!H31</f>
        <v>99.201398701298686</v>
      </c>
    </row>
    <row r="32" spans="1:33" x14ac:dyDescent="0.25">
      <c r="A32" s="40">
        <f>FleetAverage!B32</f>
        <v>15</v>
      </c>
      <c r="B32" s="42">
        <f>FleetAverage!I32</f>
        <v>20.841529466666675</v>
      </c>
      <c r="C32" s="42">
        <f>FleetAverage!J32</f>
        <v>149.02652252325007</v>
      </c>
      <c r="D32" s="43">
        <f>FleetAverage!K32</f>
        <v>-128.58999305658338</v>
      </c>
      <c r="F32" s="40">
        <f>FleetAverage!B32</f>
        <v>15</v>
      </c>
      <c r="G32" s="46">
        <f>FleetAverage!E32</f>
        <v>1.5103896103896102E-2</v>
      </c>
      <c r="H32" s="46">
        <f>FleetAverage!F32</f>
        <v>2.0363636363636365E-2</v>
      </c>
      <c r="I32" s="48">
        <f>FleetAverage!H32</f>
        <v>99.804535064935067</v>
      </c>
      <c r="K32" s="4" t="str">
        <f>ProsumerMetrics!A32</f>
        <v>BES_TR1_six249_B</v>
      </c>
      <c r="L32" s="50">
        <f>ProsumerMetrics!J32</f>
        <v>21.6</v>
      </c>
      <c r="M32" s="48">
        <f>ProsumerMetrics!K32</f>
        <v>100</v>
      </c>
      <c r="T32" s="40">
        <f>FleetAverage!B32</f>
        <v>15</v>
      </c>
      <c r="U32" s="46">
        <f>FleetAverage!C32</f>
        <v>0.27066921385281395</v>
      </c>
      <c r="V32" s="46">
        <f>FleetAverage!D32</f>
        <v>1.935409383418832</v>
      </c>
      <c r="W32" s="46">
        <f>FleetAverage!E32</f>
        <v>1.5103896103896102E-2</v>
      </c>
      <c r="X32" s="46">
        <f>FleetAverage!F32</f>
        <v>2.0363636363636365E-2</v>
      </c>
      <c r="Y32" s="54">
        <f>FleetAverage!G32</f>
        <v>-1.6699999098257583</v>
      </c>
      <c r="AA32" s="40">
        <f>FleetAverage!B32</f>
        <v>15</v>
      </c>
      <c r="AB32" s="46">
        <f>0</f>
        <v>0</v>
      </c>
      <c r="AC32" s="46">
        <f>FleetAverage!G32</f>
        <v>-1.6699999098257583</v>
      </c>
      <c r="AD32" s="46">
        <f t="shared" si="1"/>
        <v>0</v>
      </c>
      <c r="AE32" s="46">
        <f t="shared" si="2"/>
        <v>-1.6699999098257583</v>
      </c>
      <c r="AF32" s="50">
        <f>100</f>
        <v>100</v>
      </c>
      <c r="AG32" s="48">
        <f>FleetAverage!H32</f>
        <v>99.804535064935067</v>
      </c>
    </row>
    <row r="33" spans="1:33" x14ac:dyDescent="0.25">
      <c r="A33" s="40">
        <f>FleetAverage!B33</f>
        <v>15.5</v>
      </c>
      <c r="B33" s="42">
        <f>FleetAverage!I33</f>
        <v>23.325556866666673</v>
      </c>
      <c r="C33" s="42">
        <f>FleetAverage!J33</f>
        <v>135.70185187133347</v>
      </c>
      <c r="D33" s="43">
        <f>FleetAverage!K33</f>
        <v>-113.56929500466681</v>
      </c>
      <c r="F33" s="40">
        <f>FleetAverage!B33</f>
        <v>15.5</v>
      </c>
      <c r="G33" s="46">
        <f>FleetAverage!E33</f>
        <v>2.6493506493506492E-3</v>
      </c>
      <c r="H33" s="46">
        <f>FleetAverage!F33</f>
        <v>1.8142857142857145E-2</v>
      </c>
      <c r="I33" s="48">
        <f>FleetAverage!H33</f>
        <v>99.719503896103888</v>
      </c>
      <c r="K33" s="4" t="str">
        <f>ProsumerMetrics!A33</f>
        <v>BES_TR1_six254_B</v>
      </c>
      <c r="L33" s="50">
        <f>ProsumerMetrics!J33</f>
        <v>39.9</v>
      </c>
      <c r="M33" s="48">
        <f>ProsumerMetrics!K33</f>
        <v>100</v>
      </c>
      <c r="T33" s="40">
        <f>FleetAverage!B33</f>
        <v>15.5</v>
      </c>
      <c r="U33" s="46">
        <f>FleetAverage!C33</f>
        <v>0.30292930995671002</v>
      </c>
      <c r="V33" s="46">
        <f>FleetAverage!D33</f>
        <v>1.7623617126147204</v>
      </c>
      <c r="W33" s="46">
        <f>FleetAverage!E33</f>
        <v>2.6493506493506492E-3</v>
      </c>
      <c r="X33" s="46">
        <f>FleetAverage!F33</f>
        <v>1.8142857142857145E-2</v>
      </c>
      <c r="Y33" s="54">
        <f>FleetAverage!G33</f>
        <v>-1.474925909151517</v>
      </c>
      <c r="AA33" s="40">
        <f>FleetAverage!B33</f>
        <v>15.5</v>
      </c>
      <c r="AB33" s="46">
        <f>0</f>
        <v>0</v>
      </c>
      <c r="AC33" s="46">
        <f>FleetAverage!G33</f>
        <v>-1.474925909151517</v>
      </c>
      <c r="AD33" s="46">
        <f t="shared" si="1"/>
        <v>0</v>
      </c>
      <c r="AE33" s="46">
        <f t="shared" si="2"/>
        <v>-1.474925909151517</v>
      </c>
      <c r="AF33" s="50">
        <f>100</f>
        <v>100</v>
      </c>
      <c r="AG33" s="48">
        <f>FleetAverage!H33</f>
        <v>99.719503896103888</v>
      </c>
    </row>
    <row r="34" spans="1:33" x14ac:dyDescent="0.25">
      <c r="A34" s="40">
        <f>FleetAverage!B34</f>
        <v>16</v>
      </c>
      <c r="B34" s="42">
        <f>FleetAverage!I34</f>
        <v>24.146372000000003</v>
      </c>
      <c r="C34" s="42">
        <f>FleetAverage!J34</f>
        <v>120.69512818916657</v>
      </c>
      <c r="D34" s="43">
        <f>FleetAverage!K34</f>
        <v>-96.633756189166576</v>
      </c>
      <c r="F34" s="40">
        <f>FleetAverage!B34</f>
        <v>16</v>
      </c>
      <c r="G34" s="46">
        <f>FleetAverage!E34</f>
        <v>7.4805194805194816E-3</v>
      </c>
      <c r="H34" s="46">
        <f>FleetAverage!F34</f>
        <v>8.5844155844155851E-3</v>
      </c>
      <c r="I34" s="48">
        <f>FleetAverage!H34</f>
        <v>99.52173636363635</v>
      </c>
      <c r="K34" s="4" t="str">
        <f>ProsumerMetrics!A34</f>
        <v>BES_TR1_six269_C</v>
      </c>
      <c r="L34" s="50">
        <f>ProsumerMetrics!J34</f>
        <v>27.2</v>
      </c>
      <c r="M34" s="48">
        <f>ProsumerMetrics!K34</f>
        <v>100</v>
      </c>
      <c r="T34" s="40">
        <f>FleetAverage!B34</f>
        <v>16</v>
      </c>
      <c r="U34" s="46">
        <f>FleetAverage!C34</f>
        <v>0.31358924675324679</v>
      </c>
      <c r="V34" s="46">
        <f>FleetAverage!D34</f>
        <v>1.5674691972619035</v>
      </c>
      <c r="W34" s="46">
        <f>FleetAverage!E34</f>
        <v>7.4805194805194816E-3</v>
      </c>
      <c r="X34" s="46">
        <f>FleetAverage!F34</f>
        <v>8.5844155844155851E-3</v>
      </c>
      <c r="Y34" s="54">
        <f>FleetAverage!G34</f>
        <v>-1.2549838466125529</v>
      </c>
      <c r="AA34" s="40">
        <f>FleetAverage!B34</f>
        <v>16</v>
      </c>
      <c r="AB34" s="46">
        <f>0</f>
        <v>0</v>
      </c>
      <c r="AC34" s="46">
        <f>FleetAverage!G34</f>
        <v>-1.2549838466125529</v>
      </c>
      <c r="AD34" s="46">
        <f t="shared" si="1"/>
        <v>0</v>
      </c>
      <c r="AE34" s="46">
        <f t="shared" si="2"/>
        <v>-1.2549838466125529</v>
      </c>
      <c r="AF34" s="50">
        <f>100</f>
        <v>100</v>
      </c>
      <c r="AG34" s="48">
        <f>FleetAverage!H34</f>
        <v>99.52173636363635</v>
      </c>
    </row>
    <row r="35" spans="1:33" x14ac:dyDescent="0.25">
      <c r="A35" s="40">
        <f>FleetAverage!B35</f>
        <v>16.5</v>
      </c>
      <c r="B35" s="42">
        <f>FleetAverage!I35</f>
        <v>26.50469196666668</v>
      </c>
      <c r="C35" s="42">
        <f>FleetAverage!J35</f>
        <v>102.57646455691665</v>
      </c>
      <c r="D35" s="43">
        <f>FleetAverage!K35</f>
        <v>-78.024772590249967</v>
      </c>
      <c r="F35" s="40">
        <f>FleetAverage!B35</f>
        <v>16.5</v>
      </c>
      <c r="G35" s="46">
        <f>FleetAverage!E35</f>
        <v>1.8051948051948055E-2</v>
      </c>
      <c r="H35" s="46">
        <f>FleetAverage!F35</f>
        <v>4.3415584415584414E-2</v>
      </c>
      <c r="I35" s="48">
        <f>FleetAverage!H35</f>
        <v>99.498601298701288</v>
      </c>
      <c r="K35" s="4" t="str">
        <f>ProsumerMetrics!A35</f>
        <v>BES_TR1_six68_C</v>
      </c>
      <c r="L35" s="50">
        <f>ProsumerMetrics!J35</f>
        <v>83.9</v>
      </c>
      <c r="M35" s="48">
        <f>ProsumerMetrics!K35</f>
        <v>100</v>
      </c>
      <c r="T35" s="40">
        <f>FleetAverage!B35</f>
        <v>16.5</v>
      </c>
      <c r="U35" s="46">
        <f>FleetAverage!C35</f>
        <v>0.34421677878787899</v>
      </c>
      <c r="V35" s="46">
        <f>FleetAverage!D35</f>
        <v>1.3321618773625539</v>
      </c>
      <c r="W35" s="46">
        <f>FleetAverage!E35</f>
        <v>1.8051948051948055E-2</v>
      </c>
      <c r="X35" s="46">
        <f>FleetAverage!F35</f>
        <v>4.3415584415584414E-2</v>
      </c>
      <c r="Y35" s="54">
        <f>FleetAverage!G35</f>
        <v>-1.0133087349383112</v>
      </c>
      <c r="AA35" s="40">
        <f>FleetAverage!B35</f>
        <v>16.5</v>
      </c>
      <c r="AB35" s="46">
        <f>0</f>
        <v>0</v>
      </c>
      <c r="AC35" s="46">
        <f>FleetAverage!G35</f>
        <v>-1.0133087349383112</v>
      </c>
      <c r="AD35" s="46">
        <f t="shared" si="1"/>
        <v>0</v>
      </c>
      <c r="AE35" s="46">
        <f t="shared" si="2"/>
        <v>-1.0133087349383112</v>
      </c>
      <c r="AF35" s="50">
        <f>100</f>
        <v>100</v>
      </c>
      <c r="AG35" s="48">
        <f>FleetAverage!H35</f>
        <v>99.498601298701288</v>
      </c>
    </row>
    <row r="36" spans="1:33" x14ac:dyDescent="0.25">
      <c r="A36" s="40">
        <f>FleetAverage!B36</f>
        <v>17</v>
      </c>
      <c r="B36" s="42">
        <f>FleetAverage!I36</f>
        <v>31.831095400000013</v>
      </c>
      <c r="C36" s="42">
        <f>FleetAverage!J36</f>
        <v>85.618652332916639</v>
      </c>
      <c r="D36" s="43">
        <f>FleetAverage!K36</f>
        <v>-59.35755693291663</v>
      </c>
      <c r="F36" s="40">
        <f>FleetAverage!B36</f>
        <v>17</v>
      </c>
      <c r="G36" s="46">
        <f>FleetAverage!E36</f>
        <v>1.7012987012987014E-2</v>
      </c>
      <c r="H36" s="46">
        <f>FleetAverage!F36</f>
        <v>8.9350649350649361E-2</v>
      </c>
      <c r="I36" s="48">
        <f>FleetAverage!H36</f>
        <v>99.157610389610383</v>
      </c>
      <c r="K36" s="4" t="str">
        <f>ProsumerMetrics!A36</f>
        <v>BES_TR1_six289_C</v>
      </c>
      <c r="L36" s="50">
        <f>ProsumerMetrics!J36</f>
        <v>56.5</v>
      </c>
      <c r="M36" s="48">
        <f>ProsumerMetrics!K36</f>
        <v>95.3</v>
      </c>
      <c r="T36" s="40">
        <f>FleetAverage!B36</f>
        <v>17</v>
      </c>
      <c r="U36" s="46">
        <f>FleetAverage!C36</f>
        <v>0.41339084935064951</v>
      </c>
      <c r="V36" s="46">
        <f>FleetAverage!D36</f>
        <v>1.1119305497781382</v>
      </c>
      <c r="W36" s="46">
        <f>FleetAverage!E36</f>
        <v>1.7012987012987014E-2</v>
      </c>
      <c r="X36" s="46">
        <f>FleetAverage!F36</f>
        <v>8.9350649350649361E-2</v>
      </c>
      <c r="Y36" s="54">
        <f>FleetAverage!G36</f>
        <v>-0.77087736276515106</v>
      </c>
      <c r="AA36" s="40">
        <f>FleetAverage!B36</f>
        <v>17</v>
      </c>
      <c r="AB36" s="46">
        <f>0</f>
        <v>0</v>
      </c>
      <c r="AC36" s="46">
        <f>FleetAverage!G36</f>
        <v>-0.77087736276515106</v>
      </c>
      <c r="AD36" s="46">
        <f t="shared" si="1"/>
        <v>0</v>
      </c>
      <c r="AE36" s="46">
        <f t="shared" si="2"/>
        <v>-0.77087736276515106</v>
      </c>
      <c r="AF36" s="50">
        <f>100</f>
        <v>100</v>
      </c>
      <c r="AG36" s="48">
        <f>FleetAverage!H36</f>
        <v>99.157610389610383</v>
      </c>
    </row>
    <row r="37" spans="1:33" x14ac:dyDescent="0.25">
      <c r="A37" s="40">
        <f>FleetAverage!B37</f>
        <v>17.5</v>
      </c>
      <c r="B37" s="42">
        <f>FleetAverage!I37</f>
        <v>28.888782666666678</v>
      </c>
      <c r="C37" s="42">
        <f>FleetAverage!J37</f>
        <v>68.193447679250042</v>
      </c>
      <c r="D37" s="43">
        <f>FleetAverage!K37</f>
        <v>-43.253665012583369</v>
      </c>
      <c r="F37" s="40">
        <f>FleetAverage!B37</f>
        <v>17.5</v>
      </c>
      <c r="G37" s="46">
        <f>FleetAverage!E37</f>
        <v>2.179220779220779E-2</v>
      </c>
      <c r="H37" s="46">
        <f>FleetAverage!F37</f>
        <v>7.3077922077922075E-2</v>
      </c>
      <c r="I37" s="48">
        <f>FleetAverage!H37</f>
        <v>98.228785714285706</v>
      </c>
      <c r="K37" s="4" t="str">
        <f>ProsumerMetrics!A37</f>
        <v>BES_TR1_six317_C</v>
      </c>
      <c r="L37" s="50">
        <f>ProsumerMetrics!J37</f>
        <v>51.5</v>
      </c>
      <c r="M37" s="48">
        <f>ProsumerMetrics!K37</f>
        <v>100</v>
      </c>
      <c r="T37" s="40">
        <f>FleetAverage!B37</f>
        <v>17.5</v>
      </c>
      <c r="U37" s="46">
        <f>FleetAverage!C37</f>
        <v>0.37517899567099583</v>
      </c>
      <c r="V37" s="46">
        <f>FleetAverage!D37</f>
        <v>0.88562919063961099</v>
      </c>
      <c r="W37" s="46">
        <f>FleetAverage!E37</f>
        <v>2.179220779220779E-2</v>
      </c>
      <c r="X37" s="46">
        <f>FleetAverage!F37</f>
        <v>7.3077922077922075E-2</v>
      </c>
      <c r="Y37" s="54">
        <f>FleetAverage!G37</f>
        <v>-0.56173590925432937</v>
      </c>
      <c r="AA37" s="40">
        <f>FleetAverage!B37</f>
        <v>17.5</v>
      </c>
      <c r="AB37" s="46">
        <f>0</f>
        <v>0</v>
      </c>
      <c r="AC37" s="46">
        <f>FleetAverage!G37</f>
        <v>-0.56173590925432937</v>
      </c>
      <c r="AD37" s="46">
        <f t="shared" si="1"/>
        <v>0</v>
      </c>
      <c r="AE37" s="46">
        <f t="shared" si="2"/>
        <v>-0.56173590925432937</v>
      </c>
      <c r="AF37" s="50">
        <f>100</f>
        <v>100</v>
      </c>
      <c r="AG37" s="48">
        <f>FleetAverage!H37</f>
        <v>98.228785714285706</v>
      </c>
    </row>
    <row r="38" spans="1:33" x14ac:dyDescent="0.25">
      <c r="A38" s="40">
        <f>FleetAverage!B38</f>
        <v>18</v>
      </c>
      <c r="B38" s="42">
        <f>FleetAverage!I38</f>
        <v>34.964330099999998</v>
      </c>
      <c r="C38" s="42">
        <f>FleetAverage!J38</f>
        <v>51.337254490833402</v>
      </c>
      <c r="D38" s="43">
        <f>FleetAverage!K38</f>
        <v>-28.329924390833405</v>
      </c>
      <c r="F38" s="40">
        <f>FleetAverage!B38</f>
        <v>18</v>
      </c>
      <c r="G38" s="46">
        <f>FleetAverage!E38</f>
        <v>8.2077922077922073E-3</v>
      </c>
      <c r="H38" s="46">
        <f>FleetAverage!F38</f>
        <v>0.16349350649350652</v>
      </c>
      <c r="I38" s="48">
        <f>FleetAverage!H38</f>
        <v>97.557605194805205</v>
      </c>
      <c r="K38" s="4" t="str">
        <f>ProsumerMetrics!A38</f>
        <v>BES_TR1_six326_A</v>
      </c>
      <c r="L38" s="50">
        <f>ProsumerMetrics!J38</f>
        <v>44.6</v>
      </c>
      <c r="M38" s="48">
        <f>ProsumerMetrics!K38</f>
        <v>93.2</v>
      </c>
      <c r="T38" s="40">
        <f>FleetAverage!B38</f>
        <v>18</v>
      </c>
      <c r="U38" s="46">
        <f>FleetAverage!C38</f>
        <v>0.45408220909090907</v>
      </c>
      <c r="V38" s="46">
        <f>FleetAverage!D38</f>
        <v>0.66671759079004422</v>
      </c>
      <c r="W38" s="46">
        <f>FleetAverage!E38</f>
        <v>8.2077922077922073E-3</v>
      </c>
      <c r="X38" s="46">
        <f>FleetAverage!F38</f>
        <v>0.16349350649350652</v>
      </c>
      <c r="Y38" s="54">
        <f>FleetAverage!G38</f>
        <v>-0.36792109598484946</v>
      </c>
      <c r="AA38" s="40">
        <f>FleetAverage!B38</f>
        <v>18</v>
      </c>
      <c r="AB38" s="46">
        <f>0</f>
        <v>0</v>
      </c>
      <c r="AC38" s="46">
        <f>FleetAverage!G38</f>
        <v>-0.36792109598484946</v>
      </c>
      <c r="AD38" s="46">
        <f t="shared" si="1"/>
        <v>0</v>
      </c>
      <c r="AE38" s="46">
        <f t="shared" si="2"/>
        <v>-0.36792109598484946</v>
      </c>
      <c r="AF38" s="50">
        <f>100</f>
        <v>100</v>
      </c>
      <c r="AG38" s="48">
        <f>FleetAverage!H38</f>
        <v>97.557605194805205</v>
      </c>
    </row>
    <row r="39" spans="1:33" x14ac:dyDescent="0.25">
      <c r="A39" s="40">
        <f>FleetAverage!B39</f>
        <v>18.5</v>
      </c>
      <c r="B39" s="42">
        <f>FleetAverage!I39</f>
        <v>28.41183143333334</v>
      </c>
      <c r="C39" s="42">
        <f>FleetAverage!J39</f>
        <v>35.085509133750023</v>
      </c>
      <c r="D39" s="43">
        <f>FleetAverage!K39</f>
        <v>-15.432677700416683</v>
      </c>
      <c r="F39" s="40">
        <f>FleetAverage!B39</f>
        <v>18.5</v>
      </c>
      <c r="G39" s="46">
        <f>FleetAverage!E39</f>
        <v>1.0792207792207792E-2</v>
      </c>
      <c r="H39" s="46">
        <f>FleetAverage!F39</f>
        <v>0.12454545454545454</v>
      </c>
      <c r="I39" s="48">
        <f>FleetAverage!H39</f>
        <v>95.599067532467515</v>
      </c>
      <c r="K39" s="4" t="str">
        <f>ProsumerMetrics!A39</f>
        <v>BES_TR1_six329_A</v>
      </c>
      <c r="L39" s="50">
        <f>ProsumerMetrics!J39</f>
        <v>40.1</v>
      </c>
      <c r="M39" s="48">
        <f>ProsumerMetrics!K39</f>
        <v>100</v>
      </c>
      <c r="T39" s="40">
        <f>FleetAverage!B39</f>
        <v>18.5</v>
      </c>
      <c r="U39" s="46">
        <f>FleetAverage!C39</f>
        <v>0.36898482380952391</v>
      </c>
      <c r="V39" s="46">
        <f>FleetAverage!D39</f>
        <v>0.45565596277597431</v>
      </c>
      <c r="W39" s="46">
        <f>FleetAverage!E39</f>
        <v>1.0792207792207792E-2</v>
      </c>
      <c r="X39" s="46">
        <f>FleetAverage!F39</f>
        <v>0.12454545454545454</v>
      </c>
      <c r="Y39" s="54">
        <f>FleetAverage!G39</f>
        <v>-0.20042438571969715</v>
      </c>
      <c r="AA39" s="40">
        <f>FleetAverage!B39</f>
        <v>18.5</v>
      </c>
      <c r="AB39" s="46">
        <f>0</f>
        <v>0</v>
      </c>
      <c r="AC39" s="46">
        <f>FleetAverage!G39</f>
        <v>-0.20042438571969715</v>
      </c>
      <c r="AD39" s="46">
        <f t="shared" si="1"/>
        <v>0</v>
      </c>
      <c r="AE39" s="46">
        <f t="shared" si="2"/>
        <v>-0.20042438571969715</v>
      </c>
      <c r="AF39" s="50">
        <f>100</f>
        <v>100</v>
      </c>
      <c r="AG39" s="48">
        <f>FleetAverage!H39</f>
        <v>95.599067532467515</v>
      </c>
    </row>
    <row r="40" spans="1:33" x14ac:dyDescent="0.25">
      <c r="A40" s="40">
        <f>FleetAverage!B40</f>
        <v>19</v>
      </c>
      <c r="B40" s="42">
        <f>FleetAverage!I40</f>
        <v>29.141797500000003</v>
      </c>
      <c r="C40" s="42">
        <f>FleetAverage!J40</f>
        <v>20.487841592666651</v>
      </c>
      <c r="D40" s="43">
        <f>FleetAverage!K40</f>
        <v>-3.2170440926666508</v>
      </c>
      <c r="F40" s="40">
        <f>FleetAverage!B40</f>
        <v>19</v>
      </c>
      <c r="G40" s="46">
        <f>FleetAverage!E40</f>
        <v>7.9610389610389604E-3</v>
      </c>
      <c r="H40" s="46">
        <f>FleetAverage!F40</f>
        <v>0.16212987012987015</v>
      </c>
      <c r="I40" s="48">
        <f>FleetAverage!H40</f>
        <v>94.158225974025996</v>
      </c>
      <c r="K40" s="4" t="str">
        <f>ProsumerMetrics!A40</f>
        <v>BES_TR1_six342_A</v>
      </c>
      <c r="L40" s="50">
        <f>ProsumerMetrics!J40</f>
        <v>20.2</v>
      </c>
      <c r="M40" s="48">
        <f>ProsumerMetrics!K40</f>
        <v>100</v>
      </c>
      <c r="T40" s="40">
        <f>FleetAverage!B40</f>
        <v>19</v>
      </c>
      <c r="U40" s="46">
        <f>FleetAverage!C40</f>
        <v>0.37846490259740262</v>
      </c>
      <c r="V40" s="46">
        <f>FleetAverage!D40</f>
        <v>0.26607586483982665</v>
      </c>
      <c r="W40" s="46">
        <f>FleetAverage!E40</f>
        <v>7.9610389610389604E-3</v>
      </c>
      <c r="X40" s="46">
        <f>FleetAverage!F40</f>
        <v>0.16212987012987015</v>
      </c>
      <c r="Y40" s="54">
        <f>FleetAverage!G40</f>
        <v>-4.177979341125522E-2</v>
      </c>
      <c r="AA40" s="40">
        <f>FleetAverage!B40</f>
        <v>19</v>
      </c>
      <c r="AB40" s="46">
        <f>0</f>
        <v>0</v>
      </c>
      <c r="AC40" s="46">
        <f>FleetAverage!G40</f>
        <v>-4.177979341125522E-2</v>
      </c>
      <c r="AD40" s="46">
        <f t="shared" si="1"/>
        <v>0</v>
      </c>
      <c r="AE40" s="46">
        <f t="shared" si="2"/>
        <v>-4.177979341125522E-2</v>
      </c>
      <c r="AF40" s="50">
        <f>100</f>
        <v>100</v>
      </c>
      <c r="AG40" s="48">
        <f>FleetAverage!H40</f>
        <v>94.158225974025996</v>
      </c>
    </row>
    <row r="41" spans="1:33" x14ac:dyDescent="0.25">
      <c r="A41" s="40">
        <f>FleetAverage!B41</f>
        <v>19.5</v>
      </c>
      <c r="B41" s="42">
        <f>FleetAverage!I41</f>
        <v>31.621640400000008</v>
      </c>
      <c r="C41" s="42">
        <f>FleetAverage!J41</f>
        <v>5.9607721297499987</v>
      </c>
      <c r="D41" s="43">
        <f>FleetAverage!K41</f>
        <v>1.4898682702500068</v>
      </c>
      <c r="F41" s="40">
        <f>FleetAverage!B41</f>
        <v>19.5</v>
      </c>
      <c r="G41" s="46">
        <f>FleetAverage!E41</f>
        <v>2.7272727272727274E-4</v>
      </c>
      <c r="H41" s="46">
        <f>FleetAverage!F41</f>
        <v>0.31418181818181823</v>
      </c>
      <c r="I41" s="48">
        <f>FleetAverage!H41</f>
        <v>92.214076623376599</v>
      </c>
      <c r="K41" s="4" t="str">
        <f>ProsumerMetrics!A41</f>
        <v>BES_TR1_six349_A</v>
      </c>
      <c r="L41" s="50">
        <f>ProsumerMetrics!J41</f>
        <v>46.2</v>
      </c>
      <c r="M41" s="48">
        <f>ProsumerMetrics!K41</f>
        <v>86.7</v>
      </c>
      <c r="T41" s="40">
        <f>FleetAverage!B41</f>
        <v>19.5</v>
      </c>
      <c r="U41" s="46">
        <f>FleetAverage!C41</f>
        <v>0.41067065454545465</v>
      </c>
      <c r="V41" s="46">
        <f>FleetAverage!D41</f>
        <v>7.7412625061688292E-2</v>
      </c>
      <c r="W41" s="46">
        <f>FleetAverage!E41</f>
        <v>2.7272727272727274E-4</v>
      </c>
      <c r="X41" s="46">
        <f>FleetAverage!F41</f>
        <v>0.31418181818181823</v>
      </c>
      <c r="Y41" s="54">
        <f>FleetAverage!G41</f>
        <v>1.9348938574675401E-2</v>
      </c>
      <c r="AA41" s="40">
        <f>FleetAverage!B41</f>
        <v>19.5</v>
      </c>
      <c r="AB41" s="46">
        <f>0</f>
        <v>0</v>
      </c>
      <c r="AC41" s="46">
        <f>FleetAverage!G41</f>
        <v>1.9348938574675401E-2</v>
      </c>
      <c r="AD41" s="46">
        <f t="shared" si="1"/>
        <v>1.9348938574675401E-2</v>
      </c>
      <c r="AE41" s="46">
        <f t="shared" si="2"/>
        <v>0</v>
      </c>
      <c r="AF41" s="50">
        <f>100</f>
        <v>100</v>
      </c>
      <c r="AG41" s="48">
        <f>FleetAverage!H41</f>
        <v>92.214076623376599</v>
      </c>
    </row>
    <row r="42" spans="1:33" x14ac:dyDescent="0.25">
      <c r="A42" s="40">
        <f>FleetAverage!B42</f>
        <v>20</v>
      </c>
      <c r="B42" s="42">
        <f>FleetAverage!I42</f>
        <v>41.636477499999984</v>
      </c>
      <c r="C42" s="42">
        <f>FleetAverage!J42</f>
        <v>1.0993600548333335</v>
      </c>
      <c r="D42" s="43">
        <f>FleetAverage!K42</f>
        <v>1.1031174451666459</v>
      </c>
      <c r="F42" s="40">
        <f>FleetAverage!B42</f>
        <v>20</v>
      </c>
      <c r="G42" s="46">
        <f>FleetAverage!E42</f>
        <v>0</v>
      </c>
      <c r="H42" s="46">
        <f>FleetAverage!F42</f>
        <v>0.51212987012987021</v>
      </c>
      <c r="I42" s="48">
        <f>FleetAverage!H42</f>
        <v>88.273620779220778</v>
      </c>
      <c r="K42" s="4" t="str">
        <f>ProsumerMetrics!A42</f>
        <v>BES_TR1_six350_B</v>
      </c>
      <c r="L42" s="50">
        <f>ProsumerMetrics!J42</f>
        <v>16.3</v>
      </c>
      <c r="M42" s="48">
        <f>ProsumerMetrics!K42</f>
        <v>100</v>
      </c>
      <c r="T42" s="40">
        <f>FleetAverage!B42</f>
        <v>20</v>
      </c>
      <c r="U42" s="46">
        <f>FleetAverage!C42</f>
        <v>0.54073347402597383</v>
      </c>
      <c r="V42" s="46">
        <f>FleetAverage!D42</f>
        <v>1.4277403309523812E-2</v>
      </c>
      <c r="W42" s="46">
        <f>FleetAverage!E42</f>
        <v>0</v>
      </c>
      <c r="X42" s="46">
        <f>FleetAverage!F42</f>
        <v>0.51212987012987021</v>
      </c>
      <c r="Y42" s="54">
        <f>FleetAverage!G42</f>
        <v>1.4326200586579851E-2</v>
      </c>
      <c r="AA42" s="40">
        <f>FleetAverage!B42</f>
        <v>20</v>
      </c>
      <c r="AB42" s="46">
        <f>0</f>
        <v>0</v>
      </c>
      <c r="AC42" s="46">
        <f>FleetAverage!G42</f>
        <v>1.4326200586579851E-2</v>
      </c>
      <c r="AD42" s="46">
        <f t="shared" si="1"/>
        <v>1.4326200586579851E-2</v>
      </c>
      <c r="AE42" s="46">
        <f t="shared" si="2"/>
        <v>0</v>
      </c>
      <c r="AF42" s="50">
        <f>100</f>
        <v>100</v>
      </c>
      <c r="AG42" s="48">
        <f>FleetAverage!H42</f>
        <v>88.273620779220778</v>
      </c>
    </row>
    <row r="43" spans="1:33" x14ac:dyDescent="0.25">
      <c r="A43" s="40">
        <f>FleetAverage!B43</f>
        <v>20.5</v>
      </c>
      <c r="B43" s="42">
        <f>FleetAverage!I43</f>
        <v>44.623832766666645</v>
      </c>
      <c r="C43" s="42">
        <f>FleetAverage!J43</f>
        <v>0</v>
      </c>
      <c r="D43" s="43">
        <f>FleetAverage!K43</f>
        <v>3.3508327666666347</v>
      </c>
      <c r="F43" s="40">
        <f>FleetAverage!B43</f>
        <v>20.5</v>
      </c>
      <c r="G43" s="46">
        <f>FleetAverage!E43</f>
        <v>0</v>
      </c>
      <c r="H43" s="46">
        <f>FleetAverage!F43</f>
        <v>0.53601298701298716</v>
      </c>
      <c r="I43" s="48">
        <f>FleetAverage!H43</f>
        <v>81.847402597402564</v>
      </c>
      <c r="K43" s="4" t="str">
        <f>ProsumerMetrics!A43</f>
        <v>BES_TR1_six378_A</v>
      </c>
      <c r="L43" s="50">
        <f>ProsumerMetrics!J43</f>
        <v>34.200000000000003</v>
      </c>
      <c r="M43" s="48">
        <f>ProsumerMetrics!K43</f>
        <v>100</v>
      </c>
      <c r="T43" s="40">
        <f>FleetAverage!B43</f>
        <v>20.5</v>
      </c>
      <c r="U43" s="46">
        <f>FleetAverage!C43</f>
        <v>0.57953029567099534</v>
      </c>
      <c r="V43" s="46">
        <f>FleetAverage!D43</f>
        <v>0</v>
      </c>
      <c r="W43" s="46">
        <f>FleetAverage!E43</f>
        <v>0</v>
      </c>
      <c r="X43" s="46">
        <f>FleetAverage!F43</f>
        <v>0.53601298701298716</v>
      </c>
      <c r="Y43" s="54">
        <f>FleetAverage!G43</f>
        <v>4.351730865800818E-2</v>
      </c>
      <c r="AA43" s="40">
        <f>FleetAverage!B43</f>
        <v>20.5</v>
      </c>
      <c r="AB43" s="46">
        <f>0</f>
        <v>0</v>
      </c>
      <c r="AC43" s="46">
        <f>FleetAverage!G43</f>
        <v>4.351730865800818E-2</v>
      </c>
      <c r="AD43" s="46">
        <f t="shared" si="1"/>
        <v>4.351730865800818E-2</v>
      </c>
      <c r="AE43" s="46">
        <f t="shared" si="2"/>
        <v>0</v>
      </c>
      <c r="AF43" s="50">
        <f>100</f>
        <v>100</v>
      </c>
      <c r="AG43" s="48">
        <f>FleetAverage!H43</f>
        <v>81.847402597402564</v>
      </c>
    </row>
    <row r="44" spans="1:33" x14ac:dyDescent="0.25">
      <c r="A44" s="40">
        <f>FleetAverage!B44</f>
        <v>21</v>
      </c>
      <c r="B44" s="42">
        <f>FleetAverage!I44</f>
        <v>43.797683833333338</v>
      </c>
      <c r="C44" s="42">
        <f>FleetAverage!J44</f>
        <v>0</v>
      </c>
      <c r="D44" s="43">
        <f>FleetAverage!K44</f>
        <v>3.9406838333333525</v>
      </c>
      <c r="F44" s="40">
        <f>FleetAverage!B44</f>
        <v>21</v>
      </c>
      <c r="G44" s="46">
        <f>FleetAverage!E44</f>
        <v>0</v>
      </c>
      <c r="H44" s="46">
        <f>FleetAverage!F44</f>
        <v>0.51762337662337643</v>
      </c>
      <c r="I44" s="48">
        <f>FleetAverage!H44</f>
        <v>75.120500000000007</v>
      </c>
      <c r="K44" s="4" t="str">
        <f>ProsumerMetrics!A44</f>
        <v>BES_TR1_six75_A</v>
      </c>
      <c r="L44" s="50">
        <f>ProsumerMetrics!J44</f>
        <v>25.2</v>
      </c>
      <c r="M44" s="48">
        <f>ProsumerMetrics!K44</f>
        <v>100</v>
      </c>
      <c r="T44" s="40">
        <f>FleetAverage!B44</f>
        <v>21</v>
      </c>
      <c r="U44" s="46">
        <f>FleetAverage!C44</f>
        <v>0.56880108874458879</v>
      </c>
      <c r="V44" s="46">
        <f>FleetAverage!D44</f>
        <v>0</v>
      </c>
      <c r="W44" s="46">
        <f>FleetAverage!E44</f>
        <v>0</v>
      </c>
      <c r="X44" s="46">
        <f>FleetAverage!F44</f>
        <v>0.51762337662337643</v>
      </c>
      <c r="Y44" s="54">
        <f>FleetAverage!G44</f>
        <v>5.117771212121236E-2</v>
      </c>
      <c r="AA44" s="40">
        <f>FleetAverage!B44</f>
        <v>21</v>
      </c>
      <c r="AB44" s="46">
        <f>0</f>
        <v>0</v>
      </c>
      <c r="AC44" s="46">
        <f>FleetAverage!G44</f>
        <v>5.117771212121236E-2</v>
      </c>
      <c r="AD44" s="46">
        <f t="shared" si="1"/>
        <v>5.117771212121236E-2</v>
      </c>
      <c r="AE44" s="46">
        <f t="shared" si="2"/>
        <v>0</v>
      </c>
      <c r="AF44" s="50">
        <f>100</f>
        <v>100</v>
      </c>
      <c r="AG44" s="48">
        <f>FleetAverage!H44</f>
        <v>75.120500000000007</v>
      </c>
    </row>
    <row r="45" spans="1:33" x14ac:dyDescent="0.25">
      <c r="A45" s="40">
        <f>FleetAverage!B45</f>
        <v>21.5</v>
      </c>
      <c r="B45" s="42">
        <f>FleetAverage!I45</f>
        <v>44.536529333333334</v>
      </c>
      <c r="C45" s="42">
        <f>FleetAverage!J45</f>
        <v>0</v>
      </c>
      <c r="D45" s="43">
        <f>FleetAverage!K45</f>
        <v>4.4805293333333509</v>
      </c>
      <c r="F45" s="40">
        <f>FleetAverage!B45</f>
        <v>21.5</v>
      </c>
      <c r="G45" s="46">
        <f>FleetAverage!E45</f>
        <v>0</v>
      </c>
      <c r="H45" s="46">
        <f>FleetAverage!F45</f>
        <v>0.52020779220779201</v>
      </c>
      <c r="I45" s="48">
        <f>FleetAverage!H45</f>
        <v>68.624637662337648</v>
      </c>
      <c r="K45" s="4" t="str">
        <f>ProsumerMetrics!A45</f>
        <v>BES_TR1_six385_B</v>
      </c>
      <c r="L45" s="50">
        <f>ProsumerMetrics!J45</f>
        <v>40.1</v>
      </c>
      <c r="M45" s="48">
        <f>ProsumerMetrics!K45</f>
        <v>100</v>
      </c>
      <c r="T45" s="40">
        <f>FleetAverage!B45</f>
        <v>21.5</v>
      </c>
      <c r="U45" s="46">
        <f>FleetAverage!C45</f>
        <v>0.57839648484848483</v>
      </c>
      <c r="V45" s="46">
        <f>FleetAverage!D45</f>
        <v>0</v>
      </c>
      <c r="W45" s="46">
        <f>FleetAverage!E45</f>
        <v>0</v>
      </c>
      <c r="X45" s="46">
        <f>FleetAverage!F45</f>
        <v>0.52020779220779201</v>
      </c>
      <c r="Y45" s="54">
        <f>FleetAverage!G45</f>
        <v>5.8188692640692818E-2</v>
      </c>
      <c r="AA45" s="40">
        <f>FleetAverage!B45</f>
        <v>21.5</v>
      </c>
      <c r="AB45" s="46">
        <f>0</f>
        <v>0</v>
      </c>
      <c r="AC45" s="46">
        <f>FleetAverage!G45</f>
        <v>5.8188692640692818E-2</v>
      </c>
      <c r="AD45" s="46">
        <f t="shared" si="1"/>
        <v>5.8188692640692818E-2</v>
      </c>
      <c r="AE45" s="46">
        <f t="shared" si="2"/>
        <v>0</v>
      </c>
      <c r="AF45" s="50">
        <f>100</f>
        <v>100</v>
      </c>
      <c r="AG45" s="48">
        <f>FleetAverage!H45</f>
        <v>68.624637662337648</v>
      </c>
    </row>
    <row r="46" spans="1:33" x14ac:dyDescent="0.25">
      <c r="A46" s="40">
        <f>FleetAverage!B46</f>
        <v>22</v>
      </c>
      <c r="B46" s="42">
        <f>FleetAverage!I46</f>
        <v>40.84922300000003</v>
      </c>
      <c r="C46" s="42">
        <f>FleetAverage!J46</f>
        <v>0</v>
      </c>
      <c r="D46" s="43">
        <f>FleetAverage!K46</f>
        <v>6.3562230000000213</v>
      </c>
      <c r="F46" s="40">
        <f>FleetAverage!B46</f>
        <v>22</v>
      </c>
      <c r="G46" s="46">
        <f>FleetAverage!E46</f>
        <v>0</v>
      </c>
      <c r="H46" s="46">
        <f>FleetAverage!F46</f>
        <v>0.44796103896103906</v>
      </c>
      <c r="I46" s="48">
        <f>FleetAverage!H46</f>
        <v>62.097371428571435</v>
      </c>
      <c r="K46" s="4" t="str">
        <f>ProsumerMetrics!A46</f>
        <v>BES_TR1_six387_A</v>
      </c>
      <c r="L46" s="50">
        <f>ProsumerMetrics!J46</f>
        <v>72.7</v>
      </c>
      <c r="M46" s="48">
        <f>ProsumerMetrics!K46</f>
        <v>100</v>
      </c>
      <c r="T46" s="40">
        <f>FleetAverage!B46</f>
        <v>22</v>
      </c>
      <c r="U46" s="46">
        <f>FleetAverage!C46</f>
        <v>0.53050938961038996</v>
      </c>
      <c r="V46" s="46">
        <f>FleetAverage!D46</f>
        <v>0</v>
      </c>
      <c r="W46" s="46">
        <f>FleetAverage!E46</f>
        <v>0</v>
      </c>
      <c r="X46" s="46">
        <f>FleetAverage!F46</f>
        <v>0.44796103896103906</v>
      </c>
      <c r="Y46" s="54">
        <f>FleetAverage!G46</f>
        <v>8.2548350649350899E-2</v>
      </c>
      <c r="AA46" s="40">
        <f>FleetAverage!B46</f>
        <v>22</v>
      </c>
      <c r="AB46" s="46">
        <f>0</f>
        <v>0</v>
      </c>
      <c r="AC46" s="46">
        <f>FleetAverage!G46</f>
        <v>8.2548350649350899E-2</v>
      </c>
      <c r="AD46" s="46">
        <f t="shared" si="1"/>
        <v>8.2548350649350899E-2</v>
      </c>
      <c r="AE46" s="46">
        <f t="shared" si="2"/>
        <v>0</v>
      </c>
      <c r="AF46" s="50">
        <f>100</f>
        <v>100</v>
      </c>
      <c r="AG46" s="48">
        <f>FleetAverage!H46</f>
        <v>62.097371428571435</v>
      </c>
    </row>
    <row r="47" spans="1:33" x14ac:dyDescent="0.25">
      <c r="A47" s="40">
        <f>FleetAverage!B47</f>
        <v>22.5</v>
      </c>
      <c r="B47" s="42">
        <f>FleetAverage!I47</f>
        <v>32.752122666666658</v>
      </c>
      <c r="C47" s="42">
        <f>FleetAverage!J47</f>
        <v>0</v>
      </c>
      <c r="D47" s="43">
        <f>FleetAverage!K47</f>
        <v>5.8471226666666567</v>
      </c>
      <c r="F47" s="40">
        <f>FleetAverage!B47</f>
        <v>22.5</v>
      </c>
      <c r="G47" s="46">
        <f>FleetAverage!E47</f>
        <v>0</v>
      </c>
      <c r="H47" s="46">
        <f>FleetAverage!F47</f>
        <v>0.34941558441558446</v>
      </c>
      <c r="I47" s="48">
        <f>FleetAverage!H47</f>
        <v>56.475854545454538</v>
      </c>
      <c r="K47" s="4" t="str">
        <f>ProsumerMetrics!A47</f>
        <v>BES_TR1_six410_A</v>
      </c>
      <c r="L47" s="50">
        <f>ProsumerMetrics!J47</f>
        <v>40.200000000000003</v>
      </c>
      <c r="M47" s="48">
        <f>ProsumerMetrics!K47</f>
        <v>100</v>
      </c>
      <c r="T47" s="40">
        <f>FleetAverage!B47</f>
        <v>22.5</v>
      </c>
      <c r="U47" s="46">
        <f>FleetAverage!C47</f>
        <v>0.4253522424242423</v>
      </c>
      <c r="V47" s="46">
        <f>FleetAverage!D47</f>
        <v>0</v>
      </c>
      <c r="W47" s="46">
        <f>FleetAverage!E47</f>
        <v>0</v>
      </c>
      <c r="X47" s="46">
        <f>FleetAverage!F47</f>
        <v>0.34941558441558446</v>
      </c>
      <c r="Y47" s="54">
        <f>FleetAverage!G47</f>
        <v>7.5936658008657842E-2</v>
      </c>
      <c r="AA47" s="40">
        <f>FleetAverage!B47</f>
        <v>22.5</v>
      </c>
      <c r="AB47" s="46">
        <f>0</f>
        <v>0</v>
      </c>
      <c r="AC47" s="46">
        <f>FleetAverage!G47</f>
        <v>7.5936658008657842E-2</v>
      </c>
      <c r="AD47" s="46">
        <f t="shared" si="1"/>
        <v>7.5936658008657842E-2</v>
      </c>
      <c r="AE47" s="46">
        <f t="shared" si="2"/>
        <v>0</v>
      </c>
      <c r="AF47" s="50">
        <f>100</f>
        <v>100</v>
      </c>
      <c r="AG47" s="48">
        <f>FleetAverage!H47</f>
        <v>56.475854545454538</v>
      </c>
    </row>
    <row r="48" spans="1:33" x14ac:dyDescent="0.25">
      <c r="A48" s="40">
        <f>FleetAverage!B48</f>
        <v>23</v>
      </c>
      <c r="B48" s="42">
        <f>FleetAverage!I48</f>
        <v>28.491681333333329</v>
      </c>
      <c r="C48" s="42">
        <f>FleetAverage!J48</f>
        <v>0</v>
      </c>
      <c r="D48" s="43">
        <f>FleetAverage!K48</f>
        <v>6.8156813333333339</v>
      </c>
      <c r="F48" s="40">
        <f>FleetAverage!B48</f>
        <v>23</v>
      </c>
      <c r="G48" s="46">
        <f>FleetAverage!E48</f>
        <v>0</v>
      </c>
      <c r="H48" s="46">
        <f>FleetAverage!F48</f>
        <v>0.28150649350649343</v>
      </c>
      <c r="I48" s="48">
        <f>FleetAverage!H48</f>
        <v>52.091388311688313</v>
      </c>
      <c r="K48" s="4" t="str">
        <f>ProsumerMetrics!A48</f>
        <v>BES_TR1_six431_C</v>
      </c>
      <c r="L48" s="50">
        <f>ProsumerMetrics!J48</f>
        <v>37.1</v>
      </c>
      <c r="M48" s="48">
        <f>ProsumerMetrics!K48</f>
        <v>100</v>
      </c>
      <c r="T48" s="40">
        <f>FleetAverage!B48</f>
        <v>23</v>
      </c>
      <c r="U48" s="46">
        <f>FleetAverage!C48</f>
        <v>0.37002183549783546</v>
      </c>
      <c r="V48" s="46">
        <f>FleetAverage!D48</f>
        <v>0</v>
      </c>
      <c r="W48" s="46">
        <f>FleetAverage!E48</f>
        <v>0</v>
      </c>
      <c r="X48" s="46">
        <f>FleetAverage!F48</f>
        <v>0.28150649350649343</v>
      </c>
      <c r="Y48" s="54">
        <f>FleetAverage!G48</f>
        <v>8.8515341991342034E-2</v>
      </c>
      <c r="AA48" s="40">
        <f>FleetAverage!B48</f>
        <v>23</v>
      </c>
      <c r="AB48" s="46">
        <f>0</f>
        <v>0</v>
      </c>
      <c r="AC48" s="46">
        <f>FleetAverage!G48</f>
        <v>8.8515341991342034E-2</v>
      </c>
      <c r="AD48" s="46">
        <f t="shared" si="1"/>
        <v>8.8515341991342034E-2</v>
      </c>
      <c r="AE48" s="46">
        <f t="shared" si="2"/>
        <v>0</v>
      </c>
      <c r="AF48" s="50">
        <f>100</f>
        <v>100</v>
      </c>
      <c r="AG48" s="48">
        <f>FleetAverage!H48</f>
        <v>52.091388311688313</v>
      </c>
    </row>
    <row r="49" spans="1:33" x14ac:dyDescent="0.25">
      <c r="A49" s="41">
        <f>FleetAverage!B49</f>
        <v>23.5</v>
      </c>
      <c r="B49" s="44">
        <f>FleetAverage!I49</f>
        <v>21.891819466666664</v>
      </c>
      <c r="C49" s="44">
        <f>FleetAverage!J49</f>
        <v>0</v>
      </c>
      <c r="D49" s="45">
        <f>FleetAverage!K49</f>
        <v>5.1668194666666558</v>
      </c>
      <c r="F49" s="41">
        <f>FleetAverage!B49</f>
        <v>23.5</v>
      </c>
      <c r="G49" s="47">
        <f>FleetAverage!E49</f>
        <v>0</v>
      </c>
      <c r="H49" s="47">
        <f>FleetAverage!F49</f>
        <v>0.21720779220779232</v>
      </c>
      <c r="I49" s="49">
        <f>FleetAverage!H49</f>
        <v>48.559493506493517</v>
      </c>
      <c r="K49" s="4" t="str">
        <f>ProsumerMetrics!A49</f>
        <v>BES_TR1_six441_A</v>
      </c>
      <c r="L49" s="50">
        <f>ProsumerMetrics!J49</f>
        <v>15.8</v>
      </c>
      <c r="M49" s="48">
        <f>ProsumerMetrics!K49</f>
        <v>99.9</v>
      </c>
      <c r="T49" s="41">
        <f>FleetAverage!B49</f>
        <v>23.5</v>
      </c>
      <c r="U49" s="47">
        <f>FleetAverage!C49</f>
        <v>0.2843093437229437</v>
      </c>
      <c r="V49" s="47">
        <f>FleetAverage!D49</f>
        <v>0</v>
      </c>
      <c r="W49" s="47">
        <f>FleetAverage!E49</f>
        <v>0</v>
      </c>
      <c r="X49" s="47">
        <f>FleetAverage!F49</f>
        <v>0.21720779220779232</v>
      </c>
      <c r="Y49" s="55">
        <f>FleetAverage!G49</f>
        <v>6.7101551515151375E-2</v>
      </c>
      <c r="AA49" s="41">
        <f>FleetAverage!B49</f>
        <v>23.5</v>
      </c>
      <c r="AB49" s="47">
        <f>0</f>
        <v>0</v>
      </c>
      <c r="AC49" s="47">
        <f>FleetAverage!G49</f>
        <v>6.7101551515151375E-2</v>
      </c>
      <c r="AD49" s="47">
        <f t="shared" si="1"/>
        <v>6.7101551515151375E-2</v>
      </c>
      <c r="AE49" s="47">
        <f t="shared" si="2"/>
        <v>0</v>
      </c>
      <c r="AF49" s="51">
        <f>100</f>
        <v>100</v>
      </c>
      <c r="AG49" s="49">
        <f>FleetAverage!H49</f>
        <v>48.559493506493517</v>
      </c>
    </row>
    <row r="50" spans="1:33" x14ac:dyDescent="0.25">
      <c r="K50" s="4" t="str">
        <f>ProsumerMetrics!A50</f>
        <v>BES_TR1_six484_B</v>
      </c>
      <c r="L50" s="50">
        <f>ProsumerMetrics!J50</f>
        <v>56.9</v>
      </c>
      <c r="M50" s="48">
        <f>ProsumerMetrics!K50</f>
        <v>99.6</v>
      </c>
    </row>
    <row r="51" spans="1:33" x14ac:dyDescent="0.25">
      <c r="K51" s="4" t="str">
        <f>ProsumerMetrics!A51</f>
        <v>BES_TR1_six501_A</v>
      </c>
      <c r="L51" s="50">
        <f>ProsumerMetrics!J51</f>
        <v>45.8</v>
      </c>
      <c r="M51" s="48">
        <f>ProsumerMetrics!K51</f>
        <v>100</v>
      </c>
    </row>
    <row r="52" spans="1:33" x14ac:dyDescent="0.25">
      <c r="K52" s="4" t="str">
        <f>ProsumerMetrics!A52</f>
        <v>BES_TR1_six512_B</v>
      </c>
      <c r="L52" s="50">
        <f>ProsumerMetrics!J52</f>
        <v>29.9</v>
      </c>
      <c r="M52" s="48">
        <f>ProsumerMetrics!K52</f>
        <v>100</v>
      </c>
    </row>
    <row r="53" spans="1:33" x14ac:dyDescent="0.25">
      <c r="K53" s="4" t="str">
        <f>ProsumerMetrics!A53</f>
        <v>BES_TR1_six518_B</v>
      </c>
      <c r="L53" s="50">
        <f>ProsumerMetrics!J53</f>
        <v>35.9</v>
      </c>
      <c r="M53" s="48">
        <f>ProsumerMetrics!K53</f>
        <v>100</v>
      </c>
    </row>
    <row r="54" spans="1:33" x14ac:dyDescent="0.25">
      <c r="K54" s="4" t="str">
        <f>ProsumerMetrics!A54</f>
        <v>BES_TR1_six595_B</v>
      </c>
      <c r="L54" s="50">
        <f>ProsumerMetrics!J54</f>
        <v>23.5</v>
      </c>
      <c r="M54" s="48">
        <f>ProsumerMetrics!K54</f>
        <v>100</v>
      </c>
    </row>
    <row r="55" spans="1:33" x14ac:dyDescent="0.25">
      <c r="K55" s="4" t="str">
        <f>ProsumerMetrics!A55</f>
        <v>BES_TR1_six646_B</v>
      </c>
      <c r="L55" s="50">
        <f>ProsumerMetrics!J55</f>
        <v>33.1</v>
      </c>
      <c r="M55" s="48">
        <f>ProsumerMetrics!K55</f>
        <v>100</v>
      </c>
    </row>
    <row r="56" spans="1:33" x14ac:dyDescent="0.25">
      <c r="K56" s="4" t="str">
        <f>ProsumerMetrics!A56</f>
        <v>BES_TR1_six699_C</v>
      </c>
      <c r="L56" s="50">
        <f>ProsumerMetrics!J56</f>
        <v>21.2</v>
      </c>
      <c r="M56" s="48">
        <f>ProsumerMetrics!K56</f>
        <v>100</v>
      </c>
    </row>
    <row r="57" spans="1:33" x14ac:dyDescent="0.25">
      <c r="K57" s="4" t="str">
        <f>ProsumerMetrics!A57</f>
        <v>BES_TR1_six718_C</v>
      </c>
      <c r="L57" s="50">
        <f>ProsumerMetrics!J57</f>
        <v>85</v>
      </c>
      <c r="M57" s="48">
        <f>ProsumerMetrics!K57</f>
        <v>100</v>
      </c>
    </row>
    <row r="58" spans="1:33" x14ac:dyDescent="0.25">
      <c r="K58" s="4" t="str">
        <f>ProsumerMetrics!A58</f>
        <v>BES_TR1_six721_A</v>
      </c>
      <c r="L58" s="50">
        <f>ProsumerMetrics!J58</f>
        <v>96.1</v>
      </c>
      <c r="M58" s="48">
        <f>ProsumerMetrics!K58</f>
        <v>100</v>
      </c>
    </row>
    <row r="59" spans="1:33" x14ac:dyDescent="0.25">
      <c r="K59" s="4" t="str">
        <f>ProsumerMetrics!A59</f>
        <v>BES_TR1_six723_B</v>
      </c>
      <c r="L59" s="50">
        <f>ProsumerMetrics!J59</f>
        <v>18.100000000000001</v>
      </c>
      <c r="M59" s="48">
        <f>ProsumerMetrics!K59</f>
        <v>100</v>
      </c>
    </row>
    <row r="60" spans="1:33" x14ac:dyDescent="0.25">
      <c r="K60" s="4" t="str">
        <f>ProsumerMetrics!A60</f>
        <v>BES_TR1_six784_B</v>
      </c>
      <c r="L60" s="50">
        <f>ProsumerMetrics!J60</f>
        <v>35.9</v>
      </c>
      <c r="M60" s="48">
        <f>ProsumerMetrics!K60</f>
        <v>100</v>
      </c>
    </row>
    <row r="61" spans="1:33" x14ac:dyDescent="0.25">
      <c r="K61" s="4" t="str">
        <f>ProsumerMetrics!A61</f>
        <v>BES_TR1_six90_B</v>
      </c>
      <c r="L61" s="50">
        <f>ProsumerMetrics!J61</f>
        <v>83.3</v>
      </c>
      <c r="M61" s="48">
        <f>ProsumerMetrics!K61</f>
        <v>100</v>
      </c>
    </row>
    <row r="62" spans="1:33" x14ac:dyDescent="0.25">
      <c r="K62" s="4" t="str">
        <f>ProsumerMetrics!A62</f>
        <v>BES_TR1_six807_A</v>
      </c>
      <c r="L62" s="50">
        <f>ProsumerMetrics!J62</f>
        <v>48.6</v>
      </c>
      <c r="M62" s="48">
        <f>ProsumerMetrics!K62</f>
        <v>78.099999999999994</v>
      </c>
    </row>
    <row r="63" spans="1:33" x14ac:dyDescent="0.25">
      <c r="K63" s="4" t="str">
        <f>ProsumerMetrics!A63</f>
        <v>BES_TR1_six852_B</v>
      </c>
      <c r="L63" s="50">
        <f>ProsumerMetrics!J63</f>
        <v>25.6</v>
      </c>
      <c r="M63" s="48">
        <f>ProsumerMetrics!K63</f>
        <v>97.6</v>
      </c>
    </row>
    <row r="64" spans="1:33" x14ac:dyDescent="0.25">
      <c r="K64" s="4" t="str">
        <f>ProsumerMetrics!A64</f>
        <v>BES_TR1_six860_C</v>
      </c>
      <c r="L64" s="50">
        <f>ProsumerMetrics!J64</f>
        <v>21</v>
      </c>
      <c r="M64" s="48">
        <f>ProsumerMetrics!K64</f>
        <v>95.6</v>
      </c>
    </row>
    <row r="65" spans="11:13" x14ac:dyDescent="0.25">
      <c r="K65" s="4" t="str">
        <f>ProsumerMetrics!A65</f>
        <v>BES_TR1_six869_C</v>
      </c>
      <c r="L65" s="50">
        <f>ProsumerMetrics!J65</f>
        <v>21.8</v>
      </c>
      <c r="M65" s="48">
        <f>ProsumerMetrics!K65</f>
        <v>93.7</v>
      </c>
    </row>
    <row r="66" spans="11:13" x14ac:dyDescent="0.25">
      <c r="K66" s="4" t="str">
        <f>ProsumerMetrics!A66</f>
        <v>BES_TR1_six885_A</v>
      </c>
      <c r="L66" s="50">
        <f>ProsumerMetrics!J66</f>
        <v>37.1</v>
      </c>
      <c r="M66" s="48">
        <f>ProsumerMetrics!K66</f>
        <v>100</v>
      </c>
    </row>
    <row r="67" spans="11:13" x14ac:dyDescent="0.25">
      <c r="K67" s="4" t="str">
        <f>ProsumerMetrics!A67</f>
        <v>BES_TR1_six909_C</v>
      </c>
      <c r="L67" s="50">
        <f>ProsumerMetrics!J67</f>
        <v>52.3</v>
      </c>
      <c r="M67" s="48">
        <f>ProsumerMetrics!K67</f>
        <v>72.3</v>
      </c>
    </row>
    <row r="68" spans="11:13" x14ac:dyDescent="0.25">
      <c r="K68" s="4" t="str">
        <f>ProsumerMetrics!A68</f>
        <v>BES_TR1_six105_A</v>
      </c>
      <c r="L68" s="50">
        <f>ProsumerMetrics!J68</f>
        <v>29.9</v>
      </c>
      <c r="M68" s="48">
        <f>ProsumerMetrics!K68</f>
        <v>100</v>
      </c>
    </row>
    <row r="69" spans="11:13" x14ac:dyDescent="0.25">
      <c r="K69" s="4" t="str">
        <f>ProsumerMetrics!A69</f>
        <v>BES_TR1_six914_A</v>
      </c>
      <c r="L69" s="50">
        <f>ProsumerMetrics!J69</f>
        <v>20.2</v>
      </c>
      <c r="M69" s="48">
        <f>ProsumerMetrics!K69</f>
        <v>100</v>
      </c>
    </row>
    <row r="70" spans="11:13" x14ac:dyDescent="0.25">
      <c r="K70" s="4" t="str">
        <f>ProsumerMetrics!A70</f>
        <v>BES_TR1_six945_C</v>
      </c>
      <c r="L70" s="50">
        <f>ProsumerMetrics!J70</f>
        <v>24.4</v>
      </c>
      <c r="M70" s="48">
        <f>ProsumerMetrics!K70</f>
        <v>100</v>
      </c>
    </row>
    <row r="71" spans="11:13" x14ac:dyDescent="0.25">
      <c r="K71" s="4" t="str">
        <f>ProsumerMetrics!A71</f>
        <v>BES_TR1_six952_A</v>
      </c>
      <c r="L71" s="50">
        <f>ProsumerMetrics!J71</f>
        <v>46.5</v>
      </c>
      <c r="M71" s="48">
        <f>ProsumerMetrics!K71</f>
        <v>100</v>
      </c>
    </row>
    <row r="72" spans="11:13" x14ac:dyDescent="0.25">
      <c r="K72" s="4" t="str">
        <f>ProsumerMetrics!A72</f>
        <v>BES_TR1_six967_B</v>
      </c>
      <c r="L72" s="50">
        <f>ProsumerMetrics!J72</f>
        <v>69.8</v>
      </c>
      <c r="M72" s="48">
        <f>ProsumerMetrics!K72</f>
        <v>82.6</v>
      </c>
    </row>
    <row r="73" spans="11:13" x14ac:dyDescent="0.25">
      <c r="K73" s="4" t="str">
        <f>ProsumerMetrics!A73</f>
        <v>BES_TR1_six990_B</v>
      </c>
      <c r="L73" s="50">
        <f>ProsumerMetrics!J73</f>
        <v>25.2</v>
      </c>
      <c r="M73" s="48">
        <f>ProsumerMetrics!K73</f>
        <v>100</v>
      </c>
    </row>
    <row r="74" spans="11:13" x14ac:dyDescent="0.25">
      <c r="K74" s="4" t="str">
        <f>ProsumerMetrics!A74</f>
        <v>BES_TR1_six1006_C</v>
      </c>
      <c r="L74" s="50">
        <f>ProsumerMetrics!J74</f>
        <v>16.8</v>
      </c>
      <c r="M74" s="48">
        <f>ProsumerMetrics!K74</f>
        <v>100</v>
      </c>
    </row>
    <row r="75" spans="11:13" x14ac:dyDescent="0.25">
      <c r="K75" s="4" t="str">
        <f>ProsumerMetrics!A75</f>
        <v>BES_TR1_six1020_A</v>
      </c>
      <c r="L75" s="50">
        <f>ProsumerMetrics!J75</f>
        <v>24.7</v>
      </c>
      <c r="M75" s="48">
        <f>ProsumerMetrics!K75</f>
        <v>100</v>
      </c>
    </row>
    <row r="76" spans="11:13" x14ac:dyDescent="0.25">
      <c r="K76" s="4" t="str">
        <f>ProsumerMetrics!A76</f>
        <v>BES_TR1_six1025_B</v>
      </c>
      <c r="L76" s="50">
        <f>ProsumerMetrics!J76</f>
        <v>32.799999999999997</v>
      </c>
      <c r="M76" s="48">
        <f>ProsumerMetrics!K76</f>
        <v>100</v>
      </c>
    </row>
    <row r="77" spans="11:13" x14ac:dyDescent="0.25">
      <c r="K77" s="4" t="str">
        <f>ProsumerMetrics!A77</f>
        <v>BES_TR1_six1064_C</v>
      </c>
      <c r="L77" s="50">
        <f>ProsumerMetrics!J77</f>
        <v>59.6</v>
      </c>
      <c r="M77" s="48">
        <f>ProsumerMetrics!K77</f>
        <v>100</v>
      </c>
    </row>
    <row r="78" spans="11:13" x14ac:dyDescent="0.25">
      <c r="K78" s="6" t="str">
        <f>ProsumerMetrics!A78</f>
        <v>BES_TR1_six128_B</v>
      </c>
      <c r="L78" s="51">
        <f>ProsumerMetrics!J78</f>
        <v>21.4</v>
      </c>
      <c r="M78" s="49">
        <f>ProsumerMetrics!K78</f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6:F74"/>
  <sheetViews>
    <sheetView showGridLines="0" workbookViewId="0">
      <selection activeCell="O12" sqref="O12"/>
    </sheetView>
  </sheetViews>
  <sheetFormatPr defaultRowHeight="15" x14ac:dyDescent="0.25"/>
  <cols>
    <col min="1" max="13" width="13" customWidth="1"/>
  </cols>
  <sheetData>
    <row r="26" spans="1:6" x14ac:dyDescent="0.25">
      <c r="A26" s="37" t="s">
        <v>213</v>
      </c>
      <c r="B26" s="38" t="s">
        <v>226</v>
      </c>
      <c r="C26" s="38" t="s">
        <v>227</v>
      </c>
      <c r="D26" s="38" t="s">
        <v>228</v>
      </c>
      <c r="E26" s="38" t="s">
        <v>229</v>
      </c>
      <c r="F26" s="39" t="s">
        <v>230</v>
      </c>
    </row>
    <row r="27" spans="1:6" x14ac:dyDescent="0.25">
      <c r="A27" s="40">
        <f>ChartData!T2</f>
        <v>0</v>
      </c>
      <c r="B27" s="46">
        <f>ChartData!U2</f>
        <v>0.27365083766233766</v>
      </c>
      <c r="C27" s="46">
        <f>ChartData!V2</f>
        <v>0</v>
      </c>
      <c r="D27" s="46">
        <f>ChartData!W2</f>
        <v>0</v>
      </c>
      <c r="E27" s="46">
        <f>ChartData!X2</f>
        <v>0.27302597402597395</v>
      </c>
      <c r="F27" s="54">
        <f>ChartData!Y2</f>
        <v>6.24863636363715E-4</v>
      </c>
    </row>
    <row r="28" spans="1:6" x14ac:dyDescent="0.25">
      <c r="A28" s="40">
        <f>ChartData!T3</f>
        <v>0.5</v>
      </c>
      <c r="B28" s="46">
        <f>ChartData!U3</f>
        <v>0.17791697748917748</v>
      </c>
      <c r="C28" s="46">
        <f>ChartData!V3</f>
        <v>0</v>
      </c>
      <c r="D28" s="46">
        <f>ChartData!W3</f>
        <v>0</v>
      </c>
      <c r="E28" s="46">
        <f>ChartData!X3</f>
        <v>0.17599999999999996</v>
      </c>
      <c r="F28" s="54">
        <f>ChartData!Y3</f>
        <v>1.9169774891775182E-3</v>
      </c>
    </row>
    <row r="29" spans="1:6" x14ac:dyDescent="0.25">
      <c r="A29" s="40">
        <f>ChartData!T4</f>
        <v>1</v>
      </c>
      <c r="B29" s="46">
        <f>ChartData!U4</f>
        <v>0.12574829870129872</v>
      </c>
      <c r="C29" s="46">
        <f>ChartData!V4</f>
        <v>0</v>
      </c>
      <c r="D29" s="46">
        <f>ChartData!W4</f>
        <v>0</v>
      </c>
      <c r="E29" s="46">
        <f>ChartData!X4</f>
        <v>0.12401298701298701</v>
      </c>
      <c r="F29" s="54">
        <f>ChartData!Y4</f>
        <v>1.7353116883117164E-3</v>
      </c>
    </row>
    <row r="30" spans="1:6" x14ac:dyDescent="0.25">
      <c r="A30" s="40">
        <f>ChartData!T5</f>
        <v>1.5</v>
      </c>
      <c r="B30" s="46">
        <f>ChartData!U5</f>
        <v>0.14186490822510817</v>
      </c>
      <c r="C30" s="46">
        <f>ChartData!V5</f>
        <v>0</v>
      </c>
      <c r="D30" s="46">
        <f>ChartData!W5</f>
        <v>0</v>
      </c>
      <c r="E30" s="46">
        <f>ChartData!X5</f>
        <v>0.13924675324675323</v>
      </c>
      <c r="F30" s="54">
        <f>ChartData!Y5</f>
        <v>2.6181549783549363E-3</v>
      </c>
    </row>
    <row r="31" spans="1:6" x14ac:dyDescent="0.25">
      <c r="A31" s="40">
        <f>ChartData!T6</f>
        <v>2</v>
      </c>
      <c r="B31" s="46">
        <f>ChartData!U6</f>
        <v>0.10638473160173162</v>
      </c>
      <c r="C31" s="46">
        <f>ChartData!V6</f>
        <v>0</v>
      </c>
      <c r="D31" s="46">
        <f>ChartData!W6</f>
        <v>0</v>
      </c>
      <c r="E31" s="46">
        <f>ChartData!X6</f>
        <v>0.10158441558441557</v>
      </c>
      <c r="F31" s="54">
        <f>ChartData!Y6</f>
        <v>4.8003160173160503E-3</v>
      </c>
    </row>
    <row r="32" spans="1:6" x14ac:dyDescent="0.25">
      <c r="A32" s="40">
        <f>ChartData!T7</f>
        <v>2.5</v>
      </c>
      <c r="B32" s="46">
        <f>ChartData!U7</f>
        <v>0.12450445800865813</v>
      </c>
      <c r="C32" s="46">
        <f>ChartData!V7</f>
        <v>0</v>
      </c>
      <c r="D32" s="46">
        <f>ChartData!W7</f>
        <v>0</v>
      </c>
      <c r="E32" s="46">
        <f>ChartData!X7</f>
        <v>0.12122077922077919</v>
      </c>
      <c r="F32" s="54">
        <f>ChartData!Y7</f>
        <v>3.2836787878789409E-3</v>
      </c>
    </row>
    <row r="33" spans="1:6" x14ac:dyDescent="0.25">
      <c r="A33" s="40">
        <f>ChartData!T8</f>
        <v>3</v>
      </c>
      <c r="B33" s="46">
        <f>ChartData!U8</f>
        <v>0.13204340259740255</v>
      </c>
      <c r="C33" s="46">
        <f>ChartData!V8</f>
        <v>0</v>
      </c>
      <c r="D33" s="46">
        <f>ChartData!W8</f>
        <v>0</v>
      </c>
      <c r="E33" s="46">
        <f>ChartData!X8</f>
        <v>0.12644155844155838</v>
      </c>
      <c r="F33" s="54">
        <f>ChartData!Y8</f>
        <v>5.6018441558441656E-3</v>
      </c>
    </row>
    <row r="34" spans="1:6" x14ac:dyDescent="0.25">
      <c r="A34" s="40">
        <f>ChartData!T9</f>
        <v>3.5</v>
      </c>
      <c r="B34" s="46">
        <f>ChartData!U9</f>
        <v>0.10227012554112556</v>
      </c>
      <c r="C34" s="46">
        <f>ChartData!V9</f>
        <v>2.4856453614718623E-3</v>
      </c>
      <c r="D34" s="46">
        <f>ChartData!W9</f>
        <v>0</v>
      </c>
      <c r="E34" s="46">
        <f>ChartData!X9</f>
        <v>9.4415584415584397E-2</v>
      </c>
      <c r="F34" s="54">
        <f>ChartData!Y9</f>
        <v>5.3688957640693064E-3</v>
      </c>
    </row>
    <row r="35" spans="1:6" x14ac:dyDescent="0.25">
      <c r="A35" s="40">
        <f>ChartData!T10</f>
        <v>4</v>
      </c>
      <c r="B35" s="46">
        <f>ChartData!U10</f>
        <v>0.12989527619047619</v>
      </c>
      <c r="C35" s="46">
        <f>ChartData!V10</f>
        <v>3.592832658658001E-2</v>
      </c>
      <c r="D35" s="46">
        <f>ChartData!W10</f>
        <v>5.1948051948051951E-5</v>
      </c>
      <c r="E35" s="46">
        <f>ChartData!X10</f>
        <v>8.7561889824675249E-2</v>
      </c>
      <c r="F35" s="54">
        <f>ChartData!Y10</f>
        <v>6.4570078311689816E-3</v>
      </c>
    </row>
    <row r="36" spans="1:6" x14ac:dyDescent="0.25">
      <c r="A36" s="40">
        <f>ChartData!T11</f>
        <v>4.5</v>
      </c>
      <c r="B36" s="46">
        <f>ChartData!U11</f>
        <v>0.11673561904761907</v>
      </c>
      <c r="C36" s="46">
        <f>ChartData!V11</f>
        <v>0.16801174180844164</v>
      </c>
      <c r="D36" s="46">
        <f>ChartData!W11</f>
        <v>7.4155844155844114E-2</v>
      </c>
      <c r="E36" s="46">
        <f>ChartData!X11</f>
        <v>2.290909090909091E-2</v>
      </c>
      <c r="F36" s="54">
        <f>ChartData!Y11</f>
        <v>-2.9369514069361308E-5</v>
      </c>
    </row>
    <row r="37" spans="1:6" x14ac:dyDescent="0.25">
      <c r="A37" s="40">
        <f>ChartData!T12</f>
        <v>5</v>
      </c>
      <c r="B37" s="46">
        <f>ChartData!U12</f>
        <v>0.10857823463203468</v>
      </c>
      <c r="C37" s="46">
        <f>ChartData!V12</f>
        <v>0.33327342253030412</v>
      </c>
      <c r="D37" s="46">
        <f>ChartData!W12</f>
        <v>0.22951948051948048</v>
      </c>
      <c r="E37" s="46">
        <f>ChartData!X12</f>
        <v>4.1558441558441558E-3</v>
      </c>
      <c r="F37" s="54">
        <f>ChartData!Y12</f>
        <v>6.6844846536690677E-4</v>
      </c>
    </row>
    <row r="38" spans="1:6" x14ac:dyDescent="0.25">
      <c r="A38" s="40">
        <f>ChartData!T13</f>
        <v>5.5</v>
      </c>
      <c r="B38" s="46">
        <f>ChartData!U13</f>
        <v>0.12560554372294375</v>
      </c>
      <c r="C38" s="46">
        <f>ChartData!V13</f>
        <v>0.53592012915151432</v>
      </c>
      <c r="D38" s="46">
        <f>ChartData!W13</f>
        <v>0.41070129870129873</v>
      </c>
      <c r="E38" s="46">
        <f>ChartData!X13</f>
        <v>3.5064935064935067E-4</v>
      </c>
      <c r="F38" s="54">
        <f>ChartData!Y13</f>
        <v>3.6063922078805695E-5</v>
      </c>
    </row>
    <row r="39" spans="1:6" x14ac:dyDescent="0.25">
      <c r="A39" s="40">
        <f>ChartData!T14</f>
        <v>6</v>
      </c>
      <c r="B39" s="46">
        <f>ChartData!U14</f>
        <v>0.12527523722943723</v>
      </c>
      <c r="C39" s="46">
        <f>ChartData!V14</f>
        <v>0.75701911320887538</v>
      </c>
      <c r="D39" s="46">
        <f>ChartData!W14</f>
        <v>0.6317922077922079</v>
      </c>
      <c r="E39" s="46">
        <f>ChartData!X14</f>
        <v>0</v>
      </c>
      <c r="F39" s="54">
        <f>ChartData!Y14</f>
        <v>4.8331812769752958E-5</v>
      </c>
    </row>
    <row r="40" spans="1:6" x14ac:dyDescent="0.25">
      <c r="A40" s="40">
        <f>ChartData!T15</f>
        <v>6.5</v>
      </c>
      <c r="B40" s="46">
        <f>ChartData!U15</f>
        <v>0.17732045021645029</v>
      </c>
      <c r="C40" s="46">
        <f>ChartData!V15</f>
        <v>0.98083574617099456</v>
      </c>
      <c r="D40" s="46">
        <f>ChartData!W15</f>
        <v>0.8201688311688311</v>
      </c>
      <c r="E40" s="46">
        <f>ChartData!X15</f>
        <v>1.661038961038961E-2</v>
      </c>
      <c r="F40" s="54">
        <f>ChartData!Y15</f>
        <v>4.3145603897197515E-5</v>
      </c>
    </row>
    <row r="41" spans="1:6" x14ac:dyDescent="0.25">
      <c r="A41" s="40">
        <f>ChartData!T16</f>
        <v>7</v>
      </c>
      <c r="B41" s="46">
        <f>ChartData!U16</f>
        <v>0.1527245432900434</v>
      </c>
      <c r="C41" s="46">
        <f>ChartData!V16</f>
        <v>1.2034934373149353</v>
      </c>
      <c r="D41" s="46">
        <f>ChartData!W16</f>
        <v>1.0652987012987012</v>
      </c>
      <c r="E41" s="46">
        <f>ChartData!X16</f>
        <v>1.4506493506493506E-2</v>
      </c>
      <c r="F41" s="54">
        <f>ChartData!Y16</f>
        <v>2.3313767315864126E-5</v>
      </c>
    </row>
    <row r="42" spans="1:6" x14ac:dyDescent="0.25">
      <c r="A42" s="40">
        <f>ChartData!T17</f>
        <v>7.5</v>
      </c>
      <c r="B42" s="46">
        <f>ChartData!U17</f>
        <v>0.20312778701298703</v>
      </c>
      <c r="C42" s="46">
        <f>ChartData!V17</f>
        <v>1.4264750163149347</v>
      </c>
      <c r="D42" s="46">
        <f>ChartData!W17</f>
        <v>1.1604415584415586</v>
      </c>
      <c r="E42" s="46">
        <f>ChartData!X17</f>
        <v>8.5584415584415586E-3</v>
      </c>
      <c r="F42" s="54">
        <f>ChartData!Y17</f>
        <v>-7.1464112418830564E-2</v>
      </c>
    </row>
    <row r="43" spans="1:6" x14ac:dyDescent="0.25">
      <c r="A43" s="40">
        <f>ChartData!T18</f>
        <v>8</v>
      </c>
      <c r="B43" s="46">
        <f>ChartData!U18</f>
        <v>0.24040257705627702</v>
      </c>
      <c r="C43" s="46">
        <f>ChartData!V18</f>
        <v>1.6357574386829017</v>
      </c>
      <c r="D43" s="46">
        <f>ChartData!W18</f>
        <v>0.81971428571428573</v>
      </c>
      <c r="E43" s="46">
        <f>ChartData!X18</f>
        <v>0</v>
      </c>
      <c r="F43" s="54">
        <f>ChartData!Y18</f>
        <v>-0.57564057591233897</v>
      </c>
    </row>
    <row r="44" spans="1:6" x14ac:dyDescent="0.25">
      <c r="A44" s="40">
        <f>ChartData!T19</f>
        <v>8.5</v>
      </c>
      <c r="B44" s="46">
        <f>ChartData!U19</f>
        <v>0.42736067878787914</v>
      </c>
      <c r="C44" s="46">
        <f>ChartData!V19</f>
        <v>1.8324832231363626</v>
      </c>
      <c r="D44" s="46">
        <f>ChartData!W19</f>
        <v>0.50855844155844154</v>
      </c>
      <c r="E44" s="46">
        <f>ChartData!X19</f>
        <v>3.7675324675324674E-2</v>
      </c>
      <c r="F44" s="54">
        <f>ChartData!Y19</f>
        <v>-0.93423942746536648</v>
      </c>
    </row>
    <row r="45" spans="1:6" x14ac:dyDescent="0.25">
      <c r="A45" s="40">
        <f>ChartData!T20</f>
        <v>9</v>
      </c>
      <c r="B45" s="46">
        <f>ChartData!U20</f>
        <v>0.38556298008658019</v>
      </c>
      <c r="C45" s="46">
        <f>ChartData!V20</f>
        <v>2.0000260330952391</v>
      </c>
      <c r="D45" s="46">
        <f>ChartData!W20</f>
        <v>0.34736363636363637</v>
      </c>
      <c r="E45" s="46">
        <f>ChartData!X20</f>
        <v>1.3233766233766233E-2</v>
      </c>
      <c r="F45" s="54">
        <f>ChartData!Y20</f>
        <v>-1.2803331828787889</v>
      </c>
    </row>
    <row r="46" spans="1:6" x14ac:dyDescent="0.25">
      <c r="A46" s="40">
        <f>ChartData!T21</f>
        <v>9.5</v>
      </c>
      <c r="B46" s="46">
        <f>ChartData!U21</f>
        <v>0.36969990952380977</v>
      </c>
      <c r="C46" s="46">
        <f>ChartData!V21</f>
        <v>2.1429230774826822</v>
      </c>
      <c r="D46" s="46">
        <f>ChartData!W21</f>
        <v>0.2324285714285714</v>
      </c>
      <c r="E46" s="46">
        <f>ChartData!X21</f>
        <v>4.5714285714285709E-3</v>
      </c>
      <c r="F46" s="54">
        <f>ChartData!Y21</f>
        <v>-1.5453660251017296</v>
      </c>
    </row>
    <row r="47" spans="1:6" x14ac:dyDescent="0.25">
      <c r="A47" s="40">
        <f>ChartData!T22</f>
        <v>10</v>
      </c>
      <c r="B47" s="46">
        <f>ChartData!U22</f>
        <v>0.3993810393939396</v>
      </c>
      <c r="C47" s="46">
        <f>ChartData!V22</f>
        <v>2.2683506163387452</v>
      </c>
      <c r="D47" s="46">
        <f>ChartData!W22</f>
        <v>0.16262337662337661</v>
      </c>
      <c r="E47" s="46">
        <f>ChartData!X22</f>
        <v>3.2558441558441557E-2</v>
      </c>
      <c r="F47" s="54">
        <f>ChartData!Y22</f>
        <v>-1.7389046418798704</v>
      </c>
    </row>
    <row r="48" spans="1:6" x14ac:dyDescent="0.25">
      <c r="A48" s="40">
        <f>ChartData!T23</f>
        <v>10.5</v>
      </c>
      <c r="B48" s="46">
        <f>ChartData!U23</f>
        <v>0.38356364199134185</v>
      </c>
      <c r="C48" s="46">
        <f>ChartData!V23</f>
        <v>2.3718681476201291</v>
      </c>
      <c r="D48" s="46">
        <f>ChartData!W23</f>
        <v>0.10880519480519481</v>
      </c>
      <c r="E48" s="46">
        <f>ChartData!X23</f>
        <v>7.7792207792207789E-3</v>
      </c>
      <c r="F48" s="54">
        <f>ChartData!Y23</f>
        <v>-1.8872785316028131</v>
      </c>
    </row>
    <row r="49" spans="1:6" x14ac:dyDescent="0.25">
      <c r="A49" s="40">
        <f>ChartData!T24</f>
        <v>11</v>
      </c>
      <c r="B49" s="46">
        <f>ChartData!U24</f>
        <v>0.38659549740259719</v>
      </c>
      <c r="C49" s="46">
        <f>ChartData!V24</f>
        <v>2.4453168449296538</v>
      </c>
      <c r="D49" s="46">
        <f>ChartData!W24</f>
        <v>0.12266233766233767</v>
      </c>
      <c r="E49" s="46">
        <f>ChartData!X24</f>
        <v>7.4935064935064948E-3</v>
      </c>
      <c r="F49" s="54">
        <f>ChartData!Y24</f>
        <v>-1.9435525163582255</v>
      </c>
    </row>
    <row r="50" spans="1:6" x14ac:dyDescent="0.25">
      <c r="A50" s="40">
        <f>ChartData!T25</f>
        <v>11.5</v>
      </c>
      <c r="B50" s="46">
        <f>ChartData!U25</f>
        <v>0.453529509090909</v>
      </c>
      <c r="C50" s="46">
        <f>ChartData!V25</f>
        <v>2.4775278984025979</v>
      </c>
      <c r="D50" s="46">
        <f>ChartData!W25</f>
        <v>6.8194805194805197E-2</v>
      </c>
      <c r="E50" s="46">
        <f>ChartData!X25</f>
        <v>4.3415584415584421E-2</v>
      </c>
      <c r="F50" s="54">
        <f>ChartData!Y25</f>
        <v>-1.9992191685324681</v>
      </c>
    </row>
    <row r="51" spans="1:6" x14ac:dyDescent="0.25">
      <c r="A51" s="40">
        <f>ChartData!T26</f>
        <v>12</v>
      </c>
      <c r="B51" s="46">
        <f>ChartData!U26</f>
        <v>0.38887692597402596</v>
      </c>
      <c r="C51" s="46">
        <f>ChartData!V26</f>
        <v>2.4868574536277084</v>
      </c>
      <c r="D51" s="46">
        <f>ChartData!W26</f>
        <v>4.987012987012987E-2</v>
      </c>
      <c r="E51" s="46">
        <f>ChartData!X26</f>
        <v>3.4012987012987009E-2</v>
      </c>
      <c r="F51" s="54">
        <f>ChartData!Y26</f>
        <v>-2.0821233847965392</v>
      </c>
    </row>
    <row r="52" spans="1:6" x14ac:dyDescent="0.25">
      <c r="A52" s="40">
        <f>ChartData!T27</f>
        <v>12.5</v>
      </c>
      <c r="B52" s="46">
        <f>ChartData!U27</f>
        <v>0.35791836103896091</v>
      </c>
      <c r="C52" s="46">
        <f>ChartData!V27</f>
        <v>2.4694044546103897</v>
      </c>
      <c r="D52" s="46">
        <f>ChartData!W27</f>
        <v>2.294805194805195E-2</v>
      </c>
      <c r="E52" s="46">
        <f>ChartData!X27</f>
        <v>2.2467532467532466E-2</v>
      </c>
      <c r="F52" s="54">
        <f>ChartData!Y27</f>
        <v>-2.1110055740909095</v>
      </c>
    </row>
    <row r="53" spans="1:6" x14ac:dyDescent="0.25">
      <c r="A53" s="40">
        <f>ChartData!T28</f>
        <v>13</v>
      </c>
      <c r="B53" s="46">
        <f>ChartData!U28</f>
        <v>0.30579309480519462</v>
      </c>
      <c r="C53" s="46">
        <f>ChartData!V28</f>
        <v>2.4107719553409104</v>
      </c>
      <c r="D53" s="46">
        <f>ChartData!W28</f>
        <v>3.5896103896103898E-2</v>
      </c>
      <c r="E53" s="46">
        <f>ChartData!X28</f>
        <v>4.3467532467532474E-2</v>
      </c>
      <c r="F53" s="54">
        <f>ChartData!Y28</f>
        <v>-2.1125502891071442</v>
      </c>
    </row>
    <row r="54" spans="1:6" x14ac:dyDescent="0.25">
      <c r="A54" s="40">
        <f>ChartData!T29</f>
        <v>13.5</v>
      </c>
      <c r="B54" s="46">
        <f>ChartData!U29</f>
        <v>0.27837458311688307</v>
      </c>
      <c r="C54" s="46">
        <f>ChartData!V29</f>
        <v>2.3213210644848488</v>
      </c>
      <c r="D54" s="46">
        <f>ChartData!W29</f>
        <v>5.2584415584415588E-2</v>
      </c>
      <c r="E54" s="46">
        <f>ChartData!X29</f>
        <v>1.0220779220779221E-2</v>
      </c>
      <c r="F54" s="54">
        <f>ChartData!Y29</f>
        <v>-2.0005828450043293</v>
      </c>
    </row>
    <row r="55" spans="1:6" x14ac:dyDescent="0.25">
      <c r="A55" s="40">
        <f>ChartData!T30</f>
        <v>14</v>
      </c>
      <c r="B55" s="46">
        <f>ChartData!U30</f>
        <v>0.34091844372294361</v>
      </c>
      <c r="C55" s="46">
        <f>ChartData!V30</f>
        <v>2.2145308644058419</v>
      </c>
      <c r="D55" s="46">
        <f>ChartData!W30</f>
        <v>7.8623376623376623E-2</v>
      </c>
      <c r="E55" s="46">
        <f>ChartData!X30</f>
        <v>1.6870129870129872E-2</v>
      </c>
      <c r="F55" s="54">
        <f>ChartData!Y30</f>
        <v>-1.8118591739296517</v>
      </c>
    </row>
    <row r="56" spans="1:6" x14ac:dyDescent="0.25">
      <c r="A56" s="40">
        <f>ChartData!T31</f>
        <v>14.5</v>
      </c>
      <c r="B56" s="46">
        <f>ChartData!U31</f>
        <v>0.32754866623376616</v>
      </c>
      <c r="C56" s="46">
        <f>ChartData!V31</f>
        <v>2.0792120568419916</v>
      </c>
      <c r="D56" s="46">
        <f>ChartData!W31</f>
        <v>5.3415584415584423E-2</v>
      </c>
      <c r="E56" s="46">
        <f>ChartData!X31</f>
        <v>0</v>
      </c>
      <c r="F56" s="54">
        <f>ChartData!Y31</f>
        <v>-1.6982478061926412</v>
      </c>
    </row>
    <row r="57" spans="1:6" x14ac:dyDescent="0.25">
      <c r="A57" s="40">
        <f>ChartData!T32</f>
        <v>15</v>
      </c>
      <c r="B57" s="46">
        <f>ChartData!U32</f>
        <v>0.27066921385281395</v>
      </c>
      <c r="C57" s="46">
        <f>ChartData!V32</f>
        <v>1.935409383418832</v>
      </c>
      <c r="D57" s="46">
        <f>ChartData!W32</f>
        <v>1.5103896103896102E-2</v>
      </c>
      <c r="E57" s="46">
        <f>ChartData!X32</f>
        <v>2.0363636363636365E-2</v>
      </c>
      <c r="F57" s="54">
        <f>ChartData!Y32</f>
        <v>-1.6699999098257583</v>
      </c>
    </row>
    <row r="58" spans="1:6" x14ac:dyDescent="0.25">
      <c r="A58" s="40">
        <f>ChartData!T33</f>
        <v>15.5</v>
      </c>
      <c r="B58" s="46">
        <f>ChartData!U33</f>
        <v>0.30292930995671002</v>
      </c>
      <c r="C58" s="46">
        <f>ChartData!V33</f>
        <v>1.7623617126147204</v>
      </c>
      <c r="D58" s="46">
        <f>ChartData!W33</f>
        <v>2.6493506493506492E-3</v>
      </c>
      <c r="E58" s="46">
        <f>ChartData!X33</f>
        <v>1.8142857142857145E-2</v>
      </c>
      <c r="F58" s="54">
        <f>ChartData!Y33</f>
        <v>-1.474925909151517</v>
      </c>
    </row>
    <row r="59" spans="1:6" x14ac:dyDescent="0.25">
      <c r="A59" s="40">
        <f>ChartData!T34</f>
        <v>16</v>
      </c>
      <c r="B59" s="46">
        <f>ChartData!U34</f>
        <v>0.31358924675324679</v>
      </c>
      <c r="C59" s="46">
        <f>ChartData!V34</f>
        <v>1.5674691972619035</v>
      </c>
      <c r="D59" s="46">
        <f>ChartData!W34</f>
        <v>7.4805194805194816E-3</v>
      </c>
      <c r="E59" s="46">
        <f>ChartData!X34</f>
        <v>8.5844155844155851E-3</v>
      </c>
      <c r="F59" s="54">
        <f>ChartData!Y34</f>
        <v>-1.2549838466125529</v>
      </c>
    </row>
    <row r="60" spans="1:6" x14ac:dyDescent="0.25">
      <c r="A60" s="40">
        <f>ChartData!T35</f>
        <v>16.5</v>
      </c>
      <c r="B60" s="46">
        <f>ChartData!U35</f>
        <v>0.34421677878787899</v>
      </c>
      <c r="C60" s="46">
        <f>ChartData!V35</f>
        <v>1.3321618773625539</v>
      </c>
      <c r="D60" s="46">
        <f>ChartData!W35</f>
        <v>1.8051948051948055E-2</v>
      </c>
      <c r="E60" s="46">
        <f>ChartData!X35</f>
        <v>4.3415584415584414E-2</v>
      </c>
      <c r="F60" s="54">
        <f>ChartData!Y35</f>
        <v>-1.0133087349383112</v>
      </c>
    </row>
    <row r="61" spans="1:6" x14ac:dyDescent="0.25">
      <c r="A61" s="40">
        <f>ChartData!T36</f>
        <v>17</v>
      </c>
      <c r="B61" s="46">
        <f>ChartData!U36</f>
        <v>0.41339084935064951</v>
      </c>
      <c r="C61" s="46">
        <f>ChartData!V36</f>
        <v>1.1119305497781382</v>
      </c>
      <c r="D61" s="46">
        <f>ChartData!W36</f>
        <v>1.7012987012987014E-2</v>
      </c>
      <c r="E61" s="46">
        <f>ChartData!X36</f>
        <v>8.9350649350649361E-2</v>
      </c>
      <c r="F61" s="54">
        <f>ChartData!Y36</f>
        <v>-0.77087736276515106</v>
      </c>
    </row>
    <row r="62" spans="1:6" x14ac:dyDescent="0.25">
      <c r="A62" s="40">
        <f>ChartData!T37</f>
        <v>17.5</v>
      </c>
      <c r="B62" s="46">
        <f>ChartData!U37</f>
        <v>0.37517899567099583</v>
      </c>
      <c r="C62" s="46">
        <f>ChartData!V37</f>
        <v>0.88562919063961099</v>
      </c>
      <c r="D62" s="46">
        <f>ChartData!W37</f>
        <v>2.179220779220779E-2</v>
      </c>
      <c r="E62" s="46">
        <f>ChartData!X37</f>
        <v>7.3077922077922075E-2</v>
      </c>
      <c r="F62" s="54">
        <f>ChartData!Y37</f>
        <v>-0.56173590925432937</v>
      </c>
    </row>
    <row r="63" spans="1:6" x14ac:dyDescent="0.25">
      <c r="A63" s="40">
        <f>ChartData!T38</f>
        <v>18</v>
      </c>
      <c r="B63" s="46">
        <f>ChartData!U38</f>
        <v>0.45408220909090907</v>
      </c>
      <c r="C63" s="46">
        <f>ChartData!V38</f>
        <v>0.66671759079004422</v>
      </c>
      <c r="D63" s="46">
        <f>ChartData!W38</f>
        <v>8.2077922077922073E-3</v>
      </c>
      <c r="E63" s="46">
        <f>ChartData!X38</f>
        <v>0.16349350649350652</v>
      </c>
      <c r="F63" s="54">
        <f>ChartData!Y38</f>
        <v>-0.36792109598484946</v>
      </c>
    </row>
    <row r="64" spans="1:6" x14ac:dyDescent="0.25">
      <c r="A64" s="40">
        <f>ChartData!T39</f>
        <v>18.5</v>
      </c>
      <c r="B64" s="46">
        <f>ChartData!U39</f>
        <v>0.36898482380952391</v>
      </c>
      <c r="C64" s="46">
        <f>ChartData!V39</f>
        <v>0.45565596277597431</v>
      </c>
      <c r="D64" s="46">
        <f>ChartData!W39</f>
        <v>1.0792207792207792E-2</v>
      </c>
      <c r="E64" s="46">
        <f>ChartData!X39</f>
        <v>0.12454545454545454</v>
      </c>
      <c r="F64" s="54">
        <f>ChartData!Y39</f>
        <v>-0.20042438571969715</v>
      </c>
    </row>
    <row r="65" spans="1:6" x14ac:dyDescent="0.25">
      <c r="A65" s="40">
        <f>ChartData!T40</f>
        <v>19</v>
      </c>
      <c r="B65" s="46">
        <f>ChartData!U40</f>
        <v>0.37846490259740262</v>
      </c>
      <c r="C65" s="46">
        <f>ChartData!V40</f>
        <v>0.26607586483982665</v>
      </c>
      <c r="D65" s="46">
        <f>ChartData!W40</f>
        <v>7.9610389610389604E-3</v>
      </c>
      <c r="E65" s="46">
        <f>ChartData!X40</f>
        <v>0.16212987012987015</v>
      </c>
      <c r="F65" s="54">
        <f>ChartData!Y40</f>
        <v>-4.177979341125522E-2</v>
      </c>
    </row>
    <row r="66" spans="1:6" x14ac:dyDescent="0.25">
      <c r="A66" s="40">
        <f>ChartData!T41</f>
        <v>19.5</v>
      </c>
      <c r="B66" s="46">
        <f>ChartData!U41</f>
        <v>0.41067065454545465</v>
      </c>
      <c r="C66" s="46">
        <f>ChartData!V41</f>
        <v>7.7412625061688292E-2</v>
      </c>
      <c r="D66" s="46">
        <f>ChartData!W41</f>
        <v>2.7272727272727274E-4</v>
      </c>
      <c r="E66" s="46">
        <f>ChartData!X41</f>
        <v>0.31418181818181823</v>
      </c>
      <c r="F66" s="54">
        <f>ChartData!Y41</f>
        <v>1.9348938574675401E-2</v>
      </c>
    </row>
    <row r="67" spans="1:6" x14ac:dyDescent="0.25">
      <c r="A67" s="40">
        <f>ChartData!T42</f>
        <v>20</v>
      </c>
      <c r="B67" s="46">
        <f>ChartData!U42</f>
        <v>0.54073347402597383</v>
      </c>
      <c r="C67" s="46">
        <f>ChartData!V42</f>
        <v>1.4277403309523812E-2</v>
      </c>
      <c r="D67" s="46">
        <f>ChartData!W42</f>
        <v>0</v>
      </c>
      <c r="E67" s="46">
        <f>ChartData!X42</f>
        <v>0.51212987012987021</v>
      </c>
      <c r="F67" s="54">
        <f>ChartData!Y42</f>
        <v>1.4326200586579851E-2</v>
      </c>
    </row>
    <row r="68" spans="1:6" x14ac:dyDescent="0.25">
      <c r="A68" s="40">
        <f>ChartData!T43</f>
        <v>20.5</v>
      </c>
      <c r="B68" s="46">
        <f>ChartData!U43</f>
        <v>0.57953029567099534</v>
      </c>
      <c r="C68" s="46">
        <f>ChartData!V43</f>
        <v>0</v>
      </c>
      <c r="D68" s="46">
        <f>ChartData!W43</f>
        <v>0</v>
      </c>
      <c r="E68" s="46">
        <f>ChartData!X43</f>
        <v>0.53601298701298716</v>
      </c>
      <c r="F68" s="54">
        <f>ChartData!Y43</f>
        <v>4.351730865800818E-2</v>
      </c>
    </row>
    <row r="69" spans="1:6" x14ac:dyDescent="0.25">
      <c r="A69" s="40">
        <f>ChartData!T44</f>
        <v>21</v>
      </c>
      <c r="B69" s="46">
        <f>ChartData!U44</f>
        <v>0.56880108874458879</v>
      </c>
      <c r="C69" s="46">
        <f>ChartData!V44</f>
        <v>0</v>
      </c>
      <c r="D69" s="46">
        <f>ChartData!W44</f>
        <v>0</v>
      </c>
      <c r="E69" s="46">
        <f>ChartData!X44</f>
        <v>0.51762337662337643</v>
      </c>
      <c r="F69" s="54">
        <f>ChartData!Y44</f>
        <v>5.117771212121236E-2</v>
      </c>
    </row>
    <row r="70" spans="1:6" x14ac:dyDescent="0.25">
      <c r="A70" s="40">
        <f>ChartData!T45</f>
        <v>21.5</v>
      </c>
      <c r="B70" s="46">
        <f>ChartData!U45</f>
        <v>0.57839648484848483</v>
      </c>
      <c r="C70" s="46">
        <f>ChartData!V45</f>
        <v>0</v>
      </c>
      <c r="D70" s="46">
        <f>ChartData!W45</f>
        <v>0</v>
      </c>
      <c r="E70" s="46">
        <f>ChartData!X45</f>
        <v>0.52020779220779201</v>
      </c>
      <c r="F70" s="54">
        <f>ChartData!Y45</f>
        <v>5.8188692640692818E-2</v>
      </c>
    </row>
    <row r="71" spans="1:6" x14ac:dyDescent="0.25">
      <c r="A71" s="40">
        <f>ChartData!T46</f>
        <v>22</v>
      </c>
      <c r="B71" s="46">
        <f>ChartData!U46</f>
        <v>0.53050938961038996</v>
      </c>
      <c r="C71" s="46">
        <f>ChartData!V46</f>
        <v>0</v>
      </c>
      <c r="D71" s="46">
        <f>ChartData!W46</f>
        <v>0</v>
      </c>
      <c r="E71" s="46">
        <f>ChartData!X46</f>
        <v>0.44796103896103906</v>
      </c>
      <c r="F71" s="54">
        <f>ChartData!Y46</f>
        <v>8.2548350649350899E-2</v>
      </c>
    </row>
    <row r="72" spans="1:6" x14ac:dyDescent="0.25">
      <c r="A72" s="40">
        <f>ChartData!T47</f>
        <v>22.5</v>
      </c>
      <c r="B72" s="46">
        <f>ChartData!U47</f>
        <v>0.4253522424242423</v>
      </c>
      <c r="C72" s="46">
        <f>ChartData!V47</f>
        <v>0</v>
      </c>
      <c r="D72" s="46">
        <f>ChartData!W47</f>
        <v>0</v>
      </c>
      <c r="E72" s="46">
        <f>ChartData!X47</f>
        <v>0.34941558441558446</v>
      </c>
      <c r="F72" s="54">
        <f>ChartData!Y47</f>
        <v>7.5936658008657842E-2</v>
      </c>
    </row>
    <row r="73" spans="1:6" x14ac:dyDescent="0.25">
      <c r="A73" s="40">
        <f>ChartData!T48</f>
        <v>23</v>
      </c>
      <c r="B73" s="46">
        <f>ChartData!U48</f>
        <v>0.37002183549783546</v>
      </c>
      <c r="C73" s="46">
        <f>ChartData!V48</f>
        <v>0</v>
      </c>
      <c r="D73" s="46">
        <f>ChartData!W48</f>
        <v>0</v>
      </c>
      <c r="E73" s="46">
        <f>ChartData!X48</f>
        <v>0.28150649350649343</v>
      </c>
      <c r="F73" s="54">
        <f>ChartData!Y48</f>
        <v>8.8515341991342034E-2</v>
      </c>
    </row>
    <row r="74" spans="1:6" x14ac:dyDescent="0.25">
      <c r="A74" s="41">
        <f>ChartData!T49</f>
        <v>23.5</v>
      </c>
      <c r="B74" s="47">
        <f>ChartData!U49</f>
        <v>0.2843093437229437</v>
      </c>
      <c r="C74" s="47">
        <f>ChartData!V49</f>
        <v>0</v>
      </c>
      <c r="D74" s="47">
        <f>ChartData!W49</f>
        <v>0</v>
      </c>
      <c r="E74" s="47">
        <f>ChartData!X49</f>
        <v>0.21720779220779232</v>
      </c>
      <c r="F74" s="55">
        <f>ChartData!Y49</f>
        <v>6.7101551515151375E-2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4:M84"/>
  <sheetViews>
    <sheetView showGridLines="0" zoomScale="80" zoomScaleNormal="80" workbookViewId="0">
      <selection activeCell="M37" sqref="M37"/>
    </sheetView>
  </sheetViews>
  <sheetFormatPr defaultRowHeight="15" x14ac:dyDescent="0.25"/>
  <cols>
    <col min="1" max="1" width="5.5703125" bestFit="1" customWidth="1"/>
    <col min="2" max="2" width="13.85546875" bestFit="1" customWidth="1"/>
    <col min="3" max="3" width="16.5703125" bestFit="1" customWidth="1"/>
    <col min="4" max="4" width="15.140625" bestFit="1" customWidth="1"/>
    <col min="5" max="5" width="15" bestFit="1" customWidth="1"/>
    <col min="6" max="6" width="11.42578125" bestFit="1" customWidth="1"/>
    <col min="7" max="7" width="15.85546875" bestFit="1" customWidth="1"/>
    <col min="8" max="13" width="13" customWidth="1"/>
  </cols>
  <sheetData>
    <row r="34" spans="1:13" x14ac:dyDescent="0.25">
      <c r="A34" s="90" t="s">
        <v>237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2"/>
    </row>
    <row r="36" spans="1:13" x14ac:dyDescent="0.25">
      <c r="A36" s="37" t="s">
        <v>213</v>
      </c>
      <c r="B36" s="38" t="s">
        <v>231</v>
      </c>
      <c r="C36" s="38" t="s">
        <v>232</v>
      </c>
      <c r="D36" s="38" t="s">
        <v>233</v>
      </c>
      <c r="E36" s="38" t="s">
        <v>234</v>
      </c>
      <c r="F36" s="38" t="s">
        <v>235</v>
      </c>
      <c r="G36" s="39" t="s">
        <v>236</v>
      </c>
    </row>
    <row r="37" spans="1:13" x14ac:dyDescent="0.25">
      <c r="A37" s="40">
        <f>ChartData!AA2</f>
        <v>0</v>
      </c>
      <c r="B37" s="46">
        <f>ChartData!AB2</f>
        <v>0</v>
      </c>
      <c r="C37" s="46">
        <f>ChartData!AC2</f>
        <v>6.24863636363715E-4</v>
      </c>
      <c r="D37" s="46">
        <f>ChartData!AD2</f>
        <v>6.24863636363715E-4</v>
      </c>
      <c r="E37" s="46">
        <f>ChartData!AE2</f>
        <v>0</v>
      </c>
      <c r="F37" s="50">
        <f>ChartData!AF2</f>
        <v>100</v>
      </c>
      <c r="G37" s="48">
        <f>ChartData!AG2</f>
        <v>40</v>
      </c>
    </row>
    <row r="38" spans="1:13" x14ac:dyDescent="0.25">
      <c r="A38" s="40">
        <f>ChartData!AA3</f>
        <v>0.5</v>
      </c>
      <c r="B38" s="46">
        <f>ChartData!AB3</f>
        <v>0</v>
      </c>
      <c r="C38" s="46">
        <f>ChartData!AC3</f>
        <v>1.9169774891775182E-3</v>
      </c>
      <c r="D38" s="46">
        <f>ChartData!AD3</f>
        <v>1.9169774891775182E-3</v>
      </c>
      <c r="E38" s="46">
        <f>ChartData!AE3</f>
        <v>0</v>
      </c>
      <c r="F38" s="50">
        <f>ChartData!AF3</f>
        <v>100</v>
      </c>
      <c r="G38" s="48">
        <f>ChartData!AG3</f>
        <v>36.573880519480525</v>
      </c>
    </row>
    <row r="39" spans="1:13" x14ac:dyDescent="0.25">
      <c r="A39" s="40">
        <f>ChartData!AA4</f>
        <v>1</v>
      </c>
      <c r="B39" s="46">
        <f>ChartData!AB4</f>
        <v>0</v>
      </c>
      <c r="C39" s="46">
        <f>ChartData!AC4</f>
        <v>1.7353116883117164E-3</v>
      </c>
      <c r="D39" s="46">
        <f>ChartData!AD4</f>
        <v>1.7353116883117164E-3</v>
      </c>
      <c r="E39" s="46">
        <f>ChartData!AE4</f>
        <v>0</v>
      </c>
      <c r="F39" s="50">
        <f>ChartData!AF4</f>
        <v>100</v>
      </c>
      <c r="G39" s="48">
        <f>ChartData!AG4</f>
        <v>34.364816883116895</v>
      </c>
    </row>
    <row r="40" spans="1:13" x14ac:dyDescent="0.25">
      <c r="A40" s="40">
        <f>ChartData!AA5</f>
        <v>1.5</v>
      </c>
      <c r="B40" s="46">
        <f>ChartData!AB5</f>
        <v>0</v>
      </c>
      <c r="C40" s="46">
        <f>ChartData!AC5</f>
        <v>2.6181549783549363E-3</v>
      </c>
      <c r="D40" s="46">
        <f>ChartData!AD5</f>
        <v>2.6181549783549363E-3</v>
      </c>
      <c r="E40" s="46">
        <f>ChartData!AE5</f>
        <v>0</v>
      </c>
      <c r="F40" s="50">
        <f>ChartData!AF5</f>
        <v>100</v>
      </c>
      <c r="G40" s="48">
        <f>ChartData!AG5</f>
        <v>32.808424675324666</v>
      </c>
    </row>
    <row r="41" spans="1:13" x14ac:dyDescent="0.25">
      <c r="A41" s="40">
        <f>ChartData!AA6</f>
        <v>2</v>
      </c>
      <c r="B41" s="46">
        <f>ChartData!AB6</f>
        <v>0</v>
      </c>
      <c r="C41" s="46">
        <f>ChartData!AC6</f>
        <v>4.8003160173160503E-3</v>
      </c>
      <c r="D41" s="46">
        <f>ChartData!AD6</f>
        <v>4.8003160173160503E-3</v>
      </c>
      <c r="E41" s="46">
        <f>ChartData!AE6</f>
        <v>0</v>
      </c>
      <c r="F41" s="50">
        <f>ChartData!AF6</f>
        <v>100</v>
      </c>
      <c r="G41" s="48">
        <f>ChartData!AG6</f>
        <v>31.061216883116892</v>
      </c>
    </row>
    <row r="42" spans="1:13" x14ac:dyDescent="0.25">
      <c r="A42" s="40">
        <f>ChartData!AA7</f>
        <v>2.5</v>
      </c>
      <c r="B42" s="46">
        <f>ChartData!AB7</f>
        <v>0</v>
      </c>
      <c r="C42" s="46">
        <f>ChartData!AC7</f>
        <v>3.2836787878789409E-3</v>
      </c>
      <c r="D42" s="46">
        <f>ChartData!AD7</f>
        <v>3.2836787878789409E-3</v>
      </c>
      <c r="E42" s="46">
        <f>ChartData!AE7</f>
        <v>0</v>
      </c>
      <c r="F42" s="50">
        <f>ChartData!AF7</f>
        <v>100</v>
      </c>
      <c r="G42" s="48">
        <f>ChartData!AG7</f>
        <v>29.7866909090909</v>
      </c>
    </row>
    <row r="43" spans="1:13" x14ac:dyDescent="0.25">
      <c r="A43" s="40">
        <f>ChartData!AA8</f>
        <v>3</v>
      </c>
      <c r="B43" s="46">
        <f>ChartData!AB8</f>
        <v>0</v>
      </c>
      <c r="C43" s="46">
        <f>ChartData!AC8</f>
        <v>5.6018441558441656E-3</v>
      </c>
      <c r="D43" s="46">
        <f>ChartData!AD8</f>
        <v>5.6018441558441656E-3</v>
      </c>
      <c r="E43" s="46">
        <f>ChartData!AE8</f>
        <v>0</v>
      </c>
      <c r="F43" s="50">
        <f>ChartData!AF8</f>
        <v>100</v>
      </c>
      <c r="G43" s="48">
        <f>ChartData!AG8</f>
        <v>28.265666233766233</v>
      </c>
    </row>
    <row r="44" spans="1:13" x14ac:dyDescent="0.25">
      <c r="A44" s="40">
        <f>ChartData!AA9</f>
        <v>3.5</v>
      </c>
      <c r="B44" s="46">
        <f>ChartData!AB9</f>
        <v>0</v>
      </c>
      <c r="C44" s="46">
        <f>ChartData!AC9</f>
        <v>5.3688957640693064E-3</v>
      </c>
      <c r="D44" s="46">
        <f>ChartData!AD9</f>
        <v>5.3688957640693064E-3</v>
      </c>
      <c r="E44" s="46">
        <f>ChartData!AE9</f>
        <v>0</v>
      </c>
      <c r="F44" s="50">
        <f>ChartData!AF9</f>
        <v>100</v>
      </c>
      <c r="G44" s="48">
        <f>ChartData!AG9</f>
        <v>26.67901688311688</v>
      </c>
    </row>
    <row r="45" spans="1:13" x14ac:dyDescent="0.25">
      <c r="A45" s="40">
        <f>ChartData!AA10</f>
        <v>4</v>
      </c>
      <c r="B45" s="46">
        <f>ChartData!AB10</f>
        <v>0</v>
      </c>
      <c r="C45" s="46">
        <f>ChartData!AC10</f>
        <v>6.4570078311689816E-3</v>
      </c>
      <c r="D45" s="46">
        <f>ChartData!AD10</f>
        <v>6.4570078311689816E-3</v>
      </c>
      <c r="E45" s="46">
        <f>ChartData!AE10</f>
        <v>0</v>
      </c>
      <c r="F45" s="50">
        <f>ChartData!AF10</f>
        <v>100</v>
      </c>
      <c r="G45" s="48">
        <f>ChartData!AG10</f>
        <v>25.494477922077916</v>
      </c>
    </row>
    <row r="46" spans="1:13" x14ac:dyDescent="0.25">
      <c r="A46" s="40">
        <f>ChartData!AA11</f>
        <v>4.5</v>
      </c>
      <c r="B46" s="46">
        <f>ChartData!AB11</f>
        <v>0</v>
      </c>
      <c r="C46" s="46">
        <f>ChartData!AC11</f>
        <v>-2.9369514069361308E-5</v>
      </c>
      <c r="D46" s="46">
        <f>ChartData!AD11</f>
        <v>0</v>
      </c>
      <c r="E46" s="46">
        <f>ChartData!AE11</f>
        <v>-2.9369514069361308E-5</v>
      </c>
      <c r="F46" s="50">
        <f>ChartData!AF11</f>
        <v>100</v>
      </c>
      <c r="G46" s="48">
        <f>ChartData!AG11</f>
        <v>24.396470129870128</v>
      </c>
    </row>
    <row r="47" spans="1:13" x14ac:dyDescent="0.25">
      <c r="A47" s="40">
        <f>ChartData!AA12</f>
        <v>5</v>
      </c>
      <c r="B47" s="46">
        <f>ChartData!AB12</f>
        <v>0</v>
      </c>
      <c r="C47" s="46">
        <f>ChartData!AC12</f>
        <v>6.6844846536690677E-4</v>
      </c>
      <c r="D47" s="46">
        <f>ChartData!AD12</f>
        <v>6.6844846536690677E-4</v>
      </c>
      <c r="E47" s="46">
        <f>ChartData!AE12</f>
        <v>0</v>
      </c>
      <c r="F47" s="50">
        <f>ChartData!AF12</f>
        <v>100</v>
      </c>
      <c r="G47" s="48">
        <f>ChartData!AG12</f>
        <v>24.946828571428572</v>
      </c>
    </row>
    <row r="48" spans="1:13" x14ac:dyDescent="0.25">
      <c r="A48" s="40">
        <f>ChartData!AA13</f>
        <v>5.5</v>
      </c>
      <c r="B48" s="46">
        <f>ChartData!AB13</f>
        <v>0</v>
      </c>
      <c r="C48" s="46">
        <f>ChartData!AC13</f>
        <v>3.6063922078805695E-5</v>
      </c>
      <c r="D48" s="46">
        <f>ChartData!AD13</f>
        <v>3.6063922078805695E-5</v>
      </c>
      <c r="E48" s="46">
        <f>ChartData!AE13</f>
        <v>0</v>
      </c>
      <c r="F48" s="50">
        <f>ChartData!AF13</f>
        <v>100</v>
      </c>
      <c r="G48" s="48">
        <f>ChartData!AG13</f>
        <v>27.486579220779216</v>
      </c>
    </row>
    <row r="49" spans="1:7" x14ac:dyDescent="0.25">
      <c r="A49" s="40">
        <f>ChartData!AA14</f>
        <v>6</v>
      </c>
      <c r="B49" s="46">
        <f>ChartData!AB14</f>
        <v>0</v>
      </c>
      <c r="C49" s="46">
        <f>ChartData!AC14</f>
        <v>4.8331812769752958E-5</v>
      </c>
      <c r="D49" s="46">
        <f>ChartData!AD14</f>
        <v>4.8331812769752958E-5</v>
      </c>
      <c r="E49" s="46">
        <f>ChartData!AE14</f>
        <v>0</v>
      </c>
      <c r="F49" s="50">
        <f>ChartData!AF14</f>
        <v>100</v>
      </c>
      <c r="G49" s="48">
        <f>ChartData!AG14</f>
        <v>32.120254545454557</v>
      </c>
    </row>
    <row r="50" spans="1:7" x14ac:dyDescent="0.25">
      <c r="A50" s="40">
        <f>ChartData!AA15</f>
        <v>6.5</v>
      </c>
      <c r="B50" s="46">
        <f>ChartData!AB15</f>
        <v>0</v>
      </c>
      <c r="C50" s="46">
        <f>ChartData!AC15</f>
        <v>4.3145603897197515E-5</v>
      </c>
      <c r="D50" s="46">
        <f>ChartData!AD15</f>
        <v>4.3145603897197515E-5</v>
      </c>
      <c r="E50" s="46">
        <f>ChartData!AE15</f>
        <v>0</v>
      </c>
      <c r="F50" s="50">
        <f>ChartData!AF15</f>
        <v>100</v>
      </c>
      <c r="G50" s="48">
        <f>ChartData!AG15</f>
        <v>39.255199999999995</v>
      </c>
    </row>
    <row r="51" spans="1:7" x14ac:dyDescent="0.25">
      <c r="A51" s="40">
        <f>ChartData!AA16</f>
        <v>7</v>
      </c>
      <c r="B51" s="46">
        <f>ChartData!AB16</f>
        <v>0</v>
      </c>
      <c r="C51" s="46">
        <f>ChartData!AC16</f>
        <v>2.3313767315864126E-5</v>
      </c>
      <c r="D51" s="46">
        <f>ChartData!AD16</f>
        <v>2.3313767315864126E-5</v>
      </c>
      <c r="E51" s="46">
        <f>ChartData!AE16</f>
        <v>0</v>
      </c>
      <c r="F51" s="50">
        <f>ChartData!AF16</f>
        <v>100</v>
      </c>
      <c r="G51" s="48">
        <f>ChartData!AG16</f>
        <v>48.309303896103891</v>
      </c>
    </row>
    <row r="52" spans="1:7" x14ac:dyDescent="0.25">
      <c r="A52" s="40">
        <f>ChartData!AA17</f>
        <v>7.5</v>
      </c>
      <c r="B52" s="46">
        <f>ChartData!AB17</f>
        <v>0</v>
      </c>
      <c r="C52" s="46">
        <f>ChartData!AC17</f>
        <v>-7.1464112418830564E-2</v>
      </c>
      <c r="D52" s="46">
        <f>ChartData!AD17</f>
        <v>0</v>
      </c>
      <c r="E52" s="46">
        <f>ChartData!AE17</f>
        <v>-7.1464112418830564E-2</v>
      </c>
      <c r="F52" s="50">
        <f>ChartData!AF17</f>
        <v>100</v>
      </c>
      <c r="G52" s="48">
        <f>ChartData!AG17</f>
        <v>60.158535064935066</v>
      </c>
    </row>
    <row r="53" spans="1:7" x14ac:dyDescent="0.25">
      <c r="A53" s="40">
        <f>ChartData!AA18</f>
        <v>8</v>
      </c>
      <c r="B53" s="46">
        <f>ChartData!AB18</f>
        <v>0</v>
      </c>
      <c r="C53" s="46">
        <f>ChartData!AC18</f>
        <v>-0.57564057591233897</v>
      </c>
      <c r="D53" s="46">
        <f>ChartData!AD18</f>
        <v>0</v>
      </c>
      <c r="E53" s="46">
        <f>ChartData!AE18</f>
        <v>-0.57564057591233897</v>
      </c>
      <c r="F53" s="50">
        <f>ChartData!AF18</f>
        <v>100</v>
      </c>
      <c r="G53" s="48">
        <f>ChartData!AG18</f>
        <v>73.156985714285739</v>
      </c>
    </row>
    <row r="54" spans="1:7" x14ac:dyDescent="0.25">
      <c r="A54" s="40">
        <f>ChartData!AA19</f>
        <v>8.5</v>
      </c>
      <c r="B54" s="46">
        <f>ChartData!AB19</f>
        <v>0</v>
      </c>
      <c r="C54" s="46">
        <f>ChartData!AC19</f>
        <v>-0.93423942746536648</v>
      </c>
      <c r="D54" s="46">
        <f>ChartData!AD19</f>
        <v>0</v>
      </c>
      <c r="E54" s="46">
        <f>ChartData!AE19</f>
        <v>-0.93423942746536648</v>
      </c>
      <c r="F54" s="50">
        <f>ChartData!AF19</f>
        <v>100</v>
      </c>
      <c r="G54" s="48">
        <f>ChartData!AG19</f>
        <v>82.415048051948077</v>
      </c>
    </row>
    <row r="55" spans="1:7" x14ac:dyDescent="0.25">
      <c r="A55" s="40">
        <f>ChartData!AA20</f>
        <v>9</v>
      </c>
      <c r="B55" s="46">
        <f>ChartData!AB20</f>
        <v>0</v>
      </c>
      <c r="C55" s="46">
        <f>ChartData!AC20</f>
        <v>-1.2803331828787889</v>
      </c>
      <c r="D55" s="46">
        <f>ChartData!AD20</f>
        <v>0</v>
      </c>
      <c r="E55" s="46">
        <f>ChartData!AE20</f>
        <v>-1.2803331828787889</v>
      </c>
      <c r="F55" s="50">
        <f>ChartData!AF20</f>
        <v>100</v>
      </c>
      <c r="G55" s="48">
        <f>ChartData!AG20</f>
        <v>87.685548051948061</v>
      </c>
    </row>
    <row r="56" spans="1:7" x14ac:dyDescent="0.25">
      <c r="A56" s="40">
        <f>ChartData!AA21</f>
        <v>9.5</v>
      </c>
      <c r="B56" s="46">
        <f>ChartData!AB21</f>
        <v>0</v>
      </c>
      <c r="C56" s="46">
        <f>ChartData!AC21</f>
        <v>-1.5453660251017296</v>
      </c>
      <c r="D56" s="46">
        <f>ChartData!AD21</f>
        <v>0</v>
      </c>
      <c r="E56" s="46">
        <f>ChartData!AE21</f>
        <v>-1.5453660251017296</v>
      </c>
      <c r="F56" s="50">
        <f>ChartData!AF21</f>
        <v>100</v>
      </c>
      <c r="G56" s="48">
        <f>ChartData!AG21</f>
        <v>91.442580519480543</v>
      </c>
    </row>
    <row r="57" spans="1:7" x14ac:dyDescent="0.25">
      <c r="A57" s="40">
        <f>ChartData!AA22</f>
        <v>10</v>
      </c>
      <c r="B57" s="46">
        <f>ChartData!AB22</f>
        <v>0</v>
      </c>
      <c r="C57" s="46">
        <f>ChartData!AC22</f>
        <v>-1.7389046418798704</v>
      </c>
      <c r="D57" s="46">
        <f>ChartData!AD22</f>
        <v>0</v>
      </c>
      <c r="E57" s="46">
        <f>ChartData!AE22</f>
        <v>-1.7389046418798704</v>
      </c>
      <c r="F57" s="50">
        <f>ChartData!AF22</f>
        <v>100</v>
      </c>
      <c r="G57" s="48">
        <f>ChartData!AG22</f>
        <v>94.010220779220774</v>
      </c>
    </row>
    <row r="58" spans="1:7" x14ac:dyDescent="0.25">
      <c r="A58" s="40">
        <f>ChartData!AA23</f>
        <v>10.5</v>
      </c>
      <c r="B58" s="46">
        <f>ChartData!AB23</f>
        <v>0</v>
      </c>
      <c r="C58" s="46">
        <f>ChartData!AC23</f>
        <v>-1.8872785316028131</v>
      </c>
      <c r="D58" s="46">
        <f>ChartData!AD23</f>
        <v>0</v>
      </c>
      <c r="E58" s="46">
        <f>ChartData!AE23</f>
        <v>-1.8872785316028131</v>
      </c>
      <c r="F58" s="50">
        <f>ChartData!AF23</f>
        <v>100</v>
      </c>
      <c r="G58" s="48">
        <f>ChartData!AG23</f>
        <v>95.438800000000001</v>
      </c>
    </row>
    <row r="59" spans="1:7" x14ac:dyDescent="0.25">
      <c r="A59" s="40">
        <f>ChartData!AA24</f>
        <v>11</v>
      </c>
      <c r="B59" s="46">
        <f>ChartData!AB24</f>
        <v>0</v>
      </c>
      <c r="C59" s="46">
        <f>ChartData!AC24</f>
        <v>-1.9435525163582255</v>
      </c>
      <c r="D59" s="46">
        <f>ChartData!AD24</f>
        <v>0</v>
      </c>
      <c r="E59" s="46">
        <f>ChartData!AE24</f>
        <v>-1.9435525163582255</v>
      </c>
      <c r="F59" s="50">
        <f>ChartData!AF24</f>
        <v>100</v>
      </c>
      <c r="G59" s="48">
        <f>ChartData!AG24</f>
        <v>96.5696948051948</v>
      </c>
    </row>
    <row r="60" spans="1:7" x14ac:dyDescent="0.25">
      <c r="A60" s="40">
        <f>ChartData!AA25</f>
        <v>11.5</v>
      </c>
      <c r="B60" s="46">
        <f>ChartData!AB25</f>
        <v>0</v>
      </c>
      <c r="C60" s="46">
        <f>ChartData!AC25</f>
        <v>-1.9992191685324681</v>
      </c>
      <c r="D60" s="46">
        <f>ChartData!AD25</f>
        <v>0</v>
      </c>
      <c r="E60" s="46">
        <f>ChartData!AE25</f>
        <v>-1.9992191685324681</v>
      </c>
      <c r="F60" s="50">
        <f>ChartData!AF25</f>
        <v>100</v>
      </c>
      <c r="G60" s="48">
        <f>ChartData!AG25</f>
        <v>97.860992207792194</v>
      </c>
    </row>
    <row r="61" spans="1:7" x14ac:dyDescent="0.25">
      <c r="A61" s="40">
        <f>ChartData!AA26</f>
        <v>12</v>
      </c>
      <c r="B61" s="46">
        <f>ChartData!AB26</f>
        <v>0</v>
      </c>
      <c r="C61" s="46">
        <f>ChartData!AC26</f>
        <v>-2.0821233847965392</v>
      </c>
      <c r="D61" s="46">
        <f>ChartData!AD26</f>
        <v>0</v>
      </c>
      <c r="E61" s="46">
        <f>ChartData!AE26</f>
        <v>-2.0821233847965392</v>
      </c>
      <c r="F61" s="50">
        <f>ChartData!AF26</f>
        <v>100</v>
      </c>
      <c r="G61" s="48">
        <f>ChartData!AG26</f>
        <v>98.086123376623391</v>
      </c>
    </row>
    <row r="62" spans="1:7" x14ac:dyDescent="0.25">
      <c r="A62" s="40">
        <f>ChartData!AA27</f>
        <v>12.5</v>
      </c>
      <c r="B62" s="46">
        <f>ChartData!AB27</f>
        <v>0</v>
      </c>
      <c r="C62" s="46">
        <f>ChartData!AC27</f>
        <v>-2.1110055740909095</v>
      </c>
      <c r="D62" s="46">
        <f>ChartData!AD27</f>
        <v>0</v>
      </c>
      <c r="E62" s="46">
        <f>ChartData!AE27</f>
        <v>-2.1110055740909095</v>
      </c>
      <c r="F62" s="50">
        <f>ChartData!AF27</f>
        <v>100</v>
      </c>
      <c r="G62" s="48">
        <f>ChartData!AG27</f>
        <v>98.222411688311681</v>
      </c>
    </row>
    <row r="63" spans="1:7" x14ac:dyDescent="0.25">
      <c r="A63" s="40">
        <f>ChartData!AA28</f>
        <v>13</v>
      </c>
      <c r="B63" s="46">
        <f>ChartData!AB28</f>
        <v>0</v>
      </c>
      <c r="C63" s="46">
        <f>ChartData!AC28</f>
        <v>-2.1125502891071442</v>
      </c>
      <c r="D63" s="46">
        <f>ChartData!AD28</f>
        <v>0</v>
      </c>
      <c r="E63" s="46">
        <f>ChartData!AE28</f>
        <v>-2.1125502891071442</v>
      </c>
      <c r="F63" s="50">
        <f>ChartData!AF28</f>
        <v>100</v>
      </c>
      <c r="G63" s="48">
        <f>ChartData!AG28</f>
        <v>98.199619480519488</v>
      </c>
    </row>
    <row r="64" spans="1:7" x14ac:dyDescent="0.25">
      <c r="A64" s="40">
        <f>ChartData!AA29</f>
        <v>13.5</v>
      </c>
      <c r="B64" s="46">
        <f>ChartData!AB29</f>
        <v>0</v>
      </c>
      <c r="C64" s="46">
        <f>ChartData!AC29</f>
        <v>-2.0005828450043293</v>
      </c>
      <c r="D64" s="46">
        <f>ChartData!AD29</f>
        <v>0</v>
      </c>
      <c r="E64" s="46">
        <f>ChartData!AE29</f>
        <v>-2.0005828450043293</v>
      </c>
      <c r="F64" s="50">
        <f>ChartData!AF29</f>
        <v>100</v>
      </c>
      <c r="G64" s="48">
        <f>ChartData!AG29</f>
        <v>98.059544155844165</v>
      </c>
    </row>
    <row r="65" spans="1:7" x14ac:dyDescent="0.25">
      <c r="A65" s="40">
        <f>ChartData!AA30</f>
        <v>14</v>
      </c>
      <c r="B65" s="46">
        <f>ChartData!AB30</f>
        <v>0</v>
      </c>
      <c r="C65" s="46">
        <f>ChartData!AC30</f>
        <v>-1.8118591739296517</v>
      </c>
      <c r="D65" s="46">
        <f>ChartData!AD30</f>
        <v>0</v>
      </c>
      <c r="E65" s="46">
        <f>ChartData!AE30</f>
        <v>-1.8118591739296517</v>
      </c>
      <c r="F65" s="50">
        <f>ChartData!AF30</f>
        <v>100</v>
      </c>
      <c r="G65" s="48">
        <f>ChartData!AG30</f>
        <v>98.525183116883099</v>
      </c>
    </row>
    <row r="66" spans="1:7" x14ac:dyDescent="0.25">
      <c r="A66" s="40">
        <f>ChartData!AA31</f>
        <v>14.5</v>
      </c>
      <c r="B66" s="46">
        <f>ChartData!AB31</f>
        <v>0</v>
      </c>
      <c r="C66" s="46">
        <f>ChartData!AC31</f>
        <v>-1.6982478061926412</v>
      </c>
      <c r="D66" s="46">
        <f>ChartData!AD31</f>
        <v>0</v>
      </c>
      <c r="E66" s="46">
        <f>ChartData!AE31</f>
        <v>-1.6982478061926412</v>
      </c>
      <c r="F66" s="50">
        <f>ChartData!AF31</f>
        <v>100</v>
      </c>
      <c r="G66" s="48">
        <f>ChartData!AG31</f>
        <v>99.201398701298686</v>
      </c>
    </row>
    <row r="67" spans="1:7" x14ac:dyDescent="0.25">
      <c r="A67" s="40">
        <f>ChartData!AA32</f>
        <v>15</v>
      </c>
      <c r="B67" s="46">
        <f>ChartData!AB32</f>
        <v>0</v>
      </c>
      <c r="C67" s="46">
        <f>ChartData!AC32</f>
        <v>-1.6699999098257583</v>
      </c>
      <c r="D67" s="46">
        <f>ChartData!AD32</f>
        <v>0</v>
      </c>
      <c r="E67" s="46">
        <f>ChartData!AE32</f>
        <v>-1.6699999098257583</v>
      </c>
      <c r="F67" s="50">
        <f>ChartData!AF32</f>
        <v>100</v>
      </c>
      <c r="G67" s="48">
        <f>ChartData!AG32</f>
        <v>99.804535064935067</v>
      </c>
    </row>
    <row r="68" spans="1:7" x14ac:dyDescent="0.25">
      <c r="A68" s="40">
        <f>ChartData!AA33</f>
        <v>15.5</v>
      </c>
      <c r="B68" s="46">
        <f>ChartData!AB33</f>
        <v>0</v>
      </c>
      <c r="C68" s="46">
        <f>ChartData!AC33</f>
        <v>-1.474925909151517</v>
      </c>
      <c r="D68" s="46">
        <f>ChartData!AD33</f>
        <v>0</v>
      </c>
      <c r="E68" s="46">
        <f>ChartData!AE33</f>
        <v>-1.474925909151517</v>
      </c>
      <c r="F68" s="50">
        <f>ChartData!AF33</f>
        <v>100</v>
      </c>
      <c r="G68" s="48">
        <f>ChartData!AG33</f>
        <v>99.719503896103888</v>
      </c>
    </row>
    <row r="69" spans="1:7" x14ac:dyDescent="0.25">
      <c r="A69" s="40">
        <f>ChartData!AA34</f>
        <v>16</v>
      </c>
      <c r="B69" s="46">
        <f>ChartData!AB34</f>
        <v>0</v>
      </c>
      <c r="C69" s="46">
        <f>ChartData!AC34</f>
        <v>-1.2549838466125529</v>
      </c>
      <c r="D69" s="46">
        <f>ChartData!AD34</f>
        <v>0</v>
      </c>
      <c r="E69" s="46">
        <f>ChartData!AE34</f>
        <v>-1.2549838466125529</v>
      </c>
      <c r="F69" s="50">
        <f>ChartData!AF34</f>
        <v>100</v>
      </c>
      <c r="G69" s="48">
        <f>ChartData!AG34</f>
        <v>99.52173636363635</v>
      </c>
    </row>
    <row r="70" spans="1:7" x14ac:dyDescent="0.25">
      <c r="A70" s="40">
        <f>ChartData!AA35</f>
        <v>16.5</v>
      </c>
      <c r="B70" s="46">
        <f>ChartData!AB35</f>
        <v>0</v>
      </c>
      <c r="C70" s="46">
        <f>ChartData!AC35</f>
        <v>-1.0133087349383112</v>
      </c>
      <c r="D70" s="46">
        <f>ChartData!AD35</f>
        <v>0</v>
      </c>
      <c r="E70" s="46">
        <f>ChartData!AE35</f>
        <v>-1.0133087349383112</v>
      </c>
      <c r="F70" s="50">
        <f>ChartData!AF35</f>
        <v>100</v>
      </c>
      <c r="G70" s="48">
        <f>ChartData!AG35</f>
        <v>99.498601298701288</v>
      </c>
    </row>
    <row r="71" spans="1:7" x14ac:dyDescent="0.25">
      <c r="A71" s="40">
        <f>ChartData!AA36</f>
        <v>17</v>
      </c>
      <c r="B71" s="46">
        <f>ChartData!AB36</f>
        <v>0</v>
      </c>
      <c r="C71" s="46">
        <f>ChartData!AC36</f>
        <v>-0.77087736276515106</v>
      </c>
      <c r="D71" s="46">
        <f>ChartData!AD36</f>
        <v>0</v>
      </c>
      <c r="E71" s="46">
        <f>ChartData!AE36</f>
        <v>-0.77087736276515106</v>
      </c>
      <c r="F71" s="50">
        <f>ChartData!AF36</f>
        <v>100</v>
      </c>
      <c r="G71" s="48">
        <f>ChartData!AG36</f>
        <v>99.157610389610383</v>
      </c>
    </row>
    <row r="72" spans="1:7" x14ac:dyDescent="0.25">
      <c r="A72" s="40">
        <f>ChartData!AA37</f>
        <v>17.5</v>
      </c>
      <c r="B72" s="46">
        <f>ChartData!AB37</f>
        <v>0</v>
      </c>
      <c r="C72" s="46">
        <f>ChartData!AC37</f>
        <v>-0.56173590925432937</v>
      </c>
      <c r="D72" s="46">
        <f>ChartData!AD37</f>
        <v>0</v>
      </c>
      <c r="E72" s="46">
        <f>ChartData!AE37</f>
        <v>-0.56173590925432937</v>
      </c>
      <c r="F72" s="50">
        <f>ChartData!AF37</f>
        <v>100</v>
      </c>
      <c r="G72" s="48">
        <f>ChartData!AG37</f>
        <v>98.228785714285706</v>
      </c>
    </row>
    <row r="73" spans="1:7" x14ac:dyDescent="0.25">
      <c r="A73" s="40">
        <f>ChartData!AA38</f>
        <v>18</v>
      </c>
      <c r="B73" s="46">
        <f>ChartData!AB38</f>
        <v>0</v>
      </c>
      <c r="C73" s="46">
        <f>ChartData!AC38</f>
        <v>-0.36792109598484946</v>
      </c>
      <c r="D73" s="46">
        <f>ChartData!AD38</f>
        <v>0</v>
      </c>
      <c r="E73" s="46">
        <f>ChartData!AE38</f>
        <v>-0.36792109598484946</v>
      </c>
      <c r="F73" s="50">
        <f>ChartData!AF38</f>
        <v>100</v>
      </c>
      <c r="G73" s="48">
        <f>ChartData!AG38</f>
        <v>97.557605194805205</v>
      </c>
    </row>
    <row r="74" spans="1:7" x14ac:dyDescent="0.25">
      <c r="A74" s="40">
        <f>ChartData!AA39</f>
        <v>18.5</v>
      </c>
      <c r="B74" s="46">
        <f>ChartData!AB39</f>
        <v>0</v>
      </c>
      <c r="C74" s="46">
        <f>ChartData!AC39</f>
        <v>-0.20042438571969715</v>
      </c>
      <c r="D74" s="46">
        <f>ChartData!AD39</f>
        <v>0</v>
      </c>
      <c r="E74" s="46">
        <f>ChartData!AE39</f>
        <v>-0.20042438571969715</v>
      </c>
      <c r="F74" s="50">
        <f>ChartData!AF39</f>
        <v>100</v>
      </c>
      <c r="G74" s="48">
        <f>ChartData!AG39</f>
        <v>95.599067532467515</v>
      </c>
    </row>
    <row r="75" spans="1:7" x14ac:dyDescent="0.25">
      <c r="A75" s="40">
        <f>ChartData!AA40</f>
        <v>19</v>
      </c>
      <c r="B75" s="46">
        <f>ChartData!AB40</f>
        <v>0</v>
      </c>
      <c r="C75" s="46">
        <f>ChartData!AC40</f>
        <v>-4.177979341125522E-2</v>
      </c>
      <c r="D75" s="46">
        <f>ChartData!AD40</f>
        <v>0</v>
      </c>
      <c r="E75" s="46">
        <f>ChartData!AE40</f>
        <v>-4.177979341125522E-2</v>
      </c>
      <c r="F75" s="50">
        <f>ChartData!AF40</f>
        <v>100</v>
      </c>
      <c r="G75" s="48">
        <f>ChartData!AG40</f>
        <v>94.158225974025996</v>
      </c>
    </row>
    <row r="76" spans="1:7" x14ac:dyDescent="0.25">
      <c r="A76" s="40">
        <f>ChartData!AA41</f>
        <v>19.5</v>
      </c>
      <c r="B76" s="46">
        <f>ChartData!AB41</f>
        <v>0</v>
      </c>
      <c r="C76" s="46">
        <f>ChartData!AC41</f>
        <v>1.9348938574675401E-2</v>
      </c>
      <c r="D76" s="46">
        <f>ChartData!AD41</f>
        <v>1.9348938574675401E-2</v>
      </c>
      <c r="E76" s="46">
        <f>ChartData!AE41</f>
        <v>0</v>
      </c>
      <c r="F76" s="50">
        <f>ChartData!AF41</f>
        <v>100</v>
      </c>
      <c r="G76" s="48">
        <f>ChartData!AG41</f>
        <v>92.214076623376599</v>
      </c>
    </row>
    <row r="77" spans="1:7" x14ac:dyDescent="0.25">
      <c r="A77" s="40">
        <f>ChartData!AA42</f>
        <v>20</v>
      </c>
      <c r="B77" s="46">
        <f>ChartData!AB42</f>
        <v>0</v>
      </c>
      <c r="C77" s="46">
        <f>ChartData!AC42</f>
        <v>1.4326200586579851E-2</v>
      </c>
      <c r="D77" s="46">
        <f>ChartData!AD42</f>
        <v>1.4326200586579851E-2</v>
      </c>
      <c r="E77" s="46">
        <f>ChartData!AE42</f>
        <v>0</v>
      </c>
      <c r="F77" s="50">
        <f>ChartData!AF42</f>
        <v>100</v>
      </c>
      <c r="G77" s="48">
        <f>ChartData!AG42</f>
        <v>88.273620779220778</v>
      </c>
    </row>
    <row r="78" spans="1:7" x14ac:dyDescent="0.25">
      <c r="A78" s="40">
        <f>ChartData!AA43</f>
        <v>20.5</v>
      </c>
      <c r="B78" s="46">
        <f>ChartData!AB43</f>
        <v>0</v>
      </c>
      <c r="C78" s="46">
        <f>ChartData!AC43</f>
        <v>4.351730865800818E-2</v>
      </c>
      <c r="D78" s="46">
        <f>ChartData!AD43</f>
        <v>4.351730865800818E-2</v>
      </c>
      <c r="E78" s="46">
        <f>ChartData!AE43</f>
        <v>0</v>
      </c>
      <c r="F78" s="50">
        <f>ChartData!AF43</f>
        <v>100</v>
      </c>
      <c r="G78" s="48">
        <f>ChartData!AG43</f>
        <v>81.847402597402564</v>
      </c>
    </row>
    <row r="79" spans="1:7" x14ac:dyDescent="0.25">
      <c r="A79" s="40">
        <f>ChartData!AA44</f>
        <v>21</v>
      </c>
      <c r="B79" s="46">
        <f>ChartData!AB44</f>
        <v>0</v>
      </c>
      <c r="C79" s="46">
        <f>ChartData!AC44</f>
        <v>5.117771212121236E-2</v>
      </c>
      <c r="D79" s="46">
        <f>ChartData!AD44</f>
        <v>5.117771212121236E-2</v>
      </c>
      <c r="E79" s="46">
        <f>ChartData!AE44</f>
        <v>0</v>
      </c>
      <c r="F79" s="50">
        <f>ChartData!AF44</f>
        <v>100</v>
      </c>
      <c r="G79" s="48">
        <f>ChartData!AG44</f>
        <v>75.120500000000007</v>
      </c>
    </row>
    <row r="80" spans="1:7" x14ac:dyDescent="0.25">
      <c r="A80" s="40">
        <f>ChartData!AA45</f>
        <v>21.5</v>
      </c>
      <c r="B80" s="46">
        <f>ChartData!AB45</f>
        <v>0</v>
      </c>
      <c r="C80" s="46">
        <f>ChartData!AC45</f>
        <v>5.8188692640692818E-2</v>
      </c>
      <c r="D80" s="46">
        <f>ChartData!AD45</f>
        <v>5.8188692640692818E-2</v>
      </c>
      <c r="E80" s="46">
        <f>ChartData!AE45</f>
        <v>0</v>
      </c>
      <c r="F80" s="50">
        <f>ChartData!AF45</f>
        <v>100</v>
      </c>
      <c r="G80" s="48">
        <f>ChartData!AG45</f>
        <v>68.624637662337648</v>
      </c>
    </row>
    <row r="81" spans="1:7" x14ac:dyDescent="0.25">
      <c r="A81" s="40">
        <f>ChartData!AA46</f>
        <v>22</v>
      </c>
      <c r="B81" s="46">
        <f>ChartData!AB46</f>
        <v>0</v>
      </c>
      <c r="C81" s="46">
        <f>ChartData!AC46</f>
        <v>8.2548350649350899E-2</v>
      </c>
      <c r="D81" s="46">
        <f>ChartData!AD46</f>
        <v>8.2548350649350899E-2</v>
      </c>
      <c r="E81" s="46">
        <f>ChartData!AE46</f>
        <v>0</v>
      </c>
      <c r="F81" s="50">
        <f>ChartData!AF46</f>
        <v>100</v>
      </c>
      <c r="G81" s="48">
        <f>ChartData!AG46</f>
        <v>62.097371428571435</v>
      </c>
    </row>
    <row r="82" spans="1:7" x14ac:dyDescent="0.25">
      <c r="A82" s="40">
        <f>ChartData!AA47</f>
        <v>22.5</v>
      </c>
      <c r="B82" s="46">
        <f>ChartData!AB47</f>
        <v>0</v>
      </c>
      <c r="C82" s="46">
        <f>ChartData!AC47</f>
        <v>7.5936658008657842E-2</v>
      </c>
      <c r="D82" s="46">
        <f>ChartData!AD47</f>
        <v>7.5936658008657842E-2</v>
      </c>
      <c r="E82" s="46">
        <f>ChartData!AE47</f>
        <v>0</v>
      </c>
      <c r="F82" s="50">
        <f>ChartData!AF47</f>
        <v>100</v>
      </c>
      <c r="G82" s="48">
        <f>ChartData!AG47</f>
        <v>56.475854545454538</v>
      </c>
    </row>
    <row r="83" spans="1:7" x14ac:dyDescent="0.25">
      <c r="A83" s="40">
        <f>ChartData!AA48</f>
        <v>23</v>
      </c>
      <c r="B83" s="46">
        <f>ChartData!AB48</f>
        <v>0</v>
      </c>
      <c r="C83" s="46">
        <f>ChartData!AC48</f>
        <v>8.8515341991342034E-2</v>
      </c>
      <c r="D83" s="46">
        <f>ChartData!AD48</f>
        <v>8.8515341991342034E-2</v>
      </c>
      <c r="E83" s="46">
        <f>ChartData!AE48</f>
        <v>0</v>
      </c>
      <c r="F83" s="50">
        <f>ChartData!AF48</f>
        <v>100</v>
      </c>
      <c r="G83" s="48">
        <f>ChartData!AG48</f>
        <v>52.091388311688313</v>
      </c>
    </row>
    <row r="84" spans="1:7" x14ac:dyDescent="0.25">
      <c r="A84" s="41">
        <f>ChartData!AA49</f>
        <v>23.5</v>
      </c>
      <c r="B84" s="47">
        <f>ChartData!AB49</f>
        <v>0</v>
      </c>
      <c r="C84" s="47">
        <f>ChartData!AC49</f>
        <v>6.7101551515151375E-2</v>
      </c>
      <c r="D84" s="47">
        <f>ChartData!AD49</f>
        <v>6.7101551515151375E-2</v>
      </c>
      <c r="E84" s="47">
        <f>ChartData!AE49</f>
        <v>0</v>
      </c>
      <c r="F84" s="51">
        <f>ChartData!AF49</f>
        <v>100</v>
      </c>
      <c r="G84" s="49">
        <f>ChartData!AG49</f>
        <v>48.559493506493517</v>
      </c>
    </row>
  </sheetData>
  <mergeCells count="1">
    <mergeCell ref="A34:M3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6:C74"/>
  <sheetViews>
    <sheetView showGridLines="0" workbookViewId="0">
      <selection activeCell="T14" sqref="T14"/>
    </sheetView>
  </sheetViews>
  <sheetFormatPr defaultRowHeight="15" x14ac:dyDescent="0.25"/>
  <cols>
    <col min="1" max="13" width="13" customWidth="1"/>
  </cols>
  <sheetData>
    <row r="26" spans="1:3" x14ac:dyDescent="0.25">
      <c r="A26" s="37" t="s">
        <v>213</v>
      </c>
      <c r="B26" s="38" t="s">
        <v>238</v>
      </c>
      <c r="C26" s="39" t="s">
        <v>239</v>
      </c>
    </row>
    <row r="27" spans="1:3" x14ac:dyDescent="0.25">
      <c r="A27" s="40">
        <f>ChartData!AA2</f>
        <v>0</v>
      </c>
      <c r="B27" s="46">
        <f>ChartData!AB2</f>
        <v>0</v>
      </c>
      <c r="C27" s="54">
        <f>ChartData!AC2</f>
        <v>6.24863636363715E-4</v>
      </c>
    </row>
    <row r="28" spans="1:3" x14ac:dyDescent="0.25">
      <c r="A28" s="40">
        <f>ChartData!AA3</f>
        <v>0.5</v>
      </c>
      <c r="B28" s="46">
        <f>ChartData!AB3</f>
        <v>0</v>
      </c>
      <c r="C28" s="54">
        <f>ChartData!AC3</f>
        <v>1.9169774891775182E-3</v>
      </c>
    </row>
    <row r="29" spans="1:3" x14ac:dyDescent="0.25">
      <c r="A29" s="40">
        <f>ChartData!AA4</f>
        <v>1</v>
      </c>
      <c r="B29" s="46">
        <f>ChartData!AB4</f>
        <v>0</v>
      </c>
      <c r="C29" s="54">
        <f>ChartData!AC4</f>
        <v>1.7353116883117164E-3</v>
      </c>
    </row>
    <row r="30" spans="1:3" x14ac:dyDescent="0.25">
      <c r="A30" s="40">
        <f>ChartData!AA5</f>
        <v>1.5</v>
      </c>
      <c r="B30" s="46">
        <f>ChartData!AB5</f>
        <v>0</v>
      </c>
      <c r="C30" s="54">
        <f>ChartData!AC5</f>
        <v>2.6181549783549363E-3</v>
      </c>
    </row>
    <row r="31" spans="1:3" x14ac:dyDescent="0.25">
      <c r="A31" s="40">
        <f>ChartData!AA6</f>
        <v>2</v>
      </c>
      <c r="B31" s="46">
        <f>ChartData!AB6</f>
        <v>0</v>
      </c>
      <c r="C31" s="54">
        <f>ChartData!AC6</f>
        <v>4.8003160173160503E-3</v>
      </c>
    </row>
    <row r="32" spans="1:3" x14ac:dyDescent="0.25">
      <c r="A32" s="40">
        <f>ChartData!AA7</f>
        <v>2.5</v>
      </c>
      <c r="B32" s="46">
        <f>ChartData!AB7</f>
        <v>0</v>
      </c>
      <c r="C32" s="54">
        <f>ChartData!AC7</f>
        <v>3.2836787878789409E-3</v>
      </c>
    </row>
    <row r="33" spans="1:3" x14ac:dyDescent="0.25">
      <c r="A33" s="40">
        <f>ChartData!AA8</f>
        <v>3</v>
      </c>
      <c r="B33" s="46">
        <f>ChartData!AB8</f>
        <v>0</v>
      </c>
      <c r="C33" s="54">
        <f>ChartData!AC8</f>
        <v>5.6018441558441656E-3</v>
      </c>
    </row>
    <row r="34" spans="1:3" x14ac:dyDescent="0.25">
      <c r="A34" s="40">
        <f>ChartData!AA9</f>
        <v>3.5</v>
      </c>
      <c r="B34" s="46">
        <f>ChartData!AB9</f>
        <v>0</v>
      </c>
      <c r="C34" s="54">
        <f>ChartData!AC9</f>
        <v>5.3688957640693064E-3</v>
      </c>
    </row>
    <row r="35" spans="1:3" x14ac:dyDescent="0.25">
      <c r="A35" s="40">
        <f>ChartData!AA10</f>
        <v>4</v>
      </c>
      <c r="B35" s="46">
        <f>ChartData!AB10</f>
        <v>0</v>
      </c>
      <c r="C35" s="54">
        <f>ChartData!AC10</f>
        <v>6.4570078311689816E-3</v>
      </c>
    </row>
    <row r="36" spans="1:3" x14ac:dyDescent="0.25">
      <c r="A36" s="40">
        <f>ChartData!AA11</f>
        <v>4.5</v>
      </c>
      <c r="B36" s="46">
        <f>ChartData!AB11</f>
        <v>0</v>
      </c>
      <c r="C36" s="54">
        <f>ChartData!AC11</f>
        <v>-2.9369514069361308E-5</v>
      </c>
    </row>
    <row r="37" spans="1:3" x14ac:dyDescent="0.25">
      <c r="A37" s="40">
        <f>ChartData!AA12</f>
        <v>5</v>
      </c>
      <c r="B37" s="46">
        <f>ChartData!AB12</f>
        <v>0</v>
      </c>
      <c r="C37" s="54">
        <f>ChartData!AC12</f>
        <v>6.6844846536690677E-4</v>
      </c>
    </row>
    <row r="38" spans="1:3" x14ac:dyDescent="0.25">
      <c r="A38" s="40">
        <f>ChartData!AA13</f>
        <v>5.5</v>
      </c>
      <c r="B38" s="46">
        <f>ChartData!AB13</f>
        <v>0</v>
      </c>
      <c r="C38" s="54">
        <f>ChartData!AC13</f>
        <v>3.6063922078805695E-5</v>
      </c>
    </row>
    <row r="39" spans="1:3" x14ac:dyDescent="0.25">
      <c r="A39" s="40">
        <f>ChartData!AA14</f>
        <v>6</v>
      </c>
      <c r="B39" s="46">
        <f>ChartData!AB14</f>
        <v>0</v>
      </c>
      <c r="C39" s="54">
        <f>ChartData!AC14</f>
        <v>4.8331812769752958E-5</v>
      </c>
    </row>
    <row r="40" spans="1:3" x14ac:dyDescent="0.25">
      <c r="A40" s="40">
        <f>ChartData!AA15</f>
        <v>6.5</v>
      </c>
      <c r="B40" s="46">
        <f>ChartData!AB15</f>
        <v>0</v>
      </c>
      <c r="C40" s="54">
        <f>ChartData!AC15</f>
        <v>4.3145603897197515E-5</v>
      </c>
    </row>
    <row r="41" spans="1:3" x14ac:dyDescent="0.25">
      <c r="A41" s="40">
        <f>ChartData!AA16</f>
        <v>7</v>
      </c>
      <c r="B41" s="46">
        <f>ChartData!AB16</f>
        <v>0</v>
      </c>
      <c r="C41" s="54">
        <f>ChartData!AC16</f>
        <v>2.3313767315864126E-5</v>
      </c>
    </row>
    <row r="42" spans="1:3" x14ac:dyDescent="0.25">
      <c r="A42" s="40">
        <f>ChartData!AA17</f>
        <v>7.5</v>
      </c>
      <c r="B42" s="46">
        <f>ChartData!AB17</f>
        <v>0</v>
      </c>
      <c r="C42" s="54">
        <f>ChartData!AC17</f>
        <v>-7.1464112418830564E-2</v>
      </c>
    </row>
    <row r="43" spans="1:3" x14ac:dyDescent="0.25">
      <c r="A43" s="40">
        <f>ChartData!AA18</f>
        <v>8</v>
      </c>
      <c r="B43" s="46">
        <f>ChartData!AB18</f>
        <v>0</v>
      </c>
      <c r="C43" s="54">
        <f>ChartData!AC18</f>
        <v>-0.57564057591233897</v>
      </c>
    </row>
    <row r="44" spans="1:3" x14ac:dyDescent="0.25">
      <c r="A44" s="40">
        <f>ChartData!AA19</f>
        <v>8.5</v>
      </c>
      <c r="B44" s="46">
        <f>ChartData!AB19</f>
        <v>0</v>
      </c>
      <c r="C44" s="54">
        <f>ChartData!AC19</f>
        <v>-0.93423942746536648</v>
      </c>
    </row>
    <row r="45" spans="1:3" x14ac:dyDescent="0.25">
      <c r="A45" s="40">
        <f>ChartData!AA20</f>
        <v>9</v>
      </c>
      <c r="B45" s="46">
        <f>ChartData!AB20</f>
        <v>0</v>
      </c>
      <c r="C45" s="54">
        <f>ChartData!AC20</f>
        <v>-1.2803331828787889</v>
      </c>
    </row>
    <row r="46" spans="1:3" x14ac:dyDescent="0.25">
      <c r="A46" s="40">
        <f>ChartData!AA21</f>
        <v>9.5</v>
      </c>
      <c r="B46" s="46">
        <f>ChartData!AB21</f>
        <v>0</v>
      </c>
      <c r="C46" s="54">
        <f>ChartData!AC21</f>
        <v>-1.5453660251017296</v>
      </c>
    </row>
    <row r="47" spans="1:3" x14ac:dyDescent="0.25">
      <c r="A47" s="40">
        <f>ChartData!AA22</f>
        <v>10</v>
      </c>
      <c r="B47" s="46">
        <f>ChartData!AB22</f>
        <v>0</v>
      </c>
      <c r="C47" s="54">
        <f>ChartData!AC22</f>
        <v>-1.7389046418798704</v>
      </c>
    </row>
    <row r="48" spans="1:3" x14ac:dyDescent="0.25">
      <c r="A48" s="40">
        <f>ChartData!AA23</f>
        <v>10.5</v>
      </c>
      <c r="B48" s="46">
        <f>ChartData!AB23</f>
        <v>0</v>
      </c>
      <c r="C48" s="54">
        <f>ChartData!AC23</f>
        <v>-1.8872785316028131</v>
      </c>
    </row>
    <row r="49" spans="1:3" x14ac:dyDescent="0.25">
      <c r="A49" s="40">
        <f>ChartData!AA24</f>
        <v>11</v>
      </c>
      <c r="B49" s="46">
        <f>ChartData!AB24</f>
        <v>0</v>
      </c>
      <c r="C49" s="54">
        <f>ChartData!AC24</f>
        <v>-1.9435525163582255</v>
      </c>
    </row>
    <row r="50" spans="1:3" x14ac:dyDescent="0.25">
      <c r="A50" s="40">
        <f>ChartData!AA25</f>
        <v>11.5</v>
      </c>
      <c r="B50" s="46">
        <f>ChartData!AB25</f>
        <v>0</v>
      </c>
      <c r="C50" s="54">
        <f>ChartData!AC25</f>
        <v>-1.9992191685324681</v>
      </c>
    </row>
    <row r="51" spans="1:3" x14ac:dyDescent="0.25">
      <c r="A51" s="40">
        <f>ChartData!AA26</f>
        <v>12</v>
      </c>
      <c r="B51" s="46">
        <f>ChartData!AB26</f>
        <v>0</v>
      </c>
      <c r="C51" s="54">
        <f>ChartData!AC26</f>
        <v>-2.0821233847965392</v>
      </c>
    </row>
    <row r="52" spans="1:3" x14ac:dyDescent="0.25">
      <c r="A52" s="40">
        <f>ChartData!AA27</f>
        <v>12.5</v>
      </c>
      <c r="B52" s="46">
        <f>ChartData!AB27</f>
        <v>0</v>
      </c>
      <c r="C52" s="54">
        <f>ChartData!AC27</f>
        <v>-2.1110055740909095</v>
      </c>
    </row>
    <row r="53" spans="1:3" x14ac:dyDescent="0.25">
      <c r="A53" s="40">
        <f>ChartData!AA28</f>
        <v>13</v>
      </c>
      <c r="B53" s="46">
        <f>ChartData!AB28</f>
        <v>0</v>
      </c>
      <c r="C53" s="54">
        <f>ChartData!AC28</f>
        <v>-2.1125502891071442</v>
      </c>
    </row>
    <row r="54" spans="1:3" x14ac:dyDescent="0.25">
      <c r="A54" s="40">
        <f>ChartData!AA29</f>
        <v>13.5</v>
      </c>
      <c r="B54" s="46">
        <f>ChartData!AB29</f>
        <v>0</v>
      </c>
      <c r="C54" s="54">
        <f>ChartData!AC29</f>
        <v>-2.0005828450043293</v>
      </c>
    </row>
    <row r="55" spans="1:3" x14ac:dyDescent="0.25">
      <c r="A55" s="40">
        <f>ChartData!AA30</f>
        <v>14</v>
      </c>
      <c r="B55" s="46">
        <f>ChartData!AB30</f>
        <v>0</v>
      </c>
      <c r="C55" s="54">
        <f>ChartData!AC30</f>
        <v>-1.8118591739296517</v>
      </c>
    </row>
    <row r="56" spans="1:3" x14ac:dyDescent="0.25">
      <c r="A56" s="40">
        <f>ChartData!AA31</f>
        <v>14.5</v>
      </c>
      <c r="B56" s="46">
        <f>ChartData!AB31</f>
        <v>0</v>
      </c>
      <c r="C56" s="54">
        <f>ChartData!AC31</f>
        <v>-1.6982478061926412</v>
      </c>
    </row>
    <row r="57" spans="1:3" x14ac:dyDescent="0.25">
      <c r="A57" s="40">
        <f>ChartData!AA32</f>
        <v>15</v>
      </c>
      <c r="B57" s="46">
        <f>ChartData!AB32</f>
        <v>0</v>
      </c>
      <c r="C57" s="54">
        <f>ChartData!AC32</f>
        <v>-1.6699999098257583</v>
      </c>
    </row>
    <row r="58" spans="1:3" x14ac:dyDescent="0.25">
      <c r="A58" s="40">
        <f>ChartData!AA33</f>
        <v>15.5</v>
      </c>
      <c r="B58" s="46">
        <f>ChartData!AB33</f>
        <v>0</v>
      </c>
      <c r="C58" s="54">
        <f>ChartData!AC33</f>
        <v>-1.474925909151517</v>
      </c>
    </row>
    <row r="59" spans="1:3" x14ac:dyDescent="0.25">
      <c r="A59" s="40">
        <f>ChartData!AA34</f>
        <v>16</v>
      </c>
      <c r="B59" s="46">
        <f>ChartData!AB34</f>
        <v>0</v>
      </c>
      <c r="C59" s="54">
        <f>ChartData!AC34</f>
        <v>-1.2549838466125529</v>
      </c>
    </row>
    <row r="60" spans="1:3" x14ac:dyDescent="0.25">
      <c r="A60" s="40">
        <f>ChartData!AA35</f>
        <v>16.5</v>
      </c>
      <c r="B60" s="46">
        <f>ChartData!AB35</f>
        <v>0</v>
      </c>
      <c r="C60" s="54">
        <f>ChartData!AC35</f>
        <v>-1.0133087349383112</v>
      </c>
    </row>
    <row r="61" spans="1:3" x14ac:dyDescent="0.25">
      <c r="A61" s="40">
        <f>ChartData!AA36</f>
        <v>17</v>
      </c>
      <c r="B61" s="46">
        <f>ChartData!AB36</f>
        <v>0</v>
      </c>
      <c r="C61" s="54">
        <f>ChartData!AC36</f>
        <v>-0.77087736276515106</v>
      </c>
    </row>
    <row r="62" spans="1:3" x14ac:dyDescent="0.25">
      <c r="A62" s="40">
        <f>ChartData!AA37</f>
        <v>17.5</v>
      </c>
      <c r="B62" s="46">
        <f>ChartData!AB37</f>
        <v>0</v>
      </c>
      <c r="C62" s="54">
        <f>ChartData!AC37</f>
        <v>-0.56173590925432937</v>
      </c>
    </row>
    <row r="63" spans="1:3" x14ac:dyDescent="0.25">
      <c r="A63" s="40">
        <f>ChartData!AA38</f>
        <v>18</v>
      </c>
      <c r="B63" s="46">
        <f>ChartData!AB38</f>
        <v>0</v>
      </c>
      <c r="C63" s="54">
        <f>ChartData!AC38</f>
        <v>-0.36792109598484946</v>
      </c>
    </row>
    <row r="64" spans="1:3" x14ac:dyDescent="0.25">
      <c r="A64" s="40">
        <f>ChartData!AA39</f>
        <v>18.5</v>
      </c>
      <c r="B64" s="46">
        <f>ChartData!AB39</f>
        <v>0</v>
      </c>
      <c r="C64" s="54">
        <f>ChartData!AC39</f>
        <v>-0.20042438571969715</v>
      </c>
    </row>
    <row r="65" spans="1:3" x14ac:dyDescent="0.25">
      <c r="A65" s="40">
        <f>ChartData!AA40</f>
        <v>19</v>
      </c>
      <c r="B65" s="46">
        <f>ChartData!AB40</f>
        <v>0</v>
      </c>
      <c r="C65" s="54">
        <f>ChartData!AC40</f>
        <v>-4.177979341125522E-2</v>
      </c>
    </row>
    <row r="66" spans="1:3" x14ac:dyDescent="0.25">
      <c r="A66" s="40">
        <f>ChartData!AA41</f>
        <v>19.5</v>
      </c>
      <c r="B66" s="46">
        <f>ChartData!AB41</f>
        <v>0</v>
      </c>
      <c r="C66" s="54">
        <f>ChartData!AC41</f>
        <v>1.9348938574675401E-2</v>
      </c>
    </row>
    <row r="67" spans="1:3" x14ac:dyDescent="0.25">
      <c r="A67" s="40">
        <f>ChartData!AA42</f>
        <v>20</v>
      </c>
      <c r="B67" s="46">
        <f>ChartData!AB42</f>
        <v>0</v>
      </c>
      <c r="C67" s="54">
        <f>ChartData!AC42</f>
        <v>1.4326200586579851E-2</v>
      </c>
    </row>
    <row r="68" spans="1:3" x14ac:dyDescent="0.25">
      <c r="A68" s="40">
        <f>ChartData!AA43</f>
        <v>20.5</v>
      </c>
      <c r="B68" s="46">
        <f>ChartData!AB43</f>
        <v>0</v>
      </c>
      <c r="C68" s="54">
        <f>ChartData!AC43</f>
        <v>4.351730865800818E-2</v>
      </c>
    </row>
    <row r="69" spans="1:3" x14ac:dyDescent="0.25">
      <c r="A69" s="40">
        <f>ChartData!AA44</f>
        <v>21</v>
      </c>
      <c r="B69" s="46">
        <f>ChartData!AB44</f>
        <v>0</v>
      </c>
      <c r="C69" s="54">
        <f>ChartData!AC44</f>
        <v>5.117771212121236E-2</v>
      </c>
    </row>
    <row r="70" spans="1:3" x14ac:dyDescent="0.25">
      <c r="A70" s="40">
        <f>ChartData!AA45</f>
        <v>21.5</v>
      </c>
      <c r="B70" s="46">
        <f>ChartData!AB45</f>
        <v>0</v>
      </c>
      <c r="C70" s="54">
        <f>ChartData!AC45</f>
        <v>5.8188692640692818E-2</v>
      </c>
    </row>
    <row r="71" spans="1:3" x14ac:dyDescent="0.25">
      <c r="A71" s="40">
        <f>ChartData!AA46</f>
        <v>22</v>
      </c>
      <c r="B71" s="46">
        <f>ChartData!AB46</f>
        <v>0</v>
      </c>
      <c r="C71" s="54">
        <f>ChartData!AC46</f>
        <v>8.2548350649350899E-2</v>
      </c>
    </row>
    <row r="72" spans="1:3" x14ac:dyDescent="0.25">
      <c r="A72" s="40">
        <f>ChartData!AA47</f>
        <v>22.5</v>
      </c>
      <c r="B72" s="46">
        <f>ChartData!AB47</f>
        <v>0</v>
      </c>
      <c r="C72" s="54">
        <f>ChartData!AC47</f>
        <v>7.5936658008657842E-2</v>
      </c>
    </row>
    <row r="73" spans="1:3" x14ac:dyDescent="0.25">
      <c r="A73" s="40">
        <f>ChartData!AA48</f>
        <v>23</v>
      </c>
      <c r="B73" s="46">
        <f>ChartData!AB48</f>
        <v>0</v>
      </c>
      <c r="C73" s="54">
        <f>ChartData!AC48</f>
        <v>8.8515341991342034E-2</v>
      </c>
    </row>
    <row r="74" spans="1:3" x14ac:dyDescent="0.25">
      <c r="A74" s="41">
        <f>ChartData!AA49</f>
        <v>23.5</v>
      </c>
      <c r="B74" s="47">
        <f>ChartData!AB49</f>
        <v>0</v>
      </c>
      <c r="C74" s="55">
        <f>ChartData!AC49</f>
        <v>6.7101551515151375E-2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85"/>
  <sheetViews>
    <sheetView showGridLines="0" workbookViewId="0">
      <selection activeCell="T12" sqref="T12"/>
    </sheetView>
  </sheetViews>
  <sheetFormatPr defaultRowHeight="15" x14ac:dyDescent="0.25"/>
  <cols>
    <col min="1" max="13" width="13" customWidth="1"/>
  </cols>
  <sheetData>
    <row r="1" spans="1:13" ht="27.95" customHeight="1" x14ac:dyDescent="0.25">
      <c r="A1" s="93" t="s">
        <v>240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37" spans="1:5" x14ac:dyDescent="0.25">
      <c r="A37" s="37" t="s">
        <v>213</v>
      </c>
      <c r="B37" s="38" t="s">
        <v>241</v>
      </c>
      <c r="C37" s="38" t="s">
        <v>242</v>
      </c>
      <c r="D37" s="38" t="s">
        <v>217</v>
      </c>
      <c r="E37" s="39" t="s">
        <v>243</v>
      </c>
    </row>
    <row r="38" spans="1:5" x14ac:dyDescent="0.25">
      <c r="A38" s="40">
        <f>ChartData!T2</f>
        <v>0</v>
      </c>
      <c r="B38" s="46">
        <f>ChartData!U2</f>
        <v>0.27365083766233766</v>
      </c>
      <c r="C38" s="46">
        <f>ChartData!V2</f>
        <v>0</v>
      </c>
      <c r="D38" s="46">
        <f>ChartData!W2</f>
        <v>0</v>
      </c>
      <c r="E38" s="54">
        <f>ChartData!X2</f>
        <v>0.27302597402597395</v>
      </c>
    </row>
    <row r="39" spans="1:5" x14ac:dyDescent="0.25">
      <c r="A39" s="40">
        <f>ChartData!T3</f>
        <v>0.5</v>
      </c>
      <c r="B39" s="46">
        <f>ChartData!U3</f>
        <v>0.17791697748917748</v>
      </c>
      <c r="C39" s="46">
        <f>ChartData!V3</f>
        <v>0</v>
      </c>
      <c r="D39" s="46">
        <f>ChartData!W3</f>
        <v>0</v>
      </c>
      <c r="E39" s="54">
        <f>ChartData!X3</f>
        <v>0.17599999999999996</v>
      </c>
    </row>
    <row r="40" spans="1:5" x14ac:dyDescent="0.25">
      <c r="A40" s="40">
        <f>ChartData!T4</f>
        <v>1</v>
      </c>
      <c r="B40" s="46">
        <f>ChartData!U4</f>
        <v>0.12574829870129872</v>
      </c>
      <c r="C40" s="46">
        <f>ChartData!V4</f>
        <v>0</v>
      </c>
      <c r="D40" s="46">
        <f>ChartData!W4</f>
        <v>0</v>
      </c>
      <c r="E40" s="54">
        <f>ChartData!X4</f>
        <v>0.12401298701298701</v>
      </c>
    </row>
    <row r="41" spans="1:5" x14ac:dyDescent="0.25">
      <c r="A41" s="40">
        <f>ChartData!T5</f>
        <v>1.5</v>
      </c>
      <c r="B41" s="46">
        <f>ChartData!U5</f>
        <v>0.14186490822510817</v>
      </c>
      <c r="C41" s="46">
        <f>ChartData!V5</f>
        <v>0</v>
      </c>
      <c r="D41" s="46">
        <f>ChartData!W5</f>
        <v>0</v>
      </c>
      <c r="E41" s="54">
        <f>ChartData!X5</f>
        <v>0.13924675324675323</v>
      </c>
    </row>
    <row r="42" spans="1:5" x14ac:dyDescent="0.25">
      <c r="A42" s="40">
        <f>ChartData!T6</f>
        <v>2</v>
      </c>
      <c r="B42" s="46">
        <f>ChartData!U6</f>
        <v>0.10638473160173162</v>
      </c>
      <c r="C42" s="46">
        <f>ChartData!V6</f>
        <v>0</v>
      </c>
      <c r="D42" s="46">
        <f>ChartData!W6</f>
        <v>0</v>
      </c>
      <c r="E42" s="54">
        <f>ChartData!X6</f>
        <v>0.10158441558441557</v>
      </c>
    </row>
    <row r="43" spans="1:5" x14ac:dyDescent="0.25">
      <c r="A43" s="40">
        <f>ChartData!T7</f>
        <v>2.5</v>
      </c>
      <c r="B43" s="46">
        <f>ChartData!U7</f>
        <v>0.12450445800865813</v>
      </c>
      <c r="C43" s="46">
        <f>ChartData!V7</f>
        <v>0</v>
      </c>
      <c r="D43" s="46">
        <f>ChartData!W7</f>
        <v>0</v>
      </c>
      <c r="E43" s="54">
        <f>ChartData!X7</f>
        <v>0.12122077922077919</v>
      </c>
    </row>
    <row r="44" spans="1:5" x14ac:dyDescent="0.25">
      <c r="A44" s="40">
        <f>ChartData!T8</f>
        <v>3</v>
      </c>
      <c r="B44" s="46">
        <f>ChartData!U8</f>
        <v>0.13204340259740255</v>
      </c>
      <c r="C44" s="46">
        <f>ChartData!V8</f>
        <v>0</v>
      </c>
      <c r="D44" s="46">
        <f>ChartData!W8</f>
        <v>0</v>
      </c>
      <c r="E44" s="54">
        <f>ChartData!X8</f>
        <v>0.12644155844155838</v>
      </c>
    </row>
    <row r="45" spans="1:5" x14ac:dyDescent="0.25">
      <c r="A45" s="40">
        <f>ChartData!T9</f>
        <v>3.5</v>
      </c>
      <c r="B45" s="46">
        <f>ChartData!U9</f>
        <v>0.10227012554112556</v>
      </c>
      <c r="C45" s="46">
        <f>ChartData!V9</f>
        <v>2.4856453614718623E-3</v>
      </c>
      <c r="D45" s="46">
        <f>ChartData!W9</f>
        <v>0</v>
      </c>
      <c r="E45" s="54">
        <f>ChartData!X9</f>
        <v>9.4415584415584397E-2</v>
      </c>
    </row>
    <row r="46" spans="1:5" x14ac:dyDescent="0.25">
      <c r="A46" s="40">
        <f>ChartData!T10</f>
        <v>4</v>
      </c>
      <c r="B46" s="46">
        <f>ChartData!U10</f>
        <v>0.12989527619047619</v>
      </c>
      <c r="C46" s="46">
        <f>ChartData!V10</f>
        <v>3.592832658658001E-2</v>
      </c>
      <c r="D46" s="46">
        <f>ChartData!W10</f>
        <v>5.1948051948051951E-5</v>
      </c>
      <c r="E46" s="54">
        <f>ChartData!X10</f>
        <v>8.7561889824675249E-2</v>
      </c>
    </row>
    <row r="47" spans="1:5" x14ac:dyDescent="0.25">
      <c r="A47" s="40">
        <f>ChartData!T11</f>
        <v>4.5</v>
      </c>
      <c r="B47" s="46">
        <f>ChartData!U11</f>
        <v>0.11673561904761907</v>
      </c>
      <c r="C47" s="46">
        <f>ChartData!V11</f>
        <v>0.16801174180844164</v>
      </c>
      <c r="D47" s="46">
        <f>ChartData!W11</f>
        <v>7.4155844155844114E-2</v>
      </c>
      <c r="E47" s="54">
        <f>ChartData!X11</f>
        <v>2.290909090909091E-2</v>
      </c>
    </row>
    <row r="48" spans="1:5" x14ac:dyDescent="0.25">
      <c r="A48" s="40">
        <f>ChartData!T12</f>
        <v>5</v>
      </c>
      <c r="B48" s="46">
        <f>ChartData!U12</f>
        <v>0.10857823463203468</v>
      </c>
      <c r="C48" s="46">
        <f>ChartData!V12</f>
        <v>0.33327342253030412</v>
      </c>
      <c r="D48" s="46">
        <f>ChartData!W12</f>
        <v>0.22951948051948048</v>
      </c>
      <c r="E48" s="54">
        <f>ChartData!X12</f>
        <v>4.1558441558441558E-3</v>
      </c>
    </row>
    <row r="49" spans="1:5" x14ac:dyDescent="0.25">
      <c r="A49" s="40">
        <f>ChartData!T13</f>
        <v>5.5</v>
      </c>
      <c r="B49" s="46">
        <f>ChartData!U13</f>
        <v>0.12560554372294375</v>
      </c>
      <c r="C49" s="46">
        <f>ChartData!V13</f>
        <v>0.53592012915151432</v>
      </c>
      <c r="D49" s="46">
        <f>ChartData!W13</f>
        <v>0.41070129870129873</v>
      </c>
      <c r="E49" s="54">
        <f>ChartData!X13</f>
        <v>3.5064935064935067E-4</v>
      </c>
    </row>
    <row r="50" spans="1:5" x14ac:dyDescent="0.25">
      <c r="A50" s="40">
        <f>ChartData!T14</f>
        <v>6</v>
      </c>
      <c r="B50" s="46">
        <f>ChartData!U14</f>
        <v>0.12527523722943723</v>
      </c>
      <c r="C50" s="46">
        <f>ChartData!V14</f>
        <v>0.75701911320887538</v>
      </c>
      <c r="D50" s="46">
        <f>ChartData!W14</f>
        <v>0.6317922077922079</v>
      </c>
      <c r="E50" s="54">
        <f>ChartData!X14</f>
        <v>0</v>
      </c>
    </row>
    <row r="51" spans="1:5" x14ac:dyDescent="0.25">
      <c r="A51" s="40">
        <f>ChartData!T15</f>
        <v>6.5</v>
      </c>
      <c r="B51" s="46">
        <f>ChartData!U15</f>
        <v>0.17732045021645029</v>
      </c>
      <c r="C51" s="46">
        <f>ChartData!V15</f>
        <v>0.98083574617099456</v>
      </c>
      <c r="D51" s="46">
        <f>ChartData!W15</f>
        <v>0.8201688311688311</v>
      </c>
      <c r="E51" s="54">
        <f>ChartData!X15</f>
        <v>1.661038961038961E-2</v>
      </c>
    </row>
    <row r="52" spans="1:5" x14ac:dyDescent="0.25">
      <c r="A52" s="40">
        <f>ChartData!T16</f>
        <v>7</v>
      </c>
      <c r="B52" s="46">
        <f>ChartData!U16</f>
        <v>0.1527245432900434</v>
      </c>
      <c r="C52" s="46">
        <f>ChartData!V16</f>
        <v>1.2034934373149353</v>
      </c>
      <c r="D52" s="46">
        <f>ChartData!W16</f>
        <v>1.0652987012987012</v>
      </c>
      <c r="E52" s="54">
        <f>ChartData!X16</f>
        <v>1.4506493506493506E-2</v>
      </c>
    </row>
    <row r="53" spans="1:5" x14ac:dyDescent="0.25">
      <c r="A53" s="40">
        <f>ChartData!T17</f>
        <v>7.5</v>
      </c>
      <c r="B53" s="46">
        <f>ChartData!U17</f>
        <v>0.20312778701298703</v>
      </c>
      <c r="C53" s="46">
        <f>ChartData!V17</f>
        <v>1.4264750163149347</v>
      </c>
      <c r="D53" s="46">
        <f>ChartData!W17</f>
        <v>1.1604415584415586</v>
      </c>
      <c r="E53" s="54">
        <f>ChartData!X17</f>
        <v>8.5584415584415586E-3</v>
      </c>
    </row>
    <row r="54" spans="1:5" x14ac:dyDescent="0.25">
      <c r="A54" s="40">
        <f>ChartData!T18</f>
        <v>8</v>
      </c>
      <c r="B54" s="46">
        <f>ChartData!U18</f>
        <v>0.24040257705627702</v>
      </c>
      <c r="C54" s="46">
        <f>ChartData!V18</f>
        <v>1.6357574386829017</v>
      </c>
      <c r="D54" s="46">
        <f>ChartData!W18</f>
        <v>0.81971428571428573</v>
      </c>
      <c r="E54" s="54">
        <f>ChartData!X18</f>
        <v>0</v>
      </c>
    </row>
    <row r="55" spans="1:5" x14ac:dyDescent="0.25">
      <c r="A55" s="40">
        <f>ChartData!T19</f>
        <v>8.5</v>
      </c>
      <c r="B55" s="46">
        <f>ChartData!U19</f>
        <v>0.42736067878787914</v>
      </c>
      <c r="C55" s="46">
        <f>ChartData!V19</f>
        <v>1.8324832231363626</v>
      </c>
      <c r="D55" s="46">
        <f>ChartData!W19</f>
        <v>0.50855844155844154</v>
      </c>
      <c r="E55" s="54">
        <f>ChartData!X19</f>
        <v>3.7675324675324674E-2</v>
      </c>
    </row>
    <row r="56" spans="1:5" x14ac:dyDescent="0.25">
      <c r="A56" s="40">
        <f>ChartData!T20</f>
        <v>9</v>
      </c>
      <c r="B56" s="46">
        <f>ChartData!U20</f>
        <v>0.38556298008658019</v>
      </c>
      <c r="C56" s="46">
        <f>ChartData!V20</f>
        <v>2.0000260330952391</v>
      </c>
      <c r="D56" s="46">
        <f>ChartData!W20</f>
        <v>0.34736363636363637</v>
      </c>
      <c r="E56" s="54">
        <f>ChartData!X20</f>
        <v>1.3233766233766233E-2</v>
      </c>
    </row>
    <row r="57" spans="1:5" x14ac:dyDescent="0.25">
      <c r="A57" s="40">
        <f>ChartData!T21</f>
        <v>9.5</v>
      </c>
      <c r="B57" s="46">
        <f>ChartData!U21</f>
        <v>0.36969990952380977</v>
      </c>
      <c r="C57" s="46">
        <f>ChartData!V21</f>
        <v>2.1429230774826822</v>
      </c>
      <c r="D57" s="46">
        <f>ChartData!W21</f>
        <v>0.2324285714285714</v>
      </c>
      <c r="E57" s="54">
        <f>ChartData!X21</f>
        <v>4.5714285714285709E-3</v>
      </c>
    </row>
    <row r="58" spans="1:5" x14ac:dyDescent="0.25">
      <c r="A58" s="40">
        <f>ChartData!T22</f>
        <v>10</v>
      </c>
      <c r="B58" s="46">
        <f>ChartData!U22</f>
        <v>0.3993810393939396</v>
      </c>
      <c r="C58" s="46">
        <f>ChartData!V22</f>
        <v>2.2683506163387452</v>
      </c>
      <c r="D58" s="46">
        <f>ChartData!W22</f>
        <v>0.16262337662337661</v>
      </c>
      <c r="E58" s="54">
        <f>ChartData!X22</f>
        <v>3.2558441558441557E-2</v>
      </c>
    </row>
    <row r="59" spans="1:5" x14ac:dyDescent="0.25">
      <c r="A59" s="40">
        <f>ChartData!T23</f>
        <v>10.5</v>
      </c>
      <c r="B59" s="46">
        <f>ChartData!U23</f>
        <v>0.38356364199134185</v>
      </c>
      <c r="C59" s="46">
        <f>ChartData!V23</f>
        <v>2.3718681476201291</v>
      </c>
      <c r="D59" s="46">
        <f>ChartData!W23</f>
        <v>0.10880519480519481</v>
      </c>
      <c r="E59" s="54">
        <f>ChartData!X23</f>
        <v>7.7792207792207789E-3</v>
      </c>
    </row>
    <row r="60" spans="1:5" x14ac:dyDescent="0.25">
      <c r="A60" s="40">
        <f>ChartData!T24</f>
        <v>11</v>
      </c>
      <c r="B60" s="46">
        <f>ChartData!U24</f>
        <v>0.38659549740259719</v>
      </c>
      <c r="C60" s="46">
        <f>ChartData!V24</f>
        <v>2.4453168449296538</v>
      </c>
      <c r="D60" s="46">
        <f>ChartData!W24</f>
        <v>0.12266233766233767</v>
      </c>
      <c r="E60" s="54">
        <f>ChartData!X24</f>
        <v>7.4935064935064948E-3</v>
      </c>
    </row>
    <row r="61" spans="1:5" x14ac:dyDescent="0.25">
      <c r="A61" s="40">
        <f>ChartData!T25</f>
        <v>11.5</v>
      </c>
      <c r="B61" s="46">
        <f>ChartData!U25</f>
        <v>0.453529509090909</v>
      </c>
      <c r="C61" s="46">
        <f>ChartData!V25</f>
        <v>2.4775278984025979</v>
      </c>
      <c r="D61" s="46">
        <f>ChartData!W25</f>
        <v>6.8194805194805197E-2</v>
      </c>
      <c r="E61" s="54">
        <f>ChartData!X25</f>
        <v>4.3415584415584421E-2</v>
      </c>
    </row>
    <row r="62" spans="1:5" x14ac:dyDescent="0.25">
      <c r="A62" s="40">
        <f>ChartData!T26</f>
        <v>12</v>
      </c>
      <c r="B62" s="46">
        <f>ChartData!U26</f>
        <v>0.38887692597402596</v>
      </c>
      <c r="C62" s="46">
        <f>ChartData!V26</f>
        <v>2.4868574536277084</v>
      </c>
      <c r="D62" s="46">
        <f>ChartData!W26</f>
        <v>4.987012987012987E-2</v>
      </c>
      <c r="E62" s="54">
        <f>ChartData!X26</f>
        <v>3.4012987012987009E-2</v>
      </c>
    </row>
    <row r="63" spans="1:5" x14ac:dyDescent="0.25">
      <c r="A63" s="40">
        <f>ChartData!T27</f>
        <v>12.5</v>
      </c>
      <c r="B63" s="46">
        <f>ChartData!U27</f>
        <v>0.35791836103896091</v>
      </c>
      <c r="C63" s="46">
        <f>ChartData!V27</f>
        <v>2.4694044546103897</v>
      </c>
      <c r="D63" s="46">
        <f>ChartData!W27</f>
        <v>2.294805194805195E-2</v>
      </c>
      <c r="E63" s="54">
        <f>ChartData!X27</f>
        <v>2.2467532467532466E-2</v>
      </c>
    </row>
    <row r="64" spans="1:5" x14ac:dyDescent="0.25">
      <c r="A64" s="40">
        <f>ChartData!T28</f>
        <v>13</v>
      </c>
      <c r="B64" s="46">
        <f>ChartData!U28</f>
        <v>0.30579309480519462</v>
      </c>
      <c r="C64" s="46">
        <f>ChartData!V28</f>
        <v>2.4107719553409104</v>
      </c>
      <c r="D64" s="46">
        <f>ChartData!W28</f>
        <v>3.5896103896103898E-2</v>
      </c>
      <c r="E64" s="54">
        <f>ChartData!X28</f>
        <v>4.3467532467532474E-2</v>
      </c>
    </row>
    <row r="65" spans="1:5" x14ac:dyDescent="0.25">
      <c r="A65" s="40">
        <f>ChartData!T29</f>
        <v>13.5</v>
      </c>
      <c r="B65" s="46">
        <f>ChartData!U29</f>
        <v>0.27837458311688307</v>
      </c>
      <c r="C65" s="46">
        <f>ChartData!V29</f>
        <v>2.3213210644848488</v>
      </c>
      <c r="D65" s="46">
        <f>ChartData!W29</f>
        <v>5.2584415584415588E-2</v>
      </c>
      <c r="E65" s="54">
        <f>ChartData!X29</f>
        <v>1.0220779220779221E-2</v>
      </c>
    </row>
    <row r="66" spans="1:5" x14ac:dyDescent="0.25">
      <c r="A66" s="40">
        <f>ChartData!T30</f>
        <v>14</v>
      </c>
      <c r="B66" s="46">
        <f>ChartData!U30</f>
        <v>0.34091844372294361</v>
      </c>
      <c r="C66" s="46">
        <f>ChartData!V30</f>
        <v>2.2145308644058419</v>
      </c>
      <c r="D66" s="46">
        <f>ChartData!W30</f>
        <v>7.8623376623376623E-2</v>
      </c>
      <c r="E66" s="54">
        <f>ChartData!X30</f>
        <v>1.6870129870129872E-2</v>
      </c>
    </row>
    <row r="67" spans="1:5" x14ac:dyDescent="0.25">
      <c r="A67" s="40">
        <f>ChartData!T31</f>
        <v>14.5</v>
      </c>
      <c r="B67" s="46">
        <f>ChartData!U31</f>
        <v>0.32754866623376616</v>
      </c>
      <c r="C67" s="46">
        <f>ChartData!V31</f>
        <v>2.0792120568419916</v>
      </c>
      <c r="D67" s="46">
        <f>ChartData!W31</f>
        <v>5.3415584415584423E-2</v>
      </c>
      <c r="E67" s="54">
        <f>ChartData!X31</f>
        <v>0</v>
      </c>
    </row>
    <row r="68" spans="1:5" x14ac:dyDescent="0.25">
      <c r="A68" s="40">
        <f>ChartData!T32</f>
        <v>15</v>
      </c>
      <c r="B68" s="46">
        <f>ChartData!U32</f>
        <v>0.27066921385281395</v>
      </c>
      <c r="C68" s="46">
        <f>ChartData!V32</f>
        <v>1.935409383418832</v>
      </c>
      <c r="D68" s="46">
        <f>ChartData!W32</f>
        <v>1.5103896103896102E-2</v>
      </c>
      <c r="E68" s="54">
        <f>ChartData!X32</f>
        <v>2.0363636363636365E-2</v>
      </c>
    </row>
    <row r="69" spans="1:5" x14ac:dyDescent="0.25">
      <c r="A69" s="40">
        <f>ChartData!T33</f>
        <v>15.5</v>
      </c>
      <c r="B69" s="46">
        <f>ChartData!U33</f>
        <v>0.30292930995671002</v>
      </c>
      <c r="C69" s="46">
        <f>ChartData!V33</f>
        <v>1.7623617126147204</v>
      </c>
      <c r="D69" s="46">
        <f>ChartData!W33</f>
        <v>2.6493506493506492E-3</v>
      </c>
      <c r="E69" s="54">
        <f>ChartData!X33</f>
        <v>1.8142857142857145E-2</v>
      </c>
    </row>
    <row r="70" spans="1:5" x14ac:dyDescent="0.25">
      <c r="A70" s="40">
        <f>ChartData!T34</f>
        <v>16</v>
      </c>
      <c r="B70" s="46">
        <f>ChartData!U34</f>
        <v>0.31358924675324679</v>
      </c>
      <c r="C70" s="46">
        <f>ChartData!V34</f>
        <v>1.5674691972619035</v>
      </c>
      <c r="D70" s="46">
        <f>ChartData!W34</f>
        <v>7.4805194805194816E-3</v>
      </c>
      <c r="E70" s="54">
        <f>ChartData!X34</f>
        <v>8.5844155844155851E-3</v>
      </c>
    </row>
    <row r="71" spans="1:5" x14ac:dyDescent="0.25">
      <c r="A71" s="40">
        <f>ChartData!T35</f>
        <v>16.5</v>
      </c>
      <c r="B71" s="46">
        <f>ChartData!U35</f>
        <v>0.34421677878787899</v>
      </c>
      <c r="C71" s="46">
        <f>ChartData!V35</f>
        <v>1.3321618773625539</v>
      </c>
      <c r="D71" s="46">
        <f>ChartData!W35</f>
        <v>1.8051948051948055E-2</v>
      </c>
      <c r="E71" s="54">
        <f>ChartData!X35</f>
        <v>4.3415584415584414E-2</v>
      </c>
    </row>
    <row r="72" spans="1:5" x14ac:dyDescent="0.25">
      <c r="A72" s="40">
        <f>ChartData!T36</f>
        <v>17</v>
      </c>
      <c r="B72" s="46">
        <f>ChartData!U36</f>
        <v>0.41339084935064951</v>
      </c>
      <c r="C72" s="46">
        <f>ChartData!V36</f>
        <v>1.1119305497781382</v>
      </c>
      <c r="D72" s="46">
        <f>ChartData!W36</f>
        <v>1.7012987012987014E-2</v>
      </c>
      <c r="E72" s="54">
        <f>ChartData!X36</f>
        <v>8.9350649350649361E-2</v>
      </c>
    </row>
    <row r="73" spans="1:5" x14ac:dyDescent="0.25">
      <c r="A73" s="40">
        <f>ChartData!T37</f>
        <v>17.5</v>
      </c>
      <c r="B73" s="46">
        <f>ChartData!U37</f>
        <v>0.37517899567099583</v>
      </c>
      <c r="C73" s="46">
        <f>ChartData!V37</f>
        <v>0.88562919063961099</v>
      </c>
      <c r="D73" s="46">
        <f>ChartData!W37</f>
        <v>2.179220779220779E-2</v>
      </c>
      <c r="E73" s="54">
        <f>ChartData!X37</f>
        <v>7.3077922077922075E-2</v>
      </c>
    </row>
    <row r="74" spans="1:5" x14ac:dyDescent="0.25">
      <c r="A74" s="40">
        <f>ChartData!T38</f>
        <v>18</v>
      </c>
      <c r="B74" s="46">
        <f>ChartData!U38</f>
        <v>0.45408220909090907</v>
      </c>
      <c r="C74" s="46">
        <f>ChartData!V38</f>
        <v>0.66671759079004422</v>
      </c>
      <c r="D74" s="46">
        <f>ChartData!W38</f>
        <v>8.2077922077922073E-3</v>
      </c>
      <c r="E74" s="54">
        <f>ChartData!X38</f>
        <v>0.16349350649350652</v>
      </c>
    </row>
    <row r="75" spans="1:5" x14ac:dyDescent="0.25">
      <c r="A75" s="40">
        <f>ChartData!T39</f>
        <v>18.5</v>
      </c>
      <c r="B75" s="46">
        <f>ChartData!U39</f>
        <v>0.36898482380952391</v>
      </c>
      <c r="C75" s="46">
        <f>ChartData!V39</f>
        <v>0.45565596277597431</v>
      </c>
      <c r="D75" s="46">
        <f>ChartData!W39</f>
        <v>1.0792207792207792E-2</v>
      </c>
      <c r="E75" s="54">
        <f>ChartData!X39</f>
        <v>0.12454545454545454</v>
      </c>
    </row>
    <row r="76" spans="1:5" x14ac:dyDescent="0.25">
      <c r="A76" s="40">
        <f>ChartData!T40</f>
        <v>19</v>
      </c>
      <c r="B76" s="46">
        <f>ChartData!U40</f>
        <v>0.37846490259740262</v>
      </c>
      <c r="C76" s="46">
        <f>ChartData!V40</f>
        <v>0.26607586483982665</v>
      </c>
      <c r="D76" s="46">
        <f>ChartData!W40</f>
        <v>7.9610389610389604E-3</v>
      </c>
      <c r="E76" s="54">
        <f>ChartData!X40</f>
        <v>0.16212987012987015</v>
      </c>
    </row>
    <row r="77" spans="1:5" x14ac:dyDescent="0.25">
      <c r="A77" s="40">
        <f>ChartData!T41</f>
        <v>19.5</v>
      </c>
      <c r="B77" s="46">
        <f>ChartData!U41</f>
        <v>0.41067065454545465</v>
      </c>
      <c r="C77" s="46">
        <f>ChartData!V41</f>
        <v>7.7412625061688292E-2</v>
      </c>
      <c r="D77" s="46">
        <f>ChartData!W41</f>
        <v>2.7272727272727274E-4</v>
      </c>
      <c r="E77" s="54">
        <f>ChartData!X41</f>
        <v>0.31418181818181823</v>
      </c>
    </row>
    <row r="78" spans="1:5" x14ac:dyDescent="0.25">
      <c r="A78" s="40">
        <f>ChartData!T42</f>
        <v>20</v>
      </c>
      <c r="B78" s="46">
        <f>ChartData!U42</f>
        <v>0.54073347402597383</v>
      </c>
      <c r="C78" s="46">
        <f>ChartData!V42</f>
        <v>1.4277403309523812E-2</v>
      </c>
      <c r="D78" s="46">
        <f>ChartData!W42</f>
        <v>0</v>
      </c>
      <c r="E78" s="54">
        <f>ChartData!X42</f>
        <v>0.51212987012987021</v>
      </c>
    </row>
    <row r="79" spans="1:5" x14ac:dyDescent="0.25">
      <c r="A79" s="40">
        <f>ChartData!T43</f>
        <v>20.5</v>
      </c>
      <c r="B79" s="46">
        <f>ChartData!U43</f>
        <v>0.57953029567099534</v>
      </c>
      <c r="C79" s="46">
        <f>ChartData!V43</f>
        <v>0</v>
      </c>
      <c r="D79" s="46">
        <f>ChartData!W43</f>
        <v>0</v>
      </c>
      <c r="E79" s="54">
        <f>ChartData!X43</f>
        <v>0.53601298701298716</v>
      </c>
    </row>
    <row r="80" spans="1:5" x14ac:dyDescent="0.25">
      <c r="A80" s="40">
        <f>ChartData!T44</f>
        <v>21</v>
      </c>
      <c r="B80" s="46">
        <f>ChartData!U44</f>
        <v>0.56880108874458879</v>
      </c>
      <c r="C80" s="46">
        <f>ChartData!V44</f>
        <v>0</v>
      </c>
      <c r="D80" s="46">
        <f>ChartData!W44</f>
        <v>0</v>
      </c>
      <c r="E80" s="54">
        <f>ChartData!X44</f>
        <v>0.51762337662337643</v>
      </c>
    </row>
    <row r="81" spans="1:5" x14ac:dyDescent="0.25">
      <c r="A81" s="40">
        <f>ChartData!T45</f>
        <v>21.5</v>
      </c>
      <c r="B81" s="46">
        <f>ChartData!U45</f>
        <v>0.57839648484848483</v>
      </c>
      <c r="C81" s="46">
        <f>ChartData!V45</f>
        <v>0</v>
      </c>
      <c r="D81" s="46">
        <f>ChartData!W45</f>
        <v>0</v>
      </c>
      <c r="E81" s="54">
        <f>ChartData!X45</f>
        <v>0.52020779220779201</v>
      </c>
    </row>
    <row r="82" spans="1:5" x14ac:dyDescent="0.25">
      <c r="A82" s="40">
        <f>ChartData!T46</f>
        <v>22</v>
      </c>
      <c r="B82" s="46">
        <f>ChartData!U46</f>
        <v>0.53050938961038996</v>
      </c>
      <c r="C82" s="46">
        <f>ChartData!V46</f>
        <v>0</v>
      </c>
      <c r="D82" s="46">
        <f>ChartData!W46</f>
        <v>0</v>
      </c>
      <c r="E82" s="54">
        <f>ChartData!X46</f>
        <v>0.44796103896103906</v>
      </c>
    </row>
    <row r="83" spans="1:5" x14ac:dyDescent="0.25">
      <c r="A83" s="40">
        <f>ChartData!T47</f>
        <v>22.5</v>
      </c>
      <c r="B83" s="46">
        <f>ChartData!U47</f>
        <v>0.4253522424242423</v>
      </c>
      <c r="C83" s="46">
        <f>ChartData!V47</f>
        <v>0</v>
      </c>
      <c r="D83" s="46">
        <f>ChartData!W47</f>
        <v>0</v>
      </c>
      <c r="E83" s="54">
        <f>ChartData!X47</f>
        <v>0.34941558441558446</v>
      </c>
    </row>
    <row r="84" spans="1:5" x14ac:dyDescent="0.25">
      <c r="A84" s="40">
        <f>ChartData!T48</f>
        <v>23</v>
      </c>
      <c r="B84" s="46">
        <f>ChartData!U48</f>
        <v>0.37002183549783546</v>
      </c>
      <c r="C84" s="46">
        <f>ChartData!V48</f>
        <v>0</v>
      </c>
      <c r="D84" s="46">
        <f>ChartData!W48</f>
        <v>0</v>
      </c>
      <c r="E84" s="54">
        <f>ChartData!X48</f>
        <v>0.28150649350649343</v>
      </c>
    </row>
    <row r="85" spans="1:5" x14ac:dyDescent="0.25">
      <c r="A85" s="41">
        <f>ChartData!T49</f>
        <v>23.5</v>
      </c>
      <c r="B85" s="47">
        <f>ChartData!U49</f>
        <v>0.2843093437229437</v>
      </c>
      <c r="C85" s="47">
        <f>ChartData!V49</f>
        <v>0</v>
      </c>
      <c r="D85" s="47">
        <f>ChartData!W49</f>
        <v>0</v>
      </c>
      <c r="E85" s="55">
        <f>ChartData!X49</f>
        <v>0.21720779220779232</v>
      </c>
    </row>
  </sheetData>
  <mergeCells count="1">
    <mergeCell ref="A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Summary</vt:lpstr>
      <vt:lpstr>FleetAverage</vt:lpstr>
      <vt:lpstr>SOC_pct</vt:lpstr>
      <vt:lpstr>Demand_kW</vt:lpstr>
      <vt:lpstr>PV_kW</vt:lpstr>
      <vt:lpstr>Charge_kW</vt:lpstr>
      <vt:lpstr>Discharge_kW</vt:lpstr>
      <vt:lpstr>Net_kW</vt:lpstr>
      <vt:lpstr>ProsumerMetrics</vt:lpstr>
      <vt:lpstr>Dashboard</vt:lpstr>
      <vt:lpstr>ChartData</vt:lpstr>
      <vt:lpstr>Fleet Avg Figure</vt:lpstr>
      <vt:lpstr>Self Consumption Figure</vt:lpstr>
      <vt:lpstr>Net Per Prosumer Figure</vt:lpstr>
      <vt:lpstr>Demand PV Dispatch Figure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Tulio Coelho Coura</dc:creator>
  <cp:lastModifiedBy>Tulio</cp:lastModifiedBy>
  <dcterms:created xsi:type="dcterms:W3CDTF">2026-07-10T18:32:55Z</dcterms:created>
  <dcterms:modified xsi:type="dcterms:W3CDTF">2026-07-10T19:03:32Z</dcterms:modified>
</cp:coreProperties>
</file>